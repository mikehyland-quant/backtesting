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04CA4FBA-3F55-487B-9AED-E736CD2D1DED}" xr6:coauthVersionLast="47" xr6:coauthVersionMax="47" xr10:uidLastSave="{00000000-0000-0000-0000-000000000000}"/>
  <bookViews>
    <workbookView xWindow="360" yWindow="1950" windowWidth="28440" windowHeight="12225" xr2:uid="{14C48F2A-AF54-4150-A2E7-8C58E4B486ED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Y170" i="1" s="1"/>
  <c r="AM169" i="1"/>
  <c r="AK169" i="1"/>
  <c r="AJ169" i="1"/>
  <c r="AX168" i="1"/>
  <c r="AV168" i="1"/>
  <c r="AU168" i="1"/>
  <c r="AM168" i="1"/>
  <c r="AK168" i="1"/>
  <c r="AJ168" i="1"/>
  <c r="AN169" i="1" s="1"/>
  <c r="AX167" i="1"/>
  <c r="AV167" i="1"/>
  <c r="AU167" i="1"/>
  <c r="AY168" i="1" s="1"/>
  <c r="AM167" i="1"/>
  <c r="AK167" i="1"/>
  <c r="AJ167" i="1"/>
  <c r="AX166" i="1"/>
  <c r="AV166" i="1"/>
  <c r="AU166" i="1"/>
  <c r="AM166" i="1"/>
  <c r="AK166" i="1"/>
  <c r="AJ166" i="1"/>
  <c r="AN167" i="1" s="1"/>
  <c r="AX165" i="1"/>
  <c r="AV165" i="1"/>
  <c r="AU165" i="1"/>
  <c r="AM165" i="1"/>
  <c r="AK165" i="1"/>
  <c r="AJ165" i="1"/>
  <c r="AN166" i="1" s="1"/>
  <c r="AX164" i="1"/>
  <c r="AV164" i="1"/>
  <c r="AU164" i="1"/>
  <c r="AY165" i="1" s="1"/>
  <c r="AM164" i="1"/>
  <c r="AK164" i="1"/>
  <c r="AJ164" i="1"/>
  <c r="AX163" i="1"/>
  <c r="AV163" i="1"/>
  <c r="AU163" i="1"/>
  <c r="AM163" i="1"/>
  <c r="AK163" i="1"/>
  <c r="AJ163" i="1"/>
  <c r="AN164" i="1" s="1"/>
  <c r="AX162" i="1"/>
  <c r="AV162" i="1"/>
  <c r="AU162" i="1"/>
  <c r="AM162" i="1"/>
  <c r="AK162" i="1"/>
  <c r="AJ162" i="1"/>
  <c r="AN163" i="1" s="1"/>
  <c r="AX161" i="1"/>
  <c r="AV161" i="1"/>
  <c r="AU161" i="1"/>
  <c r="AY162" i="1" s="1"/>
  <c r="AM161" i="1"/>
  <c r="AK161" i="1"/>
  <c r="AJ161" i="1"/>
  <c r="AX160" i="1"/>
  <c r="AV160" i="1"/>
  <c r="AU160" i="1"/>
  <c r="AM160" i="1"/>
  <c r="AK160" i="1"/>
  <c r="AJ160" i="1"/>
  <c r="AX159" i="1"/>
  <c r="AV159" i="1"/>
  <c r="AU159" i="1"/>
  <c r="AM159" i="1"/>
  <c r="AK159" i="1"/>
  <c r="AJ159" i="1"/>
  <c r="AN160" i="1" s="1"/>
  <c r="AX158" i="1"/>
  <c r="AV158" i="1"/>
  <c r="AU158" i="1"/>
  <c r="AM158" i="1"/>
  <c r="AK158" i="1"/>
  <c r="AJ158" i="1"/>
  <c r="AN159" i="1" s="1"/>
  <c r="AX157" i="1"/>
  <c r="AV157" i="1"/>
  <c r="AU157" i="1"/>
  <c r="AM157" i="1"/>
  <c r="AK157" i="1"/>
  <c r="AJ157" i="1"/>
  <c r="AN158" i="1" s="1"/>
  <c r="AX156" i="1"/>
  <c r="AV156" i="1"/>
  <c r="AU156" i="1"/>
  <c r="AM156" i="1"/>
  <c r="AK156" i="1"/>
  <c r="AJ156" i="1"/>
  <c r="AX155" i="1"/>
  <c r="AV155" i="1"/>
  <c r="AU155" i="1"/>
  <c r="AM155" i="1"/>
  <c r="AK155" i="1"/>
  <c r="AJ155" i="1"/>
  <c r="AN156" i="1" s="1"/>
  <c r="AX154" i="1"/>
  <c r="AV154" i="1"/>
  <c r="AU154" i="1"/>
  <c r="AY155" i="1" s="1"/>
  <c r="AM154" i="1"/>
  <c r="AK154" i="1"/>
  <c r="AJ154" i="1"/>
  <c r="AX153" i="1"/>
  <c r="AV153" i="1"/>
  <c r="AU153" i="1"/>
  <c r="AM153" i="1"/>
  <c r="AK153" i="1"/>
  <c r="AJ153" i="1"/>
  <c r="AN154" i="1" s="1"/>
  <c r="AX152" i="1"/>
  <c r="AV152" i="1"/>
  <c r="AU152" i="1"/>
  <c r="AM152" i="1"/>
  <c r="AK152" i="1"/>
  <c r="AJ152" i="1"/>
  <c r="AN153" i="1" s="1"/>
  <c r="AX151" i="1"/>
  <c r="AV151" i="1"/>
  <c r="AU151" i="1"/>
  <c r="AY152" i="1" s="1"/>
  <c r="AM151" i="1"/>
  <c r="AK151" i="1"/>
  <c r="AJ151" i="1"/>
  <c r="AX150" i="1"/>
  <c r="AV150" i="1"/>
  <c r="AU150" i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X142" i="1"/>
  <c r="AV142" i="1"/>
  <c r="AU142" i="1"/>
  <c r="AM142" i="1"/>
  <c r="AK142" i="1"/>
  <c r="AJ142" i="1"/>
  <c r="AN143" i="1" s="1"/>
  <c r="AX141" i="1"/>
  <c r="AV141" i="1"/>
  <c r="AU141" i="1"/>
  <c r="AY142" i="1" s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X137" i="1"/>
  <c r="AV137" i="1"/>
  <c r="AU137" i="1"/>
  <c r="AM137" i="1"/>
  <c r="AK137" i="1"/>
  <c r="AJ137" i="1"/>
  <c r="AX136" i="1"/>
  <c r="AV136" i="1"/>
  <c r="AU136" i="1"/>
  <c r="AM136" i="1"/>
  <c r="AK136" i="1"/>
  <c r="AJ136" i="1"/>
  <c r="AX135" i="1"/>
  <c r="AV135" i="1"/>
  <c r="AU135" i="1"/>
  <c r="AM135" i="1"/>
  <c r="AK135" i="1"/>
  <c r="AJ135" i="1"/>
  <c r="AN136" i="1" s="1"/>
  <c r="AX134" i="1"/>
  <c r="AV134" i="1"/>
  <c r="AU134" i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Y132" i="1" s="1"/>
  <c r="AM131" i="1"/>
  <c r="AK131" i="1"/>
  <c r="AJ131" i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X128" i="1"/>
  <c r="AV128" i="1"/>
  <c r="AU128" i="1"/>
  <c r="AY129" i="1" s="1"/>
  <c r="AM128" i="1"/>
  <c r="AK128" i="1"/>
  <c r="AJ128" i="1"/>
  <c r="AX127" i="1"/>
  <c r="AV127" i="1"/>
  <c r="AU127" i="1"/>
  <c r="AM127" i="1"/>
  <c r="AK127" i="1"/>
  <c r="AJ127" i="1"/>
  <c r="AN128" i="1" s="1"/>
  <c r="AX126" i="1"/>
  <c r="AV126" i="1"/>
  <c r="AU126" i="1"/>
  <c r="AY127" i="1" s="1"/>
  <c r="AM126" i="1"/>
  <c r="AK126" i="1"/>
  <c r="AJ126" i="1"/>
  <c r="AX125" i="1"/>
  <c r="AV125" i="1"/>
  <c r="AU125" i="1"/>
  <c r="AM125" i="1"/>
  <c r="AK125" i="1"/>
  <c r="AJ125" i="1"/>
  <c r="AN126" i="1" s="1"/>
  <c r="AX124" i="1"/>
  <c r="AV124" i="1"/>
  <c r="AU124" i="1"/>
  <c r="AY125" i="1" s="1"/>
  <c r="AM124" i="1"/>
  <c r="AK124" i="1"/>
  <c r="AJ124" i="1"/>
  <c r="AX123" i="1"/>
  <c r="AV123" i="1"/>
  <c r="AU123" i="1"/>
  <c r="AY124" i="1" s="1"/>
  <c r="AM123" i="1"/>
  <c r="AK123" i="1"/>
  <c r="AJ123" i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X119" i="1"/>
  <c r="AV119" i="1"/>
  <c r="AU119" i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Y118" i="1" s="1"/>
  <c r="AM117" i="1"/>
  <c r="AK117" i="1"/>
  <c r="AJ117" i="1"/>
  <c r="AX116" i="1"/>
  <c r="AV116" i="1"/>
  <c r="AU116" i="1"/>
  <c r="AY117" i="1" s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M110" i="1"/>
  <c r="AK110" i="1"/>
  <c r="AJ110" i="1"/>
  <c r="AN111" i="1" s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X102" i="1"/>
  <c r="AV102" i="1"/>
  <c r="AU102" i="1"/>
  <c r="AY103" i="1" s="1"/>
  <c r="AM102" i="1"/>
  <c r="AK102" i="1"/>
  <c r="AJ102" i="1"/>
  <c r="AX101" i="1"/>
  <c r="AV101" i="1"/>
  <c r="AU101" i="1"/>
  <c r="AM101" i="1"/>
  <c r="AK101" i="1"/>
  <c r="AJ101" i="1"/>
  <c r="AX100" i="1"/>
  <c r="AV100" i="1"/>
  <c r="AU100" i="1"/>
  <c r="AM100" i="1"/>
  <c r="AK100" i="1"/>
  <c r="AJ100" i="1"/>
  <c r="AX99" i="1"/>
  <c r="AV99" i="1"/>
  <c r="AU99" i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M97" i="1"/>
  <c r="AK97" i="1"/>
  <c r="AJ97" i="1"/>
  <c r="AN98" i="1" s="1"/>
  <c r="AX96" i="1"/>
  <c r="AV96" i="1"/>
  <c r="AU96" i="1"/>
  <c r="AM96" i="1"/>
  <c r="AK96" i="1"/>
  <c r="AJ96" i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M93" i="1"/>
  <c r="AK93" i="1"/>
  <c r="AJ93" i="1"/>
  <c r="AN94" i="1" s="1"/>
  <c r="AX92" i="1"/>
  <c r="AV92" i="1"/>
  <c r="AU92" i="1"/>
  <c r="AY93" i="1" s="1"/>
  <c r="AM92" i="1"/>
  <c r="AK92" i="1"/>
  <c r="AJ92" i="1"/>
  <c r="AX91" i="1"/>
  <c r="AV91" i="1"/>
  <c r="AU91" i="1"/>
  <c r="AM91" i="1"/>
  <c r="AK91" i="1"/>
  <c r="AJ91" i="1"/>
  <c r="AN92" i="1" s="1"/>
  <c r="AX90" i="1"/>
  <c r="AV90" i="1"/>
  <c r="AU90" i="1"/>
  <c r="AY91" i="1" s="1"/>
  <c r="AM90" i="1"/>
  <c r="AK90" i="1"/>
  <c r="AJ90" i="1"/>
  <c r="AX89" i="1"/>
  <c r="AV89" i="1"/>
  <c r="AU89" i="1"/>
  <c r="AM89" i="1"/>
  <c r="AK89" i="1"/>
  <c r="AJ89" i="1"/>
  <c r="AX88" i="1"/>
  <c r="AV88" i="1"/>
  <c r="AU88" i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M86" i="1"/>
  <c r="AK86" i="1"/>
  <c r="AJ86" i="1"/>
  <c r="AX85" i="1"/>
  <c r="AV85" i="1"/>
  <c r="AU85" i="1"/>
  <c r="AY86" i="1" s="1"/>
  <c r="AM85" i="1"/>
  <c r="AK85" i="1"/>
  <c r="AJ85" i="1"/>
  <c r="AX84" i="1"/>
  <c r="AV84" i="1"/>
  <c r="AU84" i="1"/>
  <c r="AY85" i="1" s="1"/>
  <c r="AM84" i="1"/>
  <c r="AK84" i="1"/>
  <c r="AJ84" i="1"/>
  <c r="AX83" i="1"/>
  <c r="AV83" i="1"/>
  <c r="AU83" i="1"/>
  <c r="AM83" i="1"/>
  <c r="AK83" i="1"/>
  <c r="AJ83" i="1"/>
  <c r="AN84" i="1" s="1"/>
  <c r="AX82" i="1"/>
  <c r="AV82" i="1"/>
  <c r="AU82" i="1"/>
  <c r="AM82" i="1"/>
  <c r="AK82" i="1"/>
  <c r="AJ82" i="1"/>
  <c r="AN83" i="1" s="1"/>
  <c r="AX81" i="1"/>
  <c r="AV81" i="1"/>
  <c r="AU81" i="1"/>
  <c r="AM81" i="1"/>
  <c r="AK81" i="1"/>
  <c r="AJ81" i="1"/>
  <c r="AN82" i="1" s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M76" i="1"/>
  <c r="AK76" i="1"/>
  <c r="AJ76" i="1"/>
  <c r="AN77" i="1" s="1"/>
  <c r="AX75" i="1"/>
  <c r="AV75" i="1"/>
  <c r="AU75" i="1"/>
  <c r="AM75" i="1"/>
  <c r="AK75" i="1"/>
  <c r="AJ75" i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X71" i="1"/>
  <c r="AV71" i="1"/>
  <c r="AU71" i="1"/>
  <c r="AM71" i="1"/>
  <c r="AK71" i="1"/>
  <c r="AJ71" i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M68" i="1"/>
  <c r="AK68" i="1"/>
  <c r="AJ68" i="1"/>
  <c r="AX67" i="1"/>
  <c r="AV67" i="1"/>
  <c r="AU67" i="1"/>
  <c r="AM67" i="1"/>
  <c r="AK67" i="1"/>
  <c r="AJ67" i="1"/>
  <c r="AN68" i="1" s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M64" i="1"/>
  <c r="AK64" i="1"/>
  <c r="AJ64" i="1"/>
  <c r="AX63" i="1"/>
  <c r="AV63" i="1"/>
  <c r="AU63" i="1"/>
  <c r="AY64" i="1" s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M60" i="1"/>
  <c r="AK60" i="1"/>
  <c r="AJ60" i="1"/>
  <c r="AX59" i="1"/>
  <c r="AV59" i="1"/>
  <c r="AU59" i="1"/>
  <c r="AM59" i="1"/>
  <c r="AK59" i="1"/>
  <c r="AJ59" i="1"/>
  <c r="AX58" i="1"/>
  <c r="AV58" i="1"/>
  <c r="AU58" i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M55" i="1"/>
  <c r="AK55" i="1"/>
  <c r="AJ55" i="1"/>
  <c r="AX54" i="1"/>
  <c r="AV54" i="1"/>
  <c r="AU54" i="1"/>
  <c r="AM54" i="1"/>
  <c r="AK54" i="1"/>
  <c r="AJ54" i="1"/>
  <c r="AN55" i="1" s="1"/>
  <c r="AX53" i="1"/>
  <c r="AV53" i="1"/>
  <c r="AU53" i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M42" i="1"/>
  <c r="AK42" i="1"/>
  <c r="AJ42" i="1"/>
  <c r="AN43" i="1" s="1"/>
  <c r="AX41" i="1"/>
  <c r="AV41" i="1"/>
  <c r="AU41" i="1"/>
  <c r="AM41" i="1"/>
  <c r="AK41" i="1"/>
  <c r="AJ41" i="1"/>
  <c r="AN42" i="1" s="1"/>
  <c r="AX40" i="1"/>
  <c r="AV40" i="1"/>
  <c r="AU40" i="1"/>
  <c r="AM40" i="1"/>
  <c r="AK40" i="1"/>
  <c r="AJ40" i="1"/>
  <c r="AX39" i="1"/>
  <c r="AV39" i="1"/>
  <c r="AU39" i="1"/>
  <c r="AM39" i="1"/>
  <c r="AK39" i="1"/>
  <c r="AJ39" i="1"/>
  <c r="AN40" i="1" s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M36" i="1"/>
  <c r="AK36" i="1"/>
  <c r="AJ36" i="1"/>
  <c r="AX35" i="1"/>
  <c r="AV35" i="1"/>
  <c r="AU35" i="1"/>
  <c r="AM35" i="1"/>
  <c r="AK35" i="1"/>
  <c r="AJ35" i="1"/>
  <c r="AX34" i="1"/>
  <c r="AV34" i="1"/>
  <c r="AU34" i="1"/>
  <c r="AM34" i="1"/>
  <c r="AK34" i="1"/>
  <c r="AJ34" i="1"/>
  <c r="AN35" i="1" s="1"/>
  <c r="AX33" i="1"/>
  <c r="AV33" i="1"/>
  <c r="AU33" i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M31" i="1"/>
  <c r="AK31" i="1"/>
  <c r="AJ31" i="1"/>
  <c r="AX30" i="1"/>
  <c r="AV30" i="1"/>
  <c r="AU30" i="1"/>
  <c r="AM30" i="1"/>
  <c r="AK30" i="1"/>
  <c r="AJ30" i="1"/>
  <c r="AX29" i="1"/>
  <c r="AV29" i="1"/>
  <c r="AU29" i="1"/>
  <c r="AM29" i="1"/>
  <c r="AK29" i="1"/>
  <c r="AJ29" i="1"/>
  <c r="AN30" i="1" s="1"/>
  <c r="AX28" i="1"/>
  <c r="AV28" i="1"/>
  <c r="AU28" i="1"/>
  <c r="AM28" i="1"/>
  <c r="AK28" i="1"/>
  <c r="AJ28" i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M24" i="1"/>
  <c r="AK24" i="1"/>
  <c r="AJ24" i="1"/>
  <c r="AN25" i="1" s="1"/>
  <c r="AX23" i="1"/>
  <c r="AV23" i="1"/>
  <c r="AU23" i="1"/>
  <c r="AY24" i="1" s="1"/>
  <c r="AM23" i="1"/>
  <c r="AK23" i="1"/>
  <c r="AJ23" i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06" i="1" l="1"/>
  <c r="AY97" i="1"/>
  <c r="AY76" i="1"/>
  <c r="AY102" i="1"/>
  <c r="AY62" i="1"/>
  <c r="AY59" i="1"/>
  <c r="AY36" i="1"/>
  <c r="AY33" i="1"/>
  <c r="AY82" i="1"/>
  <c r="AY54" i="1"/>
  <c r="AY32" i="1"/>
  <c r="AY40" i="1"/>
  <c r="AY89" i="1"/>
  <c r="AY61" i="1"/>
  <c r="AY50" i="1"/>
  <c r="AY45" i="1"/>
  <c r="AY38" i="1"/>
  <c r="AY31" i="1"/>
  <c r="AY29" i="1"/>
  <c r="AY72" i="1"/>
  <c r="AY51" i="1"/>
  <c r="AY157" i="1"/>
  <c r="AY110" i="1"/>
  <c r="AY104" i="1"/>
  <c r="AY87" i="1"/>
  <c r="AY60" i="1"/>
  <c r="AY58" i="1"/>
  <c r="AY46" i="1"/>
  <c r="AY39" i="1"/>
  <c r="AY37" i="1"/>
  <c r="AN63" i="1"/>
  <c r="AN119" i="1"/>
  <c r="AN101" i="1"/>
  <c r="AN81" i="1"/>
  <c r="AN57" i="1"/>
  <c r="AN48" i="1"/>
  <c r="AN41" i="1"/>
  <c r="AN47" i="1"/>
  <c r="AN56" i="1"/>
  <c r="AN67" i="1"/>
  <c r="AN65" i="1"/>
  <c r="AN161" i="1"/>
  <c r="AN120" i="1"/>
  <c r="AN116" i="1"/>
  <c r="AN100" i="1"/>
  <c r="AN90" i="1"/>
  <c r="AN69" i="1"/>
  <c r="AN66" i="1"/>
  <c r="AY52" i="1"/>
  <c r="AY34" i="1"/>
  <c r="AY137" i="1"/>
  <c r="AN75" i="1"/>
  <c r="AN80" i="1"/>
  <c r="AY27" i="1"/>
  <c r="AY176" i="1"/>
  <c r="AN173" i="1"/>
  <c r="AN138" i="1"/>
  <c r="AN175" i="1"/>
  <c r="AN151" i="1"/>
  <c r="AN115" i="1"/>
  <c r="AY141" i="1"/>
  <c r="AY109" i="1"/>
  <c r="AZ176" i="1"/>
  <c r="BA176" i="1"/>
  <c r="AW176" i="1"/>
  <c r="AO175" i="1"/>
  <c r="AP175" i="1"/>
  <c r="AL175" i="1"/>
  <c r="AN176" i="1" s="1"/>
  <c r="AZ174" i="1"/>
  <c r="BA174" i="1"/>
  <c r="AW174" i="1"/>
  <c r="AY175" i="1" s="1"/>
  <c r="AO173" i="1"/>
  <c r="AP173" i="1"/>
  <c r="AL173" i="1"/>
  <c r="AN174" i="1" s="1"/>
  <c r="BA172" i="1"/>
  <c r="AW172" i="1"/>
  <c r="AY173" i="1" s="1"/>
  <c r="AZ172" i="1"/>
  <c r="BB172" i="1" s="1"/>
  <c r="AP171" i="1"/>
  <c r="AL171" i="1"/>
  <c r="AN172" i="1" s="1"/>
  <c r="AO171" i="1"/>
  <c r="AQ171" i="1" s="1"/>
  <c r="AZ170" i="1"/>
  <c r="BA170" i="1"/>
  <c r="AW170" i="1"/>
  <c r="AY171" i="1" s="1"/>
  <c r="AP169" i="1"/>
  <c r="AO169" i="1"/>
  <c r="AQ169" i="1" s="1"/>
  <c r="AL169" i="1"/>
  <c r="AN170" i="1" s="1"/>
  <c r="BA168" i="1"/>
  <c r="AZ168" i="1"/>
  <c r="AW168" i="1"/>
  <c r="AY169" i="1" s="1"/>
  <c r="AL167" i="1"/>
  <c r="AN168" i="1" s="1"/>
  <c r="AO167" i="1"/>
  <c r="AP167" i="1"/>
  <c r="AP166" i="1"/>
  <c r="AO166" i="1"/>
  <c r="AQ166" i="1" s="1"/>
  <c r="AL166" i="1"/>
  <c r="BA165" i="1"/>
  <c r="AZ165" i="1"/>
  <c r="AW165" i="1"/>
  <c r="AY166" i="1" s="1"/>
  <c r="AP164" i="1"/>
  <c r="AL164" i="1"/>
  <c r="AN165" i="1" s="1"/>
  <c r="AO164" i="1"/>
  <c r="AQ164" i="1" s="1"/>
  <c r="AP163" i="1"/>
  <c r="AO163" i="1"/>
  <c r="AQ163" i="1" s="1"/>
  <c r="AL163" i="1"/>
  <c r="BA162" i="1"/>
  <c r="AZ162" i="1"/>
  <c r="BB162" i="1" s="1"/>
  <c r="AW162" i="1"/>
  <c r="AY163" i="1" s="1"/>
  <c r="AL161" i="1"/>
  <c r="AN162" i="1" s="1"/>
  <c r="AO161" i="1"/>
  <c r="AP161" i="1"/>
  <c r="AP160" i="1"/>
  <c r="AL160" i="1"/>
  <c r="AO160" i="1"/>
  <c r="AP159" i="1"/>
  <c r="AO159" i="1"/>
  <c r="AL159" i="1"/>
  <c r="AL158" i="1"/>
  <c r="AP158" i="1"/>
  <c r="AO158" i="1"/>
  <c r="AQ158" i="1" s="1"/>
  <c r="AW157" i="1"/>
  <c r="AY158" i="1" s="1"/>
  <c r="AZ157" i="1"/>
  <c r="BA157" i="1"/>
  <c r="AP156" i="1"/>
  <c r="AO156" i="1"/>
  <c r="AQ156" i="1" s="1"/>
  <c r="AL156" i="1"/>
  <c r="AN157" i="1" s="1"/>
  <c r="AW155" i="1"/>
  <c r="AY156" i="1" s="1"/>
  <c r="AZ155" i="1"/>
  <c r="BA155" i="1"/>
  <c r="AO154" i="1"/>
  <c r="AL154" i="1"/>
  <c r="AN155" i="1" s="1"/>
  <c r="AP154" i="1"/>
  <c r="AO153" i="1"/>
  <c r="AP153" i="1"/>
  <c r="AL153" i="1"/>
  <c r="AZ152" i="1"/>
  <c r="BA152" i="1"/>
  <c r="AW152" i="1"/>
  <c r="AY153" i="1" s="1"/>
  <c r="AP151" i="1"/>
  <c r="AO151" i="1"/>
  <c r="AQ151" i="1" s="1"/>
  <c r="AL151" i="1"/>
  <c r="AN152" i="1" s="1"/>
  <c r="BA150" i="1"/>
  <c r="AZ150" i="1"/>
  <c r="BB150" i="1" s="1"/>
  <c r="AW150" i="1"/>
  <c r="AY151" i="1" s="1"/>
  <c r="AO149" i="1"/>
  <c r="AP149" i="1"/>
  <c r="AL149" i="1"/>
  <c r="AN150" i="1" s="1"/>
  <c r="AZ148" i="1"/>
  <c r="BA148" i="1"/>
  <c r="AW148" i="1"/>
  <c r="AY149" i="1" s="1"/>
  <c r="AP147" i="1"/>
  <c r="AL147" i="1"/>
  <c r="AN148" i="1" s="1"/>
  <c r="AO147" i="1"/>
  <c r="BA146" i="1"/>
  <c r="AZ146" i="1"/>
  <c r="BB146" i="1" s="1"/>
  <c r="AW146" i="1"/>
  <c r="AY147" i="1" s="1"/>
  <c r="AL145" i="1"/>
  <c r="AN146" i="1" s="1"/>
  <c r="AP145" i="1"/>
  <c r="AO145" i="1"/>
  <c r="BA144" i="1"/>
  <c r="AW144" i="1"/>
  <c r="AY145" i="1" s="1"/>
  <c r="AZ144" i="1"/>
  <c r="BB144" i="1" s="1"/>
  <c r="AP143" i="1"/>
  <c r="AL143" i="1"/>
  <c r="AN144" i="1" s="1"/>
  <c r="AO143" i="1"/>
  <c r="AQ143" i="1" s="1"/>
  <c r="AW142" i="1"/>
  <c r="AY143" i="1" s="1"/>
  <c r="AZ142" i="1"/>
  <c r="BA142" i="1"/>
  <c r="AW140" i="1"/>
  <c r="AZ140" i="1"/>
  <c r="BA140" i="1"/>
  <c r="BA141" i="1"/>
  <c r="AZ141" i="1"/>
  <c r="BB141" i="1" s="1"/>
  <c r="AW141" i="1"/>
  <c r="AZ139" i="1"/>
  <c r="BA139" i="1"/>
  <c r="AW139" i="1"/>
  <c r="AO138" i="1"/>
  <c r="AP138" i="1"/>
  <c r="AL138" i="1"/>
  <c r="AN139" i="1" s="1"/>
  <c r="AZ137" i="1"/>
  <c r="BA137" i="1"/>
  <c r="AW137" i="1"/>
  <c r="AY138" i="1" s="1"/>
  <c r="AO136" i="1"/>
  <c r="AP136" i="1"/>
  <c r="AL136" i="1"/>
  <c r="AN137" i="1" s="1"/>
  <c r="AO135" i="1"/>
  <c r="AP135" i="1"/>
  <c r="AL135" i="1"/>
  <c r="AZ134" i="1"/>
  <c r="BA134" i="1"/>
  <c r="AW134" i="1"/>
  <c r="AY135" i="1" s="1"/>
  <c r="AZ133" i="1"/>
  <c r="BA133" i="1"/>
  <c r="AW133" i="1"/>
  <c r="AZ132" i="1"/>
  <c r="BA132" i="1"/>
  <c r="AW132" i="1"/>
  <c r="AZ131" i="1"/>
  <c r="BA131" i="1"/>
  <c r="AW131" i="1"/>
  <c r="AZ130" i="1"/>
  <c r="BA130" i="1"/>
  <c r="AW130" i="1"/>
  <c r="AZ129" i="1"/>
  <c r="BA129" i="1"/>
  <c r="AW129" i="1"/>
  <c r="AO128" i="1"/>
  <c r="AL128" i="1"/>
  <c r="AN129" i="1" s="1"/>
  <c r="AP128" i="1"/>
  <c r="BA127" i="1"/>
  <c r="AW127" i="1"/>
  <c r="AY128" i="1" s="1"/>
  <c r="AZ127" i="1"/>
  <c r="BB127" i="1" s="1"/>
  <c r="AO126" i="1"/>
  <c r="AP126" i="1"/>
  <c r="AL126" i="1"/>
  <c r="AN127" i="1" s="1"/>
  <c r="AZ125" i="1"/>
  <c r="BA125" i="1"/>
  <c r="AW125" i="1"/>
  <c r="AY126" i="1" s="1"/>
  <c r="AZ124" i="1"/>
  <c r="BA124" i="1"/>
  <c r="AW124" i="1"/>
  <c r="BA123" i="1"/>
  <c r="AZ123" i="1"/>
  <c r="BB123" i="1" s="1"/>
  <c r="AW123" i="1"/>
  <c r="AO122" i="1"/>
  <c r="AP122" i="1"/>
  <c r="AL122" i="1"/>
  <c r="AN123" i="1" s="1"/>
  <c r="AZ121" i="1"/>
  <c r="BA121" i="1"/>
  <c r="AW121" i="1"/>
  <c r="AY122" i="1" s="1"/>
  <c r="AO120" i="1"/>
  <c r="AP120" i="1"/>
  <c r="AL120" i="1"/>
  <c r="AN121" i="1" s="1"/>
  <c r="AO119" i="1"/>
  <c r="AP119" i="1"/>
  <c r="AL119" i="1"/>
  <c r="BA118" i="1"/>
  <c r="AZ118" i="1"/>
  <c r="BB118" i="1" s="1"/>
  <c r="AW118" i="1"/>
  <c r="AY119" i="1" s="1"/>
  <c r="BA117" i="1"/>
  <c r="AZ117" i="1"/>
  <c r="BB117" i="1" s="1"/>
  <c r="AW117" i="1"/>
  <c r="AP116" i="1"/>
  <c r="AO116" i="1"/>
  <c r="AQ116" i="1" s="1"/>
  <c r="AL116" i="1"/>
  <c r="AN117" i="1" s="1"/>
  <c r="AP115" i="1"/>
  <c r="AO115" i="1"/>
  <c r="AQ115" i="1" s="1"/>
  <c r="AL115" i="1"/>
  <c r="AP114" i="1"/>
  <c r="AL114" i="1"/>
  <c r="AO114" i="1"/>
  <c r="AQ114" i="1" s="1"/>
  <c r="AO113" i="1"/>
  <c r="AL113" i="1"/>
  <c r="AP113" i="1"/>
  <c r="AZ112" i="1"/>
  <c r="AW112" i="1"/>
  <c r="AY113" i="1" s="1"/>
  <c r="BA112" i="1"/>
  <c r="AL111" i="1"/>
  <c r="AN112" i="1" s="1"/>
  <c r="AP111" i="1"/>
  <c r="AO111" i="1"/>
  <c r="AQ111" i="1" s="1"/>
  <c r="BA110" i="1"/>
  <c r="AW110" i="1"/>
  <c r="AY111" i="1" s="1"/>
  <c r="AZ110" i="1"/>
  <c r="BB110" i="1" s="1"/>
  <c r="AW109" i="1"/>
  <c r="BA109" i="1"/>
  <c r="AZ109" i="1"/>
  <c r="BB109" i="1" s="1"/>
  <c r="AL108" i="1"/>
  <c r="AN109" i="1" s="1"/>
  <c r="AP108" i="1"/>
  <c r="AO108" i="1"/>
  <c r="AQ108" i="1" s="1"/>
  <c r="AP107" i="1"/>
  <c r="AL107" i="1"/>
  <c r="AO107" i="1"/>
  <c r="BA106" i="1"/>
  <c r="AZ106" i="1"/>
  <c r="BB106" i="1" s="1"/>
  <c r="AW106" i="1"/>
  <c r="AY107" i="1" s="1"/>
  <c r="AZ104" i="1"/>
  <c r="AW104" i="1"/>
  <c r="BA104" i="1"/>
  <c r="AW105" i="1"/>
  <c r="AZ105" i="1"/>
  <c r="BA105" i="1"/>
  <c r="AZ103" i="1"/>
  <c r="BA103" i="1"/>
  <c r="AW103" i="1"/>
  <c r="AZ102" i="1"/>
  <c r="BA102" i="1"/>
  <c r="AW102" i="1"/>
  <c r="AO101" i="1"/>
  <c r="AP101" i="1"/>
  <c r="AL101" i="1"/>
  <c r="AN102" i="1" s="1"/>
  <c r="AO100" i="1"/>
  <c r="AP100" i="1"/>
  <c r="AL100" i="1"/>
  <c r="AZ99" i="1"/>
  <c r="BA99" i="1"/>
  <c r="AW99" i="1"/>
  <c r="AY100" i="1" s="1"/>
  <c r="AO98" i="1"/>
  <c r="AP98" i="1"/>
  <c r="AL98" i="1"/>
  <c r="AN99" i="1" s="1"/>
  <c r="AZ97" i="1"/>
  <c r="BA97" i="1"/>
  <c r="AW97" i="1"/>
  <c r="AY98" i="1" s="1"/>
  <c r="AZ96" i="1"/>
  <c r="BA96" i="1"/>
  <c r="AW96" i="1"/>
  <c r="AZ95" i="1"/>
  <c r="BA95" i="1"/>
  <c r="AW95" i="1"/>
  <c r="AO94" i="1"/>
  <c r="AP94" i="1"/>
  <c r="AL94" i="1"/>
  <c r="AN95" i="1" s="1"/>
  <c r="AZ93" i="1"/>
  <c r="BA93" i="1"/>
  <c r="AW93" i="1"/>
  <c r="AY94" i="1" s="1"/>
  <c r="AO92" i="1"/>
  <c r="AP92" i="1"/>
  <c r="AL92" i="1"/>
  <c r="AN93" i="1" s="1"/>
  <c r="AZ91" i="1"/>
  <c r="BA91" i="1"/>
  <c r="AW91" i="1"/>
  <c r="AY92" i="1" s="1"/>
  <c r="AO90" i="1"/>
  <c r="AP90" i="1"/>
  <c r="AL90" i="1"/>
  <c r="AN91" i="1" s="1"/>
  <c r="AZ89" i="1"/>
  <c r="BA89" i="1"/>
  <c r="AW89" i="1"/>
  <c r="AY90" i="1" s="1"/>
  <c r="AO88" i="1"/>
  <c r="AP88" i="1"/>
  <c r="AL88" i="1"/>
  <c r="AN89" i="1" s="1"/>
  <c r="AZ87" i="1"/>
  <c r="BA87" i="1"/>
  <c r="AW87" i="1"/>
  <c r="AY88" i="1" s="1"/>
  <c r="AZ86" i="1"/>
  <c r="BA86" i="1"/>
  <c r="AW86" i="1"/>
  <c r="AZ85" i="1"/>
  <c r="BA85" i="1"/>
  <c r="AW85" i="1"/>
  <c r="AO84" i="1"/>
  <c r="AP84" i="1"/>
  <c r="AL84" i="1"/>
  <c r="AN85" i="1" s="1"/>
  <c r="AO83" i="1"/>
  <c r="AP83" i="1"/>
  <c r="AL83" i="1"/>
  <c r="AZ82" i="1"/>
  <c r="BA82" i="1"/>
  <c r="AW82" i="1"/>
  <c r="AY83" i="1" s="1"/>
  <c r="AO82" i="1"/>
  <c r="AP82" i="1"/>
  <c r="AL82" i="1"/>
  <c r="AO81" i="1"/>
  <c r="AP81" i="1"/>
  <c r="AL81" i="1"/>
  <c r="AO80" i="1"/>
  <c r="AP80" i="1"/>
  <c r="AL80" i="1"/>
  <c r="AO79" i="1"/>
  <c r="AP79" i="1"/>
  <c r="AL79" i="1"/>
  <c r="AO78" i="1"/>
  <c r="AP78" i="1"/>
  <c r="AL78" i="1"/>
  <c r="AO77" i="1"/>
  <c r="AP77" i="1"/>
  <c r="AL77" i="1"/>
  <c r="AZ76" i="1"/>
  <c r="BA76" i="1"/>
  <c r="AW76" i="1"/>
  <c r="AY77" i="1" s="1"/>
  <c r="AO75" i="1"/>
  <c r="AP75" i="1"/>
  <c r="AL75" i="1"/>
  <c r="AN76" i="1" s="1"/>
  <c r="AZ74" i="1"/>
  <c r="BA74" i="1"/>
  <c r="AW74" i="1"/>
  <c r="AY75" i="1" s="1"/>
  <c r="AZ73" i="1"/>
  <c r="BA73" i="1"/>
  <c r="AW73" i="1"/>
  <c r="AZ72" i="1"/>
  <c r="BA72" i="1"/>
  <c r="AW72" i="1"/>
  <c r="AZ71" i="1"/>
  <c r="BA71" i="1"/>
  <c r="AW71" i="1"/>
  <c r="AZ70" i="1"/>
  <c r="BA70" i="1"/>
  <c r="AW70" i="1"/>
  <c r="AP68" i="1"/>
  <c r="AL68" i="1"/>
  <c r="AO68" i="1"/>
  <c r="AQ68" i="1" s="1"/>
  <c r="AO69" i="1"/>
  <c r="AP69" i="1"/>
  <c r="AL69" i="1"/>
  <c r="AN70" i="1" s="1"/>
  <c r="AO67" i="1"/>
  <c r="AP67" i="1"/>
  <c r="AL67" i="1"/>
  <c r="AO66" i="1"/>
  <c r="AP66" i="1"/>
  <c r="AL66" i="1"/>
  <c r="AO65" i="1"/>
  <c r="AP65" i="1"/>
  <c r="AL65" i="1"/>
  <c r="AZ64" i="1"/>
  <c r="BA64" i="1"/>
  <c r="AW64" i="1"/>
  <c r="AY65" i="1" s="1"/>
  <c r="AO63" i="1"/>
  <c r="AP63" i="1"/>
  <c r="AL63" i="1"/>
  <c r="AN64" i="1" s="1"/>
  <c r="AZ62" i="1"/>
  <c r="BA62" i="1"/>
  <c r="AW62" i="1"/>
  <c r="AY63" i="1" s="1"/>
  <c r="AZ61" i="1"/>
  <c r="BA61" i="1"/>
  <c r="AW61" i="1"/>
  <c r="AZ60" i="1"/>
  <c r="BA60" i="1"/>
  <c r="AW60" i="1"/>
  <c r="AZ59" i="1"/>
  <c r="BA59" i="1"/>
  <c r="AW59" i="1"/>
  <c r="AZ58" i="1"/>
  <c r="BA58" i="1"/>
  <c r="AW58" i="1"/>
  <c r="AO57" i="1"/>
  <c r="AP57" i="1"/>
  <c r="AL57" i="1"/>
  <c r="AN58" i="1" s="1"/>
  <c r="AO56" i="1"/>
  <c r="AP56" i="1"/>
  <c r="AL56" i="1"/>
  <c r="AO55" i="1"/>
  <c r="AP55" i="1"/>
  <c r="AL55" i="1"/>
  <c r="AZ54" i="1"/>
  <c r="BA54" i="1"/>
  <c r="AW54" i="1"/>
  <c r="AY55" i="1" s="1"/>
  <c r="AZ53" i="1"/>
  <c r="BA53" i="1"/>
  <c r="AW53" i="1"/>
  <c r="AZ52" i="1"/>
  <c r="BA52" i="1"/>
  <c r="AW52" i="1"/>
  <c r="AZ51" i="1"/>
  <c r="BA51" i="1"/>
  <c r="AW51" i="1"/>
  <c r="AZ50" i="1"/>
  <c r="BA50" i="1"/>
  <c r="AW50" i="1"/>
  <c r="AZ49" i="1"/>
  <c r="BA49" i="1"/>
  <c r="AW49" i="1"/>
  <c r="AO48" i="1"/>
  <c r="AP48" i="1"/>
  <c r="AL48" i="1"/>
  <c r="AN49" i="1" s="1"/>
  <c r="AO47" i="1"/>
  <c r="AP47" i="1"/>
  <c r="AL47" i="1"/>
  <c r="AZ46" i="1"/>
  <c r="BA46" i="1"/>
  <c r="AW46" i="1"/>
  <c r="AY47" i="1" s="1"/>
  <c r="AZ45" i="1"/>
  <c r="BA45" i="1"/>
  <c r="AW45" i="1"/>
  <c r="AZ44" i="1"/>
  <c r="BA44" i="1"/>
  <c r="AW44" i="1"/>
  <c r="AO43" i="1"/>
  <c r="AP43" i="1"/>
  <c r="AL43" i="1"/>
  <c r="AN44" i="1" s="1"/>
  <c r="AL42" i="1"/>
  <c r="AO42" i="1"/>
  <c r="AP42" i="1"/>
  <c r="AL41" i="1"/>
  <c r="AP41" i="1"/>
  <c r="AO41" i="1"/>
  <c r="AQ41" i="1" s="1"/>
  <c r="AW40" i="1"/>
  <c r="AY41" i="1" s="1"/>
  <c r="AZ40" i="1"/>
  <c r="BA40" i="1"/>
  <c r="AP40" i="1"/>
  <c r="AL40" i="1"/>
  <c r="AO40" i="1"/>
  <c r="AQ40" i="1" s="1"/>
  <c r="AZ39" i="1"/>
  <c r="BA39" i="1"/>
  <c r="AW39" i="1"/>
  <c r="AZ38" i="1"/>
  <c r="AW38" i="1"/>
  <c r="BA38" i="1"/>
  <c r="AW37" i="1"/>
  <c r="BA37" i="1"/>
  <c r="AZ37" i="1"/>
  <c r="BB37" i="1" s="1"/>
  <c r="BA36" i="1"/>
  <c r="AZ36" i="1"/>
  <c r="AW36" i="1"/>
  <c r="AL35" i="1"/>
  <c r="AN36" i="1" s="1"/>
  <c r="AO35" i="1"/>
  <c r="AP35" i="1"/>
  <c r="AW34" i="1"/>
  <c r="AY35" i="1" s="1"/>
  <c r="AZ34" i="1"/>
  <c r="BA34" i="1"/>
  <c r="BA33" i="1"/>
  <c r="AW33" i="1"/>
  <c r="AZ33" i="1"/>
  <c r="BB33" i="1" s="1"/>
  <c r="BA31" i="1"/>
  <c r="AW31" i="1"/>
  <c r="AZ31" i="1"/>
  <c r="BB31" i="1" s="1"/>
  <c r="BA32" i="1"/>
  <c r="AW32" i="1"/>
  <c r="AZ32" i="1"/>
  <c r="BB32" i="1" s="1"/>
  <c r="AO30" i="1"/>
  <c r="AP30" i="1"/>
  <c r="AL30" i="1"/>
  <c r="AN31" i="1" s="1"/>
  <c r="AZ29" i="1"/>
  <c r="BA29" i="1"/>
  <c r="AW29" i="1"/>
  <c r="AY30" i="1" s="1"/>
  <c r="AO28" i="1"/>
  <c r="AP28" i="1"/>
  <c r="AL28" i="1"/>
  <c r="AN29" i="1" s="1"/>
  <c r="AZ27" i="1"/>
  <c r="BA27" i="1"/>
  <c r="AW27" i="1"/>
  <c r="AY28" i="1" s="1"/>
  <c r="AO26" i="1"/>
  <c r="AP26" i="1"/>
  <c r="AL26" i="1"/>
  <c r="AN27" i="1" s="1"/>
  <c r="AO25" i="1"/>
  <c r="AP25" i="1"/>
  <c r="AL25" i="1"/>
  <c r="AZ24" i="1"/>
  <c r="BA24" i="1"/>
  <c r="AW24" i="1"/>
  <c r="AY25" i="1" s="1"/>
  <c r="AZ23" i="1"/>
  <c r="BA23" i="1"/>
  <c r="AW23" i="1"/>
  <c r="AO23" i="1"/>
  <c r="AP23" i="1"/>
  <c r="AL23" i="1"/>
  <c r="AN24" i="1" s="1"/>
  <c r="AZ22" i="1"/>
  <c r="BA22" i="1"/>
  <c r="AO22" i="1"/>
  <c r="AP22" i="1"/>
  <c r="BB168" i="1" l="1"/>
  <c r="BB165" i="1"/>
  <c r="AQ159" i="1"/>
  <c r="BB129" i="1"/>
  <c r="BB125" i="1"/>
  <c r="BB121" i="1"/>
  <c r="BB36" i="1"/>
  <c r="AQ147" i="1"/>
  <c r="BB139" i="1"/>
  <c r="AQ138" i="1"/>
  <c r="AQ126" i="1"/>
  <c r="AQ107" i="1"/>
  <c r="BB152" i="1"/>
  <c r="AQ160" i="1"/>
  <c r="AQ161" i="1"/>
  <c r="BB148" i="1"/>
  <c r="AQ136" i="1"/>
  <c r="BB134" i="1"/>
  <c r="AQ128" i="1"/>
  <c r="BB124" i="1"/>
  <c r="BB170" i="1"/>
  <c r="BB132" i="1"/>
  <c r="AL176" i="1"/>
  <c r="AP176" i="1"/>
  <c r="AO176" i="1"/>
  <c r="AW175" i="1"/>
  <c r="BA175" i="1"/>
  <c r="AZ175" i="1"/>
  <c r="BB175" i="1" s="1"/>
  <c r="AL174" i="1"/>
  <c r="AP174" i="1"/>
  <c r="AO174" i="1"/>
  <c r="AQ174" i="1" s="1"/>
  <c r="AW173" i="1"/>
  <c r="BA173" i="1"/>
  <c r="AZ173" i="1"/>
  <c r="BB173" i="1" s="1"/>
  <c r="AL172" i="1"/>
  <c r="AP172" i="1"/>
  <c r="AO172" i="1"/>
  <c r="AQ172" i="1" s="1"/>
  <c r="BE172" i="1" s="1"/>
  <c r="AW171" i="1"/>
  <c r="AZ171" i="1"/>
  <c r="BA171" i="1"/>
  <c r="AL170" i="1"/>
  <c r="AP170" i="1"/>
  <c r="AO170" i="1"/>
  <c r="AQ170" i="1" s="1"/>
  <c r="BE170" i="1" s="1"/>
  <c r="AW169" i="1"/>
  <c r="BA169" i="1"/>
  <c r="AZ169" i="1"/>
  <c r="BB169" i="1" s="1"/>
  <c r="BE169" i="1" s="1"/>
  <c r="AL168" i="1"/>
  <c r="AO168" i="1"/>
  <c r="AP168" i="1"/>
  <c r="AW166" i="1"/>
  <c r="AY167" i="1" s="1"/>
  <c r="AZ166" i="1"/>
  <c r="BA166" i="1"/>
  <c r="AL165" i="1"/>
  <c r="AO165" i="1"/>
  <c r="AP165" i="1"/>
  <c r="BA163" i="1"/>
  <c r="AZ163" i="1"/>
  <c r="BB163" i="1" s="1"/>
  <c r="BE163" i="1" s="1"/>
  <c r="AW163" i="1"/>
  <c r="AY164" i="1" s="1"/>
  <c r="AP162" i="1"/>
  <c r="AL162" i="1"/>
  <c r="AO162" i="1"/>
  <c r="BA158" i="1"/>
  <c r="AW158" i="1"/>
  <c r="AY159" i="1" s="1"/>
  <c r="AZ158" i="1"/>
  <c r="BB158" i="1" s="1"/>
  <c r="BE158" i="1" s="1"/>
  <c r="AP157" i="1"/>
  <c r="AL157" i="1"/>
  <c r="AO157" i="1"/>
  <c r="AQ157" i="1" s="1"/>
  <c r="AW156" i="1"/>
  <c r="BA156" i="1"/>
  <c r="AZ156" i="1"/>
  <c r="BB156" i="1" s="1"/>
  <c r="BE156" i="1" s="1"/>
  <c r="AO155" i="1"/>
  <c r="AL155" i="1"/>
  <c r="AP155" i="1"/>
  <c r="AW153" i="1"/>
  <c r="AY154" i="1" s="1"/>
  <c r="AZ153" i="1"/>
  <c r="BA153" i="1"/>
  <c r="AO152" i="1"/>
  <c r="AL152" i="1"/>
  <c r="AP152" i="1"/>
  <c r="AW151" i="1"/>
  <c r="AZ151" i="1"/>
  <c r="BA151" i="1"/>
  <c r="AL150" i="1"/>
  <c r="AP150" i="1"/>
  <c r="AO150" i="1"/>
  <c r="AQ150" i="1" s="1"/>
  <c r="BE150" i="1" s="1"/>
  <c r="AW149" i="1"/>
  <c r="BA149" i="1"/>
  <c r="AZ149" i="1"/>
  <c r="BB149" i="1" s="1"/>
  <c r="AL148" i="1"/>
  <c r="AO148" i="1"/>
  <c r="AP148" i="1"/>
  <c r="AW147" i="1"/>
  <c r="AZ147" i="1"/>
  <c r="BA147" i="1"/>
  <c r="AP146" i="1"/>
  <c r="AO146" i="1"/>
  <c r="AQ146" i="1" s="1"/>
  <c r="BE146" i="1" s="1"/>
  <c r="AL146" i="1"/>
  <c r="AZ145" i="1"/>
  <c r="AW145" i="1"/>
  <c r="BA145" i="1"/>
  <c r="AO144" i="1"/>
  <c r="AP144" i="1"/>
  <c r="AL144" i="1"/>
  <c r="AZ143" i="1"/>
  <c r="AW143" i="1"/>
  <c r="BA143" i="1"/>
  <c r="AL139" i="1"/>
  <c r="AN140" i="1" s="1"/>
  <c r="AP139" i="1"/>
  <c r="AO139" i="1"/>
  <c r="AQ139" i="1" s="1"/>
  <c r="BE139" i="1" s="1"/>
  <c r="AW138" i="1"/>
  <c r="BA138" i="1"/>
  <c r="AZ138" i="1"/>
  <c r="BB138" i="1" s="1"/>
  <c r="BE138" i="1" s="1"/>
  <c r="AL137" i="1"/>
  <c r="AP137" i="1"/>
  <c r="AO137" i="1"/>
  <c r="AQ137" i="1" s="1"/>
  <c r="AW135" i="1"/>
  <c r="AY136" i="1" s="1"/>
  <c r="BA135" i="1"/>
  <c r="AZ135" i="1"/>
  <c r="BB135" i="1" s="1"/>
  <c r="AL129" i="1"/>
  <c r="AN130" i="1" s="1"/>
  <c r="AP129" i="1"/>
  <c r="AO129" i="1"/>
  <c r="AQ129" i="1" s="1"/>
  <c r="BE129" i="1" s="1"/>
  <c r="AW128" i="1"/>
  <c r="BA128" i="1"/>
  <c r="AZ128" i="1"/>
  <c r="BB128" i="1" s="1"/>
  <c r="BE128" i="1" s="1"/>
  <c r="AP127" i="1"/>
  <c r="AL127" i="1"/>
  <c r="AO127" i="1"/>
  <c r="AQ127" i="1" s="1"/>
  <c r="BE127" i="1" s="1"/>
  <c r="AW126" i="1"/>
  <c r="AZ126" i="1"/>
  <c r="BA126" i="1"/>
  <c r="AL123" i="1"/>
  <c r="AN124" i="1" s="1"/>
  <c r="AP123" i="1"/>
  <c r="AO123" i="1"/>
  <c r="AW122" i="1"/>
  <c r="BA122" i="1"/>
  <c r="AZ122" i="1"/>
  <c r="BB122" i="1" s="1"/>
  <c r="AL121" i="1"/>
  <c r="AO121" i="1"/>
  <c r="AP121" i="1"/>
  <c r="AW119" i="1"/>
  <c r="AY120" i="1" s="1"/>
  <c r="BA119" i="1"/>
  <c r="AZ119" i="1"/>
  <c r="BB119" i="1" s="1"/>
  <c r="AL117" i="1"/>
  <c r="AN118" i="1" s="1"/>
  <c r="AO117" i="1"/>
  <c r="AP117" i="1"/>
  <c r="AZ113" i="1"/>
  <c r="AW113" i="1"/>
  <c r="AY114" i="1" s="1"/>
  <c r="BA113" i="1"/>
  <c r="AP112" i="1"/>
  <c r="AL112" i="1"/>
  <c r="AO112" i="1"/>
  <c r="AQ112" i="1" s="1"/>
  <c r="BA111" i="1"/>
  <c r="AZ111" i="1"/>
  <c r="BB111" i="1" s="1"/>
  <c r="BE111" i="1" s="1"/>
  <c r="AW111" i="1"/>
  <c r="AP109" i="1"/>
  <c r="AL109" i="1"/>
  <c r="AN110" i="1" s="1"/>
  <c r="AO109" i="1"/>
  <c r="AQ109" i="1" s="1"/>
  <c r="BE109" i="1" s="1"/>
  <c r="AZ107" i="1"/>
  <c r="BA107" i="1"/>
  <c r="AW107" i="1"/>
  <c r="AY108" i="1" s="1"/>
  <c r="AL102" i="1"/>
  <c r="AN103" i="1" s="1"/>
  <c r="AP102" i="1"/>
  <c r="AO102" i="1"/>
  <c r="AQ102" i="1" s="1"/>
  <c r="AW100" i="1"/>
  <c r="AY101" i="1" s="1"/>
  <c r="BA100" i="1"/>
  <c r="AZ100" i="1"/>
  <c r="AL99" i="1"/>
  <c r="AP99" i="1"/>
  <c r="AO99" i="1"/>
  <c r="AQ99" i="1" s="1"/>
  <c r="AW98" i="1"/>
  <c r="BA98" i="1"/>
  <c r="AZ98" i="1"/>
  <c r="BB98" i="1" s="1"/>
  <c r="AL95" i="1"/>
  <c r="AN96" i="1" s="1"/>
  <c r="AP95" i="1"/>
  <c r="AO95" i="1"/>
  <c r="AW94" i="1"/>
  <c r="BA94" i="1"/>
  <c r="AZ94" i="1"/>
  <c r="AL93" i="1"/>
  <c r="AP93" i="1"/>
  <c r="AO93" i="1"/>
  <c r="AQ93" i="1" s="1"/>
  <c r="AW92" i="1"/>
  <c r="BA92" i="1"/>
  <c r="AZ92" i="1"/>
  <c r="BB92" i="1" s="1"/>
  <c r="AL91" i="1"/>
  <c r="AP91" i="1"/>
  <c r="AO91" i="1"/>
  <c r="AQ91" i="1" s="1"/>
  <c r="AW90" i="1"/>
  <c r="BA90" i="1"/>
  <c r="AZ90" i="1"/>
  <c r="BB90" i="1" s="1"/>
  <c r="AL89" i="1"/>
  <c r="AP89" i="1"/>
  <c r="AO89" i="1"/>
  <c r="AW88" i="1"/>
  <c r="BA88" i="1"/>
  <c r="AZ88" i="1"/>
  <c r="BB88" i="1" s="1"/>
  <c r="AL85" i="1"/>
  <c r="AN86" i="1" s="1"/>
  <c r="AP85" i="1"/>
  <c r="AO85" i="1"/>
  <c r="AQ85" i="1" s="1"/>
  <c r="AW83" i="1"/>
  <c r="AY84" i="1" s="1"/>
  <c r="BA83" i="1"/>
  <c r="AZ83" i="1"/>
  <c r="BB83" i="1" s="1"/>
  <c r="AW77" i="1"/>
  <c r="AY78" i="1" s="1"/>
  <c r="BA77" i="1"/>
  <c r="AZ77" i="1"/>
  <c r="BB77" i="1" s="1"/>
  <c r="AL76" i="1"/>
  <c r="AP76" i="1"/>
  <c r="AO76" i="1"/>
  <c r="AW75" i="1"/>
  <c r="BA75" i="1"/>
  <c r="AZ75" i="1"/>
  <c r="BB75" i="1" s="1"/>
  <c r="AL70" i="1"/>
  <c r="AN71" i="1" s="1"/>
  <c r="AP70" i="1"/>
  <c r="AO70" i="1"/>
  <c r="AW65" i="1"/>
  <c r="AY66" i="1" s="1"/>
  <c r="BA65" i="1"/>
  <c r="AZ65" i="1"/>
  <c r="BB65" i="1" s="1"/>
  <c r="AL64" i="1"/>
  <c r="AP64" i="1"/>
  <c r="AO64" i="1"/>
  <c r="AQ64" i="1" s="1"/>
  <c r="AW63" i="1"/>
  <c r="BA63" i="1"/>
  <c r="AZ63" i="1"/>
  <c r="BB63" i="1" s="1"/>
  <c r="AL58" i="1"/>
  <c r="AN59" i="1" s="1"/>
  <c r="AP58" i="1"/>
  <c r="AO58" i="1"/>
  <c r="AW55" i="1"/>
  <c r="AY56" i="1" s="1"/>
  <c r="BA55" i="1"/>
  <c r="AZ55" i="1"/>
  <c r="BB55" i="1" s="1"/>
  <c r="AL49" i="1"/>
  <c r="AN50" i="1" s="1"/>
  <c r="AP49" i="1"/>
  <c r="AO49" i="1"/>
  <c r="AQ49" i="1" s="1"/>
  <c r="AW47" i="1"/>
  <c r="AY48" i="1" s="1"/>
  <c r="BA47" i="1"/>
  <c r="AZ47" i="1"/>
  <c r="BB47" i="1" s="1"/>
  <c r="AL44" i="1"/>
  <c r="AN45" i="1" s="1"/>
  <c r="AP44" i="1"/>
  <c r="AO44" i="1"/>
  <c r="AQ44" i="1" s="1"/>
  <c r="BA41" i="1"/>
  <c r="AZ41" i="1"/>
  <c r="BB41" i="1" s="1"/>
  <c r="BE41" i="1" s="1"/>
  <c r="AW41" i="1"/>
  <c r="AY42" i="1" s="1"/>
  <c r="AL36" i="1"/>
  <c r="AN37" i="1" s="1"/>
  <c r="AO36" i="1"/>
  <c r="AP36" i="1"/>
  <c r="AZ35" i="1"/>
  <c r="AW35" i="1"/>
  <c r="BA35" i="1"/>
  <c r="AP31" i="1"/>
  <c r="AL31" i="1"/>
  <c r="AN32" i="1" s="1"/>
  <c r="AO31" i="1"/>
  <c r="AQ31" i="1" s="1"/>
  <c r="BE31" i="1" s="1"/>
  <c r="AW30" i="1"/>
  <c r="BA30" i="1"/>
  <c r="AZ30" i="1"/>
  <c r="BB30" i="1" s="1"/>
  <c r="AL29" i="1"/>
  <c r="AP29" i="1"/>
  <c r="AO29" i="1"/>
  <c r="AQ29" i="1" s="1"/>
  <c r="AW28" i="1"/>
  <c r="BA28" i="1"/>
  <c r="AZ28" i="1"/>
  <c r="BB28" i="1" s="1"/>
  <c r="AL27" i="1"/>
  <c r="AP27" i="1"/>
  <c r="AO27" i="1"/>
  <c r="AQ27" i="1" s="1"/>
  <c r="AW25" i="1"/>
  <c r="AY26" i="1" s="1"/>
  <c r="BA25" i="1"/>
  <c r="AZ25" i="1"/>
  <c r="AL24" i="1"/>
  <c r="AP24" i="1"/>
  <c r="AO24" i="1"/>
  <c r="AQ24" i="1" s="1"/>
  <c r="AQ145" i="1"/>
  <c r="BB140" i="1"/>
  <c r="AQ135" i="1"/>
  <c r="BE135" i="1" s="1"/>
  <c r="BB130" i="1"/>
  <c r="AQ122" i="1"/>
  <c r="BE122" i="1" s="1"/>
  <c r="AQ119" i="1"/>
  <c r="BE119" i="1" s="1"/>
  <c r="BB112" i="1"/>
  <c r="BB104" i="1"/>
  <c r="BB105" i="1"/>
  <c r="BB103" i="1"/>
  <c r="BB102" i="1"/>
  <c r="AQ101" i="1"/>
  <c r="AQ100" i="1"/>
  <c r="BB99" i="1"/>
  <c r="AQ98" i="1"/>
  <c r="BE98" i="1" s="1"/>
  <c r="BB97" i="1"/>
  <c r="BB96" i="1"/>
  <c r="BB95" i="1"/>
  <c r="AQ94" i="1"/>
  <c r="BB93" i="1"/>
  <c r="AQ92" i="1"/>
  <c r="BB91" i="1"/>
  <c r="AQ90" i="1"/>
  <c r="BB89" i="1"/>
  <c r="AQ88" i="1"/>
  <c r="BB87" i="1"/>
  <c r="BB86" i="1"/>
  <c r="BB85" i="1"/>
  <c r="AQ84" i="1"/>
  <c r="AQ83" i="1"/>
  <c r="BB82" i="1"/>
  <c r="AQ82" i="1"/>
  <c r="BE82" i="1" s="1"/>
  <c r="AQ81" i="1"/>
  <c r="AQ80" i="1"/>
  <c r="AQ79" i="1"/>
  <c r="AQ78" i="1"/>
  <c r="AQ77" i="1"/>
  <c r="BB76" i="1"/>
  <c r="AQ75" i="1"/>
  <c r="BB74" i="1"/>
  <c r="BB73" i="1"/>
  <c r="BB72" i="1"/>
  <c r="BB71" i="1"/>
  <c r="BB70" i="1"/>
  <c r="AQ69" i="1"/>
  <c r="AQ67" i="1"/>
  <c r="AQ66" i="1"/>
  <c r="AQ65" i="1"/>
  <c r="BB64" i="1"/>
  <c r="AQ63" i="1"/>
  <c r="BB62" i="1"/>
  <c r="BB61" i="1"/>
  <c r="BB60" i="1"/>
  <c r="BB59" i="1"/>
  <c r="BB58" i="1"/>
  <c r="AQ57" i="1"/>
  <c r="AQ56" i="1"/>
  <c r="AQ55" i="1"/>
  <c r="BB54" i="1"/>
  <c r="BB53" i="1"/>
  <c r="BB52" i="1"/>
  <c r="BB51" i="1"/>
  <c r="BB50" i="1"/>
  <c r="BB49" i="1"/>
  <c r="AQ48" i="1"/>
  <c r="AQ47" i="1"/>
  <c r="BB46" i="1"/>
  <c r="BB45" i="1"/>
  <c r="BB44" i="1"/>
  <c r="AQ43" i="1"/>
  <c r="AQ42" i="1"/>
  <c r="BB40" i="1"/>
  <c r="BE40" i="1" s="1"/>
  <c r="BB39" i="1"/>
  <c r="BB38" i="1"/>
  <c r="AQ35" i="1"/>
  <c r="BB34" i="1"/>
  <c r="AQ30" i="1"/>
  <c r="BB29" i="1"/>
  <c r="AQ28" i="1"/>
  <c r="BB27" i="1"/>
  <c r="AQ26" i="1"/>
  <c r="AQ25" i="1"/>
  <c r="BB24" i="1"/>
  <c r="BB23" i="1"/>
  <c r="AQ23" i="1"/>
  <c r="BE23" i="1" s="1"/>
  <c r="BB22" i="1"/>
  <c r="AQ22" i="1"/>
  <c r="BB174" i="1"/>
  <c r="AQ173" i="1"/>
  <c r="AQ154" i="1"/>
  <c r="AQ153" i="1"/>
  <c r="BB142" i="1"/>
  <c r="BB137" i="1"/>
  <c r="BB133" i="1"/>
  <c r="BB131" i="1"/>
  <c r="BB176" i="1"/>
  <c r="AQ175" i="1"/>
  <c r="AQ167" i="1"/>
  <c r="BB157" i="1"/>
  <c r="BB155" i="1"/>
  <c r="AQ149" i="1"/>
  <c r="AQ113" i="1"/>
  <c r="AQ120" i="1"/>
  <c r="BE173" i="1" l="1"/>
  <c r="BE175" i="1"/>
  <c r="BE149" i="1"/>
  <c r="BB100" i="1"/>
  <c r="BE100" i="1" s="1"/>
  <c r="AQ176" i="1"/>
  <c r="AQ58" i="1"/>
  <c r="AQ123" i="1"/>
  <c r="BE123" i="1" s="1"/>
  <c r="AQ144" i="1"/>
  <c r="BE144" i="1" s="1"/>
  <c r="BE92" i="1"/>
  <c r="BE90" i="1"/>
  <c r="BE88" i="1"/>
  <c r="BE83" i="1"/>
  <c r="BE77" i="1"/>
  <c r="BE75" i="1"/>
  <c r="BE65" i="1"/>
  <c r="BE63" i="1"/>
  <c r="BE55" i="1"/>
  <c r="BE47" i="1"/>
  <c r="BE30" i="1"/>
  <c r="BE28" i="1"/>
  <c r="BB94" i="1"/>
  <c r="BE94" i="1" s="1"/>
  <c r="AQ76" i="1"/>
  <c r="BE76" i="1" s="1"/>
  <c r="AQ70" i="1"/>
  <c r="BE70" i="1" s="1"/>
  <c r="BB25" i="1"/>
  <c r="BE25" i="1" s="1"/>
  <c r="AQ95" i="1"/>
  <c r="BE95" i="1" s="1"/>
  <c r="AW167" i="1"/>
  <c r="AZ167" i="1"/>
  <c r="BA167" i="1"/>
  <c r="AW164" i="1"/>
  <c r="AZ164" i="1"/>
  <c r="BA164" i="1"/>
  <c r="AZ159" i="1"/>
  <c r="BA159" i="1"/>
  <c r="AW159" i="1"/>
  <c r="AY160" i="1" s="1"/>
  <c r="AW154" i="1"/>
  <c r="AZ154" i="1"/>
  <c r="BA154" i="1"/>
  <c r="AL140" i="1"/>
  <c r="AN141" i="1" s="1"/>
  <c r="AP140" i="1"/>
  <c r="AO140" i="1"/>
  <c r="AQ140" i="1" s="1"/>
  <c r="BE140" i="1" s="1"/>
  <c r="AW136" i="1"/>
  <c r="BA136" i="1"/>
  <c r="AZ136" i="1"/>
  <c r="AL130" i="1"/>
  <c r="AN131" i="1" s="1"/>
  <c r="AP130" i="1"/>
  <c r="AO130" i="1"/>
  <c r="AQ130" i="1" s="1"/>
  <c r="BE130" i="1" s="1"/>
  <c r="AL124" i="1"/>
  <c r="AN125" i="1" s="1"/>
  <c r="AO124" i="1"/>
  <c r="AP124" i="1"/>
  <c r="AW120" i="1"/>
  <c r="AZ120" i="1"/>
  <c r="BA120" i="1"/>
  <c r="AL118" i="1"/>
  <c r="AO118" i="1"/>
  <c r="AP118" i="1"/>
  <c r="BA114" i="1"/>
  <c r="AZ114" i="1"/>
  <c r="BB114" i="1" s="1"/>
  <c r="BE114" i="1" s="1"/>
  <c r="AW114" i="1"/>
  <c r="AY115" i="1" s="1"/>
  <c r="AO110" i="1"/>
  <c r="AP110" i="1"/>
  <c r="AL110" i="1"/>
  <c r="BA108" i="1"/>
  <c r="AZ108" i="1"/>
  <c r="BB108" i="1" s="1"/>
  <c r="BE108" i="1" s="1"/>
  <c r="AW108" i="1"/>
  <c r="AL103" i="1"/>
  <c r="AN104" i="1" s="1"/>
  <c r="AP103" i="1"/>
  <c r="AO103" i="1"/>
  <c r="AQ103" i="1" s="1"/>
  <c r="BE103" i="1" s="1"/>
  <c r="AW101" i="1"/>
  <c r="BA101" i="1"/>
  <c r="AZ101" i="1"/>
  <c r="BB101" i="1" s="1"/>
  <c r="BE101" i="1" s="1"/>
  <c r="AL96" i="1"/>
  <c r="AN97" i="1" s="1"/>
  <c r="AP96" i="1"/>
  <c r="AO96" i="1"/>
  <c r="AQ96" i="1" s="1"/>
  <c r="BE96" i="1" s="1"/>
  <c r="AL86" i="1"/>
  <c r="AN87" i="1" s="1"/>
  <c r="AP86" i="1"/>
  <c r="AO86" i="1"/>
  <c r="AQ86" i="1" s="1"/>
  <c r="BE86" i="1" s="1"/>
  <c r="AW84" i="1"/>
  <c r="BA84" i="1"/>
  <c r="AZ84" i="1"/>
  <c r="BB84" i="1" s="1"/>
  <c r="BE84" i="1" s="1"/>
  <c r="AW78" i="1"/>
  <c r="AY79" i="1" s="1"/>
  <c r="BA78" i="1"/>
  <c r="AZ78" i="1"/>
  <c r="BB78" i="1" s="1"/>
  <c r="BE78" i="1" s="1"/>
  <c r="AL71" i="1"/>
  <c r="AN72" i="1" s="1"/>
  <c r="AP71" i="1"/>
  <c r="AO71" i="1"/>
  <c r="AW66" i="1"/>
  <c r="AY67" i="1" s="1"/>
  <c r="BA66" i="1"/>
  <c r="AZ66" i="1"/>
  <c r="BB66" i="1" s="1"/>
  <c r="BE66" i="1" s="1"/>
  <c r="AL59" i="1"/>
  <c r="AN60" i="1" s="1"/>
  <c r="AP59" i="1"/>
  <c r="AO59" i="1"/>
  <c r="AW56" i="1"/>
  <c r="AY57" i="1" s="1"/>
  <c r="BA56" i="1"/>
  <c r="AZ56" i="1"/>
  <c r="BB56" i="1" s="1"/>
  <c r="BE56" i="1" s="1"/>
  <c r="AL50" i="1"/>
  <c r="AN51" i="1" s="1"/>
  <c r="AP50" i="1"/>
  <c r="AO50" i="1"/>
  <c r="AQ50" i="1" s="1"/>
  <c r="BE50" i="1" s="1"/>
  <c r="AW48" i="1"/>
  <c r="BA48" i="1"/>
  <c r="AZ48" i="1"/>
  <c r="BB48" i="1" s="1"/>
  <c r="BE48" i="1" s="1"/>
  <c r="AL45" i="1"/>
  <c r="AN46" i="1" s="1"/>
  <c r="AP45" i="1"/>
  <c r="AO45" i="1"/>
  <c r="AW42" i="1"/>
  <c r="AY43" i="1" s="1"/>
  <c r="AZ42" i="1"/>
  <c r="BA42" i="1"/>
  <c r="AP37" i="1"/>
  <c r="AL37" i="1"/>
  <c r="AN38" i="1" s="1"/>
  <c r="AO37" i="1"/>
  <c r="AQ37" i="1" s="1"/>
  <c r="BE37" i="1" s="1"/>
  <c r="AO32" i="1"/>
  <c r="AL32" i="1"/>
  <c r="AN33" i="1" s="1"/>
  <c r="AP32" i="1"/>
  <c r="AW26" i="1"/>
  <c r="BA26" i="1"/>
  <c r="AZ26" i="1"/>
  <c r="BB26" i="1" s="1"/>
  <c r="BE26" i="1" s="1"/>
  <c r="BC22" i="1"/>
  <c r="BC23" i="1" s="1"/>
  <c r="BC24" i="1" s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BE49" i="1"/>
  <c r="BE24" i="1"/>
  <c r="BB166" i="1"/>
  <c r="BE166" i="1" s="1"/>
  <c r="AQ162" i="1"/>
  <c r="BE162" i="1" s="1"/>
  <c r="BE157" i="1"/>
  <c r="AQ148" i="1"/>
  <c r="BE148" i="1" s="1"/>
  <c r="BB145" i="1"/>
  <c r="BE145" i="1" s="1"/>
  <c r="BB126" i="1"/>
  <c r="BE126" i="1" s="1"/>
  <c r="AQ117" i="1"/>
  <c r="BE117" i="1" s="1"/>
  <c r="BB107" i="1"/>
  <c r="BE107" i="1" s="1"/>
  <c r="BE91" i="1"/>
  <c r="AQ89" i="1"/>
  <c r="BE89" i="1" s="1"/>
  <c r="BE58" i="1"/>
  <c r="AQ36" i="1"/>
  <c r="BE36" i="1" s="1"/>
  <c r="BB35" i="1"/>
  <c r="BE35" i="1" s="1"/>
  <c r="BE176" i="1"/>
  <c r="BE174" i="1"/>
  <c r="BB171" i="1"/>
  <c r="BE171" i="1" s="1"/>
  <c r="AQ168" i="1"/>
  <c r="BE168" i="1" s="1"/>
  <c r="AQ165" i="1"/>
  <c r="BE165" i="1" s="1"/>
  <c r="AQ155" i="1"/>
  <c r="BE155" i="1" s="1"/>
  <c r="BB153" i="1"/>
  <c r="BE153" i="1" s="1"/>
  <c r="AQ152" i="1"/>
  <c r="BE152" i="1" s="1"/>
  <c r="BB151" i="1"/>
  <c r="BE151" i="1" s="1"/>
  <c r="BB147" i="1"/>
  <c r="BE147" i="1" s="1"/>
  <c r="BB143" i="1"/>
  <c r="BE143" i="1" s="1"/>
  <c r="BE137" i="1"/>
  <c r="AQ121" i="1"/>
  <c r="BE121" i="1" s="1"/>
  <c r="BB113" i="1"/>
  <c r="BE113" i="1" s="1"/>
  <c r="BE112" i="1"/>
  <c r="BE102" i="1"/>
  <c r="BE99" i="1"/>
  <c r="BE93" i="1"/>
  <c r="BE85" i="1"/>
  <c r="BE64" i="1"/>
  <c r="BE44" i="1"/>
  <c r="BE29" i="1"/>
  <c r="BE27" i="1"/>
  <c r="AQ71" i="1" l="1"/>
  <c r="BE71" i="1" s="1"/>
  <c r="AQ45" i="1"/>
  <c r="BE45" i="1" s="1"/>
  <c r="AQ59" i="1"/>
  <c r="BE59" i="1" s="1"/>
  <c r="BB136" i="1"/>
  <c r="BE136" i="1" s="1"/>
  <c r="BB42" i="1"/>
  <c r="BE42" i="1" s="1"/>
  <c r="BC25" i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A160" i="1"/>
  <c r="AZ160" i="1"/>
  <c r="BB160" i="1" s="1"/>
  <c r="BE160" i="1" s="1"/>
  <c r="AW160" i="1"/>
  <c r="AY161" i="1" s="1"/>
  <c r="AO141" i="1"/>
  <c r="AP141" i="1"/>
  <c r="AL141" i="1"/>
  <c r="AN142" i="1" s="1"/>
  <c r="AL131" i="1"/>
  <c r="AN132" i="1" s="1"/>
  <c r="AP131" i="1"/>
  <c r="AO131" i="1"/>
  <c r="AQ131" i="1" s="1"/>
  <c r="BE131" i="1" s="1"/>
  <c r="AL125" i="1"/>
  <c r="AP125" i="1"/>
  <c r="AO125" i="1"/>
  <c r="AQ125" i="1" s="1"/>
  <c r="BE125" i="1" s="1"/>
  <c r="AW115" i="1"/>
  <c r="AY116" i="1" s="1"/>
  <c r="AZ115" i="1"/>
  <c r="BA115" i="1"/>
  <c r="AL104" i="1"/>
  <c r="AN105" i="1" s="1"/>
  <c r="AO104" i="1"/>
  <c r="AP104" i="1"/>
  <c r="AL97" i="1"/>
  <c r="AP97" i="1"/>
  <c r="AO97" i="1"/>
  <c r="AQ97" i="1" s="1"/>
  <c r="BE97" i="1" s="1"/>
  <c r="AL87" i="1"/>
  <c r="AP87" i="1"/>
  <c r="AO87" i="1"/>
  <c r="AQ87" i="1" s="1"/>
  <c r="BE87" i="1" s="1"/>
  <c r="AW79" i="1"/>
  <c r="AY80" i="1" s="1"/>
  <c r="BA79" i="1"/>
  <c r="AZ79" i="1"/>
  <c r="BB79" i="1" s="1"/>
  <c r="BE79" i="1" s="1"/>
  <c r="AL72" i="1"/>
  <c r="AN73" i="1" s="1"/>
  <c r="AP72" i="1"/>
  <c r="AO72" i="1"/>
  <c r="AQ72" i="1" s="1"/>
  <c r="BE72" i="1" s="1"/>
  <c r="BA67" i="1"/>
  <c r="AW67" i="1"/>
  <c r="AY68" i="1" s="1"/>
  <c r="AZ67" i="1"/>
  <c r="BB67" i="1" s="1"/>
  <c r="BE67" i="1" s="1"/>
  <c r="AL60" i="1"/>
  <c r="AN61" i="1" s="1"/>
  <c r="AP60" i="1"/>
  <c r="AO60" i="1"/>
  <c r="AQ60" i="1" s="1"/>
  <c r="BE60" i="1" s="1"/>
  <c r="AW57" i="1"/>
  <c r="BA57" i="1"/>
  <c r="AZ57" i="1"/>
  <c r="BB57" i="1" s="1"/>
  <c r="BE57" i="1" s="1"/>
  <c r="AL51" i="1"/>
  <c r="AN52" i="1" s="1"/>
  <c r="AP51" i="1"/>
  <c r="AO51" i="1"/>
  <c r="AL46" i="1"/>
  <c r="AP46" i="1"/>
  <c r="AO46" i="1"/>
  <c r="AQ46" i="1" s="1"/>
  <c r="BE46" i="1" s="1"/>
  <c r="AW43" i="1"/>
  <c r="BA43" i="1"/>
  <c r="AZ43" i="1"/>
  <c r="BB43" i="1" s="1"/>
  <c r="AO38" i="1"/>
  <c r="AL38" i="1"/>
  <c r="AN39" i="1" s="1"/>
  <c r="AP38" i="1"/>
  <c r="AO33" i="1"/>
  <c r="AL33" i="1"/>
  <c r="AN34" i="1" s="1"/>
  <c r="AP33" i="1"/>
  <c r="BF22" i="1"/>
  <c r="BF23" i="1" s="1"/>
  <c r="BF24" i="1" s="1"/>
  <c r="BF25" i="1" s="1"/>
  <c r="BF26" i="1" s="1"/>
  <c r="BF27" i="1" s="1"/>
  <c r="BF28" i="1" s="1"/>
  <c r="BF29" i="1" s="1"/>
  <c r="BF30" i="1" s="1"/>
  <c r="BF31" i="1" s="1"/>
  <c r="AQ32" i="1"/>
  <c r="BB167" i="1"/>
  <c r="BE167" i="1" s="1"/>
  <c r="BB164" i="1"/>
  <c r="BE164" i="1" s="1"/>
  <c r="BB159" i="1"/>
  <c r="BE159" i="1" s="1"/>
  <c r="BB154" i="1"/>
  <c r="BE154" i="1" s="1"/>
  <c r="AQ124" i="1"/>
  <c r="BE124" i="1" s="1"/>
  <c r="BB120" i="1"/>
  <c r="BE120" i="1" s="1"/>
  <c r="AQ118" i="1"/>
  <c r="BE118" i="1" s="1"/>
  <c r="AQ110" i="1"/>
  <c r="BE110" i="1" s="1"/>
  <c r="AQ51" i="1" l="1"/>
  <c r="BE51" i="1" s="1"/>
  <c r="AZ161" i="1"/>
  <c r="AW161" i="1"/>
  <c r="BA161" i="1"/>
  <c r="AP142" i="1"/>
  <c r="AL142" i="1"/>
  <c r="AO142" i="1"/>
  <c r="AQ142" i="1" s="1"/>
  <c r="BE142" i="1" s="1"/>
  <c r="AL132" i="1"/>
  <c r="AN133" i="1" s="1"/>
  <c r="AP132" i="1"/>
  <c r="AO132" i="1"/>
  <c r="AQ132" i="1" s="1"/>
  <c r="BE132" i="1" s="1"/>
  <c r="AW116" i="1"/>
  <c r="AZ116" i="1"/>
  <c r="BA116" i="1"/>
  <c r="AP105" i="1"/>
  <c r="AL105" i="1"/>
  <c r="AN106" i="1" s="1"/>
  <c r="AO105" i="1"/>
  <c r="AW80" i="1"/>
  <c r="AY81" i="1" s="1"/>
  <c r="BA80" i="1"/>
  <c r="AZ80" i="1"/>
  <c r="BB80" i="1" s="1"/>
  <c r="BE80" i="1" s="1"/>
  <c r="AL73" i="1"/>
  <c r="AN74" i="1" s="1"/>
  <c r="AP73" i="1"/>
  <c r="AO73" i="1"/>
  <c r="AQ73" i="1" s="1"/>
  <c r="BE73" i="1" s="1"/>
  <c r="AZ68" i="1"/>
  <c r="AW68" i="1"/>
  <c r="AY69" i="1" s="1"/>
  <c r="BA68" i="1"/>
  <c r="AL61" i="1"/>
  <c r="AN62" i="1" s="1"/>
  <c r="AP61" i="1"/>
  <c r="AO61" i="1"/>
  <c r="AQ61" i="1" s="1"/>
  <c r="BE61" i="1" s="1"/>
  <c r="AL52" i="1"/>
  <c r="AN53" i="1" s="1"/>
  <c r="AP52" i="1"/>
  <c r="AO52" i="1"/>
  <c r="AQ52" i="1" s="1"/>
  <c r="BE52" i="1" s="1"/>
  <c r="BC43" i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E43" i="1"/>
  <c r="AO39" i="1"/>
  <c r="AL39" i="1"/>
  <c r="AP39" i="1"/>
  <c r="AO34" i="1"/>
  <c r="AL34" i="1"/>
  <c r="AP34" i="1"/>
  <c r="AR32" i="1"/>
  <c r="BE32" i="1"/>
  <c r="AQ141" i="1"/>
  <c r="BE141" i="1" s="1"/>
  <c r="BB115" i="1"/>
  <c r="BE115" i="1" s="1"/>
  <c r="AQ104" i="1"/>
  <c r="BE104" i="1" s="1"/>
  <c r="AQ38" i="1"/>
  <c r="BE38" i="1" s="1"/>
  <c r="AQ33" i="1"/>
  <c r="AR33" i="1" l="1"/>
  <c r="AQ105" i="1"/>
  <c r="BE105" i="1" s="1"/>
  <c r="AL133" i="1"/>
  <c r="AN134" i="1" s="1"/>
  <c r="AP133" i="1"/>
  <c r="AO133" i="1"/>
  <c r="AO106" i="1"/>
  <c r="AP106" i="1"/>
  <c r="AL106" i="1"/>
  <c r="AW81" i="1"/>
  <c r="BA81" i="1"/>
  <c r="AZ81" i="1"/>
  <c r="AL74" i="1"/>
  <c r="AP74" i="1"/>
  <c r="AO74" i="1"/>
  <c r="AQ74" i="1" s="1"/>
  <c r="BE74" i="1" s="1"/>
  <c r="AW69" i="1"/>
  <c r="BA69" i="1"/>
  <c r="AZ69" i="1"/>
  <c r="BB69" i="1" s="1"/>
  <c r="BE69" i="1" s="1"/>
  <c r="AL62" i="1"/>
  <c r="AP62" i="1"/>
  <c r="AO62" i="1"/>
  <c r="AQ62" i="1" s="1"/>
  <c r="BE62" i="1" s="1"/>
  <c r="AL53" i="1"/>
  <c r="AN54" i="1" s="1"/>
  <c r="AP53" i="1"/>
  <c r="AO53" i="1"/>
  <c r="AQ53" i="1" s="1"/>
  <c r="BF32" i="1"/>
  <c r="BB161" i="1"/>
  <c r="BE161" i="1" s="1"/>
  <c r="BB116" i="1"/>
  <c r="BE116" i="1" s="1"/>
  <c r="BB68" i="1"/>
  <c r="AQ39" i="1"/>
  <c r="BE39" i="1" s="1"/>
  <c r="AQ34" i="1"/>
  <c r="BE33" i="1"/>
  <c r="BB81" i="1" l="1"/>
  <c r="BE81" i="1" s="1"/>
  <c r="AQ133" i="1"/>
  <c r="BE133" i="1" s="1"/>
  <c r="BF33" i="1"/>
  <c r="AL134" i="1"/>
  <c r="AP134" i="1"/>
  <c r="AO134" i="1"/>
  <c r="AQ134" i="1" s="1"/>
  <c r="BE134" i="1" s="1"/>
  <c r="AL54" i="1"/>
  <c r="AP54" i="1"/>
  <c r="AO54" i="1"/>
  <c r="AQ54" i="1" s="1"/>
  <c r="BE54" i="1" s="1"/>
  <c r="BB15" i="1"/>
  <c r="BB14" i="1"/>
  <c r="BB19" i="1"/>
  <c r="BC68" i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68" i="1"/>
  <c r="AR34" i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BE34" i="1"/>
  <c r="AQ106" i="1"/>
  <c r="BE106" i="1" s="1"/>
  <c r="BE53" i="1"/>
  <c r="AQ14" i="1"/>
  <c r="AQ15" i="1"/>
  <c r="AQ19" i="1"/>
  <c r="AR54" i="1" l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F34" i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5" i="1"/>
  <c r="BE18" i="1"/>
  <c r="AQ16" i="1"/>
  <c r="AI1" i="1" s="1"/>
  <c r="BB16" i="1"/>
  <c r="AT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<sst xmlns="http://schemas.openxmlformats.org/spreadsheetml/2006/main" count="74" uniqueCount="53">
  <si>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</si>
  <si>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BSCT</t>
  </si>
  <si>
    <t>IBDU</t>
  </si>
  <si>
    <t>BSCT log rtn</t>
  </si>
  <si>
    <t>IBDU log rtn</t>
  </si>
  <si>
    <t>BSCT div</t>
  </si>
  <si>
    <t>BSCT div cumsum</t>
  </si>
  <si>
    <t>IBDU div</t>
  </si>
  <si>
    <t>IBDU div cumsum</t>
  </si>
  <si>
    <t>BSCT div adjustment</t>
  </si>
  <si>
    <t>IBDU div adjustment</t>
  </si>
  <si>
    <t>BSCT*</t>
  </si>
  <si>
    <t>IBDU*</t>
  </si>
  <si>
    <t>IBDU/BSCT</t>
  </si>
  <si>
    <t>IBDU/BSCT avg</t>
  </si>
  <si>
    <t>IBDU/BSCT 10 dma</t>
  </si>
  <si>
    <t>IBDU/BSCT 20 dma</t>
  </si>
  <si>
    <t>BSCT x avg</t>
  </si>
  <si>
    <t>BSCT x 10 dma</t>
  </si>
  <si>
    <t>BSCT x 20 dma</t>
  </si>
  <si>
    <t>log diff BSCT x avg / IBDU</t>
  </si>
  <si>
    <t>log diff BSCT x 10 dma / IBDU</t>
  </si>
  <si>
    <t>log diff BSCT x 20 dma / IBDU</t>
  </si>
  <si>
    <t>IBDU*/BSCT*</t>
  </si>
  <si>
    <t>IBDU*/BSCT* avg</t>
  </si>
  <si>
    <t>IBDU*/BSCT* 10 dma</t>
  </si>
  <si>
    <t>IBDU*/BSCT* 20 dma</t>
  </si>
  <si>
    <t>BSCT* x avg</t>
  </si>
  <si>
    <t>BSCT* x 10 dma</t>
  </si>
  <si>
    <t>BSCT* x 20 dma</t>
  </si>
  <si>
    <t>log diff BSCT* x avg / IBDU*</t>
  </si>
  <si>
    <t>log diff BSCT* x 10 dma / IBDU*</t>
  </si>
  <si>
    <t>log diff BSCT* x 20 dma / IBDU*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</si>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</sst>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IBDU/BSCT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1.2439394184217101</c:v>
                </c:pt>
                <c:pt idx="1">
                  <c:v>1.2439394184217101</c:v>
                </c:pt>
                <c:pt idx="2">
                  <c:v>1.2439394184217101</c:v>
                </c:pt>
                <c:pt idx="3">
                  <c:v>1.2439394184217101</c:v>
                </c:pt>
                <c:pt idx="4">
                  <c:v>1.2439394184217101</c:v>
                </c:pt>
                <c:pt idx="5">
                  <c:v>1.2439394184217101</c:v>
                </c:pt>
                <c:pt idx="6">
                  <c:v>1.2439394184217101</c:v>
                </c:pt>
                <c:pt idx="7">
                  <c:v>1.2439394184217101</c:v>
                </c:pt>
                <c:pt idx="8">
                  <c:v>1.2439394184217101</c:v>
                </c:pt>
                <c:pt idx="9">
                  <c:v>1.2439394184217101</c:v>
                </c:pt>
                <c:pt idx="10">
                  <c:v>1.2439394184217101</c:v>
                </c:pt>
                <c:pt idx="11">
                  <c:v>1.2439394184217101</c:v>
                </c:pt>
                <c:pt idx="12">
                  <c:v>1.2439394184217101</c:v>
                </c:pt>
                <c:pt idx="13">
                  <c:v>1.2439394184217101</c:v>
                </c:pt>
                <c:pt idx="14">
                  <c:v>1.2439394184217101</c:v>
                </c:pt>
                <c:pt idx="15">
                  <c:v>1.2439394184217101</c:v>
                </c:pt>
                <c:pt idx="16">
                  <c:v>1.2439394184217101</c:v>
                </c:pt>
                <c:pt idx="17">
                  <c:v>1.2439394184217101</c:v>
                </c:pt>
                <c:pt idx="18">
                  <c:v>1.2439394184217101</c:v>
                </c:pt>
                <c:pt idx="19">
                  <c:v>1.2439394184217101</c:v>
                </c:pt>
                <c:pt idx="20">
                  <c:v>1.2439394184217101</c:v>
                </c:pt>
                <c:pt idx="21">
                  <c:v>1.2439394184217101</c:v>
                </c:pt>
                <c:pt idx="22">
                  <c:v>1.2439394184217101</c:v>
                </c:pt>
                <c:pt idx="23">
                  <c:v>1.2439394184217101</c:v>
                </c:pt>
                <c:pt idx="24">
                  <c:v>1.2439394184217101</c:v>
                </c:pt>
                <c:pt idx="25">
                  <c:v>1.2439394184217101</c:v>
                </c:pt>
                <c:pt idx="26">
                  <c:v>1.2439394184217101</c:v>
                </c:pt>
                <c:pt idx="27">
                  <c:v>1.2439394184217101</c:v>
                </c:pt>
                <c:pt idx="28">
                  <c:v>1.2439394184217101</c:v>
                </c:pt>
                <c:pt idx="29">
                  <c:v>1.2439394184217101</c:v>
                </c:pt>
                <c:pt idx="30">
                  <c:v>1.2439394184217101</c:v>
                </c:pt>
                <c:pt idx="31">
                  <c:v>1.2439394184217101</c:v>
                </c:pt>
                <c:pt idx="32">
                  <c:v>1.2439394184217101</c:v>
                </c:pt>
                <c:pt idx="33">
                  <c:v>1.2439394184217101</c:v>
                </c:pt>
                <c:pt idx="34">
                  <c:v>1.2439394184217101</c:v>
                </c:pt>
                <c:pt idx="35">
                  <c:v>1.2439394184217101</c:v>
                </c:pt>
                <c:pt idx="36">
                  <c:v>1.2439394184217101</c:v>
                </c:pt>
                <c:pt idx="37">
                  <c:v>1.2439394184217101</c:v>
                </c:pt>
                <c:pt idx="38">
                  <c:v>1.2439394184217101</c:v>
                </c:pt>
                <c:pt idx="39">
                  <c:v>1.2439394184217101</c:v>
                </c:pt>
                <c:pt idx="40">
                  <c:v>1.2439394184217101</c:v>
                </c:pt>
                <c:pt idx="41">
                  <c:v>1.2439394184217101</c:v>
                </c:pt>
                <c:pt idx="42">
                  <c:v>1.2439394184217101</c:v>
                </c:pt>
                <c:pt idx="43">
                  <c:v>1.2439394184217101</c:v>
                </c:pt>
                <c:pt idx="44">
                  <c:v>1.2439394184217101</c:v>
                </c:pt>
                <c:pt idx="45">
                  <c:v>1.2439394184217101</c:v>
                </c:pt>
                <c:pt idx="46">
                  <c:v>1.2439394184217101</c:v>
                </c:pt>
                <c:pt idx="47">
                  <c:v>1.2439394184217101</c:v>
                </c:pt>
                <c:pt idx="48">
                  <c:v>1.2439394184217101</c:v>
                </c:pt>
                <c:pt idx="49">
                  <c:v>1.2439394184217101</c:v>
                </c:pt>
                <c:pt idx="50">
                  <c:v>1.2439394184217101</c:v>
                </c:pt>
                <c:pt idx="51">
                  <c:v>1.2439394184217101</c:v>
                </c:pt>
                <c:pt idx="52">
                  <c:v>1.2439394184217101</c:v>
                </c:pt>
                <c:pt idx="53">
                  <c:v>1.2439394184217101</c:v>
                </c:pt>
                <c:pt idx="54">
                  <c:v>1.2439394184217101</c:v>
                </c:pt>
                <c:pt idx="55">
                  <c:v>1.2439394184217101</c:v>
                </c:pt>
                <c:pt idx="56">
                  <c:v>1.2439394184217101</c:v>
                </c:pt>
                <c:pt idx="57">
                  <c:v>1.2439394184217101</c:v>
                </c:pt>
                <c:pt idx="58">
                  <c:v>1.2439394184217101</c:v>
                </c:pt>
                <c:pt idx="59">
                  <c:v>1.2439394184217101</c:v>
                </c:pt>
                <c:pt idx="60">
                  <c:v>1.2439394184217101</c:v>
                </c:pt>
                <c:pt idx="61">
                  <c:v>1.2439394184217101</c:v>
                </c:pt>
                <c:pt idx="62">
                  <c:v>1.2439394184217101</c:v>
                </c:pt>
                <c:pt idx="63">
                  <c:v>1.2439394184217101</c:v>
                </c:pt>
                <c:pt idx="64">
                  <c:v>1.2439394184217101</c:v>
                </c:pt>
                <c:pt idx="65">
                  <c:v>1.2439394184217101</c:v>
                </c:pt>
                <c:pt idx="66">
                  <c:v>1.2439394184217101</c:v>
                </c:pt>
                <c:pt idx="67">
                  <c:v>1.2439394184217101</c:v>
                </c:pt>
                <c:pt idx="68">
                  <c:v>1.2439394184217101</c:v>
                </c:pt>
                <c:pt idx="69">
                  <c:v>1.2439394184217101</c:v>
                </c:pt>
                <c:pt idx="70">
                  <c:v>1.2439394184217101</c:v>
                </c:pt>
                <c:pt idx="71">
                  <c:v>1.2439394184217101</c:v>
                </c:pt>
                <c:pt idx="72">
                  <c:v>1.2439394184217101</c:v>
                </c:pt>
                <c:pt idx="73">
                  <c:v>1.2439394184217101</c:v>
                </c:pt>
                <c:pt idx="74">
                  <c:v>1.2439394184217101</c:v>
                </c:pt>
                <c:pt idx="75">
                  <c:v>1.2439394184217101</c:v>
                </c:pt>
                <c:pt idx="76">
                  <c:v>1.2439394184217101</c:v>
                </c:pt>
                <c:pt idx="77">
                  <c:v>1.2439394184217101</c:v>
                </c:pt>
                <c:pt idx="78">
                  <c:v>1.2439394184217101</c:v>
                </c:pt>
                <c:pt idx="79">
                  <c:v>1.2439394184217101</c:v>
                </c:pt>
                <c:pt idx="80">
                  <c:v>1.2439394184217101</c:v>
                </c:pt>
                <c:pt idx="81">
                  <c:v>1.2439394184217101</c:v>
                </c:pt>
                <c:pt idx="82">
                  <c:v>1.2439394184217101</c:v>
                </c:pt>
                <c:pt idx="83">
                  <c:v>1.2439394184217101</c:v>
                </c:pt>
                <c:pt idx="84">
                  <c:v>1.2439394184217101</c:v>
                </c:pt>
                <c:pt idx="85">
                  <c:v>1.2439394184217101</c:v>
                </c:pt>
                <c:pt idx="86">
                  <c:v>1.2439394184217101</c:v>
                </c:pt>
                <c:pt idx="87">
                  <c:v>1.2439394184217101</c:v>
                </c:pt>
                <c:pt idx="88">
                  <c:v>1.2439394184217101</c:v>
                </c:pt>
                <c:pt idx="89">
                  <c:v>1.2439394184217101</c:v>
                </c:pt>
                <c:pt idx="90">
                  <c:v>1.2439394184217101</c:v>
                </c:pt>
                <c:pt idx="91">
                  <c:v>1.2439394184217101</c:v>
                </c:pt>
                <c:pt idx="92">
                  <c:v>1.2439394184217101</c:v>
                </c:pt>
                <c:pt idx="93">
                  <c:v>1.2439394184217101</c:v>
                </c:pt>
                <c:pt idx="94">
                  <c:v>1.2439394184217101</c:v>
                </c:pt>
                <c:pt idx="95">
                  <c:v>1.2439394184217101</c:v>
                </c:pt>
                <c:pt idx="96">
                  <c:v>1.2439394184217101</c:v>
                </c:pt>
                <c:pt idx="97">
                  <c:v>1.2439394184217101</c:v>
                </c:pt>
                <c:pt idx="98">
                  <c:v>1.2439394184217101</c:v>
                </c:pt>
                <c:pt idx="99">
                  <c:v>1.2439394184217101</c:v>
                </c:pt>
                <c:pt idx="100">
                  <c:v>1.2439394184217101</c:v>
                </c:pt>
                <c:pt idx="101">
                  <c:v>1.2439394184217101</c:v>
                </c:pt>
                <c:pt idx="102">
                  <c:v>1.2439394184217101</c:v>
                </c:pt>
                <c:pt idx="103">
                  <c:v>1.2439394184217101</c:v>
                </c:pt>
                <c:pt idx="104">
                  <c:v>1.2439394184217101</c:v>
                </c:pt>
                <c:pt idx="105">
                  <c:v>1.2439394184217101</c:v>
                </c:pt>
                <c:pt idx="106">
                  <c:v>1.2439394184217101</c:v>
                </c:pt>
                <c:pt idx="107">
                  <c:v>1.2439394184217101</c:v>
                </c:pt>
                <c:pt idx="108">
                  <c:v>1.2439394184217101</c:v>
                </c:pt>
                <c:pt idx="109">
                  <c:v>1.2439394184217101</c:v>
                </c:pt>
                <c:pt idx="110">
                  <c:v>1.2439394184217101</c:v>
                </c:pt>
                <c:pt idx="111">
                  <c:v>1.2439394184217101</c:v>
                </c:pt>
                <c:pt idx="112">
                  <c:v>1.2439394184217101</c:v>
                </c:pt>
                <c:pt idx="113">
                  <c:v>1.2439394184217101</c:v>
                </c:pt>
                <c:pt idx="114">
                  <c:v>1.2439394184217101</c:v>
                </c:pt>
                <c:pt idx="115">
                  <c:v>1.2439394184217101</c:v>
                </c:pt>
                <c:pt idx="116">
                  <c:v>1.2439394184217101</c:v>
                </c:pt>
                <c:pt idx="117">
                  <c:v>1.2439394184217101</c:v>
                </c:pt>
                <c:pt idx="118">
                  <c:v>1.2439394184217101</c:v>
                </c:pt>
                <c:pt idx="119">
                  <c:v>1.2439394184217101</c:v>
                </c:pt>
                <c:pt idx="120">
                  <c:v>1.2439394184217101</c:v>
                </c:pt>
                <c:pt idx="121">
                  <c:v>1.2439394184217101</c:v>
                </c:pt>
                <c:pt idx="122">
                  <c:v>1.2439394184217101</c:v>
                </c:pt>
                <c:pt idx="123">
                  <c:v>1.2439394184217101</c:v>
                </c:pt>
                <c:pt idx="124">
                  <c:v>1.2439394184217101</c:v>
                </c:pt>
                <c:pt idx="125">
                  <c:v>1.2439394184217101</c:v>
                </c:pt>
                <c:pt idx="126">
                  <c:v>1.2439394184217101</c:v>
                </c:pt>
                <c:pt idx="127">
                  <c:v>1.2439394184217101</c:v>
                </c:pt>
                <c:pt idx="128">
                  <c:v>1.2439394184217101</c:v>
                </c:pt>
                <c:pt idx="129">
                  <c:v>1.2439394184217101</c:v>
                </c:pt>
                <c:pt idx="130">
                  <c:v>1.2439394184217101</c:v>
                </c:pt>
                <c:pt idx="131">
                  <c:v>1.2439394184217101</c:v>
                </c:pt>
                <c:pt idx="132">
                  <c:v>1.2439394184217101</c:v>
                </c:pt>
                <c:pt idx="133">
                  <c:v>1.2439394184217101</c:v>
                </c:pt>
                <c:pt idx="134">
                  <c:v>1.2439394184217101</c:v>
                </c:pt>
                <c:pt idx="135">
                  <c:v>1.2439394184217101</c:v>
                </c:pt>
                <c:pt idx="136">
                  <c:v>1.2439394184217101</c:v>
                </c:pt>
                <c:pt idx="137">
                  <c:v>1.2439394184217101</c:v>
                </c:pt>
                <c:pt idx="138">
                  <c:v>1.2439394184217101</c:v>
                </c:pt>
                <c:pt idx="139">
                  <c:v>1.2439394184217101</c:v>
                </c:pt>
                <c:pt idx="140">
                  <c:v>1.2439394184217101</c:v>
                </c:pt>
                <c:pt idx="141">
                  <c:v>1.2439394184217101</c:v>
                </c:pt>
                <c:pt idx="142">
                  <c:v>1.2439394184217101</c:v>
                </c:pt>
                <c:pt idx="143">
                  <c:v>1.2439394184217101</c:v>
                </c:pt>
                <c:pt idx="144">
                  <c:v>1.2439394184217101</c:v>
                </c:pt>
                <c:pt idx="145">
                  <c:v>1.2439394184217101</c:v>
                </c:pt>
                <c:pt idx="146">
                  <c:v>1.2439394184217101</c:v>
                </c:pt>
                <c:pt idx="147">
                  <c:v>1.2439394184217101</c:v>
                </c:pt>
                <c:pt idx="148">
                  <c:v>1.2439394184217101</c:v>
                </c:pt>
                <c:pt idx="149">
                  <c:v>1.2439394184217101</c:v>
                </c:pt>
                <c:pt idx="150">
                  <c:v>1.2439394184217101</c:v>
                </c:pt>
                <c:pt idx="151">
                  <c:v>1.2439394184217101</c:v>
                </c:pt>
                <c:pt idx="152">
                  <c:v>1.2439394184217101</c:v>
                </c:pt>
                <c:pt idx="153">
                  <c:v>1.2439394184217101</c:v>
                </c:pt>
                <c:pt idx="154">
                  <c:v>1.2439394184217101</c:v>
                </c:pt>
                <c:pt idx="155">
                  <c:v>1.2439394184217101</c:v>
                </c:pt>
                <c:pt idx="156">
                  <c:v>1.2439394184217101</c:v>
                </c:pt>
                <c:pt idx="157">
                  <c:v>1.2439394184217101</c:v>
                </c:pt>
                <c:pt idx="158">
                  <c:v>1.2439394184217101</c:v>
                </c:pt>
                <c:pt idx="159">
                  <c:v>1.2439394184217101</c:v>
                </c:pt>
                <c:pt idx="160">
                  <c:v>1.2439394184217101</c:v>
                </c:pt>
                <c:pt idx="161">
                  <c:v>1.2439394184217101</c:v>
                </c:pt>
                <c:pt idx="162">
                  <c:v>1.2439394184217101</c:v>
                </c:pt>
                <c:pt idx="163">
                  <c:v>1.2439394184217101</c:v>
                </c:pt>
                <c:pt idx="164">
                  <c:v>1.2439394184217101</c:v>
                </c:pt>
                <c:pt idx="165">
                  <c:v>1.2439394184217101</c:v>
                </c:pt>
                <c:pt idx="166">
                  <c:v>1.2439394184217101</c:v>
                </c:pt>
                <c:pt idx="167">
                  <c:v>1.2439394184217101</c:v>
                </c:pt>
                <c:pt idx="168">
                  <c:v>1.2439394184217101</c:v>
                </c:pt>
                <c:pt idx="169">
                  <c:v>1.2439394184217101</c:v>
                </c:pt>
                <c:pt idx="170">
                  <c:v>1.2439394184217101</c:v>
                </c:pt>
                <c:pt idx="171">
                  <c:v>1.2439394184217101</c:v>
                </c:pt>
                <c:pt idx="172">
                  <c:v>1.2439394184217101</c:v>
                </c:pt>
                <c:pt idx="173">
                  <c:v>1.2439394184217101</c:v>
                </c:pt>
                <c:pt idx="174">
                  <c:v>1.2439394184217101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4C-445F-9A7D-2FE5CE03C43A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IBDU/BSCT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1.24231027582946</c:v>
                </c:pt>
                <c:pt idx="10">
                  <c:v>1.24229740744738</c:v>
                </c:pt>
                <c:pt idx="11">
                  <c:v>1.2427460933077099</c:v>
                </c:pt>
                <c:pt idx="12">
                  <c:v>1.2432747376581601</c:v>
                </c:pt>
                <c:pt idx="13">
                  <c:v>1.2438033820086101</c:v>
                </c:pt>
                <c:pt idx="14">
                  <c:v>1.2442273328601301</c:v>
                </c:pt>
                <c:pt idx="15">
                  <c:v>1.2447044752010099</c:v>
                </c:pt>
                <c:pt idx="16">
                  <c:v>1.24520846765607</c:v>
                </c:pt>
                <c:pt idx="17">
                  <c:v>1.2456320259969</c:v>
                </c:pt>
                <c:pt idx="18">
                  <c:v>1.2460550800830501</c:v>
                </c:pt>
                <c:pt idx="19">
                  <c:v>1.24657247616925</c:v>
                </c:pt>
                <c:pt idx="20">
                  <c:v>1.24653226599506</c:v>
                </c:pt>
                <c:pt idx="21">
                  <c:v>1.2461350264140401</c:v>
                </c:pt>
                <c:pt idx="22">
                  <c:v>1.24564486190724</c:v>
                </c:pt>
                <c:pt idx="23">
                  <c:v>1.2450906322293001</c:v>
                </c:pt>
                <c:pt idx="24">
                  <c:v>1.24468111131915</c:v>
                </c:pt>
                <c:pt idx="25">
                  <c:v>1.2440868252508801</c:v>
                </c:pt>
                <c:pt idx="26">
                  <c:v>1.2435715651933501</c:v>
                </c:pt>
                <c:pt idx="27">
                  <c:v>1.2430693159633499</c:v>
                </c:pt>
                <c:pt idx="28">
                  <c:v>1.24262059153374</c:v>
                </c:pt>
                <c:pt idx="29">
                  <c:v>1.2421594406395899</c:v>
                </c:pt>
                <c:pt idx="30">
                  <c:v>1.2422028456079399</c:v>
                </c:pt>
                <c:pt idx="31">
                  <c:v>1.2421802899700001</c:v>
                </c:pt>
                <c:pt idx="32">
                  <c:v>1.24210529619146</c:v>
                </c:pt>
                <c:pt idx="33">
                  <c:v>1.2421999642049599</c:v>
                </c:pt>
                <c:pt idx="34">
                  <c:v>1.2426507092233201</c:v>
                </c:pt>
                <c:pt idx="35">
                  <c:v>1.24324612222994</c:v>
                </c:pt>
                <c:pt idx="36">
                  <c:v>1.24374876730954</c:v>
                </c:pt>
                <c:pt idx="37">
                  <c:v>1.24439752486571</c:v>
                </c:pt>
                <c:pt idx="38">
                  <c:v>1.2448077666402999</c:v>
                </c:pt>
                <c:pt idx="39">
                  <c:v>1.2447258818283</c:v>
                </c:pt>
                <c:pt idx="40">
                  <c:v>1.2445910028456499</c:v>
                </c:pt>
                <c:pt idx="41">
                  <c:v>1.24460067643356</c:v>
                </c:pt>
                <c:pt idx="42">
                  <c:v>1.2446885240738399</c:v>
                </c:pt>
                <c:pt idx="43">
                  <c:v>1.2446836426147501</c:v>
                </c:pt>
                <c:pt idx="44">
                  <c:v>1.2441653890987501</c:v>
                </c:pt>
                <c:pt idx="45">
                  <c:v>1.24355349272093</c:v>
                </c:pt>
                <c:pt idx="46">
                  <c:v>1.24304602483436</c:v>
                </c:pt>
                <c:pt idx="47">
                  <c:v>1.2424958273261</c:v>
                </c:pt>
                <c:pt idx="48">
                  <c:v>1.2421033166506099</c:v>
                </c:pt>
                <c:pt idx="49">
                  <c:v>1.2421625737686901</c:v>
                </c:pt>
                <c:pt idx="50">
                  <c:v>1.2423428048776</c:v>
                </c:pt>
                <c:pt idx="51">
                  <c:v>1.2423364399971899</c:v>
                </c:pt>
                <c:pt idx="52">
                  <c:v>1.2422779686482901</c:v>
                </c:pt>
                <c:pt idx="53">
                  <c:v>1.2422566918462199</c:v>
                </c:pt>
                <c:pt idx="54">
                  <c:v>1.2427037831869501</c:v>
                </c:pt>
                <c:pt idx="55">
                  <c:v>1.24329779601831</c:v>
                </c:pt>
                <c:pt idx="56">
                  <c:v>1.2437476801369001</c:v>
                </c:pt>
                <c:pt idx="57">
                  <c:v>1.2441602872755</c:v>
                </c:pt>
                <c:pt idx="58">
                  <c:v>1.2446536872535701</c:v>
                </c:pt>
                <c:pt idx="59">
                  <c:v>1.24510650767793</c:v>
                </c:pt>
                <c:pt idx="60">
                  <c:v>1.2454655902348699</c:v>
                </c:pt>
                <c:pt idx="61">
                  <c:v>1.2454379916661</c:v>
                </c:pt>
                <c:pt idx="62">
                  <c:v>1.2454767896385299</c:v>
                </c:pt>
                <c:pt idx="63">
                  <c:v>1.2454378695963499</c:v>
                </c:pt>
                <c:pt idx="64">
                  <c:v>1.2449175076964101</c:v>
                </c:pt>
                <c:pt idx="65">
                  <c:v>1.2443989397000601</c:v>
                </c:pt>
                <c:pt idx="66">
                  <c:v>1.2439069637273099</c:v>
                </c:pt>
                <c:pt idx="67">
                  <c:v>1.2434553869438301</c:v>
                </c:pt>
                <c:pt idx="68">
                  <c:v>1.24300403038452</c:v>
                </c:pt>
                <c:pt idx="69">
                  <c:v>1.24259327769635</c:v>
                </c:pt>
                <c:pt idx="70">
                  <c:v>1.2421549497220701</c:v>
                </c:pt>
                <c:pt idx="71">
                  <c:v>1.24222459170961</c:v>
                </c:pt>
                <c:pt idx="72">
                  <c:v>1.24213615795572</c:v>
                </c:pt>
                <c:pt idx="73">
                  <c:v>1.24265948947311</c:v>
                </c:pt>
                <c:pt idx="74">
                  <c:v>1.2432077392328</c:v>
                </c:pt>
                <c:pt idx="75">
                  <c:v>1.24368782214061</c:v>
                </c:pt>
                <c:pt idx="76">
                  <c:v>1.24411437185784</c:v>
                </c:pt>
                <c:pt idx="77">
                  <c:v>1.24450167939735</c:v>
                </c:pt>
                <c:pt idx="78">
                  <c:v>1.2448211926745101</c:v>
                </c:pt>
                <c:pt idx="79">
                  <c:v>1.2453669590196299</c:v>
                </c:pt>
                <c:pt idx="80">
                  <c:v>1.24579130684572</c:v>
                </c:pt>
                <c:pt idx="81">
                  <c:v>1.24616360745162</c:v>
                </c:pt>
                <c:pt idx="82">
                  <c:v>1.2462779758273099</c:v>
                </c:pt>
                <c:pt idx="83">
                  <c:v>1.24584724121738</c:v>
                </c:pt>
                <c:pt idx="84">
                  <c:v>1.24541736739947</c:v>
                </c:pt>
                <c:pt idx="85">
                  <c:v>1.2449226221876699</c:v>
                </c:pt>
                <c:pt idx="86">
                  <c:v>1.2445202912848501</c:v>
                </c:pt>
                <c:pt idx="87">
                  <c:v>1.24406488700906</c:v>
                </c:pt>
                <c:pt idx="88">
                  <c:v>1.2436757317443701</c:v>
                </c:pt>
                <c:pt idx="89">
                  <c:v>1.24305857770254</c:v>
                </c:pt>
                <c:pt idx="90">
                  <c:v>1.24265682147609</c:v>
                </c:pt>
                <c:pt idx="91">
                  <c:v>1.2421335730208101</c:v>
                </c:pt>
                <c:pt idx="92">
                  <c:v>1.24217099128727</c:v>
                </c:pt>
                <c:pt idx="93">
                  <c:v>1.24262572384584</c:v>
                </c:pt>
                <c:pt idx="94">
                  <c:v>1.2430794995099099</c:v>
                </c:pt>
                <c:pt idx="95">
                  <c:v>1.2435854708193601</c:v>
                </c:pt>
                <c:pt idx="96">
                  <c:v>1.2441064693662001</c:v>
                </c:pt>
                <c:pt idx="97">
                  <c:v>1.2445994941790499</c:v>
                </c:pt>
                <c:pt idx="98">
                  <c:v>1.2450267188798601</c:v>
                </c:pt>
                <c:pt idx="99">
                  <c:v>1.24558924400033</c:v>
                </c:pt>
                <c:pt idx="100">
                  <c:v>1.2461515977117801</c:v>
                </c:pt>
                <c:pt idx="101">
                  <c:v>1.2467145855000801</c:v>
                </c:pt>
                <c:pt idx="102">
                  <c:v>1.24668851311423</c:v>
                </c:pt>
                <c:pt idx="103">
                  <c:v>1.2462061200968799</c:v>
                </c:pt>
                <c:pt idx="104">
                  <c:v>1.24570998006228</c:v>
                </c:pt>
                <c:pt idx="105">
                  <c:v>1.2452005012005201</c:v>
                </c:pt>
                <c:pt idx="106">
                  <c:v>1.2447153259983701</c:v>
                </c:pt>
                <c:pt idx="107">
                  <c:v>1.2442709886993599</c:v>
                </c:pt>
                <c:pt idx="108">
                  <c:v>1.2438273899035199</c:v>
                </c:pt>
                <c:pt idx="109">
                  <c:v>1.24330221909259</c:v>
                </c:pt>
                <c:pt idx="110">
                  <c:v>1.2427122066854099</c:v>
                </c:pt>
                <c:pt idx="111">
                  <c:v>1.24216217736781</c:v>
                </c:pt>
                <c:pt idx="112">
                  <c:v>1.24213616096132</c:v>
                </c:pt>
                <c:pt idx="113">
                  <c:v>1.2420971572875299</c:v>
                </c:pt>
                <c:pt idx="114">
                  <c:v>1.24212322789892</c:v>
                </c:pt>
                <c:pt idx="115">
                  <c:v>1.24220303483608</c:v>
                </c:pt>
                <c:pt idx="116">
                  <c:v>1.24262030064619</c:v>
                </c:pt>
                <c:pt idx="117">
                  <c:v>1.24302401767926</c:v>
                </c:pt>
                <c:pt idx="118">
                  <c:v>1.24356139032113</c:v>
                </c:pt>
                <c:pt idx="119">
                  <c:v>1.2439789185055901</c:v>
                </c:pt>
                <c:pt idx="120">
                  <c:v>1.24451513855128</c:v>
                </c:pt>
                <c:pt idx="121">
                  <c:v>1.24515882782373</c:v>
                </c:pt>
                <c:pt idx="122">
                  <c:v>1.2456678475315599</c:v>
                </c:pt>
                <c:pt idx="123">
                  <c:v>1.2456513515448999</c:v>
                </c:pt>
                <c:pt idx="124">
                  <c:v>1.2457328656564901</c:v>
                </c:pt>
                <c:pt idx="125">
                  <c:v>1.24565305871933</c:v>
                </c:pt>
                <c:pt idx="126">
                  <c:v>1.24520966608089</c:v>
                </c:pt>
                <c:pt idx="127">
                  <c:v>1.24481901950046</c:v>
                </c:pt>
                <c:pt idx="128">
                  <c:v>1.2443077174699699</c:v>
                </c:pt>
                <c:pt idx="129">
                  <c:v>1.2439032456612</c:v>
                </c:pt>
                <c:pt idx="130">
                  <c:v>1.2434028198534199</c:v>
                </c:pt>
                <c:pt idx="131">
                  <c:v>1.2428633013168</c:v>
                </c:pt>
                <c:pt idx="132">
                  <c:v>1.2423525780398299</c:v>
                </c:pt>
                <c:pt idx="133">
                  <c:v>1.24238035772463</c:v>
                </c:pt>
                <c:pt idx="134">
                  <c:v>1.24240654420539</c:v>
                </c:pt>
                <c:pt idx="135">
                  <c:v>1.24292869881567</c:v>
                </c:pt>
                <c:pt idx="136">
                  <c:v>1.24342550276562</c:v>
                </c:pt>
                <c:pt idx="137">
                  <c:v>1.24392297234361</c:v>
                </c:pt>
                <c:pt idx="138">
                  <c:v>1.2444868664651101</c:v>
                </c:pt>
                <c:pt idx="139">
                  <c:v>1.24501082450641</c:v>
                </c:pt>
                <c:pt idx="140">
                  <c:v>1.2454688225361299</c:v>
                </c:pt>
                <c:pt idx="141">
                  <c:v>1.24593949965775</c:v>
                </c:pt>
                <c:pt idx="142">
                  <c:v>1.24638158563829</c:v>
                </c:pt>
                <c:pt idx="143">
                  <c:v>1.2469317797269499</c:v>
                </c:pt>
                <c:pt idx="144">
                  <c:v>1.2472941485578199</c:v>
                </c:pt>
                <c:pt idx="145">
                  <c:v>1.24691577017944</c:v>
                </c:pt>
                <c:pt idx="146">
                  <c:v>1.2463911847020199</c:v>
                </c:pt>
                <c:pt idx="147">
                  <c:v>1.2459476234798299</c:v>
                </c:pt>
                <c:pt idx="148">
                  <c:v>1.2453281063324899</c:v>
                </c:pt>
                <c:pt idx="149">
                  <c:v>1.24487112709963</c:v>
                </c:pt>
                <c:pt idx="150">
                  <c:v>1.24440004538914</c:v>
                </c:pt>
                <c:pt idx="151">
                  <c:v>1.24388851538732</c:v>
                </c:pt>
                <c:pt idx="152">
                  <c:v>1.24349862684649</c:v>
                </c:pt>
                <c:pt idx="153">
                  <c:v>1.24294843275783</c:v>
                </c:pt>
                <c:pt idx="154">
                  <c:v>1.2425322136307899</c:v>
                </c:pt>
                <c:pt idx="155">
                  <c:v>1.2424405225859501</c:v>
                </c:pt>
                <c:pt idx="156">
                  <c:v>1.2424683041134099</c:v>
                </c:pt>
                <c:pt idx="157">
                  <c:v>1.24230840595641</c:v>
                </c:pt>
                <c:pt idx="158">
                  <c:v>1.24231017868608</c:v>
                </c:pt>
                <c:pt idx="159">
                  <c:v>1.24225627033028</c:v>
                </c:pt>
                <c:pt idx="160">
                  <c:v>1.2427279962386</c:v>
                </c:pt>
                <c:pt idx="161">
                  <c:v>1.2431727981313301</c:v>
                </c:pt>
                <c:pt idx="162">
                  <c:v>1.2436440596217799</c:v>
                </c:pt>
                <c:pt idx="163">
                  <c:v>1.24411352287161</c:v>
                </c:pt>
                <c:pt idx="164">
                  <c:v>1.24450236397127</c:v>
                </c:pt>
                <c:pt idx="165">
                  <c:v>1.24499916792123</c:v>
                </c:pt>
                <c:pt idx="166">
                  <c:v>1.2449530856178801</c:v>
                </c:pt>
                <c:pt idx="167">
                  <c:v>1.2450279575876899</c:v>
                </c:pt>
                <c:pt idx="168">
                  <c:v>1.24498337373858</c:v>
                </c:pt>
                <c:pt idx="169">
                  <c:v>1.2449933026881901</c:v>
                </c:pt>
                <c:pt idx="170">
                  <c:v>1.2444509466810401</c:v>
                </c:pt>
                <c:pt idx="171">
                  <c:v>1.2440158798371199</c:v>
                </c:pt>
                <c:pt idx="172">
                  <c:v>1.24344255029543</c:v>
                </c:pt>
                <c:pt idx="173">
                  <c:v>1.24300399714439</c:v>
                </c:pt>
                <c:pt idx="174">
                  <c:v>1.2426471021309999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4C-445F-9A7D-2FE5CE03C43A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IBDU/BSCT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1.24444137599936</c:v>
                </c:pt>
                <c:pt idx="20">
                  <c:v>1.24441483672122</c:v>
                </c:pt>
                <c:pt idx="21">
                  <c:v>1.2444405598608801</c:v>
                </c:pt>
                <c:pt idx="22">
                  <c:v>1.2444597997827</c:v>
                </c:pt>
                <c:pt idx="23">
                  <c:v>1.2444470071189599</c:v>
                </c:pt>
                <c:pt idx="24">
                  <c:v>1.24445422208964</c:v>
                </c:pt>
                <c:pt idx="25">
                  <c:v>1.2443956502259399</c:v>
                </c:pt>
                <c:pt idx="26">
                  <c:v>1.2443900164247099</c:v>
                </c:pt>
                <c:pt idx="27">
                  <c:v>1.24435067098013</c:v>
                </c:pt>
                <c:pt idx="28">
                  <c:v>1.2443378358084001</c:v>
                </c:pt>
                <c:pt idx="29">
                  <c:v>1.24436595840442</c:v>
                </c:pt>
                <c:pt idx="30">
                  <c:v>1.2443675558014999</c:v>
                </c:pt>
                <c:pt idx="31">
                  <c:v>1.24415765819202</c:v>
                </c:pt>
                <c:pt idx="32">
                  <c:v>1.24387507904935</c:v>
                </c:pt>
                <c:pt idx="33">
                  <c:v>1.24364529821713</c:v>
                </c:pt>
                <c:pt idx="34">
                  <c:v>1.24366591027124</c:v>
                </c:pt>
                <c:pt idx="35">
                  <c:v>1.24366647374041</c:v>
                </c:pt>
                <c:pt idx="36">
                  <c:v>1.2436601662514499</c:v>
                </c:pt>
                <c:pt idx="37">
                  <c:v>1.2437334204145301</c:v>
                </c:pt>
                <c:pt idx="38">
                  <c:v>1.2437141790870201</c:v>
                </c:pt>
                <c:pt idx="39">
                  <c:v>1.24344266123394</c:v>
                </c:pt>
                <c:pt idx="40">
                  <c:v>1.2433969242267999</c:v>
                </c:pt>
                <c:pt idx="41">
                  <c:v>1.2433904832017799</c:v>
                </c:pt>
                <c:pt idx="42">
                  <c:v>1.2433969101326501</c:v>
                </c:pt>
                <c:pt idx="43">
                  <c:v>1.24344180340985</c:v>
                </c:pt>
                <c:pt idx="44">
                  <c:v>1.24340804916104</c:v>
                </c:pt>
                <c:pt idx="45">
                  <c:v>1.24339980747544</c:v>
                </c:pt>
                <c:pt idx="46">
                  <c:v>1.24339739607195</c:v>
                </c:pt>
                <c:pt idx="47">
                  <c:v>1.2434466760959</c:v>
                </c:pt>
                <c:pt idx="48">
                  <c:v>1.24345554164546</c:v>
                </c:pt>
                <c:pt idx="49">
                  <c:v>1.2434442277984901</c:v>
                </c:pt>
                <c:pt idx="50">
                  <c:v>1.24346690386162</c:v>
                </c:pt>
                <c:pt idx="51">
                  <c:v>1.2434685582153699</c:v>
                </c:pt>
                <c:pt idx="52">
                  <c:v>1.2434832463610701</c:v>
                </c:pt>
                <c:pt idx="53">
                  <c:v>1.24347016723048</c:v>
                </c:pt>
                <c:pt idx="54">
                  <c:v>1.24343458614285</c:v>
                </c:pt>
                <c:pt idx="55">
                  <c:v>1.2434256443696201</c:v>
                </c:pt>
                <c:pt idx="56">
                  <c:v>1.24339685248563</c:v>
                </c:pt>
                <c:pt idx="57">
                  <c:v>1.2433280573008001</c:v>
                </c:pt>
                <c:pt idx="58">
                  <c:v>1.24337850195209</c:v>
                </c:pt>
                <c:pt idx="59">
                  <c:v>1.24363454072331</c:v>
                </c:pt>
                <c:pt idx="60">
                  <c:v>1.2439041975562299</c:v>
                </c:pt>
                <c:pt idx="61">
                  <c:v>1.2438872158316401</c:v>
                </c:pt>
                <c:pt idx="62">
                  <c:v>1.2438773791434099</c:v>
                </c:pt>
                <c:pt idx="63">
                  <c:v>1.2438472807212799</c:v>
                </c:pt>
                <c:pt idx="64">
                  <c:v>1.24381064544168</c:v>
                </c:pt>
                <c:pt idx="65">
                  <c:v>1.2438483678591801</c:v>
                </c:pt>
                <c:pt idx="66">
                  <c:v>1.2438273219321101</c:v>
                </c:pt>
                <c:pt idx="67">
                  <c:v>1.2438078371096699</c:v>
                </c:pt>
                <c:pt idx="68">
                  <c:v>1.24382885881905</c:v>
                </c:pt>
                <c:pt idx="69">
                  <c:v>1.24384989268714</c:v>
                </c:pt>
                <c:pt idx="70">
                  <c:v>1.2438102699784701</c:v>
                </c:pt>
                <c:pt idx="71">
                  <c:v>1.24383129168785</c:v>
                </c:pt>
                <c:pt idx="72">
                  <c:v>1.2438064737971299</c:v>
                </c:pt>
                <c:pt idx="73">
                  <c:v>1.2440486795347301</c:v>
                </c:pt>
                <c:pt idx="74">
                  <c:v>1.2440626234645999</c:v>
                </c:pt>
                <c:pt idx="75">
                  <c:v>1.24404338092033</c:v>
                </c:pt>
                <c:pt idx="76">
                  <c:v>1.24401066779258</c:v>
                </c:pt>
                <c:pt idx="77">
                  <c:v>1.2439785331705899</c:v>
                </c:pt>
                <c:pt idx="78">
                  <c:v>1.24391261152951</c:v>
                </c:pt>
                <c:pt idx="79">
                  <c:v>1.2439801183579899</c:v>
                </c:pt>
                <c:pt idx="80">
                  <c:v>1.2439731282838999</c:v>
                </c:pt>
                <c:pt idx="81">
                  <c:v>1.24419409958061</c:v>
                </c:pt>
                <c:pt idx="82">
                  <c:v>1.2442070668915199</c:v>
                </c:pt>
                <c:pt idx="83">
                  <c:v>1.2442533653452399</c:v>
                </c:pt>
                <c:pt idx="84">
                  <c:v>1.2443125533161301</c:v>
                </c:pt>
                <c:pt idx="85">
                  <c:v>1.24430522216414</c:v>
                </c:pt>
                <c:pt idx="86">
                  <c:v>1.24431733157135</c:v>
                </c:pt>
                <c:pt idx="87">
                  <c:v>1.24428328320321</c:v>
                </c:pt>
                <c:pt idx="88">
                  <c:v>1.2442484622094401</c:v>
                </c:pt>
                <c:pt idx="89">
                  <c:v>1.24421276836108</c:v>
                </c:pt>
                <c:pt idx="90">
                  <c:v>1.2442240641608999</c:v>
                </c:pt>
                <c:pt idx="91">
                  <c:v>1.2441485902362099</c:v>
                </c:pt>
                <c:pt idx="92">
                  <c:v>1.24422448355729</c:v>
                </c:pt>
                <c:pt idx="93">
                  <c:v>1.2442364825316099</c:v>
                </c:pt>
                <c:pt idx="94">
                  <c:v>1.2442484334546899</c:v>
                </c:pt>
                <c:pt idx="95">
                  <c:v>1.2442540465035099</c:v>
                </c:pt>
                <c:pt idx="96">
                  <c:v>1.24431338032552</c:v>
                </c:pt>
                <c:pt idx="97">
                  <c:v>1.2443321905940601</c:v>
                </c:pt>
                <c:pt idx="98">
                  <c:v>1.2443512253121201</c:v>
                </c:pt>
                <c:pt idx="99">
                  <c:v>1.2443239108514299</c:v>
                </c:pt>
                <c:pt idx="100">
                  <c:v>1.24440420959394</c:v>
                </c:pt>
                <c:pt idx="101">
                  <c:v>1.24442407926044</c:v>
                </c:pt>
                <c:pt idx="102">
                  <c:v>1.2444297522007499</c:v>
                </c:pt>
                <c:pt idx="103">
                  <c:v>1.24441592197136</c:v>
                </c:pt>
                <c:pt idx="104">
                  <c:v>1.2443947397860899</c:v>
                </c:pt>
                <c:pt idx="105">
                  <c:v>1.2443929860099401</c:v>
                </c:pt>
                <c:pt idx="106">
                  <c:v>1.2444108976822801</c:v>
                </c:pt>
                <c:pt idx="107">
                  <c:v>1.2444352414392099</c:v>
                </c:pt>
                <c:pt idx="108">
                  <c:v>1.24442705439169</c:v>
                </c:pt>
                <c:pt idx="109">
                  <c:v>1.2444457315464601</c:v>
                </c:pt>
                <c:pt idx="110">
                  <c:v>1.2444319021985899</c:v>
                </c:pt>
                <c:pt idx="111">
                  <c:v>1.2444383814339399</c:v>
                </c:pt>
                <c:pt idx="112">
                  <c:v>1.24441233703777</c:v>
                </c:pt>
                <c:pt idx="113">
                  <c:v>1.24415163869221</c:v>
                </c:pt>
                <c:pt idx="114">
                  <c:v>1.2439166039806</c:v>
                </c:pt>
                <c:pt idx="115">
                  <c:v>1.2437017680183</c:v>
                </c:pt>
                <c:pt idx="116">
                  <c:v>1.24366781332228</c:v>
                </c:pt>
                <c:pt idx="117">
                  <c:v>1.2436475031893099</c:v>
                </c:pt>
                <c:pt idx="118">
                  <c:v>1.2436943901123301</c:v>
                </c:pt>
                <c:pt idx="119">
                  <c:v>1.2436405687990899</c:v>
                </c:pt>
                <c:pt idx="120">
                  <c:v>1.24361367261834</c:v>
                </c:pt>
                <c:pt idx="121">
                  <c:v>1.2436605025957701</c:v>
                </c:pt>
                <c:pt idx="122">
                  <c:v>1.2439020042464399</c:v>
                </c:pt>
                <c:pt idx="123">
                  <c:v>1.24387425441622</c:v>
                </c:pt>
                <c:pt idx="124">
                  <c:v>1.2439280467777001</c:v>
                </c:pt>
                <c:pt idx="125">
                  <c:v>1.2439280467777001</c:v>
                </c:pt>
                <c:pt idx="126">
                  <c:v>1.2439149833635399</c:v>
                </c:pt>
                <c:pt idx="127">
                  <c:v>1.24392151858986</c:v>
                </c:pt>
                <c:pt idx="128">
                  <c:v>1.24393455389555</c:v>
                </c:pt>
                <c:pt idx="129">
                  <c:v>1.24394108208339</c:v>
                </c:pt>
                <c:pt idx="130">
                  <c:v>1.24395897920235</c:v>
                </c:pt>
                <c:pt idx="131">
                  <c:v>1.24401106457027</c:v>
                </c:pt>
                <c:pt idx="132">
                  <c:v>1.24401021278569</c:v>
                </c:pt>
                <c:pt idx="133">
                  <c:v>1.2440158546347599</c:v>
                </c:pt>
                <c:pt idx="134">
                  <c:v>1.2440697049309399</c:v>
                </c:pt>
                <c:pt idx="135">
                  <c:v>1.2442908787675</c:v>
                </c:pt>
                <c:pt idx="136">
                  <c:v>1.2443175844232599</c:v>
                </c:pt>
                <c:pt idx="137">
                  <c:v>1.2443709959220399</c:v>
                </c:pt>
                <c:pt idx="138">
                  <c:v>1.2443972919675399</c:v>
                </c:pt>
                <c:pt idx="139">
                  <c:v>1.24445703508381</c:v>
                </c:pt>
                <c:pt idx="140">
                  <c:v>1.2444358211947699</c:v>
                </c:pt>
                <c:pt idx="141">
                  <c:v>1.2444014004872701</c:v>
                </c:pt>
                <c:pt idx="142">
                  <c:v>1.24436708183906</c:v>
                </c:pt>
                <c:pt idx="143">
                  <c:v>1.2446560687257899</c:v>
                </c:pt>
                <c:pt idx="144">
                  <c:v>1.2448503463816001</c:v>
                </c:pt>
                <c:pt idx="145">
                  <c:v>1.2449222344975499</c:v>
                </c:pt>
                <c:pt idx="146">
                  <c:v>1.24490834373382</c:v>
                </c:pt>
                <c:pt idx="147">
                  <c:v>1.2449352979117201</c:v>
                </c:pt>
                <c:pt idx="148">
                  <c:v>1.2449074863987999</c:v>
                </c:pt>
                <c:pt idx="149">
                  <c:v>1.2449409758030201</c:v>
                </c:pt>
                <c:pt idx="150">
                  <c:v>1.24493443396263</c:v>
                </c:pt>
                <c:pt idx="151">
                  <c:v>1.24491400752253</c:v>
                </c:pt>
                <c:pt idx="152">
                  <c:v>1.2449401062423899</c:v>
                </c:pt>
                <c:pt idx="153">
                  <c:v>1.2449401062423899</c:v>
                </c:pt>
                <c:pt idx="154">
                  <c:v>1.2449131810942999</c:v>
                </c:pt>
                <c:pt idx="155">
                  <c:v>1.2446781463826899</c:v>
                </c:pt>
                <c:pt idx="156">
                  <c:v>1.2444297444077199</c:v>
                </c:pt>
                <c:pt idx="157">
                  <c:v>1.24412801471812</c:v>
                </c:pt>
                <c:pt idx="158">
                  <c:v>1.2438191425092899</c:v>
                </c:pt>
                <c:pt idx="159">
                  <c:v>1.2435636987149501</c:v>
                </c:pt>
                <c:pt idx="160">
                  <c:v>1.2435640208138701</c:v>
                </c:pt>
                <c:pt idx="161">
                  <c:v>1.2435306567593201</c:v>
                </c:pt>
                <c:pt idx="162">
                  <c:v>1.24357134323413</c:v>
                </c:pt>
                <c:pt idx="163">
                  <c:v>1.2435309778147201</c:v>
                </c:pt>
                <c:pt idx="164">
                  <c:v>1.24351728880103</c:v>
                </c:pt>
                <c:pt idx="165">
                  <c:v>1.24371984525359</c:v>
                </c:pt>
                <c:pt idx="166">
                  <c:v>1.24371069486565</c:v>
                </c:pt>
                <c:pt idx="167">
                  <c:v>1.2436681817720501</c:v>
                </c:pt>
                <c:pt idx="168">
                  <c:v>1.24364677621233</c:v>
                </c:pt>
                <c:pt idx="169">
                  <c:v>1.24362478650923</c:v>
                </c:pt>
                <c:pt idx="170">
                  <c:v>1.2435894714598199</c:v>
                </c:pt>
                <c:pt idx="171">
                  <c:v>1.2435943389842199</c:v>
                </c:pt>
                <c:pt idx="172">
                  <c:v>1.24354330495861</c:v>
                </c:pt>
                <c:pt idx="173">
                  <c:v>1.243558760008</c:v>
                </c:pt>
                <c:pt idx="174">
                  <c:v>1.24357473305114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4C-445F-9A7D-2FE5CE03C4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BSCT* x 10 dma / IBDU*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-1.04672455536178E-4</c:v>
                </c:pt>
                <c:pt idx="11">
                  <c:v>1.77874085983553E-4</c:v>
                </c:pt>
                <c:pt idx="12">
                  <c:v>-5.09208497817133E-5</c:v>
                </c:pt>
                <c:pt idx="13">
                  <c:v>5.1482659488286702E-6</c:v>
                </c:pt>
                <c:pt idx="14">
                  <c:v>1.64600521903808E-4</c:v>
                </c:pt>
                <c:pt idx="15">
                  <c:v>-2.8989635360828701E-4</c:v>
                </c:pt>
                <c:pt idx="16">
                  <c:v>-4.9435264815731903E-4</c:v>
                </c:pt>
                <c:pt idx="17">
                  <c:v>-3.1756259888737103E-5</c:v>
                </c:pt>
                <c:pt idx="18">
                  <c:v>1.46717913341542E-4</c:v>
                </c:pt>
                <c:pt idx="19">
                  <c:v>-1.00401122031713E-4</c:v>
                </c:pt>
                <c:pt idx="20">
                  <c:v>2.4368940783685099E-4</c:v>
                </c:pt>
                <c:pt idx="21">
                  <c:v>-3.0922497841037001E-4</c:v>
                </c:pt>
                <c:pt idx="22">
                  <c:v>2.7799915878375298E-4</c:v>
                </c:pt>
                <c:pt idx="23">
                  <c:v>7.7556287636761697E-4</c:v>
                </c:pt>
                <c:pt idx="24">
                  <c:v>-3.4794279931249299E-4</c:v>
                </c:pt>
                <c:pt idx="25">
                  <c:v>7.5529380028565099E-4</c:v>
                </c:pt>
                <c:pt idx="26">
                  <c:v>-1.94413607719457E-4</c:v>
                </c:pt>
                <c:pt idx="27">
                  <c:v>8.99234298493078E-5</c:v>
                </c:pt>
                <c:pt idx="28">
                  <c:v>-1.5586967822669401E-4</c:v>
                </c:pt>
                <c:pt idx="29">
                  <c:v>-2.5582511965155499E-4</c:v>
                </c:pt>
                <c:pt idx="30">
                  <c:v>-2.5062952253416198E-4</c:v>
                </c:pt>
                <c:pt idx="31">
                  <c:v>-2.1585748646755899E-4</c:v>
                </c:pt>
                <c:pt idx="32">
                  <c:v>7.1587380897729402E-4</c:v>
                </c:pt>
                <c:pt idx="33">
                  <c:v>-1.9148278631765E-4</c:v>
                </c:pt>
                <c:pt idx="34">
                  <c:v>-4.7268880946624297E-4</c:v>
                </c:pt>
                <c:pt idx="35">
                  <c:v>-5.6935524075401797E-4</c:v>
                </c:pt>
                <c:pt idx="36">
                  <c:v>-5.5031419760743995E-4</c:v>
                </c:pt>
                <c:pt idx="37">
                  <c:v>-1.34912529666786E-3</c:v>
                </c:pt>
                <c:pt idx="38">
                  <c:v>4.9452030293236303E-4</c:v>
                </c:pt>
                <c:pt idx="39">
                  <c:v>5.76866318853559E-4</c:v>
                </c:pt>
                <c:pt idx="40">
                  <c:v>9.5243895584004004E-4</c:v>
                </c:pt>
                <c:pt idx="41">
                  <c:v>-2.9378576066926702E-4</c:v>
                </c:pt>
                <c:pt idx="42">
                  <c:v>5.2489877065173003E-5</c:v>
                </c:pt>
                <c:pt idx="43">
                  <c:v>3.7409930072930002E-5</c:v>
                </c:pt>
                <c:pt idx="44">
                  <c:v>2.5669425331996902E-4</c:v>
                </c:pt>
                <c:pt idx="45">
                  <c:v>8.5750431782776696E-4</c:v>
                </c:pt>
                <c:pt idx="46">
                  <c:v>-1.99998779664252E-4</c:v>
                </c:pt>
                <c:pt idx="47">
                  <c:v>-7.4015676059780398E-4</c:v>
                </c:pt>
                <c:pt idx="48">
                  <c:v>-3.8039429637215202E-4</c:v>
                </c:pt>
                <c:pt idx="49">
                  <c:v>-1.15398354769462E-4</c:v>
                </c:pt>
                <c:pt idx="50">
                  <c:v>-6.1038252726327603E-4</c:v>
                </c:pt>
                <c:pt idx="51">
                  <c:v>-1.31094617987362E-4</c:v>
                </c:pt>
                <c:pt idx="52">
                  <c:v>6.0224227123808496E-4</c:v>
                </c:pt>
                <c:pt idx="53">
                  <c:v>1.54484828925135E-4</c:v>
                </c:pt>
                <c:pt idx="54">
                  <c:v>2.0350178322842599E-4</c:v>
                </c:pt>
                <c:pt idx="55">
                  <c:v>-3.1857730969591801E-4</c:v>
                </c:pt>
                <c:pt idx="56">
                  <c:v>2.9853289124115698E-6</c:v>
                </c:pt>
                <c:pt idx="57">
                  <c:v>-1.9422951251512699E-4</c:v>
                </c:pt>
                <c:pt idx="58">
                  <c:v>-4.4705341766301999E-4</c:v>
                </c:pt>
                <c:pt idx="59">
                  <c:v>1.05801617075414E-4</c:v>
                </c:pt>
                <c:pt idx="60">
                  <c:v>3.0135671571655299E-4</c:v>
                </c:pt>
                <c:pt idx="61">
                  <c:v>-1.5345587085738299E-4</c:v>
                </c:pt>
                <c:pt idx="62">
                  <c:v>5.2751772870988301E-5</c:v>
                </c:pt>
                <c:pt idx="63">
                  <c:v>3.24810882057392E-4</c:v>
                </c:pt>
                <c:pt idx="64">
                  <c:v>6.2483500211558301E-4</c:v>
                </c:pt>
                <c:pt idx="65">
                  <c:v>4.8703307738915403E-5</c:v>
                </c:pt>
                <c:pt idx="66">
                  <c:v>1.68795052057414E-5</c:v>
                </c:pt>
                <c:pt idx="67">
                  <c:v>-5.2269644994162499E-4</c:v>
                </c:pt>
                <c:pt idx="68">
                  <c:v>-7.1857658831325397E-4</c:v>
                </c:pt>
                <c:pt idx="69">
                  <c:v>-4.8991322182282695E-4</c:v>
                </c:pt>
                <c:pt idx="70">
                  <c:v>-1.20776436022338E-5</c:v>
                </c:pt>
                <c:pt idx="71">
                  <c:v>-6.1281184983644405E-4</c:v>
                </c:pt>
                <c:pt idx="72">
                  <c:v>9.08841550858977E-4</c:v>
                </c:pt>
                <c:pt idx="73">
                  <c:v>-1.0918658500816099E-4</c:v>
                </c:pt>
                <c:pt idx="74">
                  <c:v>5.2030815714319098E-5</c:v>
                </c:pt>
                <c:pt idx="75">
                  <c:v>1.17452681937858E-4</c:v>
                </c:pt>
                <c:pt idx="76">
                  <c:v>5.5332369161676905E-4</c:v>
                </c:pt>
                <c:pt idx="77">
                  <c:v>3.0337423131779502E-4</c:v>
                </c:pt>
                <c:pt idx="78">
                  <c:v>5.6272478128115903E-4</c:v>
                </c:pt>
                <c:pt idx="79">
                  <c:v>-1.1366173721883499E-3</c:v>
                </c:pt>
                <c:pt idx="80">
                  <c:v>3.1677133794384899E-4</c:v>
                </c:pt>
                <c:pt idx="81">
                  <c:v>6.37734951126263E-5</c:v>
                </c:pt>
                <c:pt idx="82">
                  <c:v>-2.80858399337993E-4</c:v>
                </c:pt>
                <c:pt idx="83">
                  <c:v>-4.9236136486092204E-4</c:v>
                </c:pt>
                <c:pt idx="84">
                  <c:v>-3.5399968652398802E-4</c:v>
                </c:pt>
                <c:pt idx="85">
                  <c:v>1.9790727654786299E-4</c:v>
                </c:pt>
                <c:pt idx="86">
                  <c:v>-1.2681710805114099E-4</c:v>
                </c:pt>
                <c:pt idx="87">
                  <c:v>1.3727262089902899E-4</c:v>
                </c:pt>
                <c:pt idx="88">
                  <c:v>-5.3600130686727297E-5</c:v>
                </c:pt>
                <c:pt idx="89">
                  <c:v>2.3326871668759701E-4</c:v>
                </c:pt>
                <c:pt idx="90">
                  <c:v>-2.00829503560889E-4</c:v>
                </c:pt>
                <c:pt idx="91">
                  <c:v>6.0593802825942495E-4</c:v>
                </c:pt>
                <c:pt idx="92">
                  <c:v>-3.74467063687207E-4</c:v>
                </c:pt>
                <c:pt idx="93">
                  <c:v>-1.5085348983854901E-4</c:v>
                </c:pt>
                <c:pt idx="94">
                  <c:v>-5.5736046935375403E-5</c:v>
                </c:pt>
                <c:pt idx="95">
                  <c:v>1.38447655545658E-5</c:v>
                </c:pt>
                <c:pt idx="96">
                  <c:v>-3.9117910486055602E-4</c:v>
                </c:pt>
                <c:pt idx="97">
                  <c:v>6.69329171987403E-5</c:v>
                </c:pt>
                <c:pt idx="98">
                  <c:v>3.8705270072825302E-4</c:v>
                </c:pt>
                <c:pt idx="99">
                  <c:v>-5.0432274366524004E-4</c:v>
                </c:pt>
                <c:pt idx="100">
                  <c:v>-7.59846978142999E-4</c:v>
                </c:pt>
                <c:pt idx="101">
                  <c:v>4.0080882454051803E-5</c:v>
                </c:pt>
                <c:pt idx="102">
                  <c:v>8.9610888332085698E-5</c:v>
                </c:pt>
                <c:pt idx="103">
                  <c:v>6.4030850534347998E-5</c:v>
                </c:pt>
                <c:pt idx="104">
                  <c:v>2.7626599744560402E-4</c:v>
                </c:pt>
                <c:pt idx="105">
                  <c:v>4.6585330553232802E-4</c:v>
                </c:pt>
                <c:pt idx="106">
                  <c:v>-1.81483525857468E-4</c:v>
                </c:pt>
                <c:pt idx="107">
                  <c:v>-8.6602270264854599E-5</c:v>
                </c:pt>
                <c:pt idx="108">
                  <c:v>2.4686890513166203E-4</c:v>
                </c:pt>
                <c:pt idx="109">
                  <c:v>6.4016239169812703E-5</c:v>
                </c:pt>
                <c:pt idx="110">
                  <c:v>2.1731218263354199E-4</c:v>
                </c:pt>
                <c:pt idx="111">
                  <c:v>5.49145651537973E-4</c:v>
                </c:pt>
                <c:pt idx="112">
                  <c:v>6.3733949447608595E-5</c:v>
                </c:pt>
                <c:pt idx="113">
                  <c:v>1.4600070520174099E-4</c:v>
                </c:pt>
                <c:pt idx="114">
                  <c:v>-1.8182124599415599E-4</c:v>
                </c:pt>
                <c:pt idx="115">
                  <c:v>-3.7958069790001102E-4</c:v>
                </c:pt>
                <c:pt idx="116">
                  <c:v>1.2158610041962501E-4</c:v>
                </c:pt>
                <c:pt idx="117">
                  <c:v>2.8498394933706099E-4</c:v>
                </c:pt>
                <c:pt idx="118">
                  <c:v>-5.13521758443613E-4</c:v>
                </c:pt>
                <c:pt idx="119">
                  <c:v>2.7186554270537498E-4</c:v>
                </c:pt>
                <c:pt idx="120">
                  <c:v>-5.1342984282531099E-4</c:v>
                </c:pt>
                <c:pt idx="121">
                  <c:v>-8.8396883712170003E-4</c:v>
                </c:pt>
                <c:pt idx="122">
                  <c:v>-1.06181833452242E-4</c:v>
                </c:pt>
                <c:pt idx="123">
                  <c:v>4.9937650283247005E-4</c:v>
                </c:pt>
                <c:pt idx="124">
                  <c:v>-5.8166788335979602E-4</c:v>
                </c:pt>
                <c:pt idx="125">
                  <c:v>5.3042727440249604E-4</c:v>
                </c:pt>
                <c:pt idx="126">
                  <c:v>5.2835011365234103E-5</c:v>
                </c:pt>
                <c:pt idx="127">
                  <c:v>-1.34983973658154E-4</c:v>
                </c:pt>
                <c:pt idx="128">
                  <c:v>1.30516455968013E-4</c:v>
                </c:pt>
                <c:pt idx="129">
                  <c:v>-8.1780190145263599E-6</c:v>
                </c:pt>
                <c:pt idx="130">
                  <c:v>5.1520741028265098E-5</c:v>
                </c:pt>
                <c:pt idx="131">
                  <c:v>-9.1136824036164597E-5</c:v>
                </c:pt>
                <c:pt idx="132">
                  <c:v>2.6202425670835002E-4</c:v>
                </c:pt>
                <c:pt idx="133">
                  <c:v>2.26366616219904E-4</c:v>
                </c:pt>
                <c:pt idx="134">
                  <c:v>-8.04655774759159E-4</c:v>
                </c:pt>
                <c:pt idx="135">
                  <c:v>6.5796711105568098E-5</c:v>
                </c:pt>
                <c:pt idx="136">
                  <c:v>-9.9439690813434595E-5</c:v>
                </c:pt>
                <c:pt idx="137">
                  <c:v>-2.8554576351073798E-4</c:v>
                </c:pt>
                <c:pt idx="138">
                  <c:v>-5.7557139437755804E-4</c:v>
                </c:pt>
                <c:pt idx="139">
                  <c:v>-2.9649160816248502E-4</c:v>
                </c:pt>
                <c:pt idx="140">
                  <c:v>2.7248126163557798E-4</c:v>
                </c:pt>
                <c:pt idx="141">
                  <c:v>4.3776119868488598E-5</c:v>
                </c:pt>
                <c:pt idx="142">
                  <c:v>6.7342055051374103E-4</c:v>
                </c:pt>
                <c:pt idx="143">
                  <c:v>-1.9617448877949E-4</c:v>
                </c:pt>
                <c:pt idx="144">
                  <c:v>2.9015973174541303E-4</c:v>
                </c:pt>
                <c:pt idx="145">
                  <c:v>-5.3889751329156202E-4</c:v>
                </c:pt>
                <c:pt idx="146">
                  <c:v>4.7316246292294201E-4</c:v>
                </c:pt>
                <c:pt idx="147">
                  <c:v>-4.1189683241134003E-4</c:v>
                </c:pt>
                <c:pt idx="148">
                  <c:v>6.7494615367303702E-4</c:v>
                </c:pt>
                <c:pt idx="149">
                  <c:v>-5.0141477453397899E-4</c:v>
                </c:pt>
                <c:pt idx="150">
                  <c:v>1.5191147535549001E-4</c:v>
                </c:pt>
                <c:pt idx="151">
                  <c:v>2.5701849344958E-4</c:v>
                </c:pt>
                <c:pt idx="152">
                  <c:v>-9.2695608225899502E-5</c:v>
                </c:pt>
                <c:pt idx="153">
                  <c:v>3.8282584362754098E-4</c:v>
                </c:pt>
                <c:pt idx="154">
                  <c:v>-3.0469360419686602E-4</c:v>
                </c:pt>
                <c:pt idx="155">
                  <c:v>1.6200086595009099E-4</c:v>
                </c:pt>
                <c:pt idx="156">
                  <c:v>8.99519910147332E-5</c:v>
                </c:pt>
                <c:pt idx="157">
                  <c:v>7.3853820302561396E-4</c:v>
                </c:pt>
                <c:pt idx="158">
                  <c:v>4.0850708708315499E-4</c:v>
                </c:pt>
                <c:pt idx="159">
                  <c:v>-2.17809885773323E-4</c:v>
                </c:pt>
                <c:pt idx="160">
                  <c:v>-4.6885897585786197E-5</c:v>
                </c:pt>
                <c:pt idx="161">
                  <c:v>2.6076099735168899E-4</c:v>
                </c:pt>
                <c:pt idx="162">
                  <c:v>-2.8334318532560201E-4</c:v>
                </c:pt>
                <c:pt idx="163">
                  <c:v>1.38771799224128E-4</c:v>
                </c:pt>
                <c:pt idx="164">
                  <c:v>1.5039665297976801E-4</c:v>
                </c:pt>
                <c:pt idx="165">
                  <c:v>-3.3698983003275699E-4</c:v>
                </c:pt>
                <c:pt idx="166">
                  <c:v>7.5375241510849706E-5</c:v>
                </c:pt>
                <c:pt idx="167">
                  <c:v>-2.6472961165030799E-4</c:v>
                </c:pt>
                <c:pt idx="168">
                  <c:v>5.41501435687239E-4</c:v>
                </c:pt>
                <c:pt idx="169">
                  <c:v>-5.2798498353419897E-4</c:v>
                </c:pt>
                <c:pt idx="170">
                  <c:v>3.4219062913893098E-4</c:v>
                </c:pt>
                <c:pt idx="171">
                  <c:v>-2.2307182339610901E-4</c:v>
                </c:pt>
                <c:pt idx="172">
                  <c:v>3.72726206368803E-4</c:v>
                </c:pt>
                <c:pt idx="173">
                  <c:v>-3.2237858136233399E-4</c:v>
                </c:pt>
                <c:pt idx="174">
                  <c:v>-9.1308525433115401E-4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A7-4F16-AB89-8D320838D5EB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BSCT* x 20 dma / IBDU*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1.8921113109440199E-4</c:v>
                </c:pt>
                <c:pt idx="21">
                  <c:v>-3.56914066724507E-4</c:v>
                </c:pt>
                <c:pt idx="22">
                  <c:v>1.9688582934929E-4</c:v>
                </c:pt>
                <c:pt idx="23">
                  <c:v>7.3081460185922304E-4</c:v>
                </c:pt>
                <c:pt idx="24">
                  <c:v>-3.3062678757764702E-4</c:v>
                </c:pt>
                <c:pt idx="25">
                  <c:v>7.3472891409348204E-4</c:v>
                </c:pt>
                <c:pt idx="26">
                  <c:v>-1.5744066744212399E-4</c:v>
                </c:pt>
                <c:pt idx="27">
                  <c:v>1.6390572683659099E-4</c:v>
                </c:pt>
                <c:pt idx="28">
                  <c:v>-8.2390016001014399E-5</c:v>
                </c:pt>
                <c:pt idx="29">
                  <c:v>-2.0408386495443301E-4</c:v>
                </c:pt>
                <c:pt idx="30">
                  <c:v>-1.7731722378063299E-4</c:v>
                </c:pt>
                <c:pt idx="31">
                  <c:v>-1.71901703193406E-4</c:v>
                </c:pt>
                <c:pt idx="32">
                  <c:v>7.9802236893965304E-4</c:v>
                </c:pt>
                <c:pt idx="33">
                  <c:v>-8.7568316178473295E-5</c:v>
                </c:pt>
                <c:pt idx="34">
                  <c:v>-4.4076417518875799E-4</c:v>
                </c:pt>
                <c:pt idx="35">
                  <c:v>-5.1657833559993897E-4</c:v>
                </c:pt>
                <c:pt idx="36">
                  <c:v>-6.0867852777807198E-4</c:v>
                </c:pt>
                <c:pt idx="37">
                  <c:v>-1.4498264130324799E-3</c:v>
                </c:pt>
                <c:pt idx="38">
                  <c:v>2.9829092168363598E-4</c:v>
                </c:pt>
                <c:pt idx="39">
                  <c:v>4.0130541287655301E-4</c:v>
                </c:pt>
                <c:pt idx="40">
                  <c:v>8.0354095056942899E-4</c:v>
                </c:pt>
                <c:pt idx="41">
                  <c:v>-3.8006316681386799E-4</c:v>
                </c:pt>
                <c:pt idx="42">
                  <c:v>-5.5378630596084401E-5</c:v>
                </c:pt>
                <c:pt idx="43">
                  <c:v>-1.44477599425372E-4</c:v>
                </c:pt>
                <c:pt idx="44">
                  <c:v>1.0600931064045E-4</c:v>
                </c:pt>
                <c:pt idx="45">
                  <c:v>7.3126128350741598E-4</c:v>
                </c:pt>
                <c:pt idx="46">
                  <c:v>-2.0659556586443E-4</c:v>
                </c:pt>
                <c:pt idx="47">
                  <c:v>-7.0625190994061599E-4</c:v>
                </c:pt>
                <c:pt idx="48">
                  <c:v>-2.3054255219299001E-4</c:v>
                </c:pt>
                <c:pt idx="49">
                  <c:v>-7.2055925993546299E-6</c:v>
                </c:pt>
                <c:pt idx="50">
                  <c:v>-5.5005428748098196E-4</c:v>
                </c:pt>
                <c:pt idx="51">
                  <c:v>-1.8810377688623201E-4</c:v>
                </c:pt>
                <c:pt idx="52">
                  <c:v>5.6019271499731097E-4</c:v>
                </c:pt>
                <c:pt idx="53">
                  <c:v>1.79642299842167E-4</c:v>
                </c:pt>
                <c:pt idx="54">
                  <c:v>2.43773705287647E-4</c:v>
                </c:pt>
                <c:pt idx="55">
                  <c:v>-2.9833783154285402E-4</c:v>
                </c:pt>
                <c:pt idx="56">
                  <c:v>-9.2239105503751903E-5</c:v>
                </c:pt>
                <c:pt idx="57">
                  <c:v>-3.0568854609909003E-4</c:v>
                </c:pt>
                <c:pt idx="58">
                  <c:v>-5.7623099318717102E-4</c:v>
                </c:pt>
                <c:pt idx="59">
                  <c:v>-1.0869884999007701E-5</c:v>
                </c:pt>
                <c:pt idx="60">
                  <c:v>2.0786607456259201E-4</c:v>
                </c:pt>
                <c:pt idx="61">
                  <c:v>-1.38614527877906E-4</c:v>
                </c:pt>
                <c:pt idx="62">
                  <c:v>6.5525342674121806E-5</c:v>
                </c:pt>
                <c:pt idx="63">
                  <c:v>2.8812227814433501E-4</c:v>
                </c:pt>
                <c:pt idx="64">
                  <c:v>5.8462365479786701E-4</c:v>
                </c:pt>
                <c:pt idx="65">
                  <c:v>2.41622155055358E-5</c:v>
                </c:pt>
                <c:pt idx="66">
                  <c:v>6.5013957235642594E-5</c:v>
                </c:pt>
                <c:pt idx="67">
                  <c:v>-4.6967978307742899E-4</c:v>
                </c:pt>
                <c:pt idx="68">
                  <c:v>-6.9284311480245905E-4</c:v>
                </c:pt>
                <c:pt idx="69">
                  <c:v>-4.5893311172272999E-4</c:v>
                </c:pt>
                <c:pt idx="70">
                  <c:v>-7.1832571497128102E-6</c:v>
                </c:pt>
                <c:pt idx="71">
                  <c:v>-6.5933730798315598E-4</c:v>
                </c:pt>
                <c:pt idx="72">
                  <c:v>8.3432268000909295E-4</c:v>
                </c:pt>
                <c:pt idx="73">
                  <c:v>-1.2218595412229801E-4</c:v>
                </c:pt>
                <c:pt idx="74">
                  <c:v>1.11896254291719E-5</c:v>
                </c:pt>
                <c:pt idx="75">
                  <c:v>2.6865835490913501E-5</c:v>
                </c:pt>
                <c:pt idx="76">
                  <c:v>4.41206507914459E-4</c:v>
                </c:pt>
                <c:pt idx="77">
                  <c:v>2.0135159419506501E-4</c:v>
                </c:pt>
                <c:pt idx="78">
                  <c:v>5.0292695666817404E-4</c:v>
                </c:pt>
                <c:pt idx="79">
                  <c:v>-1.1273179830299199E-3</c:v>
                </c:pt>
                <c:pt idx="80">
                  <c:v>3.2133358489939301E-4</c:v>
                </c:pt>
                <c:pt idx="81">
                  <c:v>1.00412792617841E-4</c:v>
                </c:pt>
                <c:pt idx="82">
                  <c:v>-1.7907939975163599E-4</c:v>
                </c:pt>
                <c:pt idx="83">
                  <c:v>-4.7521606879721802E-4</c:v>
                </c:pt>
                <c:pt idx="84">
                  <c:v>-3.3130723479765103E-4</c:v>
                </c:pt>
                <c:pt idx="85">
                  <c:v>2.3527598952594099E-4</c:v>
                </c:pt>
                <c:pt idx="86">
                  <c:v>-7.6068529242837805E-5</c:v>
                </c:pt>
                <c:pt idx="87">
                  <c:v>1.4348925167045101E-4</c:v>
                </c:pt>
                <c:pt idx="88">
                  <c:v>-8.6166659490591302E-5</c:v>
                </c:pt>
                <c:pt idx="89">
                  <c:v>1.08557887336036E-4</c:v>
                </c:pt>
                <c:pt idx="90">
                  <c:v>-2.3807338027628401E-4</c:v>
                </c:pt>
                <c:pt idx="91">
                  <c:v>5.2219969855300005E-4</c:v>
                </c:pt>
                <c:pt idx="92">
                  <c:v>-4.7698329648955898E-4</c:v>
                </c:pt>
                <c:pt idx="93">
                  <c:v>-2.1901365167960801E-4</c:v>
                </c:pt>
                <c:pt idx="94">
                  <c:v>-9.6186396229316098E-5</c:v>
                </c:pt>
                <c:pt idx="95">
                  <c:v>2.2987477947682399E-6</c:v>
                </c:pt>
                <c:pt idx="96">
                  <c:v>-4.2083981788809102E-4</c:v>
                </c:pt>
                <c:pt idx="97">
                  <c:v>5.00110154370788E-5</c:v>
                </c:pt>
                <c:pt idx="98">
                  <c:v>3.7260393308545699E-4</c:v>
                </c:pt>
                <c:pt idx="99">
                  <c:v>-4.6412434921390601E-4</c:v>
                </c:pt>
                <c:pt idx="100">
                  <c:v>-8.0855662224308604E-4</c:v>
                </c:pt>
                <c:pt idx="101">
                  <c:v>-1.18628433495076E-5</c:v>
                </c:pt>
                <c:pt idx="102">
                  <c:v>-1.45290079622355E-5</c:v>
                </c:pt>
                <c:pt idx="103">
                  <c:v>-1.23858086821821E-5</c:v>
                </c:pt>
                <c:pt idx="104">
                  <c:v>1.92690226283191E-4</c:v>
                </c:pt>
                <c:pt idx="105">
                  <c:v>3.79648433335347E-4</c:v>
                </c:pt>
                <c:pt idx="106">
                  <c:v>-2.4335858290556599E-4</c:v>
                </c:pt>
                <c:pt idx="107">
                  <c:v>-1.27992654962403E-4</c:v>
                </c:pt>
                <c:pt idx="108">
                  <c:v>1.9887198722518001E-4</c:v>
                </c:pt>
                <c:pt idx="109">
                  <c:v>-1.63675966076954E-5</c:v>
                </c:pt>
                <c:pt idx="110">
                  <c:v>1.9017150016531299E-4</c:v>
                </c:pt>
                <c:pt idx="111">
                  <c:v>6.0099824547305198E-4</c:v>
                </c:pt>
                <c:pt idx="112">
                  <c:v>1.79697478372503E-4</c:v>
                </c:pt>
                <c:pt idx="113">
                  <c:v>2.59476274373561E-4</c:v>
                </c:pt>
                <c:pt idx="114">
                  <c:v>-5.6000591260766102E-5</c:v>
                </c:pt>
                <c:pt idx="115">
                  <c:v>-2.7232664559705301E-4</c:v>
                </c:pt>
                <c:pt idx="116">
                  <c:v>1.83313202610239E-4</c:v>
                </c:pt>
                <c:pt idx="117">
                  <c:v>3.6374259407367498E-4</c:v>
                </c:pt>
                <c:pt idx="118">
                  <c:v>-3.9648897143545499E-4</c:v>
                </c:pt>
                <c:pt idx="119">
                  <c:v>3.7437844855186701E-4</c:v>
                </c:pt>
                <c:pt idx="120">
                  <c:v>-4.1065611069347898E-4</c:v>
                </c:pt>
                <c:pt idx="121">
                  <c:v>-8.5362333070743699E-4</c:v>
                </c:pt>
                <c:pt idx="122">
                  <c:v>-1.7509636450068901E-4</c:v>
                </c:pt>
                <c:pt idx="123">
                  <c:v>4.0477521844136901E-4</c:v>
                </c:pt>
                <c:pt idx="124">
                  <c:v>-6.8350937485657905E-4</c:v>
                </c:pt>
                <c:pt idx="125">
                  <c:v>4.0872725913640998E-4</c:v>
                </c:pt>
                <c:pt idx="126">
                  <c:v>-3.9986993434931199E-6</c:v>
                </c:pt>
                <c:pt idx="127">
                  <c:v>-2.22263591631793E-4</c:v>
                </c:pt>
                <c:pt idx="128">
                  <c:v>-1.2932737963268301E-5</c:v>
                </c:pt>
                <c:pt idx="129">
                  <c:v>-1.07452599940566E-4</c:v>
                </c:pt>
                <c:pt idx="130">
                  <c:v>-9.2314754891238899E-5</c:v>
                </c:pt>
                <c:pt idx="131">
                  <c:v>-1.9484678829322999E-4</c:v>
                </c:pt>
                <c:pt idx="132">
                  <c:v>2.5622117874825301E-4</c:v>
                </c:pt>
                <c:pt idx="133">
                  <c:v>2.53779226564997E-4</c:v>
                </c:pt>
                <c:pt idx="134">
                  <c:v>-7.9635385535637196E-4</c:v>
                </c:pt>
                <c:pt idx="135">
                  <c:v>9.3957188643980301E-5</c:v>
                </c:pt>
                <c:pt idx="136">
                  <c:v>-1.25013073839599E-4</c:v>
                </c:pt>
                <c:pt idx="137">
                  <c:v>-3.1217040855783097E-4</c:v>
                </c:pt>
                <c:pt idx="138">
                  <c:v>-5.8266769365387797E-4</c:v>
                </c:pt>
                <c:pt idx="139">
                  <c:v>-3.5746370046182502E-4</c:v>
                </c:pt>
                <c:pt idx="140">
                  <c:v>2.1491846589867801E-4</c:v>
                </c:pt>
                <c:pt idx="141">
                  <c:v>-2.2360043435017901E-5</c:v>
                </c:pt>
                <c:pt idx="142">
                  <c:v>5.7813638527314198E-4</c:v>
                </c:pt>
                <c:pt idx="143">
                  <c:v>-2.9825195226214899E-4</c:v>
                </c:pt>
                <c:pt idx="144">
                  <c:v>1.6765938496424501E-4</c:v>
                </c:pt>
                <c:pt idx="145">
                  <c:v>-6.0857907268268901E-4</c:v>
                </c:pt>
                <c:pt idx="146">
                  <c:v>3.86683873566293E-4</c:v>
                </c:pt>
                <c:pt idx="147">
                  <c:v>-4.6822978217783402E-4</c:v>
                </c:pt>
                <c:pt idx="148">
                  <c:v>6.1685130281695204E-4</c:v>
                </c:pt>
                <c:pt idx="149">
                  <c:v>-4.66776895400297E-4</c:v>
                </c:pt>
                <c:pt idx="150">
                  <c:v>2.00279126534064E-4</c:v>
                </c:pt>
                <c:pt idx="151">
                  <c:v>2.9890376057859099E-4</c:v>
                </c:pt>
                <c:pt idx="152">
                  <c:v>-3.6092256103765398E-5</c:v>
                </c:pt>
                <c:pt idx="153">
                  <c:v>3.95755888003382E-4</c:v>
                </c:pt>
                <c:pt idx="154">
                  <c:v>-2.3018870184608899E-4</c:v>
                </c:pt>
                <c:pt idx="155">
                  <c:v>1.71711737004997E-4</c:v>
                </c:pt>
                <c:pt idx="156">
                  <c:v>1.72898626987443E-4</c:v>
                </c:pt>
                <c:pt idx="157">
                  <c:v>7.9064201571891503E-4</c:v>
                </c:pt>
                <c:pt idx="158">
                  <c:v>5.3530089843454101E-4</c:v>
                </c:pt>
                <c:pt idx="159">
                  <c:v>-1.4837814023639499E-4</c:v>
                </c:pt>
                <c:pt idx="160">
                  <c:v>5.0466191158822401E-5</c:v>
                </c:pt>
                <c:pt idx="161">
                  <c:v>3.5909968436185298E-4</c:v>
                </c:pt>
                <c:pt idx="162">
                  <c:v>-1.89835126363398E-4</c:v>
                </c:pt>
                <c:pt idx="163">
                  <c:v>2.6473829610150398E-4</c:v>
                </c:pt>
                <c:pt idx="164">
                  <c:v>2.46511440615861E-4</c:v>
                </c:pt>
                <c:pt idx="165">
                  <c:v>-1.8620232773630801E-4</c:v>
                </c:pt>
                <c:pt idx="166">
                  <c:v>1.80258263038996E-4</c:v>
                </c:pt>
                <c:pt idx="167">
                  <c:v>-1.3922105979710301E-4</c:v>
                </c:pt>
                <c:pt idx="168">
                  <c:v>5.6666574976443201E-4</c:v>
                </c:pt>
                <c:pt idx="169">
                  <c:v>-4.93015187272598E-4</c:v>
                </c:pt>
                <c:pt idx="170">
                  <c:v>3.44010533995527E-4</c:v>
                </c:pt>
                <c:pt idx="171">
                  <c:v>-2.0141320398470701E-4</c:v>
                </c:pt>
                <c:pt idx="172">
                  <c:v>3.6234026349895801E-4</c:v>
                </c:pt>
                <c:pt idx="173">
                  <c:v>-3.00818154530256E-4</c:v>
                </c:pt>
                <c:pt idx="174">
                  <c:v>-9.1282159360410204E-4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A7-4F16-AB89-8D320838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IBDU*/BSCT*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1.24274983567304</c:v>
                </c:pt>
                <c:pt idx="1">
                  <c:v>1.24274983567304</c:v>
                </c:pt>
                <c:pt idx="2">
                  <c:v>1.24274983567304</c:v>
                </c:pt>
                <c:pt idx="3">
                  <c:v>1.24274983567304</c:v>
                </c:pt>
                <c:pt idx="4">
                  <c:v>1.24274983567304</c:v>
                </c:pt>
                <c:pt idx="5">
                  <c:v>1.24274983567304</c:v>
                </c:pt>
                <c:pt idx="6">
                  <c:v>1.24274983567304</c:v>
                </c:pt>
                <c:pt idx="7">
                  <c:v>1.24274983567304</c:v>
                </c:pt>
                <c:pt idx="8">
                  <c:v>1.24274983567304</c:v>
                </c:pt>
                <c:pt idx="9">
                  <c:v>1.24274983567304</c:v>
                </c:pt>
                <c:pt idx="10">
                  <c:v>1.24274983567304</c:v>
                </c:pt>
                <c:pt idx="11">
                  <c:v>1.24274983567304</c:v>
                </c:pt>
                <c:pt idx="12">
                  <c:v>1.24274983567304</c:v>
                </c:pt>
                <c:pt idx="13">
                  <c:v>1.24274983567304</c:v>
                </c:pt>
                <c:pt idx="14">
                  <c:v>1.24274983567304</c:v>
                </c:pt>
                <c:pt idx="15">
                  <c:v>1.24274983567304</c:v>
                </c:pt>
                <c:pt idx="16">
                  <c:v>1.24274983567304</c:v>
                </c:pt>
                <c:pt idx="17">
                  <c:v>1.24274983567304</c:v>
                </c:pt>
                <c:pt idx="18">
                  <c:v>1.24274983567304</c:v>
                </c:pt>
                <c:pt idx="19">
                  <c:v>1.24274983567304</c:v>
                </c:pt>
                <c:pt idx="20">
                  <c:v>1.24274983567304</c:v>
                </c:pt>
                <c:pt idx="21">
                  <c:v>1.24274983567304</c:v>
                </c:pt>
                <c:pt idx="22">
                  <c:v>1.24274983567304</c:v>
                </c:pt>
                <c:pt idx="23">
                  <c:v>1.24274983567304</c:v>
                </c:pt>
                <c:pt idx="24">
                  <c:v>1.24274983567304</c:v>
                </c:pt>
                <c:pt idx="25">
                  <c:v>1.24274983567304</c:v>
                </c:pt>
                <c:pt idx="26">
                  <c:v>1.24274983567304</c:v>
                </c:pt>
                <c:pt idx="27">
                  <c:v>1.24274983567304</c:v>
                </c:pt>
                <c:pt idx="28">
                  <c:v>1.24274983567304</c:v>
                </c:pt>
                <c:pt idx="29">
                  <c:v>1.24274983567304</c:v>
                </c:pt>
                <c:pt idx="30">
                  <c:v>1.24274983567304</c:v>
                </c:pt>
                <c:pt idx="31">
                  <c:v>1.24274983567304</c:v>
                </c:pt>
                <c:pt idx="32">
                  <c:v>1.24274983567304</c:v>
                </c:pt>
                <c:pt idx="33">
                  <c:v>1.24274983567304</c:v>
                </c:pt>
                <c:pt idx="34">
                  <c:v>1.24274983567304</c:v>
                </c:pt>
                <c:pt idx="35">
                  <c:v>1.24274983567304</c:v>
                </c:pt>
                <c:pt idx="36">
                  <c:v>1.24274983567304</c:v>
                </c:pt>
                <c:pt idx="37">
                  <c:v>1.24274983567304</c:v>
                </c:pt>
                <c:pt idx="38">
                  <c:v>1.24274983567304</c:v>
                </c:pt>
                <c:pt idx="39">
                  <c:v>1.24274983567304</c:v>
                </c:pt>
                <c:pt idx="40">
                  <c:v>1.24274983567304</c:v>
                </c:pt>
                <c:pt idx="41">
                  <c:v>1.24274983567304</c:v>
                </c:pt>
                <c:pt idx="42">
                  <c:v>1.24274983567304</c:v>
                </c:pt>
                <c:pt idx="43">
                  <c:v>1.24274983567304</c:v>
                </c:pt>
                <c:pt idx="44">
                  <c:v>1.24274983567304</c:v>
                </c:pt>
                <c:pt idx="45">
                  <c:v>1.24274983567304</c:v>
                </c:pt>
                <c:pt idx="46">
                  <c:v>1.24274983567304</c:v>
                </c:pt>
                <c:pt idx="47">
                  <c:v>1.24274983567304</c:v>
                </c:pt>
                <c:pt idx="48">
                  <c:v>1.24274983567304</c:v>
                </c:pt>
                <c:pt idx="49">
                  <c:v>1.24274983567304</c:v>
                </c:pt>
                <c:pt idx="50">
                  <c:v>1.24274983567304</c:v>
                </c:pt>
                <c:pt idx="51">
                  <c:v>1.24274983567304</c:v>
                </c:pt>
                <c:pt idx="52">
                  <c:v>1.24274983567304</c:v>
                </c:pt>
                <c:pt idx="53">
                  <c:v>1.24274983567304</c:v>
                </c:pt>
                <c:pt idx="54">
                  <c:v>1.24274983567304</c:v>
                </c:pt>
                <c:pt idx="55">
                  <c:v>1.24274983567304</c:v>
                </c:pt>
                <c:pt idx="56">
                  <c:v>1.24274983567304</c:v>
                </c:pt>
                <c:pt idx="57">
                  <c:v>1.24274983567304</c:v>
                </c:pt>
                <c:pt idx="58">
                  <c:v>1.24274983567304</c:v>
                </c:pt>
                <c:pt idx="59">
                  <c:v>1.24274983567304</c:v>
                </c:pt>
                <c:pt idx="60">
                  <c:v>1.24274983567304</c:v>
                </c:pt>
                <c:pt idx="61">
                  <c:v>1.24274983567304</c:v>
                </c:pt>
                <c:pt idx="62">
                  <c:v>1.24274983567304</c:v>
                </c:pt>
                <c:pt idx="63">
                  <c:v>1.24274983567304</c:v>
                </c:pt>
                <c:pt idx="64">
                  <c:v>1.24274983567304</c:v>
                </c:pt>
                <c:pt idx="65">
                  <c:v>1.24274983567304</c:v>
                </c:pt>
                <c:pt idx="66">
                  <c:v>1.24274983567304</c:v>
                </c:pt>
                <c:pt idx="67">
                  <c:v>1.24274983567304</c:v>
                </c:pt>
                <c:pt idx="68">
                  <c:v>1.24274983567304</c:v>
                </c:pt>
                <c:pt idx="69">
                  <c:v>1.24274983567304</c:v>
                </c:pt>
                <c:pt idx="70">
                  <c:v>1.24274983567304</c:v>
                </c:pt>
                <c:pt idx="71">
                  <c:v>1.24274983567304</c:v>
                </c:pt>
                <c:pt idx="72">
                  <c:v>1.24274983567304</c:v>
                </c:pt>
                <c:pt idx="73">
                  <c:v>1.24274983567304</c:v>
                </c:pt>
                <c:pt idx="74">
                  <c:v>1.24274983567304</c:v>
                </c:pt>
                <c:pt idx="75">
                  <c:v>1.24274983567304</c:v>
                </c:pt>
                <c:pt idx="76">
                  <c:v>1.24274983567304</c:v>
                </c:pt>
                <c:pt idx="77">
                  <c:v>1.24274983567304</c:v>
                </c:pt>
                <c:pt idx="78">
                  <c:v>1.24274983567304</c:v>
                </c:pt>
                <c:pt idx="79">
                  <c:v>1.24274983567304</c:v>
                </c:pt>
                <c:pt idx="80">
                  <c:v>1.24274983567304</c:v>
                </c:pt>
                <c:pt idx="81">
                  <c:v>1.24274983567304</c:v>
                </c:pt>
                <c:pt idx="82">
                  <c:v>1.24274983567304</c:v>
                </c:pt>
                <c:pt idx="83">
                  <c:v>1.24274983567304</c:v>
                </c:pt>
                <c:pt idx="84">
                  <c:v>1.24274983567304</c:v>
                </c:pt>
                <c:pt idx="85">
                  <c:v>1.24274983567304</c:v>
                </c:pt>
                <c:pt idx="86">
                  <c:v>1.24274983567304</c:v>
                </c:pt>
                <c:pt idx="87">
                  <c:v>1.24274983567304</c:v>
                </c:pt>
                <c:pt idx="88">
                  <c:v>1.24274983567304</c:v>
                </c:pt>
                <c:pt idx="89">
                  <c:v>1.24274983567304</c:v>
                </c:pt>
                <c:pt idx="90">
                  <c:v>1.24274983567304</c:v>
                </c:pt>
                <c:pt idx="91">
                  <c:v>1.24274983567304</c:v>
                </c:pt>
                <c:pt idx="92">
                  <c:v>1.24274983567304</c:v>
                </c:pt>
                <c:pt idx="93">
                  <c:v>1.24274983567304</c:v>
                </c:pt>
                <c:pt idx="94">
                  <c:v>1.24274983567304</c:v>
                </c:pt>
                <c:pt idx="95">
                  <c:v>1.24274983567304</c:v>
                </c:pt>
                <c:pt idx="96">
                  <c:v>1.24274983567304</c:v>
                </c:pt>
                <c:pt idx="97">
                  <c:v>1.24274983567304</c:v>
                </c:pt>
                <c:pt idx="98">
                  <c:v>1.24274983567304</c:v>
                </c:pt>
                <c:pt idx="99">
                  <c:v>1.24274983567304</c:v>
                </c:pt>
                <c:pt idx="100">
                  <c:v>1.24274983567304</c:v>
                </c:pt>
                <c:pt idx="101">
                  <c:v>1.24274983567304</c:v>
                </c:pt>
                <c:pt idx="102">
                  <c:v>1.24274983567304</c:v>
                </c:pt>
                <c:pt idx="103">
                  <c:v>1.24274983567304</c:v>
                </c:pt>
                <c:pt idx="104">
                  <c:v>1.24274983567304</c:v>
                </c:pt>
                <c:pt idx="105">
                  <c:v>1.24274983567304</c:v>
                </c:pt>
                <c:pt idx="106">
                  <c:v>1.24274983567304</c:v>
                </c:pt>
                <c:pt idx="107">
                  <c:v>1.24274983567304</c:v>
                </c:pt>
                <c:pt idx="108">
                  <c:v>1.24274983567304</c:v>
                </c:pt>
                <c:pt idx="109">
                  <c:v>1.24274983567304</c:v>
                </c:pt>
                <c:pt idx="110">
                  <c:v>1.24274983567304</c:v>
                </c:pt>
                <c:pt idx="111">
                  <c:v>1.24274983567304</c:v>
                </c:pt>
                <c:pt idx="112">
                  <c:v>1.24274983567304</c:v>
                </c:pt>
                <c:pt idx="113">
                  <c:v>1.24274983567304</c:v>
                </c:pt>
                <c:pt idx="114">
                  <c:v>1.24274983567304</c:v>
                </c:pt>
                <c:pt idx="115">
                  <c:v>1.24274983567304</c:v>
                </c:pt>
                <c:pt idx="116">
                  <c:v>1.24274983567304</c:v>
                </c:pt>
                <c:pt idx="117">
                  <c:v>1.24274983567304</c:v>
                </c:pt>
                <c:pt idx="118">
                  <c:v>1.24274983567304</c:v>
                </c:pt>
                <c:pt idx="119">
                  <c:v>1.24274983567304</c:v>
                </c:pt>
                <c:pt idx="120">
                  <c:v>1.24274983567304</c:v>
                </c:pt>
                <c:pt idx="121">
                  <c:v>1.24274983567304</c:v>
                </c:pt>
                <c:pt idx="122">
                  <c:v>1.24274983567304</c:v>
                </c:pt>
                <c:pt idx="123">
                  <c:v>1.24274983567304</c:v>
                </c:pt>
                <c:pt idx="124">
                  <c:v>1.24274983567304</c:v>
                </c:pt>
                <c:pt idx="125">
                  <c:v>1.24274983567304</c:v>
                </c:pt>
                <c:pt idx="126">
                  <c:v>1.24274983567304</c:v>
                </c:pt>
                <c:pt idx="127">
                  <c:v>1.24274983567304</c:v>
                </c:pt>
                <c:pt idx="128">
                  <c:v>1.24274983567304</c:v>
                </c:pt>
                <c:pt idx="129">
                  <c:v>1.24274983567304</c:v>
                </c:pt>
                <c:pt idx="130">
                  <c:v>1.24274983567304</c:v>
                </c:pt>
                <c:pt idx="131">
                  <c:v>1.24274983567304</c:v>
                </c:pt>
                <c:pt idx="132">
                  <c:v>1.24274983567304</c:v>
                </c:pt>
                <c:pt idx="133">
                  <c:v>1.24274983567304</c:v>
                </c:pt>
                <c:pt idx="134">
                  <c:v>1.24274983567304</c:v>
                </c:pt>
                <c:pt idx="135">
                  <c:v>1.24274983567304</c:v>
                </c:pt>
                <c:pt idx="136">
                  <c:v>1.24274983567304</c:v>
                </c:pt>
                <c:pt idx="137">
                  <c:v>1.24274983567304</c:v>
                </c:pt>
                <c:pt idx="138">
                  <c:v>1.24274983567304</c:v>
                </c:pt>
                <c:pt idx="139">
                  <c:v>1.24274983567304</c:v>
                </c:pt>
                <c:pt idx="140">
                  <c:v>1.24274983567304</c:v>
                </c:pt>
                <c:pt idx="141">
                  <c:v>1.24274983567304</c:v>
                </c:pt>
                <c:pt idx="142">
                  <c:v>1.24274983567304</c:v>
                </c:pt>
                <c:pt idx="143">
                  <c:v>1.24274983567304</c:v>
                </c:pt>
                <c:pt idx="144">
                  <c:v>1.24274983567304</c:v>
                </c:pt>
                <c:pt idx="145">
                  <c:v>1.24274983567304</c:v>
                </c:pt>
                <c:pt idx="146">
                  <c:v>1.24274983567304</c:v>
                </c:pt>
                <c:pt idx="147">
                  <c:v>1.24274983567304</c:v>
                </c:pt>
                <c:pt idx="148">
                  <c:v>1.24274983567304</c:v>
                </c:pt>
                <c:pt idx="149">
                  <c:v>1.24274983567304</c:v>
                </c:pt>
                <c:pt idx="150">
                  <c:v>1.24274983567304</c:v>
                </c:pt>
                <c:pt idx="151">
                  <c:v>1.24274983567304</c:v>
                </c:pt>
                <c:pt idx="152">
                  <c:v>1.24274983567304</c:v>
                </c:pt>
                <c:pt idx="153">
                  <c:v>1.24274983567304</c:v>
                </c:pt>
                <c:pt idx="154">
                  <c:v>1.24274983567304</c:v>
                </c:pt>
                <c:pt idx="155">
                  <c:v>1.24274983567304</c:v>
                </c:pt>
                <c:pt idx="156">
                  <c:v>1.24274983567304</c:v>
                </c:pt>
                <c:pt idx="157">
                  <c:v>1.24274983567304</c:v>
                </c:pt>
                <c:pt idx="158">
                  <c:v>1.24274983567304</c:v>
                </c:pt>
                <c:pt idx="159">
                  <c:v>1.24274983567304</c:v>
                </c:pt>
                <c:pt idx="160">
                  <c:v>1.24274983567304</c:v>
                </c:pt>
                <c:pt idx="161">
                  <c:v>1.24274983567304</c:v>
                </c:pt>
                <c:pt idx="162">
                  <c:v>1.24274983567304</c:v>
                </c:pt>
                <c:pt idx="163">
                  <c:v>1.24274983567304</c:v>
                </c:pt>
                <c:pt idx="164">
                  <c:v>1.24274983567304</c:v>
                </c:pt>
                <c:pt idx="165">
                  <c:v>1.24274983567304</c:v>
                </c:pt>
                <c:pt idx="166">
                  <c:v>1.24274983567304</c:v>
                </c:pt>
                <c:pt idx="167">
                  <c:v>1.24274983567304</c:v>
                </c:pt>
                <c:pt idx="168">
                  <c:v>1.24274983567304</c:v>
                </c:pt>
                <c:pt idx="169">
                  <c:v>1.24274983567304</c:v>
                </c:pt>
                <c:pt idx="170">
                  <c:v>1.24274983567304</c:v>
                </c:pt>
                <c:pt idx="171">
                  <c:v>1.24274983567304</c:v>
                </c:pt>
                <c:pt idx="172">
                  <c:v>1.24274983567304</c:v>
                </c:pt>
                <c:pt idx="173">
                  <c:v>1.24274983567304</c:v>
                </c:pt>
                <c:pt idx="174">
                  <c:v>1.24274983567304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42-44D5-8FC7-AC79A19C9681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IBDU*/BSCT*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1.24231027582946</c:v>
                </c:pt>
                <c:pt idx="10">
                  <c:v>1.24229740744738</c:v>
                </c:pt>
                <c:pt idx="11">
                  <c:v>1.2422867169226399</c:v>
                </c:pt>
                <c:pt idx="12">
                  <c:v>1.2423563727931</c:v>
                </c:pt>
                <c:pt idx="13">
                  <c:v>1.24242602866355</c:v>
                </c:pt>
                <c:pt idx="14">
                  <c:v>1.2423912826032999</c:v>
                </c:pt>
                <c:pt idx="15">
                  <c:v>1.2424095323426001</c:v>
                </c:pt>
                <c:pt idx="16">
                  <c:v>1.2424550193925701</c:v>
                </c:pt>
                <c:pt idx="17">
                  <c:v>1.2424202676031999</c:v>
                </c:pt>
                <c:pt idx="18">
                  <c:v>1.2423855925934899</c:v>
                </c:pt>
                <c:pt idx="19">
                  <c:v>1.2424456447374399</c:v>
                </c:pt>
                <c:pt idx="20">
                  <c:v>1.2424159039853999</c:v>
                </c:pt>
                <c:pt idx="21">
                  <c:v>1.2424882734693601</c:v>
                </c:pt>
                <c:pt idx="22">
                  <c:v>1.24246756686471</c:v>
                </c:pt>
                <c:pt idx="23">
                  <c:v>1.2423830020537401</c:v>
                </c:pt>
                <c:pt idx="24">
                  <c:v>1.24244238345029</c:v>
                </c:pt>
                <c:pt idx="25">
                  <c:v>1.24231766637056</c:v>
                </c:pt>
                <c:pt idx="26">
                  <c:v>1.2422712004392</c:v>
                </c:pt>
                <c:pt idx="27">
                  <c:v>1.2422377024822999</c:v>
                </c:pt>
                <c:pt idx="28">
                  <c:v>1.24225703739217</c:v>
                </c:pt>
                <c:pt idx="29">
                  <c:v>1.24226349167602</c:v>
                </c:pt>
                <c:pt idx="30">
                  <c:v>1.2423066884579801</c:v>
                </c:pt>
                <c:pt idx="31">
                  <c:v>1.2422841613758699</c:v>
                </c:pt>
                <c:pt idx="32">
                  <c:v>1.2422093863902199</c:v>
                </c:pt>
                <c:pt idx="33">
                  <c:v>1.2423036806062699</c:v>
                </c:pt>
                <c:pt idx="34">
                  <c:v>1.2423112493039401</c:v>
                </c:pt>
                <c:pt idx="35">
                  <c:v>1.2424626931440199</c:v>
                </c:pt>
                <c:pt idx="36">
                  <c:v>1.2425214344306801</c:v>
                </c:pt>
                <c:pt idx="37">
                  <c:v>1.24272537309514</c:v>
                </c:pt>
                <c:pt idx="38">
                  <c:v>1.2426933358283601</c:v>
                </c:pt>
                <c:pt idx="39">
                  <c:v>1.2426335154309001</c:v>
                </c:pt>
                <c:pt idx="40">
                  <c:v>1.24252108220128</c:v>
                </c:pt>
                <c:pt idx="41">
                  <c:v>1.24255221142401</c:v>
                </c:pt>
                <c:pt idx="42">
                  <c:v>1.2426613945037499</c:v>
                </c:pt>
                <c:pt idx="43">
                  <c:v>1.2426781581655599</c:v>
                </c:pt>
                <c:pt idx="44">
                  <c:v>1.2426249749954099</c:v>
                </c:pt>
                <c:pt idx="45">
                  <c:v>1.2424790858277299</c:v>
                </c:pt>
                <c:pt idx="46">
                  <c:v>1.2424371837081001</c:v>
                </c:pt>
                <c:pt idx="47">
                  <c:v>1.24235300766586</c:v>
                </c:pt>
                <c:pt idx="48">
                  <c:v>1.2424244786121601</c:v>
                </c:pt>
                <c:pt idx="49">
                  <c:v>1.24248359721204</c:v>
                </c:pt>
                <c:pt idx="50">
                  <c:v>1.2426627644806401</c:v>
                </c:pt>
                <c:pt idx="51">
                  <c:v>1.24265671555372</c:v>
                </c:pt>
                <c:pt idx="52">
                  <c:v>1.24259887242732</c:v>
                </c:pt>
                <c:pt idx="53">
                  <c:v>1.2425780741355701</c:v>
                </c:pt>
                <c:pt idx="54">
                  <c:v>1.24257467636037</c:v>
                </c:pt>
                <c:pt idx="55">
                  <c:v>1.24271574836808</c:v>
                </c:pt>
                <c:pt idx="56">
                  <c:v>1.2427141917159501</c:v>
                </c:pt>
                <c:pt idx="57">
                  <c:v>1.24267403816928</c:v>
                </c:pt>
                <c:pt idx="58">
                  <c:v>1.2427144404175201</c:v>
                </c:pt>
                <c:pt idx="59">
                  <c:v>1.2427159509724801</c:v>
                </c:pt>
                <c:pt idx="60">
                  <c:v>1.2426258797331799</c:v>
                </c:pt>
                <c:pt idx="61">
                  <c:v>1.2426249698373799</c:v>
                </c:pt>
                <c:pt idx="62">
                  <c:v>1.2426900558811</c:v>
                </c:pt>
                <c:pt idx="63">
                  <c:v>1.2426780116405101</c:v>
                </c:pt>
                <c:pt idx="64">
                  <c:v>1.24263566688501</c:v>
                </c:pt>
                <c:pt idx="65">
                  <c:v>1.24259612212216</c:v>
                </c:pt>
                <c:pt idx="66">
                  <c:v>1.24258243306547</c:v>
                </c:pt>
                <c:pt idx="67">
                  <c:v>1.2426100839990399</c:v>
                </c:pt>
                <c:pt idx="68">
                  <c:v>1.2426374451351301</c:v>
                </c:pt>
                <c:pt idx="69">
                  <c:v>1.2427037863975501</c:v>
                </c:pt>
                <c:pt idx="70">
                  <c:v>1.24274151527988</c:v>
                </c:pt>
                <c:pt idx="71">
                  <c:v>1.24281018856001</c:v>
                </c:pt>
                <c:pt idx="72">
                  <c:v>1.24272236488456</c:v>
                </c:pt>
                <c:pt idx="73">
                  <c:v>1.24277952275752</c:v>
                </c:pt>
                <c:pt idx="74">
                  <c:v>1.2428608303728199</c:v>
                </c:pt>
                <c:pt idx="75">
                  <c:v>1.24287480174442</c:v>
                </c:pt>
                <c:pt idx="76">
                  <c:v>1.24283601494522</c:v>
                </c:pt>
                <c:pt idx="77">
                  <c:v>1.2427587080898199</c:v>
                </c:pt>
                <c:pt idx="78">
                  <c:v>1.24261433391914</c:v>
                </c:pt>
                <c:pt idx="79">
                  <c:v>1.24269244743202</c:v>
                </c:pt>
                <c:pt idx="80">
                  <c:v>1.24265045393232</c:v>
                </c:pt>
                <c:pt idx="81">
                  <c:v>1.24255724322168</c:v>
                </c:pt>
                <c:pt idx="82">
                  <c:v>1.2426797522947299</c:v>
                </c:pt>
                <c:pt idx="83">
                  <c:v>1.2427231212487</c:v>
                </c:pt>
                <c:pt idx="84">
                  <c:v>1.24276794735993</c:v>
                </c:pt>
                <c:pt idx="85">
                  <c:v>1.2427486630868301</c:v>
                </c:pt>
                <c:pt idx="86">
                  <c:v>1.24282056258408</c:v>
                </c:pt>
                <c:pt idx="87">
                  <c:v>1.2428396567186599</c:v>
                </c:pt>
                <c:pt idx="88">
                  <c:v>1.24292432683625</c:v>
                </c:pt>
                <c:pt idx="89">
                  <c:v>1.24278501797215</c:v>
                </c:pt>
                <c:pt idx="90">
                  <c:v>1.2428585950231199</c:v>
                </c:pt>
                <c:pt idx="91">
                  <c:v>1.2428120469789701</c:v>
                </c:pt>
                <c:pt idx="92">
                  <c:v>1.2428491721222501</c:v>
                </c:pt>
                <c:pt idx="93">
                  <c:v>1.2428236645178601</c:v>
                </c:pt>
                <c:pt idx="94">
                  <c:v>1.24279664589854</c:v>
                </c:pt>
                <c:pt idx="95">
                  <c:v>1.2428223879898499</c:v>
                </c:pt>
                <c:pt idx="96">
                  <c:v>1.2428626254266899</c:v>
                </c:pt>
                <c:pt idx="97">
                  <c:v>1.2428755724999001</c:v>
                </c:pt>
                <c:pt idx="98">
                  <c:v>1.2428244057365401</c:v>
                </c:pt>
                <c:pt idx="99">
                  <c:v>1.2429060980506199</c:v>
                </c:pt>
                <c:pt idx="100">
                  <c:v>1.24298772249628</c:v>
                </c:pt>
                <c:pt idx="101">
                  <c:v>1.24307094005576</c:v>
                </c:pt>
                <c:pt idx="102">
                  <c:v>1.2430391426608201</c:v>
                </c:pt>
                <c:pt idx="103">
                  <c:v>1.2430314304564001</c:v>
                </c:pt>
                <c:pt idx="104">
                  <c:v>1.24301094386075</c:v>
                </c:pt>
                <c:pt idx="105">
                  <c:v>1.24297620167796</c:v>
                </c:pt>
                <c:pt idx="106">
                  <c:v>1.24296551693914</c:v>
                </c:pt>
                <c:pt idx="107">
                  <c:v>1.2429948894838001</c:v>
                </c:pt>
                <c:pt idx="108">
                  <c:v>1.2430242358169501</c:v>
                </c:pt>
                <c:pt idx="109">
                  <c:v>1.2429735674368501</c:v>
                </c:pt>
                <c:pt idx="110">
                  <c:v>1.24285882824628</c:v>
                </c:pt>
                <c:pt idx="111">
                  <c:v>1.24278268841027</c:v>
                </c:pt>
                <c:pt idx="112">
                  <c:v>1.24275708152326</c:v>
                </c:pt>
                <c:pt idx="113">
                  <c:v>1.24271869142349</c:v>
                </c:pt>
                <c:pt idx="114">
                  <c:v>1.24274435082921</c:v>
                </c:pt>
                <c:pt idx="115">
                  <c:v>1.2428227652467401</c:v>
                </c:pt>
                <c:pt idx="116">
                  <c:v>1.2427697515074401</c:v>
                </c:pt>
                <c:pt idx="117">
                  <c:v>1.2427039982375401</c:v>
                </c:pt>
                <c:pt idx="118">
                  <c:v>1.2427694229466899</c:v>
                </c:pt>
                <c:pt idx="119">
                  <c:v>1.24271811675257</c:v>
                </c:pt>
                <c:pt idx="120">
                  <c:v>1.2427834013185</c:v>
                </c:pt>
                <c:pt idx="121">
                  <c:v>1.2429539976910899</c:v>
                </c:pt>
                <c:pt idx="122">
                  <c:v>1.24299224772582</c:v>
                </c:pt>
                <c:pt idx="123">
                  <c:v>1.2429718507465499</c:v>
                </c:pt>
                <c:pt idx="124">
                  <c:v>1.24304689007032</c:v>
                </c:pt>
                <c:pt idx="125">
                  <c:v>1.24296404574995</c:v>
                </c:pt>
                <c:pt idx="126">
                  <c:v>1.2429867168505599</c:v>
                </c:pt>
                <c:pt idx="127">
                  <c:v>1.24306060474299</c:v>
                </c:pt>
                <c:pt idx="128">
                  <c:v>1.24301621052338</c:v>
                </c:pt>
                <c:pt idx="129">
                  <c:v>1.2430756878522999</c:v>
                </c:pt>
                <c:pt idx="130">
                  <c:v>1.24304121946999</c:v>
                </c:pt>
                <c:pt idx="131">
                  <c:v>1.24296842373456</c:v>
                </c:pt>
                <c:pt idx="132">
                  <c:v>1.2429241032035501</c:v>
                </c:pt>
                <c:pt idx="133">
                  <c:v>1.2429512128993001</c:v>
                </c:pt>
                <c:pt idx="134">
                  <c:v>1.2429768834393999</c:v>
                </c:pt>
                <c:pt idx="135">
                  <c:v>1.24302762177999</c:v>
                </c:pt>
                <c:pt idx="136">
                  <c:v>1.24305290765428</c:v>
                </c:pt>
                <c:pt idx="137">
                  <c:v>1.2430782471909201</c:v>
                </c:pt>
                <c:pt idx="138">
                  <c:v>1.2431678029859401</c:v>
                </c:pt>
                <c:pt idx="139">
                  <c:v>1.2432188100338399</c:v>
                </c:pt>
                <c:pt idx="140">
                  <c:v>1.24320565573688</c:v>
                </c:pt>
                <c:pt idx="141">
                  <c:v>1.24320532801157</c:v>
                </c:pt>
                <c:pt idx="142">
                  <c:v>1.24317789114189</c:v>
                </c:pt>
                <c:pt idx="143">
                  <c:v>1.24325579277486</c:v>
                </c:pt>
                <c:pt idx="144">
                  <c:v>1.2431501266821701</c:v>
                </c:pt>
                <c:pt idx="145">
                  <c:v>1.2432426402221199</c:v>
                </c:pt>
                <c:pt idx="146">
                  <c:v>1.2431929691633701</c:v>
                </c:pt>
                <c:pt idx="147">
                  <c:v>1.24322269266893</c:v>
                </c:pt>
                <c:pt idx="148">
                  <c:v>1.2430816860681</c:v>
                </c:pt>
                <c:pt idx="149">
                  <c:v>1.2430985556110199</c:v>
                </c:pt>
                <c:pt idx="150">
                  <c:v>1.2431015182776599</c:v>
                </c:pt>
                <c:pt idx="151">
                  <c:v>1.24306460078217</c:v>
                </c:pt>
                <c:pt idx="152">
                  <c:v>1.2431457430748101</c:v>
                </c:pt>
                <c:pt idx="153">
                  <c:v>1.2430705561736199</c:v>
                </c:pt>
                <c:pt idx="154">
                  <c:v>1.2431259828926899</c:v>
                </c:pt>
                <c:pt idx="155">
                  <c:v>1.2430364202907001</c:v>
                </c:pt>
                <c:pt idx="156">
                  <c:v>1.2430634291004801</c:v>
                </c:pt>
                <c:pt idx="157">
                  <c:v>1.24290748673148</c:v>
                </c:pt>
                <c:pt idx="158">
                  <c:v>1.2429090853814999</c:v>
                </c:pt>
                <c:pt idx="159">
                  <c:v>1.2428565544683701</c:v>
                </c:pt>
                <c:pt idx="160">
                  <c:v>1.24285706439451</c:v>
                </c:pt>
                <c:pt idx="161">
                  <c:v>1.24283216026897</c:v>
                </c:pt>
                <c:pt idx="162">
                  <c:v>1.2428326128123801</c:v>
                </c:pt>
                <c:pt idx="163">
                  <c:v>1.24283163569444</c:v>
                </c:pt>
                <c:pt idx="164">
                  <c:v>1.24275117194461</c:v>
                </c:pt>
                <c:pt idx="165">
                  <c:v>1.2427757144750999</c:v>
                </c:pt>
                <c:pt idx="166">
                  <c:v>1.2427514576518199</c:v>
                </c:pt>
                <c:pt idx="167">
                  <c:v>1.24284493526385</c:v>
                </c:pt>
                <c:pt idx="168">
                  <c:v>1.2428221613861099</c:v>
                </c:pt>
                <c:pt idx="169">
                  <c:v>1.24285203071936</c:v>
                </c:pt>
                <c:pt idx="170">
                  <c:v>1.2428032290072299</c:v>
                </c:pt>
                <c:pt idx="171">
                  <c:v>1.2428579766387799</c:v>
                </c:pt>
                <c:pt idx="172">
                  <c:v>1.2427790225423001</c:v>
                </c:pt>
                <c:pt idx="173">
                  <c:v>1.2428309803229201</c:v>
                </c:pt>
                <c:pt idx="174">
                  <c:v>1.24296313804096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42-44D5-8FC7-AC79A19C9681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IBDU*/BSCT*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1.2423779602834499</c:v>
                </c:pt>
                <c:pt idx="20">
                  <c:v>1.2423566557163901</c:v>
                </c:pt>
                <c:pt idx="21">
                  <c:v>1.2423874951959999</c:v>
                </c:pt>
                <c:pt idx="22">
                  <c:v>1.2424119698289</c:v>
                </c:pt>
                <c:pt idx="23">
                  <c:v>1.24240451535865</c:v>
                </c:pt>
                <c:pt idx="24">
                  <c:v>1.24241683302679</c:v>
                </c:pt>
                <c:pt idx="25">
                  <c:v>1.24236359935658</c:v>
                </c:pt>
                <c:pt idx="26">
                  <c:v>1.2423631099158901</c:v>
                </c:pt>
                <c:pt idx="27">
                  <c:v>1.2423289850427499</c:v>
                </c:pt>
                <c:pt idx="28">
                  <c:v>1.2423213149928301</c:v>
                </c:pt>
                <c:pt idx="29">
                  <c:v>1.2423545682067301</c:v>
                </c:pt>
                <c:pt idx="30">
                  <c:v>1.2423612962216899</c:v>
                </c:pt>
                <c:pt idx="31">
                  <c:v>1.2423862174226199</c:v>
                </c:pt>
                <c:pt idx="32">
                  <c:v>1.2423384766274601</c:v>
                </c:pt>
                <c:pt idx="33">
                  <c:v>1.24234334133</c:v>
                </c:pt>
                <c:pt idx="34">
                  <c:v>1.2423768163771101</c:v>
                </c:pt>
                <c:pt idx="35">
                  <c:v>1.24239017975729</c:v>
                </c:pt>
                <c:pt idx="36">
                  <c:v>1.2423963174349399</c:v>
                </c:pt>
                <c:pt idx="37">
                  <c:v>1.2424815377887199</c:v>
                </c:pt>
                <c:pt idx="38">
                  <c:v>1.2424751866102699</c:v>
                </c:pt>
                <c:pt idx="39">
                  <c:v>1.24244850355346</c:v>
                </c:pt>
                <c:pt idx="40">
                  <c:v>1.24241388532963</c:v>
                </c:pt>
                <c:pt idx="41">
                  <c:v>1.2424181863999399</c:v>
                </c:pt>
                <c:pt idx="42">
                  <c:v>1.24243539044699</c:v>
                </c:pt>
                <c:pt idx="43">
                  <c:v>1.2424909193859099</c:v>
                </c:pt>
                <c:pt idx="44">
                  <c:v>1.2424681121496799</c:v>
                </c:pt>
                <c:pt idx="45">
                  <c:v>1.24247088948588</c:v>
                </c:pt>
                <c:pt idx="46">
                  <c:v>1.24247930906939</c:v>
                </c:pt>
                <c:pt idx="47">
                  <c:v>1.2425391903805001</c:v>
                </c:pt>
                <c:pt idx="48">
                  <c:v>1.2425589072202601</c:v>
                </c:pt>
                <c:pt idx="49">
                  <c:v>1.2425585563214701</c:v>
                </c:pt>
                <c:pt idx="50">
                  <c:v>1.2425919233409599</c:v>
                </c:pt>
                <c:pt idx="51">
                  <c:v>1.24260446348886</c:v>
                </c:pt>
                <c:pt idx="52">
                  <c:v>1.2426301334655301</c:v>
                </c:pt>
                <c:pt idx="53">
                  <c:v>1.2426281161505599</c:v>
                </c:pt>
                <c:pt idx="54">
                  <c:v>1.2425998256778901</c:v>
                </c:pt>
                <c:pt idx="55">
                  <c:v>1.2425974170978999</c:v>
                </c:pt>
                <c:pt idx="56">
                  <c:v>1.24257568771203</c:v>
                </c:pt>
                <c:pt idx="57">
                  <c:v>1.2425135229175699</c:v>
                </c:pt>
                <c:pt idx="58">
                  <c:v>1.24256945951484</c:v>
                </c:pt>
                <c:pt idx="59">
                  <c:v>1.2425997740922601</c:v>
                </c:pt>
                <c:pt idx="60">
                  <c:v>1.2426443221069099</c:v>
                </c:pt>
                <c:pt idx="61">
                  <c:v>1.24264084269555</c:v>
                </c:pt>
                <c:pt idx="62">
                  <c:v>1.24264446415421</c:v>
                </c:pt>
                <c:pt idx="63">
                  <c:v>1.2426280428880401</c:v>
                </c:pt>
                <c:pt idx="64">
                  <c:v>1.24260517162269</c:v>
                </c:pt>
                <c:pt idx="65">
                  <c:v>1.2426559352451201</c:v>
                </c:pt>
                <c:pt idx="66">
                  <c:v>1.2426483123907099</c:v>
                </c:pt>
                <c:pt idx="67">
                  <c:v>1.24264206108416</c:v>
                </c:pt>
                <c:pt idx="68">
                  <c:v>1.2426759427763301</c:v>
                </c:pt>
                <c:pt idx="69">
                  <c:v>1.24270986868502</c:v>
                </c:pt>
                <c:pt idx="70">
                  <c:v>1.2426836975065301</c:v>
                </c:pt>
                <c:pt idx="71">
                  <c:v>1.2427175791987</c:v>
                </c:pt>
                <c:pt idx="72">
                  <c:v>1.2427062103828299</c:v>
                </c:pt>
                <c:pt idx="73">
                  <c:v>1.2427287671990199</c:v>
                </c:pt>
                <c:pt idx="74">
                  <c:v>1.2427482486289201</c:v>
                </c:pt>
                <c:pt idx="75">
                  <c:v>1.24273546193329</c:v>
                </c:pt>
                <c:pt idx="76">
                  <c:v>1.2427092240053501</c:v>
                </c:pt>
                <c:pt idx="77">
                  <c:v>1.24268439604443</c:v>
                </c:pt>
                <c:pt idx="78">
                  <c:v>1.24262588952714</c:v>
                </c:pt>
                <c:pt idx="79">
                  <c:v>1.2426981169147899</c:v>
                </c:pt>
                <c:pt idx="80">
                  <c:v>1.2426959846061001</c:v>
                </c:pt>
                <c:pt idx="81">
                  <c:v>1.2426837158908499</c:v>
                </c:pt>
                <c:pt idx="82">
                  <c:v>1.2427010585896401</c:v>
                </c:pt>
                <c:pt idx="83">
                  <c:v>1.2427513220031099</c:v>
                </c:pt>
                <c:pt idx="84">
                  <c:v>1.2428143888663801</c:v>
                </c:pt>
                <c:pt idx="85">
                  <c:v>1.24281173241562</c:v>
                </c:pt>
                <c:pt idx="86">
                  <c:v>1.24282828876465</c:v>
                </c:pt>
                <c:pt idx="87">
                  <c:v>1.2427991824042399</c:v>
                </c:pt>
                <c:pt idx="88">
                  <c:v>1.2427693303777001</c:v>
                </c:pt>
                <c:pt idx="89">
                  <c:v>1.24273873270209</c:v>
                </c:pt>
                <c:pt idx="90">
                  <c:v>1.2427545244777201</c:v>
                </c:pt>
                <c:pt idx="91">
                  <c:v>1.2426846451003299</c:v>
                </c:pt>
                <c:pt idx="92">
                  <c:v>1.2427644622084899</c:v>
                </c:pt>
                <c:pt idx="93">
                  <c:v>1.24277339288328</c:v>
                </c:pt>
                <c:pt idx="94">
                  <c:v>1.2427822966292299</c:v>
                </c:pt>
                <c:pt idx="95">
                  <c:v>1.24278552553834</c:v>
                </c:pt>
                <c:pt idx="96">
                  <c:v>1.2428415940053901</c:v>
                </c:pt>
                <c:pt idx="97">
                  <c:v>1.24285761460928</c:v>
                </c:pt>
                <c:pt idx="98">
                  <c:v>1.2428743662863899</c:v>
                </c:pt>
                <c:pt idx="99">
                  <c:v>1.24284555801138</c:v>
                </c:pt>
                <c:pt idx="100">
                  <c:v>1.2429231587597001</c:v>
                </c:pt>
                <c:pt idx="101">
                  <c:v>1.2429414935173699</c:v>
                </c:pt>
                <c:pt idx="102">
                  <c:v>1.2429441573915301</c:v>
                </c:pt>
                <c:pt idx="103">
                  <c:v>1.24292754748713</c:v>
                </c:pt>
                <c:pt idx="104">
                  <c:v>1.24290379487965</c:v>
                </c:pt>
                <c:pt idx="105">
                  <c:v>1.2428992948338999</c:v>
                </c:pt>
                <c:pt idx="106">
                  <c:v>1.2429140711829201</c:v>
                </c:pt>
                <c:pt idx="107">
                  <c:v>1.24293523099185</c:v>
                </c:pt>
                <c:pt idx="108">
                  <c:v>1.24292432077674</c:v>
                </c:pt>
                <c:pt idx="109">
                  <c:v>1.24293983274373</c:v>
                </c:pt>
                <c:pt idx="110">
                  <c:v>1.24292327537128</c:v>
                </c:pt>
                <c:pt idx="111">
                  <c:v>1.2429268142330101</c:v>
                </c:pt>
                <c:pt idx="112">
                  <c:v>1.2428981120920399</c:v>
                </c:pt>
                <c:pt idx="113">
                  <c:v>1.2428750609399499</c:v>
                </c:pt>
                <c:pt idx="114">
                  <c:v>1.2428776473449801</c:v>
                </c:pt>
                <c:pt idx="115">
                  <c:v>1.2428994834623499</c:v>
                </c:pt>
                <c:pt idx="116">
                  <c:v>1.2428676342232901</c:v>
                </c:pt>
                <c:pt idx="117">
                  <c:v>1.2428494438606701</c:v>
                </c:pt>
                <c:pt idx="118">
                  <c:v>1.2428968293818199</c:v>
                </c:pt>
                <c:pt idx="119">
                  <c:v>1.2428458420947099</c:v>
                </c:pt>
                <c:pt idx="120">
                  <c:v>1.24282111478239</c:v>
                </c:pt>
                <c:pt idx="121">
                  <c:v>1.2428683430506799</c:v>
                </c:pt>
                <c:pt idx="122">
                  <c:v>1.2428746646245401</c:v>
                </c:pt>
                <c:pt idx="123">
                  <c:v>1.24284527108502</c:v>
                </c:pt>
                <c:pt idx="124">
                  <c:v>1.2428956204497701</c:v>
                </c:pt>
                <c:pt idx="125">
                  <c:v>1.24289340549835</c:v>
                </c:pt>
                <c:pt idx="126">
                  <c:v>1.2428782341789999</c:v>
                </c:pt>
                <c:pt idx="127">
                  <c:v>1.2428823014902599</c:v>
                </c:pt>
                <c:pt idx="128">
                  <c:v>1.2428928167350299</c:v>
                </c:pt>
                <c:pt idx="129">
                  <c:v>1.2428969023024401</c:v>
                </c:pt>
                <c:pt idx="130">
                  <c:v>1.2429123103942501</c:v>
                </c:pt>
                <c:pt idx="131">
                  <c:v>1.2429612107128201</c:v>
                </c:pt>
                <c:pt idx="132">
                  <c:v>1.2429581754646899</c:v>
                </c:pt>
                <c:pt idx="133">
                  <c:v>1.2429615318229299</c:v>
                </c:pt>
                <c:pt idx="134">
                  <c:v>1.2430118867548601</c:v>
                </c:pt>
                <c:pt idx="135">
                  <c:v>1.24299583376497</c:v>
                </c:pt>
                <c:pt idx="136">
                  <c:v>1.2430198122524201</c:v>
                </c:pt>
                <c:pt idx="137">
                  <c:v>1.2430694259669599</c:v>
                </c:pt>
                <c:pt idx="138">
                  <c:v>1.24309200675466</c:v>
                </c:pt>
                <c:pt idx="139">
                  <c:v>1.2431472489430699</c:v>
                </c:pt>
                <c:pt idx="140">
                  <c:v>1.2431234376034399</c:v>
                </c:pt>
                <c:pt idx="141">
                  <c:v>1.24308687587306</c:v>
                </c:pt>
                <c:pt idx="142">
                  <c:v>1.2430509971727199</c:v>
                </c:pt>
                <c:pt idx="143">
                  <c:v>1.24310350283708</c:v>
                </c:pt>
                <c:pt idx="144">
                  <c:v>1.2430635050607901</c:v>
                </c:pt>
                <c:pt idx="145">
                  <c:v>1.2431351310010501</c:v>
                </c:pt>
                <c:pt idx="146">
                  <c:v>1.24312293840883</c:v>
                </c:pt>
                <c:pt idx="147">
                  <c:v>1.2431504699299301</c:v>
                </c:pt>
                <c:pt idx="148">
                  <c:v>1.2431247445270199</c:v>
                </c:pt>
                <c:pt idx="149">
                  <c:v>1.2431586828224299</c:v>
                </c:pt>
                <c:pt idx="150">
                  <c:v>1.2431535870072701</c:v>
                </c:pt>
                <c:pt idx="151">
                  <c:v>1.2431349643968701</c:v>
                </c:pt>
                <c:pt idx="152">
                  <c:v>1.2431618171083501</c:v>
                </c:pt>
                <c:pt idx="153">
                  <c:v>1.24316317447424</c:v>
                </c:pt>
                <c:pt idx="154">
                  <c:v>1.24313805478743</c:v>
                </c:pt>
                <c:pt idx="155">
                  <c:v>1.2431395302564101</c:v>
                </c:pt>
                <c:pt idx="156">
                  <c:v>1.2431281991319301</c:v>
                </c:pt>
                <c:pt idx="157">
                  <c:v>1.24306508970021</c:v>
                </c:pt>
                <c:pt idx="158">
                  <c:v>1.2429953857248</c:v>
                </c:pt>
                <c:pt idx="159">
                  <c:v>1.2429775550397</c:v>
                </c:pt>
                <c:pt idx="160">
                  <c:v>1.24297929133608</c:v>
                </c:pt>
                <c:pt idx="161">
                  <c:v>1.2429483805255701</c:v>
                </c:pt>
                <c:pt idx="162">
                  <c:v>1.24298917794359</c:v>
                </c:pt>
                <c:pt idx="163">
                  <c:v>1.24295109593403</c:v>
                </c:pt>
                <c:pt idx="164">
                  <c:v>1.2429385774186501</c:v>
                </c:pt>
                <c:pt idx="165">
                  <c:v>1.2429060673829</c:v>
                </c:pt>
                <c:pt idx="166">
                  <c:v>1.24290744337615</c:v>
                </c:pt>
                <c:pt idx="167">
                  <c:v>1.2428762109976601</c:v>
                </c:pt>
                <c:pt idx="168">
                  <c:v>1.24286562338381</c:v>
                </c:pt>
                <c:pt idx="169">
                  <c:v>1.2428542925938699</c:v>
                </c:pt>
                <c:pt idx="170">
                  <c:v>1.24283014670087</c:v>
                </c:pt>
                <c:pt idx="171">
                  <c:v>1.2428450684538801</c:v>
                </c:pt>
                <c:pt idx="172">
                  <c:v>1.24280581767734</c:v>
                </c:pt>
                <c:pt idx="173">
                  <c:v>1.2428313080086799</c:v>
                </c:pt>
                <c:pt idx="174">
                  <c:v>1.24285715499279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42-44D5-8FC7-AC79A19C9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BSCT x avg / IBDU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1.41268878488436E-3</c:v>
                </c:pt>
                <c:pt idx="2">
                  <c:v>1.8394009739918699E-3</c:v>
                </c:pt>
                <c:pt idx="3">
                  <c:v>1.8394009739918699E-3</c:v>
                </c:pt>
                <c:pt idx="4">
                  <c:v>1.1022817586350199E-3</c:v>
                </c:pt>
                <c:pt idx="5">
                  <c:v>1.1022817586350199E-3</c:v>
                </c:pt>
                <c:pt idx="6">
                  <c:v>1.1022817586350199E-3</c:v>
                </c:pt>
                <c:pt idx="7">
                  <c:v>8.8260660973684204E-4</c:v>
                </c:pt>
                <c:pt idx="8">
                  <c:v>1.08961160526238E-3</c:v>
                </c:pt>
                <c:pt idx="9">
                  <c:v>1.6329265044375599E-3</c:v>
                </c:pt>
                <c:pt idx="10">
                  <c:v>1.2058498376857601E-3</c:v>
                </c:pt>
                <c:pt idx="11">
                  <c:v>-2.1928776520010098E-3</c:v>
                </c:pt>
                <c:pt idx="12">
                  <c:v>-2.409144981093E-3</c:v>
                </c:pt>
                <c:pt idx="13">
                  <c:v>-2.409144981093E-3</c:v>
                </c:pt>
                <c:pt idx="14">
                  <c:v>-2.3038007596710799E-3</c:v>
                </c:pt>
                <c:pt idx="15">
                  <c:v>-2.7303309431475002E-3</c:v>
                </c:pt>
                <c:pt idx="16">
                  <c:v>-2.94556668942479E-3</c:v>
                </c:pt>
                <c:pt idx="17">
                  <c:v>-2.5195815924611499E-3</c:v>
                </c:pt>
                <c:pt idx="18">
                  <c:v>-2.30923540936707E-3</c:v>
                </c:pt>
                <c:pt idx="19">
                  <c:v>-2.5245517118773998E-3</c:v>
                </c:pt>
                <c:pt idx="20">
                  <c:v>1.52954089779869E-3</c:v>
                </c:pt>
                <c:pt idx="21">
                  <c:v>9.9861441864247495E-4</c:v>
                </c:pt>
                <c:pt idx="22">
                  <c:v>1.52954089779869E-3</c:v>
                </c:pt>
                <c:pt idx="23">
                  <c:v>2.0454807343672299E-3</c:v>
                </c:pt>
                <c:pt idx="24">
                  <c:v>9.8615860140783195E-4</c:v>
                </c:pt>
                <c:pt idx="25">
                  <c:v>2.0454807343672299E-3</c:v>
                </c:pt>
                <c:pt idx="26">
                  <c:v>1.19296576372344E-3</c:v>
                </c:pt>
                <c:pt idx="27">
                  <c:v>1.5159599383034201E-3</c:v>
                </c:pt>
                <c:pt idx="28">
                  <c:v>1.2962212189381701E-3</c:v>
                </c:pt>
                <c:pt idx="29">
                  <c:v>1.1801363040424399E-3</c:v>
                </c:pt>
                <c:pt idx="30">
                  <c:v>1.1801363040424399E-3</c:v>
                </c:pt>
                <c:pt idx="31">
                  <c:v>1.1801363040424399E-3</c:v>
                </c:pt>
                <c:pt idx="32">
                  <c:v>2.1335193191913799E-3</c:v>
                </c:pt>
                <c:pt idx="33">
                  <c:v>1.2831791318983E-3</c:v>
                </c:pt>
                <c:pt idx="34">
                  <c:v>-2.6343831567303298E-3</c:v>
                </c:pt>
                <c:pt idx="35">
                  <c:v>-2.7393656318349599E-3</c:v>
                </c:pt>
                <c:pt idx="36">
                  <c:v>-2.8444483384344101E-3</c:v>
                </c:pt>
                <c:pt idx="37">
                  <c:v>-3.6937052896896302E-3</c:v>
                </c:pt>
                <c:pt idx="38">
                  <c:v>-2.0005401644363398E-3</c:v>
                </c:pt>
                <c:pt idx="39">
                  <c:v>1.8394009739918699E-3</c:v>
                </c:pt>
                <c:pt idx="40">
                  <c:v>2.2662953241249701E-3</c:v>
                </c:pt>
                <c:pt idx="41">
                  <c:v>1.1022817586350199E-3</c:v>
                </c:pt>
                <c:pt idx="42">
                  <c:v>1.42605618621046E-3</c:v>
                </c:pt>
                <c:pt idx="43">
                  <c:v>1.3224722265486499E-3</c:v>
                </c:pt>
                <c:pt idx="44">
                  <c:v>1.52954089779869E-3</c:v>
                </c:pt>
                <c:pt idx="45">
                  <c:v>2.17827031044463E-3</c:v>
                </c:pt>
                <c:pt idx="46">
                  <c:v>1.2317832293631001E-3</c:v>
                </c:pt>
                <c:pt idx="47">
                  <c:v>7.2275064418845895E-4</c:v>
                </c:pt>
                <c:pt idx="48">
                  <c:v>1.1535066275882701E-3</c:v>
                </c:pt>
                <c:pt idx="49">
                  <c:v>1.3622711914605E-3</c:v>
                </c:pt>
                <c:pt idx="50">
                  <c:v>8.1518770599742099E-4</c:v>
                </c:pt>
                <c:pt idx="51">
                  <c:v>1.1535066275882701E-3</c:v>
                </c:pt>
                <c:pt idx="52">
                  <c:v>1.8968876169179001E-3</c:v>
                </c:pt>
                <c:pt idx="53">
                  <c:v>1.4937569612036301E-3</c:v>
                </c:pt>
                <c:pt idx="54">
                  <c:v>-2.0636543241873201E-3</c:v>
                </c:pt>
                <c:pt idx="55">
                  <c:v>-2.59598322694268E-3</c:v>
                </c:pt>
                <c:pt idx="56">
                  <c:v>-2.38274206501573E-3</c:v>
                </c:pt>
                <c:pt idx="57">
                  <c:v>-2.5910898757836201E-3</c:v>
                </c:pt>
                <c:pt idx="58">
                  <c:v>-2.80963859884903E-3</c:v>
                </c:pt>
                <c:pt idx="59">
                  <c:v>-2.2762764350473899E-3</c:v>
                </c:pt>
                <c:pt idx="60">
                  <c:v>-2.0696575580833698E-3</c:v>
                </c:pt>
                <c:pt idx="61">
                  <c:v>1.37565162082936E-3</c:v>
                </c:pt>
                <c:pt idx="62">
                  <c:v>1.58444824166973E-3</c:v>
                </c:pt>
                <c:pt idx="63">
                  <c:v>1.8071510881501199E-3</c:v>
                </c:pt>
                <c:pt idx="64">
                  <c:v>2.1196369084444202E-3</c:v>
                </c:pt>
                <c:pt idx="65">
                  <c:v>1.57063312931783E-3</c:v>
                </c:pt>
                <c:pt idx="66">
                  <c:v>1.57063312931783E-3</c:v>
                </c:pt>
                <c:pt idx="67">
                  <c:v>1.0363023658702601E-3</c:v>
                </c:pt>
                <c:pt idx="68">
                  <c:v>8.1518770599742099E-4</c:v>
                </c:pt>
                <c:pt idx="69">
                  <c:v>1.02368595800221E-3</c:v>
                </c:pt>
                <c:pt idx="70">
                  <c:v>1.45296263340757E-3</c:v>
                </c:pt>
                <c:pt idx="71">
                  <c:v>8.1518770599742099E-4</c:v>
                </c:pt>
                <c:pt idx="72">
                  <c:v>2.2967460563196799E-3</c:v>
                </c:pt>
                <c:pt idx="73">
                  <c:v>-2.39865163410284E-3</c:v>
                </c:pt>
                <c:pt idx="74">
                  <c:v>-2.28735698231573E-3</c:v>
                </c:pt>
                <c:pt idx="75">
                  <c:v>-2.28735698231573E-3</c:v>
                </c:pt>
                <c:pt idx="76">
                  <c:v>-1.85789594930325E-3</c:v>
                </c:pt>
                <c:pt idx="77">
                  <c:v>-2.07563507388751E-3</c:v>
                </c:pt>
                <c:pt idx="78">
                  <c:v>-1.7521683155407701E-3</c:v>
                </c:pt>
                <c:pt idx="79">
                  <c:v>-3.3585943638146298E-3</c:v>
                </c:pt>
                <c:pt idx="80">
                  <c:v>-1.9574975430111702E-3</c:v>
                </c:pt>
                <c:pt idx="81">
                  <c:v>-2.1756918303035199E-3</c:v>
                </c:pt>
                <c:pt idx="82">
                  <c:v>1.37565162082936E-3</c:v>
                </c:pt>
                <c:pt idx="83">
                  <c:v>1.0616981944912101E-3</c:v>
                </c:pt>
                <c:pt idx="84">
                  <c:v>1.166450665888E-3</c:v>
                </c:pt>
                <c:pt idx="85">
                  <c:v>1.68869529436308E-3</c:v>
                </c:pt>
                <c:pt idx="86">
                  <c:v>1.37565162082936E-3</c:v>
                </c:pt>
                <c:pt idx="87">
                  <c:v>1.58444824166973E-3</c:v>
                </c:pt>
                <c:pt idx="88">
                  <c:v>1.37565162082936E-3</c:v>
                </c:pt>
                <c:pt idx="89">
                  <c:v>1.5983228384393699E-3</c:v>
                </c:pt>
                <c:pt idx="90">
                  <c:v>1.2711017587769501E-3</c:v>
                </c:pt>
                <c:pt idx="91">
                  <c:v>2.0303816051519502E-3</c:v>
                </c:pt>
                <c:pt idx="92">
                  <c:v>1.0744783188419999E-3</c:v>
                </c:pt>
                <c:pt idx="93">
                  <c:v>-2.5910898757836201E-3</c:v>
                </c:pt>
                <c:pt idx="94">
                  <c:v>-2.4790459881459002E-3</c:v>
                </c:pt>
                <c:pt idx="95">
                  <c:v>-2.3773930766662001E-3</c:v>
                </c:pt>
                <c:pt idx="96">
                  <c:v>-2.80963859884903E-3</c:v>
                </c:pt>
                <c:pt idx="97">
                  <c:v>-2.3773930766662001E-3</c:v>
                </c:pt>
                <c:pt idx="98">
                  <c:v>-2.0576252058649202E-3</c:v>
                </c:pt>
                <c:pt idx="99">
                  <c:v>-2.9208104126760099E-3</c:v>
                </c:pt>
                <c:pt idx="100">
                  <c:v>-3.2451828256742999E-3</c:v>
                </c:pt>
                <c:pt idx="101">
                  <c:v>-2.4944103075869701E-3</c:v>
                </c:pt>
                <c:pt idx="102">
                  <c:v>1.28432096321988E-3</c:v>
                </c:pt>
                <c:pt idx="103">
                  <c:v>1.28432096321988E-3</c:v>
                </c:pt>
                <c:pt idx="104">
                  <c:v>1.50747248018603E-3</c:v>
                </c:pt>
                <c:pt idx="105">
                  <c:v>1.71694048110729E-3</c:v>
                </c:pt>
                <c:pt idx="106">
                  <c:v>1.0873137240240899E-3</c:v>
                </c:pt>
                <c:pt idx="107">
                  <c:v>1.1925066303787599E-3</c:v>
                </c:pt>
                <c:pt idx="108">
                  <c:v>1.50747248018603E-3</c:v>
                </c:pt>
                <c:pt idx="109">
                  <c:v>1.2975972921893499E-3</c:v>
                </c:pt>
                <c:pt idx="110">
                  <c:v>1.4937569612036301E-3</c:v>
                </c:pt>
                <c:pt idx="111">
                  <c:v>1.9260024833865699E-3</c:v>
                </c:pt>
                <c:pt idx="112">
                  <c:v>1.4937569612036301E-3</c:v>
                </c:pt>
                <c:pt idx="113">
                  <c:v>1.5983228384393699E-3</c:v>
                </c:pt>
                <c:pt idx="114">
                  <c:v>1.2975972921893499E-3</c:v>
                </c:pt>
                <c:pt idx="115">
                  <c:v>1.0744783188419999E-3</c:v>
                </c:pt>
                <c:pt idx="116">
                  <c:v>-2.2651000351332799E-3</c:v>
                </c:pt>
                <c:pt idx="117">
                  <c:v>-2.0515700353429698E-3</c:v>
                </c:pt>
                <c:pt idx="118">
                  <c:v>-2.80963859884903E-3</c:v>
                </c:pt>
                <c:pt idx="119">
                  <c:v>-2.0576252058649202E-3</c:v>
                </c:pt>
                <c:pt idx="120">
                  <c:v>-2.8140554208503899E-3</c:v>
                </c:pt>
                <c:pt idx="121">
                  <c:v>-3.2451828256742999E-3</c:v>
                </c:pt>
                <c:pt idx="122">
                  <c:v>-2.59598322694268E-3</c:v>
                </c:pt>
                <c:pt idx="123">
                  <c:v>1.7311546369389299E-3</c:v>
                </c:pt>
                <c:pt idx="124">
                  <c:v>6.41671560300622E-4</c:v>
                </c:pt>
                <c:pt idx="125">
                  <c:v>1.71694048110729E-3</c:v>
                </c:pt>
                <c:pt idx="126">
                  <c:v>1.2975972921893499E-3</c:v>
                </c:pt>
                <c:pt idx="127">
                  <c:v>1.0873137240240899E-3</c:v>
                </c:pt>
                <c:pt idx="128">
                  <c:v>1.2975972921893499E-3</c:v>
                </c:pt>
                <c:pt idx="129">
                  <c:v>1.1925066303787599E-3</c:v>
                </c:pt>
                <c:pt idx="130">
                  <c:v>1.2056192839961001E-3</c:v>
                </c:pt>
                <c:pt idx="131">
                  <c:v>1.0873137240240899E-3</c:v>
                </c:pt>
                <c:pt idx="132">
                  <c:v>1.50747248018603E-3</c:v>
                </c:pt>
                <c:pt idx="133">
                  <c:v>1.50747248018603E-3</c:v>
                </c:pt>
                <c:pt idx="134">
                  <c:v>4.3104611144768201E-4</c:v>
                </c:pt>
                <c:pt idx="135">
                  <c:v>-2.4790459881459002E-3</c:v>
                </c:pt>
                <c:pt idx="136">
                  <c:v>-2.6934091158821601E-3</c:v>
                </c:pt>
                <c:pt idx="137">
                  <c:v>-2.90819064465043E-3</c:v>
                </c:pt>
                <c:pt idx="138">
                  <c:v>-3.2311501341804501E-3</c:v>
                </c:pt>
                <c:pt idx="139">
                  <c:v>-3.0157386939631101E-3</c:v>
                </c:pt>
                <c:pt idx="140">
                  <c:v>-2.4738801057931602E-3</c:v>
                </c:pt>
                <c:pt idx="141">
                  <c:v>-2.6934091158821601E-3</c:v>
                </c:pt>
                <c:pt idx="142">
                  <c:v>-2.0454886433965199E-3</c:v>
                </c:pt>
                <c:pt idx="143">
                  <c:v>-2.9124154423823198E-3</c:v>
                </c:pt>
                <c:pt idx="144">
                  <c:v>-2.4790459881459002E-3</c:v>
                </c:pt>
                <c:pt idx="145">
                  <c:v>5.5981026836675297E-4</c:v>
                </c:pt>
                <c:pt idx="146">
                  <c:v>1.52124733899111E-3</c:v>
                </c:pt>
                <c:pt idx="147">
                  <c:v>6.5356832576857204E-4</c:v>
                </c:pt>
                <c:pt idx="148">
                  <c:v>1.7454303632310601E-3</c:v>
                </c:pt>
                <c:pt idx="149">
                  <c:v>6.5356832576857204E-4</c:v>
                </c:pt>
                <c:pt idx="150">
                  <c:v>1.31093111676926E-3</c:v>
                </c:pt>
                <c:pt idx="151">
                  <c:v>1.41614041835239E-3</c:v>
                </c:pt>
                <c:pt idx="152">
                  <c:v>1.0873137240240899E-3</c:v>
                </c:pt>
                <c:pt idx="153">
                  <c:v>1.50747248018603E-3</c:v>
                </c:pt>
                <c:pt idx="154">
                  <c:v>8.6422783795307896E-4</c:v>
                </c:pt>
                <c:pt idx="155">
                  <c:v>1.2975972921893499E-3</c:v>
                </c:pt>
                <c:pt idx="156">
                  <c:v>1.2975972921893499E-3</c:v>
                </c:pt>
                <c:pt idx="157">
                  <c:v>1.94065420669117E-3</c:v>
                </c:pt>
                <c:pt idx="158">
                  <c:v>1.7311546369389299E-3</c:v>
                </c:pt>
                <c:pt idx="159">
                  <c:v>1.0873137240240899E-3</c:v>
                </c:pt>
                <c:pt idx="160">
                  <c:v>-2.4790459881459002E-3</c:v>
                </c:pt>
                <c:pt idx="161">
                  <c:v>-2.1582831172422099E-3</c:v>
                </c:pt>
                <c:pt idx="162">
                  <c:v>-2.6980941964772601E-3</c:v>
                </c:pt>
                <c:pt idx="163">
                  <c:v>-2.2651000351332799E-3</c:v>
                </c:pt>
                <c:pt idx="164">
                  <c:v>-2.2594755009150199E-3</c:v>
                </c:pt>
                <c:pt idx="165">
                  <c:v>-2.6934091158821601E-3</c:v>
                </c:pt>
                <c:pt idx="166">
                  <c:v>1.66860168149122E-3</c:v>
                </c:pt>
                <c:pt idx="167">
                  <c:v>1.3377727532344699E-3</c:v>
                </c:pt>
                <c:pt idx="168">
                  <c:v>2.0902486255506602E-3</c:v>
                </c:pt>
                <c:pt idx="169">
                  <c:v>1.0074114867187601E-3</c:v>
                </c:pt>
                <c:pt idx="170">
                  <c:v>1.8796313414046601E-3</c:v>
                </c:pt>
                <c:pt idx="171">
                  <c:v>1.3377727532344699E-3</c:v>
                </c:pt>
                <c:pt idx="172">
                  <c:v>1.9090666068487E-3</c:v>
                </c:pt>
                <c:pt idx="173">
                  <c:v>1.2586430092849301E-3</c:v>
                </c:pt>
                <c:pt idx="174">
                  <c:v>6.0722498116084101E-4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35-4BC8-BD2D-0EDC1607F5AD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BSCT x 10 dma / IBDU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-1.04672455536178E-4</c:v>
                </c:pt>
                <c:pt idx="11">
                  <c:v>-3.51375842729819E-3</c:v>
                </c:pt>
                <c:pt idx="12">
                  <c:v>-3.3689166932574701E-3</c:v>
                </c:pt>
                <c:pt idx="13">
                  <c:v>-2.9436231061438301E-3</c:v>
                </c:pt>
                <c:pt idx="14">
                  <c:v>-2.4131660953542102E-3</c:v>
                </c:pt>
                <c:pt idx="15">
                  <c:v>-2.4989039782491599E-3</c:v>
                </c:pt>
                <c:pt idx="16">
                  <c:v>-2.3307283790033502E-3</c:v>
                </c:pt>
                <c:pt idx="17">
                  <c:v>-1.4999159057333001E-3</c:v>
                </c:pt>
                <c:pt idx="18">
                  <c:v>-9.4947701417492101E-4</c:v>
                </c:pt>
                <c:pt idx="19">
                  <c:v>-8.25220912765048E-4</c:v>
                </c:pt>
                <c:pt idx="20">
                  <c:v>3.64401281362541E-3</c:v>
                </c:pt>
                <c:pt idx="21">
                  <c:v>3.0808292266861301E-3</c:v>
                </c:pt>
                <c:pt idx="22">
                  <c:v>3.2930291869906199E-3</c:v>
                </c:pt>
                <c:pt idx="23">
                  <c:v>3.41554381339393E-3</c:v>
                </c:pt>
                <c:pt idx="24">
                  <c:v>1.9111887266006599E-3</c:v>
                </c:pt>
                <c:pt idx="25">
                  <c:v>2.6415482428858001E-3</c:v>
                </c:pt>
                <c:pt idx="26">
                  <c:v>1.3114587496506601E-3</c:v>
                </c:pt>
                <c:pt idx="27">
                  <c:v>1.2201998524453399E-3</c:v>
                </c:pt>
                <c:pt idx="28">
                  <c:v>5.9650313445685295E-4</c:v>
                </c:pt>
                <c:pt idx="29">
                  <c:v>1.193720302219E-4</c:v>
                </c:pt>
                <c:pt idx="30">
                  <c:v>-2.51808431207865E-4</c:v>
                </c:pt>
                <c:pt idx="31">
                  <c:v>-2.1686588792457499E-4</c:v>
                </c:pt>
                <c:pt idx="32">
                  <c:v>7.1835918884576098E-4</c:v>
                </c:pt>
                <c:pt idx="33">
                  <c:v>-1.9235552139555299E-4</c:v>
                </c:pt>
                <c:pt idx="34">
                  <c:v>-4.0337049427424396E-3</c:v>
                </c:pt>
                <c:pt idx="35">
                  <c:v>-3.77589296252641E-3</c:v>
                </c:pt>
                <c:pt idx="36">
                  <c:v>-3.4019429027897698E-3</c:v>
                </c:pt>
                <c:pt idx="37">
                  <c:v>-3.8469810206523299E-3</c:v>
                </c:pt>
                <c:pt idx="38">
                  <c:v>-1.6323372565402901E-3</c:v>
                </c:pt>
                <c:pt idx="39">
                  <c:v>2.53722055088144E-3</c:v>
                </c:pt>
                <c:pt idx="40">
                  <c:v>2.89833164712258E-3</c:v>
                </c:pt>
                <c:pt idx="41">
                  <c:v>1.6259518197005501E-3</c:v>
                </c:pt>
                <c:pt idx="42">
                  <c:v>1.95749872055654E-3</c:v>
                </c:pt>
                <c:pt idx="43">
                  <c:v>1.9244952625909501E-3</c:v>
                </c:pt>
                <c:pt idx="44">
                  <c:v>2.1276420943011302E-3</c:v>
                </c:pt>
                <c:pt idx="45">
                  <c:v>2.3599111135005901E-3</c:v>
                </c:pt>
                <c:pt idx="46">
                  <c:v>9.2149032187943897E-4</c:v>
                </c:pt>
                <c:pt idx="47">
                  <c:v>4.2955939555263397E-6</c:v>
                </c:pt>
                <c:pt idx="48">
                  <c:v>-7.6667914872842305E-6</c:v>
                </c:pt>
                <c:pt idx="49">
                  <c:v>-1.14857161202294E-4</c:v>
                </c:pt>
                <c:pt idx="50">
                  <c:v>-6.1423470800512801E-4</c:v>
                </c:pt>
                <c:pt idx="51">
                  <c:v>-1.3083168977840601E-4</c:v>
                </c:pt>
                <c:pt idx="52">
                  <c:v>6.07425998085812E-4</c:v>
                </c:pt>
                <c:pt idx="53">
                  <c:v>1.57228603400318E-4</c:v>
                </c:pt>
                <c:pt idx="54">
                  <c:v>-3.4173100760309899E-3</c:v>
                </c:pt>
                <c:pt idx="55">
                  <c:v>-3.58980118656163E-3</c:v>
                </c:pt>
                <c:pt idx="56">
                  <c:v>-2.8986738900179201E-3</c:v>
                </c:pt>
                <c:pt idx="57">
                  <c:v>-2.7452397166553601E-3</c:v>
                </c:pt>
                <c:pt idx="58">
                  <c:v>-2.6320984031167798E-3</c:v>
                </c:pt>
                <c:pt idx="59">
                  <c:v>-1.7022421746074399E-3</c:v>
                </c:pt>
                <c:pt idx="60">
                  <c:v>-1.1318770780099499E-3</c:v>
                </c:pt>
                <c:pt idx="61">
                  <c:v>2.6017855757783899E-3</c:v>
                </c:pt>
                <c:pt idx="62">
                  <c:v>2.7884227128250798E-3</c:v>
                </c:pt>
                <c:pt idx="63">
                  <c:v>3.0422771448420801E-3</c:v>
                </c:pt>
                <c:pt idx="64">
                  <c:v>3.3235133660858098E-3</c:v>
                </c:pt>
                <c:pt idx="65">
                  <c:v>2.35660785915598E-3</c:v>
                </c:pt>
                <c:pt idx="66">
                  <c:v>1.9399729998966901E-3</c:v>
                </c:pt>
                <c:pt idx="67">
                  <c:v>1.0102117723103301E-3</c:v>
                </c:pt>
                <c:pt idx="68">
                  <c:v>4.2600020512578501E-4</c:v>
                </c:pt>
                <c:pt idx="69">
                  <c:v>2.7144683351056401E-4</c:v>
                </c:pt>
                <c:pt idx="70">
                  <c:v>3.7021728365123899E-4</c:v>
                </c:pt>
                <c:pt idx="71">
                  <c:v>-6.20372447276438E-4</c:v>
                </c:pt>
                <c:pt idx="72">
                  <c:v>9.1724979054336902E-4</c:v>
                </c:pt>
                <c:pt idx="73">
                  <c:v>-3.8493402610825199E-3</c:v>
                </c:pt>
                <c:pt idx="74">
                  <c:v>-3.31681859558642E-3</c:v>
                </c:pt>
                <c:pt idx="75">
                  <c:v>-2.8757252320746099E-3</c:v>
                </c:pt>
                <c:pt idx="76">
                  <c:v>-2.06017407028198E-3</c:v>
                </c:pt>
                <c:pt idx="77">
                  <c:v>-1.93500030376593E-3</c:v>
                </c:pt>
                <c:pt idx="78">
                  <c:v>-1.3002701486904699E-3</c:v>
                </c:pt>
                <c:pt idx="79">
                  <c:v>-2.6499892165285301E-3</c:v>
                </c:pt>
                <c:pt idx="80">
                  <c:v>-8.1055896819619397E-4</c:v>
                </c:pt>
                <c:pt idx="81">
                  <c:v>-6.88070099379724E-4</c:v>
                </c:pt>
                <c:pt idx="82">
                  <c:v>3.16207539390521E-3</c:v>
                </c:pt>
                <c:pt idx="83">
                  <c:v>2.93989412907876E-3</c:v>
                </c:pt>
                <c:pt idx="84">
                  <c:v>2.69897005800185E-3</c:v>
                </c:pt>
                <c:pt idx="85">
                  <c:v>2.8761097781634798E-3</c:v>
                </c:pt>
                <c:pt idx="86">
                  <c:v>2.1657346395457799E-3</c:v>
                </c:pt>
                <c:pt idx="87">
                  <c:v>2.0513015898851999E-3</c:v>
                </c:pt>
                <c:pt idx="88">
                  <c:v>1.4765104394300599E-3</c:v>
                </c:pt>
                <c:pt idx="89">
                  <c:v>1.3863232626131E-3</c:v>
                </c:pt>
                <c:pt idx="90">
                  <c:v>5.6274513172952401E-4</c:v>
                </c:pt>
                <c:pt idx="91">
                  <c:v>9.9877298386949194E-4</c:v>
                </c:pt>
                <c:pt idx="92">
                  <c:v>-3.7829135020836301E-4</c:v>
                </c:pt>
                <c:pt idx="93">
                  <c:v>-4.01373580960733E-3</c:v>
                </c:pt>
                <c:pt idx="94">
                  <c:v>-3.5356800378789199E-3</c:v>
                </c:pt>
                <c:pt idx="95">
                  <c:v>-3.0689189350877502E-3</c:v>
                </c:pt>
                <c:pt idx="96">
                  <c:v>-3.0942167401732E-3</c:v>
                </c:pt>
                <c:pt idx="97">
                  <c:v>-2.2431102279744401E-3</c:v>
                </c:pt>
                <c:pt idx="98">
                  <c:v>-1.5271325786599299E-3</c:v>
                </c:pt>
                <c:pt idx="99">
                  <c:v>-2.0471138918403699E-3</c:v>
                </c:pt>
                <c:pt idx="100">
                  <c:v>-1.9197706341678E-3</c:v>
                </c:pt>
                <c:pt idx="101">
                  <c:v>-7.1762395100654199E-4</c:v>
                </c:pt>
                <c:pt idx="102">
                  <c:v>3.5127864365184802E-3</c:v>
                </c:pt>
                <c:pt idx="103">
                  <c:v>3.4918733431955201E-3</c:v>
                </c:pt>
                <c:pt idx="104">
                  <c:v>3.32801048984287E-3</c:v>
                </c:pt>
                <c:pt idx="105">
                  <c:v>3.13927885545104E-3</c:v>
                </c:pt>
                <c:pt idx="106">
                  <c:v>2.10058170206778E-3</c:v>
                </c:pt>
                <c:pt idx="107">
                  <c:v>1.8160624719744799E-3</c:v>
                </c:pt>
                <c:pt idx="108">
                  <c:v>1.7739855360482399E-3</c:v>
                </c:pt>
                <c:pt idx="109">
                  <c:v>1.20753377185718E-3</c:v>
                </c:pt>
                <c:pt idx="110">
                  <c:v>9.8138266394827791E-4</c:v>
                </c:pt>
                <c:pt idx="111">
                  <c:v>9.3896286469080702E-4</c:v>
                </c:pt>
                <c:pt idx="112">
                  <c:v>6.4015425571417193E-5</c:v>
                </c:pt>
                <c:pt idx="113">
                  <c:v>1.47636631156421E-4</c:v>
                </c:pt>
                <c:pt idx="114">
                  <c:v>-1.84489889792145E-4</c:v>
                </c:pt>
                <c:pt idx="115">
                  <c:v>-3.8661989489977E-4</c:v>
                </c:pt>
                <c:pt idx="116">
                  <c:v>-3.6619498943919202E-3</c:v>
                </c:pt>
                <c:pt idx="117">
                  <c:v>-3.1125684011986802E-3</c:v>
                </c:pt>
                <c:pt idx="118">
                  <c:v>-3.5457980216246402E-3</c:v>
                </c:pt>
                <c:pt idx="119">
                  <c:v>-2.36156730080707E-3</c:v>
                </c:pt>
                <c:pt idx="120">
                  <c:v>-2.7823018996081402E-3</c:v>
                </c:pt>
                <c:pt idx="121">
                  <c:v>-2.7824698231549102E-3</c:v>
                </c:pt>
                <c:pt idx="122">
                  <c:v>-1.6161830110067101E-3</c:v>
                </c:pt>
                <c:pt idx="123">
                  <c:v>3.1196703367286898E-3</c:v>
                </c:pt>
                <c:pt idx="124">
                  <c:v>2.0169444876209498E-3</c:v>
                </c:pt>
                <c:pt idx="125">
                  <c:v>3.1576502134406099E-3</c:v>
                </c:pt>
                <c:pt idx="126">
                  <c:v>2.6742407259945202E-3</c:v>
                </c:pt>
                <c:pt idx="127">
                  <c:v>2.1079418393517499E-3</c:v>
                </c:pt>
                <c:pt idx="128">
                  <c:v>2.0044566659025301E-3</c:v>
                </c:pt>
                <c:pt idx="129">
                  <c:v>1.4885375556345701E-3</c:v>
                </c:pt>
                <c:pt idx="130">
                  <c:v>1.1765396633027299E-3</c:v>
                </c:pt>
                <c:pt idx="131">
                  <c:v>6.5585031833831505E-4</c:v>
                </c:pt>
                <c:pt idx="132">
                  <c:v>6.4201004238535102E-4</c:v>
                </c:pt>
                <c:pt idx="133">
                  <c:v>2.31000851269749E-4</c:v>
                </c:pt>
                <c:pt idx="134">
                  <c:v>-8.2306521918782804E-4</c:v>
                </c:pt>
                <c:pt idx="135">
                  <c:v>-3.7120798728674802E-3</c:v>
                </c:pt>
                <c:pt idx="136">
                  <c:v>-3.5062545214614499E-3</c:v>
                </c:pt>
                <c:pt idx="137">
                  <c:v>-3.3214116071393898E-3</c:v>
                </c:pt>
                <c:pt idx="138">
                  <c:v>-3.2443711854376598E-3</c:v>
                </c:pt>
                <c:pt idx="139">
                  <c:v>-2.5757432996401002E-3</c:v>
                </c:pt>
                <c:pt idx="140">
                  <c:v>-1.61294995749029E-3</c:v>
                </c:pt>
                <c:pt idx="141">
                  <c:v>-1.46467990893616E-3</c:v>
                </c:pt>
                <c:pt idx="142">
                  <c:v>-4.3891922212071501E-4</c:v>
                </c:pt>
                <c:pt idx="143">
                  <c:v>-9.5108756900164602E-4</c:v>
                </c:pt>
                <c:pt idx="144">
                  <c:v>-7.6382416470032304E-5</c:v>
                </c:pt>
                <c:pt idx="145">
                  <c:v>3.2530400067291299E-3</c:v>
                </c:pt>
                <c:pt idx="146">
                  <c:v>3.9110716755556101E-3</c:v>
                </c:pt>
                <c:pt idx="147">
                  <c:v>2.6225977143792098E-3</c:v>
                </c:pt>
                <c:pt idx="148">
                  <c:v>3.3585200012573001E-3</c:v>
                </c:pt>
                <c:pt idx="149">
                  <c:v>1.7693086317313901E-3</c:v>
                </c:pt>
                <c:pt idx="150">
                  <c:v>2.0596491926551498E-3</c:v>
                </c:pt>
                <c:pt idx="151">
                  <c:v>1.7863688211821899E-3</c:v>
                </c:pt>
                <c:pt idx="152">
                  <c:v>1.04639205600537E-3</c:v>
                </c:pt>
                <c:pt idx="153">
                  <c:v>1.1530583626769399E-3</c:v>
                </c:pt>
                <c:pt idx="154">
                  <c:v>6.7259276736654304E-5</c:v>
                </c:pt>
                <c:pt idx="155">
                  <c:v>1.6570829492894E-4</c:v>
                </c:pt>
                <c:pt idx="156">
                  <c:v>9.1911875719598394E-5</c:v>
                </c:pt>
                <c:pt idx="157">
                  <c:v>7.5732898884442099E-4</c:v>
                </c:pt>
                <c:pt idx="158">
                  <c:v>4.1912718474791498E-4</c:v>
                </c:pt>
                <c:pt idx="159">
                  <c:v>-2.23286764950406E-4</c:v>
                </c:pt>
                <c:pt idx="160">
                  <c:v>-3.83304105473334E-3</c:v>
                </c:pt>
                <c:pt idx="161">
                  <c:v>-3.1326170967736098E-3</c:v>
                </c:pt>
                <c:pt idx="162">
                  <c:v>-3.3145684428419401E-3</c:v>
                </c:pt>
                <c:pt idx="163">
                  <c:v>-2.5025664791119701E-3</c:v>
                </c:pt>
                <c:pt idx="164">
                  <c:v>-2.1195231331076298E-3</c:v>
                </c:pt>
                <c:pt idx="165">
                  <c:v>-2.2409608704381302E-3</c:v>
                </c:pt>
                <c:pt idx="166">
                  <c:v>2.52016914834121E-3</c:v>
                </c:pt>
                <c:pt idx="167">
                  <c:v>2.1523256120460901E-3</c:v>
                </c:pt>
                <c:pt idx="168">
                  <c:v>2.9649400705843202E-3</c:v>
                </c:pt>
                <c:pt idx="169">
                  <c:v>1.8462927741426699E-3</c:v>
                </c:pt>
                <c:pt idx="170">
                  <c:v>2.7264877634542799E-3</c:v>
                </c:pt>
                <c:pt idx="171">
                  <c:v>1.7489046027314699E-3</c:v>
                </c:pt>
                <c:pt idx="172">
                  <c:v>1.9705318715075898E-3</c:v>
                </c:pt>
                <c:pt idx="173">
                  <c:v>8.5913208644571503E-4</c:v>
                </c:pt>
                <c:pt idx="174">
                  <c:v>-1.4504088510682099E-4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35-4BC8-BD2D-0EDC1607F5AD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BSCT x 20 dma / IBDU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1.9329820315508201E-3</c:v>
                </c:pt>
                <c:pt idx="21">
                  <c:v>1.38072906676083E-3</c:v>
                </c:pt>
                <c:pt idx="22">
                  <c:v>1.9323262041552999E-3</c:v>
                </c:pt>
                <c:pt idx="23">
                  <c:v>2.4637266209363599E-3</c:v>
                </c:pt>
                <c:pt idx="24">
                  <c:v>1.3941247429027201E-3</c:v>
                </c:pt>
                <c:pt idx="25">
                  <c:v>2.4592445914162799E-3</c:v>
                </c:pt>
                <c:pt idx="26">
                  <c:v>1.5596622067327399E-3</c:v>
                </c:pt>
                <c:pt idx="27">
                  <c:v>1.8781290318432E-3</c:v>
                </c:pt>
                <c:pt idx="28">
                  <c:v>1.62677155462123E-3</c:v>
                </c:pt>
                <c:pt idx="29">
                  <c:v>1.50037183198768E-3</c:v>
                </c:pt>
                <c:pt idx="30">
                  <c:v>1.5229720273898699E-3</c:v>
                </c:pt>
                <c:pt idx="31">
                  <c:v>1.52425573018429E-3</c:v>
                </c:pt>
                <c:pt idx="32">
                  <c:v>2.3089463738044098E-3</c:v>
                </c:pt>
                <c:pt idx="33">
                  <c:v>1.23145552273015E-3</c:v>
                </c:pt>
                <c:pt idx="34">
                  <c:v>-2.8708536608162E-3</c:v>
                </c:pt>
                <c:pt idx="35">
                  <c:v>-2.9592623722198598E-3</c:v>
                </c:pt>
                <c:pt idx="36">
                  <c:v>-3.0638920077537099E-3</c:v>
                </c:pt>
                <c:pt idx="37">
                  <c:v>-3.9182206603762303E-3</c:v>
                </c:pt>
                <c:pt idx="38">
                  <c:v>-2.1661551958298501E-3</c:v>
                </c:pt>
                <c:pt idx="39">
                  <c:v>1.6583152026215099E-3</c:v>
                </c:pt>
                <c:pt idx="40">
                  <c:v>1.86687362013005E-3</c:v>
                </c:pt>
                <c:pt idx="41">
                  <c:v>6.6607681585132805E-4</c:v>
                </c:pt>
                <c:pt idx="42">
                  <c:v>9.8467104587774594E-4</c:v>
                </c:pt>
                <c:pt idx="43">
                  <c:v>8.8625594856989198E-4</c:v>
                </c:pt>
                <c:pt idx="44">
                  <c:v>1.12942931528257E-3</c:v>
                </c:pt>
                <c:pt idx="45">
                  <c:v>1.7510125383156799E-3</c:v>
                </c:pt>
                <c:pt idx="46">
                  <c:v>7.9789713202601696E-4</c:v>
                </c:pt>
                <c:pt idx="47">
                  <c:v>2.8692518204825E-4</c:v>
                </c:pt>
                <c:pt idx="48">
                  <c:v>7.5731374596349997E-4</c:v>
                </c:pt>
                <c:pt idx="49">
                  <c:v>9.7320810326926297E-4</c:v>
                </c:pt>
                <c:pt idx="50">
                  <c:v>4.1702586191647402E-4</c:v>
                </c:pt>
                <c:pt idx="51">
                  <c:v>7.7358111116916997E-4</c:v>
                </c:pt>
                <c:pt idx="52">
                  <c:v>1.5182925361095999E-3</c:v>
                </c:pt>
                <c:pt idx="53">
                  <c:v>1.12697404793787E-3</c:v>
                </c:pt>
                <c:pt idx="54">
                  <c:v>-2.4409554325353399E-3</c:v>
                </c:pt>
                <c:pt idx="55">
                  <c:v>-3.0018990923212298E-3</c:v>
                </c:pt>
                <c:pt idx="56">
                  <c:v>-2.7958491453382501E-3</c:v>
                </c:pt>
                <c:pt idx="57">
                  <c:v>-3.0273525162902199E-3</c:v>
                </c:pt>
                <c:pt idx="58">
                  <c:v>-3.3012311912696702E-3</c:v>
                </c:pt>
                <c:pt idx="59">
                  <c:v>-2.7272975727430102E-3</c:v>
                </c:pt>
                <c:pt idx="60">
                  <c:v>-2.3147780690187798E-3</c:v>
                </c:pt>
                <c:pt idx="61">
                  <c:v>1.3473372482924501E-3</c:v>
                </c:pt>
                <c:pt idx="62">
                  <c:v>1.54248182057154E-3</c:v>
                </c:pt>
                <c:pt idx="63">
                  <c:v>1.7572766131701801E-3</c:v>
                </c:pt>
                <c:pt idx="64">
                  <c:v>2.0455648824958999E-3</c:v>
                </c:pt>
                <c:pt idx="65">
                  <c:v>1.46710747212719E-3</c:v>
                </c:pt>
                <c:pt idx="66">
                  <c:v>1.49743511534985E-3</c:v>
                </c:pt>
                <c:pt idx="67">
                  <c:v>9.4618419855065105E-4</c:v>
                </c:pt>
                <c:pt idx="68">
                  <c:v>7.09404200962427E-4</c:v>
                </c:pt>
                <c:pt idx="69">
                  <c:v>9.3480340109660905E-4</c:v>
                </c:pt>
                <c:pt idx="70">
                  <c:v>1.38099051405777E-3</c:v>
                </c:pt>
                <c:pt idx="71">
                  <c:v>7.1136018351431797E-4</c:v>
                </c:pt>
                <c:pt idx="72">
                  <c:v>2.2098194489081498E-3</c:v>
                </c:pt>
                <c:pt idx="73">
                  <c:v>-2.5055312194534498E-3</c:v>
                </c:pt>
                <c:pt idx="74">
                  <c:v>-2.1995260853928098E-3</c:v>
                </c:pt>
                <c:pt idx="75">
                  <c:v>-2.1883176399666699E-3</c:v>
                </c:pt>
                <c:pt idx="76">
                  <c:v>-1.7743242311126001E-3</c:v>
                </c:pt>
                <c:pt idx="77">
                  <c:v>-2.0183595109383801E-3</c:v>
                </c:pt>
                <c:pt idx="78">
                  <c:v>-1.72072455441642E-3</c:v>
                </c:pt>
                <c:pt idx="79">
                  <c:v>-3.3801445941926398E-3</c:v>
                </c:pt>
                <c:pt idx="80">
                  <c:v>-1.9247794943101899E-3</c:v>
                </c:pt>
                <c:pt idx="81">
                  <c:v>-2.1485929178175801E-3</c:v>
                </c:pt>
                <c:pt idx="82">
                  <c:v>1.5803682551674401E-3</c:v>
                </c:pt>
                <c:pt idx="83">
                  <c:v>1.27683703170859E-3</c:v>
                </c:pt>
                <c:pt idx="84">
                  <c:v>1.41880002341893E-3</c:v>
                </c:pt>
                <c:pt idx="85">
                  <c:v>1.9886125868715E-3</c:v>
                </c:pt>
                <c:pt idx="86">
                  <c:v>1.66967716727222E-3</c:v>
                </c:pt>
                <c:pt idx="87">
                  <c:v>1.8882056031582701E-3</c:v>
                </c:pt>
                <c:pt idx="88">
                  <c:v>1.6520455171326999E-3</c:v>
                </c:pt>
                <c:pt idx="89">
                  <c:v>1.8467315632976101E-3</c:v>
                </c:pt>
                <c:pt idx="90">
                  <c:v>1.4908229976347E-3</c:v>
                </c:pt>
                <c:pt idx="91">
                  <c:v>2.2591814749587302E-3</c:v>
                </c:pt>
                <c:pt idx="92">
                  <c:v>1.2426169170504E-3</c:v>
                </c:pt>
                <c:pt idx="93">
                  <c:v>-2.3619529313898199E-3</c:v>
                </c:pt>
                <c:pt idx="94">
                  <c:v>-2.2402653527463399E-3</c:v>
                </c:pt>
                <c:pt idx="95">
                  <c:v>-2.1290074619404E-3</c:v>
                </c:pt>
                <c:pt idx="96">
                  <c:v>-2.5567417980839201E-3</c:v>
                </c:pt>
                <c:pt idx="97">
                  <c:v>-2.0768111528203402E-3</c:v>
                </c:pt>
                <c:pt idx="98">
                  <c:v>-1.7419264098110199E-3</c:v>
                </c:pt>
                <c:pt idx="99">
                  <c:v>-2.5898145981766E-3</c:v>
                </c:pt>
                <c:pt idx="100">
                  <c:v>-2.9361380165828098E-3</c:v>
                </c:pt>
                <c:pt idx="101">
                  <c:v>-2.1208355549680899E-3</c:v>
                </c:pt>
                <c:pt idx="102">
                  <c:v>1.6738628009093401E-3</c:v>
                </c:pt>
                <c:pt idx="103">
                  <c:v>1.67842147786593E-3</c:v>
                </c:pt>
                <c:pt idx="104">
                  <c:v>1.8904592246733699E-3</c:v>
                </c:pt>
                <c:pt idx="105">
                  <c:v>2.0829052917138401E-3</c:v>
                </c:pt>
                <c:pt idx="106">
                  <c:v>1.4518691929375799E-3</c:v>
                </c:pt>
                <c:pt idx="107">
                  <c:v>1.5714558990301E-3</c:v>
                </c:pt>
                <c:pt idx="108">
                  <c:v>1.90598403237129E-3</c:v>
                </c:pt>
                <c:pt idx="109">
                  <c:v>1.6895298966135401E-3</c:v>
                </c:pt>
                <c:pt idx="110">
                  <c:v>1.9006980906670001E-3</c:v>
                </c:pt>
                <c:pt idx="111">
                  <c:v>2.3218306937776599E-3</c:v>
                </c:pt>
                <c:pt idx="112">
                  <c:v>1.8947917389193099E-3</c:v>
                </c:pt>
                <c:pt idx="113">
                  <c:v>1.9784287625480099E-3</c:v>
                </c:pt>
                <c:pt idx="114">
                  <c:v>1.4681861220521601E-3</c:v>
                </c:pt>
                <c:pt idx="115">
                  <c:v>1.05613767460272E-3</c:v>
                </c:pt>
                <c:pt idx="116">
                  <c:v>-2.4561648924177801E-3</c:v>
                </c:pt>
                <c:pt idx="117">
                  <c:v>-2.2699365821553098E-3</c:v>
                </c:pt>
                <c:pt idx="118">
                  <c:v>-3.0443361132982101E-3</c:v>
                </c:pt>
                <c:pt idx="119">
                  <c:v>-2.2546222954964402E-3</c:v>
                </c:pt>
                <c:pt idx="120">
                  <c:v>-3.0543287994719598E-3</c:v>
                </c:pt>
                <c:pt idx="121">
                  <c:v>-3.5070834109526298E-3</c:v>
                </c:pt>
                <c:pt idx="122">
                  <c:v>-2.8202281505349701E-3</c:v>
                </c:pt>
                <c:pt idx="123">
                  <c:v>1.70107701628742E-3</c:v>
                </c:pt>
                <c:pt idx="124">
                  <c:v>5.8928499597200705E-4</c:v>
                </c:pt>
                <c:pt idx="125">
                  <c:v>1.70779880120317E-3</c:v>
                </c:pt>
                <c:pt idx="126">
                  <c:v>1.28845561228554E-3</c:v>
                </c:pt>
                <c:pt idx="127">
                  <c:v>1.0676702447629501E-3</c:v>
                </c:pt>
                <c:pt idx="128">
                  <c:v>1.2832075555414401E-3</c:v>
                </c:pt>
                <c:pt idx="129">
                  <c:v>1.1885960414880999E-3</c:v>
                </c:pt>
                <c:pt idx="130">
                  <c:v>1.2069566968543101E-3</c:v>
                </c:pt>
                <c:pt idx="131">
                  <c:v>1.10303846636894E-3</c:v>
                </c:pt>
                <c:pt idx="132">
                  <c:v>1.56506699347572E-3</c:v>
                </c:pt>
                <c:pt idx="133">
                  <c:v>1.5643822850427E-3</c:v>
                </c:pt>
                <c:pt idx="134">
                  <c:v>4.92491117238227E-4</c:v>
                </c:pt>
                <c:pt idx="135">
                  <c:v>-2.37431445148987E-3</c:v>
                </c:pt>
                <c:pt idx="136">
                  <c:v>-2.4109108692164098E-3</c:v>
                </c:pt>
                <c:pt idx="137">
                  <c:v>-2.6042300778557899E-3</c:v>
                </c:pt>
                <c:pt idx="138">
                  <c:v>-2.8842661584767199E-3</c:v>
                </c:pt>
                <c:pt idx="139">
                  <c:v>-2.6477229434527798E-3</c:v>
                </c:pt>
                <c:pt idx="140">
                  <c:v>-2.0578558273181501E-3</c:v>
                </c:pt>
                <c:pt idx="141">
                  <c:v>-2.29443168535251E-3</c:v>
                </c:pt>
                <c:pt idx="142">
                  <c:v>-1.67417128416433E-3</c:v>
                </c:pt>
                <c:pt idx="143">
                  <c:v>-2.56867690252046E-3</c:v>
                </c:pt>
                <c:pt idx="144">
                  <c:v>-1.9030983682212599E-3</c:v>
                </c:pt>
                <c:pt idx="145">
                  <c:v>1.29183513720416E-3</c:v>
                </c:pt>
                <c:pt idx="146">
                  <c:v>2.3110189406205101E-3</c:v>
                </c:pt>
                <c:pt idx="147">
                  <c:v>1.4321819282536901E-3</c:v>
                </c:pt>
                <c:pt idx="148">
                  <c:v>2.5456952673863801E-3</c:v>
                </c:pt>
                <c:pt idx="149">
                  <c:v>1.43149325480846E-3</c:v>
                </c:pt>
                <c:pt idx="150">
                  <c:v>2.1157568028070698E-3</c:v>
                </c:pt>
                <c:pt idx="151">
                  <c:v>2.2157113511915298E-3</c:v>
                </c:pt>
                <c:pt idx="152">
                  <c:v>1.8704768789751399E-3</c:v>
                </c:pt>
                <c:pt idx="153">
                  <c:v>2.3115996905928599E-3</c:v>
                </c:pt>
                <c:pt idx="154">
                  <c:v>1.66835504836005E-3</c:v>
                </c:pt>
                <c:pt idx="155">
                  <c:v>2.0800966032933298E-3</c:v>
                </c:pt>
                <c:pt idx="156">
                  <c:v>1.8912827126644799E-3</c:v>
                </c:pt>
                <c:pt idx="157">
                  <c:v>2.3347484590044401E-3</c:v>
                </c:pt>
                <c:pt idx="158">
                  <c:v>1.8827552682241699E-3</c:v>
                </c:pt>
                <c:pt idx="159">
                  <c:v>9.906195235442779E-4</c:v>
                </c:pt>
                <c:pt idx="160">
                  <c:v>-2.7811318082786199E-3</c:v>
                </c:pt>
                <c:pt idx="161">
                  <c:v>-2.4601099246100299E-3</c:v>
                </c:pt>
                <c:pt idx="162">
                  <c:v>-3.0267507460732699E-3</c:v>
                </c:pt>
                <c:pt idx="163">
                  <c:v>-2.5610386062823098E-3</c:v>
                </c:pt>
                <c:pt idx="164">
                  <c:v>-2.5878738700202898E-3</c:v>
                </c:pt>
                <c:pt idx="165">
                  <c:v>-3.0328157262610698E-3</c:v>
                </c:pt>
                <c:pt idx="166">
                  <c:v>1.4920717427661201E-3</c:v>
                </c:pt>
                <c:pt idx="167">
                  <c:v>1.1538855132350301E-3</c:v>
                </c:pt>
                <c:pt idx="168">
                  <c:v>1.8721783392949001E-3</c:v>
                </c:pt>
                <c:pt idx="169">
                  <c:v>7.7212941982081698E-4</c:v>
                </c:pt>
                <c:pt idx="170">
                  <c:v>1.62666748742292E-3</c:v>
                </c:pt>
                <c:pt idx="171">
                  <c:v>1.05641162764351E-3</c:v>
                </c:pt>
                <c:pt idx="172">
                  <c:v>1.63161956624237E-3</c:v>
                </c:pt>
                <c:pt idx="173">
                  <c:v>9.4015760817761195E-4</c:v>
                </c:pt>
                <c:pt idx="174">
                  <c:v>3.0116773859972199E-4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35-4BC8-BD2D-0EDC1607F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1.693165125253515E-3</c:v>
                </c:pt>
                <c:pt idx="19">
                  <c:v>1.693165125253515E-3</c:v>
                </c:pt>
                <c:pt idx="20">
                  <c:v>1.693165125253515E-3</c:v>
                </c:pt>
                <c:pt idx="21">
                  <c:v>1.693165125253515E-3</c:v>
                </c:pt>
                <c:pt idx="22">
                  <c:v>1.693165125253515E-3</c:v>
                </c:pt>
                <c:pt idx="23">
                  <c:v>1.693165125253515E-3</c:v>
                </c:pt>
                <c:pt idx="24">
                  <c:v>1.693165125253515E-3</c:v>
                </c:pt>
                <c:pt idx="25">
                  <c:v>1.693165125253515E-3</c:v>
                </c:pt>
                <c:pt idx="26">
                  <c:v>1.693165125253515E-3</c:v>
                </c:pt>
                <c:pt idx="27">
                  <c:v>1.693165125253515E-3</c:v>
                </c:pt>
                <c:pt idx="28">
                  <c:v>1.693165125253515E-3</c:v>
                </c:pt>
                <c:pt idx="29">
                  <c:v>1.693165125253515E-3</c:v>
                </c:pt>
                <c:pt idx="30">
                  <c:v>1.693165125253515E-3</c:v>
                </c:pt>
                <c:pt idx="31">
                  <c:v>1.693165125253515E-3</c:v>
                </c:pt>
                <c:pt idx="32">
                  <c:v>1.693165125253515E-3</c:v>
                </c:pt>
                <c:pt idx="33">
                  <c:v>1.693165125253515E-3</c:v>
                </c:pt>
                <c:pt idx="34">
                  <c:v>1.693165125253515E-3</c:v>
                </c:pt>
                <c:pt idx="35">
                  <c:v>1.693165125253515E-3</c:v>
                </c:pt>
                <c:pt idx="36">
                  <c:v>1.693165125253515E-3</c:v>
                </c:pt>
                <c:pt idx="37">
                  <c:v>1.693165125253515E-3</c:v>
                </c:pt>
                <c:pt idx="38">
                  <c:v>1.693165125253515E-3</c:v>
                </c:pt>
                <c:pt idx="39">
                  <c:v>1.693165125253515E-3</c:v>
                </c:pt>
                <c:pt idx="40">
                  <c:v>1.693165125253515E-3</c:v>
                </c:pt>
                <c:pt idx="41">
                  <c:v>1.693165125253515E-3</c:v>
                </c:pt>
                <c:pt idx="42">
                  <c:v>1.693165125253515E-3</c:v>
                </c:pt>
                <c:pt idx="43">
                  <c:v>1.693165125253515E-3</c:v>
                </c:pt>
                <c:pt idx="44">
                  <c:v>1.693165125253515E-3</c:v>
                </c:pt>
                <c:pt idx="45">
                  <c:v>1.693165125253515E-3</c:v>
                </c:pt>
                <c:pt idx="46">
                  <c:v>1.693165125253515E-3</c:v>
                </c:pt>
                <c:pt idx="47">
                  <c:v>1.693165125253515E-3</c:v>
                </c:pt>
                <c:pt idx="48">
                  <c:v>1.693165125253515E-3</c:v>
                </c:pt>
                <c:pt idx="49">
                  <c:v>1.693165125253515E-3</c:v>
                </c:pt>
                <c:pt idx="50">
                  <c:v>1.693165125253515E-3</c:v>
                </c:pt>
                <c:pt idx="51">
                  <c:v>1.693165125253515E-3</c:v>
                </c:pt>
                <c:pt idx="52">
                  <c:v>1.693165125253515E-3</c:v>
                </c:pt>
                <c:pt idx="53">
                  <c:v>1.693165125253515E-3</c:v>
                </c:pt>
                <c:pt idx="54">
                  <c:v>1.693165125253515E-3</c:v>
                </c:pt>
                <c:pt idx="55">
                  <c:v>1.693165125253515E-3</c:v>
                </c:pt>
                <c:pt idx="56">
                  <c:v>1.693165125253515E-3</c:v>
                </c:pt>
                <c:pt idx="57">
                  <c:v>1.693165125253515E-3</c:v>
                </c:pt>
                <c:pt idx="58">
                  <c:v>1.693165125253515E-3</c:v>
                </c:pt>
                <c:pt idx="59">
                  <c:v>1.693165125253515E-3</c:v>
                </c:pt>
                <c:pt idx="60">
                  <c:v>3.0942619460569655E-3</c:v>
                </c:pt>
                <c:pt idx="61">
                  <c:v>3.0942619460569655E-3</c:v>
                </c:pt>
                <c:pt idx="62">
                  <c:v>3.0942619460569655E-3</c:v>
                </c:pt>
                <c:pt idx="63">
                  <c:v>3.0942619460569655E-3</c:v>
                </c:pt>
                <c:pt idx="64">
                  <c:v>3.0942619460569655E-3</c:v>
                </c:pt>
                <c:pt idx="65">
                  <c:v>3.0942619460569655E-3</c:v>
                </c:pt>
                <c:pt idx="66">
                  <c:v>3.0942619460569655E-3</c:v>
                </c:pt>
                <c:pt idx="67">
                  <c:v>3.0942619460569655E-3</c:v>
                </c:pt>
                <c:pt idx="68">
                  <c:v>3.0942619460569655E-3</c:v>
                </c:pt>
                <c:pt idx="69">
                  <c:v>3.0942619460569655E-3</c:v>
                </c:pt>
                <c:pt idx="70">
                  <c:v>3.0942619460569655E-3</c:v>
                </c:pt>
                <c:pt idx="71">
                  <c:v>3.0942619460569655E-3</c:v>
                </c:pt>
                <c:pt idx="72">
                  <c:v>3.0942619460569655E-3</c:v>
                </c:pt>
                <c:pt idx="73">
                  <c:v>3.0942619460569655E-3</c:v>
                </c:pt>
                <c:pt idx="74">
                  <c:v>3.0942619460569655E-3</c:v>
                </c:pt>
                <c:pt idx="75">
                  <c:v>3.0942619460569655E-3</c:v>
                </c:pt>
                <c:pt idx="76">
                  <c:v>3.0942619460569655E-3</c:v>
                </c:pt>
                <c:pt idx="77">
                  <c:v>3.0942619460569655E-3</c:v>
                </c:pt>
                <c:pt idx="78">
                  <c:v>3.0942619460569655E-3</c:v>
                </c:pt>
                <c:pt idx="79">
                  <c:v>3.0942619460569655E-3</c:v>
                </c:pt>
                <c:pt idx="80">
                  <c:v>3.0942619460569655E-3</c:v>
                </c:pt>
                <c:pt idx="81">
                  <c:v>3.0942619460569655E-3</c:v>
                </c:pt>
                <c:pt idx="82">
                  <c:v>3.0942619460569655E-3</c:v>
                </c:pt>
                <c:pt idx="83">
                  <c:v>3.0942619460569655E-3</c:v>
                </c:pt>
                <c:pt idx="84">
                  <c:v>3.0942619460569655E-3</c:v>
                </c:pt>
                <c:pt idx="85">
                  <c:v>3.0942619460569655E-3</c:v>
                </c:pt>
                <c:pt idx="86">
                  <c:v>3.0942619460569655E-3</c:v>
                </c:pt>
                <c:pt idx="87">
                  <c:v>3.0942619460569655E-3</c:v>
                </c:pt>
                <c:pt idx="88">
                  <c:v>3.0942619460569655E-3</c:v>
                </c:pt>
                <c:pt idx="89">
                  <c:v>3.0942619460569655E-3</c:v>
                </c:pt>
                <c:pt idx="90">
                  <c:v>3.0942619460569655E-3</c:v>
                </c:pt>
                <c:pt idx="91">
                  <c:v>3.0942619460569655E-3</c:v>
                </c:pt>
                <c:pt idx="92">
                  <c:v>3.0942619460569655E-3</c:v>
                </c:pt>
                <c:pt idx="93">
                  <c:v>3.0942619460569655E-3</c:v>
                </c:pt>
                <c:pt idx="94">
                  <c:v>3.0942619460569655E-3</c:v>
                </c:pt>
                <c:pt idx="95">
                  <c:v>3.0942619460569655E-3</c:v>
                </c:pt>
                <c:pt idx="96">
                  <c:v>3.0942619460569655E-3</c:v>
                </c:pt>
                <c:pt idx="97">
                  <c:v>3.0942619460569655E-3</c:v>
                </c:pt>
                <c:pt idx="98">
                  <c:v>3.0942619460569655E-3</c:v>
                </c:pt>
                <c:pt idx="99">
                  <c:v>3.0942619460569655E-3</c:v>
                </c:pt>
                <c:pt idx="100">
                  <c:v>3.0942619460569655E-3</c:v>
                </c:pt>
                <c:pt idx="101">
                  <c:v>3.0942619460569655E-3</c:v>
                </c:pt>
                <c:pt idx="102">
                  <c:v>3.0942619460569655E-3</c:v>
                </c:pt>
                <c:pt idx="103">
                  <c:v>3.0942619460569655E-3</c:v>
                </c:pt>
                <c:pt idx="104">
                  <c:v>3.0942619460569655E-3</c:v>
                </c:pt>
                <c:pt idx="105">
                  <c:v>3.0942619460569655E-3</c:v>
                </c:pt>
                <c:pt idx="106">
                  <c:v>3.0942619460569655E-3</c:v>
                </c:pt>
                <c:pt idx="107">
                  <c:v>3.0942619460569655E-3</c:v>
                </c:pt>
                <c:pt idx="108">
                  <c:v>3.0942619460569655E-3</c:v>
                </c:pt>
                <c:pt idx="109">
                  <c:v>3.0942619460569655E-3</c:v>
                </c:pt>
                <c:pt idx="110">
                  <c:v>3.0942619460569655E-3</c:v>
                </c:pt>
                <c:pt idx="111">
                  <c:v>3.0942619460569655E-3</c:v>
                </c:pt>
                <c:pt idx="112">
                  <c:v>3.0942619460569655E-3</c:v>
                </c:pt>
                <c:pt idx="113">
                  <c:v>3.0942619460569655E-3</c:v>
                </c:pt>
                <c:pt idx="114">
                  <c:v>3.0942619460569655E-3</c:v>
                </c:pt>
                <c:pt idx="115">
                  <c:v>3.0942619460569655E-3</c:v>
                </c:pt>
                <c:pt idx="116">
                  <c:v>3.0942619460569655E-3</c:v>
                </c:pt>
                <c:pt idx="117">
                  <c:v>3.0942619460569655E-3</c:v>
                </c:pt>
                <c:pt idx="118">
                  <c:v>3.0942619460569655E-3</c:v>
                </c:pt>
                <c:pt idx="119">
                  <c:v>3.0942619460569655E-3</c:v>
                </c:pt>
                <c:pt idx="120">
                  <c:v>3.0942619460569655E-3</c:v>
                </c:pt>
                <c:pt idx="121">
                  <c:v>3.0942619460569655E-3</c:v>
                </c:pt>
                <c:pt idx="122">
                  <c:v>3.0942619460569655E-3</c:v>
                </c:pt>
                <c:pt idx="123">
                  <c:v>3.0942619460569655E-3</c:v>
                </c:pt>
                <c:pt idx="124">
                  <c:v>3.0942619460569655E-3</c:v>
                </c:pt>
                <c:pt idx="125">
                  <c:v>3.0942619460569655E-3</c:v>
                </c:pt>
                <c:pt idx="126">
                  <c:v>3.0942619460569655E-3</c:v>
                </c:pt>
                <c:pt idx="127">
                  <c:v>3.0942619460569655E-3</c:v>
                </c:pt>
                <c:pt idx="128">
                  <c:v>3.0942619460569655E-3</c:v>
                </c:pt>
                <c:pt idx="129">
                  <c:v>3.0942619460569655E-3</c:v>
                </c:pt>
                <c:pt idx="130">
                  <c:v>3.0942619460569655E-3</c:v>
                </c:pt>
                <c:pt idx="131">
                  <c:v>3.0942619460569655E-3</c:v>
                </c:pt>
                <c:pt idx="132">
                  <c:v>3.0942619460569655E-3</c:v>
                </c:pt>
                <c:pt idx="133">
                  <c:v>3.0942619460569655E-3</c:v>
                </c:pt>
                <c:pt idx="134">
                  <c:v>3.0942619460569655E-3</c:v>
                </c:pt>
                <c:pt idx="135">
                  <c:v>3.0942619460569655E-3</c:v>
                </c:pt>
                <c:pt idx="136">
                  <c:v>3.0942619460569655E-3</c:v>
                </c:pt>
                <c:pt idx="137">
                  <c:v>3.0942619460569655E-3</c:v>
                </c:pt>
                <c:pt idx="138">
                  <c:v>3.0942619460569655E-3</c:v>
                </c:pt>
                <c:pt idx="139">
                  <c:v>3.0942619460569655E-3</c:v>
                </c:pt>
                <c:pt idx="140">
                  <c:v>3.0942619460569655E-3</c:v>
                </c:pt>
                <c:pt idx="141">
                  <c:v>3.0942619460569655E-3</c:v>
                </c:pt>
                <c:pt idx="142">
                  <c:v>3.0942619460569655E-3</c:v>
                </c:pt>
                <c:pt idx="143">
                  <c:v>3.0942619460569655E-3</c:v>
                </c:pt>
                <c:pt idx="144">
                  <c:v>3.0942619460569655E-3</c:v>
                </c:pt>
                <c:pt idx="145">
                  <c:v>3.0942619460569655E-3</c:v>
                </c:pt>
                <c:pt idx="146">
                  <c:v>3.0942619460569655E-3</c:v>
                </c:pt>
                <c:pt idx="147">
                  <c:v>3.0942619460569655E-3</c:v>
                </c:pt>
                <c:pt idx="148">
                  <c:v>3.0942619460569655E-3</c:v>
                </c:pt>
                <c:pt idx="149">
                  <c:v>3.0942619460569655E-3</c:v>
                </c:pt>
                <c:pt idx="150">
                  <c:v>3.0942619460569655E-3</c:v>
                </c:pt>
                <c:pt idx="151">
                  <c:v>3.0942619460569655E-3</c:v>
                </c:pt>
                <c:pt idx="152">
                  <c:v>3.0942619460569655E-3</c:v>
                </c:pt>
                <c:pt idx="153">
                  <c:v>3.0942619460569655E-3</c:v>
                </c:pt>
                <c:pt idx="154">
                  <c:v>3.0942619460569655E-3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F-47ED-8D8A-F94A8FF6A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63-4CC3-AA7D-0051F35FC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1.693165125253515E-3</c:v>
                </c:pt>
                <c:pt idx="19">
                  <c:v>1.693165125253515E-3</c:v>
                </c:pt>
                <c:pt idx="20">
                  <c:v>1.693165125253515E-3</c:v>
                </c:pt>
                <c:pt idx="21">
                  <c:v>1.693165125253515E-3</c:v>
                </c:pt>
                <c:pt idx="22">
                  <c:v>1.693165125253515E-3</c:v>
                </c:pt>
                <c:pt idx="23">
                  <c:v>1.693165125253515E-3</c:v>
                </c:pt>
                <c:pt idx="24">
                  <c:v>1.693165125253515E-3</c:v>
                </c:pt>
                <c:pt idx="25">
                  <c:v>1.693165125253515E-3</c:v>
                </c:pt>
                <c:pt idx="26">
                  <c:v>1.693165125253515E-3</c:v>
                </c:pt>
                <c:pt idx="27">
                  <c:v>1.693165125253515E-3</c:v>
                </c:pt>
                <c:pt idx="28">
                  <c:v>1.693165125253515E-3</c:v>
                </c:pt>
                <c:pt idx="29">
                  <c:v>1.693165125253515E-3</c:v>
                </c:pt>
                <c:pt idx="30">
                  <c:v>1.693165125253515E-3</c:v>
                </c:pt>
                <c:pt idx="31">
                  <c:v>1.693165125253515E-3</c:v>
                </c:pt>
                <c:pt idx="32">
                  <c:v>1.693165125253515E-3</c:v>
                </c:pt>
                <c:pt idx="33">
                  <c:v>1.693165125253515E-3</c:v>
                </c:pt>
                <c:pt idx="34">
                  <c:v>1.693165125253515E-3</c:v>
                </c:pt>
                <c:pt idx="35">
                  <c:v>1.693165125253515E-3</c:v>
                </c:pt>
                <c:pt idx="36">
                  <c:v>1.693165125253515E-3</c:v>
                </c:pt>
                <c:pt idx="37">
                  <c:v>1.693165125253515E-3</c:v>
                </c:pt>
                <c:pt idx="38">
                  <c:v>1.693165125253515E-3</c:v>
                </c:pt>
                <c:pt idx="39">
                  <c:v>1.693165125253515E-3</c:v>
                </c:pt>
                <c:pt idx="40">
                  <c:v>1.693165125253515E-3</c:v>
                </c:pt>
                <c:pt idx="41">
                  <c:v>1.693165125253515E-3</c:v>
                </c:pt>
                <c:pt idx="42">
                  <c:v>1.693165125253515E-3</c:v>
                </c:pt>
                <c:pt idx="43">
                  <c:v>1.693165125253515E-3</c:v>
                </c:pt>
                <c:pt idx="44">
                  <c:v>1.693165125253515E-3</c:v>
                </c:pt>
                <c:pt idx="45">
                  <c:v>1.693165125253515E-3</c:v>
                </c:pt>
                <c:pt idx="46">
                  <c:v>1.693165125253515E-3</c:v>
                </c:pt>
                <c:pt idx="47">
                  <c:v>1.693165125253515E-3</c:v>
                </c:pt>
                <c:pt idx="48">
                  <c:v>1.693165125253515E-3</c:v>
                </c:pt>
                <c:pt idx="49">
                  <c:v>1.693165125253515E-3</c:v>
                </c:pt>
                <c:pt idx="50">
                  <c:v>1.693165125253515E-3</c:v>
                </c:pt>
                <c:pt idx="51">
                  <c:v>1.693165125253515E-3</c:v>
                </c:pt>
                <c:pt idx="52">
                  <c:v>1.693165125253515E-3</c:v>
                </c:pt>
                <c:pt idx="53">
                  <c:v>1.693165125253515E-3</c:v>
                </c:pt>
                <c:pt idx="54">
                  <c:v>1.693165125253515E-3</c:v>
                </c:pt>
                <c:pt idx="55">
                  <c:v>1.693165125253515E-3</c:v>
                </c:pt>
                <c:pt idx="56">
                  <c:v>1.693165125253515E-3</c:v>
                </c:pt>
                <c:pt idx="57">
                  <c:v>1.693165125253515E-3</c:v>
                </c:pt>
                <c:pt idx="58">
                  <c:v>1.693165125253515E-3</c:v>
                </c:pt>
                <c:pt idx="59">
                  <c:v>1.693165125253515E-3</c:v>
                </c:pt>
                <c:pt idx="60">
                  <c:v>3.0942619460569655E-3</c:v>
                </c:pt>
                <c:pt idx="61">
                  <c:v>3.0942619460569655E-3</c:v>
                </c:pt>
                <c:pt idx="62">
                  <c:v>3.0942619460569655E-3</c:v>
                </c:pt>
                <c:pt idx="63">
                  <c:v>3.0942619460569655E-3</c:v>
                </c:pt>
                <c:pt idx="64">
                  <c:v>3.0942619460569655E-3</c:v>
                </c:pt>
                <c:pt idx="65">
                  <c:v>3.0942619460569655E-3</c:v>
                </c:pt>
                <c:pt idx="66">
                  <c:v>3.0942619460569655E-3</c:v>
                </c:pt>
                <c:pt idx="67">
                  <c:v>3.0942619460569655E-3</c:v>
                </c:pt>
                <c:pt idx="68">
                  <c:v>3.0942619460569655E-3</c:v>
                </c:pt>
                <c:pt idx="69">
                  <c:v>3.0942619460569655E-3</c:v>
                </c:pt>
                <c:pt idx="70">
                  <c:v>3.0942619460569655E-3</c:v>
                </c:pt>
                <c:pt idx="71">
                  <c:v>3.0942619460569655E-3</c:v>
                </c:pt>
                <c:pt idx="72">
                  <c:v>3.0942619460569655E-3</c:v>
                </c:pt>
                <c:pt idx="73">
                  <c:v>3.0942619460569655E-3</c:v>
                </c:pt>
                <c:pt idx="74">
                  <c:v>3.0942619460569655E-3</c:v>
                </c:pt>
                <c:pt idx="75">
                  <c:v>3.0942619460569655E-3</c:v>
                </c:pt>
                <c:pt idx="76">
                  <c:v>3.0942619460569655E-3</c:v>
                </c:pt>
                <c:pt idx="77">
                  <c:v>3.0942619460569655E-3</c:v>
                </c:pt>
                <c:pt idx="78">
                  <c:v>3.0942619460569655E-3</c:v>
                </c:pt>
                <c:pt idx="79">
                  <c:v>3.0942619460569655E-3</c:v>
                </c:pt>
                <c:pt idx="80">
                  <c:v>3.0942619460569655E-3</c:v>
                </c:pt>
                <c:pt idx="81">
                  <c:v>3.0942619460569655E-3</c:v>
                </c:pt>
                <c:pt idx="82">
                  <c:v>3.0942619460569655E-3</c:v>
                </c:pt>
                <c:pt idx="83">
                  <c:v>3.0942619460569655E-3</c:v>
                </c:pt>
                <c:pt idx="84">
                  <c:v>3.0942619460569655E-3</c:v>
                </c:pt>
                <c:pt idx="85">
                  <c:v>3.0942619460569655E-3</c:v>
                </c:pt>
                <c:pt idx="86">
                  <c:v>3.0942619460569655E-3</c:v>
                </c:pt>
                <c:pt idx="87">
                  <c:v>3.0942619460569655E-3</c:v>
                </c:pt>
                <c:pt idx="88">
                  <c:v>3.0942619460569655E-3</c:v>
                </c:pt>
                <c:pt idx="89">
                  <c:v>3.0942619460569655E-3</c:v>
                </c:pt>
                <c:pt idx="90">
                  <c:v>3.0942619460569655E-3</c:v>
                </c:pt>
                <c:pt idx="91">
                  <c:v>3.0942619460569655E-3</c:v>
                </c:pt>
                <c:pt idx="92">
                  <c:v>3.0942619460569655E-3</c:v>
                </c:pt>
                <c:pt idx="93">
                  <c:v>3.0942619460569655E-3</c:v>
                </c:pt>
                <c:pt idx="94">
                  <c:v>3.0942619460569655E-3</c:v>
                </c:pt>
                <c:pt idx="95">
                  <c:v>3.0942619460569655E-3</c:v>
                </c:pt>
                <c:pt idx="96">
                  <c:v>3.0942619460569655E-3</c:v>
                </c:pt>
                <c:pt idx="97">
                  <c:v>3.0942619460569655E-3</c:v>
                </c:pt>
                <c:pt idx="98">
                  <c:v>3.0942619460569655E-3</c:v>
                </c:pt>
                <c:pt idx="99">
                  <c:v>3.0942619460569655E-3</c:v>
                </c:pt>
                <c:pt idx="100">
                  <c:v>3.0942619460569655E-3</c:v>
                </c:pt>
                <c:pt idx="101">
                  <c:v>3.0942619460569655E-3</c:v>
                </c:pt>
                <c:pt idx="102">
                  <c:v>3.0942619460569655E-3</c:v>
                </c:pt>
                <c:pt idx="103">
                  <c:v>3.0942619460569655E-3</c:v>
                </c:pt>
                <c:pt idx="104">
                  <c:v>3.0942619460569655E-3</c:v>
                </c:pt>
                <c:pt idx="105">
                  <c:v>3.0942619460569655E-3</c:v>
                </c:pt>
                <c:pt idx="106">
                  <c:v>3.0942619460569655E-3</c:v>
                </c:pt>
                <c:pt idx="107">
                  <c:v>3.0942619460569655E-3</c:v>
                </c:pt>
                <c:pt idx="108">
                  <c:v>3.0942619460569655E-3</c:v>
                </c:pt>
                <c:pt idx="109">
                  <c:v>3.0942619460569655E-3</c:v>
                </c:pt>
                <c:pt idx="110">
                  <c:v>3.0942619460569655E-3</c:v>
                </c:pt>
                <c:pt idx="111">
                  <c:v>3.0942619460569655E-3</c:v>
                </c:pt>
                <c:pt idx="112">
                  <c:v>3.0942619460569655E-3</c:v>
                </c:pt>
                <c:pt idx="113">
                  <c:v>3.0942619460569655E-3</c:v>
                </c:pt>
                <c:pt idx="114">
                  <c:v>3.0942619460569655E-3</c:v>
                </c:pt>
                <c:pt idx="115">
                  <c:v>3.0942619460569655E-3</c:v>
                </c:pt>
                <c:pt idx="116">
                  <c:v>3.0942619460569655E-3</c:v>
                </c:pt>
                <c:pt idx="117">
                  <c:v>3.0942619460569655E-3</c:v>
                </c:pt>
                <c:pt idx="118">
                  <c:v>3.0942619460569655E-3</c:v>
                </c:pt>
                <c:pt idx="119">
                  <c:v>3.0942619460569655E-3</c:v>
                </c:pt>
                <c:pt idx="120">
                  <c:v>3.0942619460569655E-3</c:v>
                </c:pt>
                <c:pt idx="121">
                  <c:v>3.0942619460569655E-3</c:v>
                </c:pt>
                <c:pt idx="122">
                  <c:v>3.0942619460569655E-3</c:v>
                </c:pt>
                <c:pt idx="123">
                  <c:v>3.0942619460569655E-3</c:v>
                </c:pt>
                <c:pt idx="124">
                  <c:v>3.0942619460569655E-3</c:v>
                </c:pt>
                <c:pt idx="125">
                  <c:v>3.0942619460569655E-3</c:v>
                </c:pt>
                <c:pt idx="126">
                  <c:v>3.0942619460569655E-3</c:v>
                </c:pt>
                <c:pt idx="127">
                  <c:v>3.0942619460569655E-3</c:v>
                </c:pt>
                <c:pt idx="128">
                  <c:v>3.0942619460569655E-3</c:v>
                </c:pt>
                <c:pt idx="129">
                  <c:v>3.0942619460569655E-3</c:v>
                </c:pt>
                <c:pt idx="130">
                  <c:v>3.0942619460569655E-3</c:v>
                </c:pt>
                <c:pt idx="131">
                  <c:v>3.0942619460569655E-3</c:v>
                </c:pt>
                <c:pt idx="132">
                  <c:v>3.0942619460569655E-3</c:v>
                </c:pt>
                <c:pt idx="133">
                  <c:v>3.0942619460569655E-3</c:v>
                </c:pt>
                <c:pt idx="134">
                  <c:v>3.0942619460569655E-3</c:v>
                </c:pt>
                <c:pt idx="135">
                  <c:v>3.0942619460569655E-3</c:v>
                </c:pt>
                <c:pt idx="136">
                  <c:v>3.0942619460569655E-3</c:v>
                </c:pt>
                <c:pt idx="137">
                  <c:v>3.0942619460569655E-3</c:v>
                </c:pt>
                <c:pt idx="138">
                  <c:v>3.0942619460569655E-3</c:v>
                </c:pt>
                <c:pt idx="139">
                  <c:v>3.0942619460569655E-3</c:v>
                </c:pt>
                <c:pt idx="140">
                  <c:v>3.0942619460569655E-3</c:v>
                </c:pt>
                <c:pt idx="141">
                  <c:v>3.0942619460569655E-3</c:v>
                </c:pt>
                <c:pt idx="142">
                  <c:v>3.0942619460569655E-3</c:v>
                </c:pt>
                <c:pt idx="143">
                  <c:v>3.0942619460569655E-3</c:v>
                </c:pt>
                <c:pt idx="144">
                  <c:v>3.0942619460569655E-3</c:v>
                </c:pt>
                <c:pt idx="145">
                  <c:v>3.0942619460569655E-3</c:v>
                </c:pt>
                <c:pt idx="146">
                  <c:v>3.0942619460569655E-3</c:v>
                </c:pt>
                <c:pt idx="147">
                  <c:v>3.0942619460569655E-3</c:v>
                </c:pt>
                <c:pt idx="148">
                  <c:v>3.0942619460569655E-3</c:v>
                </c:pt>
                <c:pt idx="149">
                  <c:v>3.0942619460569655E-3</c:v>
                </c:pt>
                <c:pt idx="150">
                  <c:v>3.0942619460569655E-3</c:v>
                </c:pt>
                <c:pt idx="151">
                  <c:v>3.0942619460569655E-3</c:v>
                </c:pt>
                <c:pt idx="152">
                  <c:v>3.0942619460569655E-3</c:v>
                </c:pt>
                <c:pt idx="153">
                  <c:v>3.0942619460569655E-3</c:v>
                </c:pt>
                <c:pt idx="154">
                  <c:v>3.0942619460569655E-3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81-4B59-9638-9D8024DF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064991-9AC1-43BF-A21B-C36AECFD75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31C5BA-6E0D-4434-A653-978A2005A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D1446B-91F0-4537-89CD-2506247D39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337247-89F0-4888-8A94-3F91D6417D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C74880-F96A-45D0-9531-DED4D2F9B3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5D9F60-3BC9-40A2-B29A-011A31EDEE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1109878-5D41-4216-9459-B382737565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21A0-6F8B-4D7B-AB0A-FFE4226FFA6A}">
  <dimension ref="A1:DZ183"/>
  <sheetViews>
    <sheetView tabSelected="1" topLeftCell="AC1" workbookViewId="0">
      <selection activeCell="AT23" sqref="AT23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1.8009965762860676</v>
      </c>
      <c r="AJ1" s="4">
        <v>0</v>
      </c>
      <c r="AK1" s="4">
        <f t="shared" ref="AK1:AQ1" si="0">AJ1-$AK12</f>
        <v>-2.0000000000000001E-4</v>
      </c>
      <c r="AL1" s="4">
        <f t="shared" si="0"/>
        <v>-4.0000000000000002E-4</v>
      </c>
      <c r="AM1" s="4">
        <f t="shared" si="0"/>
        <v>-6.0000000000000006E-4</v>
      </c>
      <c r="AN1" s="4">
        <f t="shared" si="0"/>
        <v>-8.0000000000000004E-4</v>
      </c>
      <c r="AO1" s="4">
        <f t="shared" si="0"/>
        <v>-1E-3</v>
      </c>
      <c r="AP1" s="4">
        <f t="shared" si="0"/>
        <v>-1.2000000000000001E-3</v>
      </c>
      <c r="AQ1" s="4">
        <f t="shared" si="0"/>
        <v>-1.4000000000000002E-3</v>
      </c>
      <c r="AR1" s="5" t="s">
        <v>33</v>
      </c>
      <c r="AS1" s="2"/>
      <c r="AT1" s="3" t="e">
        <f>BB16</f>
        <v>#DIV/0!</v>
      </c>
      <c r="AU1" s="4">
        <v>0</v>
      </c>
      <c r="AV1" s="6">
        <f>AU1+$AV12</f>
        <v>2.0000000000000001E-4</v>
      </c>
      <c r="AW1" s="6">
        <f t="shared" ref="AW1:BB1" si="1">AV1+$AV12</f>
        <v>4.0000000000000002E-4</v>
      </c>
      <c r="AX1" s="6">
        <f t="shared" si="1"/>
        <v>6.0000000000000006E-4</v>
      </c>
      <c r="AY1" s="6">
        <f t="shared" si="1"/>
        <v>8.0000000000000004E-4</v>
      </c>
      <c r="AZ1" s="6">
        <f t="shared" si="1"/>
        <v>1E-3</v>
      </c>
      <c r="BA1" s="6">
        <f t="shared" si="1"/>
        <v>1.2000000000000001E-3</v>
      </c>
      <c r="BB1" s="6">
        <f t="shared" si="1"/>
        <v>1.4000000000000002E-3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18.84</v>
      </c>
      <c r="C2" s="33">
        <v>23.41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18.84</v>
      </c>
      <c r="M2" s="33">
        <v>23.41</v>
      </c>
      <c r="N2" s="34">
        <v>1.2425690021231399</v>
      </c>
      <c r="O2" s="34">
        <v>1.2439394184217101</v>
      </c>
      <c r="X2" s="34">
        <v>1.2425690021231399</v>
      </c>
      <c r="Y2" s="34">
        <v>1.24274983567304</v>
      </c>
      <c r="AI2" s="4">
        <v>0</v>
      </c>
      <c r="AJ2" s="10">
        <f t="dataTable" ref="AJ2:AQ9" dt2D="1" dtr="1" r1="AI21" r2="AI22"/>
        <v>5.5654783128146548</v>
      </c>
      <c r="AK2" s="10">
        <v>4.9853057549293576</v>
      </c>
      <c r="AL2" s="10">
        <v>3.9740564892208989</v>
      </c>
      <c r="AM2" s="10">
        <v>3.0345660384681086</v>
      </c>
      <c r="AN2" s="10">
        <v>2.3956934804497099</v>
      </c>
      <c r="AO2" s="10">
        <v>1.8009965762860676</v>
      </c>
      <c r="AP2" s="10">
        <v>1.2750711555097243</v>
      </c>
      <c r="AQ2" s="10">
        <v>1.2750711555097243</v>
      </c>
      <c r="AR2"/>
      <c r="AT2" s="4">
        <v>0</v>
      </c>
      <c r="AU2" s="10">
        <f t="dataTable" ref="AU2:BB9" dt2D="1" dtr="1" r1="AT21" r2="AT22"/>
        <v>6.1111698066839262</v>
      </c>
      <c r="AV2" s="11">
        <v>7.0786695888751359</v>
      </c>
      <c r="AW2" s="11">
        <v>5.0286052538219232</v>
      </c>
      <c r="AX2" s="11">
        <v>3.7397956430382244</v>
      </c>
      <c r="AY2" s="11">
        <v>1.2750711555097243</v>
      </c>
      <c r="AZ2" s="11" t="e">
        <v>#DIV/0!</v>
      </c>
      <c r="BA2" s="11" t="e">
        <v>#DIV/0!</v>
      </c>
      <c r="BB2" s="11" t="e">
        <v>#DIV/0!</v>
      </c>
      <c r="BC2"/>
    </row>
    <row r="3" spans="1:130" x14ac:dyDescent="0.25">
      <c r="A3" s="1">
        <v>46027</v>
      </c>
      <c r="B3" s="33">
        <v>18.87</v>
      </c>
      <c r="C3" s="33">
        <v>23.44</v>
      </c>
      <c r="D3" s="15">
        <v>1.5910902322419001E-3</v>
      </c>
      <c r="E3" s="15">
        <v>1.2806832059925599E-3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18.87</v>
      </c>
      <c r="M3" s="33">
        <v>23.44</v>
      </c>
      <c r="N3" s="34">
        <v>1.2421833598304099</v>
      </c>
      <c r="O3" s="34">
        <v>1.2439394184217101</v>
      </c>
      <c r="R3" s="33">
        <v>23.473136825617701</v>
      </c>
      <c r="U3" s="15">
        <v>1.41268878488436E-3</v>
      </c>
      <c r="X3" s="34">
        <v>1.2421833598304099</v>
      </c>
      <c r="Y3" s="34">
        <v>1.24274983567304</v>
      </c>
      <c r="AB3" s="33">
        <v>23.4506893991502</v>
      </c>
      <c r="AE3" s="15">
        <v>4.5592843578990501E-4</v>
      </c>
      <c r="AI3" s="4">
        <f t="shared" ref="AI3:AI9" si="2">AI2-AK$12</f>
        <v>-2.0000000000000001E-4</v>
      </c>
      <c r="AJ3" s="10">
        <v>5.5654783128146548</v>
      </c>
      <c r="AK3" s="10">
        <v>4.9301878779313739</v>
      </c>
      <c r="AL3" s="10">
        <v>4.2363201892825995</v>
      </c>
      <c r="AM3" s="10">
        <v>3.2629080713525864</v>
      </c>
      <c r="AN3" s="10">
        <v>2.3956934804497099</v>
      </c>
      <c r="AO3" s="11">
        <v>1.8009965762860676</v>
      </c>
      <c r="AP3" s="10">
        <v>1.2750711555097243</v>
      </c>
      <c r="AQ3" s="10">
        <v>1.2750711555097243</v>
      </c>
      <c r="AR3"/>
      <c r="AT3" s="4">
        <f>AT2+AV$12</f>
        <v>2.0000000000000001E-4</v>
      </c>
      <c r="AU3" s="10">
        <v>6.1111698066839262</v>
      </c>
      <c r="AV3" s="11">
        <v>6.9818945316243335</v>
      </c>
      <c r="AW3" s="11">
        <v>4.8202590237196938</v>
      </c>
      <c r="AX3" s="11">
        <v>3.6650397748679908</v>
      </c>
      <c r="AY3" s="11">
        <v>1.2750711555097243</v>
      </c>
      <c r="AZ3" s="11" t="e">
        <v>#DIV/0!</v>
      </c>
      <c r="BA3" s="11" t="e">
        <v>#DIV/0!</v>
      </c>
      <c r="BB3" s="11" t="e">
        <v>#DIV/0!</v>
      </c>
      <c r="BC3"/>
    </row>
    <row r="4" spans="1:130" x14ac:dyDescent="0.25">
      <c r="A4" s="1">
        <v>46028</v>
      </c>
      <c r="B4" s="33">
        <v>18.87</v>
      </c>
      <c r="C4" s="33">
        <v>23.43</v>
      </c>
      <c r="D4" s="15">
        <v>0</v>
      </c>
      <c r="E4" s="15">
        <v>-4.2671218910761102E-4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18.87</v>
      </c>
      <c r="M4" s="33">
        <v>23.43</v>
      </c>
      <c r="N4" s="34">
        <v>1.241653418124</v>
      </c>
      <c r="O4" s="34">
        <v>1.2439394184217101</v>
      </c>
      <c r="R4" s="33">
        <v>23.473136825617701</v>
      </c>
      <c r="U4" s="15">
        <v>1.8394009739918699E-3</v>
      </c>
      <c r="X4" s="34">
        <v>1.241653418124</v>
      </c>
      <c r="Y4" s="34">
        <v>1.24274983567304</v>
      </c>
      <c r="AB4" s="33">
        <v>23.4506893991502</v>
      </c>
      <c r="AE4" s="15">
        <v>8.8264062489766602E-4</v>
      </c>
      <c r="AG4"/>
      <c r="AI4" s="4">
        <f t="shared" si="2"/>
        <v>-4.0000000000000002E-4</v>
      </c>
      <c r="AJ4" s="10">
        <v>5.5654783128146548</v>
      </c>
      <c r="AK4" s="11">
        <v>4.9301878779313739</v>
      </c>
      <c r="AL4" s="11">
        <v>3.8638376519155924</v>
      </c>
      <c r="AM4" s="11">
        <v>3.1853192347474941</v>
      </c>
      <c r="AN4" s="10">
        <v>2.3956934804497099</v>
      </c>
      <c r="AO4" s="11">
        <v>1.8009965762860676</v>
      </c>
      <c r="AP4" s="11">
        <v>1.2750711555097243</v>
      </c>
      <c r="AQ4" s="11">
        <v>1.2750711555097243</v>
      </c>
      <c r="AR4"/>
      <c r="AT4" s="4">
        <f t="shared" ref="AT4:AT9" si="3">AT3+AV$12</f>
        <v>4.0000000000000002E-4</v>
      </c>
      <c r="AU4" s="10">
        <v>6.1111698066839262</v>
      </c>
      <c r="AV4" s="11">
        <v>6.9818945316243335</v>
      </c>
      <c r="AW4" s="11">
        <v>4.9651941695392345</v>
      </c>
      <c r="AX4" s="11">
        <v>3.6650397748679908</v>
      </c>
      <c r="AY4" s="11">
        <v>1.2750711555097243</v>
      </c>
      <c r="AZ4" s="11" t="e">
        <v>#DIV/0!</v>
      </c>
      <c r="BA4" s="11" t="e">
        <v>#DIV/0!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18.87</v>
      </c>
      <c r="C5" s="33">
        <v>23.43</v>
      </c>
      <c r="D5" s="15">
        <v>0</v>
      </c>
      <c r="E5" s="15">
        <v>0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18.87</v>
      </c>
      <c r="M5" s="33">
        <v>23.43</v>
      </c>
      <c r="N5" s="34">
        <v>1.241653418124</v>
      </c>
      <c r="O5" s="34">
        <v>1.2439394184217101</v>
      </c>
      <c r="R5" s="33">
        <v>23.473136825617701</v>
      </c>
      <c r="U5" s="15">
        <v>1.8394009739918699E-3</v>
      </c>
      <c r="X5" s="34">
        <v>1.241653418124</v>
      </c>
      <c r="Y5" s="34">
        <v>1.24274983567304</v>
      </c>
      <c r="AB5" s="33">
        <v>23.4506893991502</v>
      </c>
      <c r="AE5" s="15">
        <v>8.8264062489766602E-4</v>
      </c>
      <c r="AG5" s="29"/>
      <c r="AI5" s="4">
        <f t="shared" si="2"/>
        <v>-6.0000000000000006E-4</v>
      </c>
      <c r="AJ5" s="10">
        <v>5.5654783128146548</v>
      </c>
      <c r="AK5" s="11">
        <v>4.9301878779313739</v>
      </c>
      <c r="AL5" s="11">
        <v>3.8638376519155924</v>
      </c>
      <c r="AM5" s="11">
        <v>3.0389739957256574</v>
      </c>
      <c r="AN5" s="11">
        <v>2.3956934804497099</v>
      </c>
      <c r="AO5" s="11">
        <v>1.8009965762860676</v>
      </c>
      <c r="AP5" s="10">
        <v>1.2750711555097243</v>
      </c>
      <c r="AQ5" s="11">
        <v>1.2750711555097243</v>
      </c>
      <c r="AR5"/>
      <c r="AT5" s="4">
        <f t="shared" si="3"/>
        <v>6.0000000000000006E-4</v>
      </c>
      <c r="AU5" s="10">
        <v>6.1111698066839262</v>
      </c>
      <c r="AV5" s="11">
        <v>6.9818945316243335</v>
      </c>
      <c r="AW5" s="11">
        <v>4.9651941695392345</v>
      </c>
      <c r="AX5" s="11">
        <v>3.438059699653389</v>
      </c>
      <c r="AY5" s="11">
        <v>1.2750711555097243</v>
      </c>
      <c r="AZ5" s="11" t="e">
        <v>#DIV/0!</v>
      </c>
      <c r="BA5" s="11" t="e">
        <v>#DIV/0!</v>
      </c>
      <c r="BB5" s="11" t="e">
        <v>#DIV/0!</v>
      </c>
      <c r="BC5"/>
    </row>
    <row r="6" spans="1:130" x14ac:dyDescent="0.25">
      <c r="A6" s="1">
        <v>46030</v>
      </c>
      <c r="B6" s="33">
        <v>18.84</v>
      </c>
      <c r="C6" s="33">
        <v>23.41</v>
      </c>
      <c r="D6" s="15">
        <v>-1.5910902322419599E-3</v>
      </c>
      <c r="E6" s="15">
        <v>-8.5397101688487298E-4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18.84</v>
      </c>
      <c r="M6" s="33">
        <v>23.41</v>
      </c>
      <c r="N6" s="34">
        <v>1.2425690021231399</v>
      </c>
      <c r="O6" s="34">
        <v>1.2439394184217101</v>
      </c>
      <c r="R6" s="33">
        <v>23.435818643065002</v>
      </c>
      <c r="U6" s="15">
        <v>1.1022817586350199E-3</v>
      </c>
      <c r="X6" s="34">
        <v>1.2425690021231399</v>
      </c>
      <c r="Y6" s="34">
        <v>1.24274983567304</v>
      </c>
      <c r="AB6" s="33">
        <v>23.413406904079999</v>
      </c>
      <c r="AE6" s="15">
        <v>1.45521409540426E-4</v>
      </c>
      <c r="AG6" s="29"/>
      <c r="AI6" s="4">
        <f t="shared" si="2"/>
        <v>-8.0000000000000004E-4</v>
      </c>
      <c r="AJ6" s="10">
        <v>5.5654783128146548</v>
      </c>
      <c r="AK6" s="11">
        <v>4.9301878779313739</v>
      </c>
      <c r="AL6" s="11">
        <v>3.8638376519155924</v>
      </c>
      <c r="AM6" s="11">
        <v>3.0389739957256574</v>
      </c>
      <c r="AN6" s="11">
        <v>2.3956934804497099</v>
      </c>
      <c r="AO6" s="11">
        <v>1.8009965762860676</v>
      </c>
      <c r="AP6" s="11">
        <v>1.2750711555097243</v>
      </c>
      <c r="AQ6" s="11">
        <v>1.2750711555097243</v>
      </c>
      <c r="AR6"/>
      <c r="AT6" s="4">
        <f t="shared" si="3"/>
        <v>8.0000000000000004E-4</v>
      </c>
      <c r="AU6" s="10">
        <v>6.1111698066839262</v>
      </c>
      <c r="AV6" s="11">
        <v>6.9818945316243335</v>
      </c>
      <c r="AW6" s="11">
        <v>4.9651941695392345</v>
      </c>
      <c r="AX6" s="11">
        <v>3.438059699653389</v>
      </c>
      <c r="AY6" s="11">
        <v>1.2750711555097243</v>
      </c>
      <c r="AZ6" s="11" t="e">
        <v>#DIV/0!</v>
      </c>
      <c r="BA6" s="11" t="e">
        <v>#DIV/0!</v>
      </c>
      <c r="BB6" s="11" t="e">
        <v>#DIV/0!</v>
      </c>
      <c r="BC6"/>
    </row>
    <row r="7" spans="1:130" x14ac:dyDescent="0.25">
      <c r="A7" s="1">
        <v>46031</v>
      </c>
      <c r="B7" s="33">
        <v>18.84</v>
      </c>
      <c r="C7" s="33">
        <v>23.41</v>
      </c>
      <c r="D7" s="15">
        <v>0</v>
      </c>
      <c r="E7" s="15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18.84</v>
      </c>
      <c r="M7" s="33">
        <v>23.41</v>
      </c>
      <c r="N7" s="34">
        <v>1.2425690021231399</v>
      </c>
      <c r="O7" s="34">
        <v>1.2439394184217101</v>
      </c>
      <c r="R7" s="33">
        <v>23.435818643065002</v>
      </c>
      <c r="U7" s="15">
        <v>1.1022817586350199E-3</v>
      </c>
      <c r="X7" s="34">
        <v>1.2425690021231399</v>
      </c>
      <c r="Y7" s="34">
        <v>1.24274983567304</v>
      </c>
      <c r="AB7" s="33">
        <v>23.413406904079999</v>
      </c>
      <c r="AE7" s="15">
        <v>1.45521409540426E-4</v>
      </c>
      <c r="AG7"/>
      <c r="AI7" s="4">
        <f t="shared" si="2"/>
        <v>-1E-3</v>
      </c>
      <c r="AJ7" s="10">
        <v>5.5654783128146548</v>
      </c>
      <c r="AK7" s="11">
        <v>4.9301878779313739</v>
      </c>
      <c r="AL7" s="11">
        <v>3.8638376519155924</v>
      </c>
      <c r="AM7" s="11">
        <v>3.0389739957256574</v>
      </c>
      <c r="AN7" s="11">
        <v>2.3956934804497099</v>
      </c>
      <c r="AO7" s="11">
        <v>1.8009965762860676</v>
      </c>
      <c r="AP7" s="11">
        <v>1.2750711555097243</v>
      </c>
      <c r="AQ7" s="11">
        <v>1.2750711555097243</v>
      </c>
      <c r="AR7"/>
      <c r="AT7" s="4">
        <f t="shared" si="3"/>
        <v>1E-3</v>
      </c>
      <c r="AU7" s="10">
        <v>6.1111698066839262</v>
      </c>
      <c r="AV7" s="11">
        <v>6.9818945316243335</v>
      </c>
      <c r="AW7" s="11">
        <v>4.9651941695392345</v>
      </c>
      <c r="AX7" s="11">
        <v>3.438059699653389</v>
      </c>
      <c r="AY7" s="11">
        <v>1.2750711555097243</v>
      </c>
      <c r="AZ7" s="11" t="e">
        <v>#DIV/0!</v>
      </c>
      <c r="BA7" s="11" t="e">
        <v>#DIV/0!</v>
      </c>
      <c r="BB7" s="11" t="e">
        <v>#DIV/0!</v>
      </c>
      <c r="BC7"/>
    </row>
    <row r="8" spans="1:130" x14ac:dyDescent="0.25">
      <c r="A8" s="1">
        <v>46034</v>
      </c>
      <c r="B8" s="33">
        <v>18.84</v>
      </c>
      <c r="C8" s="33">
        <v>23.41</v>
      </c>
      <c r="D8" s="15">
        <v>0</v>
      </c>
      <c r="E8" s="15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18.84</v>
      </c>
      <c r="M8" s="33">
        <v>23.41</v>
      </c>
      <c r="N8" s="34">
        <v>1.2425690021231399</v>
      </c>
      <c r="O8" s="34">
        <v>1.2439394184217101</v>
      </c>
      <c r="R8" s="33">
        <v>23.435818643065002</v>
      </c>
      <c r="U8" s="15">
        <v>1.1022817586350199E-3</v>
      </c>
      <c r="X8" s="34">
        <v>1.2425690021231399</v>
      </c>
      <c r="Y8" s="34">
        <v>1.24274983567304</v>
      </c>
      <c r="AB8" s="33">
        <v>23.413406904079999</v>
      </c>
      <c r="AE8" s="15">
        <v>1.45521409540426E-4</v>
      </c>
      <c r="AG8"/>
      <c r="AI8" s="4">
        <f t="shared" si="2"/>
        <v>-1.2000000000000001E-3</v>
      </c>
      <c r="AJ8" s="10">
        <v>5.5654783128146548</v>
      </c>
      <c r="AK8" s="11">
        <v>4.9301878779313739</v>
      </c>
      <c r="AL8" s="11">
        <v>3.8638376519155924</v>
      </c>
      <c r="AM8" s="11">
        <v>3.0389739957256574</v>
      </c>
      <c r="AN8" s="11">
        <v>2.3956934804497099</v>
      </c>
      <c r="AO8" s="11">
        <v>1.8009965762860676</v>
      </c>
      <c r="AP8" s="11">
        <v>1.2750711555097243</v>
      </c>
      <c r="AQ8" s="11">
        <v>1.2750711555097243</v>
      </c>
      <c r="AR8"/>
      <c r="AT8" s="4">
        <f t="shared" si="3"/>
        <v>1.2000000000000001E-3</v>
      </c>
      <c r="AU8" s="10">
        <v>6.1111698066839262</v>
      </c>
      <c r="AV8" s="11">
        <v>6.9818945316243335</v>
      </c>
      <c r="AW8" s="11">
        <v>4.9651941695392345</v>
      </c>
      <c r="AX8" s="11">
        <v>3.438059699653389</v>
      </c>
      <c r="AY8" s="11">
        <v>1.2750711555097243</v>
      </c>
      <c r="AZ8" s="11" t="e">
        <v>#DIV/0!</v>
      </c>
      <c r="BA8" s="11" t="e">
        <v>#DIV/0!</v>
      </c>
      <c r="BB8" s="11" t="e">
        <v>#DIV/0!</v>
      </c>
      <c r="BC8"/>
    </row>
    <row r="9" spans="1:130" x14ac:dyDescent="0.25">
      <c r="A9" s="1">
        <v>46035</v>
      </c>
      <c r="B9" s="33">
        <v>18.86</v>
      </c>
      <c r="C9" s="33">
        <v>23.44</v>
      </c>
      <c r="D9" s="15">
        <v>1.0610080570943199E-3</v>
      </c>
      <c r="E9" s="15">
        <v>1.2806832059925599E-3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18.86</v>
      </c>
      <c r="M9" s="33">
        <v>23.44</v>
      </c>
      <c r="N9" s="34">
        <v>1.2428419936373201</v>
      </c>
      <c r="O9" s="34">
        <v>1.2439394184217101</v>
      </c>
      <c r="R9" s="33">
        <v>23.460697431433498</v>
      </c>
      <c r="U9" s="15">
        <v>8.8260660973684204E-4</v>
      </c>
      <c r="X9" s="34">
        <v>1.2428419936373201</v>
      </c>
      <c r="Y9" s="34">
        <v>1.24274983567304</v>
      </c>
      <c r="AB9" s="33">
        <v>23.438261900793499</v>
      </c>
      <c r="AE9" s="15">
        <v>-7.4153739357508803E-5</v>
      </c>
      <c r="AF9"/>
      <c r="AI9" s="4">
        <f t="shared" si="2"/>
        <v>-1.4000000000000002E-3</v>
      </c>
      <c r="AJ9" s="10">
        <v>5.5654783128146548</v>
      </c>
      <c r="AK9" s="11">
        <v>4.9301878779313739</v>
      </c>
      <c r="AL9" s="11">
        <v>3.8638376519155924</v>
      </c>
      <c r="AM9" s="11">
        <v>3.0389739957256574</v>
      </c>
      <c r="AN9" s="11">
        <v>2.3956934804497099</v>
      </c>
      <c r="AO9" s="11">
        <v>1.8009965762860676</v>
      </c>
      <c r="AP9" s="11">
        <v>1.2750711555097243</v>
      </c>
      <c r="AQ9" s="11">
        <v>1.2750711555097243</v>
      </c>
      <c r="AR9"/>
      <c r="AT9" s="4">
        <f t="shared" si="3"/>
        <v>1.4000000000000002E-3</v>
      </c>
      <c r="AU9" s="10">
        <v>6.1111698066839262</v>
      </c>
      <c r="AV9" s="10">
        <v>6.9818945316243335</v>
      </c>
      <c r="AW9" s="10">
        <v>4.9651941695392345</v>
      </c>
      <c r="AX9" s="10">
        <v>3.438059699653389</v>
      </c>
      <c r="AY9" s="10">
        <v>1.2750711555097243</v>
      </c>
      <c r="AZ9" s="10" t="e">
        <v>#DIV/0!</v>
      </c>
      <c r="BA9" s="10" t="e">
        <v>#DIV/0!</v>
      </c>
      <c r="BB9" s="10" t="e">
        <v>#DIV/0!</v>
      </c>
      <c r="BC9"/>
    </row>
    <row r="10" spans="1:130" x14ac:dyDescent="0.25">
      <c r="A10" s="1">
        <v>46036</v>
      </c>
      <c r="B10" s="33">
        <v>18.88</v>
      </c>
      <c r="C10" s="33">
        <v>23.46</v>
      </c>
      <c r="D10" s="15">
        <v>1.05988351204325E-3</v>
      </c>
      <c r="E10" s="15">
        <v>8.52878516517605E-4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18.88</v>
      </c>
      <c r="M10" s="33">
        <v>23.46</v>
      </c>
      <c r="N10" s="34">
        <v>1.2425847457627099</v>
      </c>
      <c r="O10" s="34">
        <v>1.2439394184217101</v>
      </c>
      <c r="R10" s="33">
        <v>23.485576219801899</v>
      </c>
      <c r="U10" s="15">
        <v>1.08961160526238E-3</v>
      </c>
      <c r="X10" s="34">
        <v>1.2425847457627099</v>
      </c>
      <c r="Y10" s="34">
        <v>1.24274983567304</v>
      </c>
      <c r="AB10" s="33">
        <v>23.4631168975069</v>
      </c>
      <c r="AE10" s="15">
        <v>1.3285125616793999E-4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18.850000000000001</v>
      </c>
      <c r="C11" s="33">
        <v>23.41</v>
      </c>
      <c r="D11" s="15">
        <v>-1.5902468233347099E-3</v>
      </c>
      <c r="E11" s="15">
        <v>-2.13356172251006E-3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18.850000000000001</v>
      </c>
      <c r="M11" s="33">
        <v>23.41</v>
      </c>
      <c r="N11" s="34">
        <v>1.2419098143236</v>
      </c>
      <c r="O11" s="34">
        <v>1.2439394184217101</v>
      </c>
      <c r="P11" s="34">
        <v>1.24231027582946</v>
      </c>
      <c r="R11" s="33">
        <v>23.4482580372493</v>
      </c>
      <c r="U11" s="15">
        <v>1.6329265044375599E-3</v>
      </c>
      <c r="X11" s="34">
        <v>1.2419098143236</v>
      </c>
      <c r="Y11" s="34">
        <v>1.24274983567304</v>
      </c>
      <c r="Z11" s="34">
        <v>1.24231027582946</v>
      </c>
      <c r="AB11" s="33">
        <v>23.425834402436799</v>
      </c>
      <c r="AE11" s="15">
        <v>6.7616615534335902E-4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18.850000000000001</v>
      </c>
      <c r="C12" s="33">
        <v>23.42</v>
      </c>
      <c r="D12" s="15">
        <v>0</v>
      </c>
      <c r="E12" s="15">
        <v>4.27076666751843E-4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18.850000000000001</v>
      </c>
      <c r="M12" s="33">
        <v>23.42</v>
      </c>
      <c r="N12" s="34">
        <v>1.24244031830238</v>
      </c>
      <c r="O12" s="34">
        <v>1.2439394184217101</v>
      </c>
      <c r="P12" s="34">
        <v>1.24229740744738</v>
      </c>
      <c r="R12" s="33">
        <v>23.4482580372493</v>
      </c>
      <c r="S12" s="33">
        <v>23.417548699385399</v>
      </c>
      <c r="U12" s="15">
        <v>1.2058498376857601E-3</v>
      </c>
      <c r="V12" s="15">
        <v>-1.04672455536178E-4</v>
      </c>
      <c r="X12" s="34">
        <v>1.24244031830238</v>
      </c>
      <c r="Y12" s="34">
        <v>1.24274983567304</v>
      </c>
      <c r="Z12" s="34">
        <v>1.24229740744738</v>
      </c>
      <c r="AB12" s="33">
        <v>23.425834402436799</v>
      </c>
      <c r="AC12" s="33">
        <v>23.417548699385399</v>
      </c>
      <c r="AE12" s="15">
        <v>2.4908948859145199E-4</v>
      </c>
      <c r="AF12" s="15">
        <v>-1.04672455536178E-4</v>
      </c>
      <c r="AK12" s="17">
        <v>2.0000000000000001E-4</v>
      </c>
      <c r="AL12" s="18" t="s">
        <v>37</v>
      </c>
      <c r="AM12" s="19" t="s">
        <v>38</v>
      </c>
      <c r="AV12" s="17">
        <v>2.0000000000000001E-4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18.77</v>
      </c>
      <c r="C13" s="33">
        <v>23.4</v>
      </c>
      <c r="D13" s="15">
        <v>-4.2530632956023903E-3</v>
      </c>
      <c r="E13" s="15">
        <v>-8.5433580591564196E-4</v>
      </c>
      <c r="F13" s="33">
        <v>6.9419999999999996E-2</v>
      </c>
      <c r="G13" s="33">
        <v>6.9419999999999996E-2</v>
      </c>
      <c r="H13" s="33">
        <v>0</v>
      </c>
      <c r="I13" s="33">
        <v>0</v>
      </c>
      <c r="J13" s="33">
        <v>6.9419999999999996E-2</v>
      </c>
      <c r="K13" s="33">
        <v>0</v>
      </c>
      <c r="L13" s="33">
        <v>18.83942</v>
      </c>
      <c r="M13" s="33">
        <v>23.4</v>
      </c>
      <c r="N13" s="34">
        <v>1.24667021843367</v>
      </c>
      <c r="O13" s="34">
        <v>1.2439394184217101</v>
      </c>
      <c r="P13" s="34">
        <v>1.2427460933077099</v>
      </c>
      <c r="R13" s="33">
        <v>23.3487428837755</v>
      </c>
      <c r="S13" s="33">
        <v>23.317922337787401</v>
      </c>
      <c r="U13" s="15">
        <v>-2.1928776520010098E-3</v>
      </c>
      <c r="V13" s="15">
        <v>-3.51375842729819E-3</v>
      </c>
      <c r="X13" s="34">
        <v>1.2420764545829901</v>
      </c>
      <c r="Y13" s="34">
        <v>1.24274983567304</v>
      </c>
      <c r="Z13" s="34">
        <v>1.2422867169226399</v>
      </c>
      <c r="AB13" s="33">
        <v>23.412686109175301</v>
      </c>
      <c r="AC13" s="33">
        <v>23.4041626238124</v>
      </c>
      <c r="AE13" s="15">
        <v>5.4199451218645998E-4</v>
      </c>
      <c r="AF13" s="15">
        <v>1.77874085983553E-4</v>
      </c>
    </row>
    <row r="14" spans="1:130" x14ac:dyDescent="0.25">
      <c r="A14" s="1">
        <v>46043</v>
      </c>
      <c r="B14" s="33">
        <v>18.79</v>
      </c>
      <c r="C14" s="33">
        <v>23.43</v>
      </c>
      <c r="D14" s="15">
        <v>1.06496282695636E-3</v>
      </c>
      <c r="E14" s="15">
        <v>1.2812301560485399E-3</v>
      </c>
      <c r="F14" s="33">
        <v>0</v>
      </c>
      <c r="G14" s="33">
        <v>6.9419999999999996E-2</v>
      </c>
      <c r="H14" s="33">
        <v>0</v>
      </c>
      <c r="I14" s="33">
        <v>0</v>
      </c>
      <c r="J14" s="33">
        <v>6.9419999999999996E-2</v>
      </c>
      <c r="K14" s="33">
        <v>0</v>
      </c>
      <c r="L14" s="33">
        <v>18.85942</v>
      </c>
      <c r="M14" s="33">
        <v>23.43</v>
      </c>
      <c r="N14" s="34">
        <v>1.2469398616285201</v>
      </c>
      <c r="O14" s="34">
        <v>1.2439394184217101</v>
      </c>
      <c r="P14" s="34">
        <v>1.2432747376581601</v>
      </c>
      <c r="R14" s="33">
        <v>23.373621672144001</v>
      </c>
      <c r="S14" s="33">
        <v>23.3511990932519</v>
      </c>
      <c r="U14" s="15">
        <v>-2.409144981093E-3</v>
      </c>
      <c r="V14" s="15">
        <v>-3.3689166932574701E-3</v>
      </c>
      <c r="X14" s="34">
        <v>1.24234997682855</v>
      </c>
      <c r="Y14" s="34">
        <v>1.24274983567304</v>
      </c>
      <c r="Z14" s="34">
        <v>1.2423563727931</v>
      </c>
      <c r="AB14" s="33">
        <v>23.437541105888801</v>
      </c>
      <c r="AC14" s="33">
        <v>23.428806954865301</v>
      </c>
      <c r="AE14" s="15">
        <v>3.2180506064469298E-4</v>
      </c>
      <c r="AF14" s="15">
        <v>-5.09208497817133E-5</v>
      </c>
      <c r="AQ14" s="20">
        <f>AVERAGE(AQ22:AQ176)</f>
        <v>1.9962980297141713E-5</v>
      </c>
      <c r="AR14" s="21" t="s">
        <v>41</v>
      </c>
      <c r="BB14" s="20">
        <f>AVERAGE(BB22:BB176)</f>
        <v>0</v>
      </c>
      <c r="BC14" s="21" t="s">
        <v>41</v>
      </c>
      <c r="BD14" s="22"/>
      <c r="BE14" s="20">
        <f>AVERAGE(BE22:BE176)</f>
        <v>1.9962980297141713E-5</v>
      </c>
      <c r="BF14" s="21" t="s">
        <v>41</v>
      </c>
    </row>
    <row r="15" spans="1:130" x14ac:dyDescent="0.25">
      <c r="A15" s="1">
        <v>46044</v>
      </c>
      <c r="B15" s="33">
        <v>18.79</v>
      </c>
      <c r="C15" s="33">
        <v>23.43</v>
      </c>
      <c r="D15" s="15">
        <v>0</v>
      </c>
      <c r="E15" s="15">
        <v>0</v>
      </c>
      <c r="F15" s="33">
        <v>0</v>
      </c>
      <c r="G15" s="33">
        <v>6.9419999999999996E-2</v>
      </c>
      <c r="H15" s="33">
        <v>0</v>
      </c>
      <c r="I15" s="33">
        <v>0</v>
      </c>
      <c r="J15" s="33">
        <v>6.9419999999999996E-2</v>
      </c>
      <c r="K15" s="33">
        <v>0</v>
      </c>
      <c r="L15" s="33">
        <v>18.85942</v>
      </c>
      <c r="M15" s="33">
        <v>23.43</v>
      </c>
      <c r="N15" s="34">
        <v>1.2469398616285201</v>
      </c>
      <c r="O15" s="34">
        <v>1.2439394184217101</v>
      </c>
      <c r="P15" s="34">
        <v>1.2438033820086101</v>
      </c>
      <c r="R15" s="33">
        <v>23.373621672144001</v>
      </c>
      <c r="S15" s="33">
        <v>23.361132320596901</v>
      </c>
      <c r="U15" s="15">
        <v>-2.409144981093E-3</v>
      </c>
      <c r="V15" s="15">
        <v>-2.9436231061438301E-3</v>
      </c>
      <c r="X15" s="34">
        <v>1.24234997682855</v>
      </c>
      <c r="Y15" s="34">
        <v>1.24274983567304</v>
      </c>
      <c r="Z15" s="34">
        <v>1.24242602866355</v>
      </c>
      <c r="AB15" s="33">
        <v>23.437541105888801</v>
      </c>
      <c r="AC15" s="33">
        <v>23.430120624181601</v>
      </c>
      <c r="AE15" s="15">
        <v>3.2180506064469298E-4</v>
      </c>
      <c r="AF15" s="15">
        <v>5.1482659488286702E-6</v>
      </c>
      <c r="AQ15" s="20">
        <f>STDEV(AQ22:AQ176)</f>
        <v>1.7595951704528915E-4</v>
      </c>
      <c r="AR15" s="21" t="s">
        <v>42</v>
      </c>
      <c r="BB15" s="20">
        <f>STDEV(BB22:BB176)</f>
        <v>0</v>
      </c>
      <c r="BC15" s="21" t="s">
        <v>42</v>
      </c>
      <c r="BD15" s="22"/>
      <c r="BE15" s="20">
        <f>STDEV(BE22:BE176)</f>
        <v>1.7595951704528915E-4</v>
      </c>
      <c r="BF15" s="21" t="s">
        <v>42</v>
      </c>
    </row>
    <row r="16" spans="1:130" x14ac:dyDescent="0.25">
      <c r="A16" s="1">
        <v>46045</v>
      </c>
      <c r="B16" s="33">
        <v>18.8</v>
      </c>
      <c r="C16" s="33">
        <v>23.44</v>
      </c>
      <c r="D16" s="15">
        <v>5.3205641052969698E-4</v>
      </c>
      <c r="E16" s="15">
        <v>4.26712189107623E-4</v>
      </c>
      <c r="F16" s="33">
        <v>0</v>
      </c>
      <c r="G16" s="33">
        <v>6.9419999999999996E-2</v>
      </c>
      <c r="H16" s="33">
        <v>0</v>
      </c>
      <c r="I16" s="33">
        <v>0</v>
      </c>
      <c r="J16" s="33">
        <v>6.9419999999999996E-2</v>
      </c>
      <c r="K16" s="33">
        <v>0</v>
      </c>
      <c r="L16" s="33">
        <v>18.869420000000002</v>
      </c>
      <c r="M16" s="33">
        <v>23.44</v>
      </c>
      <c r="N16" s="34">
        <v>1.24680851063829</v>
      </c>
      <c r="O16" s="34">
        <v>1.2439394184217101</v>
      </c>
      <c r="P16" s="34">
        <v>1.2442273328601301</v>
      </c>
      <c r="R16" s="33">
        <v>23.3860610663282</v>
      </c>
      <c r="S16" s="33">
        <v>23.383503581762</v>
      </c>
      <c r="U16" s="15">
        <v>-2.3038007596710799E-3</v>
      </c>
      <c r="V16" s="15">
        <v>-2.4131660953542102E-3</v>
      </c>
      <c r="X16" s="34">
        <v>1.2422215415206099</v>
      </c>
      <c r="Y16" s="34">
        <v>1.24274983567304</v>
      </c>
      <c r="Z16" s="34">
        <v>1.2423912826032999</v>
      </c>
      <c r="AB16" s="33">
        <v>23.449968604245498</v>
      </c>
      <c r="AC16" s="33">
        <v>23.4438585537847</v>
      </c>
      <c r="AE16" s="15">
        <v>4.2519134443840797E-4</v>
      </c>
      <c r="AF16" s="15">
        <v>1.64600521903808E-4</v>
      </c>
      <c r="AQ16" s="23">
        <f>SQRT(252)*AQ14/AQ15</f>
        <v>1.8009965762860676</v>
      </c>
      <c r="AR16" s="21" t="s">
        <v>43</v>
      </c>
      <c r="BB16" s="23" t="e">
        <f>SQRT(252)*BB14/BB15</f>
        <v>#DIV/0!</v>
      </c>
      <c r="BC16" s="21" t="s">
        <v>43</v>
      </c>
      <c r="BD16" s="22"/>
      <c r="BE16" s="23">
        <f>SQRT(252)*BE14/BE15</f>
        <v>1.8009965762860676</v>
      </c>
      <c r="BF16" s="21" t="s">
        <v>43</v>
      </c>
    </row>
    <row r="17" spans="1:124" x14ac:dyDescent="0.25">
      <c r="A17" s="1">
        <v>46048</v>
      </c>
      <c r="B17" s="33">
        <v>18.8</v>
      </c>
      <c r="C17" s="33">
        <v>23.45</v>
      </c>
      <c r="D17" s="15">
        <v>0</v>
      </c>
      <c r="E17" s="15">
        <v>4.2653018347631698E-4</v>
      </c>
      <c r="F17" s="33">
        <v>0</v>
      </c>
      <c r="G17" s="33">
        <v>6.9419999999999996E-2</v>
      </c>
      <c r="H17" s="33">
        <v>0</v>
      </c>
      <c r="I17" s="33">
        <v>0</v>
      </c>
      <c r="J17" s="33">
        <v>6.9419999999999996E-2</v>
      </c>
      <c r="K17" s="33">
        <v>0</v>
      </c>
      <c r="L17" s="33">
        <v>18.869420000000002</v>
      </c>
      <c r="M17" s="33">
        <v>23.45</v>
      </c>
      <c r="N17" s="34">
        <v>1.24734042553191</v>
      </c>
      <c r="O17" s="34">
        <v>1.2439394184217101</v>
      </c>
      <c r="P17" s="34">
        <v>1.2447044752010099</v>
      </c>
      <c r="R17" s="33">
        <v>23.3860610663282</v>
      </c>
      <c r="S17" s="33">
        <v>23.391473857770499</v>
      </c>
      <c r="U17" s="15">
        <v>-2.7303309431475002E-3</v>
      </c>
      <c r="V17" s="15">
        <v>-2.4989039782491599E-3</v>
      </c>
      <c r="X17" s="34">
        <v>1.2427514995161399</v>
      </c>
      <c r="Y17" s="34">
        <v>1.24274983567304</v>
      </c>
      <c r="Z17" s="34">
        <v>1.2424095323426001</v>
      </c>
      <c r="AB17" s="33">
        <v>23.449968604245498</v>
      </c>
      <c r="AC17" s="33">
        <v>23.4432029157804</v>
      </c>
      <c r="AE17" s="15">
        <v>-1.3388390379291399E-6</v>
      </c>
      <c r="AF17" s="15">
        <v>-2.8989635360828701E-4</v>
      </c>
    </row>
    <row r="18" spans="1:124" x14ac:dyDescent="0.25">
      <c r="A18" s="1">
        <v>46049</v>
      </c>
      <c r="B18" s="33">
        <v>18.82</v>
      </c>
      <c r="C18" s="33">
        <v>23.48</v>
      </c>
      <c r="D18" s="15">
        <v>1.0632643213300799E-3</v>
      </c>
      <c r="E18" s="15">
        <v>1.2785000676072899E-3</v>
      </c>
      <c r="F18" s="33">
        <v>0</v>
      </c>
      <c r="G18" s="33">
        <v>6.9419999999999996E-2</v>
      </c>
      <c r="H18" s="33">
        <v>0</v>
      </c>
      <c r="I18" s="33">
        <v>0</v>
      </c>
      <c r="J18" s="33">
        <v>6.9419999999999996E-2</v>
      </c>
      <c r="K18" s="33">
        <v>0</v>
      </c>
      <c r="L18" s="33">
        <v>18.889420000000001</v>
      </c>
      <c r="M18" s="33">
        <v>23.48</v>
      </c>
      <c r="N18" s="34">
        <v>1.24760892667375</v>
      </c>
      <c r="O18" s="34">
        <v>1.2439394184217101</v>
      </c>
      <c r="P18" s="34">
        <v>1.24520846765607</v>
      </c>
      <c r="R18" s="33">
        <v>23.410939854696601</v>
      </c>
      <c r="S18" s="33">
        <v>23.425338223282999</v>
      </c>
      <c r="U18" s="15">
        <v>-2.94556668942479E-3</v>
      </c>
      <c r="V18" s="15">
        <v>-2.3307283790033502E-3</v>
      </c>
      <c r="X18" s="34">
        <v>1.24302387262287</v>
      </c>
      <c r="Y18" s="34">
        <v>1.24274983567304</v>
      </c>
      <c r="Z18" s="34">
        <v>1.2424550193925701</v>
      </c>
      <c r="AB18" s="33">
        <v>23.474823600958999</v>
      </c>
      <c r="AC18" s="33">
        <v>23.468395468423001</v>
      </c>
      <c r="AE18" s="15">
        <v>-2.2048422994508599E-4</v>
      </c>
      <c r="AF18" s="15">
        <v>-4.9435264815731903E-4</v>
      </c>
      <c r="BE18" s="24">
        <f>SUM(BE22:BE176)</f>
        <v>3.0942619460569655E-3</v>
      </c>
      <c r="BF18" s="20">
        <f>BF176</f>
        <v>3.0942619460569655E-3</v>
      </c>
    </row>
    <row r="19" spans="1:124" x14ac:dyDescent="0.25">
      <c r="A19" s="1">
        <v>46050</v>
      </c>
      <c r="B19" s="33">
        <v>18.82</v>
      </c>
      <c r="C19" s="33">
        <v>23.47</v>
      </c>
      <c r="D19" s="15">
        <v>0</v>
      </c>
      <c r="E19" s="15">
        <v>-4.2598509696363702E-4</v>
      </c>
      <c r="F19" s="33">
        <v>0</v>
      </c>
      <c r="G19" s="33">
        <v>6.9419999999999996E-2</v>
      </c>
      <c r="H19" s="33">
        <v>0</v>
      </c>
      <c r="I19" s="33">
        <v>0</v>
      </c>
      <c r="J19" s="33">
        <v>6.9419999999999996E-2</v>
      </c>
      <c r="K19" s="33">
        <v>0</v>
      </c>
      <c r="L19" s="33">
        <v>18.889420000000001</v>
      </c>
      <c r="M19" s="33">
        <v>23.47</v>
      </c>
      <c r="N19" s="34">
        <v>1.2470775770456899</v>
      </c>
      <c r="O19" s="34">
        <v>1.2439394184217101</v>
      </c>
      <c r="P19" s="34">
        <v>1.2456320259969</v>
      </c>
      <c r="R19" s="33">
        <v>23.410939854696601</v>
      </c>
      <c r="S19" s="33">
        <v>23.434823361287201</v>
      </c>
      <c r="U19" s="15">
        <v>-2.5195815924611499E-3</v>
      </c>
      <c r="V19" s="15">
        <v>-1.4999159057333001E-3</v>
      </c>
      <c r="X19" s="34">
        <v>1.2424944757435601</v>
      </c>
      <c r="Y19" s="34">
        <v>1.24274983567304</v>
      </c>
      <c r="Z19" s="34">
        <v>1.2424202676031999</v>
      </c>
      <c r="AB19" s="33">
        <v>23.474823600958999</v>
      </c>
      <c r="AC19" s="33">
        <v>23.469254692414498</v>
      </c>
      <c r="AE19" s="15">
        <v>2.0550086701856801E-4</v>
      </c>
      <c r="AF19" s="15">
        <v>-3.1756259888737103E-5</v>
      </c>
      <c r="AI19" s="12"/>
      <c r="AJ19"/>
      <c r="AK19"/>
      <c r="AL19"/>
      <c r="AM19"/>
      <c r="AN19"/>
      <c r="AO19"/>
      <c r="AP19"/>
      <c r="AQ19" s="24">
        <f>SUM(AQ22:AQ176)</f>
        <v>3.0942619460569655E-3</v>
      </c>
      <c r="AR19" s="24">
        <f>AR176</f>
        <v>3.0942619460569655E-3</v>
      </c>
      <c r="AU19"/>
      <c r="AV19"/>
      <c r="AW19"/>
      <c r="AX19"/>
      <c r="AY19"/>
      <c r="AZ19"/>
      <c r="BA19"/>
      <c r="BB19" s="24">
        <f>SUM(BB22:BB176)</f>
        <v>0</v>
      </c>
      <c r="BC19" s="24">
        <f>BC176</f>
        <v>0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18.84</v>
      </c>
      <c r="C20" s="33">
        <v>23.49</v>
      </c>
      <c r="D20" s="15">
        <v>1.06213499098336E-3</v>
      </c>
      <c r="E20" s="15">
        <v>8.5178880788927395E-4</v>
      </c>
      <c r="F20" s="33">
        <v>0</v>
      </c>
      <c r="G20" s="33">
        <v>6.9419999999999996E-2</v>
      </c>
      <c r="H20" s="33">
        <v>0</v>
      </c>
      <c r="I20" s="33">
        <v>0</v>
      </c>
      <c r="J20" s="33">
        <v>6.9419999999999996E-2</v>
      </c>
      <c r="K20" s="33">
        <v>0</v>
      </c>
      <c r="L20" s="33">
        <v>18.909420000000001</v>
      </c>
      <c r="M20" s="33">
        <v>23.49</v>
      </c>
      <c r="N20" s="34">
        <v>1.2468152866241999</v>
      </c>
      <c r="O20" s="34">
        <v>1.2439394184217101</v>
      </c>
      <c r="P20" s="34">
        <v>1.2460550800830501</v>
      </c>
      <c r="R20" s="33">
        <v>23.435818643065002</v>
      </c>
      <c r="S20" s="33">
        <v>23.467707369781699</v>
      </c>
      <c r="U20" s="15">
        <v>-2.30923540936707E-3</v>
      </c>
      <c r="V20" s="15">
        <v>-9.4947701417492101E-4</v>
      </c>
      <c r="X20" s="34">
        <v>1.24223799566565</v>
      </c>
      <c r="Y20" s="34">
        <v>1.24274983567304</v>
      </c>
      <c r="Z20" s="34">
        <v>1.2423855925934899</v>
      </c>
      <c r="AB20" s="33">
        <v>23.4996785976724</v>
      </c>
      <c r="AC20" s="33">
        <v>23.493446656621298</v>
      </c>
      <c r="AE20" s="15">
        <v>4.1194569097763301E-4</v>
      </c>
      <c r="AF20" s="15">
        <v>1.46717913341542E-4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BSCT log rtn</v>
      </c>
      <c r="AP20" s="7" t="str">
        <f>E1</f>
        <v>IBDU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BSCT log rtn</v>
      </c>
      <c r="BA20" s="24" t="str">
        <f>E1</f>
        <v>IBDU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18.86</v>
      </c>
      <c r="C21" s="33">
        <v>23.52</v>
      </c>
      <c r="D21" s="15">
        <v>1.0610080570943199E-3</v>
      </c>
      <c r="E21" s="15">
        <v>1.2763243596049E-3</v>
      </c>
      <c r="F21" s="33">
        <v>0</v>
      </c>
      <c r="G21" s="33">
        <v>6.9419999999999996E-2</v>
      </c>
      <c r="H21" s="33">
        <v>0</v>
      </c>
      <c r="I21" s="33">
        <v>0</v>
      </c>
      <c r="J21" s="33">
        <v>6.9419999999999996E-2</v>
      </c>
      <c r="K21" s="33">
        <v>0</v>
      </c>
      <c r="L21" s="33">
        <v>18.92942</v>
      </c>
      <c r="M21" s="33">
        <v>23.52</v>
      </c>
      <c r="N21" s="34">
        <v>1.2470837751855699</v>
      </c>
      <c r="O21" s="34">
        <v>1.2439394184217101</v>
      </c>
      <c r="P21" s="34">
        <v>1.24657247616925</v>
      </c>
      <c r="Q21" s="34">
        <v>1.24444137599936</v>
      </c>
      <c r="R21" s="33">
        <v>23.460697431433498</v>
      </c>
      <c r="S21" s="33">
        <v>23.500598810366402</v>
      </c>
      <c r="U21" s="15">
        <v>-2.5245517118773998E-3</v>
      </c>
      <c r="V21" s="15">
        <v>-8.25220912765048E-4</v>
      </c>
      <c r="X21" s="34">
        <v>1.24251033576306</v>
      </c>
      <c r="Y21" s="34">
        <v>1.24274983567304</v>
      </c>
      <c r="Z21" s="34">
        <v>1.2424456447374399</v>
      </c>
      <c r="AA21" s="34">
        <v>1.2423779602834499</v>
      </c>
      <c r="AB21" s="33">
        <v>23.5245335943859</v>
      </c>
      <c r="AC21" s="33">
        <v>23.517638684151098</v>
      </c>
      <c r="AE21" s="15">
        <v>1.92736288516681E-4</v>
      </c>
      <c r="AF21" s="15">
        <v>-1.00401122031713E-4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18.84</v>
      </c>
      <c r="C22" s="33">
        <v>23.4</v>
      </c>
      <c r="D22" s="15">
        <v>-1.06100805709438E-3</v>
      </c>
      <c r="E22" s="15">
        <v>-5.11510066677048E-3</v>
      </c>
      <c r="F22" s="33">
        <v>0</v>
      </c>
      <c r="G22" s="33">
        <v>6.9419999999999996E-2</v>
      </c>
      <c r="H22" s="33">
        <v>8.8202000000000003E-2</v>
      </c>
      <c r="I22" s="33">
        <v>8.8202000000000003E-2</v>
      </c>
      <c r="J22" s="33">
        <v>6.9419999999999996E-2</v>
      </c>
      <c r="K22" s="33">
        <v>8.8202000000000003E-2</v>
      </c>
      <c r="L22" s="33">
        <v>18.909420000000001</v>
      </c>
      <c r="M22" s="33">
        <v>23.488201999999902</v>
      </c>
      <c r="N22" s="34">
        <v>1.2420382165605</v>
      </c>
      <c r="O22" s="34">
        <v>1.2439394184217101</v>
      </c>
      <c r="P22" s="34">
        <v>1.24653226599506</v>
      </c>
      <c r="Q22" s="34">
        <v>1.24441483672122</v>
      </c>
      <c r="R22" s="33">
        <v>23.435818643065002</v>
      </c>
      <c r="S22" s="33">
        <v>23.4854254510287</v>
      </c>
      <c r="T22" s="33">
        <v>23.445275523827899</v>
      </c>
      <c r="U22" s="15">
        <v>1.52954089779869E-3</v>
      </c>
      <c r="V22" s="15">
        <v>3.64401281362541E-3</v>
      </c>
      <c r="W22" s="15">
        <v>1.9329820315508201E-3</v>
      </c>
      <c r="X22" s="34">
        <v>1.2421429107820301</v>
      </c>
      <c r="Y22" s="34">
        <v>1.24274983567304</v>
      </c>
      <c r="Z22" s="34">
        <v>1.2424159039853999</v>
      </c>
      <c r="AA22" s="34">
        <v>1.2423566557163901</v>
      </c>
      <c r="AB22" s="33">
        <v>23.4996785976724</v>
      </c>
      <c r="AC22" s="33">
        <v>23.493926523511</v>
      </c>
      <c r="AD22" s="33">
        <v>23.492646649743101</v>
      </c>
      <c r="AE22" s="15">
        <v>4.8849183043525504E-4</v>
      </c>
      <c r="AF22" s="15">
        <v>2.4368940783685099E-4</v>
      </c>
      <c r="AG22" s="15">
        <v>1.8921113109440199E-4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1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18.829999999999998</v>
      </c>
      <c r="C23" s="33">
        <v>23.4</v>
      </c>
      <c r="D23" s="15">
        <v>-5.3092647915601102E-4</v>
      </c>
      <c r="E23" s="15">
        <v>0</v>
      </c>
      <c r="F23" s="33">
        <v>0</v>
      </c>
      <c r="G23" s="33">
        <v>6.9419999999999996E-2</v>
      </c>
      <c r="H23" s="33">
        <v>0</v>
      </c>
      <c r="I23" s="33">
        <v>8.8202000000000003E-2</v>
      </c>
      <c r="J23" s="33">
        <v>6.9419999999999996E-2</v>
      </c>
      <c r="K23" s="33">
        <v>8.8202000000000003E-2</v>
      </c>
      <c r="L23" s="33">
        <v>18.899419999999999</v>
      </c>
      <c r="M23" s="33">
        <v>23.488201999999902</v>
      </c>
      <c r="N23" s="34">
        <v>1.2426978226234699</v>
      </c>
      <c r="O23" s="34">
        <v>1.2439394184217101</v>
      </c>
      <c r="P23" s="34">
        <v>1.2461350264140401</v>
      </c>
      <c r="Q23" s="34">
        <v>1.2444405598608801</v>
      </c>
      <c r="R23" s="33">
        <v>23.423379248880799</v>
      </c>
      <c r="S23" s="33">
        <v>23.472202568687099</v>
      </c>
      <c r="T23" s="33">
        <v>23.432331375460699</v>
      </c>
      <c r="U23" s="15">
        <v>9.9861441864247495E-4</v>
      </c>
      <c r="V23" s="15">
        <v>3.0808292266861301E-3</v>
      </c>
      <c r="W23" s="15">
        <v>1.38072906676083E-3</v>
      </c>
      <c r="X23" s="34">
        <v>1.24280014942257</v>
      </c>
      <c r="Y23" s="34">
        <v>1.24274983567304</v>
      </c>
      <c r="Z23" s="34">
        <v>1.2424882734693601</v>
      </c>
      <c r="AA23" s="34">
        <v>1.2423874951959999</v>
      </c>
      <c r="AB23" s="33">
        <v>23.487251099315699</v>
      </c>
      <c r="AC23" s="33">
        <v>23.480939984099798</v>
      </c>
      <c r="AD23" s="33">
        <v>23.479820226179498</v>
      </c>
      <c r="AE23" s="15">
        <v>-4.0485003193200203E-5</v>
      </c>
      <c r="AF23" s="15">
        <v>-3.0922497841037001E-4</v>
      </c>
      <c r="AG23" s="15">
        <v>-3.56914066724507E-4</v>
      </c>
      <c r="AI23" s="12"/>
      <c r="AJ23">
        <f t="shared" si="6"/>
        <v>0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18.84</v>
      </c>
      <c r="C24" s="33">
        <v>23.4</v>
      </c>
      <c r="D24" s="15">
        <v>5.3092647915600505E-4</v>
      </c>
      <c r="E24" s="15">
        <v>0</v>
      </c>
      <c r="F24" s="33">
        <v>0</v>
      </c>
      <c r="G24" s="33">
        <v>6.9419999999999996E-2</v>
      </c>
      <c r="H24" s="33">
        <v>0</v>
      </c>
      <c r="I24" s="33">
        <v>8.8202000000000003E-2</v>
      </c>
      <c r="J24" s="33">
        <v>6.9419999999999996E-2</v>
      </c>
      <c r="K24" s="33">
        <v>8.8202000000000003E-2</v>
      </c>
      <c r="L24" s="33">
        <v>18.909420000000001</v>
      </c>
      <c r="M24" s="33">
        <v>23.488201999999902</v>
      </c>
      <c r="N24" s="34">
        <v>1.2420382165605</v>
      </c>
      <c r="O24" s="34">
        <v>1.2439394184217101</v>
      </c>
      <c r="P24" s="34">
        <v>1.24564486190724</v>
      </c>
      <c r="Q24" s="34">
        <v>1.2444597997827</v>
      </c>
      <c r="R24" s="33">
        <v>23.435818643065002</v>
      </c>
      <c r="S24" s="33">
        <v>23.4771838976406</v>
      </c>
      <c r="T24" s="33">
        <v>23.445260147778999</v>
      </c>
      <c r="U24" s="15">
        <v>1.52954089779869E-3</v>
      </c>
      <c r="V24" s="15">
        <v>3.2930291869906199E-3</v>
      </c>
      <c r="W24" s="15">
        <v>1.9323262041552999E-3</v>
      </c>
      <c r="X24" s="34">
        <v>1.2421429107820301</v>
      </c>
      <c r="Y24" s="34">
        <v>1.24274983567304</v>
      </c>
      <c r="Z24" s="34">
        <v>1.24246756686471</v>
      </c>
      <c r="AA24" s="34">
        <v>1.2424119698289</v>
      </c>
      <c r="AB24" s="33">
        <v>23.4996785976724</v>
      </c>
      <c r="AC24" s="33">
        <v>23.494732608107</v>
      </c>
      <c r="AD24" s="33">
        <v>23.492826949409199</v>
      </c>
      <c r="AE24" s="15">
        <v>4.8849183043525504E-4</v>
      </c>
      <c r="AF24" s="15">
        <v>2.7799915878375298E-4</v>
      </c>
      <c r="AG24" s="15">
        <v>1.9688582934929E-4</v>
      </c>
      <c r="AI24" s="12"/>
      <c r="AJ24">
        <f t="shared" si="6"/>
        <v>0</v>
      </c>
      <c r="AK24">
        <f t="shared" si="7"/>
        <v>1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18.89</v>
      </c>
      <c r="C25" s="33">
        <v>23.45</v>
      </c>
      <c r="D25" s="15">
        <v>2.6504123652011202E-3</v>
      </c>
      <c r="E25" s="15">
        <v>2.13447252863261E-3</v>
      </c>
      <c r="F25" s="33">
        <v>0</v>
      </c>
      <c r="G25" s="33">
        <v>6.9419999999999996E-2</v>
      </c>
      <c r="H25" s="33">
        <v>0</v>
      </c>
      <c r="I25" s="33">
        <v>8.8202000000000003E-2</v>
      </c>
      <c r="J25" s="33">
        <v>6.9419999999999996E-2</v>
      </c>
      <c r="K25" s="33">
        <v>8.8202000000000003E-2</v>
      </c>
      <c r="L25" s="33">
        <v>18.959420000000001</v>
      </c>
      <c r="M25" s="33">
        <v>23.538201999999998</v>
      </c>
      <c r="N25" s="34">
        <v>1.24139756484912</v>
      </c>
      <c r="O25" s="34">
        <v>1.2439394184217101</v>
      </c>
      <c r="P25" s="34">
        <v>1.2450906322293001</v>
      </c>
      <c r="Q25" s="34">
        <v>1.2444470071189599</v>
      </c>
      <c r="R25" s="33">
        <v>23.498015613986102</v>
      </c>
      <c r="S25" s="33">
        <v>23.530231441427802</v>
      </c>
      <c r="T25" s="33">
        <v>23.507845617895299</v>
      </c>
      <c r="U25" s="15">
        <v>2.0454807343672299E-3</v>
      </c>
      <c r="V25" s="15">
        <v>3.41554381339393E-3</v>
      </c>
      <c r="W25" s="15">
        <v>2.4637266209363599E-3</v>
      </c>
      <c r="X25" s="34">
        <v>1.24150432871891</v>
      </c>
      <c r="Y25" s="34">
        <v>1.24274983567304</v>
      </c>
      <c r="Z25" s="34">
        <v>1.2423830020537401</v>
      </c>
      <c r="AA25" s="34">
        <v>1.24240451535865</v>
      </c>
      <c r="AB25" s="33">
        <v>23.561816089456102</v>
      </c>
      <c r="AC25" s="33">
        <v>23.556464436566099</v>
      </c>
      <c r="AD25" s="33">
        <v>23.555410349013499</v>
      </c>
      <c r="AE25" s="15">
        <v>1.00272111954893E-3</v>
      </c>
      <c r="AF25" s="15">
        <v>7.7556287636761697E-4</v>
      </c>
      <c r="AG25" s="15">
        <v>7.3081460185922304E-4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18.87</v>
      </c>
      <c r="C26" s="33">
        <v>23.45</v>
      </c>
      <c r="D26" s="15">
        <v>-1.05932213295929E-3</v>
      </c>
      <c r="E26" s="15">
        <v>0</v>
      </c>
      <c r="F26" s="33">
        <v>0</v>
      </c>
      <c r="G26" s="33">
        <v>6.9419999999999996E-2</v>
      </c>
      <c r="H26" s="33">
        <v>0</v>
      </c>
      <c r="I26" s="33">
        <v>8.8202000000000003E-2</v>
      </c>
      <c r="J26" s="33">
        <v>6.9419999999999996E-2</v>
      </c>
      <c r="K26" s="33">
        <v>8.8202000000000003E-2</v>
      </c>
      <c r="L26" s="33">
        <v>18.939419999999998</v>
      </c>
      <c r="M26" s="33">
        <v>23.538201999999998</v>
      </c>
      <c r="N26" s="34">
        <v>1.2427133015368299</v>
      </c>
      <c r="O26" s="34">
        <v>1.2439394184217101</v>
      </c>
      <c r="P26" s="34">
        <v>1.24468111131915</v>
      </c>
      <c r="Q26" s="34">
        <v>1.24445422208964</v>
      </c>
      <c r="R26" s="33">
        <v>23.473136825617701</v>
      </c>
      <c r="S26" s="33">
        <v>23.494860230166999</v>
      </c>
      <c r="T26" s="33">
        <v>23.482715024334802</v>
      </c>
      <c r="U26" s="15">
        <v>9.8615860140783195E-4</v>
      </c>
      <c r="V26" s="15">
        <v>1.9111887266006599E-3</v>
      </c>
      <c r="W26" s="15">
        <v>1.3941247429027201E-3</v>
      </c>
      <c r="X26" s="34">
        <v>1.2428153554860699</v>
      </c>
      <c r="Y26" s="34">
        <v>1.24274983567304</v>
      </c>
      <c r="Z26" s="34">
        <v>1.24244238345029</v>
      </c>
      <c r="AA26" s="34">
        <v>1.24241683302679</v>
      </c>
      <c r="AB26" s="33">
        <v>23.536961092742601</v>
      </c>
      <c r="AC26" s="33">
        <v>23.5300134767567</v>
      </c>
      <c r="AD26" s="33">
        <v>23.530420926273901</v>
      </c>
      <c r="AE26" s="15">
        <v>-5.2720253147157902E-5</v>
      </c>
      <c r="AF26" s="15">
        <v>-3.4794279931249299E-4</v>
      </c>
      <c r="AG26" s="15">
        <v>-3.3062678757764702E-4</v>
      </c>
      <c r="AI26" s="12"/>
      <c r="AJ26">
        <f t="shared" si="6"/>
        <v>0</v>
      </c>
      <c r="AK26">
        <f t="shared" si="7"/>
        <v>0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18.89</v>
      </c>
      <c r="C27" s="33">
        <v>23.45</v>
      </c>
      <c r="D27" s="15">
        <v>1.0593221329593301E-3</v>
      </c>
      <c r="E27" s="15">
        <v>0</v>
      </c>
      <c r="F27" s="33">
        <v>0</v>
      </c>
      <c r="G27" s="33">
        <v>6.9419999999999996E-2</v>
      </c>
      <c r="H27" s="33">
        <v>0</v>
      </c>
      <c r="I27" s="33">
        <v>8.8202000000000003E-2</v>
      </c>
      <c r="J27" s="33">
        <v>6.9419999999999996E-2</v>
      </c>
      <c r="K27" s="33">
        <v>8.8202000000000003E-2</v>
      </c>
      <c r="L27" s="33">
        <v>18.959420000000001</v>
      </c>
      <c r="M27" s="33">
        <v>23.538201999999998</v>
      </c>
      <c r="N27" s="34">
        <v>1.24139756484912</v>
      </c>
      <c r="O27" s="34">
        <v>1.2439394184217101</v>
      </c>
      <c r="P27" s="34">
        <v>1.2440868252508801</v>
      </c>
      <c r="Q27" s="34">
        <v>1.2443956502259399</v>
      </c>
      <c r="R27" s="33">
        <v>23.498015613986102</v>
      </c>
      <c r="S27" s="33">
        <v>23.512026192818901</v>
      </c>
      <c r="T27" s="33">
        <v>23.507740255273401</v>
      </c>
      <c r="U27" s="15">
        <v>2.0454807343672299E-3</v>
      </c>
      <c r="V27" s="15">
        <v>2.6415482428858001E-3</v>
      </c>
      <c r="W27" s="15">
        <v>2.4592445914162799E-3</v>
      </c>
      <c r="X27" s="34">
        <v>1.24150432871891</v>
      </c>
      <c r="Y27" s="34">
        <v>1.24274983567304</v>
      </c>
      <c r="Z27" s="34">
        <v>1.24231766637056</v>
      </c>
      <c r="AA27" s="34">
        <v>1.24236359935658</v>
      </c>
      <c r="AB27" s="33">
        <v>23.561816089456102</v>
      </c>
      <c r="AC27" s="33">
        <v>23.5559869736351</v>
      </c>
      <c r="AD27" s="33">
        <v>23.555502552424901</v>
      </c>
      <c r="AE27" s="15">
        <v>1.00272111954893E-3</v>
      </c>
      <c r="AF27" s="15">
        <v>7.5529380028565099E-4</v>
      </c>
      <c r="AG27" s="15">
        <v>7.3472891409348204E-4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18.89</v>
      </c>
      <c r="C28" s="33">
        <v>23.47</v>
      </c>
      <c r="D28" s="15">
        <v>0</v>
      </c>
      <c r="E28" s="15">
        <v>8.5251497064375099E-4</v>
      </c>
      <c r="F28" s="33">
        <v>0</v>
      </c>
      <c r="G28" s="33">
        <v>6.9419999999999996E-2</v>
      </c>
      <c r="H28" s="33">
        <v>0</v>
      </c>
      <c r="I28" s="33">
        <v>8.8202000000000003E-2</v>
      </c>
      <c r="J28" s="33">
        <v>6.9419999999999996E-2</v>
      </c>
      <c r="K28" s="33">
        <v>8.8202000000000003E-2</v>
      </c>
      <c r="L28" s="33">
        <v>18.959420000000001</v>
      </c>
      <c r="M28" s="33">
        <v>23.558201999999898</v>
      </c>
      <c r="N28" s="34">
        <v>1.24245632609846</v>
      </c>
      <c r="O28" s="34">
        <v>1.2439394184217101</v>
      </c>
      <c r="P28" s="34">
        <v>1.2435715651933501</v>
      </c>
      <c r="Q28" s="34">
        <v>1.2443900164247099</v>
      </c>
      <c r="R28" s="33">
        <v>23.498015613986102</v>
      </c>
      <c r="S28" s="33">
        <v>23.500800128989098</v>
      </c>
      <c r="T28" s="33">
        <v>23.506633832768099</v>
      </c>
      <c r="U28" s="15">
        <v>1.19296576372344E-3</v>
      </c>
      <c r="V28" s="15">
        <v>1.3114587496506601E-3</v>
      </c>
      <c r="W28" s="15">
        <v>1.5596622067327399E-3</v>
      </c>
      <c r="X28" s="34">
        <v>1.24255921330926</v>
      </c>
      <c r="Y28" s="34">
        <v>1.24274983567304</v>
      </c>
      <c r="Z28" s="34">
        <v>1.2422712004392</v>
      </c>
      <c r="AA28" s="34">
        <v>1.2423631099158901</v>
      </c>
      <c r="AB28" s="33">
        <v>23.561816089456102</v>
      </c>
      <c r="AC28" s="33">
        <v>23.5536224101395</v>
      </c>
      <c r="AD28" s="33">
        <v>23.554493272913199</v>
      </c>
      <c r="AE28" s="15">
        <v>1.5339932409963E-4</v>
      </c>
      <c r="AF28" s="15">
        <v>-1.94413607719457E-4</v>
      </c>
      <c r="AG28" s="15">
        <v>-1.5744066744212399E-4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18.88</v>
      </c>
      <c r="C29" s="33">
        <v>23.45</v>
      </c>
      <c r="D29" s="15">
        <v>-5.29520796063646E-4</v>
      </c>
      <c r="E29" s="15">
        <v>-8.5251497064376899E-4</v>
      </c>
      <c r="F29" s="33">
        <v>0</v>
      </c>
      <c r="G29" s="33">
        <v>6.9419999999999996E-2</v>
      </c>
      <c r="H29" s="33">
        <v>0</v>
      </c>
      <c r="I29" s="33">
        <v>8.8202000000000003E-2</v>
      </c>
      <c r="J29" s="33">
        <v>6.9419999999999996E-2</v>
      </c>
      <c r="K29" s="33">
        <v>8.8202000000000003E-2</v>
      </c>
      <c r="L29" s="33">
        <v>18.94942</v>
      </c>
      <c r="M29" s="33">
        <v>23.538201999999998</v>
      </c>
      <c r="N29" s="34">
        <v>1.2420550847457601</v>
      </c>
      <c r="O29" s="34">
        <v>1.2439394184217101</v>
      </c>
      <c r="P29" s="34">
        <v>1.2430693159633499</v>
      </c>
      <c r="Q29" s="34">
        <v>1.24435067098013</v>
      </c>
      <c r="R29" s="33">
        <v>23.485576219801899</v>
      </c>
      <c r="S29" s="33">
        <v>23.478631150850401</v>
      </c>
      <c r="T29" s="33">
        <v>23.494083510098498</v>
      </c>
      <c r="U29" s="15">
        <v>1.5159599383034201E-3</v>
      </c>
      <c r="V29" s="15">
        <v>1.2201998524453399E-3</v>
      </c>
      <c r="W29" s="15">
        <v>1.8781290318432E-3</v>
      </c>
      <c r="X29" s="34">
        <v>1.2421594961745499</v>
      </c>
      <c r="Y29" s="34">
        <v>1.24274983567304</v>
      </c>
      <c r="Z29" s="34">
        <v>1.2422377024822999</v>
      </c>
      <c r="AA29" s="34">
        <v>1.2423289850427499</v>
      </c>
      <c r="AB29" s="33">
        <v>23.549388591099401</v>
      </c>
      <c r="AC29" s="33">
        <v>23.540318731026701</v>
      </c>
      <c r="AD29" s="33">
        <v>23.542060362302401</v>
      </c>
      <c r="AE29" s="15">
        <v>4.7513967775588101E-4</v>
      </c>
      <c r="AF29" s="15">
        <v>8.99234298493078E-5</v>
      </c>
      <c r="AG29" s="15">
        <v>1.6390572683659099E-4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0</v>
      </c>
      <c r="AV29">
        <f t="shared" si="11"/>
        <v>1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18.899999999999999</v>
      </c>
      <c r="C30" s="33">
        <v>23.48</v>
      </c>
      <c r="D30" s="15">
        <v>1.0587613482421099E-3</v>
      </c>
      <c r="E30" s="15">
        <v>1.2785000676072899E-3</v>
      </c>
      <c r="F30" s="33">
        <v>0</v>
      </c>
      <c r="G30" s="33">
        <v>6.9419999999999996E-2</v>
      </c>
      <c r="H30" s="33">
        <v>0</v>
      </c>
      <c r="I30" s="33">
        <v>8.8202000000000003E-2</v>
      </c>
      <c r="J30" s="33">
        <v>6.9419999999999996E-2</v>
      </c>
      <c r="K30" s="33">
        <v>8.8202000000000003E-2</v>
      </c>
      <c r="L30" s="33">
        <v>18.96942</v>
      </c>
      <c r="M30" s="33">
        <v>23.568201999999999</v>
      </c>
      <c r="N30" s="34">
        <v>1.2423280423280401</v>
      </c>
      <c r="O30" s="34">
        <v>1.2439394184217101</v>
      </c>
      <c r="P30" s="34">
        <v>1.24262059153374</v>
      </c>
      <c r="Q30" s="34">
        <v>1.2443378358084001</v>
      </c>
      <c r="R30" s="33">
        <v>23.5104550081703</v>
      </c>
      <c r="S30" s="33">
        <v>23.4940100717074</v>
      </c>
      <c r="T30" s="33">
        <v>23.5182276815245</v>
      </c>
      <c r="U30" s="15">
        <v>1.2962212189381701E-3</v>
      </c>
      <c r="V30" s="15">
        <v>5.9650313445685295E-4</v>
      </c>
      <c r="W30" s="15">
        <v>1.62677155462123E-3</v>
      </c>
      <c r="X30" s="34">
        <v>1.24243134476436</v>
      </c>
      <c r="Y30" s="34">
        <v>1.24274983567304</v>
      </c>
      <c r="Z30" s="34">
        <v>1.24225703739217</v>
      </c>
      <c r="AA30" s="34">
        <v>1.2423213149928301</v>
      </c>
      <c r="AB30" s="33">
        <v>23.574243587812798</v>
      </c>
      <c r="AC30" s="33">
        <v>23.564528718221901</v>
      </c>
      <c r="AD30" s="33">
        <v>23.566260295449698</v>
      </c>
      <c r="AE30" s="15">
        <v>2.5631202499653102E-4</v>
      </c>
      <c r="AF30" s="15">
        <v>-1.5586967822669401E-4</v>
      </c>
      <c r="AG30" s="15">
        <v>-8.2390016001014399E-5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0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18.93</v>
      </c>
      <c r="C31" s="33">
        <v>23.52</v>
      </c>
      <c r="D31" s="15">
        <v>1.5860431556347699E-3</v>
      </c>
      <c r="E31" s="15">
        <v>1.70212807053036E-3</v>
      </c>
      <c r="F31" s="33">
        <v>0</v>
      </c>
      <c r="G31" s="33">
        <v>6.9419999999999996E-2</v>
      </c>
      <c r="H31" s="33">
        <v>0</v>
      </c>
      <c r="I31" s="33">
        <v>8.8202000000000003E-2</v>
      </c>
      <c r="J31" s="33">
        <v>6.9419999999999996E-2</v>
      </c>
      <c r="K31" s="33">
        <v>8.8202000000000003E-2</v>
      </c>
      <c r="L31" s="33">
        <v>18.999420000000001</v>
      </c>
      <c r="M31" s="33">
        <v>23.608201999999999</v>
      </c>
      <c r="N31" s="34">
        <v>1.2424722662440499</v>
      </c>
      <c r="O31" s="34">
        <v>1.2439394184217101</v>
      </c>
      <c r="P31" s="34">
        <v>1.2421594406395899</v>
      </c>
      <c r="Q31" s="34">
        <v>1.24436595840442</v>
      </c>
      <c r="R31" s="33">
        <v>23.547773190722999</v>
      </c>
      <c r="S31" s="33">
        <v>23.522807797733702</v>
      </c>
      <c r="T31" s="33">
        <v>23.555315231853001</v>
      </c>
      <c r="U31" s="15">
        <v>1.1801363040424399E-3</v>
      </c>
      <c r="V31" s="15">
        <v>1.193720302219E-4</v>
      </c>
      <c r="W31" s="15">
        <v>1.50037183198768E-3</v>
      </c>
      <c r="X31" s="34">
        <v>1.24257487860155</v>
      </c>
      <c r="Y31" s="34">
        <v>1.24274983567304</v>
      </c>
      <c r="Z31" s="34">
        <v>1.24226349167602</v>
      </c>
      <c r="AA31" s="34">
        <v>1.2423545682067301</v>
      </c>
      <c r="AB31" s="33">
        <v>23.611526082883</v>
      </c>
      <c r="AC31" s="33">
        <v>23.602163201369699</v>
      </c>
      <c r="AD31" s="33">
        <v>23.603384438501202</v>
      </c>
      <c r="AE31" s="15">
        <v>1.40792123272117E-4</v>
      </c>
      <c r="AF31" s="15">
        <v>-2.5582511965155499E-4</v>
      </c>
      <c r="AG31" s="15">
        <v>-2.0408386495443301E-4</v>
      </c>
      <c r="AI31" s="12"/>
      <c r="AJ31">
        <f t="shared" si="6"/>
        <v>0</v>
      </c>
      <c r="AK31">
        <f t="shared" si="7"/>
        <v>0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0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18.93</v>
      </c>
      <c r="C32" s="33">
        <v>23.52</v>
      </c>
      <c r="D32" s="15">
        <v>0</v>
      </c>
      <c r="E32" s="15">
        <v>0</v>
      </c>
      <c r="F32" s="33">
        <v>0</v>
      </c>
      <c r="G32" s="33">
        <v>6.9419999999999996E-2</v>
      </c>
      <c r="H32" s="33">
        <v>0</v>
      </c>
      <c r="I32" s="33">
        <v>8.8202000000000003E-2</v>
      </c>
      <c r="J32" s="33">
        <v>6.9419999999999996E-2</v>
      </c>
      <c r="K32" s="33">
        <v>8.8202000000000003E-2</v>
      </c>
      <c r="L32" s="33">
        <v>18.999420000000001</v>
      </c>
      <c r="M32" s="33">
        <v>23.608201999999999</v>
      </c>
      <c r="N32" s="34">
        <v>1.2424722662440499</v>
      </c>
      <c r="O32" s="34">
        <v>1.2439394184217101</v>
      </c>
      <c r="P32" s="34">
        <v>1.2422028456079399</v>
      </c>
      <c r="Q32" s="34">
        <v>1.2443675558014999</v>
      </c>
      <c r="R32" s="33">
        <v>23.547773190722999</v>
      </c>
      <c r="S32" s="33">
        <v>23.5140782113074</v>
      </c>
      <c r="T32" s="33">
        <v>23.5558475925957</v>
      </c>
      <c r="U32" s="15">
        <v>1.1801363040424399E-3</v>
      </c>
      <c r="V32" s="15">
        <v>-2.51808431207865E-4</v>
      </c>
      <c r="W32" s="15">
        <v>1.5229720273898699E-3</v>
      </c>
      <c r="X32" s="34">
        <v>1.24257487860155</v>
      </c>
      <c r="Y32" s="34">
        <v>1.24274983567304</v>
      </c>
      <c r="Z32" s="34">
        <v>1.2423066884579801</v>
      </c>
      <c r="AA32" s="34">
        <v>1.2423612962216899</v>
      </c>
      <c r="AB32" s="33">
        <v>23.611526082883</v>
      </c>
      <c r="AC32" s="33">
        <v>23.602285829019301</v>
      </c>
      <c r="AD32" s="33">
        <v>23.6040162302784</v>
      </c>
      <c r="AE32" s="15">
        <v>1.40792123272117E-4</v>
      </c>
      <c r="AF32" s="15">
        <v>-2.5062952253416198E-4</v>
      </c>
      <c r="AG32" s="15">
        <v>-1.7731722378063299E-4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0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18.93</v>
      </c>
      <c r="C33" s="33">
        <v>23.52</v>
      </c>
      <c r="D33" s="15">
        <v>0</v>
      </c>
      <c r="E33" s="15">
        <v>0</v>
      </c>
      <c r="F33" s="33">
        <v>0</v>
      </c>
      <c r="G33" s="33">
        <v>6.9419999999999996E-2</v>
      </c>
      <c r="H33" s="33">
        <v>0</v>
      </c>
      <c r="I33" s="33">
        <v>8.8202000000000003E-2</v>
      </c>
      <c r="J33" s="33">
        <v>6.9419999999999996E-2</v>
      </c>
      <c r="K33" s="33">
        <v>8.8202000000000003E-2</v>
      </c>
      <c r="L33" s="33">
        <v>18.999420000000001</v>
      </c>
      <c r="M33" s="33">
        <v>23.608201999999999</v>
      </c>
      <c r="N33" s="34">
        <v>1.2424722662440499</v>
      </c>
      <c r="O33" s="34">
        <v>1.2439394184217101</v>
      </c>
      <c r="P33" s="34">
        <v>1.2421802899700001</v>
      </c>
      <c r="Q33" s="34">
        <v>1.24415765819202</v>
      </c>
      <c r="R33" s="33">
        <v>23.547773190722999</v>
      </c>
      <c r="S33" s="33">
        <v>23.514899867358299</v>
      </c>
      <c r="T33" s="33">
        <v>23.555877831322501</v>
      </c>
      <c r="U33" s="15">
        <v>1.1801363040424399E-3</v>
      </c>
      <c r="V33" s="15">
        <v>-2.1686588792457499E-4</v>
      </c>
      <c r="W33" s="15">
        <v>1.52425573018429E-3</v>
      </c>
      <c r="X33" s="34">
        <v>1.24257487860155</v>
      </c>
      <c r="Y33" s="34">
        <v>1.24274983567304</v>
      </c>
      <c r="Z33" s="34">
        <v>1.2422841613758699</v>
      </c>
      <c r="AA33" s="34">
        <v>1.2423862174226199</v>
      </c>
      <c r="AB33" s="33">
        <v>23.611526082883</v>
      </c>
      <c r="AC33" s="33">
        <v>23.603106542822299</v>
      </c>
      <c r="AD33" s="33">
        <v>23.6041440586603</v>
      </c>
      <c r="AE33" s="15">
        <v>1.40792123272117E-4</v>
      </c>
      <c r="AF33" s="15">
        <v>-2.1585748646755899E-4</v>
      </c>
      <c r="AG33" s="15">
        <v>-1.71901703193406E-4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0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0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18.940000000000001</v>
      </c>
      <c r="C34" s="33">
        <v>23.51</v>
      </c>
      <c r="D34" s="15">
        <v>5.2812253670076305E-4</v>
      </c>
      <c r="E34" s="15">
        <v>-4.2526047844793199E-4</v>
      </c>
      <c r="F34" s="33">
        <v>0</v>
      </c>
      <c r="G34" s="33">
        <v>6.9419999999999996E-2</v>
      </c>
      <c r="H34" s="33">
        <v>0</v>
      </c>
      <c r="I34" s="33">
        <v>8.8202000000000003E-2</v>
      </c>
      <c r="J34" s="33">
        <v>6.9419999999999996E-2</v>
      </c>
      <c r="K34" s="33">
        <v>8.8202000000000003E-2</v>
      </c>
      <c r="L34" s="33">
        <v>19.009419999999999</v>
      </c>
      <c r="M34" s="33">
        <v>23.598202000000001</v>
      </c>
      <c r="N34" s="34">
        <v>1.2412882787750701</v>
      </c>
      <c r="O34" s="34">
        <v>1.2439394184217101</v>
      </c>
      <c r="P34" s="34">
        <v>1.24210529619146</v>
      </c>
      <c r="Q34" s="34">
        <v>1.24387507904935</v>
      </c>
      <c r="R34" s="33">
        <v>23.560212584907202</v>
      </c>
      <c r="S34" s="33">
        <v>23.526894692031799</v>
      </c>
      <c r="T34" s="33">
        <v>23.564346046156899</v>
      </c>
      <c r="U34" s="15">
        <v>2.1335193191913799E-3</v>
      </c>
      <c r="V34" s="15">
        <v>7.1835918884576098E-4</v>
      </c>
      <c r="W34" s="15">
        <v>2.3089463738044098E-3</v>
      </c>
      <c r="X34" s="34">
        <v>1.2413951609254701</v>
      </c>
      <c r="Y34" s="34">
        <v>1.24274983567304</v>
      </c>
      <c r="Z34" s="34">
        <v>1.2422093863902199</v>
      </c>
      <c r="AA34" s="34">
        <v>1.2423384766274601</v>
      </c>
      <c r="AB34" s="33">
        <v>23.6239535812398</v>
      </c>
      <c r="AC34" s="33">
        <v>23.615101382941798</v>
      </c>
      <c r="AD34" s="33">
        <v>23.617041409197899</v>
      </c>
      <c r="AE34" s="15">
        <v>1.09065685272232E-3</v>
      </c>
      <c r="AF34" s="15">
        <v>7.1587380897729402E-4</v>
      </c>
      <c r="AG34" s="15">
        <v>7.9802236893965304E-4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0</v>
      </c>
      <c r="AT34" s="12"/>
      <c r="AU34">
        <f t="shared" si="10"/>
        <v>0</v>
      </c>
      <c r="AV34">
        <f t="shared" si="11"/>
        <v>0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0</v>
      </c>
      <c r="BH34" s="29"/>
    </row>
    <row r="35" spans="1:124" x14ac:dyDescent="0.25">
      <c r="A35" s="1">
        <v>46073</v>
      </c>
      <c r="B35" s="33">
        <v>18.940000000000001</v>
      </c>
      <c r="C35" s="33">
        <v>23.53</v>
      </c>
      <c r="D35" s="15">
        <v>0</v>
      </c>
      <c r="E35" s="15">
        <v>8.5034018729296596E-4</v>
      </c>
      <c r="F35" s="33">
        <v>0</v>
      </c>
      <c r="G35" s="33">
        <v>6.9419999999999996E-2</v>
      </c>
      <c r="H35" s="33">
        <v>0</v>
      </c>
      <c r="I35" s="33">
        <v>8.8202000000000003E-2</v>
      </c>
      <c r="J35" s="33">
        <v>6.9419999999999996E-2</v>
      </c>
      <c r="K35" s="33">
        <v>8.8202000000000003E-2</v>
      </c>
      <c r="L35" s="33">
        <v>19.009419999999999</v>
      </c>
      <c r="M35" s="33">
        <v>23.618202</v>
      </c>
      <c r="N35" s="34">
        <v>1.24234424498416</v>
      </c>
      <c r="O35" s="34">
        <v>1.2439394184217101</v>
      </c>
      <c r="P35" s="34">
        <v>1.2421999642049599</v>
      </c>
      <c r="Q35" s="34">
        <v>1.24364529821713</v>
      </c>
      <c r="R35" s="33">
        <v>23.560212584907202</v>
      </c>
      <c r="S35" s="33">
        <v>23.525474309866201</v>
      </c>
      <c r="T35" s="33">
        <v>23.558993997194701</v>
      </c>
      <c r="U35" s="15">
        <v>1.2831791318983E-3</v>
      </c>
      <c r="V35" s="15">
        <v>-1.9235552139555299E-4</v>
      </c>
      <c r="W35" s="15">
        <v>1.23145552273015E-3</v>
      </c>
      <c r="X35" s="34">
        <v>1.2424472708793799</v>
      </c>
      <c r="Y35" s="34">
        <v>1.24274983567304</v>
      </c>
      <c r="Z35" s="34">
        <v>1.2423036806062699</v>
      </c>
      <c r="AA35" s="34">
        <v>1.24234334133</v>
      </c>
      <c r="AB35" s="33">
        <v>23.6239535812398</v>
      </c>
      <c r="AC35" s="33">
        <v>23.613679953834001</v>
      </c>
      <c r="AD35" s="33">
        <v>23.616133884371699</v>
      </c>
      <c r="AE35" s="15">
        <v>2.43493600046617E-4</v>
      </c>
      <c r="AF35" s="15">
        <v>-1.9148278631765E-4</v>
      </c>
      <c r="AG35" s="15">
        <v>-8.7568316178473295E-5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0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0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0</v>
      </c>
      <c r="BH35" s="29"/>
    </row>
    <row r="36" spans="1:124" x14ac:dyDescent="0.25">
      <c r="A36" s="1">
        <v>46076</v>
      </c>
      <c r="B36" s="33">
        <v>18.89</v>
      </c>
      <c r="C36" s="33">
        <v>23.56</v>
      </c>
      <c r="D36" s="15">
        <v>-2.6434062445139898E-3</v>
      </c>
      <c r="E36" s="15">
        <v>1.2741560441148401E-3</v>
      </c>
      <c r="F36" s="33">
        <v>6.7349999999999993E-2</v>
      </c>
      <c r="G36" s="33">
        <v>0.13677</v>
      </c>
      <c r="H36" s="33">
        <v>0</v>
      </c>
      <c r="I36" s="33">
        <v>8.8202000000000003E-2</v>
      </c>
      <c r="J36" s="33">
        <v>0.13677</v>
      </c>
      <c r="K36" s="33">
        <v>8.8202000000000003E-2</v>
      </c>
      <c r="L36" s="33">
        <v>19.026769999999999</v>
      </c>
      <c r="M36" s="33">
        <v>23.648201999999898</v>
      </c>
      <c r="N36" s="34">
        <v>1.2472207517204801</v>
      </c>
      <c r="O36" s="34">
        <v>1.2439394184217101</v>
      </c>
      <c r="P36" s="34">
        <v>1.2426507092233201</v>
      </c>
      <c r="Q36" s="34">
        <v>1.24366591027124</v>
      </c>
      <c r="R36" s="33">
        <v>23.498015613986102</v>
      </c>
      <c r="S36" s="33">
        <v>23.465157323831701</v>
      </c>
      <c r="T36" s="33">
        <v>23.492459683321599</v>
      </c>
      <c r="U36" s="15">
        <v>-2.6343831567303298E-3</v>
      </c>
      <c r="V36" s="15">
        <v>-4.0337049427424396E-3</v>
      </c>
      <c r="W36" s="15">
        <v>-2.8708536608162E-3</v>
      </c>
      <c r="X36" s="34">
        <v>1.2428910424627999</v>
      </c>
      <c r="Y36" s="34">
        <v>1.24274983567304</v>
      </c>
      <c r="Z36" s="34">
        <v>1.2423112493039401</v>
      </c>
      <c r="AA36" s="34">
        <v>1.2423768163771101</v>
      </c>
      <c r="AB36" s="33">
        <v>23.645515290888699</v>
      </c>
      <c r="AC36" s="33">
        <v>23.6370264010489</v>
      </c>
      <c r="AD36" s="33">
        <v>23.637781016517501</v>
      </c>
      <c r="AE36" s="15">
        <v>-1.13618013895522E-4</v>
      </c>
      <c r="AF36" s="15">
        <v>-4.7268880946624297E-4</v>
      </c>
      <c r="AG36" s="15">
        <v>-4.4076417518875799E-4</v>
      </c>
      <c r="AI36" s="12"/>
      <c r="AJ36">
        <f t="shared" si="6"/>
        <v>0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0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0</v>
      </c>
      <c r="BH36" s="29"/>
    </row>
    <row r="37" spans="1:124" x14ac:dyDescent="0.25">
      <c r="A37" s="1">
        <v>46077</v>
      </c>
      <c r="B37" s="33">
        <v>18.88</v>
      </c>
      <c r="C37" s="33">
        <v>23.55</v>
      </c>
      <c r="D37" s="15">
        <v>-5.29520796063646E-4</v>
      </c>
      <c r="E37" s="15">
        <v>-4.2453832095906599E-4</v>
      </c>
      <c r="F37" s="33">
        <v>0</v>
      </c>
      <c r="G37" s="33">
        <v>0.13677</v>
      </c>
      <c r="H37" s="33">
        <v>0</v>
      </c>
      <c r="I37" s="33">
        <v>8.8202000000000003E-2</v>
      </c>
      <c r="J37" s="33">
        <v>0.13677</v>
      </c>
      <c r="K37" s="33">
        <v>8.8202000000000003E-2</v>
      </c>
      <c r="L37" s="33">
        <v>19.016769999999902</v>
      </c>
      <c r="M37" s="33">
        <v>23.638202</v>
      </c>
      <c r="N37" s="34">
        <v>1.2473516949152501</v>
      </c>
      <c r="O37" s="34">
        <v>1.2439394184217101</v>
      </c>
      <c r="P37" s="34">
        <v>1.24324612222994</v>
      </c>
      <c r="Q37" s="34">
        <v>1.24366647374041</v>
      </c>
      <c r="R37" s="33">
        <v>23.485576219801899</v>
      </c>
      <c r="S37" s="33">
        <v>23.461245390136401</v>
      </c>
      <c r="T37" s="33">
        <v>23.480412385920999</v>
      </c>
      <c r="U37" s="15">
        <v>-2.7393656318349599E-3</v>
      </c>
      <c r="V37" s="15">
        <v>-3.77589296252641E-3</v>
      </c>
      <c r="W37" s="15">
        <v>-2.9592623722198598E-3</v>
      </c>
      <c r="X37" s="34">
        <v>1.2430187671197499</v>
      </c>
      <c r="Y37" s="34">
        <v>1.24274983567304</v>
      </c>
      <c r="Z37" s="34">
        <v>1.2424626931440199</v>
      </c>
      <c r="AA37" s="34">
        <v>1.24239017975729</v>
      </c>
      <c r="AB37" s="33">
        <v>23.633087792531899</v>
      </c>
      <c r="AC37" s="33">
        <v>23.624747296425699</v>
      </c>
      <c r="AD37" s="33">
        <v>23.625994170375801</v>
      </c>
      <c r="AE37" s="15">
        <v>-2.16376896437894E-4</v>
      </c>
      <c r="AF37" s="15">
        <v>-5.6935524075401797E-4</v>
      </c>
      <c r="AG37" s="15">
        <v>-5.1657833559993897E-4</v>
      </c>
      <c r="AI37" s="12"/>
      <c r="AJ37">
        <f t="shared" si="6"/>
        <v>0</v>
      </c>
      <c r="AK37">
        <f t="shared" si="7"/>
        <v>0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0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0</v>
      </c>
      <c r="BH37" s="29"/>
    </row>
    <row r="38" spans="1:124" x14ac:dyDescent="0.25">
      <c r="A38" s="1">
        <v>46078</v>
      </c>
      <c r="B38" s="33">
        <v>18.87</v>
      </c>
      <c r="C38" s="33">
        <v>23.54</v>
      </c>
      <c r="D38" s="15">
        <v>-5.2980133689569699E-4</v>
      </c>
      <c r="E38" s="15">
        <v>-4.2471863029620703E-4</v>
      </c>
      <c r="F38" s="33">
        <v>0</v>
      </c>
      <c r="G38" s="33">
        <v>0.13677</v>
      </c>
      <c r="H38" s="33">
        <v>0</v>
      </c>
      <c r="I38" s="33">
        <v>8.8202000000000003E-2</v>
      </c>
      <c r="J38" s="33">
        <v>0.13677</v>
      </c>
      <c r="K38" s="33">
        <v>8.8202000000000003E-2</v>
      </c>
      <c r="L38" s="33">
        <v>19.006769999999999</v>
      </c>
      <c r="M38" s="33">
        <v>23.628201999999899</v>
      </c>
      <c r="N38" s="34">
        <v>1.24748277689454</v>
      </c>
      <c r="O38" s="34">
        <v>1.2439394184217101</v>
      </c>
      <c r="P38" s="34">
        <v>1.24374876730954</v>
      </c>
      <c r="Q38" s="34">
        <v>1.2436601662514499</v>
      </c>
      <c r="R38" s="33">
        <v>23.473136825617701</v>
      </c>
      <c r="S38" s="33">
        <v>23.460054326479</v>
      </c>
      <c r="T38" s="33">
        <v>23.4679863594815</v>
      </c>
      <c r="U38" s="15">
        <v>-2.8444483384344101E-3</v>
      </c>
      <c r="V38" s="15">
        <v>-3.4019429027897698E-3</v>
      </c>
      <c r="W38" s="15">
        <v>-3.0638920077537099E-3</v>
      </c>
      <c r="X38" s="34">
        <v>1.2431466261758299</v>
      </c>
      <c r="Y38" s="34">
        <v>1.24274983567304</v>
      </c>
      <c r="Z38" s="34">
        <v>1.2425214344306801</v>
      </c>
      <c r="AA38" s="34">
        <v>1.2423963174349399</v>
      </c>
      <c r="AB38" s="33">
        <v>23.620660294175199</v>
      </c>
      <c r="AC38" s="33">
        <v>23.615202642169098</v>
      </c>
      <c r="AD38" s="33">
        <v>23.613824396905599</v>
      </c>
      <c r="AE38" s="15">
        <v>-3.1923333272346497E-4</v>
      </c>
      <c r="AF38" s="15">
        <v>-5.5031419760743995E-4</v>
      </c>
      <c r="AG38" s="15">
        <v>-6.0867852777807198E-4</v>
      </c>
      <c r="AI38" s="12"/>
      <c r="AJ38">
        <f t="shared" si="6"/>
        <v>0</v>
      </c>
      <c r="AK38">
        <f t="shared" si="7"/>
        <v>0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0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0</v>
      </c>
      <c r="BH38" s="29"/>
    </row>
    <row r="39" spans="1:124" x14ac:dyDescent="0.25">
      <c r="A39" s="1">
        <v>46079</v>
      </c>
      <c r="B39" s="33">
        <v>18.87</v>
      </c>
      <c r="C39" s="33">
        <v>23.56</v>
      </c>
      <c r="D39" s="15">
        <v>0</v>
      </c>
      <c r="E39" s="15">
        <v>8.4925695125532804E-4</v>
      </c>
      <c r="F39" s="33">
        <v>0</v>
      </c>
      <c r="G39" s="33">
        <v>0.13677</v>
      </c>
      <c r="H39" s="33">
        <v>0</v>
      </c>
      <c r="I39" s="33">
        <v>8.8202000000000003E-2</v>
      </c>
      <c r="J39" s="33">
        <v>0.13677</v>
      </c>
      <c r="K39" s="33">
        <v>8.8202000000000003E-2</v>
      </c>
      <c r="L39" s="33">
        <v>19.006769999999999</v>
      </c>
      <c r="M39" s="33">
        <v>23.648201999999898</v>
      </c>
      <c r="N39" s="34">
        <v>1.2485426603073599</v>
      </c>
      <c r="O39" s="34">
        <v>1.2439394184217101</v>
      </c>
      <c r="P39" s="34">
        <v>1.24439752486571</v>
      </c>
      <c r="Q39" s="34">
        <v>1.2437334204145301</v>
      </c>
      <c r="R39" s="33">
        <v>23.473136825617701</v>
      </c>
      <c r="S39" s="33">
        <v>23.469539239131201</v>
      </c>
      <c r="T39" s="33">
        <v>23.467867337164801</v>
      </c>
      <c r="U39" s="15">
        <v>-3.6937052896896302E-3</v>
      </c>
      <c r="V39" s="15">
        <v>-3.8469810206523299E-3</v>
      </c>
      <c r="W39" s="15">
        <v>-3.9182206603762303E-3</v>
      </c>
      <c r="X39" s="34">
        <v>1.2441988828191199</v>
      </c>
      <c r="Y39" s="34">
        <v>1.24274983567304</v>
      </c>
      <c r="Z39" s="34">
        <v>1.24272537309514</v>
      </c>
      <c r="AA39" s="34">
        <v>1.2424815377887199</v>
      </c>
      <c r="AB39" s="33">
        <v>23.620660294175199</v>
      </c>
      <c r="AC39" s="33">
        <v>23.616319124294002</v>
      </c>
      <c r="AD39" s="33">
        <v>23.613941054333001</v>
      </c>
      <c r="AE39" s="15">
        <v>-1.16532142322653E-3</v>
      </c>
      <c r="AF39" s="15">
        <v>-1.34912529666786E-3</v>
      </c>
      <c r="AG39" s="15">
        <v>-1.4498264130324799E-3</v>
      </c>
      <c r="AI39" s="12"/>
      <c r="AJ39">
        <f t="shared" si="6"/>
        <v>1</v>
      </c>
      <c r="AK39">
        <f t="shared" si="7"/>
        <v>0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0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0</v>
      </c>
      <c r="BH39" s="29"/>
    </row>
    <row r="40" spans="1:124" x14ac:dyDescent="0.25">
      <c r="A40" s="1">
        <v>46080</v>
      </c>
      <c r="B40" s="33">
        <v>18.91</v>
      </c>
      <c r="C40" s="33">
        <v>23.57</v>
      </c>
      <c r="D40" s="15">
        <v>2.1175232899072801E-3</v>
      </c>
      <c r="E40" s="15">
        <v>4.2435816465376502E-4</v>
      </c>
      <c r="F40" s="33">
        <v>0</v>
      </c>
      <c r="G40" s="33">
        <v>0.13677</v>
      </c>
      <c r="H40" s="33">
        <v>0</v>
      </c>
      <c r="I40" s="33">
        <v>8.8202000000000003E-2</v>
      </c>
      <c r="J40" s="33">
        <v>0.13677</v>
      </c>
      <c r="K40" s="33">
        <v>8.8202000000000003E-2</v>
      </c>
      <c r="L40" s="33">
        <v>19.046769999999999</v>
      </c>
      <c r="M40" s="33">
        <v>23.658201999999999</v>
      </c>
      <c r="N40" s="34">
        <v>1.2464304600740299</v>
      </c>
      <c r="O40" s="34">
        <v>1.2439394184217101</v>
      </c>
      <c r="P40" s="34">
        <v>1.2448077666402999</v>
      </c>
      <c r="Q40" s="34">
        <v>1.2437141790870201</v>
      </c>
      <c r="R40" s="33">
        <v>23.522894402354598</v>
      </c>
      <c r="S40" s="33">
        <v>23.5315571952105</v>
      </c>
      <c r="T40" s="33">
        <v>23.518998980038798</v>
      </c>
      <c r="U40" s="15">
        <v>-2.0005401644363398E-3</v>
      </c>
      <c r="V40" s="15">
        <v>-1.6323372565402901E-3</v>
      </c>
      <c r="W40" s="15">
        <v>-2.1661551958298501E-3</v>
      </c>
      <c r="X40" s="34">
        <v>1.2421109720965799</v>
      </c>
      <c r="Y40" s="34">
        <v>1.24274983567304</v>
      </c>
      <c r="Z40" s="34">
        <v>1.2426933358283601</v>
      </c>
      <c r="AA40" s="34">
        <v>1.2424751866102699</v>
      </c>
      <c r="AB40" s="33">
        <v>23.6703702876021</v>
      </c>
      <c r="AC40" s="33">
        <v>23.669904354507299</v>
      </c>
      <c r="AD40" s="33">
        <v>23.665260079508101</v>
      </c>
      <c r="AE40" s="15">
        <v>5.1420473013041E-4</v>
      </c>
      <c r="AF40" s="15">
        <v>4.9452030293236303E-4</v>
      </c>
      <c r="AG40" s="15">
        <v>2.9829092168363598E-4</v>
      </c>
      <c r="AI40" s="12"/>
      <c r="AJ40">
        <f t="shared" si="6"/>
        <v>0</v>
      </c>
      <c r="AK40">
        <f t="shared" si="7"/>
        <v>1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2.1175232899072801E-3</v>
      </c>
      <c r="AP40" s="28">
        <f t="shared" si="9"/>
        <v>-4.2435816465376502E-4</v>
      </c>
      <c r="AQ40" s="28">
        <f t="shared" si="16"/>
        <v>1.693165125253515E-3</v>
      </c>
      <c r="AR40" s="29">
        <f t="shared" si="17"/>
        <v>1.693165125253515E-3</v>
      </c>
      <c r="AT40" s="12"/>
      <c r="AU40">
        <f t="shared" si="10"/>
        <v>0</v>
      </c>
      <c r="AV40">
        <f t="shared" si="11"/>
        <v>0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1.693165125253515E-3</v>
      </c>
      <c r="BF40" s="29">
        <f t="shared" si="23"/>
        <v>1.693165125253515E-3</v>
      </c>
      <c r="BH40" s="29"/>
    </row>
    <row r="41" spans="1:124" x14ac:dyDescent="0.25">
      <c r="A41" s="1">
        <v>46083</v>
      </c>
      <c r="B41" s="33">
        <v>18.87</v>
      </c>
      <c r="C41" s="33">
        <v>23.43</v>
      </c>
      <c r="D41" s="15">
        <v>-2.1175232899071999E-3</v>
      </c>
      <c r="E41" s="15">
        <v>-5.9574644283354999E-3</v>
      </c>
      <c r="F41" s="33">
        <v>0</v>
      </c>
      <c r="G41" s="33">
        <v>0.13677</v>
      </c>
      <c r="H41" s="33">
        <v>8.7762999999999994E-2</v>
      </c>
      <c r="I41" s="33">
        <v>0.17596499999999901</v>
      </c>
      <c r="J41" s="33">
        <v>0.13677</v>
      </c>
      <c r="K41" s="33">
        <v>0.17596499999999901</v>
      </c>
      <c r="L41" s="33">
        <v>19.006769999999999</v>
      </c>
      <c r="M41" s="33">
        <v>23.605965000000001</v>
      </c>
      <c r="N41" s="34">
        <v>1.241653418124</v>
      </c>
      <c r="O41" s="34">
        <v>1.2439394184217101</v>
      </c>
      <c r="P41" s="34">
        <v>1.2447258818283</v>
      </c>
      <c r="Q41" s="34">
        <v>1.24344266123394</v>
      </c>
      <c r="R41" s="33">
        <v>23.473136825617701</v>
      </c>
      <c r="S41" s="33">
        <v>23.4895225565026</v>
      </c>
      <c r="T41" s="33">
        <v>23.468886559372098</v>
      </c>
      <c r="U41" s="15">
        <v>1.8394009739918699E-3</v>
      </c>
      <c r="V41" s="15">
        <v>2.53722055088144E-3</v>
      </c>
      <c r="W41" s="15">
        <v>1.6583152026215099E-3</v>
      </c>
      <c r="X41" s="34">
        <v>1.24197667462698</v>
      </c>
      <c r="Y41" s="34">
        <v>1.24274983567304</v>
      </c>
      <c r="Z41" s="34">
        <v>1.2426335154309001</v>
      </c>
      <c r="AA41" s="34">
        <v>1.24244850355346</v>
      </c>
      <c r="AB41" s="33">
        <v>23.620660294175199</v>
      </c>
      <c r="AC41" s="33">
        <v>23.6195864146224</v>
      </c>
      <c r="AD41" s="33">
        <v>23.615440102608499</v>
      </c>
      <c r="AE41" s="15">
        <v>6.2233092277977798E-4</v>
      </c>
      <c r="AF41" s="15">
        <v>5.76866318853559E-4</v>
      </c>
      <c r="AG41" s="15">
        <v>4.0130541287655301E-4</v>
      </c>
      <c r="AI41" s="12"/>
      <c r="AJ41">
        <f t="shared" si="6"/>
        <v>0</v>
      </c>
      <c r="AK41">
        <f t="shared" si="7"/>
        <v>1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1.693165125253515E-3</v>
      </c>
      <c r="AT41" s="12"/>
      <c r="AU41">
        <f t="shared" si="10"/>
        <v>0</v>
      </c>
      <c r="AV41">
        <f t="shared" si="11"/>
        <v>0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1.693165125253515E-3</v>
      </c>
      <c r="BH41" s="29"/>
    </row>
    <row r="42" spans="1:124" x14ac:dyDescent="0.25">
      <c r="A42" s="1">
        <v>46084</v>
      </c>
      <c r="B42" s="33">
        <v>18.87</v>
      </c>
      <c r="C42" s="33">
        <v>23.42</v>
      </c>
      <c r="D42" s="15">
        <v>0</v>
      </c>
      <c r="E42" s="15">
        <v>-4.2689435013294101E-4</v>
      </c>
      <c r="F42" s="33">
        <v>0</v>
      </c>
      <c r="G42" s="33">
        <v>0.13677</v>
      </c>
      <c r="H42" s="33">
        <v>0</v>
      </c>
      <c r="I42" s="33">
        <v>0.17596499999999901</v>
      </c>
      <c r="J42" s="33">
        <v>0.13677</v>
      </c>
      <c r="K42" s="33">
        <v>0.17596499999999901</v>
      </c>
      <c r="L42" s="33">
        <v>19.006769999999999</v>
      </c>
      <c r="M42" s="33">
        <v>23.595965</v>
      </c>
      <c r="N42" s="34">
        <v>1.24112347641759</v>
      </c>
      <c r="O42" s="34">
        <v>1.2439394184217101</v>
      </c>
      <c r="P42" s="34">
        <v>1.2445910028456499</v>
      </c>
      <c r="Q42" s="34">
        <v>1.2433969242267999</v>
      </c>
      <c r="R42" s="33">
        <v>23.473136825617701</v>
      </c>
      <c r="S42" s="33">
        <v>23.487977390100099</v>
      </c>
      <c r="T42" s="33">
        <v>23.463763017484499</v>
      </c>
      <c r="U42" s="15">
        <v>2.2662953241249701E-3</v>
      </c>
      <c r="V42" s="15">
        <v>2.89833164712258E-3</v>
      </c>
      <c r="W42" s="15">
        <v>1.86687362013005E-3</v>
      </c>
      <c r="X42" s="34">
        <v>1.24145054630534</v>
      </c>
      <c r="Y42" s="34">
        <v>1.24274983567304</v>
      </c>
      <c r="Z42" s="34">
        <v>1.24252108220128</v>
      </c>
      <c r="AA42" s="34">
        <v>1.24241388532963</v>
      </c>
      <c r="AB42" s="33">
        <v>23.620660294175199</v>
      </c>
      <c r="AC42" s="33">
        <v>23.618449422086599</v>
      </c>
      <c r="AD42" s="33">
        <v>23.614932943884899</v>
      </c>
      <c r="AE42" s="15">
        <v>1.04604241718736E-3</v>
      </c>
      <c r="AF42" s="15">
        <v>9.5243895584004004E-4</v>
      </c>
      <c r="AG42" s="15">
        <v>8.0354095056942899E-4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1.693165125253515E-3</v>
      </c>
      <c r="AT42" s="12"/>
      <c r="AU42">
        <f t="shared" si="10"/>
        <v>0</v>
      </c>
      <c r="AV42">
        <f t="shared" si="11"/>
        <v>0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0</v>
      </c>
      <c r="BF42" s="29">
        <f t="shared" si="23"/>
        <v>1.693165125253515E-3</v>
      </c>
      <c r="BH42" s="29"/>
    </row>
    <row r="43" spans="1:124" x14ac:dyDescent="0.25">
      <c r="A43" s="1">
        <v>46085</v>
      </c>
      <c r="B43" s="33">
        <v>18.84</v>
      </c>
      <c r="C43" s="33">
        <v>23.41</v>
      </c>
      <c r="D43" s="15">
        <v>-1.5910902322419599E-3</v>
      </c>
      <c r="E43" s="15">
        <v>-4.27076666751937E-4</v>
      </c>
      <c r="F43" s="33">
        <v>0</v>
      </c>
      <c r="G43" s="33">
        <v>0.13677</v>
      </c>
      <c r="H43" s="33">
        <v>0</v>
      </c>
      <c r="I43" s="33">
        <v>0.17596499999999901</v>
      </c>
      <c r="J43" s="33">
        <v>0.13677</v>
      </c>
      <c r="K43" s="33">
        <v>0.17596499999999901</v>
      </c>
      <c r="L43" s="33">
        <v>18.976769999999998</v>
      </c>
      <c r="M43" s="33">
        <v>23.585965000000002</v>
      </c>
      <c r="N43" s="34">
        <v>1.2425690021231399</v>
      </c>
      <c r="O43" s="34">
        <v>1.2439394184217101</v>
      </c>
      <c r="P43" s="34">
        <v>1.24460067643356</v>
      </c>
      <c r="Q43" s="34">
        <v>1.2433904832017799</v>
      </c>
      <c r="R43" s="33">
        <v>23.435818643065002</v>
      </c>
      <c r="S43" s="33">
        <v>23.448094493612199</v>
      </c>
      <c r="T43" s="33">
        <v>23.4255980524329</v>
      </c>
      <c r="U43" s="15">
        <v>1.1022817586350199E-3</v>
      </c>
      <c r="V43" s="15">
        <v>1.6259518197005501E-3</v>
      </c>
      <c r="W43" s="15">
        <v>6.6607681585132805E-4</v>
      </c>
      <c r="X43" s="34">
        <v>1.2428861708288601</v>
      </c>
      <c r="Y43" s="34">
        <v>1.24274983567304</v>
      </c>
      <c r="Z43" s="34">
        <v>1.24255221142401</v>
      </c>
      <c r="AA43" s="34">
        <v>1.2424181863999399</v>
      </c>
      <c r="AB43" s="33">
        <v>23.583377799105001</v>
      </c>
      <c r="AC43" s="33">
        <v>23.5790367970848</v>
      </c>
      <c r="AD43" s="33">
        <v>23.577002546706801</v>
      </c>
      <c r="AE43" s="15">
        <v>-1.0969840765187199E-4</v>
      </c>
      <c r="AF43" s="15">
        <v>-2.9378576066926702E-4</v>
      </c>
      <c r="AG43" s="15">
        <v>-3.8006316681386799E-4</v>
      </c>
      <c r="AI43" s="12"/>
      <c r="AJ43">
        <f t="shared" si="6"/>
        <v>0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1.693165125253515E-3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1.693165125253515E-3</v>
      </c>
      <c r="BH43" s="29"/>
    </row>
    <row r="44" spans="1:124" x14ac:dyDescent="0.25">
      <c r="A44" s="1">
        <v>46086</v>
      </c>
      <c r="B44" s="33">
        <v>18.829999999999998</v>
      </c>
      <c r="C44" s="33">
        <v>23.39</v>
      </c>
      <c r="D44" s="15">
        <v>-5.3092647915601102E-4</v>
      </c>
      <c r="E44" s="15">
        <v>-8.5470090673176596E-4</v>
      </c>
      <c r="F44" s="33">
        <v>0</v>
      </c>
      <c r="G44" s="33">
        <v>0.13677</v>
      </c>
      <c r="H44" s="33">
        <v>0</v>
      </c>
      <c r="I44" s="33">
        <v>0.17596499999999901</v>
      </c>
      <c r="J44" s="33">
        <v>0.13677</v>
      </c>
      <c r="K44" s="33">
        <v>0.17596499999999901</v>
      </c>
      <c r="L44" s="33">
        <v>18.966769999999901</v>
      </c>
      <c r="M44" s="33">
        <v>23.565964999999998</v>
      </c>
      <c r="N44" s="34">
        <v>1.2421667551779001</v>
      </c>
      <c r="O44" s="34">
        <v>1.2439394184217101</v>
      </c>
      <c r="P44" s="34">
        <v>1.2446885240738399</v>
      </c>
      <c r="Q44" s="34">
        <v>1.2433969101326501</v>
      </c>
      <c r="R44" s="33">
        <v>23.423379248880799</v>
      </c>
      <c r="S44" s="33">
        <v>23.435830737244</v>
      </c>
      <c r="T44" s="33">
        <v>23.413042798689599</v>
      </c>
      <c r="U44" s="15">
        <v>1.42605618621046E-3</v>
      </c>
      <c r="V44" s="15">
        <v>1.95749872055654E-3</v>
      </c>
      <c r="W44" s="15">
        <v>9.8467104587774594E-4</v>
      </c>
      <c r="X44" s="34">
        <v>1.24248699172289</v>
      </c>
      <c r="Y44" s="34">
        <v>1.24274983567304</v>
      </c>
      <c r="Z44" s="34">
        <v>1.2426613945037499</v>
      </c>
      <c r="AA44" s="34">
        <v>1.24243539044699</v>
      </c>
      <c r="AB44" s="33">
        <v>23.570950300748301</v>
      </c>
      <c r="AC44" s="33">
        <v>23.567202007070598</v>
      </c>
      <c r="AD44" s="33">
        <v>23.5646599852649</v>
      </c>
      <c r="AE44" s="15">
        <v>2.11524268616964E-4</v>
      </c>
      <c r="AF44" s="15">
        <v>5.2489877065173003E-5</v>
      </c>
      <c r="AG44" s="15">
        <v>-5.5378630596084401E-5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1.693165125253515E-3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1.693165125253515E-3</v>
      </c>
      <c r="BH44" s="29"/>
    </row>
    <row r="45" spans="1:124" x14ac:dyDescent="0.25">
      <c r="A45" s="1">
        <v>46087</v>
      </c>
      <c r="B45" s="33">
        <v>18.82</v>
      </c>
      <c r="C45" s="33">
        <v>23.38</v>
      </c>
      <c r="D45" s="15">
        <v>-5.3120851182740503E-4</v>
      </c>
      <c r="E45" s="15">
        <v>-4.2762455216536902E-4</v>
      </c>
      <c r="F45" s="33">
        <v>0</v>
      </c>
      <c r="G45" s="33">
        <v>0.13677</v>
      </c>
      <c r="H45" s="33">
        <v>0</v>
      </c>
      <c r="I45" s="33">
        <v>0.17596499999999901</v>
      </c>
      <c r="J45" s="33">
        <v>0.13677</v>
      </c>
      <c r="K45" s="33">
        <v>0.17596499999999901</v>
      </c>
      <c r="L45" s="33">
        <v>18.956769999999999</v>
      </c>
      <c r="M45" s="33">
        <v>23.555965</v>
      </c>
      <c r="N45" s="34">
        <v>1.2422954303931899</v>
      </c>
      <c r="O45" s="34">
        <v>1.2439394184217101</v>
      </c>
      <c r="P45" s="34">
        <v>1.2446836426147501</v>
      </c>
      <c r="Q45" s="34">
        <v>1.24344180340985</v>
      </c>
      <c r="R45" s="33">
        <v>23.410939854696601</v>
      </c>
      <c r="S45" s="33">
        <v>23.425038023069799</v>
      </c>
      <c r="T45" s="33">
        <v>23.4007298486965</v>
      </c>
      <c r="U45" s="15">
        <v>1.3224722265486499E-3</v>
      </c>
      <c r="V45" s="15">
        <v>1.9244952625909501E-3</v>
      </c>
      <c r="W45" s="15">
        <v>8.8625594856989198E-4</v>
      </c>
      <c r="X45" s="34">
        <v>1.24261490749742</v>
      </c>
      <c r="Y45" s="34">
        <v>1.24274983567304</v>
      </c>
      <c r="Z45" s="34">
        <v>1.2426781581655599</v>
      </c>
      <c r="AA45" s="34">
        <v>1.2424909193859099</v>
      </c>
      <c r="AB45" s="33">
        <v>23.5585228023916</v>
      </c>
      <c r="AC45" s="33">
        <v>23.556846243486898</v>
      </c>
      <c r="AD45" s="33">
        <v>23.552561936563698</v>
      </c>
      <c r="AE45" s="15">
        <v>1.0857816834826599E-4</v>
      </c>
      <c r="AF45" s="15">
        <v>3.7409930072930002E-5</v>
      </c>
      <c r="AG45" s="15">
        <v>-1.44477599425372E-4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1.693165125253515E-3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1.693165125253515E-3</v>
      </c>
      <c r="BH45" s="29"/>
    </row>
    <row r="46" spans="1:124" x14ac:dyDescent="0.25">
      <c r="A46" s="1">
        <v>46090</v>
      </c>
      <c r="B46" s="33">
        <v>18.84</v>
      </c>
      <c r="C46" s="33">
        <v>23.4</v>
      </c>
      <c r="D46" s="15">
        <v>1.06213499098336E-3</v>
      </c>
      <c r="E46" s="15">
        <v>8.5506631973347605E-4</v>
      </c>
      <c r="F46" s="33">
        <v>0</v>
      </c>
      <c r="G46" s="33">
        <v>0.13677</v>
      </c>
      <c r="H46" s="33">
        <v>0</v>
      </c>
      <c r="I46" s="33">
        <v>0.17596499999999901</v>
      </c>
      <c r="J46" s="33">
        <v>0.13677</v>
      </c>
      <c r="K46" s="33">
        <v>0.17596499999999901</v>
      </c>
      <c r="L46" s="33">
        <v>18.976769999999998</v>
      </c>
      <c r="M46" s="33">
        <v>23.575965</v>
      </c>
      <c r="N46" s="34">
        <v>1.2420382165605</v>
      </c>
      <c r="O46" s="34">
        <v>1.2439394184217101</v>
      </c>
      <c r="P46" s="34">
        <v>1.2441653890987501</v>
      </c>
      <c r="Q46" s="34">
        <v>1.24340804916104</v>
      </c>
      <c r="R46" s="33">
        <v>23.435818643065002</v>
      </c>
      <c r="S46" s="33">
        <v>23.449839826861901</v>
      </c>
      <c r="T46" s="33">
        <v>23.426443576241699</v>
      </c>
      <c r="U46" s="15">
        <v>1.52954089779869E-3</v>
      </c>
      <c r="V46" s="15">
        <v>2.1276420943011302E-3</v>
      </c>
      <c r="W46" s="15">
        <v>1.12942931528257E-3</v>
      </c>
      <c r="X46" s="34">
        <v>1.2423592107613599</v>
      </c>
      <c r="Y46" s="34">
        <v>1.24274983567304</v>
      </c>
      <c r="Z46" s="34">
        <v>1.2426249749954099</v>
      </c>
      <c r="AA46" s="34">
        <v>1.2424681121496799</v>
      </c>
      <c r="AB46" s="33">
        <v>23.583377799105001</v>
      </c>
      <c r="AC46" s="33">
        <v>23.5820175915314</v>
      </c>
      <c r="AD46" s="33">
        <v>23.578464404275</v>
      </c>
      <c r="AE46" s="15">
        <v>3.14372454158315E-4</v>
      </c>
      <c r="AF46" s="15">
        <v>2.5669425331996902E-4</v>
      </c>
      <c r="AG46" s="15">
        <v>1.0600931064045E-4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1.693165125253515E-3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1.693165125253515E-3</v>
      </c>
      <c r="BH46" s="29"/>
    </row>
    <row r="47" spans="1:124" x14ac:dyDescent="0.25">
      <c r="A47" s="1">
        <v>46091</v>
      </c>
      <c r="B47" s="33">
        <v>18.82</v>
      </c>
      <c r="C47" s="33">
        <v>23.36</v>
      </c>
      <c r="D47" s="15">
        <v>-1.0621349909834201E-3</v>
      </c>
      <c r="E47" s="15">
        <v>-1.7108644036294301E-3</v>
      </c>
      <c r="F47" s="33">
        <v>0</v>
      </c>
      <c r="G47" s="33">
        <v>0.13677</v>
      </c>
      <c r="H47" s="33">
        <v>0</v>
      </c>
      <c r="I47" s="33">
        <v>0.17596499999999901</v>
      </c>
      <c r="J47" s="33">
        <v>0.13677</v>
      </c>
      <c r="K47" s="33">
        <v>0.17596499999999901</v>
      </c>
      <c r="L47" s="33">
        <v>18.956769999999999</v>
      </c>
      <c r="M47" s="33">
        <v>23.535965000000001</v>
      </c>
      <c r="N47" s="34">
        <v>1.2412327311370801</v>
      </c>
      <c r="O47" s="34">
        <v>1.2439394184217101</v>
      </c>
      <c r="P47" s="34">
        <v>1.24355349272093</v>
      </c>
      <c r="Q47" s="34">
        <v>1.24339980747544</v>
      </c>
      <c r="R47" s="33">
        <v>23.410939854696601</v>
      </c>
      <c r="S47" s="33">
        <v>23.4151926228385</v>
      </c>
      <c r="T47" s="33">
        <v>23.400939485210799</v>
      </c>
      <c r="U47" s="15">
        <v>2.17827031044463E-3</v>
      </c>
      <c r="V47" s="15">
        <v>2.3599111135005901E-3</v>
      </c>
      <c r="W47" s="15">
        <v>1.7510125383156799E-3</v>
      </c>
      <c r="X47" s="34">
        <v>1.24155987544291</v>
      </c>
      <c r="Y47" s="34">
        <v>1.24274983567304</v>
      </c>
      <c r="Z47" s="34">
        <v>1.2424790858277299</v>
      </c>
      <c r="AA47" s="34">
        <v>1.24247088948588</v>
      </c>
      <c r="AB47" s="33">
        <v>23.5585228023916</v>
      </c>
      <c r="AC47" s="33">
        <v>23.556155847243801</v>
      </c>
      <c r="AD47" s="33">
        <v>23.553182234355699</v>
      </c>
      <c r="AE47" s="15">
        <v>9.5798065418694202E-4</v>
      </c>
      <c r="AF47" s="15">
        <v>8.5750431782776696E-4</v>
      </c>
      <c r="AG47" s="15">
        <v>7.3126128350741598E-4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1.693165125253515E-3</v>
      </c>
      <c r="AT47" s="12"/>
      <c r="AU47">
        <f t="shared" si="10"/>
        <v>0</v>
      </c>
      <c r="AV47">
        <f t="shared" si="11"/>
        <v>0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1.693165125253515E-3</v>
      </c>
      <c r="BH47" s="29"/>
    </row>
    <row r="48" spans="1:124" x14ac:dyDescent="0.25">
      <c r="A48" s="1">
        <v>46092</v>
      </c>
      <c r="B48" s="33">
        <v>18.77</v>
      </c>
      <c r="C48" s="33">
        <v>23.32</v>
      </c>
      <c r="D48" s="15">
        <v>-2.6602835588162102E-3</v>
      </c>
      <c r="E48" s="15">
        <v>-1.7137964777346299E-3</v>
      </c>
      <c r="F48" s="33">
        <v>0</v>
      </c>
      <c r="G48" s="33">
        <v>0.13677</v>
      </c>
      <c r="H48" s="33">
        <v>0</v>
      </c>
      <c r="I48" s="33">
        <v>0.17596499999999901</v>
      </c>
      <c r="J48" s="33">
        <v>0.13677</v>
      </c>
      <c r="K48" s="33">
        <v>0.17596499999999901</v>
      </c>
      <c r="L48" s="33">
        <v>18.906769999999899</v>
      </c>
      <c r="M48" s="33">
        <v>23.495965000000002</v>
      </c>
      <c r="N48" s="34">
        <v>1.24240809802876</v>
      </c>
      <c r="O48" s="34">
        <v>1.2439394184217101</v>
      </c>
      <c r="P48" s="34">
        <v>1.24304602483436</v>
      </c>
      <c r="Q48" s="34">
        <v>1.24339739607195</v>
      </c>
      <c r="R48" s="33">
        <v>23.3487428837755</v>
      </c>
      <c r="S48" s="33">
        <v>23.341499058372001</v>
      </c>
      <c r="T48" s="33">
        <v>23.338614386313999</v>
      </c>
      <c r="U48" s="15">
        <v>1.2317832293631001E-3</v>
      </c>
      <c r="V48" s="15">
        <v>9.2149032187943897E-4</v>
      </c>
      <c r="W48" s="15">
        <v>7.9789713202601696E-4</v>
      </c>
      <c r="X48" s="34">
        <v>1.2427276049795899</v>
      </c>
      <c r="Y48" s="34">
        <v>1.24274983567304</v>
      </c>
      <c r="Z48" s="34">
        <v>1.2424371837081001</v>
      </c>
      <c r="AA48" s="34">
        <v>1.24247930906939</v>
      </c>
      <c r="AB48" s="33">
        <v>23.496385310607899</v>
      </c>
      <c r="AC48" s="33">
        <v>23.4912663055552</v>
      </c>
      <c r="AD48" s="33">
        <v>23.491111339204899</v>
      </c>
      <c r="AE48" s="15">
        <v>1.7888469301567099E-5</v>
      </c>
      <c r="AF48" s="15">
        <v>-1.99998779664252E-4</v>
      </c>
      <c r="AG48" s="15">
        <v>-2.0659556586443E-4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1.693165125253515E-3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1.693165125253515E-3</v>
      </c>
      <c r="BH48" s="29"/>
    </row>
    <row r="49" spans="1:60" x14ac:dyDescent="0.25">
      <c r="A49" s="1">
        <v>46093</v>
      </c>
      <c r="B49" s="33">
        <v>18.68</v>
      </c>
      <c r="C49" s="33">
        <v>23.22</v>
      </c>
      <c r="D49" s="15">
        <v>-4.8064177977208602E-3</v>
      </c>
      <c r="E49" s="15">
        <v>-4.2973852125462002E-3</v>
      </c>
      <c r="F49" s="33">
        <v>0</v>
      </c>
      <c r="G49" s="33">
        <v>0.13677</v>
      </c>
      <c r="H49" s="33">
        <v>0</v>
      </c>
      <c r="I49" s="33">
        <v>0.17596499999999901</v>
      </c>
      <c r="J49" s="33">
        <v>0.13677</v>
      </c>
      <c r="K49" s="33">
        <v>0.17596499999999901</v>
      </c>
      <c r="L49" s="33">
        <v>18.816769999999899</v>
      </c>
      <c r="M49" s="33">
        <v>23.395965</v>
      </c>
      <c r="N49" s="34">
        <v>1.2430406852248299</v>
      </c>
      <c r="O49" s="34">
        <v>1.2439394184217101</v>
      </c>
      <c r="P49" s="34">
        <v>1.2424958273261</v>
      </c>
      <c r="Q49" s="34">
        <v>1.2434466760959</v>
      </c>
      <c r="R49" s="33">
        <v>23.236788336117598</v>
      </c>
      <c r="S49" s="33">
        <v>23.220099743905799</v>
      </c>
      <c r="T49" s="33">
        <v>23.226663358624101</v>
      </c>
      <c r="U49" s="15">
        <v>7.2275064418845895E-4</v>
      </c>
      <c r="V49" s="15">
        <v>4.2955939555263397E-6</v>
      </c>
      <c r="W49" s="15">
        <v>2.8692518204825E-4</v>
      </c>
      <c r="X49" s="34">
        <v>1.24335712239667</v>
      </c>
      <c r="Y49" s="34">
        <v>1.24274983567304</v>
      </c>
      <c r="Z49" s="34">
        <v>1.24235300766586</v>
      </c>
      <c r="AA49" s="34">
        <v>1.2425391903805001</v>
      </c>
      <c r="AB49" s="33">
        <v>23.384537825397299</v>
      </c>
      <c r="AC49" s="33">
        <v>23.378654725283202</v>
      </c>
      <c r="AD49" s="33">
        <v>23.379447388517701</v>
      </c>
      <c r="AE49" s="15">
        <v>-4.8854433534177295E-4</v>
      </c>
      <c r="AF49" s="15">
        <v>-7.4015676059780398E-4</v>
      </c>
      <c r="AG49" s="15">
        <v>-7.0625190994061599E-4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1.693165125253515E-3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1.693165125253515E-3</v>
      </c>
      <c r="BH49" s="29"/>
    </row>
    <row r="50" spans="1:60" x14ac:dyDescent="0.25">
      <c r="A50" s="1">
        <v>46094</v>
      </c>
      <c r="B50" s="33">
        <v>18.68</v>
      </c>
      <c r="C50" s="33">
        <v>23.21</v>
      </c>
      <c r="D50" s="15">
        <v>0</v>
      </c>
      <c r="E50" s="15">
        <v>-4.3075598339963202E-4</v>
      </c>
      <c r="F50" s="33">
        <v>0</v>
      </c>
      <c r="G50" s="33">
        <v>0.13677</v>
      </c>
      <c r="H50" s="33">
        <v>0</v>
      </c>
      <c r="I50" s="33">
        <v>0.17596499999999901</v>
      </c>
      <c r="J50" s="33">
        <v>0.13677</v>
      </c>
      <c r="K50" s="33">
        <v>0.17596499999999901</v>
      </c>
      <c r="L50" s="33">
        <v>18.816769999999899</v>
      </c>
      <c r="M50" s="33">
        <v>23.385964999999999</v>
      </c>
      <c r="N50" s="34">
        <v>1.24250535331905</v>
      </c>
      <c r="O50" s="34">
        <v>1.2439394184217101</v>
      </c>
      <c r="P50" s="34">
        <v>1.2421033166506099</v>
      </c>
      <c r="Q50" s="34">
        <v>1.24345554164546</v>
      </c>
      <c r="R50" s="33">
        <v>23.236788336117598</v>
      </c>
      <c r="S50" s="33">
        <v>23.209822054451699</v>
      </c>
      <c r="T50" s="33">
        <v>23.227583909471502</v>
      </c>
      <c r="U50" s="15">
        <v>1.1535066275882701E-3</v>
      </c>
      <c r="V50" s="15">
        <v>-7.6667914872842305E-6</v>
      </c>
      <c r="W50" s="15">
        <v>7.5731374596349997E-4</v>
      </c>
      <c r="X50" s="34">
        <v>1.24282568155958</v>
      </c>
      <c r="Y50" s="34">
        <v>1.24274983567304</v>
      </c>
      <c r="Z50" s="34">
        <v>1.2424244786121601</v>
      </c>
      <c r="AA50" s="34">
        <v>1.2425589072202601</v>
      </c>
      <c r="AB50" s="33">
        <v>23.384537825397299</v>
      </c>
      <c r="AC50" s="33">
        <v>23.3770708040567</v>
      </c>
      <c r="AD50" s="33">
        <v>23.380574161376099</v>
      </c>
      <c r="AE50" s="15">
        <v>-6.1028832996935798E-5</v>
      </c>
      <c r="AF50" s="15">
        <v>-3.8039429637215202E-4</v>
      </c>
      <c r="AG50" s="15">
        <v>-2.3054255219299001E-4</v>
      </c>
      <c r="AI50" s="12"/>
      <c r="AJ50">
        <f t="shared" si="6"/>
        <v>0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1.693165125253515E-3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1.693165125253515E-3</v>
      </c>
      <c r="BH50" s="29"/>
    </row>
    <row r="51" spans="1:60" x14ac:dyDescent="0.25">
      <c r="A51" s="1">
        <v>46097</v>
      </c>
      <c r="B51" s="33">
        <v>18.7</v>
      </c>
      <c r="C51" s="33">
        <v>23.23</v>
      </c>
      <c r="D51" s="15">
        <v>1.0700910598443799E-3</v>
      </c>
      <c r="E51" s="15">
        <v>8.6132649597209004E-4</v>
      </c>
      <c r="F51" s="33">
        <v>0</v>
      </c>
      <c r="G51" s="33">
        <v>0.13677</v>
      </c>
      <c r="H51" s="33">
        <v>0</v>
      </c>
      <c r="I51" s="33">
        <v>0.17596499999999901</v>
      </c>
      <c r="J51" s="33">
        <v>0.13677</v>
      </c>
      <c r="K51" s="33">
        <v>0.17596499999999901</v>
      </c>
      <c r="L51" s="33">
        <v>18.836769999999898</v>
      </c>
      <c r="M51" s="33">
        <v>23.405964999999998</v>
      </c>
      <c r="N51" s="34">
        <v>1.2422459893048099</v>
      </c>
      <c r="O51" s="34">
        <v>1.2439394184217101</v>
      </c>
      <c r="P51" s="34">
        <v>1.2421625737686901</v>
      </c>
      <c r="Q51" s="34">
        <v>1.2434442277984901</v>
      </c>
      <c r="R51" s="33">
        <v>23.261667124485999</v>
      </c>
      <c r="S51" s="33">
        <v>23.227332021366401</v>
      </c>
      <c r="T51" s="33">
        <v>23.252618628770101</v>
      </c>
      <c r="U51" s="15">
        <v>1.3622711914605E-3</v>
      </c>
      <c r="V51" s="15">
        <v>-1.14857161202294E-4</v>
      </c>
      <c r="W51" s="15">
        <v>9.7320810326926297E-4</v>
      </c>
      <c r="X51" s="34">
        <v>1.24256786062578</v>
      </c>
      <c r="Y51" s="34">
        <v>1.24274983567304</v>
      </c>
      <c r="Z51" s="34">
        <v>1.24248359721204</v>
      </c>
      <c r="AA51" s="34">
        <v>1.2425585563214701</v>
      </c>
      <c r="AB51" s="33">
        <v>23.409392822110799</v>
      </c>
      <c r="AC51" s="33">
        <v>23.403264145987201</v>
      </c>
      <c r="AD51" s="33">
        <v>23.405796346759399</v>
      </c>
      <c r="AE51" s="15">
        <v>1.4644006908985299E-4</v>
      </c>
      <c r="AF51" s="15">
        <v>-1.15398354769462E-4</v>
      </c>
      <c r="AG51" s="15">
        <v>-7.2055925993546299E-6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1.693165125253515E-3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1.693165125253515E-3</v>
      </c>
      <c r="BH51" s="29"/>
    </row>
    <row r="52" spans="1:60" x14ac:dyDescent="0.25">
      <c r="A52" s="1">
        <v>46098</v>
      </c>
      <c r="B52" s="33">
        <v>18.73</v>
      </c>
      <c r="C52" s="33">
        <v>23.28</v>
      </c>
      <c r="D52" s="15">
        <v>1.6029925954563001E-3</v>
      </c>
      <c r="E52" s="15">
        <v>2.1500760809194299E-3</v>
      </c>
      <c r="F52" s="33">
        <v>0</v>
      </c>
      <c r="G52" s="33">
        <v>0.13677</v>
      </c>
      <c r="H52" s="33">
        <v>0</v>
      </c>
      <c r="I52" s="33">
        <v>0.17596499999999901</v>
      </c>
      <c r="J52" s="33">
        <v>0.13677</v>
      </c>
      <c r="K52" s="33">
        <v>0.17596499999999901</v>
      </c>
      <c r="L52" s="33">
        <v>18.866769999999999</v>
      </c>
      <c r="M52" s="33">
        <v>23.455964999999999</v>
      </c>
      <c r="N52" s="34">
        <v>1.2429257875066699</v>
      </c>
      <c r="O52" s="34">
        <v>1.2439394184217101</v>
      </c>
      <c r="P52" s="34">
        <v>1.2423428048776</v>
      </c>
      <c r="Q52" s="34">
        <v>1.24346690386162</v>
      </c>
      <c r="R52" s="33">
        <v>23.298985307038699</v>
      </c>
      <c r="S52" s="33">
        <v>23.2657050066876</v>
      </c>
      <c r="T52" s="33">
        <v>23.289710386665799</v>
      </c>
      <c r="U52" s="15">
        <v>8.1518770599742099E-4</v>
      </c>
      <c r="V52" s="15">
        <v>-6.1423470800512801E-4</v>
      </c>
      <c r="W52" s="15">
        <v>4.1702586191647402E-4</v>
      </c>
      <c r="X52" s="34">
        <v>1.2432422189913801</v>
      </c>
      <c r="Y52" s="34">
        <v>1.24274983567304</v>
      </c>
      <c r="Z52" s="34">
        <v>1.2426627644806401</v>
      </c>
      <c r="AA52" s="34">
        <v>1.2425919233409599</v>
      </c>
      <c r="AB52" s="33">
        <v>23.446675317181001</v>
      </c>
      <c r="AC52" s="33">
        <v>23.441652257372201</v>
      </c>
      <c r="AD52" s="33">
        <v>23.443066493649301</v>
      </c>
      <c r="AE52" s="15">
        <v>-3.9612622562887502E-4</v>
      </c>
      <c r="AF52" s="15">
        <v>-6.1038252726327603E-4</v>
      </c>
      <c r="AG52" s="15">
        <v>-5.5005428748098196E-4</v>
      </c>
      <c r="AI52" s="12"/>
      <c r="AJ52">
        <f t="shared" si="6"/>
        <v>0</v>
      </c>
      <c r="AK52">
        <f t="shared" si="7"/>
        <v>0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1.693165125253515E-3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1.693165125253515E-3</v>
      </c>
      <c r="BH52" s="29"/>
    </row>
    <row r="53" spans="1:60" x14ac:dyDescent="0.25">
      <c r="A53" s="1">
        <v>46099</v>
      </c>
      <c r="B53" s="33">
        <v>18.68</v>
      </c>
      <c r="C53" s="33">
        <v>23.21</v>
      </c>
      <c r="D53" s="15">
        <v>-2.67308365530057E-3</v>
      </c>
      <c r="E53" s="15">
        <v>-3.01140257689139E-3</v>
      </c>
      <c r="F53" s="33">
        <v>0</v>
      </c>
      <c r="G53" s="33">
        <v>0.13677</v>
      </c>
      <c r="H53" s="33">
        <v>0</v>
      </c>
      <c r="I53" s="33">
        <v>0.17596499999999901</v>
      </c>
      <c r="J53" s="33">
        <v>0.13677</v>
      </c>
      <c r="K53" s="33">
        <v>0.17596499999999901</v>
      </c>
      <c r="L53" s="33">
        <v>18.816769999999899</v>
      </c>
      <c r="M53" s="33">
        <v>23.385964999999999</v>
      </c>
      <c r="N53" s="34">
        <v>1.24250535331905</v>
      </c>
      <c r="O53" s="34">
        <v>1.2439394184217101</v>
      </c>
      <c r="P53" s="34">
        <v>1.2423364399971899</v>
      </c>
      <c r="Q53" s="34">
        <v>1.2434685582153699</v>
      </c>
      <c r="R53" s="33">
        <v>23.236788336117598</v>
      </c>
      <c r="S53" s="33">
        <v>23.2069635951135</v>
      </c>
      <c r="T53" s="33">
        <v>23.227961764135198</v>
      </c>
      <c r="U53" s="15">
        <v>1.1535066275882701E-3</v>
      </c>
      <c r="V53" s="15">
        <v>-1.3083168977840601E-4</v>
      </c>
      <c r="W53" s="15">
        <v>7.7358111116916997E-4</v>
      </c>
      <c r="X53" s="34">
        <v>1.24282568155958</v>
      </c>
      <c r="Y53" s="34">
        <v>1.24274983567304</v>
      </c>
      <c r="Z53" s="34">
        <v>1.24265671555372</v>
      </c>
      <c r="AA53" s="34">
        <v>1.24260446348886</v>
      </c>
      <c r="AB53" s="33">
        <v>23.384537825397299</v>
      </c>
      <c r="AC53" s="33">
        <v>23.382899426796499</v>
      </c>
      <c r="AD53" s="33">
        <v>23.3815664253645</v>
      </c>
      <c r="AE53" s="15">
        <v>-6.1028832996935798E-5</v>
      </c>
      <c r="AF53" s="15">
        <v>-1.31094617987362E-4</v>
      </c>
      <c r="AG53" s="15">
        <v>-1.8810377688623201E-4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1.693165125253515E-3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1.693165125253515E-3</v>
      </c>
      <c r="BH53" s="29"/>
    </row>
    <row r="54" spans="1:60" x14ac:dyDescent="0.25">
      <c r="A54" s="1">
        <v>46100</v>
      </c>
      <c r="B54" s="33">
        <v>18.71</v>
      </c>
      <c r="C54" s="33">
        <v>23.23</v>
      </c>
      <c r="D54" s="15">
        <v>1.6047074853018E-3</v>
      </c>
      <c r="E54" s="15">
        <v>8.6132649597209004E-4</v>
      </c>
      <c r="F54" s="33">
        <v>0</v>
      </c>
      <c r="G54" s="33">
        <v>0.13677</v>
      </c>
      <c r="H54" s="33">
        <v>0</v>
      </c>
      <c r="I54" s="33">
        <v>0.17596499999999901</v>
      </c>
      <c r="J54" s="33">
        <v>0.13677</v>
      </c>
      <c r="K54" s="33">
        <v>0.17596499999999901</v>
      </c>
      <c r="L54" s="33">
        <v>18.846769999999999</v>
      </c>
      <c r="M54" s="33">
        <v>23.405964999999998</v>
      </c>
      <c r="N54" s="34">
        <v>1.24158204168893</v>
      </c>
      <c r="O54" s="34">
        <v>1.2439394184217101</v>
      </c>
      <c r="P54" s="34">
        <v>1.2422779686482901</v>
      </c>
      <c r="Q54" s="34">
        <v>1.2434832463610701</v>
      </c>
      <c r="R54" s="33">
        <v>23.274106518670202</v>
      </c>
      <c r="S54" s="33">
        <v>23.2441147923474</v>
      </c>
      <c r="T54" s="33">
        <v>23.265296724209701</v>
      </c>
      <c r="U54" s="15">
        <v>1.8968876169179001E-3</v>
      </c>
      <c r="V54" s="15">
        <v>6.07425998085812E-4</v>
      </c>
      <c r="W54" s="15">
        <v>1.5182925361095999E-3</v>
      </c>
      <c r="X54" s="34">
        <v>1.2419085604589</v>
      </c>
      <c r="Y54" s="34">
        <v>1.24274983567304</v>
      </c>
      <c r="Z54" s="34">
        <v>1.24259887242732</v>
      </c>
      <c r="AA54" s="34">
        <v>1.2426301334655301</v>
      </c>
      <c r="AB54" s="33">
        <v>23.4218203204675</v>
      </c>
      <c r="AC54" s="33">
        <v>23.420065306996399</v>
      </c>
      <c r="AD54" s="33">
        <v>23.419080524348001</v>
      </c>
      <c r="AE54" s="15">
        <v>6.7717578206883604E-4</v>
      </c>
      <c r="AF54" s="15">
        <v>6.0224227123808496E-4</v>
      </c>
      <c r="AG54" s="15">
        <v>5.6019271499731097E-4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1.693165125253515E-3</v>
      </c>
      <c r="AT54" s="12"/>
      <c r="AU54">
        <f t="shared" si="10"/>
        <v>0</v>
      </c>
      <c r="AV54">
        <f t="shared" si="11"/>
        <v>0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1.693165125253515E-3</v>
      </c>
      <c r="BH54" s="29"/>
    </row>
    <row r="55" spans="1:60" x14ac:dyDescent="0.25">
      <c r="A55" s="1">
        <v>46101</v>
      </c>
      <c r="B55" s="33">
        <v>18.63</v>
      </c>
      <c r="C55" s="33">
        <v>23.14</v>
      </c>
      <c r="D55" s="15">
        <v>-4.28495567250127E-3</v>
      </c>
      <c r="E55" s="15">
        <v>-3.8818250167873001E-3</v>
      </c>
      <c r="F55" s="33">
        <v>0</v>
      </c>
      <c r="G55" s="33">
        <v>0.13677</v>
      </c>
      <c r="H55" s="33">
        <v>0</v>
      </c>
      <c r="I55" s="33">
        <v>0.17596499999999901</v>
      </c>
      <c r="J55" s="33">
        <v>0.13677</v>
      </c>
      <c r="K55" s="33">
        <v>0.17596499999999901</v>
      </c>
      <c r="L55" s="33">
        <v>18.766769999999902</v>
      </c>
      <c r="M55" s="33">
        <v>23.315964999999998</v>
      </c>
      <c r="N55" s="34">
        <v>1.2420826623725101</v>
      </c>
      <c r="O55" s="34">
        <v>1.2439394184217101</v>
      </c>
      <c r="P55" s="34">
        <v>1.2422566918462199</v>
      </c>
      <c r="Q55" s="34">
        <v>1.24347016723048</v>
      </c>
      <c r="R55" s="33">
        <v>23.174591365196498</v>
      </c>
      <c r="S55" s="33">
        <v>23.1436385559177</v>
      </c>
      <c r="T55" s="33">
        <v>23.166092879706699</v>
      </c>
      <c r="U55" s="15">
        <v>1.4937569612036301E-3</v>
      </c>
      <c r="V55" s="15">
        <v>1.57228603400318E-4</v>
      </c>
      <c r="W55" s="15">
        <v>1.12697404793787E-3</v>
      </c>
      <c r="X55" s="34">
        <v>1.24240692457998</v>
      </c>
      <c r="Y55" s="34">
        <v>1.24274983567304</v>
      </c>
      <c r="Z55" s="34">
        <v>1.2425780741355701</v>
      </c>
      <c r="AA55" s="34">
        <v>1.2426281161505599</v>
      </c>
      <c r="AB55" s="33">
        <v>23.3224003336137</v>
      </c>
      <c r="AC55" s="33">
        <v>23.319567241102799</v>
      </c>
      <c r="AD55" s="33">
        <v>23.320153909817002</v>
      </c>
      <c r="AE55" s="15">
        <v>2.7596737615224998E-4</v>
      </c>
      <c r="AF55" s="15">
        <v>1.54484828925135E-4</v>
      </c>
      <c r="AG55" s="15">
        <v>1.79642299842167E-4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1.693165125253515E-3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1.693165125253515E-3</v>
      </c>
      <c r="BH55" s="29"/>
    </row>
    <row r="56" spans="1:60" x14ac:dyDescent="0.25">
      <c r="A56" s="1">
        <v>46104</v>
      </c>
      <c r="B56" s="33">
        <v>18.62</v>
      </c>
      <c r="C56" s="33">
        <v>23.21</v>
      </c>
      <c r="D56" s="15">
        <v>-5.3691276457596803E-4</v>
      </c>
      <c r="E56" s="15">
        <v>3.0204985208151301E-3</v>
      </c>
      <c r="F56" s="33">
        <v>6.7580000000000001E-2</v>
      </c>
      <c r="G56" s="33">
        <v>0.20435</v>
      </c>
      <c r="H56" s="33">
        <v>0</v>
      </c>
      <c r="I56" s="33">
        <v>0.17596499999999901</v>
      </c>
      <c r="J56" s="33">
        <v>0.20435</v>
      </c>
      <c r="K56" s="33">
        <v>0.17596499999999901</v>
      </c>
      <c r="L56" s="33">
        <v>18.824349999999999</v>
      </c>
      <c r="M56" s="33">
        <v>23.385964999999999</v>
      </c>
      <c r="N56" s="34">
        <v>1.24650912996777</v>
      </c>
      <c r="O56" s="34">
        <v>1.2439394184217101</v>
      </c>
      <c r="P56" s="34">
        <v>1.2427037831869501</v>
      </c>
      <c r="Q56" s="34">
        <v>1.24343458614285</v>
      </c>
      <c r="R56" s="33">
        <v>23.1621519710123</v>
      </c>
      <c r="S56" s="33">
        <v>23.1308196021767</v>
      </c>
      <c r="T56" s="33">
        <v>23.153414513831699</v>
      </c>
      <c r="U56" s="15">
        <v>-2.0636543241873201E-3</v>
      </c>
      <c r="V56" s="15">
        <v>-3.4173100760309899E-3</v>
      </c>
      <c r="W56" s="15">
        <v>-2.4409554325353399E-3</v>
      </c>
      <c r="X56" s="34">
        <v>1.2423252330093699</v>
      </c>
      <c r="Y56" s="34">
        <v>1.24274983567304</v>
      </c>
      <c r="Z56" s="34">
        <v>1.24257467636037</v>
      </c>
      <c r="AA56" s="34">
        <v>1.2425998256778901</v>
      </c>
      <c r="AB56" s="33">
        <v>23.393957869151699</v>
      </c>
      <c r="AC56" s="33">
        <v>23.390724569854001</v>
      </c>
      <c r="AD56" s="33">
        <v>23.391666578258899</v>
      </c>
      <c r="AE56" s="15">
        <v>3.4172220642290099E-4</v>
      </c>
      <c r="AF56" s="15">
        <v>2.0350178322842599E-4</v>
      </c>
      <c r="AG56" s="15">
        <v>2.43773705287647E-4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1.693165125253515E-3</v>
      </c>
      <c r="AT56" s="12"/>
      <c r="AU56">
        <f t="shared" si="10"/>
        <v>0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1.693165125253515E-3</v>
      </c>
      <c r="BH56" s="29"/>
    </row>
    <row r="57" spans="1:60" x14ac:dyDescent="0.25">
      <c r="A57" s="1">
        <v>46105</v>
      </c>
      <c r="B57" s="33">
        <v>18.57</v>
      </c>
      <c r="C57" s="33">
        <v>23.16</v>
      </c>
      <c r="D57" s="15">
        <v>-2.68889648430665E-3</v>
      </c>
      <c r="E57" s="15">
        <v>-2.1565675815512601E-3</v>
      </c>
      <c r="F57" s="33">
        <v>0</v>
      </c>
      <c r="G57" s="33">
        <v>0.20435</v>
      </c>
      <c r="H57" s="33">
        <v>0</v>
      </c>
      <c r="I57" s="33">
        <v>0.17596499999999901</v>
      </c>
      <c r="J57" s="33">
        <v>0.20435</v>
      </c>
      <c r="K57" s="33">
        <v>0.17596499999999901</v>
      </c>
      <c r="L57" s="33">
        <v>18.774349999999998</v>
      </c>
      <c r="M57" s="33">
        <v>23.335965000000002</v>
      </c>
      <c r="N57" s="34">
        <v>1.2471728594507201</v>
      </c>
      <c r="O57" s="34">
        <v>1.2439394184217101</v>
      </c>
      <c r="P57" s="34">
        <v>1.24329779601831</v>
      </c>
      <c r="Q57" s="34">
        <v>1.2434256443696201</v>
      </c>
      <c r="R57" s="33">
        <v>23.0999550000912</v>
      </c>
      <c r="S57" s="33">
        <v>23.0770092537817</v>
      </c>
      <c r="T57" s="33">
        <v>23.090580264672798</v>
      </c>
      <c r="U57" s="15">
        <v>-2.59598322694268E-3</v>
      </c>
      <c r="V57" s="15">
        <v>-3.58980118656163E-3</v>
      </c>
      <c r="W57" s="15">
        <v>-3.0018990923212298E-3</v>
      </c>
      <c r="X57" s="34">
        <v>1.2429705955199499</v>
      </c>
      <c r="Y57" s="34">
        <v>1.24274983567304</v>
      </c>
      <c r="Z57" s="34">
        <v>1.24271574836808</v>
      </c>
      <c r="AA57" s="34">
        <v>1.2425974170978999</v>
      </c>
      <c r="AB57" s="33">
        <v>23.3318203773681</v>
      </c>
      <c r="AC57" s="33">
        <v>23.328531875126401</v>
      </c>
      <c r="AD57" s="33">
        <v>23.3290040372158</v>
      </c>
      <c r="AE57" s="15">
        <v>-1.7762242665875599E-4</v>
      </c>
      <c r="AF57" s="15">
        <v>-3.1857730969591801E-4</v>
      </c>
      <c r="AG57" s="15">
        <v>-2.9833783154285402E-4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1.693165125253515E-3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1.693165125253515E-3</v>
      </c>
      <c r="BH57" s="29"/>
    </row>
    <row r="58" spans="1:60" x14ac:dyDescent="0.25">
      <c r="A58" s="1">
        <v>46106</v>
      </c>
      <c r="B58" s="33">
        <v>18.59</v>
      </c>
      <c r="C58" s="33">
        <v>23.18</v>
      </c>
      <c r="D58" s="15">
        <v>1.0764263687381901E-3</v>
      </c>
      <c r="E58" s="15">
        <v>8.63185206811085E-4</v>
      </c>
      <c r="F58" s="33">
        <v>0</v>
      </c>
      <c r="G58" s="33">
        <v>0.20435</v>
      </c>
      <c r="H58" s="33">
        <v>0</v>
      </c>
      <c r="I58" s="33">
        <v>0.17596499999999901</v>
      </c>
      <c r="J58" s="33">
        <v>0.20435</v>
      </c>
      <c r="K58" s="33">
        <v>0.17596499999999901</v>
      </c>
      <c r="L58" s="33">
        <v>18.794350000000001</v>
      </c>
      <c r="M58" s="33">
        <v>23.355965000000001</v>
      </c>
      <c r="N58" s="34">
        <v>1.2469069392146299</v>
      </c>
      <c r="O58" s="34">
        <v>1.2439394184217101</v>
      </c>
      <c r="P58" s="34">
        <v>1.2437476801369001</v>
      </c>
      <c r="Q58" s="34">
        <v>1.24339685248563</v>
      </c>
      <c r="R58" s="33">
        <v>23.1248337884596</v>
      </c>
      <c r="S58" s="33">
        <v>23.1129060279805</v>
      </c>
      <c r="T58" s="33">
        <v>23.1152827288313</v>
      </c>
      <c r="U58" s="15">
        <v>-2.38274206501573E-3</v>
      </c>
      <c r="V58" s="15">
        <v>-2.8986738900179201E-3</v>
      </c>
      <c r="W58" s="15">
        <v>-2.7958491453382501E-3</v>
      </c>
      <c r="X58" s="34">
        <v>1.2427120384583601</v>
      </c>
      <c r="Y58" s="34">
        <v>1.24274983567304</v>
      </c>
      <c r="Z58" s="34">
        <v>1.2427141917159501</v>
      </c>
      <c r="AA58" s="34">
        <v>1.24257568771203</v>
      </c>
      <c r="AB58" s="33">
        <v>23.3566753740816</v>
      </c>
      <c r="AC58" s="33">
        <v>23.356034725341601</v>
      </c>
      <c r="AD58" s="33">
        <v>23.353810766034002</v>
      </c>
      <c r="AE58" s="15">
        <v>3.04146404898424E-5</v>
      </c>
      <c r="AF58" s="15">
        <v>2.9853289124115698E-6</v>
      </c>
      <c r="AG58" s="15">
        <v>-9.2239105503751903E-5</v>
      </c>
      <c r="AI58" s="12"/>
      <c r="AJ58">
        <f t="shared" si="6"/>
        <v>0</v>
      </c>
      <c r="AK58">
        <f t="shared" si="7"/>
        <v>1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1.693165125253515E-3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1.693165125253515E-3</v>
      </c>
      <c r="BH58" s="29"/>
    </row>
    <row r="59" spans="1:60" x14ac:dyDescent="0.25">
      <c r="A59" s="1">
        <v>46107</v>
      </c>
      <c r="B59" s="33">
        <v>18.53</v>
      </c>
      <c r="C59" s="33">
        <v>23.11</v>
      </c>
      <c r="D59" s="15">
        <v>-3.2327614360842102E-3</v>
      </c>
      <c r="E59" s="15">
        <v>-3.02441362531635E-3</v>
      </c>
      <c r="F59" s="33">
        <v>0</v>
      </c>
      <c r="G59" s="33">
        <v>0.20435</v>
      </c>
      <c r="H59" s="33">
        <v>0</v>
      </c>
      <c r="I59" s="33">
        <v>0.17596499999999901</v>
      </c>
      <c r="J59" s="33">
        <v>0.20435</v>
      </c>
      <c r="K59" s="33">
        <v>0.17596499999999901</v>
      </c>
      <c r="L59" s="33">
        <v>18.734349999999999</v>
      </c>
      <c r="M59" s="33">
        <v>23.285965000000001</v>
      </c>
      <c r="N59" s="34">
        <v>1.2471667566108999</v>
      </c>
      <c r="O59" s="34">
        <v>1.2439394184217101</v>
      </c>
      <c r="P59" s="34">
        <v>1.2441602872755</v>
      </c>
      <c r="Q59" s="34">
        <v>1.2433280573008001</v>
      </c>
      <c r="R59" s="33">
        <v>23.050197423354302</v>
      </c>
      <c r="S59" s="33">
        <v>23.046644512936801</v>
      </c>
      <c r="T59" s="33">
        <v>23.040143676558699</v>
      </c>
      <c r="U59" s="15">
        <v>-2.5910898757836201E-3</v>
      </c>
      <c r="V59" s="15">
        <v>-2.7452397166553601E-3</v>
      </c>
      <c r="W59" s="15">
        <v>-3.0273525162902199E-3</v>
      </c>
      <c r="X59" s="34">
        <v>1.2429555869298901</v>
      </c>
      <c r="Y59" s="34">
        <v>1.24274983567304</v>
      </c>
      <c r="Z59" s="34">
        <v>1.24267403816928</v>
      </c>
      <c r="AA59" s="34">
        <v>1.2425135229175699</v>
      </c>
      <c r="AB59" s="33">
        <v>23.282110383941198</v>
      </c>
      <c r="AC59" s="33">
        <v>23.281442617573799</v>
      </c>
      <c r="AD59" s="33">
        <v>23.278847835087898</v>
      </c>
      <c r="AE59" s="15">
        <v>-1.65547578928474E-4</v>
      </c>
      <c r="AF59" s="15">
        <v>-1.9422951251512699E-4</v>
      </c>
      <c r="AG59" s="15">
        <v>-3.0568854609909003E-4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1.693165125253515E-3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1.693165125253515E-3</v>
      </c>
      <c r="BH59" s="29"/>
    </row>
    <row r="60" spans="1:60" x14ac:dyDescent="0.25">
      <c r="A60" s="1">
        <v>46108</v>
      </c>
      <c r="B60" s="33">
        <v>18.55</v>
      </c>
      <c r="C60" s="33">
        <v>23.14</v>
      </c>
      <c r="D60" s="15">
        <v>1.0787487561756E-3</v>
      </c>
      <c r="E60" s="15">
        <v>1.2972974792411201E-3</v>
      </c>
      <c r="F60" s="33">
        <v>0</v>
      </c>
      <c r="G60" s="33">
        <v>0.20435</v>
      </c>
      <c r="H60" s="33">
        <v>0</v>
      </c>
      <c r="I60" s="33">
        <v>0.17596499999999901</v>
      </c>
      <c r="J60" s="33">
        <v>0.20435</v>
      </c>
      <c r="K60" s="33">
        <v>0.17596499999999901</v>
      </c>
      <c r="L60" s="33">
        <v>18.754349999999999</v>
      </c>
      <c r="M60" s="33">
        <v>23.315964999999998</v>
      </c>
      <c r="N60" s="34">
        <v>1.2474393530997301</v>
      </c>
      <c r="O60" s="34">
        <v>1.2439394184217101</v>
      </c>
      <c r="P60" s="34">
        <v>1.2446536872535701</v>
      </c>
      <c r="Q60" s="34">
        <v>1.24337850195209</v>
      </c>
      <c r="R60" s="33">
        <v>23.075076211722799</v>
      </c>
      <c r="S60" s="33">
        <v>23.0791733289607</v>
      </c>
      <c r="T60" s="33">
        <v>23.063735462930001</v>
      </c>
      <c r="U60" s="15">
        <v>-2.80963859884903E-3</v>
      </c>
      <c r="V60" s="15">
        <v>-2.6320984031167798E-3</v>
      </c>
      <c r="W60" s="15">
        <v>-3.3012311912696702E-3</v>
      </c>
      <c r="X60" s="34">
        <v>1.24322970404199</v>
      </c>
      <c r="Y60" s="34">
        <v>1.24274983567304</v>
      </c>
      <c r="Z60" s="34">
        <v>1.2427144404175201</v>
      </c>
      <c r="AA60" s="34">
        <v>1.24256945951484</v>
      </c>
      <c r="AB60" s="33">
        <v>23.306965380654599</v>
      </c>
      <c r="AC60" s="33">
        <v>23.305543847740001</v>
      </c>
      <c r="AD60" s="33">
        <v>23.3025334885291</v>
      </c>
      <c r="AE60" s="15">
        <v>-3.8605979433807699E-4</v>
      </c>
      <c r="AF60" s="15">
        <v>-4.4705341766301999E-4</v>
      </c>
      <c r="AG60" s="15">
        <v>-5.7623099318717102E-4</v>
      </c>
      <c r="AI60" s="12"/>
      <c r="AJ60">
        <f t="shared" si="6"/>
        <v>0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1.693165125253515E-3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1.693165125253515E-3</v>
      </c>
      <c r="BH60" s="29"/>
    </row>
    <row r="61" spans="1:60" x14ac:dyDescent="0.25">
      <c r="A61" s="1">
        <v>46111</v>
      </c>
      <c r="B61" s="33">
        <v>18.600000000000001</v>
      </c>
      <c r="C61" s="33">
        <v>23.19</v>
      </c>
      <c r="D61" s="15">
        <v>2.69179166571135E-3</v>
      </c>
      <c r="E61" s="15">
        <v>2.15842950190985E-3</v>
      </c>
      <c r="F61" s="33">
        <v>0</v>
      </c>
      <c r="G61" s="33">
        <v>0.20435</v>
      </c>
      <c r="H61" s="33">
        <v>0</v>
      </c>
      <c r="I61" s="33">
        <v>0.17596499999999901</v>
      </c>
      <c r="J61" s="33">
        <v>0.20435</v>
      </c>
      <c r="K61" s="33">
        <v>0.17596499999999901</v>
      </c>
      <c r="L61" s="33">
        <v>18.804349999999999</v>
      </c>
      <c r="M61" s="33">
        <v>23.365964999999999</v>
      </c>
      <c r="N61" s="34">
        <v>1.24677419354838</v>
      </c>
      <c r="O61" s="34">
        <v>1.2439394184217101</v>
      </c>
      <c r="P61" s="34">
        <v>1.24510650767793</v>
      </c>
      <c r="Q61" s="34">
        <v>1.24363454072331</v>
      </c>
      <c r="R61" s="33">
        <v>23.137273182643799</v>
      </c>
      <c r="S61" s="33">
        <v>23.150558582916499</v>
      </c>
      <c r="T61" s="33">
        <v>23.1268401363089</v>
      </c>
      <c r="U61" s="15">
        <v>-2.2762764350473899E-3</v>
      </c>
      <c r="V61" s="15">
        <v>-1.7022421746074399E-3</v>
      </c>
      <c r="W61" s="15">
        <v>-2.7272975727430102E-3</v>
      </c>
      <c r="X61" s="34">
        <v>1.24258296617537</v>
      </c>
      <c r="Y61" s="34">
        <v>1.24274983567304</v>
      </c>
      <c r="Z61" s="34">
        <v>1.2427159509724801</v>
      </c>
      <c r="AA61" s="34">
        <v>1.2425997740922601</v>
      </c>
      <c r="AB61" s="33">
        <v>23.369102872438301</v>
      </c>
      <c r="AC61" s="33">
        <v>23.368437287665198</v>
      </c>
      <c r="AD61" s="33">
        <v>23.365711016027898</v>
      </c>
      <c r="AE61" s="15">
        <v>1.3428342295814601E-4</v>
      </c>
      <c r="AF61" s="15">
        <v>1.05801617075414E-4</v>
      </c>
      <c r="AG61" s="15">
        <v>-1.0869884999007701E-5</v>
      </c>
      <c r="AI61" s="12"/>
      <c r="AJ61">
        <f t="shared" si="6"/>
        <v>0</v>
      </c>
      <c r="AK61">
        <f t="shared" si="7"/>
        <v>1</v>
      </c>
      <c r="AL61">
        <f t="shared" si="14"/>
        <v>0</v>
      </c>
      <c r="AM61">
        <f t="shared" si="4"/>
        <v>1</v>
      </c>
      <c r="AN61">
        <f t="shared" si="15"/>
        <v>0</v>
      </c>
      <c r="AO61" s="28">
        <f t="shared" si="8"/>
        <v>0</v>
      </c>
      <c r="AP61" s="28">
        <f t="shared" si="9"/>
        <v>0</v>
      </c>
      <c r="AQ61" s="28">
        <f t="shared" si="16"/>
        <v>0</v>
      </c>
      <c r="AR61" s="29">
        <f t="shared" si="17"/>
        <v>1.693165125253515E-3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0</v>
      </c>
      <c r="BF61" s="29">
        <f t="shared" si="23"/>
        <v>1.693165125253515E-3</v>
      </c>
      <c r="BH61" s="29"/>
    </row>
    <row r="62" spans="1:60" x14ac:dyDescent="0.25">
      <c r="A62" s="1">
        <v>46112</v>
      </c>
      <c r="B62" s="33">
        <v>18.66</v>
      </c>
      <c r="C62" s="33">
        <v>23.26</v>
      </c>
      <c r="D62" s="15">
        <v>3.2206147000421498E-3</v>
      </c>
      <c r="E62" s="15">
        <v>3.01399582307819E-3</v>
      </c>
      <c r="F62" s="33">
        <v>0</v>
      </c>
      <c r="G62" s="33">
        <v>0.20435</v>
      </c>
      <c r="H62" s="33">
        <v>0</v>
      </c>
      <c r="I62" s="33">
        <v>0.17596499999999901</v>
      </c>
      <c r="J62" s="33">
        <v>0.20435</v>
      </c>
      <c r="K62" s="33">
        <v>0.17596499999999901</v>
      </c>
      <c r="L62" s="33">
        <v>18.864350000000002</v>
      </c>
      <c r="M62" s="33">
        <v>23.435964999999999</v>
      </c>
      <c r="N62" s="34">
        <v>1.2465166130760901</v>
      </c>
      <c r="O62" s="34">
        <v>1.2439394184217101</v>
      </c>
      <c r="P62" s="34">
        <v>1.2454655902348699</v>
      </c>
      <c r="Q62" s="34">
        <v>1.2439041975562299</v>
      </c>
      <c r="R62" s="33">
        <v>23.211909547749102</v>
      </c>
      <c r="S62" s="33">
        <v>23.233687433270202</v>
      </c>
      <c r="T62" s="33">
        <v>23.206220529896999</v>
      </c>
      <c r="U62" s="15">
        <v>-2.0696575580833698E-3</v>
      </c>
      <c r="V62" s="15">
        <v>-1.1318770780099499E-3</v>
      </c>
      <c r="W62" s="15">
        <v>-2.3147780690187798E-3</v>
      </c>
      <c r="X62" s="34">
        <v>1.24234150659842</v>
      </c>
      <c r="Y62" s="34">
        <v>1.24274983567304</v>
      </c>
      <c r="Z62" s="34">
        <v>1.2426258797331799</v>
      </c>
      <c r="AA62" s="34">
        <v>1.2426443221069099</v>
      </c>
      <c r="AB62" s="33">
        <v>23.4436678625787</v>
      </c>
      <c r="AC62" s="33">
        <v>23.443028649727701</v>
      </c>
      <c r="AD62" s="33">
        <v>23.440837048397299</v>
      </c>
      <c r="AE62" s="15">
        <v>3.2862299372567801E-4</v>
      </c>
      <c r="AF62" s="15">
        <v>3.0135671571655299E-4</v>
      </c>
      <c r="AG62" s="15">
        <v>2.0786607456259201E-4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1.693165125253515E-3</v>
      </c>
      <c r="AT62" s="12"/>
      <c r="AU62">
        <f t="shared" si="10"/>
        <v>0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1.693165125253515E-3</v>
      </c>
      <c r="BH62" s="29"/>
    </row>
    <row r="63" spans="1:60" x14ac:dyDescent="0.25">
      <c r="A63" s="1">
        <v>46113</v>
      </c>
      <c r="B63" s="33">
        <v>18.66</v>
      </c>
      <c r="C63" s="33">
        <v>23.18</v>
      </c>
      <c r="D63" s="15">
        <v>0</v>
      </c>
      <c r="E63" s="15">
        <v>-3.4453091789128001E-3</v>
      </c>
      <c r="F63" s="33">
        <v>0</v>
      </c>
      <c r="G63" s="33">
        <v>0.20435</v>
      </c>
      <c r="H63" s="33">
        <v>8.8961999999999999E-2</v>
      </c>
      <c r="I63" s="33">
        <v>0.26492699999999902</v>
      </c>
      <c r="J63" s="33">
        <v>0.20435</v>
      </c>
      <c r="K63" s="33">
        <v>0.26492699999999902</v>
      </c>
      <c r="L63" s="33">
        <v>18.864350000000002</v>
      </c>
      <c r="M63" s="33">
        <v>23.444927</v>
      </c>
      <c r="N63" s="34">
        <v>1.2422293676312901</v>
      </c>
      <c r="O63" s="34">
        <v>1.2439394184217101</v>
      </c>
      <c r="P63" s="34">
        <v>1.2454379916661</v>
      </c>
      <c r="Q63" s="34">
        <v>1.2438872158316401</v>
      </c>
      <c r="R63" s="33">
        <v>23.211909547749102</v>
      </c>
      <c r="S63" s="33">
        <v>23.240387913782701</v>
      </c>
      <c r="T63" s="33">
        <v>23.2112523263994</v>
      </c>
      <c r="U63" s="15">
        <v>1.37565162082936E-3</v>
      </c>
      <c r="V63" s="15">
        <v>2.6017855757783899E-3</v>
      </c>
      <c r="W63" s="15">
        <v>1.3473372482924501E-3</v>
      </c>
      <c r="X63" s="34">
        <v>1.24281658260157</v>
      </c>
      <c r="Y63" s="34">
        <v>1.24274983567304</v>
      </c>
      <c r="Z63" s="34">
        <v>1.2426249698373799</v>
      </c>
      <c r="AA63" s="34">
        <v>1.24264084269555</v>
      </c>
      <c r="AB63" s="33">
        <v>23.4436678625787</v>
      </c>
      <c r="AC63" s="33">
        <v>23.441329514344702</v>
      </c>
      <c r="AD63" s="33">
        <v>23.441677417737601</v>
      </c>
      <c r="AE63" s="15">
        <v>-5.3707620169838497E-5</v>
      </c>
      <c r="AF63" s="15">
        <v>-1.5345587085738299E-4</v>
      </c>
      <c r="AG63" s="15">
        <v>-1.38614527877906E-4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1.693165125253515E-3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1.693165125253515E-3</v>
      </c>
      <c r="BH63" s="29"/>
    </row>
    <row r="64" spans="1:60" x14ac:dyDescent="0.25">
      <c r="A64" s="1">
        <v>46114</v>
      </c>
      <c r="B64" s="33">
        <v>18.68</v>
      </c>
      <c r="C64" s="33">
        <v>23.2</v>
      </c>
      <c r="D64" s="15">
        <v>1.0712373814988499E-3</v>
      </c>
      <c r="E64" s="15">
        <v>8.6244076065870401E-4</v>
      </c>
      <c r="F64" s="33">
        <v>0</v>
      </c>
      <c r="G64" s="33">
        <v>0.20435</v>
      </c>
      <c r="H64" s="33">
        <v>0</v>
      </c>
      <c r="I64" s="33">
        <v>0.26492699999999902</v>
      </c>
      <c r="J64" s="33">
        <v>0.20435</v>
      </c>
      <c r="K64" s="33">
        <v>0.26492699999999902</v>
      </c>
      <c r="L64" s="33">
        <v>18.884350000000001</v>
      </c>
      <c r="M64" s="33">
        <v>23.464926999999999</v>
      </c>
      <c r="N64" s="34">
        <v>1.2419700214132701</v>
      </c>
      <c r="O64" s="34">
        <v>1.2439394184217101</v>
      </c>
      <c r="P64" s="34">
        <v>1.2454767896385299</v>
      </c>
      <c r="Q64" s="34">
        <v>1.2438773791434099</v>
      </c>
      <c r="R64" s="33">
        <v>23.236788336117598</v>
      </c>
      <c r="S64" s="33">
        <v>23.264781684322699</v>
      </c>
      <c r="T64" s="33">
        <v>23.235813191735101</v>
      </c>
      <c r="U64" s="15">
        <v>1.58444824166973E-3</v>
      </c>
      <c r="V64" s="15">
        <v>2.7884227128250798E-3</v>
      </c>
      <c r="W64" s="15">
        <v>1.54248182057154E-3</v>
      </c>
      <c r="X64" s="34">
        <v>1.2425594208961299</v>
      </c>
      <c r="Y64" s="34">
        <v>1.24274983567304</v>
      </c>
      <c r="Z64" s="34">
        <v>1.2426900558811</v>
      </c>
      <c r="AA64" s="34">
        <v>1.24264446415421</v>
      </c>
      <c r="AB64" s="33">
        <v>23.468522859292101</v>
      </c>
      <c r="AC64" s="33">
        <v>23.466164849148601</v>
      </c>
      <c r="AD64" s="33">
        <v>23.4664645977577</v>
      </c>
      <c r="AE64" s="15">
        <v>1.5323226014673201E-4</v>
      </c>
      <c r="AF64" s="15">
        <v>5.2751772870988301E-5</v>
      </c>
      <c r="AG64" s="15">
        <v>6.5525342674121806E-5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1.693165125253515E-3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1.693165125253515E-3</v>
      </c>
      <c r="BH64" s="29"/>
    </row>
    <row r="65" spans="1:60" x14ac:dyDescent="0.25">
      <c r="A65" s="1">
        <v>46118</v>
      </c>
      <c r="B65" s="33">
        <v>18.66</v>
      </c>
      <c r="C65" s="33">
        <v>23.17</v>
      </c>
      <c r="D65" s="15">
        <v>-1.0712373814988001E-3</v>
      </c>
      <c r="E65" s="15">
        <v>-1.2939402279792799E-3</v>
      </c>
      <c r="F65" s="33">
        <v>0</v>
      </c>
      <c r="G65" s="33">
        <v>0.20435</v>
      </c>
      <c r="H65" s="33">
        <v>0</v>
      </c>
      <c r="I65" s="33">
        <v>0.26492699999999902</v>
      </c>
      <c r="J65" s="33">
        <v>0.20435</v>
      </c>
      <c r="K65" s="33">
        <v>0.26492699999999902</v>
      </c>
      <c r="L65" s="33">
        <v>18.864350000000002</v>
      </c>
      <c r="M65" s="33">
        <v>23.434926999999998</v>
      </c>
      <c r="N65" s="34">
        <v>1.2416934619506901</v>
      </c>
      <c r="O65" s="34">
        <v>1.2439394184217101</v>
      </c>
      <c r="P65" s="34">
        <v>1.2454378695963499</v>
      </c>
      <c r="Q65" s="34">
        <v>1.2438472807212799</v>
      </c>
      <c r="R65" s="33">
        <v>23.211909547749102</v>
      </c>
      <c r="S65" s="33">
        <v>23.240596894654999</v>
      </c>
      <c r="T65" s="33">
        <v>23.210751894816099</v>
      </c>
      <c r="U65" s="15">
        <v>1.8071510881501199E-3</v>
      </c>
      <c r="V65" s="15">
        <v>3.0422771448420801E-3</v>
      </c>
      <c r="W65" s="15">
        <v>1.7572766131701801E-3</v>
      </c>
      <c r="X65" s="34">
        <v>1.24228648217404</v>
      </c>
      <c r="Y65" s="34">
        <v>1.24274983567304</v>
      </c>
      <c r="Z65" s="34">
        <v>1.2426780116405101</v>
      </c>
      <c r="AA65" s="34">
        <v>1.2426280428880401</v>
      </c>
      <c r="AB65" s="33">
        <v>23.4436678625787</v>
      </c>
      <c r="AC65" s="33">
        <v>23.442540155660701</v>
      </c>
      <c r="AD65" s="33">
        <v>23.441680097367499</v>
      </c>
      <c r="AE65" s="15">
        <v>3.7291487535550598E-4</v>
      </c>
      <c r="AF65" s="15">
        <v>3.24810882057392E-4</v>
      </c>
      <c r="AG65" s="15">
        <v>2.8812227814433501E-4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1.693165125253515E-3</v>
      </c>
      <c r="AT65" s="12"/>
      <c r="AU65">
        <f t="shared" si="10"/>
        <v>0</v>
      </c>
      <c r="AV65">
        <f t="shared" si="11"/>
        <v>0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1.693165125253515E-3</v>
      </c>
      <c r="BH65" s="29"/>
    </row>
    <row r="66" spans="1:60" x14ac:dyDescent="0.25">
      <c r="A66" s="1">
        <v>46119</v>
      </c>
      <c r="B66" s="33">
        <v>18.690000000000001</v>
      </c>
      <c r="C66" s="33">
        <v>23.2</v>
      </c>
      <c r="D66" s="15">
        <v>1.6064260482737899E-3</v>
      </c>
      <c r="E66" s="15">
        <v>1.2939402279792799E-3</v>
      </c>
      <c r="F66" s="33">
        <v>0</v>
      </c>
      <c r="G66" s="33">
        <v>0.20435</v>
      </c>
      <c r="H66" s="33">
        <v>0</v>
      </c>
      <c r="I66" s="33">
        <v>0.26492699999999902</v>
      </c>
      <c r="J66" s="33">
        <v>0.20435</v>
      </c>
      <c r="K66" s="33">
        <v>0.26492699999999902</v>
      </c>
      <c r="L66" s="33">
        <v>18.894349999999999</v>
      </c>
      <c r="M66" s="33">
        <v>23.464926999999999</v>
      </c>
      <c r="N66" s="34">
        <v>1.2413055109684299</v>
      </c>
      <c r="O66" s="34">
        <v>1.2439394184217101</v>
      </c>
      <c r="P66" s="34">
        <v>1.2449175076964101</v>
      </c>
      <c r="Q66" s="34">
        <v>1.24381064544168</v>
      </c>
      <c r="R66" s="33">
        <v>23.249227730301801</v>
      </c>
      <c r="S66" s="33">
        <v>23.2772337827558</v>
      </c>
      <c r="T66" s="33">
        <v>23.247505676680898</v>
      </c>
      <c r="U66" s="15">
        <v>2.1196369084444202E-3</v>
      </c>
      <c r="V66" s="15">
        <v>3.3235133660858098E-3</v>
      </c>
      <c r="W66" s="15">
        <v>2.0455648824958999E-3</v>
      </c>
      <c r="X66" s="34">
        <v>1.2419017854543799</v>
      </c>
      <c r="Y66" s="34">
        <v>1.24274983567304</v>
      </c>
      <c r="Z66" s="34">
        <v>1.24263566688501</v>
      </c>
      <c r="AA66" s="34">
        <v>1.24260517162269</v>
      </c>
      <c r="AB66" s="33">
        <v>23.480950357648901</v>
      </c>
      <c r="AC66" s="33">
        <v>23.479593289239901</v>
      </c>
      <c r="AD66" s="33">
        <v>23.4786491621417</v>
      </c>
      <c r="AE66" s="15">
        <v>6.8263111365713595E-4</v>
      </c>
      <c r="AF66" s="15">
        <v>6.2483500211558301E-4</v>
      </c>
      <c r="AG66" s="15">
        <v>5.8462365479786701E-4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1.693165125253515E-3</v>
      </c>
      <c r="AT66" s="12"/>
      <c r="AU66">
        <f t="shared" si="10"/>
        <v>0</v>
      </c>
      <c r="AV66">
        <f t="shared" si="11"/>
        <v>0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1.693165125253515E-3</v>
      </c>
      <c r="BH66" s="29"/>
    </row>
    <row r="67" spans="1:60" x14ac:dyDescent="0.25">
      <c r="A67" s="1">
        <v>46120</v>
      </c>
      <c r="B67" s="33">
        <v>18.72</v>
      </c>
      <c r="C67" s="33">
        <v>23.25</v>
      </c>
      <c r="D67" s="15">
        <v>1.60384958197439E-3</v>
      </c>
      <c r="E67" s="15">
        <v>2.1528533611010901E-3</v>
      </c>
      <c r="F67" s="33">
        <v>0</v>
      </c>
      <c r="G67" s="33">
        <v>0.20435</v>
      </c>
      <c r="H67" s="33">
        <v>0</v>
      </c>
      <c r="I67" s="33">
        <v>0.26492699999999902</v>
      </c>
      <c r="J67" s="33">
        <v>0.20435</v>
      </c>
      <c r="K67" s="33">
        <v>0.26492699999999902</v>
      </c>
      <c r="L67" s="33">
        <v>18.92435</v>
      </c>
      <c r="M67" s="33">
        <v>23.514927</v>
      </c>
      <c r="N67" s="34">
        <v>1.24198717948717</v>
      </c>
      <c r="O67" s="34">
        <v>1.2439394184217101</v>
      </c>
      <c r="P67" s="34">
        <v>1.2443989397000601</v>
      </c>
      <c r="Q67" s="34">
        <v>1.2438483678591801</v>
      </c>
      <c r="R67" s="33">
        <v>23.2865459128544</v>
      </c>
      <c r="S67" s="33">
        <v>23.3048557440769</v>
      </c>
      <c r="T67" s="33">
        <v>23.284135282668299</v>
      </c>
      <c r="U67" s="15">
        <v>1.57063312931783E-3</v>
      </c>
      <c r="V67" s="15">
        <v>2.35660785915598E-3</v>
      </c>
      <c r="W67" s="15">
        <v>1.46710747212719E-3</v>
      </c>
      <c r="X67" s="34">
        <v>1.2425751478914699</v>
      </c>
      <c r="Y67" s="34">
        <v>1.24274983567304</v>
      </c>
      <c r="Z67" s="34">
        <v>1.24259612212216</v>
      </c>
      <c r="AA67" s="34">
        <v>1.2426559352451201</v>
      </c>
      <c r="AB67" s="33">
        <v>23.518232852718999</v>
      </c>
      <c r="AC67" s="33">
        <v>23.516072282615401</v>
      </c>
      <c r="AD67" s="33">
        <v>23.515495179597899</v>
      </c>
      <c r="AE67" s="15">
        <v>1.40575404029424E-4</v>
      </c>
      <c r="AF67" s="15">
        <v>4.8703307738915403E-5</v>
      </c>
      <c r="AG67" s="15">
        <v>2.41622155055358E-5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1.693165125253515E-3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1.693165125253515E-3</v>
      </c>
      <c r="BH67" s="29"/>
    </row>
    <row r="68" spans="1:60" x14ac:dyDescent="0.25">
      <c r="A68" s="1">
        <v>46121</v>
      </c>
      <c r="B68" s="33">
        <v>18.72</v>
      </c>
      <c r="C68" s="33">
        <v>23.25</v>
      </c>
      <c r="D68" s="15">
        <v>0</v>
      </c>
      <c r="E68" s="15">
        <v>0</v>
      </c>
      <c r="F68" s="33">
        <v>0</v>
      </c>
      <c r="G68" s="33">
        <v>0.20435</v>
      </c>
      <c r="H68" s="33">
        <v>0</v>
      </c>
      <c r="I68" s="33">
        <v>0.26492699999999902</v>
      </c>
      <c r="J68" s="33">
        <v>0.20435</v>
      </c>
      <c r="K68" s="33">
        <v>0.26492699999999902</v>
      </c>
      <c r="L68" s="33">
        <v>18.92435</v>
      </c>
      <c r="M68" s="33">
        <v>23.514927</v>
      </c>
      <c r="N68" s="34">
        <v>1.24198717948717</v>
      </c>
      <c r="O68" s="34">
        <v>1.2439394184217101</v>
      </c>
      <c r="P68" s="34">
        <v>1.2439069637273099</v>
      </c>
      <c r="Q68" s="34">
        <v>1.2438273219321101</v>
      </c>
      <c r="R68" s="33">
        <v>23.2865459128544</v>
      </c>
      <c r="S68" s="33">
        <v>23.295148151185099</v>
      </c>
      <c r="T68" s="33">
        <v>23.284841446323998</v>
      </c>
      <c r="U68" s="15">
        <v>1.57063312931783E-3</v>
      </c>
      <c r="V68" s="15">
        <v>1.9399729998966901E-3</v>
      </c>
      <c r="W68" s="15">
        <v>1.49743511534985E-3</v>
      </c>
      <c r="X68" s="34">
        <v>1.2425751478914699</v>
      </c>
      <c r="Y68" s="34">
        <v>1.24274983567304</v>
      </c>
      <c r="Z68" s="34">
        <v>1.24258243306547</v>
      </c>
      <c r="AA68" s="34">
        <v>1.2426483123907099</v>
      </c>
      <c r="AB68" s="33">
        <v>23.518232852718999</v>
      </c>
      <c r="AC68" s="33">
        <v>23.515323923682601</v>
      </c>
      <c r="AD68" s="33">
        <v>23.516455848155999</v>
      </c>
      <c r="AE68" s="15">
        <v>1.40575404029424E-4</v>
      </c>
      <c r="AF68" s="15">
        <v>1.68795052057414E-5</v>
      </c>
      <c r="AG68" s="15">
        <v>6.5013957235642594E-5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1.693165125253515E-3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1.693165125253515E-3</v>
      </c>
      <c r="BH68" s="29"/>
    </row>
    <row r="69" spans="1:60" x14ac:dyDescent="0.25">
      <c r="A69" s="1">
        <v>46122</v>
      </c>
      <c r="B69" s="33">
        <v>18.71</v>
      </c>
      <c r="C69" s="33">
        <v>23.25</v>
      </c>
      <c r="D69" s="15">
        <v>-5.3433076344762702E-4</v>
      </c>
      <c r="E69" s="15">
        <v>0</v>
      </c>
      <c r="F69" s="33">
        <v>0</v>
      </c>
      <c r="G69" s="33">
        <v>0.20435</v>
      </c>
      <c r="H69" s="33">
        <v>0</v>
      </c>
      <c r="I69" s="33">
        <v>0.26492699999999902</v>
      </c>
      <c r="J69" s="33">
        <v>0.20435</v>
      </c>
      <c r="K69" s="33">
        <v>0.26492699999999902</v>
      </c>
      <c r="L69" s="33">
        <v>18.914349999999999</v>
      </c>
      <c r="M69" s="33">
        <v>23.514927</v>
      </c>
      <c r="N69" s="34">
        <v>1.24265098877605</v>
      </c>
      <c r="O69" s="34">
        <v>1.2439394184217101</v>
      </c>
      <c r="P69" s="34">
        <v>1.2434553869438301</v>
      </c>
      <c r="Q69" s="34">
        <v>1.2438078371096699</v>
      </c>
      <c r="R69" s="33">
        <v>23.274106518670202</v>
      </c>
      <c r="S69" s="33">
        <v>23.273499291338101</v>
      </c>
      <c r="T69" s="33">
        <v>23.2720091933497</v>
      </c>
      <c r="U69" s="15">
        <v>1.0363023658702601E-3</v>
      </c>
      <c r="V69" s="15">
        <v>1.0102117723103301E-3</v>
      </c>
      <c r="W69" s="15">
        <v>9.4618419855065105E-4</v>
      </c>
      <c r="X69" s="34">
        <v>1.2432320962655301</v>
      </c>
      <c r="Y69" s="34">
        <v>1.24274983567304</v>
      </c>
      <c r="Z69" s="34">
        <v>1.2426100839990399</v>
      </c>
      <c r="AA69" s="34">
        <v>1.24264206108416</v>
      </c>
      <c r="AB69" s="33">
        <v>23.505805354362298</v>
      </c>
      <c r="AC69" s="33">
        <v>23.502639042852</v>
      </c>
      <c r="AD69" s="33">
        <v>23.503885107467301</v>
      </c>
      <c r="AE69" s="15">
        <v>-3.8798399324433498E-4</v>
      </c>
      <c r="AF69" s="15">
        <v>-5.2269644994162499E-4</v>
      </c>
      <c r="AG69" s="15">
        <v>-4.6967978307742899E-4</v>
      </c>
      <c r="AI69" s="12"/>
      <c r="AJ69">
        <f t="shared" si="6"/>
        <v>0</v>
      </c>
      <c r="AK69">
        <f t="shared" si="7"/>
        <v>0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1.693165125253515E-3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1.693165125253515E-3</v>
      </c>
      <c r="BH69" s="29"/>
    </row>
    <row r="70" spans="1:60" x14ac:dyDescent="0.25">
      <c r="A70" s="1">
        <v>46125</v>
      </c>
      <c r="B70" s="33">
        <v>18.73</v>
      </c>
      <c r="C70" s="33">
        <v>23.28</v>
      </c>
      <c r="D70" s="15">
        <v>1.06837616999895E-3</v>
      </c>
      <c r="E70" s="15">
        <v>1.28949082987191E-3</v>
      </c>
      <c r="F70" s="33">
        <v>0</v>
      </c>
      <c r="G70" s="33">
        <v>0.20435</v>
      </c>
      <c r="H70" s="33">
        <v>0</v>
      </c>
      <c r="I70" s="33">
        <v>0.26492699999999902</v>
      </c>
      <c r="J70" s="33">
        <v>0.20435</v>
      </c>
      <c r="K70" s="33">
        <v>0.26492699999999902</v>
      </c>
      <c r="L70" s="33">
        <v>18.934349999999998</v>
      </c>
      <c r="M70" s="33">
        <v>23.544927000000001</v>
      </c>
      <c r="N70" s="34">
        <v>1.2429257875066699</v>
      </c>
      <c r="O70" s="34">
        <v>1.2439394184217101</v>
      </c>
      <c r="P70" s="34">
        <v>1.24300403038452</v>
      </c>
      <c r="Q70" s="34">
        <v>1.24382885881905</v>
      </c>
      <c r="R70" s="33">
        <v>23.298985307038699</v>
      </c>
      <c r="S70" s="33">
        <v>23.289919397457901</v>
      </c>
      <c r="T70" s="33">
        <v>23.2965207890641</v>
      </c>
      <c r="U70" s="15">
        <v>8.1518770599742099E-4</v>
      </c>
      <c r="V70" s="15">
        <v>4.2600020512578501E-4</v>
      </c>
      <c r="W70" s="15">
        <v>7.09404200962427E-4</v>
      </c>
      <c r="X70" s="34">
        <v>1.24350331540295</v>
      </c>
      <c r="Y70" s="34">
        <v>1.24274983567304</v>
      </c>
      <c r="Z70" s="34">
        <v>1.2426374451351301</v>
      </c>
      <c r="AA70" s="34">
        <v>1.2426759427763301</v>
      </c>
      <c r="AB70" s="33">
        <v>23.530660351075799</v>
      </c>
      <c r="AC70" s="33">
        <v>23.528014243967199</v>
      </c>
      <c r="AD70" s="33">
        <v>23.5286197092889</v>
      </c>
      <c r="AE70" s="15">
        <v>-6.0611668016150597E-4</v>
      </c>
      <c r="AF70" s="15">
        <v>-7.1857658831325397E-4</v>
      </c>
      <c r="AG70" s="15">
        <v>-6.9284311480245905E-4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1.693165125253515E-3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1.693165125253515E-3</v>
      </c>
      <c r="BH70" s="29"/>
    </row>
    <row r="71" spans="1:60" x14ac:dyDescent="0.25">
      <c r="A71" s="1">
        <v>46126</v>
      </c>
      <c r="B71" s="33">
        <v>18.75</v>
      </c>
      <c r="C71" s="33">
        <v>23.3</v>
      </c>
      <c r="D71" s="15">
        <v>1.06723596042271E-3</v>
      </c>
      <c r="E71" s="15">
        <v>8.5873770841780395E-4</v>
      </c>
      <c r="F71" s="33">
        <v>0</v>
      </c>
      <c r="G71" s="33">
        <v>0.20435</v>
      </c>
      <c r="H71" s="33">
        <v>0</v>
      </c>
      <c r="I71" s="33">
        <v>0.26492699999999902</v>
      </c>
      <c r="J71" s="33">
        <v>0.20435</v>
      </c>
      <c r="K71" s="33">
        <v>0.26492699999999902</v>
      </c>
      <c r="L71" s="33">
        <v>18.954350000000002</v>
      </c>
      <c r="M71" s="33">
        <v>23.564927000000001</v>
      </c>
      <c r="N71" s="34">
        <v>1.2426666666666599</v>
      </c>
      <c r="O71" s="34">
        <v>1.2439394184217101</v>
      </c>
      <c r="P71" s="34">
        <v>1.24259327769635</v>
      </c>
      <c r="Q71" s="34">
        <v>1.24384989268714</v>
      </c>
      <c r="R71" s="33">
        <v>23.323864095407099</v>
      </c>
      <c r="S71" s="33">
        <v>23.306325569709799</v>
      </c>
      <c r="T71" s="33">
        <v>23.321791102857201</v>
      </c>
      <c r="U71" s="15">
        <v>1.02368595800221E-3</v>
      </c>
      <c r="V71" s="15">
        <v>2.7144683351056401E-4</v>
      </c>
      <c r="W71" s="15">
        <v>9.3480340109660905E-4</v>
      </c>
      <c r="X71" s="34">
        <v>1.24324637879958</v>
      </c>
      <c r="Y71" s="34">
        <v>1.24274983567304</v>
      </c>
      <c r="Z71" s="34">
        <v>1.2427037863975501</v>
      </c>
      <c r="AA71" s="34">
        <v>1.24270986868502</v>
      </c>
      <c r="AB71" s="33">
        <v>23.5555153477892</v>
      </c>
      <c r="AC71" s="33">
        <v>23.5533850581972</v>
      </c>
      <c r="AD71" s="33">
        <v>23.554114755962502</v>
      </c>
      <c r="AE71" s="15">
        <v>-3.99472155477805E-4</v>
      </c>
      <c r="AF71" s="15">
        <v>-4.8991322182282695E-4</v>
      </c>
      <c r="AG71" s="15">
        <v>-4.5893311172272999E-4</v>
      </c>
      <c r="AI71" s="12"/>
      <c r="AJ71">
        <f t="shared" si="6"/>
        <v>0</v>
      </c>
      <c r="AK71">
        <f t="shared" si="7"/>
        <v>0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1.693165125253515E-3</v>
      </c>
      <c r="AT71" s="12"/>
      <c r="AU71">
        <f t="shared" si="10"/>
        <v>0</v>
      </c>
      <c r="AV71">
        <f t="shared" si="11"/>
        <v>1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0</v>
      </c>
      <c r="BE71" s="29">
        <f t="shared" si="22"/>
        <v>0</v>
      </c>
      <c r="BF71" s="29">
        <f t="shared" si="23"/>
        <v>1.693165125253515E-3</v>
      </c>
      <c r="BH71" s="29"/>
    </row>
    <row r="72" spans="1:60" x14ac:dyDescent="0.25">
      <c r="A72" s="1">
        <v>46127</v>
      </c>
      <c r="B72" s="33">
        <v>18.75</v>
      </c>
      <c r="C72" s="33">
        <v>23.29</v>
      </c>
      <c r="D72" s="15">
        <v>0</v>
      </c>
      <c r="E72" s="15">
        <v>-4.2927667540528398E-4</v>
      </c>
      <c r="F72" s="33">
        <v>0</v>
      </c>
      <c r="G72" s="33">
        <v>0.20435</v>
      </c>
      <c r="H72" s="33">
        <v>0</v>
      </c>
      <c r="I72" s="33">
        <v>0.26492699999999902</v>
      </c>
      <c r="J72" s="33">
        <v>0.20435</v>
      </c>
      <c r="K72" s="33">
        <v>0.26492699999999902</v>
      </c>
      <c r="L72" s="33">
        <v>18.954350000000002</v>
      </c>
      <c r="M72" s="33">
        <v>23.554926999999999</v>
      </c>
      <c r="N72" s="34">
        <v>1.24213333333333</v>
      </c>
      <c r="O72" s="34">
        <v>1.2439394184217101</v>
      </c>
      <c r="P72" s="34">
        <v>1.2421549497220701</v>
      </c>
      <c r="Q72" s="34">
        <v>1.2438102699784701</v>
      </c>
      <c r="R72" s="33">
        <v>23.323864095407099</v>
      </c>
      <c r="S72" s="33">
        <v>23.298623956806601</v>
      </c>
      <c r="T72" s="33">
        <v>23.3221854878839</v>
      </c>
      <c r="U72" s="15">
        <v>1.45296263340757E-3</v>
      </c>
      <c r="V72" s="15">
        <v>3.7021728365123899E-4</v>
      </c>
      <c r="W72" s="15">
        <v>1.38099051405777E-3</v>
      </c>
      <c r="X72" s="34">
        <v>1.2427187954216301</v>
      </c>
      <c r="Y72" s="34">
        <v>1.24274983567304</v>
      </c>
      <c r="Z72" s="34">
        <v>1.24274151527988</v>
      </c>
      <c r="AA72" s="34">
        <v>1.2426836975065301</v>
      </c>
      <c r="AB72" s="33">
        <v>23.5555153477892</v>
      </c>
      <c r="AC72" s="33">
        <v>23.554642513704501</v>
      </c>
      <c r="AD72" s="33">
        <v>23.5547577995099</v>
      </c>
      <c r="AE72" s="15">
        <v>2.49773833570889E-5</v>
      </c>
      <c r="AF72" s="15">
        <v>-1.20776436022338E-5</v>
      </c>
      <c r="AG72" s="15">
        <v>-7.1832571497128102E-6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1.693165125253515E-3</v>
      </c>
      <c r="AT72" s="12"/>
      <c r="AU72">
        <f t="shared" si="10"/>
        <v>0</v>
      </c>
      <c r="AV72">
        <f t="shared" si="11"/>
        <v>1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0</v>
      </c>
      <c r="BE72" s="29">
        <f t="shared" si="22"/>
        <v>0</v>
      </c>
      <c r="BF72" s="29">
        <f t="shared" si="23"/>
        <v>1.693165125253515E-3</v>
      </c>
      <c r="BH72" s="29"/>
    </row>
    <row r="73" spans="1:60" x14ac:dyDescent="0.25">
      <c r="A73" s="1">
        <v>46128</v>
      </c>
      <c r="B73" s="33">
        <v>18.73</v>
      </c>
      <c r="C73" s="33">
        <v>23.28</v>
      </c>
      <c r="D73" s="15">
        <v>-1.0672359604226699E-3</v>
      </c>
      <c r="E73" s="15">
        <v>-4.29461033012416E-4</v>
      </c>
      <c r="F73" s="33">
        <v>0</v>
      </c>
      <c r="G73" s="33">
        <v>0.20435</v>
      </c>
      <c r="H73" s="33">
        <v>0</v>
      </c>
      <c r="I73" s="33">
        <v>0.26492699999999902</v>
      </c>
      <c r="J73" s="33">
        <v>0.20435</v>
      </c>
      <c r="K73" s="33">
        <v>0.26492699999999902</v>
      </c>
      <c r="L73" s="33">
        <v>18.934349999999998</v>
      </c>
      <c r="M73" s="33">
        <v>23.544927000000001</v>
      </c>
      <c r="N73" s="34">
        <v>1.2429257875066699</v>
      </c>
      <c r="O73" s="34">
        <v>1.2439394184217101</v>
      </c>
      <c r="P73" s="34">
        <v>1.24222459170961</v>
      </c>
      <c r="Q73" s="34">
        <v>1.24383129168785</v>
      </c>
      <c r="R73" s="33">
        <v>23.298985307038699</v>
      </c>
      <c r="S73" s="33">
        <v>23.265562208294501</v>
      </c>
      <c r="T73" s="33">
        <v>23.2965663566968</v>
      </c>
      <c r="U73" s="15">
        <v>8.1518770599742099E-4</v>
      </c>
      <c r="V73" s="15">
        <v>-6.20372447276438E-4</v>
      </c>
      <c r="W73" s="15">
        <v>7.1136018351431797E-4</v>
      </c>
      <c r="X73" s="34">
        <v>1.24350331540295</v>
      </c>
      <c r="Y73" s="34">
        <v>1.24274983567304</v>
      </c>
      <c r="Z73" s="34">
        <v>1.24281018856001</v>
      </c>
      <c r="AA73" s="34">
        <v>1.2427175791987</v>
      </c>
      <c r="AB73" s="33">
        <v>23.530660351075799</v>
      </c>
      <c r="AC73" s="33">
        <v>23.530502809839501</v>
      </c>
      <c r="AD73" s="33">
        <v>23.529408067882802</v>
      </c>
      <c r="AE73" s="15">
        <v>-6.0611668016150597E-4</v>
      </c>
      <c r="AF73" s="15">
        <v>-6.1281184983644405E-4</v>
      </c>
      <c r="AG73" s="15">
        <v>-6.5933730798315598E-4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1.693165125253515E-3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0</v>
      </c>
      <c r="BE73" s="29">
        <f t="shared" si="22"/>
        <v>0</v>
      </c>
      <c r="BF73" s="29">
        <f t="shared" si="23"/>
        <v>1.693165125253515E-3</v>
      </c>
      <c r="BH73" s="29"/>
    </row>
    <row r="74" spans="1:60" x14ac:dyDescent="0.25">
      <c r="A74" s="1">
        <v>46129</v>
      </c>
      <c r="B74" s="33">
        <v>18.79</v>
      </c>
      <c r="C74" s="33">
        <v>23.32</v>
      </c>
      <c r="D74" s="15">
        <v>3.1982969693767002E-3</v>
      </c>
      <c r="E74" s="15">
        <v>1.71673861905454E-3</v>
      </c>
      <c r="F74" s="33">
        <v>0</v>
      </c>
      <c r="G74" s="33">
        <v>0.20435</v>
      </c>
      <c r="H74" s="33">
        <v>0</v>
      </c>
      <c r="I74" s="33">
        <v>0.26492699999999902</v>
      </c>
      <c r="J74" s="33">
        <v>0.20435</v>
      </c>
      <c r="K74" s="33">
        <v>0.26492699999999902</v>
      </c>
      <c r="L74" s="33">
        <v>18.994350000000001</v>
      </c>
      <c r="M74" s="33">
        <v>23.584927</v>
      </c>
      <c r="N74" s="34">
        <v>1.2410856838744</v>
      </c>
      <c r="O74" s="34">
        <v>1.2439394184217101</v>
      </c>
      <c r="P74" s="34">
        <v>1.24213615795572</v>
      </c>
      <c r="Q74" s="34">
        <v>1.2438064737971299</v>
      </c>
      <c r="R74" s="33">
        <v>23.373621672144001</v>
      </c>
      <c r="S74" s="33">
        <v>23.3414000782236</v>
      </c>
      <c r="T74" s="33">
        <v>23.371589970814799</v>
      </c>
      <c r="U74" s="15">
        <v>2.2967460563196799E-3</v>
      </c>
      <c r="V74" s="15">
        <v>9.1724979054336902E-4</v>
      </c>
      <c r="W74" s="15">
        <v>2.2098194489081498E-3</v>
      </c>
      <c r="X74" s="34">
        <v>1.2416811841416</v>
      </c>
      <c r="Y74" s="34">
        <v>1.24274983567304</v>
      </c>
      <c r="Z74" s="34">
        <v>1.24272236488456</v>
      </c>
      <c r="AA74" s="34">
        <v>1.2427062103828299</v>
      </c>
      <c r="AB74" s="33">
        <v>23.605225341216201</v>
      </c>
      <c r="AC74" s="33">
        <v>23.606371705074899</v>
      </c>
      <c r="AD74" s="33">
        <v>23.6046126504528</v>
      </c>
      <c r="AE74" s="15">
        <v>8.6027874295900196E-4</v>
      </c>
      <c r="AF74" s="15">
        <v>9.08841550858977E-4</v>
      </c>
      <c r="AG74" s="15">
        <v>8.3432268000909295E-4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1.693165125253515E-3</v>
      </c>
      <c r="AT74" s="12"/>
      <c r="AU74">
        <f t="shared" si="10"/>
        <v>0</v>
      </c>
      <c r="AV74">
        <f t="shared" si="11"/>
        <v>0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0</v>
      </c>
      <c r="BE74" s="29">
        <f t="shared" si="22"/>
        <v>0</v>
      </c>
      <c r="BF74" s="29">
        <f t="shared" si="23"/>
        <v>1.693165125253515E-3</v>
      </c>
      <c r="BH74" s="29"/>
    </row>
    <row r="75" spans="1:60" x14ac:dyDescent="0.25">
      <c r="A75" s="1">
        <v>46132</v>
      </c>
      <c r="B75" s="33">
        <v>18.71</v>
      </c>
      <c r="C75" s="33">
        <v>23.33</v>
      </c>
      <c r="D75" s="15">
        <v>-4.2666731393755696E-3</v>
      </c>
      <c r="E75" s="15">
        <v>4.28724551046896E-4</v>
      </c>
      <c r="F75" s="33">
        <v>7.0059999999999997E-2</v>
      </c>
      <c r="G75" s="33">
        <v>0.27440999999999999</v>
      </c>
      <c r="H75" s="33">
        <v>0</v>
      </c>
      <c r="I75" s="33">
        <v>0.26492699999999902</v>
      </c>
      <c r="J75" s="33">
        <v>0.27440999999999999</v>
      </c>
      <c r="K75" s="33">
        <v>0.26492699999999902</v>
      </c>
      <c r="L75" s="33">
        <v>18.98441</v>
      </c>
      <c r="M75" s="33">
        <v>23.594926999999998</v>
      </c>
      <c r="N75" s="34">
        <v>1.24692677712453</v>
      </c>
      <c r="O75" s="34">
        <v>1.2439394184217101</v>
      </c>
      <c r="P75" s="34">
        <v>1.24265948947311</v>
      </c>
      <c r="Q75" s="34">
        <v>1.2440486795347301</v>
      </c>
      <c r="R75" s="33">
        <v>23.274106518670202</v>
      </c>
      <c r="S75" s="33">
        <v>23.240367515351601</v>
      </c>
      <c r="T75" s="33">
        <v>23.271619124744301</v>
      </c>
      <c r="U75" s="15">
        <v>-2.39865163410284E-3</v>
      </c>
      <c r="V75" s="15">
        <v>-3.8493402610825199E-3</v>
      </c>
      <c r="W75" s="15">
        <v>-2.5055312194534498E-3</v>
      </c>
      <c r="X75" s="34">
        <v>1.2428580609036499</v>
      </c>
      <c r="Y75" s="34">
        <v>1.24274983567304</v>
      </c>
      <c r="Z75" s="34">
        <v>1.24277952275752</v>
      </c>
      <c r="AA75" s="34">
        <v>1.2427287671990199</v>
      </c>
      <c r="AB75" s="33">
        <v>23.592872407849601</v>
      </c>
      <c r="AC75" s="33">
        <v>23.5923508911381</v>
      </c>
      <c r="AD75" s="33">
        <v>23.592044207453998</v>
      </c>
      <c r="AE75" s="15">
        <v>-8.7081498923879006E-5</v>
      </c>
      <c r="AF75" s="15">
        <v>-1.0918658500816099E-4</v>
      </c>
      <c r="AG75" s="15">
        <v>-1.2218595412229801E-4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1.693165125253515E-3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0</v>
      </c>
      <c r="BE75" s="29">
        <f t="shared" si="22"/>
        <v>0</v>
      </c>
      <c r="BF75" s="29">
        <f t="shared" si="23"/>
        <v>1.693165125253515E-3</v>
      </c>
      <c r="BH75" s="29"/>
    </row>
    <row r="76" spans="1:60" x14ac:dyDescent="0.25">
      <c r="A76" s="1">
        <v>46133</v>
      </c>
      <c r="B76" s="33">
        <v>18.68</v>
      </c>
      <c r="C76" s="33">
        <v>23.29</v>
      </c>
      <c r="D76" s="15">
        <v>-1.6047074853017601E-3</v>
      </c>
      <c r="E76" s="15">
        <v>-1.71600213708891E-3</v>
      </c>
      <c r="F76" s="33">
        <v>0</v>
      </c>
      <c r="G76" s="33">
        <v>0.27440999999999999</v>
      </c>
      <c r="H76" s="33">
        <v>0</v>
      </c>
      <c r="I76" s="33">
        <v>0.26492699999999902</v>
      </c>
      <c r="J76" s="33">
        <v>0.27440999999999999</v>
      </c>
      <c r="K76" s="33">
        <v>0.26492699999999902</v>
      </c>
      <c r="L76" s="33">
        <v>18.954409999999999</v>
      </c>
      <c r="M76" s="33">
        <v>23.554926999999999</v>
      </c>
      <c r="N76" s="34">
        <v>1.24678800856531</v>
      </c>
      <c r="O76" s="34">
        <v>1.2439394184217101</v>
      </c>
      <c r="P76" s="34">
        <v>1.2432077392328</v>
      </c>
      <c r="Q76" s="34">
        <v>1.2440626234645999</v>
      </c>
      <c r="R76" s="33">
        <v>23.236788336117598</v>
      </c>
      <c r="S76" s="33">
        <v>23.212879263357699</v>
      </c>
      <c r="T76" s="33">
        <v>23.2388293337088</v>
      </c>
      <c r="U76" s="15">
        <v>-2.28735698231573E-3</v>
      </c>
      <c r="V76" s="15">
        <v>-3.31681859558642E-3</v>
      </c>
      <c r="W76" s="15">
        <v>-2.1995260853928098E-3</v>
      </c>
      <c r="X76" s="34">
        <v>1.2427148616074</v>
      </c>
      <c r="Y76" s="34">
        <v>1.24274983567304</v>
      </c>
      <c r="Z76" s="34">
        <v>1.2428608303728199</v>
      </c>
      <c r="AA76" s="34">
        <v>1.2427482486289201</v>
      </c>
      <c r="AB76" s="33">
        <v>23.5555899127794</v>
      </c>
      <c r="AC76" s="33">
        <v>23.556152613950399</v>
      </c>
      <c r="AD76" s="33">
        <v>23.555190572284701</v>
      </c>
      <c r="AE76" s="15">
        <v>2.8142878614443302E-5</v>
      </c>
      <c r="AF76" s="15">
        <v>5.2030815714319098E-5</v>
      </c>
      <c r="AG76" s="15">
        <v>1.11896254291719E-5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1.693165125253515E-3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0</v>
      </c>
      <c r="BE76" s="29">
        <f t="shared" si="22"/>
        <v>0</v>
      </c>
      <c r="BF76" s="29">
        <f t="shared" si="23"/>
        <v>1.693165125253515E-3</v>
      </c>
      <c r="BH76" s="29"/>
    </row>
    <row r="77" spans="1:60" x14ac:dyDescent="0.25">
      <c r="A77" s="1">
        <v>46134</v>
      </c>
      <c r="B77" s="33">
        <v>18.68</v>
      </c>
      <c r="C77" s="33">
        <v>23.29</v>
      </c>
      <c r="D77" s="15">
        <v>0</v>
      </c>
      <c r="E77" s="15">
        <v>0</v>
      </c>
      <c r="F77" s="33">
        <v>0</v>
      </c>
      <c r="G77" s="33">
        <v>0.27440999999999999</v>
      </c>
      <c r="H77" s="33">
        <v>0</v>
      </c>
      <c r="I77" s="33">
        <v>0.26492699999999902</v>
      </c>
      <c r="J77" s="33">
        <v>0.27440999999999999</v>
      </c>
      <c r="K77" s="33">
        <v>0.26492699999999902</v>
      </c>
      <c r="L77" s="33">
        <v>18.954409999999999</v>
      </c>
      <c r="M77" s="33">
        <v>23.554926999999999</v>
      </c>
      <c r="N77" s="34">
        <v>1.24678800856531</v>
      </c>
      <c r="O77" s="34">
        <v>1.2439394184217101</v>
      </c>
      <c r="P77" s="34">
        <v>1.24368782214061</v>
      </c>
      <c r="Q77" s="34">
        <v>1.24404338092033</v>
      </c>
      <c r="R77" s="33">
        <v>23.236788336117598</v>
      </c>
      <c r="S77" s="33">
        <v>23.223120568868701</v>
      </c>
      <c r="T77" s="33">
        <v>23.239089806318798</v>
      </c>
      <c r="U77" s="15">
        <v>-2.28735698231573E-3</v>
      </c>
      <c r="V77" s="15">
        <v>-2.8757252320746099E-3</v>
      </c>
      <c r="W77" s="15">
        <v>-2.1883176399666699E-3</v>
      </c>
      <c r="X77" s="34">
        <v>1.2427148616074</v>
      </c>
      <c r="Y77" s="34">
        <v>1.24274983567304</v>
      </c>
      <c r="Z77" s="34">
        <v>1.24287480174442</v>
      </c>
      <c r="AA77" s="34">
        <v>1.24273546193329</v>
      </c>
      <c r="AB77" s="33">
        <v>23.5555899127794</v>
      </c>
      <c r="AC77" s="33">
        <v>23.557693751826999</v>
      </c>
      <c r="AD77" s="33">
        <v>23.555559831294499</v>
      </c>
      <c r="AE77" s="15">
        <v>2.8142878614443302E-5</v>
      </c>
      <c r="AF77" s="15">
        <v>1.17452681937858E-4</v>
      </c>
      <c r="AG77" s="15">
        <v>2.6865835490913501E-5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1.693165125253515E-3</v>
      </c>
      <c r="AT77" s="12"/>
      <c r="AU77">
        <f t="shared" si="10"/>
        <v>0</v>
      </c>
      <c r="AV77">
        <f t="shared" si="11"/>
        <v>1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0</v>
      </c>
      <c r="BE77" s="29">
        <f t="shared" si="22"/>
        <v>0</v>
      </c>
      <c r="BF77" s="29">
        <f t="shared" si="23"/>
        <v>1.693165125253515E-3</v>
      </c>
      <c r="BH77" s="29"/>
    </row>
    <row r="78" spans="1:60" x14ac:dyDescent="0.25">
      <c r="A78" s="1">
        <v>46135</v>
      </c>
      <c r="B78" s="33">
        <v>18.68</v>
      </c>
      <c r="C78" s="33">
        <v>23.28</v>
      </c>
      <c r="D78" s="15">
        <v>0</v>
      </c>
      <c r="E78" s="15">
        <v>-4.29461033012416E-4</v>
      </c>
      <c r="F78" s="33">
        <v>0</v>
      </c>
      <c r="G78" s="33">
        <v>0.27440999999999999</v>
      </c>
      <c r="H78" s="33">
        <v>0</v>
      </c>
      <c r="I78" s="33">
        <v>0.26492699999999902</v>
      </c>
      <c r="J78" s="33">
        <v>0.27440999999999999</v>
      </c>
      <c r="K78" s="33">
        <v>0.26492699999999902</v>
      </c>
      <c r="L78" s="33">
        <v>18.954409999999999</v>
      </c>
      <c r="M78" s="33">
        <v>23.544927000000001</v>
      </c>
      <c r="N78" s="34">
        <v>1.2462526766595201</v>
      </c>
      <c r="O78" s="34">
        <v>1.2439394184217101</v>
      </c>
      <c r="P78" s="34">
        <v>1.24411437185784</v>
      </c>
      <c r="Q78" s="34">
        <v>1.24401066779258</v>
      </c>
      <c r="R78" s="33">
        <v>23.236788336117598</v>
      </c>
      <c r="S78" s="33">
        <v>23.2320885175866</v>
      </c>
      <c r="T78" s="33">
        <v>23.238730355591901</v>
      </c>
      <c r="U78" s="15">
        <v>-1.85789594930325E-3</v>
      </c>
      <c r="V78" s="15">
        <v>-2.06017407028198E-3</v>
      </c>
      <c r="W78" s="15">
        <v>-1.7743242311126001E-3</v>
      </c>
      <c r="X78" s="34">
        <v>1.2421872798995</v>
      </c>
      <c r="Y78" s="34">
        <v>1.24274983567304</v>
      </c>
      <c r="Z78" s="34">
        <v>1.24283601494522</v>
      </c>
      <c r="AA78" s="34">
        <v>1.2427092240053501</v>
      </c>
      <c r="AB78" s="33">
        <v>23.5555899127794</v>
      </c>
      <c r="AC78" s="33">
        <v>23.557958570932399</v>
      </c>
      <c r="AD78" s="33">
        <v>23.555317467022999</v>
      </c>
      <c r="AE78" s="15">
        <v>4.52772651363042E-4</v>
      </c>
      <c r="AF78" s="15">
        <v>5.5332369161676905E-4</v>
      </c>
      <c r="AG78" s="15">
        <v>4.41206507914459E-4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1.693165125253515E-3</v>
      </c>
      <c r="AT78" s="12"/>
      <c r="AU78">
        <f t="shared" si="10"/>
        <v>0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0</v>
      </c>
      <c r="BE78" s="29">
        <f t="shared" si="22"/>
        <v>0</v>
      </c>
      <c r="BF78" s="29">
        <f t="shared" si="23"/>
        <v>1.693165125253515E-3</v>
      </c>
      <c r="BH78" s="29"/>
    </row>
    <row r="79" spans="1:60" x14ac:dyDescent="0.25">
      <c r="A79" s="1">
        <v>46136</v>
      </c>
      <c r="B79" s="33">
        <v>18.7</v>
      </c>
      <c r="C79" s="33">
        <v>23.31</v>
      </c>
      <c r="D79" s="15">
        <v>1.0700910598443799E-3</v>
      </c>
      <c r="E79" s="15">
        <v>1.28783018442868E-3</v>
      </c>
      <c r="F79" s="33">
        <v>0</v>
      </c>
      <c r="G79" s="33">
        <v>0.27440999999999999</v>
      </c>
      <c r="H79" s="33">
        <v>0</v>
      </c>
      <c r="I79" s="33">
        <v>0.26492699999999902</v>
      </c>
      <c r="J79" s="33">
        <v>0.27440999999999999</v>
      </c>
      <c r="K79" s="33">
        <v>0.26492699999999902</v>
      </c>
      <c r="L79" s="33">
        <v>18.974409999999999</v>
      </c>
      <c r="M79" s="33">
        <v>23.574926999999999</v>
      </c>
      <c r="N79" s="34">
        <v>1.2465240641711199</v>
      </c>
      <c r="O79" s="34">
        <v>1.2439394184217101</v>
      </c>
      <c r="P79" s="34">
        <v>1.24450167939735</v>
      </c>
      <c r="Q79" s="34">
        <v>1.2439785331705899</v>
      </c>
      <c r="R79" s="33">
        <v>23.261667124485999</v>
      </c>
      <c r="S79" s="33">
        <v>23.264938753741699</v>
      </c>
      <c r="T79" s="33">
        <v>23.262999487721299</v>
      </c>
      <c r="U79" s="15">
        <v>-2.07563507388751E-3</v>
      </c>
      <c r="V79" s="15">
        <v>-1.93500030376593E-3</v>
      </c>
      <c r="W79" s="15">
        <v>-2.0183595109383801E-3</v>
      </c>
      <c r="X79" s="34">
        <v>1.2424590277115299</v>
      </c>
      <c r="Y79" s="34">
        <v>1.24274983567304</v>
      </c>
      <c r="Z79" s="34">
        <v>1.2427587080898199</v>
      </c>
      <c r="AA79" s="34">
        <v>1.24268439604443</v>
      </c>
      <c r="AB79" s="33">
        <v>23.580444909492801</v>
      </c>
      <c r="AC79" s="33">
        <v>23.582080110336801</v>
      </c>
      <c r="AD79" s="33">
        <v>23.579674327059301</v>
      </c>
      <c r="AE79" s="15">
        <v>2.3403100408848901E-4</v>
      </c>
      <c r="AF79" s="15">
        <v>3.0337423131779502E-4</v>
      </c>
      <c r="AG79" s="15">
        <v>2.0135159419506501E-4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1.693165125253515E-3</v>
      </c>
      <c r="AT79" s="12"/>
      <c r="AU79">
        <f t="shared" si="10"/>
        <v>0</v>
      </c>
      <c r="AV79">
        <f t="shared" si="11"/>
        <v>0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0</v>
      </c>
      <c r="BE79" s="29">
        <f t="shared" si="22"/>
        <v>0</v>
      </c>
      <c r="BF79" s="29">
        <f t="shared" si="23"/>
        <v>1.693165125253515E-3</v>
      </c>
      <c r="BH79" s="29"/>
    </row>
    <row r="80" spans="1:60" x14ac:dyDescent="0.25">
      <c r="A80" s="1">
        <v>46139</v>
      </c>
      <c r="B80" s="33">
        <v>18.690000000000001</v>
      </c>
      <c r="C80" s="33">
        <v>23.29</v>
      </c>
      <c r="D80" s="15">
        <v>-5.3490239306932001E-4</v>
      </c>
      <c r="E80" s="15">
        <v>-8.5836915141608496E-4</v>
      </c>
      <c r="F80" s="33">
        <v>0</v>
      </c>
      <c r="G80" s="33">
        <v>0.27440999999999999</v>
      </c>
      <c r="H80" s="33">
        <v>0</v>
      </c>
      <c r="I80" s="33">
        <v>0.26492699999999902</v>
      </c>
      <c r="J80" s="33">
        <v>0.27440999999999999</v>
      </c>
      <c r="K80" s="33">
        <v>0.26492699999999902</v>
      </c>
      <c r="L80" s="33">
        <v>18.964410000000001</v>
      </c>
      <c r="M80" s="33">
        <v>23.554926999999999</v>
      </c>
      <c r="N80" s="34">
        <v>1.24612092027822</v>
      </c>
      <c r="O80" s="34">
        <v>1.2439394184217101</v>
      </c>
      <c r="P80" s="34">
        <v>1.2448211926745101</v>
      </c>
      <c r="Q80" s="34">
        <v>1.24391261152951</v>
      </c>
      <c r="R80" s="33">
        <v>23.249227730301801</v>
      </c>
      <c r="S80" s="33">
        <v>23.259736387936499</v>
      </c>
      <c r="T80" s="33">
        <v>23.249958784958402</v>
      </c>
      <c r="U80" s="15">
        <v>-1.7521683155407701E-3</v>
      </c>
      <c r="V80" s="15">
        <v>-1.3002701486904699E-3</v>
      </c>
      <c r="W80" s="15">
        <v>-1.72072455441642E-3</v>
      </c>
      <c r="X80" s="34">
        <v>1.2420595736961999</v>
      </c>
      <c r="Y80" s="34">
        <v>1.24274983567304</v>
      </c>
      <c r="Z80" s="34">
        <v>1.24261433391914</v>
      </c>
      <c r="AA80" s="34">
        <v>1.24262588952714</v>
      </c>
      <c r="AB80" s="33">
        <v>23.5680174111361</v>
      </c>
      <c r="AC80" s="33">
        <v>23.568185671285701</v>
      </c>
      <c r="AD80" s="33">
        <v>23.566776387189002</v>
      </c>
      <c r="AE80" s="15">
        <v>5.5558546421334196E-4</v>
      </c>
      <c r="AF80" s="15">
        <v>5.6272478128115903E-4</v>
      </c>
      <c r="AG80" s="15">
        <v>5.0292695666817404E-4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1.693165125253515E-3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0</v>
      </c>
      <c r="BE80" s="29">
        <f t="shared" si="22"/>
        <v>0</v>
      </c>
      <c r="BF80" s="29">
        <f t="shared" si="23"/>
        <v>1.693165125253515E-3</v>
      </c>
      <c r="BH80" s="29"/>
    </row>
    <row r="81" spans="1:60" x14ac:dyDescent="0.25">
      <c r="A81" s="1">
        <v>46140</v>
      </c>
      <c r="B81" s="33">
        <v>18.66</v>
      </c>
      <c r="C81" s="33">
        <v>23.29</v>
      </c>
      <c r="D81" s="15">
        <v>-1.6064260482737899E-3</v>
      </c>
      <c r="E81" s="15">
        <v>0</v>
      </c>
      <c r="F81" s="33">
        <v>0</v>
      </c>
      <c r="G81" s="33">
        <v>0.27440999999999999</v>
      </c>
      <c r="H81" s="33">
        <v>0</v>
      </c>
      <c r="I81" s="33">
        <v>0.26492699999999902</v>
      </c>
      <c r="J81" s="33">
        <v>0.27440999999999999</v>
      </c>
      <c r="K81" s="33">
        <v>0.26492699999999902</v>
      </c>
      <c r="L81" s="33">
        <v>18.93441</v>
      </c>
      <c r="M81" s="33">
        <v>23.554926999999999</v>
      </c>
      <c r="N81" s="34">
        <v>1.2481243301178899</v>
      </c>
      <c r="O81" s="34">
        <v>1.2439394184217101</v>
      </c>
      <c r="P81" s="34">
        <v>1.2453669590196299</v>
      </c>
      <c r="Q81" s="34">
        <v>1.2439801183579899</v>
      </c>
      <c r="R81" s="33">
        <v>23.211909547749102</v>
      </c>
      <c r="S81" s="33">
        <v>23.228363455306301</v>
      </c>
      <c r="T81" s="33">
        <v>23.2114093311408</v>
      </c>
      <c r="U81" s="15">
        <v>-3.3585943638146298E-3</v>
      </c>
      <c r="V81" s="15">
        <v>-2.6499892165285301E-3</v>
      </c>
      <c r="W81" s="15">
        <v>-3.3801445941926398E-3</v>
      </c>
      <c r="X81" s="34">
        <v>1.2440275139283401</v>
      </c>
      <c r="Y81" s="34">
        <v>1.24274983567304</v>
      </c>
      <c r="Z81" s="34">
        <v>1.24269244743202</v>
      </c>
      <c r="AA81" s="34">
        <v>1.2426981169147899</v>
      </c>
      <c r="AB81" s="33">
        <v>23.530734916065899</v>
      </c>
      <c r="AC81" s="33">
        <v>23.528169270302001</v>
      </c>
      <c r="AD81" s="33">
        <v>23.528388068921601</v>
      </c>
      <c r="AE81" s="15">
        <v>-1.0275776140046501E-3</v>
      </c>
      <c r="AF81" s="15">
        <v>-1.1366173721883499E-3</v>
      </c>
      <c r="AG81" s="15">
        <v>-1.1273179830299199E-3</v>
      </c>
      <c r="AI81" s="12"/>
      <c r="AJ81">
        <f t="shared" si="6"/>
        <v>1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1.693165125253515E-3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0</v>
      </c>
      <c r="BE81" s="29">
        <f t="shared" si="22"/>
        <v>0</v>
      </c>
      <c r="BF81" s="29">
        <f t="shared" si="23"/>
        <v>1.693165125253515E-3</v>
      </c>
      <c r="BH81" s="29"/>
    </row>
    <row r="82" spans="1:60" x14ac:dyDescent="0.25">
      <c r="A82" s="1">
        <v>46141</v>
      </c>
      <c r="B82" s="33">
        <v>18.63</v>
      </c>
      <c r="C82" s="33">
        <v>23.22</v>
      </c>
      <c r="D82" s="15">
        <v>-1.6090108057007699E-3</v>
      </c>
      <c r="E82" s="15">
        <v>-3.0101076265042202E-3</v>
      </c>
      <c r="F82" s="33">
        <v>0</v>
      </c>
      <c r="G82" s="33">
        <v>0.27440999999999999</v>
      </c>
      <c r="H82" s="33">
        <v>0</v>
      </c>
      <c r="I82" s="33">
        <v>0.26492699999999902</v>
      </c>
      <c r="J82" s="33">
        <v>0.27440999999999999</v>
      </c>
      <c r="K82" s="33">
        <v>0.26492699999999902</v>
      </c>
      <c r="L82" s="33">
        <v>18.904409999999999</v>
      </c>
      <c r="M82" s="33">
        <v>23.484926999999999</v>
      </c>
      <c r="N82" s="34">
        <v>1.2463768115942</v>
      </c>
      <c r="O82" s="34">
        <v>1.2439394184217101</v>
      </c>
      <c r="P82" s="34">
        <v>1.24579130684572</v>
      </c>
      <c r="Q82" s="34">
        <v>1.2439731282838999</v>
      </c>
      <c r="R82" s="33">
        <v>23.174591365196498</v>
      </c>
      <c r="S82" s="33">
        <v>23.201186446535701</v>
      </c>
      <c r="T82" s="33">
        <v>23.175349605009401</v>
      </c>
      <c r="U82" s="15">
        <v>-1.9574975430111702E-3</v>
      </c>
      <c r="V82" s="15">
        <v>-8.1055896819619397E-4</v>
      </c>
      <c r="W82" s="15">
        <v>-1.9247794943101899E-3</v>
      </c>
      <c r="X82" s="34">
        <v>1.2422988604246299</v>
      </c>
      <c r="Y82" s="34">
        <v>1.24274983567304</v>
      </c>
      <c r="Z82" s="34">
        <v>1.24265045393232</v>
      </c>
      <c r="AA82" s="34">
        <v>1.2426959846061001</v>
      </c>
      <c r="AB82" s="33">
        <v>23.493452420995698</v>
      </c>
      <c r="AC82" s="33">
        <v>23.492367530158401</v>
      </c>
      <c r="AD82" s="33">
        <v>23.4924747083851</v>
      </c>
      <c r="AE82" s="15">
        <v>3.6295083799981902E-4</v>
      </c>
      <c r="AF82" s="15">
        <v>3.1677133794384899E-4</v>
      </c>
      <c r="AG82" s="15">
        <v>3.2133358489939301E-4</v>
      </c>
      <c r="AI82" s="12"/>
      <c r="AJ82">
        <f t="shared" si="6"/>
        <v>0</v>
      </c>
      <c r="AK82">
        <f t="shared" si="7"/>
        <v>1</v>
      </c>
      <c r="AL82">
        <f t="shared" si="14"/>
        <v>1</v>
      </c>
      <c r="AM82">
        <f t="shared" si="4"/>
        <v>1</v>
      </c>
      <c r="AN82">
        <f t="shared" si="15"/>
        <v>1</v>
      </c>
      <c r="AO82" s="28">
        <f t="shared" si="8"/>
        <v>-1.6090108057007699E-3</v>
      </c>
      <c r="AP82" s="28">
        <f t="shared" si="9"/>
        <v>3.0101076265042202E-3</v>
      </c>
      <c r="AQ82" s="28">
        <f t="shared" si="16"/>
        <v>1.4010968208034503E-3</v>
      </c>
      <c r="AR82" s="29">
        <f t="shared" si="17"/>
        <v>3.0942619460569655E-3</v>
      </c>
      <c r="AT82" s="12"/>
      <c r="AU82">
        <f t="shared" si="10"/>
        <v>0</v>
      </c>
      <c r="AV82">
        <f t="shared" si="11"/>
        <v>0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0</v>
      </c>
      <c r="BE82" s="29">
        <f t="shared" si="22"/>
        <v>1.4010968208034503E-3</v>
      </c>
      <c r="BF82" s="29">
        <f t="shared" si="23"/>
        <v>3.0942619460569655E-3</v>
      </c>
      <c r="BH82" s="29"/>
    </row>
    <row r="83" spans="1:60" x14ac:dyDescent="0.25">
      <c r="A83" s="1">
        <v>46142</v>
      </c>
      <c r="B83" s="33">
        <v>18.649999999999999</v>
      </c>
      <c r="C83" s="33">
        <v>23.25</v>
      </c>
      <c r="D83" s="15">
        <v>1.07296147632746E-3</v>
      </c>
      <c r="E83" s="15">
        <v>1.2911557636200201E-3</v>
      </c>
      <c r="F83" s="33">
        <v>0</v>
      </c>
      <c r="G83" s="33">
        <v>0.27440999999999999</v>
      </c>
      <c r="H83" s="33">
        <v>0</v>
      </c>
      <c r="I83" s="33">
        <v>0.26492699999999902</v>
      </c>
      <c r="J83" s="33">
        <v>0.27440999999999999</v>
      </c>
      <c r="K83" s="33">
        <v>0.26492699999999902</v>
      </c>
      <c r="L83" s="33">
        <v>18.924409999999899</v>
      </c>
      <c r="M83" s="33">
        <v>23.514927</v>
      </c>
      <c r="N83" s="34">
        <v>1.24664879356568</v>
      </c>
      <c r="O83" s="34">
        <v>1.2439394184217101</v>
      </c>
      <c r="P83" s="34">
        <v>1.24616360745162</v>
      </c>
      <c r="Q83" s="34">
        <v>1.24419409958061</v>
      </c>
      <c r="R83" s="33">
        <v>23.199470153564899</v>
      </c>
      <c r="S83" s="33">
        <v>23.234007872672599</v>
      </c>
      <c r="T83" s="33">
        <v>23.2000988424947</v>
      </c>
      <c r="U83" s="15">
        <v>-2.1756918303035199E-3</v>
      </c>
      <c r="V83" s="15">
        <v>-6.88070099379724E-4</v>
      </c>
      <c r="W83" s="15">
        <v>-2.1485929178175801E-3</v>
      </c>
      <c r="X83" s="34">
        <v>1.2425712082965801</v>
      </c>
      <c r="Y83" s="34">
        <v>1.24274983567304</v>
      </c>
      <c r="Z83" s="34">
        <v>1.24255724322168</v>
      </c>
      <c r="AA83" s="34">
        <v>1.2426837158908499</v>
      </c>
      <c r="AB83" s="33">
        <v>23.518307417709199</v>
      </c>
      <c r="AC83" s="33">
        <v>23.5164266769014</v>
      </c>
      <c r="AD83" s="33">
        <v>23.517288318039501</v>
      </c>
      <c r="AE83" s="15">
        <v>1.4374591740926501E-4</v>
      </c>
      <c r="AF83" s="15">
        <v>6.37734951126263E-5</v>
      </c>
      <c r="AG83" s="15">
        <v>1.00412792617841E-4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3.0942619460569655E-3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0</v>
      </c>
      <c r="BE83" s="29">
        <f t="shared" si="22"/>
        <v>0</v>
      </c>
      <c r="BF83" s="29">
        <f t="shared" si="23"/>
        <v>3.0942619460569655E-3</v>
      </c>
      <c r="BH83" s="29"/>
    </row>
    <row r="84" spans="1:60" x14ac:dyDescent="0.25">
      <c r="A84" s="1">
        <v>46143</v>
      </c>
      <c r="B84" s="33">
        <v>18.66</v>
      </c>
      <c r="C84" s="33">
        <v>23.18</v>
      </c>
      <c r="D84" s="15">
        <v>5.3604932937330796E-4</v>
      </c>
      <c r="E84" s="15">
        <v>-3.0152941217596999E-3</v>
      </c>
      <c r="F84" s="33">
        <v>0</v>
      </c>
      <c r="G84" s="33">
        <v>0.27440999999999999</v>
      </c>
      <c r="H84" s="33">
        <v>8.8770000000000002E-2</v>
      </c>
      <c r="I84" s="33">
        <v>0.35369699999999998</v>
      </c>
      <c r="J84" s="33">
        <v>0.27440999999999999</v>
      </c>
      <c r="K84" s="33">
        <v>0.35369699999999998</v>
      </c>
      <c r="L84" s="33">
        <v>18.93441</v>
      </c>
      <c r="M84" s="33">
        <v>23.533697</v>
      </c>
      <c r="N84" s="34">
        <v>1.2422293676312901</v>
      </c>
      <c r="O84" s="34">
        <v>1.2439394184217101</v>
      </c>
      <c r="P84" s="34">
        <v>1.2462779758273099</v>
      </c>
      <c r="Q84" s="34">
        <v>1.2442070668915199</v>
      </c>
      <c r="R84" s="33">
        <v>23.211909547749102</v>
      </c>
      <c r="S84" s="33">
        <v>23.2534129150472</v>
      </c>
      <c r="T84" s="33">
        <v>23.216661898174301</v>
      </c>
      <c r="U84" s="15">
        <v>1.37565162082936E-3</v>
      </c>
      <c r="V84" s="15">
        <v>3.16207539390521E-3</v>
      </c>
      <c r="W84" s="15">
        <v>1.5803682551674401E-3</v>
      </c>
      <c r="X84" s="34">
        <v>1.2429062748720401</v>
      </c>
      <c r="Y84" s="34">
        <v>1.24274983567304</v>
      </c>
      <c r="Z84" s="34">
        <v>1.2426797522947299</v>
      </c>
      <c r="AA84" s="34">
        <v>1.2427010585896401</v>
      </c>
      <c r="AB84" s="33">
        <v>23.530734916065899</v>
      </c>
      <c r="AC84" s="33">
        <v>23.527088291629099</v>
      </c>
      <c r="AD84" s="33">
        <v>23.5294829770009</v>
      </c>
      <c r="AE84" s="15">
        <v>-1.25873565975705E-4</v>
      </c>
      <c r="AF84" s="15">
        <v>-2.80858399337993E-4</v>
      </c>
      <c r="AG84" s="15">
        <v>-1.7907939975163599E-4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3.0942619460569655E-3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0</v>
      </c>
      <c r="BE84" s="29">
        <f t="shared" si="22"/>
        <v>0</v>
      </c>
      <c r="BF84" s="29">
        <f t="shared" si="23"/>
        <v>3.0942619460569655E-3</v>
      </c>
      <c r="BH84" s="29"/>
    </row>
    <row r="85" spans="1:60" x14ac:dyDescent="0.25">
      <c r="A85" s="1">
        <v>46146</v>
      </c>
      <c r="B85" s="33">
        <v>18.63</v>
      </c>
      <c r="C85" s="33">
        <v>23.15</v>
      </c>
      <c r="D85" s="15">
        <v>-1.6090108057007699E-3</v>
      </c>
      <c r="E85" s="15">
        <v>-1.29505737936258E-3</v>
      </c>
      <c r="F85" s="33">
        <v>0</v>
      </c>
      <c r="G85" s="33">
        <v>0.27440999999999999</v>
      </c>
      <c r="H85" s="33">
        <v>0</v>
      </c>
      <c r="I85" s="33">
        <v>0.35369699999999998</v>
      </c>
      <c r="J85" s="33">
        <v>0.27440999999999999</v>
      </c>
      <c r="K85" s="33">
        <v>0.35369699999999998</v>
      </c>
      <c r="L85" s="33">
        <v>18.904409999999999</v>
      </c>
      <c r="M85" s="33">
        <v>23.503696999999999</v>
      </c>
      <c r="N85" s="34">
        <v>1.2426194310252201</v>
      </c>
      <c r="O85" s="34">
        <v>1.2439394184217101</v>
      </c>
      <c r="P85" s="34">
        <v>1.24584724121738</v>
      </c>
      <c r="Q85" s="34">
        <v>1.2442533653452399</v>
      </c>
      <c r="R85" s="33">
        <v>23.174591365196498</v>
      </c>
      <c r="S85" s="33">
        <v>23.2181586896628</v>
      </c>
      <c r="T85" s="33">
        <v>23.179577656189</v>
      </c>
      <c r="U85" s="15">
        <v>1.0616981944912101E-3</v>
      </c>
      <c r="V85" s="15">
        <v>2.93989412907876E-3</v>
      </c>
      <c r="W85" s="15">
        <v>1.27683703170859E-3</v>
      </c>
      <c r="X85" s="34">
        <v>1.24329175044341</v>
      </c>
      <c r="Y85" s="34">
        <v>1.24274983567304</v>
      </c>
      <c r="Z85" s="34">
        <v>1.2427231212487</v>
      </c>
      <c r="AA85" s="34">
        <v>1.2427513220031099</v>
      </c>
      <c r="AB85" s="33">
        <v>23.493452420995698</v>
      </c>
      <c r="AC85" s="33">
        <v>23.492127536078002</v>
      </c>
      <c r="AD85" s="33">
        <v>23.492530319012701</v>
      </c>
      <c r="AE85" s="15">
        <v>-4.3596598060530498E-4</v>
      </c>
      <c r="AF85" s="15">
        <v>-4.9236136486092204E-4</v>
      </c>
      <c r="AG85" s="15">
        <v>-4.7521606879721802E-4</v>
      </c>
      <c r="AI85" s="12"/>
      <c r="AJ85">
        <f t="shared" si="6"/>
        <v>0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3.0942619460569655E-3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0</v>
      </c>
      <c r="BE85" s="29">
        <f t="shared" si="22"/>
        <v>0</v>
      </c>
      <c r="BF85" s="29">
        <f t="shared" si="23"/>
        <v>3.0942619460569655E-3</v>
      </c>
      <c r="BH85" s="29"/>
    </row>
    <row r="86" spans="1:60" x14ac:dyDescent="0.25">
      <c r="A86" s="1">
        <v>46147</v>
      </c>
      <c r="B86" s="33">
        <v>18.64</v>
      </c>
      <c r="C86" s="33">
        <v>23.16</v>
      </c>
      <c r="D86" s="15">
        <v>5.3662464394803897E-4</v>
      </c>
      <c r="E86" s="15">
        <v>4.3187217255152599E-4</v>
      </c>
      <c r="F86" s="33">
        <v>0</v>
      </c>
      <c r="G86" s="33">
        <v>0.27440999999999999</v>
      </c>
      <c r="H86" s="33">
        <v>0</v>
      </c>
      <c r="I86" s="33">
        <v>0.35369699999999998</v>
      </c>
      <c r="J86" s="33">
        <v>0.27440999999999999</v>
      </c>
      <c r="K86" s="33">
        <v>0.35369699999999998</v>
      </c>
      <c r="L86" s="33">
        <v>18.91441</v>
      </c>
      <c r="M86" s="33">
        <v>23.513697000000001</v>
      </c>
      <c r="N86" s="34">
        <v>1.24248927038626</v>
      </c>
      <c r="O86" s="34">
        <v>1.2439394184217101</v>
      </c>
      <c r="P86" s="34">
        <v>1.24541736739947</v>
      </c>
      <c r="Q86" s="34">
        <v>1.2443125533161301</v>
      </c>
      <c r="R86" s="33">
        <v>23.187030759380701</v>
      </c>
      <c r="S86" s="33">
        <v>23.222592576291898</v>
      </c>
      <c r="T86" s="33">
        <v>23.192882730035301</v>
      </c>
      <c r="U86" s="15">
        <v>1.166450665888E-3</v>
      </c>
      <c r="V86" s="15">
        <v>2.69897005800185E-3</v>
      </c>
      <c r="W86" s="15">
        <v>1.41880002341893E-3</v>
      </c>
      <c r="X86" s="34">
        <v>1.24316312271966</v>
      </c>
      <c r="Y86" s="34">
        <v>1.24274983567304</v>
      </c>
      <c r="Z86" s="34">
        <v>1.24276794735993</v>
      </c>
      <c r="AA86" s="34">
        <v>1.2428143888663801</v>
      </c>
      <c r="AB86" s="33">
        <v>23.505879919352498</v>
      </c>
      <c r="AC86" s="33">
        <v>23.505374631777698</v>
      </c>
      <c r="AD86" s="33">
        <v>23.5059080324089</v>
      </c>
      <c r="AE86" s="15">
        <v>-3.3250323510670499E-4</v>
      </c>
      <c r="AF86" s="15">
        <v>-3.5399968652398802E-4</v>
      </c>
      <c r="AG86" s="15">
        <v>-3.3130723479765103E-4</v>
      </c>
      <c r="AI86" s="12"/>
      <c r="AJ86">
        <f t="shared" ref="AJ86:AJ149" si="26">IF($AG86&lt;AI$21,1,0)</f>
        <v>0</v>
      </c>
      <c r="AK86">
        <f t="shared" ref="AK86:AK149" si="27">IF($AG86&gt;AI$22,1,0)</f>
        <v>0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3.0942619460569655E-3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0</v>
      </c>
      <c r="BE86" s="29">
        <f t="shared" si="22"/>
        <v>0</v>
      </c>
      <c r="BF86" s="29">
        <f t="shared" si="23"/>
        <v>3.0942619460569655E-3</v>
      </c>
      <c r="BH86" s="29"/>
    </row>
    <row r="87" spans="1:60" x14ac:dyDescent="0.25">
      <c r="A87" s="1">
        <v>46148</v>
      </c>
      <c r="B87" s="33">
        <v>18.690000000000001</v>
      </c>
      <c r="C87" s="33">
        <v>23.21</v>
      </c>
      <c r="D87" s="15">
        <v>2.6788122100264199E-3</v>
      </c>
      <c r="E87" s="15">
        <v>2.1565675815511101E-3</v>
      </c>
      <c r="F87" s="33">
        <v>0</v>
      </c>
      <c r="G87" s="33">
        <v>0.27440999999999999</v>
      </c>
      <c r="H87" s="33">
        <v>0</v>
      </c>
      <c r="I87" s="33">
        <v>0.35369699999999998</v>
      </c>
      <c r="J87" s="33">
        <v>0.27440999999999999</v>
      </c>
      <c r="K87" s="33">
        <v>0.35369699999999998</v>
      </c>
      <c r="L87" s="33">
        <v>18.964410000000001</v>
      </c>
      <c r="M87" s="33">
        <v>23.563697000000001</v>
      </c>
      <c r="N87" s="34">
        <v>1.2418405564472901</v>
      </c>
      <c r="O87" s="34">
        <v>1.2439394184217101</v>
      </c>
      <c r="P87" s="34">
        <v>1.2449226221876699</v>
      </c>
      <c r="Q87" s="34">
        <v>1.24430522216414</v>
      </c>
      <c r="R87" s="33">
        <v>23.249227730301801</v>
      </c>
      <c r="S87" s="33">
        <v>23.2768505966962</v>
      </c>
      <c r="T87" s="33">
        <v>23.256201621478599</v>
      </c>
      <c r="U87" s="15">
        <v>1.68869529436308E-3</v>
      </c>
      <c r="V87" s="15">
        <v>2.8761097781634798E-3</v>
      </c>
      <c r="W87" s="15">
        <v>1.9886125868715E-3</v>
      </c>
      <c r="X87" s="34">
        <v>1.2425220188764099</v>
      </c>
      <c r="Y87" s="34">
        <v>1.24274983567304</v>
      </c>
      <c r="Z87" s="34">
        <v>1.2427486630868301</v>
      </c>
      <c r="AA87" s="34">
        <v>1.24281173241562</v>
      </c>
      <c r="AB87" s="33">
        <v>23.5680174111361</v>
      </c>
      <c r="AC87" s="33">
        <v>23.5683608885921</v>
      </c>
      <c r="AD87" s="33">
        <v>23.5692416243614</v>
      </c>
      <c r="AE87" s="15">
        <v>1.8333350281160701E-4</v>
      </c>
      <c r="AF87" s="15">
        <v>1.9790727654786299E-4</v>
      </c>
      <c r="AG87" s="15">
        <v>2.3527598952594099E-4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3.0942619460569655E-3</v>
      </c>
      <c r="AT87" s="12"/>
      <c r="AU87">
        <f t="shared" si="30"/>
        <v>0</v>
      </c>
      <c r="AV87">
        <f t="shared" si="31"/>
        <v>0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0</v>
      </c>
      <c r="BE87" s="29">
        <f t="shared" ref="BE87:BE150" si="42">AQ87+BB87</f>
        <v>0</v>
      </c>
      <c r="BF87" s="29">
        <f t="shared" ref="BF87:BF150" si="43">BF86+BE87</f>
        <v>3.0942619460569655E-3</v>
      </c>
      <c r="BH87" s="29"/>
    </row>
    <row r="88" spans="1:60" x14ac:dyDescent="0.25">
      <c r="A88" s="1">
        <v>46149</v>
      </c>
      <c r="B88" s="33">
        <v>18.66</v>
      </c>
      <c r="C88" s="33">
        <v>23.18</v>
      </c>
      <c r="D88" s="15">
        <v>-1.6064260482737899E-3</v>
      </c>
      <c r="E88" s="15">
        <v>-1.2933823747401101E-3</v>
      </c>
      <c r="F88" s="33">
        <v>0</v>
      </c>
      <c r="G88" s="33">
        <v>0.27440999999999999</v>
      </c>
      <c r="H88" s="33">
        <v>0</v>
      </c>
      <c r="I88" s="33">
        <v>0.35369699999999998</v>
      </c>
      <c r="J88" s="33">
        <v>0.27440999999999999</v>
      </c>
      <c r="K88" s="33">
        <v>0.35369699999999998</v>
      </c>
      <c r="L88" s="33">
        <v>18.93441</v>
      </c>
      <c r="M88" s="33">
        <v>23.533697</v>
      </c>
      <c r="N88" s="34">
        <v>1.2422293676312901</v>
      </c>
      <c r="O88" s="34">
        <v>1.2439394184217101</v>
      </c>
      <c r="P88" s="34">
        <v>1.2445202912848501</v>
      </c>
      <c r="Q88" s="34">
        <v>1.24431733157135</v>
      </c>
      <c r="R88" s="33">
        <v>23.211909547749102</v>
      </c>
      <c r="S88" s="33">
        <v>23.230256130021999</v>
      </c>
      <c r="T88" s="33">
        <v>23.218735445582901</v>
      </c>
      <c r="U88" s="15">
        <v>1.37565162082936E-3</v>
      </c>
      <c r="V88" s="15">
        <v>2.1657346395457799E-3</v>
      </c>
      <c r="W88" s="15">
        <v>1.66967716727222E-3</v>
      </c>
      <c r="X88" s="34">
        <v>1.2429062748720401</v>
      </c>
      <c r="Y88" s="34">
        <v>1.24274983567304</v>
      </c>
      <c r="Z88" s="34">
        <v>1.24282056258408</v>
      </c>
      <c r="AA88" s="34">
        <v>1.24282828876465</v>
      </c>
      <c r="AB88" s="33">
        <v>23.530734916065899</v>
      </c>
      <c r="AC88" s="33">
        <v>23.5307127138379</v>
      </c>
      <c r="AD88" s="33">
        <v>23.531906894367701</v>
      </c>
      <c r="AE88" s="15">
        <v>-1.25873565975705E-4</v>
      </c>
      <c r="AF88" s="15">
        <v>-1.2681710805114099E-4</v>
      </c>
      <c r="AG88" s="15">
        <v>-7.6068529242837805E-5</v>
      </c>
      <c r="AI88" s="12"/>
      <c r="AJ88">
        <f t="shared" si="26"/>
        <v>0</v>
      </c>
      <c r="AK88">
        <f t="shared" si="27"/>
        <v>1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3.0942619460569655E-3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0</v>
      </c>
      <c r="BE88" s="29">
        <f t="shared" si="42"/>
        <v>0</v>
      </c>
      <c r="BF88" s="29">
        <f t="shared" si="43"/>
        <v>3.0942619460569655E-3</v>
      </c>
      <c r="BH88" s="29"/>
    </row>
    <row r="89" spans="1:60" x14ac:dyDescent="0.25">
      <c r="A89" s="1">
        <v>46150</v>
      </c>
      <c r="B89" s="33">
        <v>18.68</v>
      </c>
      <c r="C89" s="33">
        <v>23.2</v>
      </c>
      <c r="D89" s="15">
        <v>1.0712373814988499E-3</v>
      </c>
      <c r="E89" s="15">
        <v>8.6244076065870401E-4</v>
      </c>
      <c r="F89" s="33">
        <v>0</v>
      </c>
      <c r="G89" s="33">
        <v>0.27440999999999999</v>
      </c>
      <c r="H89" s="33">
        <v>0</v>
      </c>
      <c r="I89" s="33">
        <v>0.35369699999999998</v>
      </c>
      <c r="J89" s="33">
        <v>0.27440999999999999</v>
      </c>
      <c r="K89" s="33">
        <v>0.35369699999999998</v>
      </c>
      <c r="L89" s="33">
        <v>18.954409999999999</v>
      </c>
      <c r="M89" s="33">
        <v>23.553697</v>
      </c>
      <c r="N89" s="34">
        <v>1.2419700214132701</v>
      </c>
      <c r="O89" s="34">
        <v>1.2439394184217101</v>
      </c>
      <c r="P89" s="34">
        <v>1.24406488700906</v>
      </c>
      <c r="Q89" s="34">
        <v>1.24428328320321</v>
      </c>
      <c r="R89" s="33">
        <v>23.236788336117598</v>
      </c>
      <c r="S89" s="33">
        <v>23.247639041201001</v>
      </c>
      <c r="T89" s="33">
        <v>23.243847753752799</v>
      </c>
      <c r="U89" s="15">
        <v>1.58444824166973E-3</v>
      </c>
      <c r="V89" s="15">
        <v>2.0513015898851999E-3</v>
      </c>
      <c r="W89" s="15">
        <v>1.8882056031582701E-3</v>
      </c>
      <c r="X89" s="34">
        <v>1.2426499690573301</v>
      </c>
      <c r="Y89" s="34">
        <v>1.24274983567304</v>
      </c>
      <c r="Z89" s="34">
        <v>1.2428396567186599</v>
      </c>
      <c r="AA89" s="34">
        <v>1.2427991824042399</v>
      </c>
      <c r="AB89" s="33">
        <v>23.5555899127794</v>
      </c>
      <c r="AC89" s="33">
        <v>23.5569304996494</v>
      </c>
      <c r="AD89" s="33">
        <v>23.557076944843601</v>
      </c>
      <c r="AE89" s="15">
        <v>8.0362616566442895E-5</v>
      </c>
      <c r="AF89" s="15">
        <v>1.3727262089902899E-4</v>
      </c>
      <c r="AG89" s="15">
        <v>1.4348925167045101E-4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3.0942619460569655E-3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0</v>
      </c>
      <c r="BE89" s="29">
        <f t="shared" si="42"/>
        <v>0</v>
      </c>
      <c r="BF89" s="29">
        <f t="shared" si="43"/>
        <v>3.0942619460569655E-3</v>
      </c>
      <c r="BH89" s="29"/>
    </row>
    <row r="90" spans="1:60" x14ac:dyDescent="0.25">
      <c r="A90" s="1">
        <v>46153</v>
      </c>
      <c r="B90" s="33">
        <v>18.66</v>
      </c>
      <c r="C90" s="33">
        <v>23.18</v>
      </c>
      <c r="D90" s="15">
        <v>-1.0712373814988001E-3</v>
      </c>
      <c r="E90" s="15">
        <v>-8.6244076065859505E-4</v>
      </c>
      <c r="F90" s="33">
        <v>0</v>
      </c>
      <c r="G90" s="33">
        <v>0.27440999999999999</v>
      </c>
      <c r="H90" s="33">
        <v>0</v>
      </c>
      <c r="I90" s="33">
        <v>0.35369699999999998</v>
      </c>
      <c r="J90" s="33">
        <v>0.27440999999999999</v>
      </c>
      <c r="K90" s="33">
        <v>0.35369699999999998</v>
      </c>
      <c r="L90" s="33">
        <v>18.93441</v>
      </c>
      <c r="M90" s="33">
        <v>23.533697</v>
      </c>
      <c r="N90" s="34">
        <v>1.2422293676312901</v>
      </c>
      <c r="O90" s="34">
        <v>1.2439394184217101</v>
      </c>
      <c r="P90" s="34">
        <v>1.2436757317443701</v>
      </c>
      <c r="Q90" s="34">
        <v>1.2442484622094401</v>
      </c>
      <c r="R90" s="33">
        <v>23.211909547749102</v>
      </c>
      <c r="S90" s="33">
        <v>23.214250791589102</v>
      </c>
      <c r="T90" s="33">
        <v>23.218326064571901</v>
      </c>
      <c r="U90" s="15">
        <v>1.37565162082936E-3</v>
      </c>
      <c r="V90" s="15">
        <v>1.4765104394300599E-3</v>
      </c>
      <c r="W90" s="15">
        <v>1.6520455171326999E-3</v>
      </c>
      <c r="X90" s="34">
        <v>1.2429062748720401</v>
      </c>
      <c r="Y90" s="34">
        <v>1.24274983567304</v>
      </c>
      <c r="Z90" s="34">
        <v>1.24292432683625</v>
      </c>
      <c r="AA90" s="34">
        <v>1.2427693303777001</v>
      </c>
      <c r="AB90" s="33">
        <v>23.530734916065899</v>
      </c>
      <c r="AC90" s="33">
        <v>23.5324356245705</v>
      </c>
      <c r="AD90" s="33">
        <v>23.5316692673067</v>
      </c>
      <c r="AE90" s="15">
        <v>-1.25873565975705E-4</v>
      </c>
      <c r="AF90" s="15">
        <v>-5.3600130686727297E-5</v>
      </c>
      <c r="AG90" s="15">
        <v>-8.6166659490591302E-5</v>
      </c>
      <c r="AI90" s="12"/>
      <c r="AJ90">
        <f t="shared" si="26"/>
        <v>0</v>
      </c>
      <c r="AK90">
        <f t="shared" si="27"/>
        <v>1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3.0942619460569655E-3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0</v>
      </c>
      <c r="BE90" s="29">
        <f t="shared" si="42"/>
        <v>0</v>
      </c>
      <c r="BF90" s="29">
        <f t="shared" si="43"/>
        <v>3.0942619460569655E-3</v>
      </c>
      <c r="BH90" s="29"/>
    </row>
    <row r="91" spans="1:60" x14ac:dyDescent="0.25">
      <c r="A91" s="1">
        <v>46154</v>
      </c>
      <c r="B91" s="33">
        <v>18.64</v>
      </c>
      <c r="C91" s="33">
        <v>23.15</v>
      </c>
      <c r="D91" s="15">
        <v>-1.0723861617525901E-3</v>
      </c>
      <c r="E91" s="15">
        <v>-1.29505737936258E-3</v>
      </c>
      <c r="F91" s="33">
        <v>0</v>
      </c>
      <c r="G91" s="33">
        <v>0.27440999999999999</v>
      </c>
      <c r="H91" s="33">
        <v>0</v>
      </c>
      <c r="I91" s="33">
        <v>0.35369699999999998</v>
      </c>
      <c r="J91" s="33">
        <v>0.27440999999999999</v>
      </c>
      <c r="K91" s="33">
        <v>0.35369699999999998</v>
      </c>
      <c r="L91" s="33">
        <v>18.91441</v>
      </c>
      <c r="M91" s="33">
        <v>23.503696999999999</v>
      </c>
      <c r="N91" s="34">
        <v>1.2419527896995699</v>
      </c>
      <c r="O91" s="34">
        <v>1.2439394184217101</v>
      </c>
      <c r="P91" s="34">
        <v>1.24305857770254</v>
      </c>
      <c r="Q91" s="34">
        <v>1.24421276836108</v>
      </c>
      <c r="R91" s="33">
        <v>23.187030759380701</v>
      </c>
      <c r="S91" s="33">
        <v>23.1821156397151</v>
      </c>
      <c r="T91" s="33">
        <v>23.192791335584001</v>
      </c>
      <c r="U91" s="15">
        <v>1.5983228384393699E-3</v>
      </c>
      <c r="V91" s="15">
        <v>1.3863232626131E-3</v>
      </c>
      <c r="W91" s="15">
        <v>1.8467315632976101E-3</v>
      </c>
      <c r="X91" s="34">
        <v>1.24263442528738</v>
      </c>
      <c r="Y91" s="34">
        <v>1.24274983567304</v>
      </c>
      <c r="Z91" s="34">
        <v>1.24278501797215</v>
      </c>
      <c r="AA91" s="34">
        <v>1.24273873270209</v>
      </c>
      <c r="AB91" s="33">
        <v>23.505879919352498</v>
      </c>
      <c r="AC91" s="33">
        <v>23.509180316754801</v>
      </c>
      <c r="AD91" s="33">
        <v>23.5062486501892</v>
      </c>
      <c r="AE91" s="15">
        <v>9.2871261437647205E-5</v>
      </c>
      <c r="AF91" s="15">
        <v>2.3326871668759701E-4</v>
      </c>
      <c r="AG91" s="15">
        <v>1.08557887336036E-4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3.0942619460569655E-3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0</v>
      </c>
      <c r="BE91" s="29">
        <f t="shared" si="42"/>
        <v>0</v>
      </c>
      <c r="BF91" s="29">
        <f t="shared" si="43"/>
        <v>3.0942619460569655E-3</v>
      </c>
      <c r="BH91" s="29"/>
    </row>
    <row r="92" spans="1:60" x14ac:dyDescent="0.25">
      <c r="A92" s="1">
        <v>46155</v>
      </c>
      <c r="B92" s="33">
        <v>18.649999999999999</v>
      </c>
      <c r="C92" s="33">
        <v>23.17</v>
      </c>
      <c r="D92" s="15">
        <v>5.3633683237935001E-4</v>
      </c>
      <c r="E92" s="15">
        <v>8.6355791204198397E-4</v>
      </c>
      <c r="F92" s="33">
        <v>0</v>
      </c>
      <c r="G92" s="33">
        <v>0.27440999999999999</v>
      </c>
      <c r="H92" s="33">
        <v>0</v>
      </c>
      <c r="I92" s="33">
        <v>0.35369699999999998</v>
      </c>
      <c r="J92" s="33">
        <v>0.27440999999999999</v>
      </c>
      <c r="K92" s="33">
        <v>0.35369699999999998</v>
      </c>
      <c r="L92" s="33">
        <v>18.924409999999899</v>
      </c>
      <c r="M92" s="33">
        <v>23.523696999999999</v>
      </c>
      <c r="N92" s="34">
        <v>1.2423592493297499</v>
      </c>
      <c r="O92" s="34">
        <v>1.2439394184217101</v>
      </c>
      <c r="P92" s="34">
        <v>1.24265682147609</v>
      </c>
      <c r="Q92" s="34">
        <v>1.2442240641608999</v>
      </c>
      <c r="R92" s="33">
        <v>23.199470153564899</v>
      </c>
      <c r="S92" s="33">
        <v>23.183042474152401</v>
      </c>
      <c r="T92" s="33">
        <v>23.204568129934199</v>
      </c>
      <c r="U92" s="15">
        <v>1.2711017587769501E-3</v>
      </c>
      <c r="V92" s="15">
        <v>5.6274513172952401E-4</v>
      </c>
      <c r="W92" s="15">
        <v>1.4908229976347E-3</v>
      </c>
      <c r="X92" s="34">
        <v>1.2430346309343301</v>
      </c>
      <c r="Y92" s="34">
        <v>1.24274983567304</v>
      </c>
      <c r="Z92" s="34">
        <v>1.2428585950231199</v>
      </c>
      <c r="AA92" s="34">
        <v>1.2427545244777201</v>
      </c>
      <c r="AB92" s="33">
        <v>23.518307417709199</v>
      </c>
      <c r="AC92" s="33">
        <v>23.518973221962401</v>
      </c>
      <c r="AD92" s="33">
        <v>23.518097300534698</v>
      </c>
      <c r="AE92" s="15">
        <v>-2.29139144093269E-4</v>
      </c>
      <c r="AF92" s="15">
        <v>-2.00829503560889E-4</v>
      </c>
      <c r="AG92" s="15">
        <v>-2.3807338027628401E-4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3.0942619460569655E-3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0</v>
      </c>
      <c r="BE92" s="29">
        <f t="shared" si="42"/>
        <v>0</v>
      </c>
      <c r="BF92" s="29">
        <f t="shared" si="43"/>
        <v>3.0942619460569655E-3</v>
      </c>
      <c r="BH92" s="29"/>
    </row>
    <row r="93" spans="1:60" x14ac:dyDescent="0.25">
      <c r="A93" s="1">
        <v>46156</v>
      </c>
      <c r="B93" s="33">
        <v>18.64</v>
      </c>
      <c r="C93" s="33">
        <v>23.14</v>
      </c>
      <c r="D93" s="15">
        <v>-5.3633683237928897E-4</v>
      </c>
      <c r="E93" s="15">
        <v>-1.29561667875439E-3</v>
      </c>
      <c r="F93" s="33">
        <v>0</v>
      </c>
      <c r="G93" s="33">
        <v>0.27440999999999999</v>
      </c>
      <c r="H93" s="33">
        <v>0</v>
      </c>
      <c r="I93" s="33">
        <v>0.35369699999999998</v>
      </c>
      <c r="J93" s="33">
        <v>0.27440999999999999</v>
      </c>
      <c r="K93" s="33">
        <v>0.35369699999999998</v>
      </c>
      <c r="L93" s="33">
        <v>18.91441</v>
      </c>
      <c r="M93" s="33">
        <v>23.493697000000001</v>
      </c>
      <c r="N93" s="34">
        <v>1.24141630901287</v>
      </c>
      <c r="O93" s="34">
        <v>1.2439394184217101</v>
      </c>
      <c r="P93" s="34">
        <v>1.2421335730208101</v>
      </c>
      <c r="Q93" s="34">
        <v>1.2441485902362099</v>
      </c>
      <c r="R93" s="33">
        <v>23.187030759380701</v>
      </c>
      <c r="S93" s="33">
        <v>23.163123152314402</v>
      </c>
      <c r="T93" s="33">
        <v>23.192336555959301</v>
      </c>
      <c r="U93" s="15">
        <v>2.0303816051519502E-3</v>
      </c>
      <c r="V93" s="15">
        <v>9.9877298386949194E-4</v>
      </c>
      <c r="W93" s="15">
        <v>2.2591814749587302E-3</v>
      </c>
      <c r="X93" s="34">
        <v>1.24210572785511</v>
      </c>
      <c r="Y93" s="34">
        <v>1.24274983567304</v>
      </c>
      <c r="Z93" s="34">
        <v>1.2428120469789701</v>
      </c>
      <c r="AA93" s="34">
        <v>1.2426846451003299</v>
      </c>
      <c r="AB93" s="33">
        <v>23.505879919352498</v>
      </c>
      <c r="AC93" s="33">
        <v>23.507937038291299</v>
      </c>
      <c r="AD93" s="33">
        <v>23.5059686053267</v>
      </c>
      <c r="AE93" s="15">
        <v>5.1842677844824803E-4</v>
      </c>
      <c r="AF93" s="15">
        <v>6.0593802825942495E-4</v>
      </c>
      <c r="AG93" s="15">
        <v>5.2219969855300005E-4</v>
      </c>
      <c r="AI93" s="12"/>
      <c r="AJ93">
        <f t="shared" si="26"/>
        <v>0</v>
      </c>
      <c r="AK93">
        <f t="shared" si="27"/>
        <v>1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3.0942619460569655E-3</v>
      </c>
      <c r="AT93" s="12"/>
      <c r="AU93">
        <f t="shared" si="30"/>
        <v>0</v>
      </c>
      <c r="AV93">
        <f t="shared" si="31"/>
        <v>0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0</v>
      </c>
      <c r="BE93" s="29">
        <f t="shared" si="42"/>
        <v>0</v>
      </c>
      <c r="BF93" s="29">
        <f t="shared" si="43"/>
        <v>3.0942619460569655E-3</v>
      </c>
      <c r="BH93" s="29"/>
    </row>
    <row r="94" spans="1:60" x14ac:dyDescent="0.25">
      <c r="A94" s="1">
        <v>46157</v>
      </c>
      <c r="B94" s="33">
        <v>18.59</v>
      </c>
      <c r="C94" s="33">
        <v>23.1</v>
      </c>
      <c r="D94" s="15">
        <v>-2.68600752409255E-3</v>
      </c>
      <c r="E94" s="15">
        <v>-1.73010423778256E-3</v>
      </c>
      <c r="F94" s="33">
        <v>0</v>
      </c>
      <c r="G94" s="33">
        <v>0.27440999999999999</v>
      </c>
      <c r="H94" s="33">
        <v>0</v>
      </c>
      <c r="I94" s="33">
        <v>0.35369699999999998</v>
      </c>
      <c r="J94" s="33">
        <v>0.27440999999999999</v>
      </c>
      <c r="K94" s="33">
        <v>0.35369699999999998</v>
      </c>
      <c r="L94" s="33">
        <v>18.864409999999999</v>
      </c>
      <c r="M94" s="33">
        <v>23.453696999999998</v>
      </c>
      <c r="N94" s="34">
        <v>1.2426035502958499</v>
      </c>
      <c r="O94" s="34">
        <v>1.2439394184217101</v>
      </c>
      <c r="P94" s="34">
        <v>1.24217099128727</v>
      </c>
      <c r="Q94" s="34">
        <v>1.24422448355729</v>
      </c>
      <c r="R94" s="33">
        <v>23.1248337884596</v>
      </c>
      <c r="S94" s="33">
        <v>23.091263122456901</v>
      </c>
      <c r="T94" s="33">
        <v>23.1287222924913</v>
      </c>
      <c r="U94" s="15">
        <v>1.0744783188419999E-3</v>
      </c>
      <c r="V94" s="15">
        <v>-3.7829135020836301E-4</v>
      </c>
      <c r="W94" s="15">
        <v>1.2426169170504E-3</v>
      </c>
      <c r="X94" s="34">
        <v>1.2432775263048199</v>
      </c>
      <c r="Y94" s="34">
        <v>1.24274983567304</v>
      </c>
      <c r="Z94" s="34">
        <v>1.2428491721222501</v>
      </c>
      <c r="AA94" s="34">
        <v>1.2427644622084899</v>
      </c>
      <c r="AB94" s="33">
        <v>23.4437424275688</v>
      </c>
      <c r="AC94" s="33">
        <v>23.444916007150699</v>
      </c>
      <c r="AD94" s="33">
        <v>23.442512645877098</v>
      </c>
      <c r="AE94" s="15">
        <v>-4.2452520658529502E-4</v>
      </c>
      <c r="AF94" s="15">
        <v>-3.74467063687207E-4</v>
      </c>
      <c r="AG94" s="15">
        <v>-4.7698329648955898E-4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3.0942619460569655E-3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0</v>
      </c>
      <c r="BE94" s="29">
        <f t="shared" si="42"/>
        <v>0</v>
      </c>
      <c r="BF94" s="29">
        <f t="shared" si="43"/>
        <v>3.0942619460569655E-3</v>
      </c>
      <c r="BH94" s="29"/>
    </row>
    <row r="95" spans="1:60" x14ac:dyDescent="0.25">
      <c r="A95" s="1">
        <v>46160</v>
      </c>
      <c r="B95" s="33">
        <v>18.53</v>
      </c>
      <c r="C95" s="33">
        <v>23.11</v>
      </c>
      <c r="D95" s="15">
        <v>-3.2327614360842102E-3</v>
      </c>
      <c r="E95" s="15">
        <v>4.3280675854152E-4</v>
      </c>
      <c r="F95" s="33">
        <v>7.17E-2</v>
      </c>
      <c r="G95" s="33">
        <v>0.34610999999999997</v>
      </c>
      <c r="H95" s="33">
        <v>0</v>
      </c>
      <c r="I95" s="33">
        <v>0.35369699999999998</v>
      </c>
      <c r="J95" s="33">
        <v>0.34610999999999997</v>
      </c>
      <c r="K95" s="33">
        <v>0.35369699999999998</v>
      </c>
      <c r="L95" s="33">
        <v>18.876110000000001</v>
      </c>
      <c r="M95" s="33">
        <v>23.463697</v>
      </c>
      <c r="N95" s="34">
        <v>1.2471667566108999</v>
      </c>
      <c r="O95" s="34">
        <v>1.2439394184217101</v>
      </c>
      <c r="P95" s="34">
        <v>1.24262572384584</v>
      </c>
      <c r="Q95" s="34">
        <v>1.2442364825316099</v>
      </c>
      <c r="R95" s="33">
        <v>23.050197423354302</v>
      </c>
      <c r="S95" s="33">
        <v>23.017428468553099</v>
      </c>
      <c r="T95" s="33">
        <v>23.055479680316601</v>
      </c>
      <c r="U95" s="15">
        <v>-2.5910898757836201E-3</v>
      </c>
      <c r="V95" s="15">
        <v>-4.01373580960733E-3</v>
      </c>
      <c r="W95" s="15">
        <v>-2.3619529313898199E-3</v>
      </c>
      <c r="X95" s="34">
        <v>1.24303667439954</v>
      </c>
      <c r="Y95" s="34">
        <v>1.24274983567304</v>
      </c>
      <c r="Z95" s="34">
        <v>1.2428236645178601</v>
      </c>
      <c r="AA95" s="34">
        <v>1.24277339288328</v>
      </c>
      <c r="AB95" s="33">
        <v>23.4582826006462</v>
      </c>
      <c r="AC95" s="33">
        <v>23.460157686388602</v>
      </c>
      <c r="AD95" s="33">
        <v>23.458558692738301</v>
      </c>
      <c r="AE95" s="15">
        <v>-2.3078307538963901E-4</v>
      </c>
      <c r="AF95" s="15">
        <v>-1.5085348983854901E-4</v>
      </c>
      <c r="AG95" s="15">
        <v>-2.1901365167960801E-4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3.0942619460569655E-3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0</v>
      </c>
      <c r="BE95" s="29">
        <f t="shared" si="42"/>
        <v>0</v>
      </c>
      <c r="BF95" s="29">
        <f t="shared" si="43"/>
        <v>3.0942619460569655E-3</v>
      </c>
      <c r="BH95" s="29"/>
    </row>
    <row r="96" spans="1:60" x14ac:dyDescent="0.25">
      <c r="A96" s="1">
        <v>46161</v>
      </c>
      <c r="B96" s="33">
        <v>18.5</v>
      </c>
      <c r="C96" s="33">
        <v>23.07</v>
      </c>
      <c r="D96" s="15">
        <v>-1.62030821298931E-3</v>
      </c>
      <c r="E96" s="15">
        <v>-1.7323521006270401E-3</v>
      </c>
      <c r="F96" s="33">
        <v>0</v>
      </c>
      <c r="G96" s="33">
        <v>0.34610999999999997</v>
      </c>
      <c r="H96" s="33">
        <v>0</v>
      </c>
      <c r="I96" s="33">
        <v>0.35369699999999998</v>
      </c>
      <c r="J96" s="33">
        <v>0.34610999999999997</v>
      </c>
      <c r="K96" s="33">
        <v>0.35369699999999998</v>
      </c>
      <c r="L96" s="33">
        <v>18.846109999999999</v>
      </c>
      <c r="M96" s="33">
        <v>23.423697000000001</v>
      </c>
      <c r="N96" s="34">
        <v>1.2470270270270201</v>
      </c>
      <c r="O96" s="34">
        <v>1.2439394184217101</v>
      </c>
      <c r="P96" s="34">
        <v>1.2430794995099099</v>
      </c>
      <c r="Q96" s="34">
        <v>1.2442484334546899</v>
      </c>
      <c r="R96" s="33">
        <v>23.012879240801698</v>
      </c>
      <c r="S96" s="33">
        <v>22.988575891147999</v>
      </c>
      <c r="T96" s="33">
        <v>23.018374926834699</v>
      </c>
      <c r="U96" s="15">
        <v>-2.4790459881459002E-3</v>
      </c>
      <c r="V96" s="15">
        <v>-3.5356800378789199E-3</v>
      </c>
      <c r="W96" s="15">
        <v>-2.2402653527463399E-3</v>
      </c>
      <c r="X96" s="34">
        <v>1.2428929365264201</v>
      </c>
      <c r="Y96" s="34">
        <v>1.24274983567304</v>
      </c>
      <c r="Z96" s="34">
        <v>1.24279664589854</v>
      </c>
      <c r="AA96" s="34">
        <v>1.2427822966292299</v>
      </c>
      <c r="AB96" s="33">
        <v>23.421000105575999</v>
      </c>
      <c r="AC96" s="33">
        <v>23.422391492106801</v>
      </c>
      <c r="AD96" s="33">
        <v>23.421444067351601</v>
      </c>
      <c r="AE96" s="15">
        <v>-1.15141930403265E-4</v>
      </c>
      <c r="AF96" s="15">
        <v>-5.5736046935375403E-5</v>
      </c>
      <c r="AG96" s="15">
        <v>-9.6186396229316098E-5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3.0942619460569655E-3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0</v>
      </c>
      <c r="BE96" s="29">
        <f t="shared" si="42"/>
        <v>0</v>
      </c>
      <c r="BF96" s="29">
        <f t="shared" si="43"/>
        <v>3.0942619460569655E-3</v>
      </c>
      <c r="BH96" s="29"/>
    </row>
    <row r="97" spans="1:60" x14ac:dyDescent="0.25">
      <c r="A97" s="1">
        <v>46162</v>
      </c>
      <c r="B97" s="33">
        <v>18.55</v>
      </c>
      <c r="C97" s="33">
        <v>23.13</v>
      </c>
      <c r="D97" s="15">
        <v>2.6990569691649801E-3</v>
      </c>
      <c r="E97" s="15">
        <v>2.5974040576854699E-3</v>
      </c>
      <c r="F97" s="33">
        <v>0</v>
      </c>
      <c r="G97" s="33">
        <v>0.34610999999999997</v>
      </c>
      <c r="H97" s="33">
        <v>0</v>
      </c>
      <c r="I97" s="33">
        <v>0.35369699999999998</v>
      </c>
      <c r="J97" s="33">
        <v>0.34610999999999997</v>
      </c>
      <c r="K97" s="33">
        <v>0.35369699999999998</v>
      </c>
      <c r="L97" s="33">
        <v>18.89611</v>
      </c>
      <c r="M97" s="33">
        <v>23.483696999999999</v>
      </c>
      <c r="N97" s="34">
        <v>1.2469002695417699</v>
      </c>
      <c r="O97" s="34">
        <v>1.2439394184217101</v>
      </c>
      <c r="P97" s="34">
        <v>1.2435854708193601</v>
      </c>
      <c r="Q97" s="34">
        <v>1.2442540465035099</v>
      </c>
      <c r="R97" s="33">
        <v>23.075076211722799</v>
      </c>
      <c r="S97" s="33">
        <v>23.059124715908901</v>
      </c>
      <c r="T97" s="33">
        <v>23.080808440584601</v>
      </c>
      <c r="U97" s="15">
        <v>-2.3773930766662001E-3</v>
      </c>
      <c r="V97" s="15">
        <v>-3.0689189350877502E-3</v>
      </c>
      <c r="W97" s="15">
        <v>-2.1290074619404E-3</v>
      </c>
      <c r="X97" s="34">
        <v>1.24277943978945</v>
      </c>
      <c r="Y97" s="34">
        <v>1.24274983567304</v>
      </c>
      <c r="Z97" s="34">
        <v>1.2428223879898499</v>
      </c>
      <c r="AA97" s="34">
        <v>1.24278552553834</v>
      </c>
      <c r="AB97" s="33">
        <v>23.483137597359601</v>
      </c>
      <c r="AC97" s="33">
        <v>23.484022128529901</v>
      </c>
      <c r="AD97" s="33">
        <v>23.4837509831587</v>
      </c>
      <c r="AE97" s="15">
        <v>-2.3821177012877701E-5</v>
      </c>
      <c r="AF97" s="15">
        <v>1.38447655545658E-5</v>
      </c>
      <c r="AG97" s="15">
        <v>2.2987477947682399E-6</v>
      </c>
      <c r="AI97" s="12"/>
      <c r="AJ97">
        <f t="shared" si="26"/>
        <v>0</v>
      </c>
      <c r="AK97">
        <f t="shared" si="27"/>
        <v>1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3.0942619460569655E-3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0</v>
      </c>
      <c r="BE97" s="29">
        <f t="shared" si="42"/>
        <v>0</v>
      </c>
      <c r="BF97" s="29">
        <f t="shared" si="43"/>
        <v>3.0942619460569655E-3</v>
      </c>
      <c r="BH97" s="29"/>
    </row>
    <row r="98" spans="1:60" x14ac:dyDescent="0.25">
      <c r="A98" s="1">
        <v>46163</v>
      </c>
      <c r="B98" s="33">
        <v>18.55</v>
      </c>
      <c r="C98" s="33">
        <v>23.14</v>
      </c>
      <c r="D98" s="15">
        <v>0</v>
      </c>
      <c r="E98" s="15">
        <v>4.3224552218270099E-4</v>
      </c>
      <c r="F98" s="33">
        <v>0</v>
      </c>
      <c r="G98" s="33">
        <v>0.34610999999999997</v>
      </c>
      <c r="H98" s="33">
        <v>0</v>
      </c>
      <c r="I98" s="33">
        <v>0.35369699999999998</v>
      </c>
      <c r="J98" s="33">
        <v>0.34610999999999997</v>
      </c>
      <c r="K98" s="33">
        <v>0.35369699999999998</v>
      </c>
      <c r="L98" s="33">
        <v>18.89611</v>
      </c>
      <c r="M98" s="33">
        <v>23.493697000000001</v>
      </c>
      <c r="N98" s="34">
        <v>1.2474393530997301</v>
      </c>
      <c r="O98" s="34">
        <v>1.2439394184217101</v>
      </c>
      <c r="P98" s="34">
        <v>1.2441064693662001</v>
      </c>
      <c r="Q98" s="34">
        <v>1.24431338032552</v>
      </c>
      <c r="R98" s="33">
        <v>23.075076211722799</v>
      </c>
      <c r="S98" s="33">
        <v>23.0685104836992</v>
      </c>
      <c r="T98" s="33">
        <v>23.080912562640201</v>
      </c>
      <c r="U98" s="15">
        <v>-2.80963859884903E-3</v>
      </c>
      <c r="V98" s="15">
        <v>-3.0942167401732E-3</v>
      </c>
      <c r="W98" s="15">
        <v>-2.5567417980839201E-3</v>
      </c>
      <c r="X98" s="34">
        <v>1.2433086492405001</v>
      </c>
      <c r="Y98" s="34">
        <v>1.24274983567304</v>
      </c>
      <c r="Z98" s="34">
        <v>1.2428626254266899</v>
      </c>
      <c r="AA98" s="34">
        <v>1.2428415940053901</v>
      </c>
      <c r="AB98" s="33">
        <v>23.483137597359601</v>
      </c>
      <c r="AC98" s="33">
        <v>23.4845085539189</v>
      </c>
      <c r="AD98" s="33">
        <v>23.4838119969803</v>
      </c>
      <c r="AE98" s="15">
        <v>-4.4955786862441502E-4</v>
      </c>
      <c r="AF98" s="15">
        <v>-3.9117910486055602E-4</v>
      </c>
      <c r="AG98" s="15">
        <v>-4.2083981788809102E-4</v>
      </c>
      <c r="AI98" s="12"/>
      <c r="AJ98">
        <f t="shared" si="26"/>
        <v>0</v>
      </c>
      <c r="AK98">
        <f t="shared" si="27"/>
        <v>0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3.0942619460569655E-3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0</v>
      </c>
      <c r="BE98" s="29">
        <f t="shared" si="42"/>
        <v>0</v>
      </c>
      <c r="BF98" s="29">
        <f t="shared" si="43"/>
        <v>3.0942619460569655E-3</v>
      </c>
      <c r="BH98" s="29"/>
    </row>
    <row r="99" spans="1:60" x14ac:dyDescent="0.25">
      <c r="A99" s="1">
        <v>46164</v>
      </c>
      <c r="B99" s="33">
        <v>18.55</v>
      </c>
      <c r="C99" s="33">
        <v>23.13</v>
      </c>
      <c r="D99" s="15">
        <v>0</v>
      </c>
      <c r="E99" s="15">
        <v>-4.3224552218276301E-4</v>
      </c>
      <c r="F99" s="33">
        <v>0</v>
      </c>
      <c r="G99" s="33">
        <v>0.34610999999999997</v>
      </c>
      <c r="H99" s="33">
        <v>0</v>
      </c>
      <c r="I99" s="33">
        <v>0.35369699999999998</v>
      </c>
      <c r="J99" s="33">
        <v>0.34610999999999997</v>
      </c>
      <c r="K99" s="33">
        <v>0.35369699999999998</v>
      </c>
      <c r="L99" s="33">
        <v>18.89611</v>
      </c>
      <c r="M99" s="33">
        <v>23.483696999999999</v>
      </c>
      <c r="N99" s="34">
        <v>1.2469002695417699</v>
      </c>
      <c r="O99" s="34">
        <v>1.2439394184217101</v>
      </c>
      <c r="P99" s="34">
        <v>1.2445994941790499</v>
      </c>
      <c r="Q99" s="34">
        <v>1.2443321905940601</v>
      </c>
      <c r="R99" s="33">
        <v>23.075076211722799</v>
      </c>
      <c r="S99" s="33">
        <v>23.078175006743098</v>
      </c>
      <c r="T99" s="33">
        <v>23.0820132050385</v>
      </c>
      <c r="U99" s="15">
        <v>-2.3773930766662001E-3</v>
      </c>
      <c r="V99" s="15">
        <v>-2.2431102279744401E-3</v>
      </c>
      <c r="W99" s="15">
        <v>-2.0768111528203402E-3</v>
      </c>
      <c r="X99" s="34">
        <v>1.24277943978945</v>
      </c>
      <c r="Y99" s="34">
        <v>1.24274983567304</v>
      </c>
      <c r="Z99" s="34">
        <v>1.2428755724999001</v>
      </c>
      <c r="AA99" s="34">
        <v>1.24285761460928</v>
      </c>
      <c r="AB99" s="33">
        <v>23.483137597359601</v>
      </c>
      <c r="AC99" s="33">
        <v>23.485268884951601</v>
      </c>
      <c r="AD99" s="33">
        <v>23.484871472901201</v>
      </c>
      <c r="AE99" s="15">
        <v>-2.3821177012877701E-5</v>
      </c>
      <c r="AF99" s="15">
        <v>6.69329171987403E-5</v>
      </c>
      <c r="AG99" s="15">
        <v>5.00110154370788E-5</v>
      </c>
      <c r="AI99" s="12"/>
      <c r="AJ99">
        <f t="shared" si="26"/>
        <v>0</v>
      </c>
      <c r="AK99">
        <f t="shared" si="27"/>
        <v>1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3.0942619460569655E-3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0</v>
      </c>
      <c r="BE99" s="29">
        <f t="shared" si="42"/>
        <v>0</v>
      </c>
      <c r="BF99" s="29">
        <f t="shared" si="43"/>
        <v>3.0942619460569655E-3</v>
      </c>
      <c r="BH99" s="29"/>
    </row>
    <row r="100" spans="1:60" x14ac:dyDescent="0.25">
      <c r="A100" s="1">
        <v>46168</v>
      </c>
      <c r="B100" s="33">
        <v>18.579999999999998</v>
      </c>
      <c r="C100" s="33">
        <v>23.16</v>
      </c>
      <c r="D100" s="15">
        <v>1.6159443322481799E-3</v>
      </c>
      <c r="E100" s="15">
        <v>1.2961764614466699E-3</v>
      </c>
      <c r="F100" s="33">
        <v>0</v>
      </c>
      <c r="G100" s="33">
        <v>0.34610999999999997</v>
      </c>
      <c r="H100" s="33">
        <v>0</v>
      </c>
      <c r="I100" s="33">
        <v>0.35369699999999998</v>
      </c>
      <c r="J100" s="33">
        <v>0.34610999999999997</v>
      </c>
      <c r="K100" s="33">
        <v>0.35369699999999998</v>
      </c>
      <c r="L100" s="33">
        <v>18.926109999999898</v>
      </c>
      <c r="M100" s="33">
        <v>23.513697000000001</v>
      </c>
      <c r="N100" s="34">
        <v>1.2465016146393899</v>
      </c>
      <c r="O100" s="34">
        <v>1.2439394184217101</v>
      </c>
      <c r="P100" s="34">
        <v>1.2450267188798601</v>
      </c>
      <c r="Q100" s="34">
        <v>1.2443512253121201</v>
      </c>
      <c r="R100" s="33">
        <v>23.112394394275402</v>
      </c>
      <c r="S100" s="33">
        <v>23.1246586018468</v>
      </c>
      <c r="T100" s="33">
        <v>23.1196921012376</v>
      </c>
      <c r="U100" s="15">
        <v>-2.0576252058649202E-3</v>
      </c>
      <c r="V100" s="15">
        <v>-1.5271325786599299E-3</v>
      </c>
      <c r="W100" s="15">
        <v>-1.7419264098110199E-3</v>
      </c>
      <c r="X100" s="34">
        <v>1.24239460723836</v>
      </c>
      <c r="Y100" s="34">
        <v>1.24274983567304</v>
      </c>
      <c r="Z100" s="34">
        <v>1.2428244057365401</v>
      </c>
      <c r="AA100" s="34">
        <v>1.2428743662863899</v>
      </c>
      <c r="AB100" s="33">
        <v>23.520420092429799</v>
      </c>
      <c r="AC100" s="33">
        <v>23.522799801446201</v>
      </c>
      <c r="AD100" s="33">
        <v>23.522459928432902</v>
      </c>
      <c r="AE100" s="15">
        <v>2.8588152138377099E-4</v>
      </c>
      <c r="AF100" s="15">
        <v>3.8705270072825302E-4</v>
      </c>
      <c r="AG100" s="15">
        <v>3.7260393308545699E-4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3.0942619460569655E-3</v>
      </c>
      <c r="AT100" s="12"/>
      <c r="AU100">
        <f t="shared" si="30"/>
        <v>0</v>
      </c>
      <c r="AV100">
        <f t="shared" si="31"/>
        <v>0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0</v>
      </c>
      <c r="BE100" s="29">
        <f t="shared" si="42"/>
        <v>0</v>
      </c>
      <c r="BF100" s="29">
        <f t="shared" si="43"/>
        <v>3.0942619460569655E-3</v>
      </c>
      <c r="BH100" s="29"/>
    </row>
    <row r="101" spans="1:60" x14ac:dyDescent="0.25">
      <c r="A101" s="1">
        <v>46169</v>
      </c>
      <c r="B101" s="33">
        <v>18.579999999999998</v>
      </c>
      <c r="C101" s="33">
        <v>23.18</v>
      </c>
      <c r="D101" s="15">
        <v>0</v>
      </c>
      <c r="E101" s="15">
        <v>8.63185206811085E-4</v>
      </c>
      <c r="F101" s="33">
        <v>0</v>
      </c>
      <c r="G101" s="33">
        <v>0.34610999999999997</v>
      </c>
      <c r="H101" s="33">
        <v>0</v>
      </c>
      <c r="I101" s="33">
        <v>0.35369699999999998</v>
      </c>
      <c r="J101" s="33">
        <v>0.34610999999999997</v>
      </c>
      <c r="K101" s="33">
        <v>0.35369699999999998</v>
      </c>
      <c r="L101" s="33">
        <v>18.926109999999898</v>
      </c>
      <c r="M101" s="33">
        <v>23.533697</v>
      </c>
      <c r="N101" s="34">
        <v>1.2475780409041901</v>
      </c>
      <c r="O101" s="34">
        <v>1.2439394184217101</v>
      </c>
      <c r="P101" s="34">
        <v>1.24558924400033</v>
      </c>
      <c r="Q101" s="34">
        <v>1.2443239108514299</v>
      </c>
      <c r="R101" s="33">
        <v>23.112394394275402</v>
      </c>
      <c r="S101" s="33">
        <v>23.1325964367879</v>
      </c>
      <c r="T101" s="33">
        <v>23.120045766299199</v>
      </c>
      <c r="U101" s="15">
        <v>-2.9208104126760099E-3</v>
      </c>
      <c r="V101" s="15">
        <v>-2.0471138918403699E-3</v>
      </c>
      <c r="W101" s="15">
        <v>-2.5898145981766E-3</v>
      </c>
      <c r="X101" s="34">
        <v>1.24345134842817</v>
      </c>
      <c r="Y101" s="34">
        <v>1.24274983567304</v>
      </c>
      <c r="Z101" s="34">
        <v>1.2429060980506199</v>
      </c>
      <c r="AA101" s="34">
        <v>1.24284555801138</v>
      </c>
      <c r="AB101" s="33">
        <v>23.520420092429799</v>
      </c>
      <c r="AC101" s="33">
        <v>23.521831413654301</v>
      </c>
      <c r="AD101" s="33">
        <v>23.522776972516599</v>
      </c>
      <c r="AE101" s="15">
        <v>-5.6432502585873699E-4</v>
      </c>
      <c r="AF101" s="15">
        <v>-5.0432274366524004E-4</v>
      </c>
      <c r="AG101" s="15">
        <v>-4.6412434921390601E-4</v>
      </c>
      <c r="AI101" s="12"/>
      <c r="AJ101">
        <f t="shared" si="26"/>
        <v>0</v>
      </c>
      <c r="AK101">
        <f t="shared" si="27"/>
        <v>0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3.0942619460569655E-3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0</v>
      </c>
      <c r="BE101" s="29">
        <f t="shared" si="42"/>
        <v>0</v>
      </c>
      <c r="BF101" s="29">
        <f t="shared" si="43"/>
        <v>3.0942619460569655E-3</v>
      </c>
      <c r="BH101" s="29"/>
    </row>
    <row r="102" spans="1:60" x14ac:dyDescent="0.25">
      <c r="A102" s="1">
        <v>46170</v>
      </c>
      <c r="B102" s="33">
        <v>18.59</v>
      </c>
      <c r="C102" s="33">
        <v>23.2</v>
      </c>
      <c r="D102" s="15">
        <v>5.3806834766030305E-4</v>
      </c>
      <c r="E102" s="15">
        <v>8.6244076065870401E-4</v>
      </c>
      <c r="F102" s="33">
        <v>0</v>
      </c>
      <c r="G102" s="33">
        <v>0.34610999999999997</v>
      </c>
      <c r="H102" s="33">
        <v>0</v>
      </c>
      <c r="I102" s="33">
        <v>0.35369699999999998</v>
      </c>
      <c r="J102" s="33">
        <v>0.34610999999999997</v>
      </c>
      <c r="K102" s="33">
        <v>0.35369699999999998</v>
      </c>
      <c r="L102" s="33">
        <v>18.936109999999999</v>
      </c>
      <c r="M102" s="33">
        <v>23.553697</v>
      </c>
      <c r="N102" s="34">
        <v>1.24798278644432</v>
      </c>
      <c r="O102" s="34">
        <v>1.2439394184217101</v>
      </c>
      <c r="P102" s="34">
        <v>1.2461515977117801</v>
      </c>
      <c r="Q102" s="34">
        <v>1.24440420959394</v>
      </c>
      <c r="R102" s="33">
        <v>23.1248337884596</v>
      </c>
      <c r="S102" s="33">
        <v>23.155504045966101</v>
      </c>
      <c r="T102" s="33">
        <v>23.131981502728198</v>
      </c>
      <c r="U102" s="15">
        <v>-3.2451828256742999E-3</v>
      </c>
      <c r="V102" s="15">
        <v>-1.9197706341678E-3</v>
      </c>
      <c r="W102" s="15">
        <v>-2.9361380165828098E-3</v>
      </c>
      <c r="X102" s="34">
        <v>1.24385087539098</v>
      </c>
      <c r="Y102" s="34">
        <v>1.24274983567304</v>
      </c>
      <c r="Z102" s="34">
        <v>1.24298772249628</v>
      </c>
      <c r="AA102" s="34">
        <v>1.2429231587597001</v>
      </c>
      <c r="AB102" s="33">
        <v>23.532847590786599</v>
      </c>
      <c r="AC102" s="33">
        <v>23.5358065923573</v>
      </c>
      <c r="AD102" s="33">
        <v>23.534660199514999</v>
      </c>
      <c r="AE102" s="15">
        <v>-8.8557827962016398E-4</v>
      </c>
      <c r="AF102" s="15">
        <v>-7.59846978142999E-4</v>
      </c>
      <c r="AG102" s="15">
        <v>-8.0855662224308604E-4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3.0942619460569655E-3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0</v>
      </c>
      <c r="BE102" s="29">
        <f t="shared" si="42"/>
        <v>0</v>
      </c>
      <c r="BF102" s="29">
        <f t="shared" si="43"/>
        <v>3.0942619460569655E-3</v>
      </c>
      <c r="BH102" s="29"/>
    </row>
    <row r="103" spans="1:60" x14ac:dyDescent="0.25">
      <c r="A103" s="1">
        <v>46171</v>
      </c>
      <c r="B103" s="33">
        <v>18.62</v>
      </c>
      <c r="C103" s="33">
        <v>23.22</v>
      </c>
      <c r="D103" s="15">
        <v>1.61247011556835E-3</v>
      </c>
      <c r="E103" s="15">
        <v>8.6169759748114098E-4</v>
      </c>
      <c r="F103" s="33">
        <v>0</v>
      </c>
      <c r="G103" s="33">
        <v>0.34610999999999997</v>
      </c>
      <c r="H103" s="33">
        <v>0</v>
      </c>
      <c r="I103" s="33">
        <v>0.35369699999999998</v>
      </c>
      <c r="J103" s="33">
        <v>0.34610999999999997</v>
      </c>
      <c r="K103" s="33">
        <v>0.35369699999999998</v>
      </c>
      <c r="L103" s="33">
        <v>18.96611</v>
      </c>
      <c r="M103" s="33">
        <v>23.573696999999999</v>
      </c>
      <c r="N103" s="34">
        <v>1.24704618689581</v>
      </c>
      <c r="O103" s="34">
        <v>1.2439394184217101</v>
      </c>
      <c r="P103" s="34">
        <v>1.2467145855000801</v>
      </c>
      <c r="Q103" s="34">
        <v>1.24442407926044</v>
      </c>
      <c r="R103" s="33">
        <v>23.1621519710123</v>
      </c>
      <c r="S103" s="33">
        <v>23.2033427493934</v>
      </c>
      <c r="T103" s="33">
        <v>23.170806382639199</v>
      </c>
      <c r="U103" s="15">
        <v>-2.4944103075869701E-3</v>
      </c>
      <c r="V103" s="15">
        <v>-7.1762395100654199E-4</v>
      </c>
      <c r="W103" s="15">
        <v>-2.1208355549680899E-3</v>
      </c>
      <c r="X103" s="34">
        <v>1.24293790344989</v>
      </c>
      <c r="Y103" s="34">
        <v>1.24274983567304</v>
      </c>
      <c r="Z103" s="34">
        <v>1.24307094005576</v>
      </c>
      <c r="AA103" s="34">
        <v>1.2429414935173699</v>
      </c>
      <c r="AB103" s="33">
        <v>23.5701300858568</v>
      </c>
      <c r="AC103" s="33">
        <v>23.574641873514</v>
      </c>
      <c r="AD103" s="33">
        <v>23.573417350583998</v>
      </c>
      <c r="AE103" s="15">
        <v>-1.51320517254949E-4</v>
      </c>
      <c r="AF103" s="15">
        <v>4.0080882454051803E-5</v>
      </c>
      <c r="AG103" s="15">
        <v>-1.18628433495076E-5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3.0942619460569655E-3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0</v>
      </c>
      <c r="BE103" s="29">
        <f t="shared" si="42"/>
        <v>0</v>
      </c>
      <c r="BF103" s="29">
        <f t="shared" si="43"/>
        <v>3.0942619460569655E-3</v>
      </c>
      <c r="BH103" s="29"/>
    </row>
    <row r="104" spans="1:60" x14ac:dyDescent="0.25">
      <c r="A104" s="1">
        <v>46174</v>
      </c>
      <c r="B104" s="33">
        <v>18.61</v>
      </c>
      <c r="C104" s="33">
        <v>23.12</v>
      </c>
      <c r="D104" s="15">
        <v>-5.3720119476165804E-4</v>
      </c>
      <c r="E104" s="15">
        <v>-4.31593246556858E-3</v>
      </c>
      <c r="F104" s="33">
        <v>0</v>
      </c>
      <c r="G104" s="33">
        <v>0.34610999999999997</v>
      </c>
      <c r="H104" s="33">
        <v>8.7981000000000004E-2</v>
      </c>
      <c r="I104" s="33">
        <v>0.44167800000000002</v>
      </c>
      <c r="J104" s="33">
        <v>0.34610999999999997</v>
      </c>
      <c r="K104" s="33">
        <v>0.44167800000000002</v>
      </c>
      <c r="L104" s="33">
        <v>18.956109999999999</v>
      </c>
      <c r="M104" s="33">
        <v>23.561678000000001</v>
      </c>
      <c r="N104" s="34">
        <v>1.2423428264373899</v>
      </c>
      <c r="O104" s="34">
        <v>1.2439394184217101</v>
      </c>
      <c r="P104" s="34">
        <v>1.24668851311423</v>
      </c>
      <c r="Q104" s="34">
        <v>1.2444297522007499</v>
      </c>
      <c r="R104" s="33">
        <v>23.149712576828001</v>
      </c>
      <c r="S104" s="33">
        <v>23.201358436156401</v>
      </c>
      <c r="T104" s="33">
        <v>23.158732115036901</v>
      </c>
      <c r="U104" s="15">
        <v>1.28432096321988E-3</v>
      </c>
      <c r="V104" s="15">
        <v>3.5127864365184802E-3</v>
      </c>
      <c r="W104" s="15">
        <v>1.6738628009093401E-3</v>
      </c>
      <c r="X104" s="34">
        <v>1.24295955235541</v>
      </c>
      <c r="Y104" s="34">
        <v>1.24274983567304</v>
      </c>
      <c r="Z104" s="34">
        <v>1.2430391426608201</v>
      </c>
      <c r="AA104" s="34">
        <v>1.2429441573915301</v>
      </c>
      <c r="AB104" s="33">
        <v>23.5577025875</v>
      </c>
      <c r="AC104" s="33">
        <v>23.5637894775004</v>
      </c>
      <c r="AD104" s="33">
        <v>23.561335674679501</v>
      </c>
      <c r="AE104" s="15">
        <v>-1.6873789340180199E-4</v>
      </c>
      <c r="AF104" s="15">
        <v>8.9610888332085698E-5</v>
      </c>
      <c r="AG104" s="15">
        <v>-1.45290079622355E-5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3.0942619460569655E-3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0</v>
      </c>
      <c r="BE104" s="29">
        <f t="shared" si="42"/>
        <v>0</v>
      </c>
      <c r="BF104" s="29">
        <f t="shared" si="43"/>
        <v>3.0942619460569655E-3</v>
      </c>
      <c r="BH104" s="29"/>
    </row>
    <row r="105" spans="1:60" x14ac:dyDescent="0.25">
      <c r="A105" s="1">
        <v>46175</v>
      </c>
      <c r="B105" s="33">
        <v>18.61</v>
      </c>
      <c r="C105" s="33">
        <v>23.12</v>
      </c>
      <c r="D105" s="15">
        <v>0</v>
      </c>
      <c r="E105" s="15">
        <v>0</v>
      </c>
      <c r="F105" s="33">
        <v>0</v>
      </c>
      <c r="G105" s="33">
        <v>0.34610999999999997</v>
      </c>
      <c r="H105" s="33">
        <v>0</v>
      </c>
      <c r="I105" s="33">
        <v>0.44167800000000002</v>
      </c>
      <c r="J105" s="33">
        <v>0.34610999999999997</v>
      </c>
      <c r="K105" s="33">
        <v>0.44167800000000002</v>
      </c>
      <c r="L105" s="33">
        <v>18.956109999999999</v>
      </c>
      <c r="M105" s="33">
        <v>23.561678000000001</v>
      </c>
      <c r="N105" s="34">
        <v>1.2423428264373899</v>
      </c>
      <c r="O105" s="34">
        <v>1.2439394184217101</v>
      </c>
      <c r="P105" s="34">
        <v>1.2462061200968799</v>
      </c>
      <c r="Q105" s="34">
        <v>1.24441592197136</v>
      </c>
      <c r="R105" s="33">
        <v>23.149712576828001</v>
      </c>
      <c r="S105" s="33">
        <v>23.200873229055901</v>
      </c>
      <c r="T105" s="33">
        <v>23.158837688456</v>
      </c>
      <c r="U105" s="15">
        <v>1.28432096321988E-3</v>
      </c>
      <c r="V105" s="15">
        <v>3.4918733431955201E-3</v>
      </c>
      <c r="W105" s="15">
        <v>1.67842147786593E-3</v>
      </c>
      <c r="X105" s="34">
        <v>1.24295955235541</v>
      </c>
      <c r="Y105" s="34">
        <v>1.24274983567304</v>
      </c>
      <c r="Z105" s="34">
        <v>1.2430314304564001</v>
      </c>
      <c r="AA105" s="34">
        <v>1.24292754748713</v>
      </c>
      <c r="AB105" s="33">
        <v>23.5577025875</v>
      </c>
      <c r="AC105" s="33">
        <v>23.563186722584199</v>
      </c>
      <c r="AD105" s="33">
        <v>23.5613861713713</v>
      </c>
      <c r="AE105" s="15">
        <v>-1.6873789340180199E-4</v>
      </c>
      <c r="AF105" s="15">
        <v>6.4030850534347998E-5</v>
      </c>
      <c r="AG105" s="15">
        <v>-1.23858086821821E-5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3.0942619460569655E-3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0</v>
      </c>
      <c r="BE105" s="29">
        <f t="shared" si="42"/>
        <v>0</v>
      </c>
      <c r="BF105" s="29">
        <f t="shared" si="43"/>
        <v>3.0942619460569655E-3</v>
      </c>
      <c r="BH105" s="29"/>
    </row>
    <row r="106" spans="1:60" x14ac:dyDescent="0.25">
      <c r="A106" s="1">
        <v>46176</v>
      </c>
      <c r="B106" s="33">
        <v>18.59</v>
      </c>
      <c r="C106" s="33">
        <v>23.09</v>
      </c>
      <c r="D106" s="15">
        <v>-1.0752689208067599E-3</v>
      </c>
      <c r="E106" s="15">
        <v>-1.2984204377727701E-3</v>
      </c>
      <c r="F106" s="33">
        <v>0</v>
      </c>
      <c r="G106" s="33">
        <v>0.34610999999999997</v>
      </c>
      <c r="H106" s="33">
        <v>0</v>
      </c>
      <c r="I106" s="33">
        <v>0.44167800000000002</v>
      </c>
      <c r="J106" s="33">
        <v>0.34610999999999997</v>
      </c>
      <c r="K106" s="33">
        <v>0.44167800000000002</v>
      </c>
      <c r="L106" s="33">
        <v>18.936109999999999</v>
      </c>
      <c r="M106" s="33">
        <v>23.531677999999999</v>
      </c>
      <c r="N106" s="34">
        <v>1.2420656266810099</v>
      </c>
      <c r="O106" s="34">
        <v>1.2439394184217101</v>
      </c>
      <c r="P106" s="34">
        <v>1.24570998006228</v>
      </c>
      <c r="Q106" s="34">
        <v>1.2443947397860899</v>
      </c>
      <c r="R106" s="33">
        <v>23.1248337884596</v>
      </c>
      <c r="S106" s="33">
        <v>23.166971772600998</v>
      </c>
      <c r="T106" s="33">
        <v>23.133691989447598</v>
      </c>
      <c r="U106" s="15">
        <v>1.50747248018603E-3</v>
      </c>
      <c r="V106" s="15">
        <v>3.32801048984287E-3</v>
      </c>
      <c r="W106" s="15">
        <v>1.8904592246733699E-3</v>
      </c>
      <c r="X106" s="34">
        <v>1.2426880705699299</v>
      </c>
      <c r="Y106" s="34">
        <v>1.24274983567304</v>
      </c>
      <c r="Z106" s="34">
        <v>1.24301094386075</v>
      </c>
      <c r="AA106" s="34">
        <v>1.24290379487965</v>
      </c>
      <c r="AB106" s="33">
        <v>23.532847590786599</v>
      </c>
      <c r="AC106" s="33">
        <v>23.538179900579902</v>
      </c>
      <c r="AD106" s="33">
        <v>23.536212761246599</v>
      </c>
      <c r="AE106" s="15">
        <v>4.9701586159491297E-5</v>
      </c>
      <c r="AF106" s="15">
        <v>2.7626599744560402E-4</v>
      </c>
      <c r="AG106" s="15">
        <v>1.92690226283191E-4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3.0942619460569655E-3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0</v>
      </c>
      <c r="BE106" s="29">
        <f t="shared" si="42"/>
        <v>0</v>
      </c>
      <c r="BF106" s="29">
        <f t="shared" si="43"/>
        <v>3.0942619460569655E-3</v>
      </c>
      <c r="BH106" s="29"/>
    </row>
    <row r="107" spans="1:60" x14ac:dyDescent="0.25">
      <c r="A107" s="1">
        <v>46177</v>
      </c>
      <c r="B107" s="33">
        <v>18.61</v>
      </c>
      <c r="C107" s="33">
        <v>23.11</v>
      </c>
      <c r="D107" s="15">
        <v>1.0752689208068E-3</v>
      </c>
      <c r="E107" s="15">
        <v>8.65800919885434E-4</v>
      </c>
      <c r="F107" s="33">
        <v>0</v>
      </c>
      <c r="G107" s="33">
        <v>0.34610999999999997</v>
      </c>
      <c r="H107" s="33">
        <v>0</v>
      </c>
      <c r="I107" s="33">
        <v>0.44167800000000002</v>
      </c>
      <c r="J107" s="33">
        <v>0.34610999999999997</v>
      </c>
      <c r="K107" s="33">
        <v>0.44167800000000002</v>
      </c>
      <c r="L107" s="33">
        <v>18.956109999999999</v>
      </c>
      <c r="M107" s="33">
        <v>23.551677999999999</v>
      </c>
      <c r="N107" s="34">
        <v>1.24180548092423</v>
      </c>
      <c r="O107" s="34">
        <v>1.2439394184217101</v>
      </c>
      <c r="P107" s="34">
        <v>1.2452005012005201</v>
      </c>
      <c r="Q107" s="34">
        <v>1.2443929860099401</v>
      </c>
      <c r="R107" s="33">
        <v>23.149712576828001</v>
      </c>
      <c r="S107" s="33">
        <v>23.182662728958999</v>
      </c>
      <c r="T107" s="33">
        <v>23.158186107419301</v>
      </c>
      <c r="U107" s="15">
        <v>1.71694048110729E-3</v>
      </c>
      <c r="V107" s="15">
        <v>3.13927885545104E-3</v>
      </c>
      <c r="W107" s="15">
        <v>2.0829052917138401E-3</v>
      </c>
      <c r="X107" s="34">
        <v>1.2424320179614901</v>
      </c>
      <c r="Y107" s="34">
        <v>1.24274983567304</v>
      </c>
      <c r="Z107" s="34">
        <v>1.24297620167796</v>
      </c>
      <c r="AA107" s="34">
        <v>1.2428992948338999</v>
      </c>
      <c r="AB107" s="33">
        <v>23.5577025875</v>
      </c>
      <c r="AC107" s="33">
        <v>23.562652183028298</v>
      </c>
      <c r="AD107" s="33">
        <v>23.560621055156101</v>
      </c>
      <c r="AE107" s="15">
        <v>2.5577018664975902E-4</v>
      </c>
      <c r="AF107" s="15">
        <v>4.6585330553232802E-4</v>
      </c>
      <c r="AG107" s="15">
        <v>3.79648433335347E-4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3.0942619460569655E-3</v>
      </c>
      <c r="AT107" s="12"/>
      <c r="AU107">
        <f t="shared" si="30"/>
        <v>0</v>
      </c>
      <c r="AV107">
        <f t="shared" si="31"/>
        <v>0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0</v>
      </c>
      <c r="BE107" s="29">
        <f t="shared" si="42"/>
        <v>0</v>
      </c>
      <c r="BF107" s="29">
        <f t="shared" si="43"/>
        <v>3.0942619460569655E-3</v>
      </c>
      <c r="BH107" s="29"/>
    </row>
    <row r="108" spans="1:60" x14ac:dyDescent="0.25">
      <c r="A108" s="1">
        <v>46178</v>
      </c>
      <c r="B108" s="33">
        <v>18.55</v>
      </c>
      <c r="C108" s="33">
        <v>23.05</v>
      </c>
      <c r="D108" s="15">
        <v>-3.2292816007151999E-3</v>
      </c>
      <c r="E108" s="15">
        <v>-2.5996548436317598E-3</v>
      </c>
      <c r="F108" s="33">
        <v>0</v>
      </c>
      <c r="G108" s="33">
        <v>0.34610999999999997</v>
      </c>
      <c r="H108" s="33">
        <v>0</v>
      </c>
      <c r="I108" s="33">
        <v>0.44167800000000002</v>
      </c>
      <c r="J108" s="33">
        <v>0.34610999999999997</v>
      </c>
      <c r="K108" s="33">
        <v>0.44167800000000002</v>
      </c>
      <c r="L108" s="33">
        <v>18.89611</v>
      </c>
      <c r="M108" s="33">
        <v>23.491678</v>
      </c>
      <c r="N108" s="34">
        <v>1.24258760107816</v>
      </c>
      <c r="O108" s="34">
        <v>1.2439394184217101</v>
      </c>
      <c r="P108" s="34">
        <v>1.2447153259983701</v>
      </c>
      <c r="Q108" s="34">
        <v>1.2444108976822801</v>
      </c>
      <c r="R108" s="33">
        <v>23.075076211722799</v>
      </c>
      <c r="S108" s="33">
        <v>23.098469297269801</v>
      </c>
      <c r="T108" s="33">
        <v>23.083489890484501</v>
      </c>
      <c r="U108" s="15">
        <v>1.0873137240240899E-3</v>
      </c>
      <c r="V108" s="15">
        <v>2.10058170206778E-3</v>
      </c>
      <c r="W108" s="15">
        <v>1.4518691929375799E-3</v>
      </c>
      <c r="X108" s="34">
        <v>1.2432018018523301</v>
      </c>
      <c r="Y108" s="34">
        <v>1.24274983567304</v>
      </c>
      <c r="Z108" s="34">
        <v>1.24296551693914</v>
      </c>
      <c r="AA108" s="34">
        <v>1.2429140711829201</v>
      </c>
      <c r="AB108" s="33">
        <v>23.483137597359601</v>
      </c>
      <c r="AC108" s="33">
        <v>23.487415034288901</v>
      </c>
      <c r="AD108" s="33">
        <v>23.485961794103901</v>
      </c>
      <c r="AE108" s="15">
        <v>-3.6361623247727699E-4</v>
      </c>
      <c r="AF108" s="15">
        <v>-1.81483525857468E-4</v>
      </c>
      <c r="AG108" s="15">
        <v>-2.4335858290556599E-4</v>
      </c>
      <c r="AI108" s="12"/>
      <c r="AJ108">
        <f t="shared" si="26"/>
        <v>0</v>
      </c>
      <c r="AK108">
        <f t="shared" si="27"/>
        <v>0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3.0942619460569655E-3</v>
      </c>
      <c r="AT108" s="12"/>
      <c r="AU108">
        <f t="shared" si="30"/>
        <v>0</v>
      </c>
      <c r="AV108">
        <f t="shared" si="31"/>
        <v>1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0</v>
      </c>
      <c r="BE108" s="29">
        <f t="shared" si="42"/>
        <v>0</v>
      </c>
      <c r="BF108" s="29">
        <f t="shared" si="43"/>
        <v>3.0942619460569655E-3</v>
      </c>
      <c r="BH108" s="29"/>
    </row>
    <row r="109" spans="1:60" x14ac:dyDescent="0.25">
      <c r="A109" s="1">
        <v>46181</v>
      </c>
      <c r="B109" s="33">
        <v>18.559999999999999</v>
      </c>
      <c r="C109" s="33">
        <v>23.06</v>
      </c>
      <c r="D109" s="15">
        <v>5.3893830461017897E-4</v>
      </c>
      <c r="E109" s="15">
        <v>4.3374539825539001E-4</v>
      </c>
      <c r="F109" s="33">
        <v>0</v>
      </c>
      <c r="G109" s="33">
        <v>0.34610999999999997</v>
      </c>
      <c r="H109" s="33">
        <v>0</v>
      </c>
      <c r="I109" s="33">
        <v>0.44167800000000002</v>
      </c>
      <c r="J109" s="33">
        <v>0.34610999999999997</v>
      </c>
      <c r="K109" s="33">
        <v>0.44167800000000002</v>
      </c>
      <c r="L109" s="33">
        <v>18.906109999999899</v>
      </c>
      <c r="M109" s="33">
        <v>23.501677999999998</v>
      </c>
      <c r="N109" s="34">
        <v>1.24245689655172</v>
      </c>
      <c r="O109" s="34">
        <v>1.2439394184217101</v>
      </c>
      <c r="P109" s="34">
        <v>1.2442709886993599</v>
      </c>
      <c r="Q109" s="34">
        <v>1.2444352414392099</v>
      </c>
      <c r="R109" s="33">
        <v>23.087515605907001</v>
      </c>
      <c r="S109" s="33">
        <v>23.1019164505297</v>
      </c>
      <c r="T109" s="33">
        <v>23.096266260983199</v>
      </c>
      <c r="U109" s="15">
        <v>1.1925066303787599E-3</v>
      </c>
      <c r="V109" s="15">
        <v>1.8160624719744799E-3</v>
      </c>
      <c r="W109" s="15">
        <v>1.5714558990301E-3</v>
      </c>
      <c r="X109" s="34">
        <v>1.2430731652360001</v>
      </c>
      <c r="Y109" s="34">
        <v>1.24274983567304</v>
      </c>
      <c r="Z109" s="34">
        <v>1.2429948894838001</v>
      </c>
      <c r="AA109" s="34">
        <v>1.24293523099185</v>
      </c>
      <c r="AB109" s="33">
        <v>23.495565095716401</v>
      </c>
      <c r="AC109" s="33">
        <v>23.499642789458299</v>
      </c>
      <c r="AD109" s="33">
        <v>23.498670150332099</v>
      </c>
      <c r="AE109" s="15">
        <v>-2.6013884710663802E-4</v>
      </c>
      <c r="AF109" s="15">
        <v>-8.6602270264854599E-5</v>
      </c>
      <c r="AG109" s="15">
        <v>-1.27992654962403E-4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3.0942619460569655E-3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0</v>
      </c>
      <c r="BE109" s="29">
        <f t="shared" si="42"/>
        <v>0</v>
      </c>
      <c r="BF109" s="29">
        <f t="shared" si="43"/>
        <v>3.0942619460569655E-3</v>
      </c>
      <c r="BH109" s="29"/>
    </row>
    <row r="110" spans="1:60" x14ac:dyDescent="0.25">
      <c r="A110" s="1">
        <v>46182</v>
      </c>
      <c r="B110" s="33">
        <v>18.59</v>
      </c>
      <c r="C110" s="33">
        <v>23.09</v>
      </c>
      <c r="D110" s="15">
        <v>1.6150743752982701E-3</v>
      </c>
      <c r="E110" s="15">
        <v>1.3001085254911199E-3</v>
      </c>
      <c r="F110" s="33">
        <v>0</v>
      </c>
      <c r="G110" s="33">
        <v>0.34610999999999997</v>
      </c>
      <c r="H110" s="33">
        <v>0</v>
      </c>
      <c r="I110" s="33">
        <v>0.44167800000000002</v>
      </c>
      <c r="J110" s="33">
        <v>0.34610999999999997</v>
      </c>
      <c r="K110" s="33">
        <v>0.44167800000000002</v>
      </c>
      <c r="L110" s="33">
        <v>18.936109999999999</v>
      </c>
      <c r="M110" s="33">
        <v>23.531677999999999</v>
      </c>
      <c r="N110" s="34">
        <v>1.2420656266810099</v>
      </c>
      <c r="O110" s="34">
        <v>1.2439394184217101</v>
      </c>
      <c r="P110" s="34">
        <v>1.2438273899035199</v>
      </c>
      <c r="Q110" s="34">
        <v>1.24442705439169</v>
      </c>
      <c r="R110" s="33">
        <v>23.1248337884596</v>
      </c>
      <c r="S110" s="33">
        <v>23.130997679921201</v>
      </c>
      <c r="T110" s="33">
        <v>23.134051138354899</v>
      </c>
      <c r="U110" s="15">
        <v>1.50747248018603E-3</v>
      </c>
      <c r="V110" s="15">
        <v>1.7739855360482399E-3</v>
      </c>
      <c r="W110" s="15">
        <v>1.90598403237129E-3</v>
      </c>
      <c r="X110" s="34">
        <v>1.2426880705699299</v>
      </c>
      <c r="Y110" s="34">
        <v>1.24274983567304</v>
      </c>
      <c r="Z110" s="34">
        <v>1.2430242358169501</v>
      </c>
      <c r="AA110" s="34">
        <v>1.24292432077674</v>
      </c>
      <c r="AB110" s="33">
        <v>23.532847590786599</v>
      </c>
      <c r="AC110" s="33">
        <v>23.537487956703</v>
      </c>
      <c r="AD110" s="33">
        <v>23.536358256937099</v>
      </c>
      <c r="AE110" s="15">
        <v>4.9701586159491297E-5</v>
      </c>
      <c r="AF110" s="15">
        <v>2.4686890513166203E-4</v>
      </c>
      <c r="AG110" s="15">
        <v>1.9887198722518001E-4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3.0942619460569655E-3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0</v>
      </c>
      <c r="BE110" s="29">
        <f t="shared" si="42"/>
        <v>0</v>
      </c>
      <c r="BF110" s="29">
        <f t="shared" si="43"/>
        <v>3.0942619460569655E-3</v>
      </c>
      <c r="BH110" s="29"/>
    </row>
    <row r="111" spans="1:60" x14ac:dyDescent="0.25">
      <c r="A111" s="1">
        <v>46183</v>
      </c>
      <c r="B111" s="33">
        <v>18.57</v>
      </c>
      <c r="C111" s="33">
        <v>23.07</v>
      </c>
      <c r="D111" s="15">
        <v>-1.0764263687381701E-3</v>
      </c>
      <c r="E111" s="15">
        <v>-8.6655118074164498E-4</v>
      </c>
      <c r="F111" s="33">
        <v>0</v>
      </c>
      <c r="G111" s="33">
        <v>0.34610999999999997</v>
      </c>
      <c r="H111" s="33">
        <v>0</v>
      </c>
      <c r="I111" s="33">
        <v>0.44167800000000002</v>
      </c>
      <c r="J111" s="33">
        <v>0.34610999999999997</v>
      </c>
      <c r="K111" s="33">
        <v>0.44167800000000002</v>
      </c>
      <c r="L111" s="33">
        <v>18.91611</v>
      </c>
      <c r="M111" s="33">
        <v>23.511678</v>
      </c>
      <c r="N111" s="34">
        <v>1.24232633279483</v>
      </c>
      <c r="O111" s="34">
        <v>1.2439394184217101</v>
      </c>
      <c r="P111" s="34">
        <v>1.24330221909259</v>
      </c>
      <c r="Q111" s="34">
        <v>1.2444457315464601</v>
      </c>
      <c r="R111" s="33">
        <v>23.0999550000912</v>
      </c>
      <c r="S111" s="33">
        <v>23.0978746305085</v>
      </c>
      <c r="T111" s="33">
        <v>23.109010400053801</v>
      </c>
      <c r="U111" s="15">
        <v>1.2975972921893499E-3</v>
      </c>
      <c r="V111" s="15">
        <v>1.20753377185718E-3</v>
      </c>
      <c r="W111" s="15">
        <v>1.6895298966135401E-3</v>
      </c>
      <c r="X111" s="34">
        <v>1.24294466462713</v>
      </c>
      <c r="Y111" s="34">
        <v>1.24274983567304</v>
      </c>
      <c r="Z111" s="34">
        <v>1.2429735674368501</v>
      </c>
      <c r="AA111" s="34">
        <v>1.24293983274373</v>
      </c>
      <c r="AB111" s="33">
        <v>23.507992594073102</v>
      </c>
      <c r="AC111" s="33">
        <v>23.513183177379499</v>
      </c>
      <c r="AD111" s="33">
        <v>23.511293173488198</v>
      </c>
      <c r="AE111" s="15">
        <v>-1.5676017665945501E-4</v>
      </c>
      <c r="AF111" s="15">
        <v>6.4016239169812703E-5</v>
      </c>
      <c r="AG111" s="15">
        <v>-1.63675966076954E-5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3.0942619460569655E-3</v>
      </c>
      <c r="AT111" s="12"/>
      <c r="AU111">
        <f t="shared" si="30"/>
        <v>0</v>
      </c>
      <c r="AV111">
        <f t="shared" si="31"/>
        <v>1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0</v>
      </c>
      <c r="BE111" s="29">
        <f t="shared" si="42"/>
        <v>0</v>
      </c>
      <c r="BF111" s="29">
        <f t="shared" si="43"/>
        <v>3.0942619460569655E-3</v>
      </c>
      <c r="BH111" s="29"/>
    </row>
    <row r="112" spans="1:60" x14ac:dyDescent="0.25">
      <c r="A112" s="1">
        <v>46184</v>
      </c>
      <c r="B112" s="33">
        <v>18.63</v>
      </c>
      <c r="C112" s="33">
        <v>23.14</v>
      </c>
      <c r="D112" s="15">
        <v>3.22580924888256E-3</v>
      </c>
      <c r="E112" s="15">
        <v>3.0296495798682E-3</v>
      </c>
      <c r="F112" s="33">
        <v>0</v>
      </c>
      <c r="G112" s="33">
        <v>0.34610999999999997</v>
      </c>
      <c r="H112" s="33">
        <v>0</v>
      </c>
      <c r="I112" s="33">
        <v>0.44167800000000002</v>
      </c>
      <c r="J112" s="33">
        <v>0.34610999999999997</v>
      </c>
      <c r="K112" s="33">
        <v>0.44167800000000002</v>
      </c>
      <c r="L112" s="33">
        <v>18.976109999999998</v>
      </c>
      <c r="M112" s="33">
        <v>23.581678</v>
      </c>
      <c r="N112" s="34">
        <v>1.2420826623725101</v>
      </c>
      <c r="O112" s="34">
        <v>1.2439394184217101</v>
      </c>
      <c r="P112" s="34">
        <v>1.2427122066854099</v>
      </c>
      <c r="Q112" s="34">
        <v>1.2444319021985899</v>
      </c>
      <c r="R112" s="33">
        <v>23.174591365196498</v>
      </c>
      <c r="S112" s="33">
        <v>23.1627203416949</v>
      </c>
      <c r="T112" s="33">
        <v>23.184023978710499</v>
      </c>
      <c r="U112" s="15">
        <v>1.4937569612036301E-3</v>
      </c>
      <c r="V112" s="15">
        <v>9.8138266394827791E-4</v>
      </c>
      <c r="W112" s="15">
        <v>1.9006980906670001E-3</v>
      </c>
      <c r="X112" s="34">
        <v>1.2427034834852799</v>
      </c>
      <c r="Y112" s="34">
        <v>1.24274983567304</v>
      </c>
      <c r="Z112" s="34">
        <v>1.24285882824628</v>
      </c>
      <c r="AA112" s="34">
        <v>1.24292327537128</v>
      </c>
      <c r="AB112" s="33">
        <v>23.5825575842135</v>
      </c>
      <c r="AC112" s="33">
        <v>23.586803142774102</v>
      </c>
      <c r="AD112" s="33">
        <v>23.586162989526699</v>
      </c>
      <c r="AE112" s="15">
        <v>3.7298779583027203E-5</v>
      </c>
      <c r="AF112" s="15">
        <v>2.1731218263354199E-4</v>
      </c>
      <c r="AG112" s="15">
        <v>1.9017150016531299E-4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3.0942619460569655E-3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0</v>
      </c>
      <c r="BE112" s="29">
        <f t="shared" si="42"/>
        <v>0</v>
      </c>
      <c r="BF112" s="29">
        <f t="shared" si="43"/>
        <v>3.0942619460569655E-3</v>
      </c>
      <c r="BH112" s="29"/>
    </row>
    <row r="113" spans="1:60" x14ac:dyDescent="0.25">
      <c r="A113" s="1">
        <v>46185</v>
      </c>
      <c r="B113" s="33">
        <v>18.63</v>
      </c>
      <c r="C113" s="33">
        <v>23.13</v>
      </c>
      <c r="D113" s="15">
        <v>0</v>
      </c>
      <c r="E113" s="15">
        <v>-4.3224552218276301E-4</v>
      </c>
      <c r="F113" s="33">
        <v>0</v>
      </c>
      <c r="G113" s="33">
        <v>0.34610999999999997</v>
      </c>
      <c r="H113" s="33">
        <v>0</v>
      </c>
      <c r="I113" s="33">
        <v>0.44167800000000002</v>
      </c>
      <c r="J113" s="33">
        <v>0.34610999999999997</v>
      </c>
      <c r="K113" s="33">
        <v>0.44167800000000002</v>
      </c>
      <c r="L113" s="33">
        <v>18.976109999999998</v>
      </c>
      <c r="M113" s="33">
        <v>23.571677999999999</v>
      </c>
      <c r="N113" s="34">
        <v>1.2415458937198001</v>
      </c>
      <c r="O113" s="34">
        <v>1.2439394184217101</v>
      </c>
      <c r="P113" s="34">
        <v>1.24216217736781</v>
      </c>
      <c r="Q113" s="34">
        <v>1.2444383814339399</v>
      </c>
      <c r="R113" s="33">
        <v>23.174591365196498</v>
      </c>
      <c r="S113" s="33">
        <v>23.151728410549101</v>
      </c>
      <c r="T113" s="33">
        <v>23.183766337959799</v>
      </c>
      <c r="U113" s="15">
        <v>1.9260024833865699E-3</v>
      </c>
      <c r="V113" s="15">
        <v>9.3896286469080702E-4</v>
      </c>
      <c r="W113" s="15">
        <v>2.3218306937776599E-3</v>
      </c>
      <c r="X113" s="34">
        <v>1.2421765050898199</v>
      </c>
      <c r="Y113" s="34">
        <v>1.24274983567304</v>
      </c>
      <c r="Z113" s="34">
        <v>1.24278268841027</v>
      </c>
      <c r="AA113" s="34">
        <v>1.2429268142330101</v>
      </c>
      <c r="AB113" s="33">
        <v>23.5825575842135</v>
      </c>
      <c r="AC113" s="33">
        <v>23.584625839272501</v>
      </c>
      <c r="AD113" s="33">
        <v>23.585848795005699</v>
      </c>
      <c r="AE113" s="15">
        <v>4.61446751147084E-4</v>
      </c>
      <c r="AF113" s="15">
        <v>5.49145651537973E-4</v>
      </c>
      <c r="AG113" s="15">
        <v>6.0099824547305198E-4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3.0942619460569655E-3</v>
      </c>
      <c r="AT113" s="12"/>
      <c r="AU113">
        <f t="shared" si="30"/>
        <v>0</v>
      </c>
      <c r="AV113">
        <f t="shared" si="31"/>
        <v>0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0</v>
      </c>
      <c r="BE113" s="29">
        <f t="shared" si="42"/>
        <v>0</v>
      </c>
      <c r="BF113" s="29">
        <f t="shared" si="43"/>
        <v>3.0942619460569655E-3</v>
      </c>
      <c r="BH113" s="29"/>
    </row>
    <row r="114" spans="1:60" x14ac:dyDescent="0.25">
      <c r="A114" s="1">
        <v>46188</v>
      </c>
      <c r="B114" s="33">
        <v>18.63</v>
      </c>
      <c r="C114" s="33">
        <v>23.14</v>
      </c>
      <c r="D114" s="15">
        <v>0</v>
      </c>
      <c r="E114" s="15">
        <v>4.3224552218270099E-4</v>
      </c>
      <c r="F114" s="33">
        <v>0</v>
      </c>
      <c r="G114" s="33">
        <v>0.34610999999999997</v>
      </c>
      <c r="H114" s="33">
        <v>0</v>
      </c>
      <c r="I114" s="33">
        <v>0.44167800000000002</v>
      </c>
      <c r="J114" s="33">
        <v>0.34610999999999997</v>
      </c>
      <c r="K114" s="33">
        <v>0.44167800000000002</v>
      </c>
      <c r="L114" s="33">
        <v>18.976109999999998</v>
      </c>
      <c r="M114" s="33">
        <v>23.581678</v>
      </c>
      <c r="N114" s="34">
        <v>1.2420826623725101</v>
      </c>
      <c r="O114" s="34">
        <v>1.2439394184217101</v>
      </c>
      <c r="P114" s="34">
        <v>1.24213616096132</v>
      </c>
      <c r="Q114" s="34">
        <v>1.24441233703777</v>
      </c>
      <c r="R114" s="33">
        <v>23.174591365196498</v>
      </c>
      <c r="S114" s="33">
        <v>23.141481364362299</v>
      </c>
      <c r="T114" s="33">
        <v>23.1838870461144</v>
      </c>
      <c r="U114" s="15">
        <v>1.4937569612036301E-3</v>
      </c>
      <c r="V114" s="15">
        <v>6.4015425571417193E-5</v>
      </c>
      <c r="W114" s="15">
        <v>1.8947917389193099E-3</v>
      </c>
      <c r="X114" s="34">
        <v>1.2427034834852799</v>
      </c>
      <c r="Y114" s="34">
        <v>1.24274983567304</v>
      </c>
      <c r="Z114" s="34">
        <v>1.24275708152326</v>
      </c>
      <c r="AA114" s="34">
        <v>1.2428981120920399</v>
      </c>
      <c r="AB114" s="33">
        <v>23.5825575842135</v>
      </c>
      <c r="AC114" s="33">
        <v>23.583181001369098</v>
      </c>
      <c r="AD114" s="33">
        <v>23.5859159488353</v>
      </c>
      <c r="AE114" s="15">
        <v>3.7298779583027203E-5</v>
      </c>
      <c r="AF114" s="15">
        <v>6.3733949447608595E-5</v>
      </c>
      <c r="AG114" s="15">
        <v>1.79697478372503E-4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3.0942619460569655E-3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0</v>
      </c>
      <c r="BE114" s="29">
        <f t="shared" si="42"/>
        <v>0</v>
      </c>
      <c r="BF114" s="29">
        <f t="shared" si="43"/>
        <v>3.0942619460569655E-3</v>
      </c>
      <c r="BH114" s="29"/>
    </row>
    <row r="115" spans="1:60" x14ac:dyDescent="0.25">
      <c r="A115" s="1">
        <v>46189</v>
      </c>
      <c r="B115" s="33">
        <v>18.64</v>
      </c>
      <c r="C115" s="33">
        <v>23.15</v>
      </c>
      <c r="D115" s="15">
        <v>5.3662464394803897E-4</v>
      </c>
      <c r="E115" s="15">
        <v>4.3205876671240301E-4</v>
      </c>
      <c r="F115" s="33">
        <v>0</v>
      </c>
      <c r="G115" s="33">
        <v>0.34610999999999997</v>
      </c>
      <c r="H115" s="33">
        <v>0</v>
      </c>
      <c r="I115" s="33">
        <v>0.44167800000000002</v>
      </c>
      <c r="J115" s="33">
        <v>0.34610999999999997</v>
      </c>
      <c r="K115" s="33">
        <v>0.44167800000000002</v>
      </c>
      <c r="L115" s="33">
        <v>18.98611</v>
      </c>
      <c r="M115" s="33">
        <v>23.591677999999899</v>
      </c>
      <c r="N115" s="34">
        <v>1.2419527896995699</v>
      </c>
      <c r="O115" s="34">
        <v>1.2439394184217101</v>
      </c>
      <c r="P115" s="34">
        <v>1.2420971572875299</v>
      </c>
      <c r="Q115" s="34">
        <v>1.24415163869221</v>
      </c>
      <c r="R115" s="33">
        <v>23.187030759380701</v>
      </c>
      <c r="S115" s="33">
        <v>23.153418040319</v>
      </c>
      <c r="T115" s="33">
        <v>23.195845962384102</v>
      </c>
      <c r="U115" s="15">
        <v>1.5983228384393699E-3</v>
      </c>
      <c r="V115" s="15">
        <v>1.47636631156421E-4</v>
      </c>
      <c r="W115" s="15">
        <v>1.9784287625480099E-3</v>
      </c>
      <c r="X115" s="34">
        <v>1.2425756513577499</v>
      </c>
      <c r="Y115" s="34">
        <v>1.24274983567304</v>
      </c>
      <c r="Z115" s="34">
        <v>1.24271869142349</v>
      </c>
      <c r="AA115" s="34">
        <v>1.2428750609399499</v>
      </c>
      <c r="AB115" s="33">
        <v>23.594985082570201</v>
      </c>
      <c r="AC115" s="33">
        <v>23.595122653079599</v>
      </c>
      <c r="AD115" s="33">
        <v>23.597800274971799</v>
      </c>
      <c r="AE115" s="15">
        <v>1.40170224365749E-4</v>
      </c>
      <c r="AF115" s="15">
        <v>1.4600070520174099E-4</v>
      </c>
      <c r="AG115" s="15">
        <v>2.59476274373561E-4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3.0942619460569655E-3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0</v>
      </c>
      <c r="BE115" s="29">
        <f t="shared" si="42"/>
        <v>0</v>
      </c>
      <c r="BF115" s="29">
        <f t="shared" si="43"/>
        <v>3.0942619460569655E-3</v>
      </c>
      <c r="BH115" s="29"/>
    </row>
    <row r="116" spans="1:60" x14ac:dyDescent="0.25">
      <c r="A116" s="1">
        <v>46190</v>
      </c>
      <c r="B116" s="33">
        <v>18.57</v>
      </c>
      <c r="C116" s="33">
        <v>23.07</v>
      </c>
      <c r="D116" s="15">
        <v>-3.7624338928307398E-3</v>
      </c>
      <c r="E116" s="15">
        <v>-3.4617083465806899E-3</v>
      </c>
      <c r="F116" s="33">
        <v>0</v>
      </c>
      <c r="G116" s="33">
        <v>0.34610999999999997</v>
      </c>
      <c r="H116" s="33">
        <v>0</v>
      </c>
      <c r="I116" s="33">
        <v>0.44167800000000002</v>
      </c>
      <c r="J116" s="33">
        <v>0.34610999999999997</v>
      </c>
      <c r="K116" s="33">
        <v>0.44167800000000002</v>
      </c>
      <c r="L116" s="33">
        <v>18.91611</v>
      </c>
      <c r="M116" s="33">
        <v>23.511678</v>
      </c>
      <c r="N116" s="34">
        <v>1.24232633279483</v>
      </c>
      <c r="O116" s="34">
        <v>1.2439394184217101</v>
      </c>
      <c r="P116" s="34">
        <v>1.24212322789892</v>
      </c>
      <c r="Q116" s="34">
        <v>1.2439166039806</v>
      </c>
      <c r="R116" s="33">
        <v>23.0999550000912</v>
      </c>
      <c r="S116" s="33">
        <v>23.0657442108296</v>
      </c>
      <c r="T116" s="33">
        <v>23.103895930514302</v>
      </c>
      <c r="U116" s="15">
        <v>1.2975972921893499E-3</v>
      </c>
      <c r="V116" s="15">
        <v>-1.84489889792145E-4</v>
      </c>
      <c r="W116" s="15">
        <v>1.4681861220521601E-3</v>
      </c>
      <c r="X116" s="34">
        <v>1.24294466462713</v>
      </c>
      <c r="Y116" s="34">
        <v>1.24274983567304</v>
      </c>
      <c r="Z116" s="34">
        <v>1.24274435082921</v>
      </c>
      <c r="AA116" s="34">
        <v>1.2428776473449801</v>
      </c>
      <c r="AB116" s="33">
        <v>23.507992594073102</v>
      </c>
      <c r="AC116" s="33">
        <v>23.5074034660229</v>
      </c>
      <c r="AD116" s="33">
        <v>23.510361368996801</v>
      </c>
      <c r="AE116" s="15">
        <v>-1.5676017665945501E-4</v>
      </c>
      <c r="AF116" s="15">
        <v>-1.8182124599415599E-4</v>
      </c>
      <c r="AG116" s="15">
        <v>-5.6000591260766102E-5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3.0942619460569655E-3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0</v>
      </c>
      <c r="BE116" s="29">
        <f t="shared" si="42"/>
        <v>0</v>
      </c>
      <c r="BF116" s="29">
        <f t="shared" si="43"/>
        <v>3.0942619460569655E-3</v>
      </c>
      <c r="BH116" s="29"/>
    </row>
    <row r="117" spans="1:60" x14ac:dyDescent="0.25">
      <c r="A117" s="1">
        <v>46191</v>
      </c>
      <c r="B117" s="33">
        <v>18.59</v>
      </c>
      <c r="C117" s="33">
        <v>23.1</v>
      </c>
      <c r="D117" s="15">
        <v>1.0764263687381901E-3</v>
      </c>
      <c r="E117" s="15">
        <v>1.29954534208564E-3</v>
      </c>
      <c r="F117" s="33">
        <v>0</v>
      </c>
      <c r="G117" s="33">
        <v>0.34610999999999997</v>
      </c>
      <c r="H117" s="33">
        <v>0</v>
      </c>
      <c r="I117" s="33">
        <v>0.44167800000000002</v>
      </c>
      <c r="J117" s="33">
        <v>0.34610999999999997</v>
      </c>
      <c r="K117" s="33">
        <v>0.44167800000000002</v>
      </c>
      <c r="L117" s="33">
        <v>18.936109999999999</v>
      </c>
      <c r="M117" s="33">
        <v>23.541678000000001</v>
      </c>
      <c r="N117" s="34">
        <v>1.2426035502958499</v>
      </c>
      <c r="O117" s="34">
        <v>1.2439394184217101</v>
      </c>
      <c r="P117" s="34">
        <v>1.24220303483608</v>
      </c>
      <c r="Q117" s="34">
        <v>1.2437017680183</v>
      </c>
      <c r="R117" s="33">
        <v>23.1248337884596</v>
      </c>
      <c r="S117" s="33">
        <v>23.0910708066409</v>
      </c>
      <c r="T117" s="33">
        <v>23.124409667999299</v>
      </c>
      <c r="U117" s="15">
        <v>1.0744783188419999E-3</v>
      </c>
      <c r="V117" s="15">
        <v>-3.8661989489977E-4</v>
      </c>
      <c r="W117" s="15">
        <v>1.05613767460272E-3</v>
      </c>
      <c r="X117" s="34">
        <v>1.2432161621367801</v>
      </c>
      <c r="Y117" s="34">
        <v>1.24274983567304</v>
      </c>
      <c r="Z117" s="34">
        <v>1.2428227652467401</v>
      </c>
      <c r="AA117" s="34">
        <v>1.2428994834623499</v>
      </c>
      <c r="AB117" s="33">
        <v>23.532847590786599</v>
      </c>
      <c r="AC117" s="33">
        <v>23.532743729180599</v>
      </c>
      <c r="AD117" s="33">
        <v>23.535267846665899</v>
      </c>
      <c r="AE117" s="15">
        <v>-3.7516721437526199E-4</v>
      </c>
      <c r="AF117" s="15">
        <v>-3.7958069790001102E-4</v>
      </c>
      <c r="AG117" s="15">
        <v>-2.7232664559705301E-4</v>
      </c>
      <c r="AI117" s="12"/>
      <c r="AJ117">
        <f t="shared" si="26"/>
        <v>0</v>
      </c>
      <c r="AK117">
        <f t="shared" si="27"/>
        <v>0</v>
      </c>
      <c r="AL117">
        <f t="shared" si="34"/>
        <v>0</v>
      </c>
      <c r="AM117">
        <f t="shared" si="24"/>
        <v>0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3.0942619460569655E-3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0</v>
      </c>
      <c r="BE117" s="29">
        <f t="shared" si="42"/>
        <v>0</v>
      </c>
      <c r="BF117" s="29">
        <f t="shared" si="43"/>
        <v>3.0942619460569655E-3</v>
      </c>
      <c r="BH117" s="29"/>
    </row>
    <row r="118" spans="1:60" x14ac:dyDescent="0.25">
      <c r="A118" s="1">
        <v>46195</v>
      </c>
      <c r="B118" s="33">
        <v>18.52</v>
      </c>
      <c r="C118" s="33">
        <v>23.09</v>
      </c>
      <c r="D118" s="15">
        <v>-3.7725725153193298E-3</v>
      </c>
      <c r="E118" s="15">
        <v>-4.3299416134388597E-4</v>
      </c>
      <c r="F118" s="33">
        <v>7.0250000000000007E-2</v>
      </c>
      <c r="G118" s="33">
        <v>0.41635999999999901</v>
      </c>
      <c r="H118" s="33">
        <v>0</v>
      </c>
      <c r="I118" s="33">
        <v>0.44167800000000002</v>
      </c>
      <c r="J118" s="33">
        <v>0.41635999999999901</v>
      </c>
      <c r="K118" s="33">
        <v>0.44167800000000002</v>
      </c>
      <c r="L118" s="33">
        <v>18.936360000000001</v>
      </c>
      <c r="M118" s="33">
        <v>23.531677999999999</v>
      </c>
      <c r="N118" s="34">
        <v>1.2467602591792599</v>
      </c>
      <c r="O118" s="34">
        <v>1.2439394184217101</v>
      </c>
      <c r="P118" s="34">
        <v>1.24262030064619</v>
      </c>
      <c r="Q118" s="34">
        <v>1.24366781332228</v>
      </c>
      <c r="R118" s="33">
        <v>23.037758029170099</v>
      </c>
      <c r="S118" s="33">
        <v>23.0056002051642</v>
      </c>
      <c r="T118" s="33">
        <v>23.033356743698999</v>
      </c>
      <c r="U118" s="15">
        <v>-2.2651000351332799E-3</v>
      </c>
      <c r="V118" s="15">
        <v>-3.6619498943919202E-3</v>
      </c>
      <c r="W118" s="15">
        <v>-2.4561648924177801E-3</v>
      </c>
      <c r="X118" s="34">
        <v>1.2426716644592699</v>
      </c>
      <c r="Y118" s="34">
        <v>1.24274983567304</v>
      </c>
      <c r="Z118" s="34">
        <v>1.2427697515074401</v>
      </c>
      <c r="AA118" s="34">
        <v>1.2428676342232901</v>
      </c>
      <c r="AB118" s="33">
        <v>23.533158278245502</v>
      </c>
      <c r="AC118" s="33">
        <v>23.534539298907902</v>
      </c>
      <c r="AD118" s="33">
        <v>23.535992062657201</v>
      </c>
      <c r="AE118" s="15">
        <v>6.2903788181131097E-5</v>
      </c>
      <c r="AF118" s="15">
        <v>1.2158610041962501E-4</v>
      </c>
      <c r="AG118" s="15">
        <v>1.83313202610239E-4</v>
      </c>
      <c r="AI118" s="12"/>
      <c r="AJ118">
        <f t="shared" si="26"/>
        <v>0</v>
      </c>
      <c r="AK118">
        <f t="shared" si="27"/>
        <v>1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3.0942619460569655E-3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0</v>
      </c>
      <c r="BE118" s="29">
        <f t="shared" si="42"/>
        <v>0</v>
      </c>
      <c r="BF118" s="29">
        <f t="shared" si="43"/>
        <v>3.0942619460569655E-3</v>
      </c>
      <c r="BH118" s="29"/>
    </row>
    <row r="119" spans="1:60" x14ac:dyDescent="0.25">
      <c r="A119" s="1">
        <v>46196</v>
      </c>
      <c r="B119" s="33">
        <v>18.54</v>
      </c>
      <c r="C119" s="33">
        <v>23.11</v>
      </c>
      <c r="D119" s="15">
        <v>1.0793309196758299E-3</v>
      </c>
      <c r="E119" s="15">
        <v>8.65800919885434E-4</v>
      </c>
      <c r="F119" s="33">
        <v>0</v>
      </c>
      <c r="G119" s="33">
        <v>0.41635999999999901</v>
      </c>
      <c r="H119" s="33">
        <v>0</v>
      </c>
      <c r="I119" s="33">
        <v>0.44167800000000002</v>
      </c>
      <c r="J119" s="33">
        <v>0.41635999999999901</v>
      </c>
      <c r="K119" s="33">
        <v>0.44167800000000002</v>
      </c>
      <c r="L119" s="33">
        <v>18.95636</v>
      </c>
      <c r="M119" s="33">
        <v>23.551677999999999</v>
      </c>
      <c r="N119" s="34">
        <v>1.24649406688241</v>
      </c>
      <c r="O119" s="34">
        <v>1.2439394184217101</v>
      </c>
      <c r="P119" s="34">
        <v>1.24302401767926</v>
      </c>
      <c r="Q119" s="34">
        <v>1.2436475031893099</v>
      </c>
      <c r="R119" s="33">
        <v>23.0626368175385</v>
      </c>
      <c r="S119" s="33">
        <v>23.038180373980399</v>
      </c>
      <c r="T119" s="33">
        <v>23.057601258995099</v>
      </c>
      <c r="U119" s="15">
        <v>-2.0515700353429698E-3</v>
      </c>
      <c r="V119" s="15">
        <v>-3.1125684011986802E-3</v>
      </c>
      <c r="W119" s="15">
        <v>-2.2699365821553098E-3</v>
      </c>
      <c r="X119" s="34">
        <v>1.2424156325370399</v>
      </c>
      <c r="Y119" s="34">
        <v>1.24274983567304</v>
      </c>
      <c r="Z119" s="34">
        <v>1.2427039982375401</v>
      </c>
      <c r="AA119" s="34">
        <v>1.2428494438606701</v>
      </c>
      <c r="AB119" s="33">
        <v>23.558013274958899</v>
      </c>
      <c r="AC119" s="33">
        <v>23.558390806685601</v>
      </c>
      <c r="AD119" s="33">
        <v>23.560246306684999</v>
      </c>
      <c r="AE119" s="15">
        <v>2.6895845953234899E-4</v>
      </c>
      <c r="AF119" s="15">
        <v>2.8498394933706099E-4</v>
      </c>
      <c r="AG119" s="15">
        <v>3.6374259407367498E-4</v>
      </c>
      <c r="AI119" s="12"/>
      <c r="AJ119">
        <f t="shared" si="26"/>
        <v>0</v>
      </c>
      <c r="AK119">
        <f t="shared" si="27"/>
        <v>1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3.0942619460569655E-3</v>
      </c>
      <c r="AT119" s="12"/>
      <c r="AU119">
        <f t="shared" si="30"/>
        <v>0</v>
      </c>
      <c r="AV119">
        <f t="shared" si="31"/>
        <v>0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0</v>
      </c>
      <c r="BE119" s="29">
        <f t="shared" si="42"/>
        <v>0</v>
      </c>
      <c r="BF119" s="29">
        <f t="shared" si="43"/>
        <v>3.0942619460569655E-3</v>
      </c>
      <c r="BH119" s="29"/>
    </row>
    <row r="120" spans="1:60" x14ac:dyDescent="0.25">
      <c r="A120" s="1">
        <v>46197</v>
      </c>
      <c r="B120" s="33">
        <v>18.55</v>
      </c>
      <c r="C120" s="33">
        <v>23.14</v>
      </c>
      <c r="D120" s="15">
        <v>5.3922891573517301E-4</v>
      </c>
      <c r="E120" s="15">
        <v>1.2972974792411201E-3</v>
      </c>
      <c r="F120" s="33">
        <v>0</v>
      </c>
      <c r="G120" s="33">
        <v>0.41635999999999901</v>
      </c>
      <c r="H120" s="33">
        <v>0</v>
      </c>
      <c r="I120" s="33">
        <v>0.44167800000000002</v>
      </c>
      <c r="J120" s="33">
        <v>0.41635999999999901</v>
      </c>
      <c r="K120" s="33">
        <v>0.44167800000000002</v>
      </c>
      <c r="L120" s="33">
        <v>18.966360000000002</v>
      </c>
      <c r="M120" s="33">
        <v>23.581678</v>
      </c>
      <c r="N120" s="34">
        <v>1.2474393530997301</v>
      </c>
      <c r="O120" s="34">
        <v>1.2439394184217101</v>
      </c>
      <c r="P120" s="34">
        <v>1.24356139032113</v>
      </c>
      <c r="Q120" s="34">
        <v>1.2436943901123301</v>
      </c>
      <c r="R120" s="33">
        <v>23.075076211722799</v>
      </c>
      <c r="S120" s="33">
        <v>23.0580955279503</v>
      </c>
      <c r="T120" s="33">
        <v>23.069661184161699</v>
      </c>
      <c r="U120" s="15">
        <v>-2.80963859884903E-3</v>
      </c>
      <c r="V120" s="15">
        <v>-3.5457980216246402E-3</v>
      </c>
      <c r="W120" s="15">
        <v>-3.0443361132982101E-3</v>
      </c>
      <c r="X120" s="34">
        <v>1.24334231766137</v>
      </c>
      <c r="Y120" s="34">
        <v>1.24274983567304</v>
      </c>
      <c r="Z120" s="34">
        <v>1.2427694229466899</v>
      </c>
      <c r="AA120" s="34">
        <v>1.2428968293818199</v>
      </c>
      <c r="AB120" s="33">
        <v>23.570440773315699</v>
      </c>
      <c r="AC120" s="33">
        <v>23.569571404012599</v>
      </c>
      <c r="AD120" s="33">
        <v>23.572329978061301</v>
      </c>
      <c r="AE120" s="15">
        <v>-4.7663719847015098E-4</v>
      </c>
      <c r="AF120" s="15">
        <v>-5.13521758443613E-4</v>
      </c>
      <c r="AG120" s="15">
        <v>-3.9648897143545499E-4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3.0942619460569655E-3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0</v>
      </c>
      <c r="BE120" s="29">
        <f t="shared" si="42"/>
        <v>0</v>
      </c>
      <c r="BF120" s="29">
        <f t="shared" si="43"/>
        <v>3.0942619460569655E-3</v>
      </c>
      <c r="BH120" s="29"/>
    </row>
    <row r="121" spans="1:60" x14ac:dyDescent="0.25">
      <c r="A121" s="1">
        <v>46198</v>
      </c>
      <c r="B121" s="33">
        <v>18.579999999999998</v>
      </c>
      <c r="C121" s="33">
        <v>23.16</v>
      </c>
      <c r="D121" s="15">
        <v>1.6159443322481799E-3</v>
      </c>
      <c r="E121" s="15">
        <v>8.63930939263878E-4</v>
      </c>
      <c r="F121" s="33">
        <v>0</v>
      </c>
      <c r="G121" s="33">
        <v>0.41635999999999901</v>
      </c>
      <c r="H121" s="33">
        <v>0</v>
      </c>
      <c r="I121" s="33">
        <v>0.44167800000000002</v>
      </c>
      <c r="J121" s="33">
        <v>0.41635999999999901</v>
      </c>
      <c r="K121" s="33">
        <v>0.44167800000000002</v>
      </c>
      <c r="L121" s="33">
        <v>18.996359999999999</v>
      </c>
      <c r="M121" s="33">
        <v>23.601678</v>
      </c>
      <c r="N121" s="34">
        <v>1.2465016146393899</v>
      </c>
      <c r="O121" s="34">
        <v>1.2439394184217101</v>
      </c>
      <c r="P121" s="34">
        <v>1.2439789185055901</v>
      </c>
      <c r="Q121" s="34">
        <v>1.2436405687990899</v>
      </c>
      <c r="R121" s="33">
        <v>23.112394394275402</v>
      </c>
      <c r="S121" s="33">
        <v>23.105370632166601</v>
      </c>
      <c r="T121" s="33">
        <v>23.107841768287098</v>
      </c>
      <c r="U121" s="15">
        <v>-2.0576252058649202E-3</v>
      </c>
      <c r="V121" s="15">
        <v>-2.36156730080707E-3</v>
      </c>
      <c r="W121" s="15">
        <v>-2.2546222954964402E-3</v>
      </c>
      <c r="X121" s="34">
        <v>1.2424316026859801</v>
      </c>
      <c r="Y121" s="34">
        <v>1.24274983567304</v>
      </c>
      <c r="Z121" s="34">
        <v>1.24271811675257</v>
      </c>
      <c r="AA121" s="34">
        <v>1.2428458420947099</v>
      </c>
      <c r="AB121" s="33">
        <v>23.6077232683859</v>
      </c>
      <c r="AC121" s="33">
        <v>23.608095355287499</v>
      </c>
      <c r="AD121" s="33">
        <v>23.610515613795702</v>
      </c>
      <c r="AE121" s="15">
        <v>2.5610443075034598E-4</v>
      </c>
      <c r="AF121" s="15">
        <v>2.7186554270537498E-4</v>
      </c>
      <c r="AG121" s="15">
        <v>3.7437844855186701E-4</v>
      </c>
      <c r="AI121" s="12"/>
      <c r="AJ121">
        <f t="shared" si="26"/>
        <v>0</v>
      </c>
      <c r="AK121">
        <f t="shared" si="27"/>
        <v>1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3.0942619460569655E-3</v>
      </c>
      <c r="AT121" s="12"/>
      <c r="AU121">
        <f t="shared" si="30"/>
        <v>0</v>
      </c>
      <c r="AV121">
        <f t="shared" si="31"/>
        <v>0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0</v>
      </c>
      <c r="BE121" s="29">
        <f t="shared" si="42"/>
        <v>0</v>
      </c>
      <c r="BF121" s="29">
        <f t="shared" si="43"/>
        <v>3.0942619460569655E-3</v>
      </c>
      <c r="BH121" s="29"/>
    </row>
    <row r="122" spans="1:60" x14ac:dyDescent="0.25">
      <c r="A122" s="1">
        <v>46199</v>
      </c>
      <c r="B122" s="33">
        <v>18.59</v>
      </c>
      <c r="C122" s="33">
        <v>23.19</v>
      </c>
      <c r="D122" s="15">
        <v>5.3806834766030305E-4</v>
      </c>
      <c r="E122" s="15">
        <v>1.29449856264579E-3</v>
      </c>
      <c r="F122" s="33">
        <v>0</v>
      </c>
      <c r="G122" s="33">
        <v>0.41635999999999901</v>
      </c>
      <c r="H122" s="33">
        <v>0</v>
      </c>
      <c r="I122" s="33">
        <v>0.44167800000000002</v>
      </c>
      <c r="J122" s="33">
        <v>0.41635999999999901</v>
      </c>
      <c r="K122" s="33">
        <v>0.44167800000000002</v>
      </c>
      <c r="L122" s="33">
        <v>19.006360000000001</v>
      </c>
      <c r="M122" s="33">
        <v>23.631678000000001</v>
      </c>
      <c r="N122" s="34">
        <v>1.2474448628294701</v>
      </c>
      <c r="O122" s="34">
        <v>1.2439394184217101</v>
      </c>
      <c r="P122" s="34">
        <v>1.24451513855128</v>
      </c>
      <c r="Q122" s="34">
        <v>1.24361367261834</v>
      </c>
      <c r="R122" s="33">
        <v>23.1248337884596</v>
      </c>
      <c r="S122" s="33">
        <v>23.125568095018899</v>
      </c>
      <c r="T122" s="33">
        <v>23.119278173975101</v>
      </c>
      <c r="U122" s="15">
        <v>-2.8140554208503899E-3</v>
      </c>
      <c r="V122" s="15">
        <v>-2.7823018996081402E-3</v>
      </c>
      <c r="W122" s="15">
        <v>-3.0543287994719598E-3</v>
      </c>
      <c r="X122" s="34">
        <v>1.24335632914456</v>
      </c>
      <c r="Y122" s="34">
        <v>1.24274983567304</v>
      </c>
      <c r="Z122" s="34">
        <v>1.2427834013185</v>
      </c>
      <c r="AA122" s="34">
        <v>1.24282111478239</v>
      </c>
      <c r="AB122" s="33">
        <v>23.620150766742601</v>
      </c>
      <c r="AC122" s="33">
        <v>23.619547905521401</v>
      </c>
      <c r="AD122" s="33">
        <v>23.621975499355301</v>
      </c>
      <c r="AE122" s="15">
        <v>-4.8790634296672297E-4</v>
      </c>
      <c r="AF122" s="15">
        <v>-5.1342984282531099E-4</v>
      </c>
      <c r="AG122" s="15">
        <v>-4.1065611069347898E-4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3.0942619460569655E-3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0</v>
      </c>
      <c r="BE122" s="29">
        <f t="shared" si="42"/>
        <v>0</v>
      </c>
      <c r="BF122" s="29">
        <f t="shared" si="43"/>
        <v>3.0942619460569655E-3</v>
      </c>
      <c r="BH122" s="29"/>
    </row>
    <row r="123" spans="1:60" x14ac:dyDescent="0.25">
      <c r="A123" s="1">
        <v>46202</v>
      </c>
      <c r="B123" s="33">
        <v>18.59</v>
      </c>
      <c r="C123" s="33">
        <v>23.2</v>
      </c>
      <c r="D123" s="15">
        <v>0</v>
      </c>
      <c r="E123" s="15">
        <v>4.31127404823844E-4</v>
      </c>
      <c r="F123" s="33">
        <v>0</v>
      </c>
      <c r="G123" s="33">
        <v>0.41635999999999901</v>
      </c>
      <c r="H123" s="33">
        <v>0</v>
      </c>
      <c r="I123" s="33">
        <v>0.44167800000000002</v>
      </c>
      <c r="J123" s="33">
        <v>0.41635999999999901</v>
      </c>
      <c r="K123" s="33">
        <v>0.44167800000000002</v>
      </c>
      <c r="L123" s="33">
        <v>19.006360000000001</v>
      </c>
      <c r="M123" s="33">
        <v>23.641677999999999</v>
      </c>
      <c r="N123" s="34">
        <v>1.24798278644432</v>
      </c>
      <c r="O123" s="34">
        <v>1.2439394184217101</v>
      </c>
      <c r="P123" s="34">
        <v>1.24515882782373</v>
      </c>
      <c r="Q123" s="34">
        <v>1.2436605025957701</v>
      </c>
      <c r="R123" s="33">
        <v>23.1248337884596</v>
      </c>
      <c r="S123" s="33">
        <v>23.135536425668398</v>
      </c>
      <c r="T123" s="33">
        <v>23.118778173975102</v>
      </c>
      <c r="U123" s="15">
        <v>-3.2451828256742999E-3</v>
      </c>
      <c r="V123" s="15">
        <v>-2.7824698231549102E-3</v>
      </c>
      <c r="W123" s="15">
        <v>-3.5070834109526298E-3</v>
      </c>
      <c r="X123" s="34">
        <v>1.2438824688157</v>
      </c>
      <c r="Y123" s="34">
        <v>1.24274983567304</v>
      </c>
      <c r="Z123" s="34">
        <v>1.2429539976910899</v>
      </c>
      <c r="AA123" s="34">
        <v>1.2428683430506799</v>
      </c>
      <c r="AB123" s="33">
        <v>23.620150766742601</v>
      </c>
      <c r="AC123" s="33">
        <v>23.620788727483902</v>
      </c>
      <c r="AD123" s="33">
        <v>23.621505523155399</v>
      </c>
      <c r="AE123" s="15">
        <v>-9.1097764550576504E-4</v>
      </c>
      <c r="AF123" s="15">
        <v>-8.8396883712170003E-4</v>
      </c>
      <c r="AG123" s="15">
        <v>-8.5362333070743699E-4</v>
      </c>
      <c r="AI123" s="12"/>
      <c r="AJ123">
        <f t="shared" si="26"/>
        <v>0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3.0942619460569655E-3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0</v>
      </c>
      <c r="BE123" s="29">
        <f t="shared" si="42"/>
        <v>0</v>
      </c>
      <c r="BF123" s="29">
        <f t="shared" si="43"/>
        <v>3.0942619460569655E-3</v>
      </c>
      <c r="BH123" s="29"/>
    </row>
    <row r="124" spans="1:60" x14ac:dyDescent="0.25">
      <c r="A124" s="1">
        <v>46203</v>
      </c>
      <c r="B124" s="33">
        <v>18.57</v>
      </c>
      <c r="C124" s="33">
        <v>23.16</v>
      </c>
      <c r="D124" s="15">
        <v>-1.0764263687381701E-3</v>
      </c>
      <c r="E124" s="15">
        <v>-1.72562596746972E-3</v>
      </c>
      <c r="F124" s="33">
        <v>0</v>
      </c>
      <c r="G124" s="33">
        <v>0.41635999999999901</v>
      </c>
      <c r="H124" s="33">
        <v>0</v>
      </c>
      <c r="I124" s="33">
        <v>0.44167800000000002</v>
      </c>
      <c r="J124" s="33">
        <v>0.41635999999999901</v>
      </c>
      <c r="K124" s="33">
        <v>0.44167800000000002</v>
      </c>
      <c r="L124" s="33">
        <v>18.986360000000001</v>
      </c>
      <c r="M124" s="33">
        <v>23.601678</v>
      </c>
      <c r="N124" s="34">
        <v>1.2471728594507201</v>
      </c>
      <c r="O124" s="34">
        <v>1.2439394184217101</v>
      </c>
      <c r="P124" s="34">
        <v>1.2456678475315599</v>
      </c>
      <c r="Q124" s="34">
        <v>1.2439020042464399</v>
      </c>
      <c r="R124" s="33">
        <v>23.0999550000912</v>
      </c>
      <c r="S124" s="33">
        <v>23.122599432686801</v>
      </c>
      <c r="T124" s="33">
        <v>23.094775533203499</v>
      </c>
      <c r="U124" s="15">
        <v>-2.59598322694268E-3</v>
      </c>
      <c r="V124" s="15">
        <v>-1.6161830110067101E-3</v>
      </c>
      <c r="W124" s="15">
        <v>-2.8202281505349701E-3</v>
      </c>
      <c r="X124" s="34">
        <v>1.2430859838326</v>
      </c>
      <c r="Y124" s="34">
        <v>1.24274983567304</v>
      </c>
      <c r="Z124" s="34">
        <v>1.24299224772582</v>
      </c>
      <c r="AA124" s="34">
        <v>1.2428746646245401</v>
      </c>
      <c r="AB124" s="33">
        <v>23.5952957700291</v>
      </c>
      <c r="AC124" s="33">
        <v>23.5991720636022</v>
      </c>
      <c r="AD124" s="33">
        <v>23.5975457937637</v>
      </c>
      <c r="AE124" s="15">
        <v>-2.7045081495340298E-4</v>
      </c>
      <c r="AF124" s="15">
        <v>-1.06181833452242E-4</v>
      </c>
      <c r="AG124" s="15">
        <v>-1.7509636450068901E-4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3.0942619460569655E-3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0</v>
      </c>
      <c r="BE124" s="29">
        <f t="shared" si="42"/>
        <v>0</v>
      </c>
      <c r="BF124" s="29">
        <f t="shared" si="43"/>
        <v>3.0942619460569655E-3</v>
      </c>
      <c r="BH124" s="29"/>
    </row>
    <row r="125" spans="1:60" x14ac:dyDescent="0.25">
      <c r="A125" s="1">
        <v>46204</v>
      </c>
      <c r="B125" s="33">
        <v>18.57</v>
      </c>
      <c r="C125" s="33">
        <v>23.06</v>
      </c>
      <c r="D125" s="15">
        <v>0</v>
      </c>
      <c r="E125" s="15">
        <v>-4.3271378638816103E-3</v>
      </c>
      <c r="F125" s="33">
        <v>0</v>
      </c>
      <c r="G125" s="33">
        <v>0.41635999999999901</v>
      </c>
      <c r="H125" s="33">
        <v>8.6438000000000001E-2</v>
      </c>
      <c r="I125" s="33">
        <v>0.52811600000000003</v>
      </c>
      <c r="J125" s="33">
        <v>0.41635999999999901</v>
      </c>
      <c r="K125" s="33">
        <v>0.52811600000000003</v>
      </c>
      <c r="L125" s="33">
        <v>18.986360000000001</v>
      </c>
      <c r="M125" s="33">
        <v>23.588115999999999</v>
      </c>
      <c r="N125" s="34">
        <v>1.24178782983306</v>
      </c>
      <c r="O125" s="34">
        <v>1.2439394184217101</v>
      </c>
      <c r="P125" s="34">
        <v>1.2456513515448999</v>
      </c>
      <c r="Q125" s="34">
        <v>1.24387425441622</v>
      </c>
      <c r="R125" s="33">
        <v>23.0999550000912</v>
      </c>
      <c r="S125" s="33">
        <v>23.132051928660999</v>
      </c>
      <c r="T125" s="33">
        <v>23.099260218856401</v>
      </c>
      <c r="U125" s="15">
        <v>1.7311546369389299E-3</v>
      </c>
      <c r="V125" s="15">
        <v>3.1196703367286898E-3</v>
      </c>
      <c r="W125" s="15">
        <v>1.70107701628742E-3</v>
      </c>
      <c r="X125" s="34">
        <v>1.24237168156508</v>
      </c>
      <c r="Y125" s="34">
        <v>1.24274983567304</v>
      </c>
      <c r="Z125" s="34">
        <v>1.2429718507465499</v>
      </c>
      <c r="AA125" s="34">
        <v>1.24284527108502</v>
      </c>
      <c r="AB125" s="33">
        <v>23.5952957700291</v>
      </c>
      <c r="AC125" s="33">
        <v>23.599898292531599</v>
      </c>
      <c r="AD125" s="33">
        <v>23.597665817440799</v>
      </c>
      <c r="AE125" s="15">
        <v>3.0433450296437801E-4</v>
      </c>
      <c r="AF125" s="15">
        <v>4.9937650283247005E-4</v>
      </c>
      <c r="AG125" s="15">
        <v>4.0477521844136901E-4</v>
      </c>
      <c r="AI125" s="12"/>
      <c r="AJ125">
        <f t="shared" si="26"/>
        <v>0</v>
      </c>
      <c r="AK125">
        <f t="shared" si="27"/>
        <v>1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3.0942619460569655E-3</v>
      </c>
      <c r="AT125" s="12"/>
      <c r="AU125">
        <f t="shared" si="30"/>
        <v>0</v>
      </c>
      <c r="AV125">
        <f t="shared" si="31"/>
        <v>0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0</v>
      </c>
      <c r="BE125" s="29">
        <f t="shared" si="42"/>
        <v>0</v>
      </c>
      <c r="BF125" s="29">
        <f t="shared" si="43"/>
        <v>3.0942619460569655E-3</v>
      </c>
      <c r="BH125" s="29"/>
    </row>
    <row r="126" spans="1:60" x14ac:dyDescent="0.25">
      <c r="A126" s="1">
        <v>46205</v>
      </c>
      <c r="B126" s="33">
        <v>18.59</v>
      </c>
      <c r="C126" s="33">
        <v>23.11</v>
      </c>
      <c r="D126" s="15">
        <v>1.0764263687381901E-3</v>
      </c>
      <c r="E126" s="15">
        <v>2.1659094453764802E-3</v>
      </c>
      <c r="F126" s="33">
        <v>0</v>
      </c>
      <c r="G126" s="33">
        <v>0.41635999999999901</v>
      </c>
      <c r="H126" s="33">
        <v>0</v>
      </c>
      <c r="I126" s="33">
        <v>0.52811600000000003</v>
      </c>
      <c r="J126" s="33">
        <v>0.41635999999999901</v>
      </c>
      <c r="K126" s="33">
        <v>0.52811600000000003</v>
      </c>
      <c r="L126" s="33">
        <v>19.006360000000001</v>
      </c>
      <c r="M126" s="33">
        <v>23.638116</v>
      </c>
      <c r="N126" s="34">
        <v>1.2431414739107001</v>
      </c>
      <c r="O126" s="34">
        <v>1.2439394184217101</v>
      </c>
      <c r="P126" s="34">
        <v>1.2457328656564901</v>
      </c>
      <c r="Q126" s="34">
        <v>1.2439280467777001</v>
      </c>
      <c r="R126" s="33">
        <v>23.1248337884596</v>
      </c>
      <c r="S126" s="33">
        <v>23.156658625219801</v>
      </c>
      <c r="T126" s="33">
        <v>23.1236223895976</v>
      </c>
      <c r="U126" s="15">
        <v>6.41671560300622E-4</v>
      </c>
      <c r="V126" s="15">
        <v>2.0169444876209498E-3</v>
      </c>
      <c r="W126" s="15">
        <v>5.8928499597200705E-4</v>
      </c>
      <c r="X126" s="34">
        <v>1.24369505786484</v>
      </c>
      <c r="Y126" s="34">
        <v>1.24274983567304</v>
      </c>
      <c r="Z126" s="34">
        <v>1.24304689007032</v>
      </c>
      <c r="AA126" s="34">
        <v>1.2428956204497701</v>
      </c>
      <c r="AB126" s="33">
        <v>23.620150766742601</v>
      </c>
      <c r="AC126" s="33">
        <v>23.624370465155199</v>
      </c>
      <c r="AD126" s="33">
        <v>23.621964646539599</v>
      </c>
      <c r="AE126" s="15">
        <v>-7.6030016976465296E-4</v>
      </c>
      <c r="AF126" s="15">
        <v>-5.8166788335979602E-4</v>
      </c>
      <c r="AG126" s="15">
        <v>-6.8350937485657905E-4</v>
      </c>
      <c r="AI126" s="12"/>
      <c r="AJ126">
        <f t="shared" si="26"/>
        <v>0</v>
      </c>
      <c r="AK126">
        <f t="shared" si="27"/>
        <v>0</v>
      </c>
      <c r="AL126">
        <f t="shared" si="34"/>
        <v>0</v>
      </c>
      <c r="AM126">
        <f t="shared" si="24"/>
        <v>1</v>
      </c>
      <c r="AN126">
        <f t="shared" si="35"/>
        <v>0</v>
      </c>
      <c r="AO126" s="28">
        <f t="shared" si="28"/>
        <v>0</v>
      </c>
      <c r="AP126" s="28">
        <f t="shared" si="29"/>
        <v>0</v>
      </c>
      <c r="AQ126" s="28">
        <f t="shared" si="36"/>
        <v>0</v>
      </c>
      <c r="AR126" s="29">
        <f t="shared" si="37"/>
        <v>3.0942619460569655E-3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0</v>
      </c>
      <c r="BE126" s="29">
        <f t="shared" si="42"/>
        <v>0</v>
      </c>
      <c r="BF126" s="29">
        <f t="shared" si="43"/>
        <v>3.0942619460569655E-3</v>
      </c>
      <c r="BH126" s="29"/>
    </row>
    <row r="127" spans="1:60" x14ac:dyDescent="0.25">
      <c r="A127" s="1">
        <v>46209</v>
      </c>
      <c r="B127" s="33">
        <v>18.61</v>
      </c>
      <c r="C127" s="33">
        <v>23.11</v>
      </c>
      <c r="D127" s="15">
        <v>1.0752689208068E-3</v>
      </c>
      <c r="E127" s="15">
        <v>0</v>
      </c>
      <c r="F127" s="33">
        <v>0</v>
      </c>
      <c r="G127" s="33">
        <v>0.41635999999999901</v>
      </c>
      <c r="H127" s="33">
        <v>0</v>
      </c>
      <c r="I127" s="33">
        <v>0.52811600000000003</v>
      </c>
      <c r="J127" s="33">
        <v>0.41635999999999901</v>
      </c>
      <c r="K127" s="33">
        <v>0.52811600000000003</v>
      </c>
      <c r="L127" s="33">
        <v>19.02636</v>
      </c>
      <c r="M127" s="33">
        <v>23.638116</v>
      </c>
      <c r="N127" s="34">
        <v>1.24180548092423</v>
      </c>
      <c r="O127" s="34">
        <v>1.2439394184217101</v>
      </c>
      <c r="P127" s="34">
        <v>1.24565305871933</v>
      </c>
      <c r="Q127" s="34">
        <v>1.2439280467777001</v>
      </c>
      <c r="R127" s="33">
        <v>23.149712576828001</v>
      </c>
      <c r="S127" s="33">
        <v>23.183088629867399</v>
      </c>
      <c r="T127" s="33">
        <v>23.149500950533099</v>
      </c>
      <c r="U127" s="15">
        <v>1.71694048110729E-3</v>
      </c>
      <c r="V127" s="15">
        <v>3.1576502134406099E-3</v>
      </c>
      <c r="W127" s="15">
        <v>1.70779880120317E-3</v>
      </c>
      <c r="X127" s="34">
        <v>1.2423877189331001</v>
      </c>
      <c r="Y127" s="34">
        <v>1.24274983567304</v>
      </c>
      <c r="Z127" s="34">
        <v>1.24296404574995</v>
      </c>
      <c r="AA127" s="34">
        <v>1.24289340549835</v>
      </c>
      <c r="AB127" s="33">
        <v>23.645005763456101</v>
      </c>
      <c r="AC127" s="33">
        <v>23.650657627358399</v>
      </c>
      <c r="AD127" s="33">
        <v>23.647779517100702</v>
      </c>
      <c r="AE127" s="15">
        <v>2.9142591469865102E-4</v>
      </c>
      <c r="AF127" s="15">
        <v>5.3042727440249604E-4</v>
      </c>
      <c r="AG127" s="15">
        <v>4.0872725913640998E-4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3.0942619460569655E-3</v>
      </c>
      <c r="AT127" s="12"/>
      <c r="AU127">
        <f t="shared" si="30"/>
        <v>0</v>
      </c>
      <c r="AV127">
        <f t="shared" si="31"/>
        <v>0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0</v>
      </c>
      <c r="BE127" s="29">
        <f t="shared" si="42"/>
        <v>0</v>
      </c>
      <c r="BF127" s="29">
        <f t="shared" si="43"/>
        <v>3.0942619460569655E-3</v>
      </c>
      <c r="BH127" s="29"/>
    </row>
    <row r="128" spans="1:60" x14ac:dyDescent="0.25">
      <c r="A128" s="1">
        <v>46210</v>
      </c>
      <c r="B128" s="33">
        <v>18.57</v>
      </c>
      <c r="C128" s="33">
        <v>23.07</v>
      </c>
      <c r="D128" s="15">
        <v>-2.1516952895449001E-3</v>
      </c>
      <c r="E128" s="15">
        <v>-1.7323521006270401E-3</v>
      </c>
      <c r="F128" s="33">
        <v>0</v>
      </c>
      <c r="G128" s="33">
        <v>0.41635999999999901</v>
      </c>
      <c r="H128" s="33">
        <v>0</v>
      </c>
      <c r="I128" s="33">
        <v>0.52811600000000003</v>
      </c>
      <c r="J128" s="33">
        <v>0.41635999999999901</v>
      </c>
      <c r="K128" s="33">
        <v>0.52811600000000003</v>
      </c>
      <c r="L128" s="33">
        <v>18.986360000000001</v>
      </c>
      <c r="M128" s="33">
        <v>23.598116000000001</v>
      </c>
      <c r="N128" s="34">
        <v>1.24232633279483</v>
      </c>
      <c r="O128" s="34">
        <v>1.2439394184217101</v>
      </c>
      <c r="P128" s="34">
        <v>1.24520966608089</v>
      </c>
      <c r="Q128" s="34">
        <v>1.2439149833635399</v>
      </c>
      <c r="R128" s="33">
        <v>23.0999550000912</v>
      </c>
      <c r="S128" s="33">
        <v>23.131777300418001</v>
      </c>
      <c r="T128" s="33">
        <v>23.099743828662</v>
      </c>
      <c r="U128" s="15">
        <v>1.2975972921893499E-3</v>
      </c>
      <c r="V128" s="15">
        <v>2.6742407259945202E-3</v>
      </c>
      <c r="W128" s="15">
        <v>1.28845561228554E-3</v>
      </c>
      <c r="X128" s="34">
        <v>1.24289837546533</v>
      </c>
      <c r="Y128" s="34">
        <v>1.24274983567304</v>
      </c>
      <c r="Z128" s="34">
        <v>1.2429867168505599</v>
      </c>
      <c r="AA128" s="34">
        <v>1.2428782341789999</v>
      </c>
      <c r="AB128" s="33">
        <v>23.5952957700291</v>
      </c>
      <c r="AC128" s="33">
        <v>23.599362839665101</v>
      </c>
      <c r="AD128" s="33">
        <v>23.598021638417698</v>
      </c>
      <c r="AE128" s="15">
        <v>-1.19517952544676E-4</v>
      </c>
      <c r="AF128" s="15">
        <v>5.2835011365234103E-5</v>
      </c>
      <c r="AG128" s="15">
        <v>-3.9986993434931199E-6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3.0942619460569655E-3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0</v>
      </c>
      <c r="BE128" s="29">
        <f t="shared" si="42"/>
        <v>0</v>
      </c>
      <c r="BF128" s="29">
        <f t="shared" si="43"/>
        <v>3.0942619460569655E-3</v>
      </c>
      <c r="BH128" s="29"/>
    </row>
    <row r="129" spans="1:60" x14ac:dyDescent="0.25">
      <c r="A129" s="1">
        <v>46211</v>
      </c>
      <c r="B129" s="33">
        <v>18.55</v>
      </c>
      <c r="C129" s="33">
        <v>23.05</v>
      </c>
      <c r="D129" s="15">
        <v>-1.0775863111702399E-3</v>
      </c>
      <c r="E129" s="15">
        <v>-8.6730274300472103E-4</v>
      </c>
      <c r="F129" s="33">
        <v>0</v>
      </c>
      <c r="G129" s="33">
        <v>0.41635999999999901</v>
      </c>
      <c r="H129" s="33">
        <v>0</v>
      </c>
      <c r="I129" s="33">
        <v>0.52811600000000003</v>
      </c>
      <c r="J129" s="33">
        <v>0.41635999999999901</v>
      </c>
      <c r="K129" s="33">
        <v>0.52811600000000003</v>
      </c>
      <c r="L129" s="33">
        <v>18.966360000000002</v>
      </c>
      <c r="M129" s="33">
        <v>23.578116000000001</v>
      </c>
      <c r="N129" s="34">
        <v>1.24258760107816</v>
      </c>
      <c r="O129" s="34">
        <v>1.2439394184217101</v>
      </c>
      <c r="P129" s="34">
        <v>1.24481901950046</v>
      </c>
      <c r="Q129" s="34">
        <v>1.24392151858986</v>
      </c>
      <c r="R129" s="33">
        <v>23.075076211722799</v>
      </c>
      <c r="S129" s="33">
        <v>23.0986393058005</v>
      </c>
      <c r="T129" s="33">
        <v>23.074622941393699</v>
      </c>
      <c r="U129" s="15">
        <v>1.0873137240240899E-3</v>
      </c>
      <c r="V129" s="15">
        <v>2.1079418393517499E-3</v>
      </c>
      <c r="W129" s="15">
        <v>1.0676702447629501E-3</v>
      </c>
      <c r="X129" s="34">
        <v>1.24315451146134</v>
      </c>
      <c r="Y129" s="34">
        <v>1.24274983567304</v>
      </c>
      <c r="Z129" s="34">
        <v>1.24306060474299</v>
      </c>
      <c r="AA129" s="34">
        <v>1.2428823014902599</v>
      </c>
      <c r="AB129" s="33">
        <v>23.570440773315699</v>
      </c>
      <c r="AC129" s="33">
        <v>23.574933547005799</v>
      </c>
      <c r="AD129" s="33">
        <v>23.5728760256032</v>
      </c>
      <c r="AE129" s="15">
        <v>-3.25576317806687E-4</v>
      </c>
      <c r="AF129" s="15">
        <v>-1.34983973658154E-4</v>
      </c>
      <c r="AG129" s="15">
        <v>-2.22263591631793E-4</v>
      </c>
      <c r="AI129" s="12"/>
      <c r="AJ129">
        <f t="shared" si="26"/>
        <v>0</v>
      </c>
      <c r="AK129">
        <f t="shared" si="27"/>
        <v>0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3.0942619460569655E-3</v>
      </c>
      <c r="AT129" s="12"/>
      <c r="AU129">
        <f t="shared" si="30"/>
        <v>0</v>
      </c>
      <c r="AV129">
        <f t="shared" si="31"/>
        <v>1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0</v>
      </c>
      <c r="BE129" s="29">
        <f t="shared" si="42"/>
        <v>0</v>
      </c>
      <c r="BF129" s="29">
        <f t="shared" si="43"/>
        <v>3.0942619460569655E-3</v>
      </c>
      <c r="BH129" s="29"/>
    </row>
    <row r="130" spans="1:60" x14ac:dyDescent="0.25">
      <c r="A130" s="1">
        <v>46212</v>
      </c>
      <c r="B130" s="33">
        <v>18.57</v>
      </c>
      <c r="C130" s="33">
        <v>23.07</v>
      </c>
      <c r="D130" s="15">
        <v>1.0775863111703401E-3</v>
      </c>
      <c r="E130" s="15">
        <v>8.6730274300466802E-4</v>
      </c>
      <c r="F130" s="33">
        <v>0</v>
      </c>
      <c r="G130" s="33">
        <v>0.41635999999999901</v>
      </c>
      <c r="H130" s="33">
        <v>0</v>
      </c>
      <c r="I130" s="33">
        <v>0.52811600000000003</v>
      </c>
      <c r="J130" s="33">
        <v>0.41635999999999901</v>
      </c>
      <c r="K130" s="33">
        <v>0.52811600000000003</v>
      </c>
      <c r="L130" s="33">
        <v>18.986360000000001</v>
      </c>
      <c r="M130" s="33">
        <v>23.598116000000001</v>
      </c>
      <c r="N130" s="34">
        <v>1.24232633279483</v>
      </c>
      <c r="O130" s="34">
        <v>1.2439394184217101</v>
      </c>
      <c r="P130" s="34">
        <v>1.2443077174699699</v>
      </c>
      <c r="Q130" s="34">
        <v>1.24393455389555</v>
      </c>
      <c r="R130" s="33">
        <v>23.0999550000912</v>
      </c>
      <c r="S130" s="33">
        <v>23.116289192123599</v>
      </c>
      <c r="T130" s="33">
        <v>23.099622600213699</v>
      </c>
      <c r="U130" s="15">
        <v>1.2975972921893499E-3</v>
      </c>
      <c r="V130" s="15">
        <v>2.0044566659025301E-3</v>
      </c>
      <c r="W130" s="15">
        <v>1.2832075555414401E-3</v>
      </c>
      <c r="X130" s="34">
        <v>1.24289837546533</v>
      </c>
      <c r="Y130" s="34">
        <v>1.24274983567304</v>
      </c>
      <c r="Z130" s="34">
        <v>1.24301621052338</v>
      </c>
      <c r="AA130" s="34">
        <v>1.2428928167350299</v>
      </c>
      <c r="AB130" s="33">
        <v>23.5952957700291</v>
      </c>
      <c r="AC130" s="33">
        <v>23.601196143468101</v>
      </c>
      <c r="AD130" s="33">
        <v>23.597810813722798</v>
      </c>
      <c r="AE130" s="15">
        <v>-1.19517952544676E-4</v>
      </c>
      <c r="AF130" s="15">
        <v>1.30516455968013E-4</v>
      </c>
      <c r="AG130" s="15">
        <v>-1.2932737963268301E-5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3.0942619460569655E-3</v>
      </c>
      <c r="AT130" s="12"/>
      <c r="AU130">
        <f t="shared" si="30"/>
        <v>0</v>
      </c>
      <c r="AV130">
        <f t="shared" si="31"/>
        <v>1</v>
      </c>
      <c r="AW130">
        <f t="shared" si="38"/>
        <v>0</v>
      </c>
      <c r="AX130">
        <f t="shared" si="25"/>
        <v>1</v>
      </c>
      <c r="AY130">
        <f t="shared" si="39"/>
        <v>0</v>
      </c>
      <c r="AZ130" s="28">
        <f t="shared" si="32"/>
        <v>0</v>
      </c>
      <c r="BA130" s="28">
        <f t="shared" si="33"/>
        <v>0</v>
      </c>
      <c r="BB130" s="28">
        <f t="shared" si="40"/>
        <v>0</v>
      </c>
      <c r="BC130" s="29">
        <f t="shared" si="41"/>
        <v>0</v>
      </c>
      <c r="BE130" s="29">
        <f t="shared" si="42"/>
        <v>0</v>
      </c>
      <c r="BF130" s="29">
        <f t="shared" si="43"/>
        <v>3.0942619460569655E-3</v>
      </c>
      <c r="BH130" s="29"/>
    </row>
    <row r="131" spans="1:60" x14ac:dyDescent="0.25">
      <c r="A131" s="1">
        <v>46213</v>
      </c>
      <c r="B131" s="33">
        <v>18.559999999999999</v>
      </c>
      <c r="C131" s="33">
        <v>23.06</v>
      </c>
      <c r="D131" s="15">
        <v>-5.38648006560005E-4</v>
      </c>
      <c r="E131" s="15">
        <v>-4.3355734474936002E-4</v>
      </c>
      <c r="F131" s="33">
        <v>0</v>
      </c>
      <c r="G131" s="33">
        <v>0.41635999999999901</v>
      </c>
      <c r="H131" s="33">
        <v>0</v>
      </c>
      <c r="I131" s="33">
        <v>0.52811600000000003</v>
      </c>
      <c r="J131" s="33">
        <v>0.41635999999999901</v>
      </c>
      <c r="K131" s="33">
        <v>0.52811600000000003</v>
      </c>
      <c r="L131" s="33">
        <v>18.97636</v>
      </c>
      <c r="M131" s="33">
        <v>23.588115999999999</v>
      </c>
      <c r="N131" s="34">
        <v>1.24245689655172</v>
      </c>
      <c r="O131" s="34">
        <v>1.2439394184217101</v>
      </c>
      <c r="P131" s="34">
        <v>1.2439032456612</v>
      </c>
      <c r="Q131" s="34">
        <v>1.24394108208339</v>
      </c>
      <c r="R131" s="33">
        <v>23.087515605907001</v>
      </c>
      <c r="S131" s="33">
        <v>23.094351236242701</v>
      </c>
      <c r="T131" s="33">
        <v>23.087425320301499</v>
      </c>
      <c r="U131" s="15">
        <v>1.1925066303787599E-3</v>
      </c>
      <c r="V131" s="15">
        <v>1.4885375556345701E-3</v>
      </c>
      <c r="W131" s="15">
        <v>1.1885960414880999E-3</v>
      </c>
      <c r="X131" s="34">
        <v>1.2430263759751601</v>
      </c>
      <c r="Y131" s="34">
        <v>1.24274983567304</v>
      </c>
      <c r="Z131" s="34">
        <v>1.2430756878522999</v>
      </c>
      <c r="AA131" s="34">
        <v>1.2428969023024401</v>
      </c>
      <c r="AB131" s="33">
        <v>23.5828682716724</v>
      </c>
      <c r="AC131" s="33">
        <v>23.5879230967276</v>
      </c>
      <c r="AD131" s="33">
        <v>23.5855815317781</v>
      </c>
      <c r="AE131" s="15">
        <v>-2.22498149242618E-4</v>
      </c>
      <c r="AF131" s="15">
        <v>-8.1780190145263599E-6</v>
      </c>
      <c r="AG131" s="15">
        <v>-1.07452599940566E-4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3.0942619460569655E-3</v>
      </c>
      <c r="AT131" s="12"/>
      <c r="AU131">
        <f t="shared" si="30"/>
        <v>0</v>
      </c>
      <c r="AV131">
        <f t="shared" si="31"/>
        <v>1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0</v>
      </c>
      <c r="BE131" s="29">
        <f t="shared" si="42"/>
        <v>0</v>
      </c>
      <c r="BF131" s="29">
        <f t="shared" si="43"/>
        <v>3.0942619460569655E-3</v>
      </c>
      <c r="BH131" s="29"/>
    </row>
    <row r="132" spans="1:60" x14ac:dyDescent="0.25">
      <c r="A132" s="1">
        <v>46216</v>
      </c>
      <c r="B132" s="33">
        <v>18.52</v>
      </c>
      <c r="C132" s="33">
        <v>23.01</v>
      </c>
      <c r="D132" s="15">
        <v>-2.15749814002112E-3</v>
      </c>
      <c r="E132" s="15">
        <v>-2.1706107936383199E-3</v>
      </c>
      <c r="F132" s="33">
        <v>0</v>
      </c>
      <c r="G132" s="33">
        <v>0.41635999999999901</v>
      </c>
      <c r="H132" s="33">
        <v>0</v>
      </c>
      <c r="I132" s="33">
        <v>0.52811600000000003</v>
      </c>
      <c r="J132" s="33">
        <v>0.41635999999999901</v>
      </c>
      <c r="K132" s="33">
        <v>0.52811600000000003</v>
      </c>
      <c r="L132" s="33">
        <v>18.936360000000001</v>
      </c>
      <c r="M132" s="33">
        <v>23.538115999999999</v>
      </c>
      <c r="N132" s="34">
        <v>1.2424406047516099</v>
      </c>
      <c r="O132" s="34">
        <v>1.2439394184217101</v>
      </c>
      <c r="P132" s="34">
        <v>1.2434028198534199</v>
      </c>
      <c r="Q132" s="34">
        <v>1.24395897920235</v>
      </c>
      <c r="R132" s="33">
        <v>23.037758029170099</v>
      </c>
      <c r="S132" s="33">
        <v>23.037088109645499</v>
      </c>
      <c r="T132" s="33">
        <v>23.037788840184501</v>
      </c>
      <c r="U132" s="15">
        <v>1.2056192839961001E-3</v>
      </c>
      <c r="V132" s="15">
        <v>1.1765396633027299E-3</v>
      </c>
      <c r="W132" s="15">
        <v>1.2069566968543101E-3</v>
      </c>
      <c r="X132" s="34">
        <v>1.2430116453214799</v>
      </c>
      <c r="Y132" s="34">
        <v>1.24274983567304</v>
      </c>
      <c r="Z132" s="34">
        <v>1.24304121946999</v>
      </c>
      <c r="AA132" s="34">
        <v>1.2429123103942501</v>
      </c>
      <c r="AB132" s="33">
        <v>23.533158278245502</v>
      </c>
      <c r="AC132" s="33">
        <v>23.539328732418898</v>
      </c>
      <c r="AD132" s="33">
        <v>23.535943184883799</v>
      </c>
      <c r="AE132" s="15">
        <v>-2.1064744257835301E-4</v>
      </c>
      <c r="AF132" s="15">
        <v>5.1520741028265098E-5</v>
      </c>
      <c r="AG132" s="15">
        <v>-9.2314754891238899E-5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3.0942619460569655E-3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0</v>
      </c>
      <c r="BE132" s="29">
        <f t="shared" si="42"/>
        <v>0</v>
      </c>
      <c r="BF132" s="29">
        <f t="shared" si="43"/>
        <v>3.0942619460569655E-3</v>
      </c>
      <c r="BH132" s="29"/>
    </row>
    <row r="133" spans="1:60" x14ac:dyDescent="0.25">
      <c r="A133" s="1">
        <v>46217</v>
      </c>
      <c r="B133" s="33">
        <v>18.55</v>
      </c>
      <c r="C133" s="33">
        <v>23.05</v>
      </c>
      <c r="D133" s="15">
        <v>1.6185598354108001E-3</v>
      </c>
      <c r="E133" s="15">
        <v>1.7368653953830501E-3</v>
      </c>
      <c r="F133" s="33">
        <v>0</v>
      </c>
      <c r="G133" s="33">
        <v>0.41635999999999901</v>
      </c>
      <c r="H133" s="33">
        <v>0</v>
      </c>
      <c r="I133" s="33">
        <v>0.52811600000000003</v>
      </c>
      <c r="J133" s="33">
        <v>0.41635999999999901</v>
      </c>
      <c r="K133" s="33">
        <v>0.52811600000000003</v>
      </c>
      <c r="L133" s="33">
        <v>18.966360000000002</v>
      </c>
      <c r="M133" s="33">
        <v>23.578116000000001</v>
      </c>
      <c r="N133" s="34">
        <v>1.24258760107816</v>
      </c>
      <c r="O133" s="34">
        <v>1.2439394184217101</v>
      </c>
      <c r="P133" s="34">
        <v>1.2428633013168</v>
      </c>
      <c r="Q133" s="34">
        <v>1.24401106457027</v>
      </c>
      <c r="R133" s="33">
        <v>23.075076211722799</v>
      </c>
      <c r="S133" s="33">
        <v>23.065122308280898</v>
      </c>
      <c r="T133" s="33">
        <v>23.0754390642036</v>
      </c>
      <c r="U133" s="15">
        <v>1.0873137240240899E-3</v>
      </c>
      <c r="V133" s="15">
        <v>6.5585031833831505E-4</v>
      </c>
      <c r="W133" s="15">
        <v>1.10303846636894E-3</v>
      </c>
      <c r="X133" s="34">
        <v>1.24315451146134</v>
      </c>
      <c r="Y133" s="34">
        <v>1.24274983567304</v>
      </c>
      <c r="Z133" s="34">
        <v>1.24296842373456</v>
      </c>
      <c r="AA133" s="34">
        <v>1.2429612107128201</v>
      </c>
      <c r="AB133" s="33">
        <v>23.570440773315699</v>
      </c>
      <c r="AC133" s="33">
        <v>23.575967263307</v>
      </c>
      <c r="AD133" s="33">
        <v>23.573522327369101</v>
      </c>
      <c r="AE133" s="15">
        <v>-3.25576317806687E-4</v>
      </c>
      <c r="AF133" s="15">
        <v>-9.1136824036164597E-5</v>
      </c>
      <c r="AG133" s="15">
        <v>-1.9484678829322999E-4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3.0942619460569655E-3</v>
      </c>
      <c r="AT133" s="12"/>
      <c r="AU133">
        <f t="shared" si="30"/>
        <v>0</v>
      </c>
      <c r="AV133">
        <f t="shared" si="31"/>
        <v>1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0</v>
      </c>
      <c r="BE133" s="29">
        <f t="shared" si="42"/>
        <v>0</v>
      </c>
      <c r="BF133" s="29">
        <f t="shared" si="43"/>
        <v>3.0942619460569655E-3</v>
      </c>
      <c r="BH133" s="29"/>
    </row>
    <row r="134" spans="1:60" x14ac:dyDescent="0.25">
      <c r="A134" s="1">
        <v>46218</v>
      </c>
      <c r="B134" s="33">
        <v>18.59</v>
      </c>
      <c r="C134" s="33">
        <v>23.09</v>
      </c>
      <c r="D134" s="15">
        <v>2.1540126799083998E-3</v>
      </c>
      <c r="E134" s="15">
        <v>1.73385392374647E-3</v>
      </c>
      <c r="F134" s="33">
        <v>0</v>
      </c>
      <c r="G134" s="33">
        <v>0.41635999999999901</v>
      </c>
      <c r="H134" s="33">
        <v>0</v>
      </c>
      <c r="I134" s="33">
        <v>0.52811600000000003</v>
      </c>
      <c r="J134" s="33">
        <v>0.41635999999999901</v>
      </c>
      <c r="K134" s="33">
        <v>0.52811600000000003</v>
      </c>
      <c r="L134" s="33">
        <v>19.006360000000001</v>
      </c>
      <c r="M134" s="33">
        <v>23.618116000000001</v>
      </c>
      <c r="N134" s="34">
        <v>1.2420656266810099</v>
      </c>
      <c r="O134" s="34">
        <v>1.2439394184217101</v>
      </c>
      <c r="P134" s="34">
        <v>1.2423525780398299</v>
      </c>
      <c r="Q134" s="34">
        <v>1.24401021278569</v>
      </c>
      <c r="R134" s="33">
        <v>23.1248337884596</v>
      </c>
      <c r="S134" s="33">
        <v>23.104828771479401</v>
      </c>
      <c r="T134" s="33">
        <v>23.126165690361301</v>
      </c>
      <c r="U134" s="15">
        <v>1.50747248018603E-3</v>
      </c>
      <c r="V134" s="15">
        <v>6.4201004238535102E-4</v>
      </c>
      <c r="W134" s="15">
        <v>1.56506699347572E-3</v>
      </c>
      <c r="X134" s="34">
        <v>1.24264277852255</v>
      </c>
      <c r="Y134" s="34">
        <v>1.24274983567304</v>
      </c>
      <c r="Z134" s="34">
        <v>1.2429241032035501</v>
      </c>
      <c r="AA134" s="34">
        <v>1.2429581754646899</v>
      </c>
      <c r="AB134" s="33">
        <v>23.620150766742601</v>
      </c>
      <c r="AC134" s="33">
        <v>23.624305330131602</v>
      </c>
      <c r="AD134" s="33">
        <v>23.624168236843801</v>
      </c>
      <c r="AE134" s="15">
        <v>8.6149085610847897E-5</v>
      </c>
      <c r="AF134" s="15">
        <v>2.6202425670835002E-4</v>
      </c>
      <c r="AG134" s="15">
        <v>2.5622117874825301E-4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3.0942619460569655E-3</v>
      </c>
      <c r="AT134" s="12"/>
      <c r="AU134">
        <f t="shared" si="30"/>
        <v>0</v>
      </c>
      <c r="AV134">
        <f t="shared" si="31"/>
        <v>0</v>
      </c>
      <c r="AW134">
        <f t="shared" si="38"/>
        <v>0</v>
      </c>
      <c r="AX134">
        <f t="shared" si="25"/>
        <v>1</v>
      </c>
      <c r="AY134">
        <f t="shared" si="39"/>
        <v>0</v>
      </c>
      <c r="AZ134" s="28">
        <f t="shared" si="32"/>
        <v>0</v>
      </c>
      <c r="BA134" s="28">
        <f t="shared" si="33"/>
        <v>0</v>
      </c>
      <c r="BB134" s="28">
        <f t="shared" si="40"/>
        <v>0</v>
      </c>
      <c r="BC134" s="29">
        <f t="shared" si="41"/>
        <v>0</v>
      </c>
      <c r="BE134" s="29">
        <f t="shared" si="42"/>
        <v>0</v>
      </c>
      <c r="BF134" s="29">
        <f t="shared" si="43"/>
        <v>3.0942619460569655E-3</v>
      </c>
      <c r="BH134" s="29"/>
    </row>
    <row r="135" spans="1:60" x14ac:dyDescent="0.25">
      <c r="A135" s="1">
        <v>46219</v>
      </c>
      <c r="B135" s="33">
        <v>18.59</v>
      </c>
      <c r="C135" s="33">
        <v>23.09</v>
      </c>
      <c r="D135" s="15">
        <v>0</v>
      </c>
      <c r="E135" s="15">
        <v>0</v>
      </c>
      <c r="F135" s="33">
        <v>0</v>
      </c>
      <c r="G135" s="33">
        <v>0.41635999999999901</v>
      </c>
      <c r="H135" s="33">
        <v>0</v>
      </c>
      <c r="I135" s="33">
        <v>0.52811600000000003</v>
      </c>
      <c r="J135" s="33">
        <v>0.41635999999999901</v>
      </c>
      <c r="K135" s="33">
        <v>0.52811600000000003</v>
      </c>
      <c r="L135" s="33">
        <v>19.006360000000001</v>
      </c>
      <c r="M135" s="33">
        <v>23.618116000000001</v>
      </c>
      <c r="N135" s="34">
        <v>1.2420656266810099</v>
      </c>
      <c r="O135" s="34">
        <v>1.2439394184217101</v>
      </c>
      <c r="P135" s="34">
        <v>1.24238035772463</v>
      </c>
      <c r="Q135" s="34">
        <v>1.2440158546347599</v>
      </c>
      <c r="R135" s="33">
        <v>23.1248337884596</v>
      </c>
      <c r="S135" s="33">
        <v>23.095334425760502</v>
      </c>
      <c r="T135" s="33">
        <v>23.126149855686101</v>
      </c>
      <c r="U135" s="15">
        <v>1.50747248018603E-3</v>
      </c>
      <c r="V135" s="15">
        <v>2.31000851269749E-4</v>
      </c>
      <c r="W135" s="15">
        <v>1.5643822850427E-3</v>
      </c>
      <c r="X135" s="34">
        <v>1.24264277852255</v>
      </c>
      <c r="Y135" s="34">
        <v>1.24274983567304</v>
      </c>
      <c r="Z135" s="34">
        <v>1.2429512128993001</v>
      </c>
      <c r="AA135" s="34">
        <v>1.2429615318229299</v>
      </c>
      <c r="AB135" s="33">
        <v>23.620150766742601</v>
      </c>
      <c r="AC135" s="33">
        <v>23.623462958163898</v>
      </c>
      <c r="AD135" s="33">
        <v>23.624110547825001</v>
      </c>
      <c r="AE135" s="15">
        <v>8.6149085610847897E-5</v>
      </c>
      <c r="AF135" s="15">
        <v>2.26366616219904E-4</v>
      </c>
      <c r="AG135" s="15">
        <v>2.53779226564997E-4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3.0942619460569655E-3</v>
      </c>
      <c r="AT135" s="12"/>
      <c r="AU135">
        <f t="shared" si="30"/>
        <v>0</v>
      </c>
      <c r="AV135">
        <f t="shared" si="31"/>
        <v>0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0</v>
      </c>
      <c r="BE135" s="29">
        <f t="shared" si="42"/>
        <v>0</v>
      </c>
      <c r="BF135" s="29">
        <f t="shared" si="43"/>
        <v>3.0942619460569655E-3</v>
      </c>
      <c r="BH135" s="29"/>
    </row>
    <row r="136" spans="1:60" x14ac:dyDescent="0.25">
      <c r="A136" s="1">
        <v>46220</v>
      </c>
      <c r="B136" s="33">
        <v>18.57</v>
      </c>
      <c r="C136" s="33">
        <v>23.09</v>
      </c>
      <c r="D136" s="15">
        <v>-1.0764263687381701E-3</v>
      </c>
      <c r="E136" s="15">
        <v>0</v>
      </c>
      <c r="F136" s="33">
        <v>0</v>
      </c>
      <c r="G136" s="33">
        <v>0.41635999999999901</v>
      </c>
      <c r="H136" s="33">
        <v>0</v>
      </c>
      <c r="I136" s="33">
        <v>0.52811600000000003</v>
      </c>
      <c r="J136" s="33">
        <v>0.41635999999999901</v>
      </c>
      <c r="K136" s="33">
        <v>0.52811600000000003</v>
      </c>
      <c r="L136" s="33">
        <v>18.986360000000001</v>
      </c>
      <c r="M136" s="33">
        <v>23.618116000000001</v>
      </c>
      <c r="N136" s="34">
        <v>1.2434033387183601</v>
      </c>
      <c r="O136" s="34">
        <v>1.2439394184217101</v>
      </c>
      <c r="P136" s="34">
        <v>1.24240654420539</v>
      </c>
      <c r="Q136" s="34">
        <v>1.2440697049309399</v>
      </c>
      <c r="R136" s="33">
        <v>23.0999550000912</v>
      </c>
      <c r="S136" s="33">
        <v>23.071003242946301</v>
      </c>
      <c r="T136" s="33">
        <v>23.101374420567598</v>
      </c>
      <c r="U136" s="15">
        <v>4.3104611144768201E-4</v>
      </c>
      <c r="V136" s="15">
        <v>-8.2306521918782804E-4</v>
      </c>
      <c r="W136" s="15">
        <v>4.92491117238227E-4</v>
      </c>
      <c r="X136" s="34">
        <v>1.2439517632658299</v>
      </c>
      <c r="Y136" s="34">
        <v>1.24274983567304</v>
      </c>
      <c r="Z136" s="34">
        <v>1.2429768834393999</v>
      </c>
      <c r="AA136" s="34">
        <v>1.2430118867548601</v>
      </c>
      <c r="AB136" s="33">
        <v>23.5952957700291</v>
      </c>
      <c r="AC136" s="33">
        <v>23.599119190542801</v>
      </c>
      <c r="AD136" s="33">
        <v>23.5993151093416</v>
      </c>
      <c r="AE136" s="15">
        <v>-9.6668429127968298E-4</v>
      </c>
      <c r="AF136" s="15">
        <v>-8.04655774759159E-4</v>
      </c>
      <c r="AG136" s="15">
        <v>-7.9635385535637196E-4</v>
      </c>
      <c r="AI136" s="12"/>
      <c r="AJ136">
        <f t="shared" si="26"/>
        <v>0</v>
      </c>
      <c r="AK136">
        <f t="shared" si="27"/>
        <v>0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3.0942619460569655E-3</v>
      </c>
      <c r="AT136" s="12"/>
      <c r="AU136">
        <f t="shared" si="30"/>
        <v>0</v>
      </c>
      <c r="AV136">
        <f t="shared" si="31"/>
        <v>1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0</v>
      </c>
      <c r="BE136" s="29">
        <f t="shared" si="42"/>
        <v>0</v>
      </c>
      <c r="BF136" s="29">
        <f t="shared" si="43"/>
        <v>3.0942619460569655E-3</v>
      </c>
      <c r="BH136" s="29"/>
    </row>
    <row r="137" spans="1:60" x14ac:dyDescent="0.25">
      <c r="A137" s="1">
        <v>46223</v>
      </c>
      <c r="B137" s="33">
        <v>18.5</v>
      </c>
      <c r="C137" s="33">
        <v>23.07</v>
      </c>
      <c r="D137" s="15">
        <v>-3.7766432803352898E-3</v>
      </c>
      <c r="E137" s="15">
        <v>-8.6655118074164498E-4</v>
      </c>
      <c r="F137" s="33">
        <v>7.0050000000000001E-2</v>
      </c>
      <c r="G137" s="33">
        <v>0.48640999999999901</v>
      </c>
      <c r="H137" s="33">
        <v>0</v>
      </c>
      <c r="I137" s="33">
        <v>0.52811600000000003</v>
      </c>
      <c r="J137" s="33">
        <v>0.48640999999999901</v>
      </c>
      <c r="K137" s="33">
        <v>0.52811600000000003</v>
      </c>
      <c r="L137" s="33">
        <v>18.986409999999999</v>
      </c>
      <c r="M137" s="33">
        <v>23.598116000000001</v>
      </c>
      <c r="N137" s="34">
        <v>1.2470270270270201</v>
      </c>
      <c r="O137" s="34">
        <v>1.2439394184217101</v>
      </c>
      <c r="P137" s="34">
        <v>1.24292869881567</v>
      </c>
      <c r="Q137" s="34">
        <v>1.2442908787675</v>
      </c>
      <c r="R137" s="33">
        <v>23.012879240801698</v>
      </c>
      <c r="S137" s="33">
        <v>22.9845210677998</v>
      </c>
      <c r="T137" s="33">
        <v>23.015289541222501</v>
      </c>
      <c r="U137" s="15">
        <v>-2.4790459881459002E-3</v>
      </c>
      <c r="V137" s="15">
        <v>-3.7120798728674802E-3</v>
      </c>
      <c r="W137" s="15">
        <v>-2.37431445148987E-3</v>
      </c>
      <c r="X137" s="34">
        <v>1.24289510233898</v>
      </c>
      <c r="Y137" s="34">
        <v>1.24274983567304</v>
      </c>
      <c r="Z137" s="34">
        <v>1.24302762177999</v>
      </c>
      <c r="AA137" s="34">
        <v>1.24299583376497</v>
      </c>
      <c r="AB137" s="33">
        <v>23.595357907520899</v>
      </c>
      <c r="AC137" s="33">
        <v>23.599668729502699</v>
      </c>
      <c r="AD137" s="33">
        <v>23.6003333168014</v>
      </c>
      <c r="AE137" s="15">
        <v>-1.16884486511063E-4</v>
      </c>
      <c r="AF137" s="15">
        <v>6.5796711105568098E-5</v>
      </c>
      <c r="AG137" s="15">
        <v>9.3957188643980301E-5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3.0942619460569655E-3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0</v>
      </c>
      <c r="BE137" s="29">
        <f t="shared" si="42"/>
        <v>0</v>
      </c>
      <c r="BF137" s="29">
        <f t="shared" si="43"/>
        <v>3.0942619460569655E-3</v>
      </c>
      <c r="BH137" s="29"/>
    </row>
    <row r="138" spans="1:60" x14ac:dyDescent="0.25">
      <c r="A138" s="1">
        <v>46224</v>
      </c>
      <c r="B138" s="33">
        <v>18.48</v>
      </c>
      <c r="C138" s="33">
        <v>23.05</v>
      </c>
      <c r="D138" s="15">
        <v>-1.08166587074102E-3</v>
      </c>
      <c r="E138" s="15">
        <v>-8.6730274300472103E-4</v>
      </c>
      <c r="F138" s="33">
        <v>0</v>
      </c>
      <c r="G138" s="33">
        <v>0.48640999999999901</v>
      </c>
      <c r="H138" s="33">
        <v>0</v>
      </c>
      <c r="I138" s="33">
        <v>0.52811600000000003</v>
      </c>
      <c r="J138" s="33">
        <v>0.48640999999999901</v>
      </c>
      <c r="K138" s="33">
        <v>0.52811600000000003</v>
      </c>
      <c r="L138" s="33">
        <v>18.96641</v>
      </c>
      <c r="M138" s="33">
        <v>23.578116000000001</v>
      </c>
      <c r="N138" s="34">
        <v>1.2472943722943699</v>
      </c>
      <c r="O138" s="34">
        <v>1.2439394184217101</v>
      </c>
      <c r="P138" s="34">
        <v>1.24342550276562</v>
      </c>
      <c r="Q138" s="34">
        <v>1.2443175844232599</v>
      </c>
      <c r="R138" s="33">
        <v>22.988000452433202</v>
      </c>
      <c r="S138" s="33">
        <v>22.969322354113601</v>
      </c>
      <c r="T138" s="33">
        <v>22.9944954396234</v>
      </c>
      <c r="U138" s="15">
        <v>-2.6934091158821601E-3</v>
      </c>
      <c r="V138" s="15">
        <v>-3.5062545214614499E-3</v>
      </c>
      <c r="W138" s="15">
        <v>-2.4109108692164098E-3</v>
      </c>
      <c r="X138" s="34">
        <v>1.24315123420826</v>
      </c>
      <c r="Y138" s="34">
        <v>1.24274983567304</v>
      </c>
      <c r="Z138" s="34">
        <v>1.24305290765428</v>
      </c>
      <c r="AA138" s="34">
        <v>1.2430198122524201</v>
      </c>
      <c r="AB138" s="33">
        <v>23.570502910807502</v>
      </c>
      <c r="AC138" s="33">
        <v>23.575771516004298</v>
      </c>
      <c r="AD138" s="33">
        <v>23.575168611478301</v>
      </c>
      <c r="AE138" s="15">
        <v>-3.2294007479051901E-4</v>
      </c>
      <c r="AF138" s="15">
        <v>-9.9439690813434595E-5</v>
      </c>
      <c r="AG138" s="15">
        <v>-1.25013073839599E-4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3.0942619460569655E-3</v>
      </c>
      <c r="AT138" s="12"/>
      <c r="AU138">
        <f t="shared" si="30"/>
        <v>0</v>
      </c>
      <c r="AV138">
        <f t="shared" si="31"/>
        <v>1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0</v>
      </c>
      <c r="BE138" s="29">
        <f t="shared" si="42"/>
        <v>0</v>
      </c>
      <c r="BF138" s="29">
        <f t="shared" si="43"/>
        <v>3.0942619460569655E-3</v>
      </c>
      <c r="BH138" s="29"/>
    </row>
    <row r="139" spans="1:60" x14ac:dyDescent="0.25">
      <c r="A139" s="1">
        <v>46225</v>
      </c>
      <c r="B139" s="33">
        <v>18.46</v>
      </c>
      <c r="C139" s="33">
        <v>23.03</v>
      </c>
      <c r="D139" s="15">
        <v>-1.08283713883193E-3</v>
      </c>
      <c r="E139" s="15">
        <v>-8.6805561006370198E-4</v>
      </c>
      <c r="F139" s="33">
        <v>0</v>
      </c>
      <c r="G139" s="33">
        <v>0.48640999999999901</v>
      </c>
      <c r="H139" s="33">
        <v>0</v>
      </c>
      <c r="I139" s="33">
        <v>0.52811600000000003</v>
      </c>
      <c r="J139" s="33">
        <v>0.48640999999999901</v>
      </c>
      <c r="K139" s="33">
        <v>0.52811600000000003</v>
      </c>
      <c r="L139" s="33">
        <v>18.94641</v>
      </c>
      <c r="M139" s="33">
        <v>23.558115999999998</v>
      </c>
      <c r="N139" s="34">
        <v>1.24756229685807</v>
      </c>
      <c r="O139" s="34">
        <v>1.2439394184217101</v>
      </c>
      <c r="P139" s="34">
        <v>1.24392297234361</v>
      </c>
      <c r="Q139" s="34">
        <v>1.2443709959220399</v>
      </c>
      <c r="R139" s="33">
        <v>22.963121664064801</v>
      </c>
      <c r="S139" s="33">
        <v>22.953634781053498</v>
      </c>
      <c r="T139" s="33">
        <v>22.970102608453299</v>
      </c>
      <c r="U139" s="15">
        <v>-2.90819064465043E-3</v>
      </c>
      <c r="V139" s="15">
        <v>-3.3214116071393898E-3</v>
      </c>
      <c r="W139" s="15">
        <v>-2.6042300778557899E-3</v>
      </c>
      <c r="X139" s="34">
        <v>1.2434079068277299</v>
      </c>
      <c r="Y139" s="34">
        <v>1.24274983567304</v>
      </c>
      <c r="Z139" s="34">
        <v>1.2430782471909201</v>
      </c>
      <c r="AA139" s="34">
        <v>1.2430694259669599</v>
      </c>
      <c r="AB139" s="33">
        <v>23.545647914094001</v>
      </c>
      <c r="AC139" s="33">
        <v>23.551390040110199</v>
      </c>
      <c r="AD139" s="33">
        <v>23.550763001057401</v>
      </c>
      <c r="AE139" s="15">
        <v>-5.2938810664404797E-4</v>
      </c>
      <c r="AF139" s="15">
        <v>-2.8554576351073798E-4</v>
      </c>
      <c r="AG139" s="15">
        <v>-3.1217040855783097E-4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3.0942619460569655E-3</v>
      </c>
      <c r="AT139" s="12"/>
      <c r="AU139">
        <f t="shared" si="30"/>
        <v>0</v>
      </c>
      <c r="AV139">
        <f t="shared" si="31"/>
        <v>1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0</v>
      </c>
      <c r="BE139" s="29">
        <f t="shared" si="42"/>
        <v>0</v>
      </c>
      <c r="BF139" s="29">
        <f t="shared" si="43"/>
        <v>3.0942619460569655E-3</v>
      </c>
      <c r="BH139" s="29"/>
    </row>
    <row r="140" spans="1:60" x14ac:dyDescent="0.25">
      <c r="A140" s="1">
        <v>46226</v>
      </c>
      <c r="B140" s="33">
        <v>18.43</v>
      </c>
      <c r="C140" s="33">
        <v>23</v>
      </c>
      <c r="D140" s="15">
        <v>-1.6264573929742499E-3</v>
      </c>
      <c r="E140" s="15">
        <v>-1.3034979034441999E-3</v>
      </c>
      <c r="F140" s="33">
        <v>0</v>
      </c>
      <c r="G140" s="33">
        <v>0.48640999999999901</v>
      </c>
      <c r="H140" s="33">
        <v>0</v>
      </c>
      <c r="I140" s="33">
        <v>0.52811600000000003</v>
      </c>
      <c r="J140" s="33">
        <v>0.48640999999999901</v>
      </c>
      <c r="K140" s="33">
        <v>0.52811600000000003</v>
      </c>
      <c r="L140" s="33">
        <v>18.916409999999999</v>
      </c>
      <c r="M140" s="33">
        <v>23.528116000000001</v>
      </c>
      <c r="N140" s="34">
        <v>1.24796527400976</v>
      </c>
      <c r="O140" s="34">
        <v>1.2439394184217101</v>
      </c>
      <c r="P140" s="34">
        <v>1.2444868664651101</v>
      </c>
      <c r="Q140" s="34">
        <v>1.2443972919675399</v>
      </c>
      <c r="R140" s="33">
        <v>22.925803481512101</v>
      </c>
      <c r="S140" s="33">
        <v>22.925500380292899</v>
      </c>
      <c r="T140" s="33">
        <v>22.933757454843199</v>
      </c>
      <c r="U140" s="15">
        <v>-3.2311501341804501E-3</v>
      </c>
      <c r="V140" s="15">
        <v>-3.2443711854376598E-3</v>
      </c>
      <c r="W140" s="15">
        <v>-2.8842661584767199E-3</v>
      </c>
      <c r="X140" s="34">
        <v>1.2437939334154799</v>
      </c>
      <c r="Y140" s="34">
        <v>1.24274983567304</v>
      </c>
      <c r="Z140" s="34">
        <v>1.2431678029859401</v>
      </c>
      <c r="AA140" s="34">
        <v>1.24309200675466</v>
      </c>
      <c r="AB140" s="33">
        <v>23.5083654190238</v>
      </c>
      <c r="AC140" s="33">
        <v>23.514577785944901</v>
      </c>
      <c r="AD140" s="33">
        <v>23.5144109200556</v>
      </c>
      <c r="AE140" s="15">
        <v>-8.3979845180088501E-4</v>
      </c>
      <c r="AF140" s="15">
        <v>-5.7557139437755804E-4</v>
      </c>
      <c r="AG140" s="15">
        <v>-5.8266769365387797E-4</v>
      </c>
      <c r="AI140" s="12"/>
      <c r="AJ140">
        <f t="shared" si="26"/>
        <v>0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3.0942619460569655E-3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0</v>
      </c>
      <c r="BE140" s="29">
        <f t="shared" si="42"/>
        <v>0</v>
      </c>
      <c r="BF140" s="29">
        <f t="shared" si="43"/>
        <v>3.0942619460569655E-3</v>
      </c>
      <c r="BH140" s="29"/>
    </row>
    <row r="141" spans="1:60" x14ac:dyDescent="0.25">
      <c r="A141" s="1">
        <v>46227</v>
      </c>
      <c r="B141" s="33">
        <v>18.45</v>
      </c>
      <c r="C141" s="33">
        <v>23.02</v>
      </c>
      <c r="D141" s="15">
        <v>1.0845988048041801E-3</v>
      </c>
      <c r="E141" s="15">
        <v>8.6918736458693302E-4</v>
      </c>
      <c r="F141" s="33">
        <v>0</v>
      </c>
      <c r="G141" s="33">
        <v>0.48640999999999901</v>
      </c>
      <c r="H141" s="33">
        <v>0</v>
      </c>
      <c r="I141" s="33">
        <v>0.52811600000000003</v>
      </c>
      <c r="J141" s="33">
        <v>0.48640999999999901</v>
      </c>
      <c r="K141" s="33">
        <v>0.52811600000000003</v>
      </c>
      <c r="L141" s="33">
        <v>18.936409999999999</v>
      </c>
      <c r="M141" s="33">
        <v>23.548116</v>
      </c>
      <c r="N141" s="34">
        <v>1.24769647696476</v>
      </c>
      <c r="O141" s="34">
        <v>1.2439394184217101</v>
      </c>
      <c r="P141" s="34">
        <v>1.24501082450641</v>
      </c>
      <c r="Q141" s="34">
        <v>1.24445703508381</v>
      </c>
      <c r="R141" s="33">
        <v>22.950682269880598</v>
      </c>
      <c r="S141" s="33">
        <v>22.960782686281298</v>
      </c>
      <c r="T141" s="33">
        <v>22.959130036801099</v>
      </c>
      <c r="U141" s="15">
        <v>-3.0157386939631101E-3</v>
      </c>
      <c r="V141" s="15">
        <v>-2.5757432996401002E-3</v>
      </c>
      <c r="W141" s="15">
        <v>-2.6477229434527798E-3</v>
      </c>
      <c r="X141" s="34">
        <v>1.24353644645421</v>
      </c>
      <c r="Y141" s="34">
        <v>1.24274983567304</v>
      </c>
      <c r="Z141" s="34">
        <v>1.2432188100338399</v>
      </c>
      <c r="AA141" s="34">
        <v>1.2431472489430699</v>
      </c>
      <c r="AB141" s="33">
        <v>23.533220415737301</v>
      </c>
      <c r="AC141" s="33">
        <v>23.541135216141001</v>
      </c>
      <c r="AD141" s="33">
        <v>23.5396999076291</v>
      </c>
      <c r="AE141" s="15">
        <v>-6.3275964081219995E-4</v>
      </c>
      <c r="AF141" s="15">
        <v>-2.9649160816248502E-4</v>
      </c>
      <c r="AG141" s="15">
        <v>-3.5746370046182502E-4</v>
      </c>
      <c r="AI141" s="12"/>
      <c r="AJ141">
        <f t="shared" si="26"/>
        <v>0</v>
      </c>
      <c r="AK141">
        <f t="shared" si="27"/>
        <v>0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3.0942619460569655E-3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0</v>
      </c>
      <c r="BE141" s="29">
        <f t="shared" si="42"/>
        <v>0</v>
      </c>
      <c r="BF141" s="29">
        <f t="shared" si="43"/>
        <v>3.0942619460569655E-3</v>
      </c>
      <c r="BH141" s="29"/>
    </row>
    <row r="142" spans="1:60" x14ac:dyDescent="0.25">
      <c r="A142" s="1">
        <v>46230</v>
      </c>
      <c r="B142" s="33">
        <v>18.46</v>
      </c>
      <c r="C142" s="33">
        <v>23.02</v>
      </c>
      <c r="D142" s="15">
        <v>5.4185858816992996E-4</v>
      </c>
      <c r="E142" s="15">
        <v>0</v>
      </c>
      <c r="F142" s="33">
        <v>0</v>
      </c>
      <c r="G142" s="33">
        <v>0.48640999999999901</v>
      </c>
      <c r="H142" s="33">
        <v>0</v>
      </c>
      <c r="I142" s="33">
        <v>0.52811600000000003</v>
      </c>
      <c r="J142" s="33">
        <v>0.48640999999999901</v>
      </c>
      <c r="K142" s="33">
        <v>0.52811600000000003</v>
      </c>
      <c r="L142" s="33">
        <v>18.94641</v>
      </c>
      <c r="M142" s="33">
        <v>23.548116</v>
      </c>
      <c r="N142" s="34">
        <v>1.2470205850487499</v>
      </c>
      <c r="O142" s="34">
        <v>1.2439394184217101</v>
      </c>
      <c r="P142" s="34">
        <v>1.2454688225361299</v>
      </c>
      <c r="Q142" s="34">
        <v>1.2444358211947699</v>
      </c>
      <c r="R142" s="33">
        <v>22.963121664064801</v>
      </c>
      <c r="S142" s="33">
        <v>22.982899820388401</v>
      </c>
      <c r="T142" s="33">
        <v>22.972676867647099</v>
      </c>
      <c r="U142" s="15">
        <v>-2.4738801057931602E-3</v>
      </c>
      <c r="V142" s="15">
        <v>-1.61294995749029E-3</v>
      </c>
      <c r="W142" s="15">
        <v>-2.0578558273181501E-3</v>
      </c>
      <c r="X142" s="34">
        <v>1.2428801023518401</v>
      </c>
      <c r="Y142" s="34">
        <v>1.24274983567304</v>
      </c>
      <c r="Z142" s="34">
        <v>1.24320565573688</v>
      </c>
      <c r="AA142" s="34">
        <v>1.2431234376034399</v>
      </c>
      <c r="AB142" s="33">
        <v>23.545647914094001</v>
      </c>
      <c r="AC142" s="33">
        <v>23.5545332946133</v>
      </c>
      <c r="AD142" s="33">
        <v>23.553177468847601</v>
      </c>
      <c r="AE142" s="15">
        <v>-1.04815827111237E-4</v>
      </c>
      <c r="AF142" s="15">
        <v>2.7248126163557798E-4</v>
      </c>
      <c r="AG142" s="15">
        <v>2.1491846589867801E-4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3.0942619460569655E-3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0</v>
      </c>
      <c r="BE142" s="29">
        <f t="shared" si="42"/>
        <v>0</v>
      </c>
      <c r="BF142" s="29">
        <f t="shared" si="43"/>
        <v>3.0942619460569655E-3</v>
      </c>
      <c r="BH142" s="29"/>
    </row>
    <row r="143" spans="1:60" x14ac:dyDescent="0.25">
      <c r="A143" s="1">
        <v>46231</v>
      </c>
      <c r="B143" s="33">
        <v>18.48</v>
      </c>
      <c r="C143" s="33">
        <v>23.05</v>
      </c>
      <c r="D143" s="15">
        <v>1.0828371388318899E-3</v>
      </c>
      <c r="E143" s="15">
        <v>1.30236614892093E-3</v>
      </c>
      <c r="F143" s="33">
        <v>0</v>
      </c>
      <c r="G143" s="33">
        <v>0.48640999999999901</v>
      </c>
      <c r="H143" s="33">
        <v>0</v>
      </c>
      <c r="I143" s="33">
        <v>0.52811600000000003</v>
      </c>
      <c r="J143" s="33">
        <v>0.48640999999999901</v>
      </c>
      <c r="K143" s="33">
        <v>0.52811600000000003</v>
      </c>
      <c r="L143" s="33">
        <v>18.96641</v>
      </c>
      <c r="M143" s="33">
        <v>23.578116000000001</v>
      </c>
      <c r="N143" s="34">
        <v>1.2472943722943699</v>
      </c>
      <c r="O143" s="34">
        <v>1.2439394184217101</v>
      </c>
      <c r="P143" s="34">
        <v>1.24593949965775</v>
      </c>
      <c r="Q143" s="34">
        <v>1.2444014004872701</v>
      </c>
      <c r="R143" s="33">
        <v>22.988000452433202</v>
      </c>
      <c r="S143" s="33">
        <v>23.016263840467701</v>
      </c>
      <c r="T143" s="33">
        <v>22.997173975679399</v>
      </c>
      <c r="U143" s="15">
        <v>-2.6934091158821601E-3</v>
      </c>
      <c r="V143" s="15">
        <v>-1.46467990893616E-3</v>
      </c>
      <c r="W143" s="15">
        <v>-2.29443168535251E-3</v>
      </c>
      <c r="X143" s="34">
        <v>1.24315123420826</v>
      </c>
      <c r="Y143" s="34">
        <v>1.24274983567304</v>
      </c>
      <c r="Z143" s="34">
        <v>1.24320532801157</v>
      </c>
      <c r="AA143" s="34">
        <v>1.24308687587306</v>
      </c>
      <c r="AB143" s="33">
        <v>23.570502910807502</v>
      </c>
      <c r="AC143" s="33">
        <v>23.5791481810245</v>
      </c>
      <c r="AD143" s="33">
        <v>23.577588798196199</v>
      </c>
      <c r="AE143" s="15">
        <v>-3.2294007479051901E-4</v>
      </c>
      <c r="AF143" s="15">
        <v>4.3776119868488598E-5</v>
      </c>
      <c r="AG143" s="15">
        <v>-2.2360043435017901E-5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3.0942619460569655E-3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0</v>
      </c>
      <c r="BE143" s="29">
        <f t="shared" si="42"/>
        <v>0</v>
      </c>
      <c r="BF143" s="29">
        <f t="shared" si="43"/>
        <v>3.0942619460569655E-3</v>
      </c>
      <c r="BH143" s="29"/>
    </row>
    <row r="144" spans="1:60" x14ac:dyDescent="0.25">
      <c r="A144" s="1">
        <v>46232</v>
      </c>
      <c r="B144" s="33">
        <v>18.5</v>
      </c>
      <c r="C144" s="33">
        <v>23.06</v>
      </c>
      <c r="D144" s="15">
        <v>1.0816658707409599E-3</v>
      </c>
      <c r="E144" s="15">
        <v>4.3374539825539001E-4</v>
      </c>
      <c r="F144" s="33">
        <v>0</v>
      </c>
      <c r="G144" s="33">
        <v>0.48640999999999901</v>
      </c>
      <c r="H144" s="33">
        <v>0</v>
      </c>
      <c r="I144" s="33">
        <v>0.52811600000000003</v>
      </c>
      <c r="J144" s="33">
        <v>0.48640999999999901</v>
      </c>
      <c r="K144" s="33">
        <v>0.52811600000000003</v>
      </c>
      <c r="L144" s="33">
        <v>18.986409999999999</v>
      </c>
      <c r="M144" s="33">
        <v>23.588115999999999</v>
      </c>
      <c r="N144" s="34">
        <v>1.24648648648648</v>
      </c>
      <c r="O144" s="34">
        <v>1.2439394184217101</v>
      </c>
      <c r="P144" s="34">
        <v>1.24638158563829</v>
      </c>
      <c r="Q144" s="34">
        <v>1.24436708183906</v>
      </c>
      <c r="R144" s="33">
        <v>23.012879240801698</v>
      </c>
      <c r="S144" s="33">
        <v>23.0498807436684</v>
      </c>
      <c r="T144" s="33">
        <v>23.021425909014599</v>
      </c>
      <c r="U144" s="15">
        <v>-2.0454886433965199E-3</v>
      </c>
      <c r="V144" s="15">
        <v>-4.3891922212071501E-4</v>
      </c>
      <c r="W144" s="15">
        <v>-1.67417128416433E-3</v>
      </c>
      <c r="X144" s="34">
        <v>1.2423684098257599</v>
      </c>
      <c r="Y144" s="34">
        <v>1.24274983567304</v>
      </c>
      <c r="Z144" s="34">
        <v>1.24317789114189</v>
      </c>
      <c r="AA144" s="34">
        <v>1.2430509971727199</v>
      </c>
      <c r="AB144" s="33">
        <v>23.595357907520899</v>
      </c>
      <c r="AC144" s="33">
        <v>23.604006071812201</v>
      </c>
      <c r="AD144" s="33">
        <v>23.6017570909451</v>
      </c>
      <c r="AE144" s="15">
        <v>3.0696796899803199E-4</v>
      </c>
      <c r="AF144" s="15">
        <v>6.7342055051374103E-4</v>
      </c>
      <c r="AG144" s="15">
        <v>5.7813638527314198E-4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3.0942619460569655E-3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0</v>
      </c>
      <c r="BE144" s="29">
        <f t="shared" si="42"/>
        <v>0</v>
      </c>
      <c r="BF144" s="29">
        <f t="shared" si="43"/>
        <v>3.0942619460569655E-3</v>
      </c>
      <c r="BH144" s="29"/>
    </row>
    <row r="145" spans="1:60" x14ac:dyDescent="0.25">
      <c r="A145" s="1">
        <v>46233</v>
      </c>
      <c r="B145" s="33">
        <v>18.5</v>
      </c>
      <c r="C145" s="33">
        <v>23.08</v>
      </c>
      <c r="D145" s="15">
        <v>0</v>
      </c>
      <c r="E145" s="15">
        <v>8.6692679898583698E-4</v>
      </c>
      <c r="F145" s="33">
        <v>0</v>
      </c>
      <c r="G145" s="33">
        <v>0.48640999999999901</v>
      </c>
      <c r="H145" s="33">
        <v>0</v>
      </c>
      <c r="I145" s="33">
        <v>0.52811600000000003</v>
      </c>
      <c r="J145" s="33">
        <v>0.48640999999999901</v>
      </c>
      <c r="K145" s="33">
        <v>0.52811600000000003</v>
      </c>
      <c r="L145" s="33">
        <v>18.986409999999999</v>
      </c>
      <c r="M145" s="33">
        <v>23.608115999999999</v>
      </c>
      <c r="N145" s="34">
        <v>1.2475675675675599</v>
      </c>
      <c r="O145" s="34">
        <v>1.2439394184217101</v>
      </c>
      <c r="P145" s="34">
        <v>1.2469317797269499</v>
      </c>
      <c r="Q145" s="34">
        <v>1.2446560687257899</v>
      </c>
      <c r="R145" s="33">
        <v>23.012879240801698</v>
      </c>
      <c r="S145" s="33">
        <v>23.058059334308499</v>
      </c>
      <c r="T145" s="33">
        <v>23.020791014022699</v>
      </c>
      <c r="U145" s="15">
        <v>-2.9124154423823198E-3</v>
      </c>
      <c r="V145" s="15">
        <v>-9.5108756900164602E-4</v>
      </c>
      <c r="W145" s="15">
        <v>-2.56867690252046E-3</v>
      </c>
      <c r="X145" s="34">
        <v>1.2434217948522099</v>
      </c>
      <c r="Y145" s="34">
        <v>1.24274983567304</v>
      </c>
      <c r="Z145" s="34">
        <v>1.24325579277486</v>
      </c>
      <c r="AA145" s="34">
        <v>1.24310350283708</v>
      </c>
      <c r="AB145" s="33">
        <v>23.595357907520899</v>
      </c>
      <c r="AC145" s="33">
        <v>23.6034851441553</v>
      </c>
      <c r="AD145" s="33">
        <v>23.601075883230202</v>
      </c>
      <c r="AE145" s="15">
        <v>-5.4055736722650701E-4</v>
      </c>
      <c r="AF145" s="15">
        <v>-1.9617448877949E-4</v>
      </c>
      <c r="AG145" s="15">
        <v>-2.9825195226214899E-4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3.0942619460569655E-3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0</v>
      </c>
      <c r="BE145" s="29">
        <f t="shared" si="42"/>
        <v>0</v>
      </c>
      <c r="BF145" s="29">
        <f t="shared" si="43"/>
        <v>3.0942619460569655E-3</v>
      </c>
      <c r="BH145" s="29"/>
    </row>
    <row r="146" spans="1:60" x14ac:dyDescent="0.25">
      <c r="A146" s="1">
        <v>46234</v>
      </c>
      <c r="B146" s="33">
        <v>18.5</v>
      </c>
      <c r="C146" s="33">
        <v>23.07</v>
      </c>
      <c r="D146" s="15">
        <v>0</v>
      </c>
      <c r="E146" s="15">
        <v>-4.33369454236399E-4</v>
      </c>
      <c r="F146" s="33">
        <v>0</v>
      </c>
      <c r="G146" s="33">
        <v>0.48640999999999901</v>
      </c>
      <c r="H146" s="33">
        <v>0</v>
      </c>
      <c r="I146" s="33">
        <v>0.52811600000000003</v>
      </c>
      <c r="J146" s="33">
        <v>0.48640999999999901</v>
      </c>
      <c r="K146" s="33">
        <v>0.52811600000000003</v>
      </c>
      <c r="L146" s="33">
        <v>18.986409999999999</v>
      </c>
      <c r="M146" s="33">
        <v>23.598116000000001</v>
      </c>
      <c r="N146" s="34">
        <v>1.2470270270270201</v>
      </c>
      <c r="O146" s="34">
        <v>1.2439394184217101</v>
      </c>
      <c r="P146" s="34">
        <v>1.2472941485578199</v>
      </c>
      <c r="Q146" s="34">
        <v>1.2448503463816001</v>
      </c>
      <c r="R146" s="33">
        <v>23.012879240801698</v>
      </c>
      <c r="S146" s="33">
        <v>23.068237924948601</v>
      </c>
      <c r="T146" s="33">
        <v>23.0261372714271</v>
      </c>
      <c r="U146" s="15">
        <v>-2.4790459881459002E-3</v>
      </c>
      <c r="V146" s="15">
        <v>-7.6382416470032304E-5</v>
      </c>
      <c r="W146" s="15">
        <v>-1.9030983682212599E-3</v>
      </c>
      <c r="X146" s="34">
        <v>1.24289510233898</v>
      </c>
      <c r="Y146" s="34">
        <v>1.24274983567304</v>
      </c>
      <c r="Z146" s="34">
        <v>1.2431501266821701</v>
      </c>
      <c r="AA146" s="34">
        <v>1.2430635050607901</v>
      </c>
      <c r="AB146" s="33">
        <v>23.595357907520899</v>
      </c>
      <c r="AC146" s="33">
        <v>23.604964216498502</v>
      </c>
      <c r="AD146" s="33">
        <v>23.602072777301</v>
      </c>
      <c r="AE146" s="15">
        <v>-1.16884486511063E-4</v>
      </c>
      <c r="AF146" s="15">
        <v>2.9015973174541303E-4</v>
      </c>
      <c r="AG146" s="15">
        <v>1.6765938496424501E-4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3.0942619460569655E-3</v>
      </c>
      <c r="AT146" s="12"/>
      <c r="AU146">
        <f t="shared" si="30"/>
        <v>0</v>
      </c>
      <c r="AV146">
        <f t="shared" si="31"/>
        <v>1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0</v>
      </c>
      <c r="BE146" s="29">
        <f t="shared" si="42"/>
        <v>0</v>
      </c>
      <c r="BF146" s="29">
        <f t="shared" si="43"/>
        <v>3.0942619460569655E-3</v>
      </c>
      <c r="BH146" s="29"/>
    </row>
    <row r="147" spans="1:60" x14ac:dyDescent="0.25">
      <c r="A147" s="1">
        <v>46237</v>
      </c>
      <c r="B147" s="33">
        <v>18.5</v>
      </c>
      <c r="C147" s="33">
        <v>23</v>
      </c>
      <c r="D147" s="15">
        <v>0</v>
      </c>
      <c r="E147" s="15">
        <v>-3.0388562565125902E-3</v>
      </c>
      <c r="F147" s="33">
        <v>0</v>
      </c>
      <c r="G147" s="33">
        <v>0.48640999999999901</v>
      </c>
      <c r="H147" s="33">
        <v>8.7565000000000004E-2</v>
      </c>
      <c r="I147" s="33">
        <v>0.61568100000000003</v>
      </c>
      <c r="J147" s="33">
        <v>0.48640999999999901</v>
      </c>
      <c r="K147" s="33">
        <v>0.61568100000000003</v>
      </c>
      <c r="L147" s="33">
        <v>18.986409999999999</v>
      </c>
      <c r="M147" s="33">
        <v>23.615680999999999</v>
      </c>
      <c r="N147" s="34">
        <v>1.2432432432432401</v>
      </c>
      <c r="O147" s="34">
        <v>1.2439394184217101</v>
      </c>
      <c r="P147" s="34">
        <v>1.24691577017944</v>
      </c>
      <c r="Q147" s="34">
        <v>1.2449222344975499</v>
      </c>
      <c r="R147" s="33">
        <v>23.012879240801698</v>
      </c>
      <c r="S147" s="33">
        <v>23.074941748319699</v>
      </c>
      <c r="T147" s="33">
        <v>23.0297314080597</v>
      </c>
      <c r="U147" s="15">
        <v>5.5981026836675297E-4</v>
      </c>
      <c r="V147" s="15">
        <v>3.2530400067291299E-3</v>
      </c>
      <c r="W147" s="15">
        <v>1.29183513720416E-3</v>
      </c>
      <c r="X147" s="34">
        <v>1.24382023773846</v>
      </c>
      <c r="Y147" s="34">
        <v>1.24274983567304</v>
      </c>
      <c r="Z147" s="34">
        <v>1.2432426402221199</v>
      </c>
      <c r="AA147" s="34">
        <v>1.2431351310010501</v>
      </c>
      <c r="AB147" s="33">
        <v>23.595357907520899</v>
      </c>
      <c r="AC147" s="33">
        <v>23.602957996739701</v>
      </c>
      <c r="AD147" s="33">
        <v>23.6013133631212</v>
      </c>
      <c r="AE147" s="15">
        <v>-8.6094668554883896E-4</v>
      </c>
      <c r="AF147" s="15">
        <v>-5.3889751329156202E-4</v>
      </c>
      <c r="AG147" s="15">
        <v>-6.0857907268268901E-4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3.0942619460569655E-3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0</v>
      </c>
      <c r="BE147" s="29">
        <f t="shared" si="42"/>
        <v>0</v>
      </c>
      <c r="BF147" s="29">
        <f t="shared" si="43"/>
        <v>3.0942619460569655E-3</v>
      </c>
      <c r="BH147" s="29"/>
    </row>
    <row r="148" spans="1:60" x14ac:dyDescent="0.25">
      <c r="A148" s="1">
        <v>46238</v>
      </c>
      <c r="B148" s="33">
        <v>18.55</v>
      </c>
      <c r="C148" s="33">
        <v>23.04</v>
      </c>
      <c r="D148" s="15">
        <v>2.6990569691649801E-3</v>
      </c>
      <c r="E148" s="15">
        <v>1.73761989854065E-3</v>
      </c>
      <c r="F148" s="33">
        <v>0</v>
      </c>
      <c r="G148" s="33">
        <v>0.48640999999999901</v>
      </c>
      <c r="H148" s="33">
        <v>0</v>
      </c>
      <c r="I148" s="33">
        <v>0.61568100000000003</v>
      </c>
      <c r="J148" s="33">
        <v>0.48640999999999901</v>
      </c>
      <c r="K148" s="33">
        <v>0.61568100000000003</v>
      </c>
      <c r="L148" s="33">
        <v>19.03641</v>
      </c>
      <c r="M148" s="33">
        <v>23.655680999999898</v>
      </c>
      <c r="N148" s="34">
        <v>1.2420485175202101</v>
      </c>
      <c r="O148" s="34">
        <v>1.2439394184217101</v>
      </c>
      <c r="P148" s="34">
        <v>1.2463911847020199</v>
      </c>
      <c r="Q148" s="34">
        <v>1.24490834373382</v>
      </c>
      <c r="R148" s="33">
        <v>23.075076211722799</v>
      </c>
      <c r="S148" s="33">
        <v>23.1302875368286</v>
      </c>
      <c r="T148" s="33">
        <v>23.0933074499297</v>
      </c>
      <c r="U148" s="15">
        <v>1.52124733899111E-3</v>
      </c>
      <c r="V148" s="15">
        <v>3.9110716755556101E-3</v>
      </c>
      <c r="W148" s="15">
        <v>2.3110189406205101E-3</v>
      </c>
      <c r="X148" s="34">
        <v>1.24265452362078</v>
      </c>
      <c r="Y148" s="34">
        <v>1.24274983567304</v>
      </c>
      <c r="Z148" s="34">
        <v>1.2431929691633701</v>
      </c>
      <c r="AA148" s="34">
        <v>1.24312293840883</v>
      </c>
      <c r="AB148" s="33">
        <v>23.657495399304601</v>
      </c>
      <c r="AC148" s="33">
        <v>23.666876628750799</v>
      </c>
      <c r="AD148" s="33">
        <v>23.664830039139801</v>
      </c>
      <c r="AE148" s="15">
        <v>7.6697421039453994E-5</v>
      </c>
      <c r="AF148" s="15">
        <v>4.7316246292294201E-4</v>
      </c>
      <c r="AG148" s="15">
        <v>3.86683873566293E-4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3.0942619460569655E-3</v>
      </c>
      <c r="AT148" s="12"/>
      <c r="AU148">
        <f t="shared" si="30"/>
        <v>0</v>
      </c>
      <c r="AV148">
        <f t="shared" si="31"/>
        <v>0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0</v>
      </c>
      <c r="BE148" s="29">
        <f t="shared" si="42"/>
        <v>0</v>
      </c>
      <c r="BF148" s="29">
        <f t="shared" si="43"/>
        <v>3.0942619460569655E-3</v>
      </c>
      <c r="BH148" s="29"/>
    </row>
    <row r="149" spans="1:60" x14ac:dyDescent="0.25">
      <c r="A149" s="1">
        <v>46239</v>
      </c>
      <c r="B149" s="33">
        <v>18.55</v>
      </c>
      <c r="C149" s="33">
        <v>23.06</v>
      </c>
      <c r="D149" s="15">
        <v>0</v>
      </c>
      <c r="E149" s="15">
        <v>8.67679013222501E-4</v>
      </c>
      <c r="F149" s="33">
        <v>0</v>
      </c>
      <c r="G149" s="33">
        <v>0.48640999999999901</v>
      </c>
      <c r="H149" s="33">
        <v>0</v>
      </c>
      <c r="I149" s="33">
        <v>0.61568100000000003</v>
      </c>
      <c r="J149" s="33">
        <v>0.48640999999999901</v>
      </c>
      <c r="K149" s="33">
        <v>0.61568100000000003</v>
      </c>
      <c r="L149" s="33">
        <v>19.03641</v>
      </c>
      <c r="M149" s="33">
        <v>23.675680999999901</v>
      </c>
      <c r="N149" s="34">
        <v>1.24312668463611</v>
      </c>
      <c r="O149" s="34">
        <v>1.2439394184217101</v>
      </c>
      <c r="P149" s="34">
        <v>1.2459476234798299</v>
      </c>
      <c r="Q149" s="34">
        <v>1.2449352979117201</v>
      </c>
      <c r="R149" s="33">
        <v>23.075076211722799</v>
      </c>
      <c r="S149" s="33">
        <v>23.1205564762226</v>
      </c>
      <c r="T149" s="33">
        <v>23.0930497762625</v>
      </c>
      <c r="U149" s="15">
        <v>6.5356832576857204E-4</v>
      </c>
      <c r="V149" s="15">
        <v>2.6225977143792098E-3</v>
      </c>
      <c r="W149" s="15">
        <v>1.4321819282536901E-3</v>
      </c>
      <c r="X149" s="34">
        <v>1.24370514188336</v>
      </c>
      <c r="Y149" s="34">
        <v>1.24274983567304</v>
      </c>
      <c r="Z149" s="34">
        <v>1.24322269266893</v>
      </c>
      <c r="AA149" s="34">
        <v>1.2431504699299301</v>
      </c>
      <c r="AB149" s="33">
        <v>23.657495399304601</v>
      </c>
      <c r="AC149" s="33">
        <v>23.665931070111299</v>
      </c>
      <c r="AD149" s="33">
        <v>23.6645979359552</v>
      </c>
      <c r="AE149" s="15">
        <v>-7.6840824865744603E-4</v>
      </c>
      <c r="AF149" s="15">
        <v>-4.1189683241134003E-4</v>
      </c>
      <c r="AG149" s="15">
        <v>-4.6822978217783402E-4</v>
      </c>
      <c r="AI149" s="12"/>
      <c r="AJ149">
        <f t="shared" si="26"/>
        <v>0</v>
      </c>
      <c r="AK149">
        <f t="shared" si="27"/>
        <v>0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3.0942619460569655E-3</v>
      </c>
      <c r="AT149" s="12"/>
      <c r="AU149">
        <f t="shared" si="30"/>
        <v>0</v>
      </c>
      <c r="AV149">
        <f t="shared" si="31"/>
        <v>1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0</v>
      </c>
      <c r="BE149" s="29">
        <f t="shared" si="42"/>
        <v>0</v>
      </c>
      <c r="BF149" s="29">
        <f t="shared" si="43"/>
        <v>3.0942619460569655E-3</v>
      </c>
      <c r="BH149" s="29"/>
    </row>
    <row r="150" spans="1:60" x14ac:dyDescent="0.25">
      <c r="A150" s="1">
        <v>46240</v>
      </c>
      <c r="B150" s="33">
        <v>18.53</v>
      </c>
      <c r="C150" s="33">
        <v>23.01</v>
      </c>
      <c r="D150" s="15">
        <v>-1.07874875617568E-3</v>
      </c>
      <c r="E150" s="15">
        <v>-2.1706107936383199E-3</v>
      </c>
      <c r="F150" s="33">
        <v>0</v>
      </c>
      <c r="G150" s="33">
        <v>0.48640999999999901</v>
      </c>
      <c r="H150" s="33">
        <v>0</v>
      </c>
      <c r="I150" s="33">
        <v>0.61568100000000003</v>
      </c>
      <c r="J150" s="33">
        <v>0.48640999999999901</v>
      </c>
      <c r="K150" s="33">
        <v>0.61568100000000003</v>
      </c>
      <c r="L150" s="33">
        <v>19.01641</v>
      </c>
      <c r="M150" s="33">
        <v>23.625681</v>
      </c>
      <c r="N150" s="34">
        <v>1.2417701025364201</v>
      </c>
      <c r="O150" s="34">
        <v>1.2439394184217101</v>
      </c>
      <c r="P150" s="34">
        <v>1.2453281063324899</v>
      </c>
      <c r="Q150" s="34">
        <v>1.2449074863987999</v>
      </c>
      <c r="R150" s="33">
        <v>23.050197423354302</v>
      </c>
      <c r="S150" s="33">
        <v>23.087409463081201</v>
      </c>
      <c r="T150" s="33">
        <v>23.068651070304199</v>
      </c>
      <c r="U150" s="15">
        <v>1.7454303632310601E-3</v>
      </c>
      <c r="V150" s="15">
        <v>3.3585200012573001E-3</v>
      </c>
      <c r="W150" s="15">
        <v>2.5456952673863801E-3</v>
      </c>
      <c r="X150" s="34">
        <v>1.2423838674071499</v>
      </c>
      <c r="Y150" s="34">
        <v>1.24274983567304</v>
      </c>
      <c r="Z150" s="34">
        <v>1.2430816860681</v>
      </c>
      <c r="AA150" s="34">
        <v>1.2431247445270199</v>
      </c>
      <c r="AB150" s="33">
        <v>23.6326404025911</v>
      </c>
      <c r="AC150" s="33">
        <v>23.641632445096501</v>
      </c>
      <c r="AD150" s="33">
        <v>23.640259027880202</v>
      </c>
      <c r="AE150" s="15">
        <v>2.94526019330026E-4</v>
      </c>
      <c r="AF150" s="15">
        <v>6.7494615367303702E-4</v>
      </c>
      <c r="AG150" s="15">
        <v>6.1685130281695204E-4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3.0942619460569655E-3</v>
      </c>
      <c r="AT150" s="12"/>
      <c r="AU150">
        <f t="shared" ref="AU150:AU176" si="50">IF($AG150&gt;AT$21,1,0)</f>
        <v>0</v>
      </c>
      <c r="AV150">
        <f t="shared" ref="AV150:AV176" si="51">IF($AG150&lt;AT$22,1,0)</f>
        <v>0</v>
      </c>
      <c r="AW150">
        <f t="shared" si="38"/>
        <v>0</v>
      </c>
      <c r="AX150">
        <f t="shared" si="45"/>
        <v>1</v>
      </c>
      <c r="AY150">
        <f t="shared" si="39"/>
        <v>0</v>
      </c>
      <c r="AZ150" s="28">
        <f t="shared" ref="AZ150:AZ176" si="52">-AY150*D150</f>
        <v>0</v>
      </c>
      <c r="BA150" s="28">
        <f t="shared" ref="BA150:BA176" si="53">AY150*$E150</f>
        <v>0</v>
      </c>
      <c r="BB150" s="28">
        <f t="shared" si="40"/>
        <v>0</v>
      </c>
      <c r="BC150" s="29">
        <f t="shared" si="41"/>
        <v>0</v>
      </c>
      <c r="BE150" s="29">
        <f t="shared" si="42"/>
        <v>0</v>
      </c>
      <c r="BF150" s="29">
        <f t="shared" si="43"/>
        <v>3.0942619460569655E-3</v>
      </c>
      <c r="BH150" s="29"/>
    </row>
    <row r="151" spans="1:60" x14ac:dyDescent="0.25">
      <c r="A151" s="1">
        <v>46241</v>
      </c>
      <c r="B151" s="33">
        <v>18.55</v>
      </c>
      <c r="C151" s="33">
        <v>23.06</v>
      </c>
      <c r="D151" s="15">
        <v>1.0787487561756E-3</v>
      </c>
      <c r="E151" s="15">
        <v>2.1706107936382201E-3</v>
      </c>
      <c r="F151" s="33">
        <v>0</v>
      </c>
      <c r="G151" s="33">
        <v>0.48640999999999901</v>
      </c>
      <c r="H151" s="33">
        <v>0</v>
      </c>
      <c r="I151" s="33">
        <v>0.61568100000000003</v>
      </c>
      <c r="J151" s="33">
        <v>0.48640999999999901</v>
      </c>
      <c r="K151" s="33">
        <v>0.61568100000000003</v>
      </c>
      <c r="L151" s="33">
        <v>19.03641</v>
      </c>
      <c r="M151" s="33">
        <v>23.675680999999901</v>
      </c>
      <c r="N151" s="34">
        <v>1.24312668463611</v>
      </c>
      <c r="O151" s="34">
        <v>1.2439394184217101</v>
      </c>
      <c r="P151" s="34">
        <v>1.24487112709963</v>
      </c>
      <c r="Q151" s="34">
        <v>1.2449409758030201</v>
      </c>
      <c r="R151" s="33">
        <v>23.075076211722799</v>
      </c>
      <c r="S151" s="33">
        <v>23.1008363724678</v>
      </c>
      <c r="T151" s="33">
        <v>23.093033872697799</v>
      </c>
      <c r="U151" s="15">
        <v>6.5356832576857204E-4</v>
      </c>
      <c r="V151" s="15">
        <v>1.7693086317313901E-3</v>
      </c>
      <c r="W151" s="15">
        <v>1.43149325480846E-3</v>
      </c>
      <c r="X151" s="34">
        <v>1.24370514188336</v>
      </c>
      <c r="Y151" s="34">
        <v>1.24274983567304</v>
      </c>
      <c r="Z151" s="34">
        <v>1.2430985556110199</v>
      </c>
      <c r="AA151" s="34">
        <v>1.2431586828224299</v>
      </c>
      <c r="AB151" s="33">
        <v>23.657495399304601</v>
      </c>
      <c r="AC151" s="33">
        <v>23.663812639483702</v>
      </c>
      <c r="AD151" s="33">
        <v>23.664632317961601</v>
      </c>
      <c r="AE151" s="15">
        <v>-7.6840824865744603E-4</v>
      </c>
      <c r="AF151" s="15">
        <v>-5.0141477453397899E-4</v>
      </c>
      <c r="AG151" s="15">
        <v>-4.66776895400297E-4</v>
      </c>
      <c r="AI151" s="12"/>
      <c r="AJ151">
        <f t="shared" si="46"/>
        <v>0</v>
      </c>
      <c r="AK151">
        <f t="shared" si="47"/>
        <v>0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3.0942619460569655E-3</v>
      </c>
      <c r="AT151" s="12"/>
      <c r="AU151">
        <f t="shared" si="50"/>
        <v>0</v>
      </c>
      <c r="AV151">
        <f t="shared" si="51"/>
        <v>1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0</v>
      </c>
      <c r="BE151" s="29">
        <f t="shared" ref="BE151:BE176" si="62">AQ151+BB151</f>
        <v>0</v>
      </c>
      <c r="BF151" s="29">
        <f t="shared" ref="BF151:BF176" si="63">BF150+BE151</f>
        <v>3.0942619460569655E-3</v>
      </c>
      <c r="BH151" s="29"/>
    </row>
    <row r="152" spans="1:60" x14ac:dyDescent="0.25">
      <c r="A152" s="1">
        <v>46244</v>
      </c>
      <c r="B152" s="33">
        <v>18.53</v>
      </c>
      <c r="C152" s="33">
        <v>23.02</v>
      </c>
      <c r="D152" s="15">
        <v>-1.07874875617568E-3</v>
      </c>
      <c r="E152" s="15">
        <v>-1.73611154717636E-3</v>
      </c>
      <c r="F152" s="33">
        <v>0</v>
      </c>
      <c r="G152" s="33">
        <v>0.48640999999999901</v>
      </c>
      <c r="H152" s="33">
        <v>0</v>
      </c>
      <c r="I152" s="33">
        <v>0.61568100000000003</v>
      </c>
      <c r="J152" s="33">
        <v>0.48640999999999901</v>
      </c>
      <c r="K152" s="33">
        <v>0.61568100000000003</v>
      </c>
      <c r="L152" s="33">
        <v>19.01641</v>
      </c>
      <c r="M152" s="33">
        <v>23.635680999999899</v>
      </c>
      <c r="N152" s="34">
        <v>1.2423097679438699</v>
      </c>
      <c r="O152" s="34">
        <v>1.2439394184217101</v>
      </c>
      <c r="P152" s="34">
        <v>1.24440004538914</v>
      </c>
      <c r="Q152" s="34">
        <v>1.24493443396263</v>
      </c>
      <c r="R152" s="33">
        <v>23.050197423354302</v>
      </c>
      <c r="S152" s="33">
        <v>23.0674619851562</v>
      </c>
      <c r="T152" s="33">
        <v>23.068756281630002</v>
      </c>
      <c r="U152" s="15">
        <v>1.31093111676926E-3</v>
      </c>
      <c r="V152" s="15">
        <v>2.0596491926551498E-3</v>
      </c>
      <c r="W152" s="15">
        <v>2.1157568028070698E-3</v>
      </c>
      <c r="X152" s="34">
        <v>1.24290972901825</v>
      </c>
      <c r="Y152" s="34">
        <v>1.24274983567304</v>
      </c>
      <c r="Z152" s="34">
        <v>1.2431015182776599</v>
      </c>
      <c r="AA152" s="34">
        <v>1.2431535870072701</v>
      </c>
      <c r="AB152" s="33">
        <v>23.6326404025911</v>
      </c>
      <c r="AC152" s="33">
        <v>23.639271803906901</v>
      </c>
      <c r="AD152" s="33">
        <v>23.640415207611301</v>
      </c>
      <c r="AE152" s="15">
        <v>-1.2865265035074601E-4</v>
      </c>
      <c r="AF152" s="15">
        <v>1.5191147535549001E-4</v>
      </c>
      <c r="AG152" s="15">
        <v>2.00279126534064E-4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3.0942619460569655E-3</v>
      </c>
      <c r="AT152" s="12"/>
      <c r="AU152">
        <f t="shared" si="50"/>
        <v>0</v>
      </c>
      <c r="AV152">
        <f t="shared" si="51"/>
        <v>0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0</v>
      </c>
      <c r="BE152" s="29">
        <f t="shared" si="62"/>
        <v>0</v>
      </c>
      <c r="BF152" s="29">
        <f t="shared" si="63"/>
        <v>3.0942619460569655E-3</v>
      </c>
      <c r="BH152" s="29"/>
    </row>
    <row r="153" spans="1:60" x14ac:dyDescent="0.25">
      <c r="A153" s="1">
        <v>46245</v>
      </c>
      <c r="B153" s="33">
        <v>18.54</v>
      </c>
      <c r="C153" s="33">
        <v>23.03</v>
      </c>
      <c r="D153" s="15">
        <v>5.3951984044050898E-4</v>
      </c>
      <c r="E153" s="15">
        <v>4.34310538857388E-4</v>
      </c>
      <c r="F153" s="33">
        <v>0</v>
      </c>
      <c r="G153" s="33">
        <v>0.48640999999999901</v>
      </c>
      <c r="H153" s="33">
        <v>0</v>
      </c>
      <c r="I153" s="33">
        <v>0.61568100000000003</v>
      </c>
      <c r="J153" s="33">
        <v>0.48640999999999901</v>
      </c>
      <c r="K153" s="33">
        <v>0.61568100000000003</v>
      </c>
      <c r="L153" s="33">
        <v>19.026409999999998</v>
      </c>
      <c r="M153" s="33">
        <v>23.645681</v>
      </c>
      <c r="N153" s="34">
        <v>1.2421790722761501</v>
      </c>
      <c r="O153" s="34">
        <v>1.2439394184217101</v>
      </c>
      <c r="P153" s="34">
        <v>1.24388851538732</v>
      </c>
      <c r="Q153" s="34">
        <v>1.24491400752253</v>
      </c>
      <c r="R153" s="33">
        <v>23.0626368175385</v>
      </c>
      <c r="S153" s="33">
        <v>23.071176841514699</v>
      </c>
      <c r="T153" s="33">
        <v>23.081084405667301</v>
      </c>
      <c r="U153" s="15">
        <v>1.41614041835239E-3</v>
      </c>
      <c r="V153" s="15">
        <v>1.7863688211821899E-3</v>
      </c>
      <c r="W153" s="15">
        <v>2.2157113511915298E-3</v>
      </c>
      <c r="X153" s="34">
        <v>1.24278205925342</v>
      </c>
      <c r="Y153" s="34">
        <v>1.24274983567304</v>
      </c>
      <c r="Z153" s="34">
        <v>1.24306460078217</v>
      </c>
      <c r="AA153" s="34">
        <v>1.2431349643968701</v>
      </c>
      <c r="AB153" s="33">
        <v>23.645067900947801</v>
      </c>
      <c r="AC153" s="33">
        <v>23.651759158373299</v>
      </c>
      <c r="AD153" s="33">
        <v>23.652749839371001</v>
      </c>
      <c r="AE153" s="15">
        <v>-2.5928921254214699E-5</v>
      </c>
      <c r="AF153" s="15">
        <v>2.5701849344958E-4</v>
      </c>
      <c r="AG153" s="15">
        <v>2.9890376057859099E-4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3.0942619460569655E-3</v>
      </c>
      <c r="AT153" s="12"/>
      <c r="AU153">
        <f t="shared" si="50"/>
        <v>0</v>
      </c>
      <c r="AV153">
        <f t="shared" si="51"/>
        <v>0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0</v>
      </c>
      <c r="BE153" s="29">
        <f t="shared" si="62"/>
        <v>0</v>
      </c>
      <c r="BF153" s="29">
        <f t="shared" si="63"/>
        <v>3.0942619460569655E-3</v>
      </c>
      <c r="BH153" s="29"/>
    </row>
    <row r="154" spans="1:60" x14ac:dyDescent="0.25">
      <c r="A154" s="1">
        <v>46246</v>
      </c>
      <c r="B154" s="33">
        <v>18.55</v>
      </c>
      <c r="C154" s="33">
        <v>23.05</v>
      </c>
      <c r="D154" s="15">
        <v>5.3922891573517301E-4</v>
      </c>
      <c r="E154" s="15">
        <v>8.6805561006359302E-4</v>
      </c>
      <c r="F154" s="33">
        <v>0</v>
      </c>
      <c r="G154" s="33">
        <v>0.48640999999999901</v>
      </c>
      <c r="H154" s="33">
        <v>0</v>
      </c>
      <c r="I154" s="33">
        <v>0.61568100000000003</v>
      </c>
      <c r="J154" s="33">
        <v>0.48640999999999901</v>
      </c>
      <c r="K154" s="33">
        <v>0.61568100000000003</v>
      </c>
      <c r="L154" s="33">
        <v>19.03641</v>
      </c>
      <c r="M154" s="33">
        <v>23.665680999999999</v>
      </c>
      <c r="N154" s="34">
        <v>1.24258760107816</v>
      </c>
      <c r="O154" s="34">
        <v>1.2439394184217101</v>
      </c>
      <c r="P154" s="34">
        <v>1.24349862684649</v>
      </c>
      <c r="Q154" s="34">
        <v>1.2449401062423899</v>
      </c>
      <c r="R154" s="33">
        <v>23.075076211722799</v>
      </c>
      <c r="S154" s="33">
        <v>23.074131960434801</v>
      </c>
      <c r="T154" s="33">
        <v>23.093154839543001</v>
      </c>
      <c r="U154" s="15">
        <v>1.0873137240240899E-3</v>
      </c>
      <c r="V154" s="15">
        <v>1.04639205600537E-3</v>
      </c>
      <c r="W154" s="15">
        <v>1.8704768789751399E-3</v>
      </c>
      <c r="X154" s="34">
        <v>1.24317983275207</v>
      </c>
      <c r="Y154" s="34">
        <v>1.24274983567304</v>
      </c>
      <c r="Z154" s="34">
        <v>1.2431457430748101</v>
      </c>
      <c r="AA154" s="34">
        <v>1.2431618171083501</v>
      </c>
      <c r="AB154" s="33">
        <v>23.657495399304601</v>
      </c>
      <c r="AC154" s="33">
        <v>23.6634873969758</v>
      </c>
      <c r="AD154" s="33">
        <v>23.6648268675943</v>
      </c>
      <c r="AE154" s="15">
        <v>-3.4594468925555199E-4</v>
      </c>
      <c r="AF154" s="15">
        <v>-9.2695608225899502E-5</v>
      </c>
      <c r="AG154" s="15">
        <v>-3.6092256103765398E-5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3.0942619460569655E-3</v>
      </c>
      <c r="AT154" s="12"/>
      <c r="AU154">
        <f t="shared" si="50"/>
        <v>0</v>
      </c>
      <c r="AV154">
        <f t="shared" si="51"/>
        <v>1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0</v>
      </c>
      <c r="BE154" s="29">
        <f t="shared" si="62"/>
        <v>0</v>
      </c>
      <c r="BF154" s="29">
        <f t="shared" si="63"/>
        <v>3.0942619460569655E-3</v>
      </c>
      <c r="BH154" s="29"/>
    </row>
    <row r="155" spans="1:60" x14ac:dyDescent="0.25">
      <c r="A155" s="1">
        <v>46247</v>
      </c>
      <c r="B155" s="33">
        <v>18.59</v>
      </c>
      <c r="C155" s="33">
        <v>23.09</v>
      </c>
      <c r="D155" s="15">
        <v>2.1540126799083998E-3</v>
      </c>
      <c r="E155" s="15">
        <v>1.73385392374647E-3</v>
      </c>
      <c r="F155" s="33">
        <v>0</v>
      </c>
      <c r="G155" s="33">
        <v>0.48640999999999901</v>
      </c>
      <c r="H155" s="33">
        <v>0</v>
      </c>
      <c r="I155" s="33">
        <v>0.61568100000000003</v>
      </c>
      <c r="J155" s="33">
        <v>0.48640999999999901</v>
      </c>
      <c r="K155" s="33">
        <v>0.61568100000000003</v>
      </c>
      <c r="L155" s="33">
        <v>19.076409999999999</v>
      </c>
      <c r="M155" s="33">
        <v>23.705680999999998</v>
      </c>
      <c r="N155" s="34">
        <v>1.2420656266810099</v>
      </c>
      <c r="O155" s="34">
        <v>1.2439394184217101</v>
      </c>
      <c r="P155" s="34">
        <v>1.24294843275783</v>
      </c>
      <c r="Q155" s="34">
        <v>1.2449401062423899</v>
      </c>
      <c r="R155" s="33">
        <v>23.1248337884596</v>
      </c>
      <c r="S155" s="33">
        <v>23.116639473076201</v>
      </c>
      <c r="T155" s="33">
        <v>23.143436575046099</v>
      </c>
      <c r="U155" s="15">
        <v>1.50747248018603E-3</v>
      </c>
      <c r="V155" s="15">
        <v>1.1530583626769399E-3</v>
      </c>
      <c r="W155" s="15">
        <v>2.3115996905928599E-3</v>
      </c>
      <c r="X155" s="34">
        <v>1.24266992584034</v>
      </c>
      <c r="Y155" s="34">
        <v>1.24274983567304</v>
      </c>
      <c r="Z155" s="34">
        <v>1.2430705561736199</v>
      </c>
      <c r="AA155" s="34">
        <v>1.24316317447424</v>
      </c>
      <c r="AB155" s="33">
        <v>23.707205392731499</v>
      </c>
      <c r="AC155" s="33">
        <v>23.7147578846497</v>
      </c>
      <c r="AD155" s="33">
        <v>23.715064519503901</v>
      </c>
      <c r="AE155" s="15">
        <v>6.4302886748334194E-5</v>
      </c>
      <c r="AF155" s="15">
        <v>3.8282584362754098E-4</v>
      </c>
      <c r="AG155" s="15">
        <v>3.95755888003382E-4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3.0942619460569655E-3</v>
      </c>
      <c r="AT155" s="12"/>
      <c r="AU155">
        <f t="shared" si="50"/>
        <v>0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0</v>
      </c>
      <c r="BE155" s="29">
        <f t="shared" si="62"/>
        <v>0</v>
      </c>
      <c r="BF155" s="29">
        <f t="shared" si="63"/>
        <v>3.0942619460569655E-3</v>
      </c>
      <c r="BH155" s="29"/>
    </row>
    <row r="156" spans="1:60" x14ac:dyDescent="0.25">
      <c r="A156" s="1">
        <v>46248</v>
      </c>
      <c r="B156" s="33">
        <v>18.57</v>
      </c>
      <c r="C156" s="33">
        <v>23.08</v>
      </c>
      <c r="D156" s="15">
        <v>-1.0764263687381701E-3</v>
      </c>
      <c r="E156" s="15">
        <v>-4.33181726505209E-4</v>
      </c>
      <c r="F156" s="33">
        <v>0</v>
      </c>
      <c r="G156" s="33">
        <v>0.48640999999999901</v>
      </c>
      <c r="H156" s="33">
        <v>0</v>
      </c>
      <c r="I156" s="33">
        <v>0.61568100000000003</v>
      </c>
      <c r="J156" s="33">
        <v>0.48640999999999901</v>
      </c>
      <c r="K156" s="33">
        <v>0.61568100000000003</v>
      </c>
      <c r="L156" s="33">
        <v>19.05641</v>
      </c>
      <c r="M156" s="33">
        <v>23.695680999999901</v>
      </c>
      <c r="N156" s="34">
        <v>1.2428648357565899</v>
      </c>
      <c r="O156" s="34">
        <v>1.2439394184217101</v>
      </c>
      <c r="P156" s="34">
        <v>1.2425322136307899</v>
      </c>
      <c r="Q156" s="34">
        <v>1.2449131810942999</v>
      </c>
      <c r="R156" s="33">
        <v>23.0999550000912</v>
      </c>
      <c r="S156" s="33">
        <v>23.081552396313</v>
      </c>
      <c r="T156" s="33">
        <v>23.118537772921201</v>
      </c>
      <c r="U156" s="15">
        <v>8.6422783795307896E-4</v>
      </c>
      <c r="V156" s="15">
        <v>6.7259276736654304E-5</v>
      </c>
      <c r="W156" s="15">
        <v>1.66835504836005E-3</v>
      </c>
      <c r="X156" s="34">
        <v>1.24344936952972</v>
      </c>
      <c r="Y156" s="34">
        <v>1.24274983567304</v>
      </c>
      <c r="Z156" s="34">
        <v>1.2431259828926899</v>
      </c>
      <c r="AA156" s="34">
        <v>1.24313805478743</v>
      </c>
      <c r="AB156" s="33">
        <v>23.682350396017998</v>
      </c>
      <c r="AC156" s="33">
        <v>23.6884621773726</v>
      </c>
      <c r="AD156" s="33">
        <v>23.690227149682599</v>
      </c>
      <c r="AE156" s="15">
        <v>-5.6273356831894003E-4</v>
      </c>
      <c r="AF156" s="15">
        <v>-3.0469360419686602E-4</v>
      </c>
      <c r="AG156" s="15">
        <v>-2.3018870184608899E-4</v>
      </c>
      <c r="AI156" s="12"/>
      <c r="AJ156">
        <f t="shared" si="46"/>
        <v>0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3.0942619460569655E-3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0</v>
      </c>
      <c r="BE156" s="29">
        <f t="shared" si="62"/>
        <v>0</v>
      </c>
      <c r="BF156" s="29">
        <f t="shared" si="63"/>
        <v>3.0942619460569655E-3</v>
      </c>
      <c r="BH156" s="29"/>
    </row>
    <row r="157" spans="1:60" x14ac:dyDescent="0.25">
      <c r="A157" s="1">
        <v>46251</v>
      </c>
      <c r="B157" s="33">
        <v>18.57</v>
      </c>
      <c r="C157" s="33">
        <v>23.07</v>
      </c>
      <c r="D157" s="15">
        <v>0</v>
      </c>
      <c r="E157" s="15">
        <v>-4.33369454236399E-4</v>
      </c>
      <c r="F157" s="33">
        <v>0</v>
      </c>
      <c r="G157" s="33">
        <v>0.48640999999999901</v>
      </c>
      <c r="H157" s="33">
        <v>0</v>
      </c>
      <c r="I157" s="33">
        <v>0.61568100000000003</v>
      </c>
      <c r="J157" s="33">
        <v>0.48640999999999901</v>
      </c>
      <c r="K157" s="33">
        <v>0.61568100000000003</v>
      </c>
      <c r="L157" s="33">
        <v>19.05641</v>
      </c>
      <c r="M157" s="33">
        <v>23.685680999999999</v>
      </c>
      <c r="N157" s="34">
        <v>1.24232633279483</v>
      </c>
      <c r="O157" s="34">
        <v>1.2439394184217101</v>
      </c>
      <c r="P157" s="34">
        <v>1.2424405225859501</v>
      </c>
      <c r="Q157" s="34">
        <v>1.2446781463826899</v>
      </c>
      <c r="R157" s="33">
        <v>23.0999550000912</v>
      </c>
      <c r="S157" s="33">
        <v>23.073823207123802</v>
      </c>
      <c r="T157" s="33">
        <v>23.118037772921198</v>
      </c>
      <c r="U157" s="15">
        <v>1.2975972921893499E-3</v>
      </c>
      <c r="V157" s="15">
        <v>1.6570829492894E-4</v>
      </c>
      <c r="W157" s="15">
        <v>2.0800966032933298E-3</v>
      </c>
      <c r="X157" s="34">
        <v>1.2429246117185699</v>
      </c>
      <c r="Y157" s="34">
        <v>1.24274983567304</v>
      </c>
      <c r="Z157" s="34">
        <v>1.2430364202907001</v>
      </c>
      <c r="AA157" s="34">
        <v>1.2431395302564101</v>
      </c>
      <c r="AB157" s="33">
        <v>23.682350396017998</v>
      </c>
      <c r="AC157" s="33">
        <v>23.689518411656199</v>
      </c>
      <c r="AD157" s="33">
        <v>23.689748458631801</v>
      </c>
      <c r="AE157" s="15">
        <v>-1.4062665849744099E-4</v>
      </c>
      <c r="AF157" s="15">
        <v>1.6200086595009099E-4</v>
      </c>
      <c r="AG157" s="15">
        <v>1.71711737004997E-4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3.0942619460569655E-3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0</v>
      </c>
      <c r="BE157" s="29">
        <f t="shared" si="62"/>
        <v>0</v>
      </c>
      <c r="BF157" s="29">
        <f t="shared" si="63"/>
        <v>3.0942619460569655E-3</v>
      </c>
      <c r="BH157" s="29"/>
    </row>
    <row r="158" spans="1:60" x14ac:dyDescent="0.25">
      <c r="A158" s="1">
        <v>46252</v>
      </c>
      <c r="B158" s="33">
        <v>18.57</v>
      </c>
      <c r="C158" s="33">
        <v>23.07</v>
      </c>
      <c r="D158" s="15">
        <v>0</v>
      </c>
      <c r="E158" s="15">
        <v>0</v>
      </c>
      <c r="F158" s="33">
        <v>0</v>
      </c>
      <c r="G158" s="33">
        <v>0.48640999999999901</v>
      </c>
      <c r="H158" s="33">
        <v>0</v>
      </c>
      <c r="I158" s="33">
        <v>0.61568100000000003</v>
      </c>
      <c r="J158" s="33">
        <v>0.48640999999999901</v>
      </c>
      <c r="K158" s="33">
        <v>0.61568100000000003</v>
      </c>
      <c r="L158" s="33">
        <v>19.05641</v>
      </c>
      <c r="M158" s="33">
        <v>23.685680999999999</v>
      </c>
      <c r="N158" s="34">
        <v>1.24232633279483</v>
      </c>
      <c r="O158" s="34">
        <v>1.2439394184217101</v>
      </c>
      <c r="P158" s="34">
        <v>1.2424683041134099</v>
      </c>
      <c r="Q158" s="34">
        <v>1.2444297444077199</v>
      </c>
      <c r="R158" s="33">
        <v>23.0999550000912</v>
      </c>
      <c r="S158" s="33">
        <v>23.0721205044211</v>
      </c>
      <c r="T158" s="33">
        <v>23.1136731783266</v>
      </c>
      <c r="U158" s="15">
        <v>1.2975972921893499E-3</v>
      </c>
      <c r="V158" s="15">
        <v>9.1911875719598394E-5</v>
      </c>
      <c r="W158" s="15">
        <v>1.8912827126644799E-3</v>
      </c>
      <c r="X158" s="34">
        <v>1.2429246117185699</v>
      </c>
      <c r="Y158" s="34">
        <v>1.24274983567304</v>
      </c>
      <c r="Z158" s="34">
        <v>1.2430634291004801</v>
      </c>
      <c r="AA158" s="34">
        <v>1.2431281991319301</v>
      </c>
      <c r="AB158" s="33">
        <v>23.682350396017998</v>
      </c>
      <c r="AC158" s="33">
        <v>23.687811669992001</v>
      </c>
      <c r="AD158" s="33">
        <v>23.6897765757736</v>
      </c>
      <c r="AE158" s="15">
        <v>-1.4062665849744099E-4</v>
      </c>
      <c r="AF158" s="15">
        <v>8.99519910147332E-5</v>
      </c>
      <c r="AG158" s="15">
        <v>1.72898626987443E-4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3.0942619460569655E-3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0</v>
      </c>
      <c r="BE158" s="29">
        <f t="shared" si="62"/>
        <v>0</v>
      </c>
      <c r="BF158" s="29">
        <f t="shared" si="63"/>
        <v>3.0942619460569655E-3</v>
      </c>
      <c r="BH158" s="29"/>
    </row>
    <row r="159" spans="1:60" x14ac:dyDescent="0.25">
      <c r="A159" s="1">
        <v>46253</v>
      </c>
      <c r="B159" s="33">
        <v>18.59</v>
      </c>
      <c r="C159" s="33">
        <v>23.08</v>
      </c>
      <c r="D159" s="15">
        <v>1.0764263687381901E-3</v>
      </c>
      <c r="E159" s="15">
        <v>4.3336945423632202E-4</v>
      </c>
      <c r="F159" s="33">
        <v>0</v>
      </c>
      <c r="G159" s="33">
        <v>0.48640999999999901</v>
      </c>
      <c r="H159" s="33">
        <v>0</v>
      </c>
      <c r="I159" s="33">
        <v>0.61568100000000003</v>
      </c>
      <c r="J159" s="33">
        <v>0.48640999999999901</v>
      </c>
      <c r="K159" s="33">
        <v>0.61568100000000003</v>
      </c>
      <c r="L159" s="33">
        <v>19.076409999999999</v>
      </c>
      <c r="M159" s="33">
        <v>23.695680999999901</v>
      </c>
      <c r="N159" s="34">
        <v>1.24152770306616</v>
      </c>
      <c r="O159" s="34">
        <v>1.2439394184217101</v>
      </c>
      <c r="P159" s="34">
        <v>1.24230840595641</v>
      </c>
      <c r="Q159" s="34">
        <v>1.24412801471812</v>
      </c>
      <c r="R159" s="33">
        <v>23.1248337884596</v>
      </c>
      <c r="S159" s="33">
        <v>23.0974857734683</v>
      </c>
      <c r="T159" s="33">
        <v>23.133948948539501</v>
      </c>
      <c r="U159" s="15">
        <v>1.94065420669117E-3</v>
      </c>
      <c r="V159" s="15">
        <v>7.5732898884442099E-4</v>
      </c>
      <c r="W159" s="15">
        <v>2.3347484590044401E-3</v>
      </c>
      <c r="X159" s="34">
        <v>1.2421457181933</v>
      </c>
      <c r="Y159" s="34">
        <v>1.24274983567304</v>
      </c>
      <c r="Z159" s="34">
        <v>1.24290748673148</v>
      </c>
      <c r="AA159" s="34">
        <v>1.24306508970021</v>
      </c>
      <c r="AB159" s="33">
        <v>23.707205392731499</v>
      </c>
      <c r="AC159" s="33">
        <v>23.7131876295268</v>
      </c>
      <c r="AD159" s="33">
        <v>23.714423209202302</v>
      </c>
      <c r="AE159" s="15">
        <v>4.8623169750082901E-4</v>
      </c>
      <c r="AF159" s="15">
        <v>7.3853820302561396E-4</v>
      </c>
      <c r="AG159" s="15">
        <v>7.9064201571891503E-4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3.0942619460569655E-3</v>
      </c>
      <c r="AT159" s="12"/>
      <c r="AU159">
        <f t="shared" si="50"/>
        <v>0</v>
      </c>
      <c r="AV159">
        <f t="shared" si="51"/>
        <v>0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0</v>
      </c>
      <c r="BE159" s="29">
        <f t="shared" si="62"/>
        <v>0</v>
      </c>
      <c r="BF159" s="29">
        <f t="shared" si="63"/>
        <v>3.0942619460569655E-3</v>
      </c>
      <c r="BH159" s="29"/>
    </row>
    <row r="160" spans="1:60" x14ac:dyDescent="0.25">
      <c r="A160" s="1">
        <v>46254</v>
      </c>
      <c r="B160" s="33">
        <v>18.57</v>
      </c>
      <c r="C160" s="33">
        <v>23.06</v>
      </c>
      <c r="D160" s="15">
        <v>-1.0764263687381701E-3</v>
      </c>
      <c r="E160" s="15">
        <v>-8.6692679898583698E-4</v>
      </c>
      <c r="F160" s="33">
        <v>0</v>
      </c>
      <c r="G160" s="33">
        <v>0.48640999999999901</v>
      </c>
      <c r="H160" s="33">
        <v>0</v>
      </c>
      <c r="I160" s="33">
        <v>0.61568100000000003</v>
      </c>
      <c r="J160" s="33">
        <v>0.48640999999999901</v>
      </c>
      <c r="K160" s="33">
        <v>0.61568100000000003</v>
      </c>
      <c r="L160" s="33">
        <v>19.05641</v>
      </c>
      <c r="M160" s="33">
        <v>23.675680999999901</v>
      </c>
      <c r="N160" s="34">
        <v>1.24178782983306</v>
      </c>
      <c r="O160" s="34">
        <v>1.2439394184217101</v>
      </c>
      <c r="P160" s="34">
        <v>1.24231017868608</v>
      </c>
      <c r="Q160" s="34">
        <v>1.2438191425092899</v>
      </c>
      <c r="R160" s="33">
        <v>23.0999550000912</v>
      </c>
      <c r="S160" s="33">
        <v>23.069667098610601</v>
      </c>
      <c r="T160" s="33">
        <v>23.103457233315499</v>
      </c>
      <c r="U160" s="15">
        <v>1.7311546369389299E-3</v>
      </c>
      <c r="V160" s="15">
        <v>4.1912718474791498E-4</v>
      </c>
      <c r="W160" s="15">
        <v>1.8827552682241699E-3</v>
      </c>
      <c r="X160" s="34">
        <v>1.2423998539074199</v>
      </c>
      <c r="Y160" s="34">
        <v>1.24274983567304</v>
      </c>
      <c r="Z160" s="34">
        <v>1.2429090853814999</v>
      </c>
      <c r="AA160" s="34">
        <v>1.2429953857248</v>
      </c>
      <c r="AB160" s="33">
        <v>23.682350396017998</v>
      </c>
      <c r="AC160" s="33">
        <v>23.6853546592246</v>
      </c>
      <c r="AD160" s="33">
        <v>23.6883580060139</v>
      </c>
      <c r="AE160" s="15">
        <v>2.8165850081057699E-4</v>
      </c>
      <c r="AF160" s="15">
        <v>4.0850708708315499E-4</v>
      </c>
      <c r="AG160" s="15">
        <v>5.3530089843454101E-4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3.0942619460569655E-3</v>
      </c>
      <c r="AT160" s="12"/>
      <c r="AU160">
        <f t="shared" si="50"/>
        <v>0</v>
      </c>
      <c r="AV160">
        <f t="shared" si="51"/>
        <v>0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0</v>
      </c>
      <c r="BE160" s="29">
        <f t="shared" si="62"/>
        <v>0</v>
      </c>
      <c r="BF160" s="29">
        <f t="shared" si="63"/>
        <v>3.0942619460569655E-3</v>
      </c>
      <c r="BH160" s="29"/>
    </row>
    <row r="161" spans="1:60" x14ac:dyDescent="0.25">
      <c r="A161" s="1">
        <v>46255</v>
      </c>
      <c r="B161" s="33">
        <v>18.55</v>
      </c>
      <c r="C161" s="33">
        <v>23.05</v>
      </c>
      <c r="D161" s="15">
        <v>-1.0775863111702399E-3</v>
      </c>
      <c r="E161" s="15">
        <v>-4.3374539825532702E-4</v>
      </c>
      <c r="F161" s="33">
        <v>0</v>
      </c>
      <c r="G161" s="33">
        <v>0.48640999999999901</v>
      </c>
      <c r="H161" s="33">
        <v>0</v>
      </c>
      <c r="I161" s="33">
        <v>0.61568100000000003</v>
      </c>
      <c r="J161" s="33">
        <v>0.48640999999999901</v>
      </c>
      <c r="K161" s="33">
        <v>0.61568100000000003</v>
      </c>
      <c r="L161" s="33">
        <v>19.03641</v>
      </c>
      <c r="M161" s="33">
        <v>23.665680999999999</v>
      </c>
      <c r="N161" s="34">
        <v>1.24258760107816</v>
      </c>
      <c r="O161" s="34">
        <v>1.2439394184217101</v>
      </c>
      <c r="P161" s="34">
        <v>1.24225627033028</v>
      </c>
      <c r="Q161" s="34">
        <v>1.2435636987149501</v>
      </c>
      <c r="R161" s="33">
        <v>23.075076211722799</v>
      </c>
      <c r="S161" s="33">
        <v>23.044853814626801</v>
      </c>
      <c r="T161" s="33">
        <v>23.072845093547301</v>
      </c>
      <c r="U161" s="15">
        <v>1.0873137240240899E-3</v>
      </c>
      <c r="V161" s="15">
        <v>-2.23286764950406E-4</v>
      </c>
      <c r="W161" s="15">
        <v>9.906195235442779E-4</v>
      </c>
      <c r="X161" s="34">
        <v>1.24317983275207</v>
      </c>
      <c r="Y161" s="34">
        <v>1.24274983567304</v>
      </c>
      <c r="Z161" s="34">
        <v>1.2428565544683701</v>
      </c>
      <c r="AA161" s="34">
        <v>1.2429775550397</v>
      </c>
      <c r="AB161" s="33">
        <v>23.657495399304601</v>
      </c>
      <c r="AC161" s="33">
        <v>23.660526942047401</v>
      </c>
      <c r="AD161" s="33">
        <v>23.6621697907655</v>
      </c>
      <c r="AE161" s="15">
        <v>-3.4594468925555199E-4</v>
      </c>
      <c r="AF161" s="15">
        <v>-2.17809885773323E-4</v>
      </c>
      <c r="AG161" s="15">
        <v>-1.4837814023639499E-4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3.0942619460569655E-3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0</v>
      </c>
      <c r="BE161" s="29">
        <f t="shared" si="62"/>
        <v>0</v>
      </c>
      <c r="BF161" s="29">
        <f t="shared" si="63"/>
        <v>3.0942619460569655E-3</v>
      </c>
      <c r="BH161" s="29"/>
    </row>
    <row r="162" spans="1:60" x14ac:dyDescent="0.25">
      <c r="A162" s="1">
        <v>46258</v>
      </c>
      <c r="B162" s="33">
        <v>18.5</v>
      </c>
      <c r="C162" s="33">
        <v>23.07</v>
      </c>
      <c r="D162" s="15">
        <v>-2.6990569691650499E-3</v>
      </c>
      <c r="E162" s="15">
        <v>8.6730274300466802E-4</v>
      </c>
      <c r="F162" s="33">
        <v>7.0150000000000004E-2</v>
      </c>
      <c r="G162" s="33">
        <v>0.55655999999999906</v>
      </c>
      <c r="H162" s="33">
        <v>0</v>
      </c>
      <c r="I162" s="33">
        <v>0.61568100000000003</v>
      </c>
      <c r="J162" s="33">
        <v>0.55655999999999906</v>
      </c>
      <c r="K162" s="33">
        <v>0.61568100000000003</v>
      </c>
      <c r="L162" s="33">
        <v>19.056560000000001</v>
      </c>
      <c r="M162" s="33">
        <v>23.685680999999999</v>
      </c>
      <c r="N162" s="34">
        <v>1.2470270270270201</v>
      </c>
      <c r="O162" s="34">
        <v>1.2439394184217101</v>
      </c>
      <c r="P162" s="34">
        <v>1.2427279962386</v>
      </c>
      <c r="Q162" s="34">
        <v>1.2435640208138701</v>
      </c>
      <c r="R162" s="33">
        <v>23.012879240801698</v>
      </c>
      <c r="S162" s="33">
        <v>22.981741001110301</v>
      </c>
      <c r="T162" s="33">
        <v>23.005928426226699</v>
      </c>
      <c r="U162" s="15">
        <v>-2.4790459881459002E-3</v>
      </c>
      <c r="V162" s="15">
        <v>-3.83304105473334E-3</v>
      </c>
      <c r="W162" s="15">
        <v>-2.7811318082786199E-3</v>
      </c>
      <c r="X162" s="34">
        <v>1.2429148282796001</v>
      </c>
      <c r="Y162" s="34">
        <v>1.24274983567304</v>
      </c>
      <c r="Z162" s="34">
        <v>1.24285706439451</v>
      </c>
      <c r="AA162" s="34">
        <v>1.24297929133608</v>
      </c>
      <c r="AB162" s="33">
        <v>23.682536808493399</v>
      </c>
      <c r="AC162" s="33">
        <v>23.684570501619898</v>
      </c>
      <c r="AD162" s="33">
        <v>23.686876356267302</v>
      </c>
      <c r="AE162" s="15">
        <v>-1.32755322309135E-4</v>
      </c>
      <c r="AF162" s="15">
        <v>-4.6885897585786197E-5</v>
      </c>
      <c r="AG162" s="15">
        <v>5.0466191158822401E-5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3.0942619460569655E-3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0</v>
      </c>
      <c r="BE162" s="29">
        <f t="shared" si="62"/>
        <v>0</v>
      </c>
      <c r="BF162" s="29">
        <f t="shared" si="63"/>
        <v>3.0942619460569655E-3</v>
      </c>
      <c r="BH162" s="29"/>
    </row>
    <row r="163" spans="1:60" x14ac:dyDescent="0.25">
      <c r="A163" s="1">
        <v>46259</v>
      </c>
      <c r="B163" s="33">
        <v>18.53</v>
      </c>
      <c r="C163" s="33">
        <v>23.1</v>
      </c>
      <c r="D163" s="15">
        <v>1.6203082129892599E-3</v>
      </c>
      <c r="E163" s="15">
        <v>1.29954534208564E-3</v>
      </c>
      <c r="F163" s="33">
        <v>0</v>
      </c>
      <c r="G163" s="33">
        <v>0.55655999999999906</v>
      </c>
      <c r="H163" s="33">
        <v>0</v>
      </c>
      <c r="I163" s="33">
        <v>0.61568100000000003</v>
      </c>
      <c r="J163" s="33">
        <v>0.55655999999999906</v>
      </c>
      <c r="K163" s="33">
        <v>0.61568100000000003</v>
      </c>
      <c r="L163" s="33">
        <v>19.086559999999999</v>
      </c>
      <c r="M163" s="33">
        <v>23.715681</v>
      </c>
      <c r="N163" s="34">
        <v>1.2466270912034501</v>
      </c>
      <c r="O163" s="34">
        <v>1.2439394184217101</v>
      </c>
      <c r="P163" s="34">
        <v>1.2431727981313301</v>
      </c>
      <c r="Q163" s="34">
        <v>1.2435306567593201</v>
      </c>
      <c r="R163" s="33">
        <v>23.050197423354302</v>
      </c>
      <c r="S163" s="33">
        <v>23.027749770301199</v>
      </c>
      <c r="T163" s="33">
        <v>23.043241305681001</v>
      </c>
      <c r="U163" s="15">
        <v>-2.1582831172422099E-3</v>
      </c>
      <c r="V163" s="15">
        <v>-3.1326170967736098E-3</v>
      </c>
      <c r="W163" s="15">
        <v>-2.4601099246100299E-3</v>
      </c>
      <c r="X163" s="34">
        <v>1.2425330179980001</v>
      </c>
      <c r="Y163" s="34">
        <v>1.24274983567304</v>
      </c>
      <c r="Z163" s="34">
        <v>1.24283216026897</v>
      </c>
      <c r="AA163" s="34">
        <v>1.2429483805255701</v>
      </c>
      <c r="AB163" s="33">
        <v>23.7198193035636</v>
      </c>
      <c r="AC163" s="33">
        <v>23.721865930989701</v>
      </c>
      <c r="AD163" s="33">
        <v>23.7241988228437</v>
      </c>
      <c r="AE163" s="15">
        <v>1.7448128712198999E-4</v>
      </c>
      <c r="AF163" s="15">
        <v>2.6076099735168899E-4</v>
      </c>
      <c r="AG163" s="15">
        <v>3.5909968436185298E-4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3.0942619460569655E-3</v>
      </c>
      <c r="AT163" s="12"/>
      <c r="AU163">
        <f t="shared" si="50"/>
        <v>0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0</v>
      </c>
      <c r="BE163" s="29">
        <f t="shared" si="62"/>
        <v>0</v>
      </c>
      <c r="BF163" s="29">
        <f t="shared" si="63"/>
        <v>3.0942619460569655E-3</v>
      </c>
      <c r="BH163" s="29"/>
    </row>
    <row r="164" spans="1:60" x14ac:dyDescent="0.25">
      <c r="A164" s="1">
        <v>46260</v>
      </c>
      <c r="B164" s="33">
        <v>18.52</v>
      </c>
      <c r="C164" s="33">
        <v>23.1</v>
      </c>
      <c r="D164" s="15">
        <v>-5.3981107923513599E-4</v>
      </c>
      <c r="E164" s="15">
        <v>0</v>
      </c>
      <c r="F164" s="33">
        <v>0</v>
      </c>
      <c r="G164" s="33">
        <v>0.55655999999999906</v>
      </c>
      <c r="H164" s="33">
        <v>0</v>
      </c>
      <c r="I164" s="33">
        <v>0.61568100000000003</v>
      </c>
      <c r="J164" s="33">
        <v>0.55655999999999906</v>
      </c>
      <c r="K164" s="33">
        <v>0.61568100000000003</v>
      </c>
      <c r="L164" s="33">
        <v>19.076560000000001</v>
      </c>
      <c r="M164" s="33">
        <v>23.715681</v>
      </c>
      <c r="N164" s="34">
        <v>1.24730021598272</v>
      </c>
      <c r="O164" s="34">
        <v>1.2439394184217101</v>
      </c>
      <c r="P164" s="34">
        <v>1.2436440596217799</v>
      </c>
      <c r="Q164" s="34">
        <v>1.24357134323413</v>
      </c>
      <c r="R164" s="33">
        <v>23.037758029170099</v>
      </c>
      <c r="S164" s="33">
        <v>23.023560221392199</v>
      </c>
      <c r="T164" s="33">
        <v>23.030187763182699</v>
      </c>
      <c r="U164" s="15">
        <v>-2.6980941964772601E-3</v>
      </c>
      <c r="V164" s="15">
        <v>-3.3145684428419401E-3</v>
      </c>
      <c r="W164" s="15">
        <v>-3.0267507460732699E-3</v>
      </c>
      <c r="X164" s="34">
        <v>1.2431843581861699</v>
      </c>
      <c r="Y164" s="34">
        <v>1.24274983567304</v>
      </c>
      <c r="Z164" s="34">
        <v>1.2428326128123801</v>
      </c>
      <c r="AA164" s="34">
        <v>1.24298917794359</v>
      </c>
      <c r="AB164" s="33">
        <v>23.7073918052068</v>
      </c>
      <c r="AC164" s="33">
        <v>23.7089622753006</v>
      </c>
      <c r="AD164" s="33">
        <v>23.711179357998901</v>
      </c>
      <c r="AE164" s="15">
        <v>-3.4958489137034001E-4</v>
      </c>
      <c r="AF164" s="15">
        <v>-2.8334318532560201E-4</v>
      </c>
      <c r="AG164" s="15">
        <v>-1.89835126363398E-4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3.0942619460569655E-3</v>
      </c>
      <c r="AT164" s="12"/>
      <c r="AU164">
        <f t="shared" si="50"/>
        <v>0</v>
      </c>
      <c r="AV164">
        <f t="shared" si="51"/>
        <v>1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0</v>
      </c>
      <c r="BE164" s="29">
        <f t="shared" si="62"/>
        <v>0</v>
      </c>
      <c r="BF164" s="29">
        <f t="shared" si="63"/>
        <v>3.0942619460569655E-3</v>
      </c>
      <c r="BH164" s="29"/>
    </row>
    <row r="165" spans="1:60" x14ac:dyDescent="0.25">
      <c r="A165" s="1">
        <v>46261</v>
      </c>
      <c r="B165" s="33">
        <v>18.52</v>
      </c>
      <c r="C165" s="33">
        <v>23.09</v>
      </c>
      <c r="D165" s="15">
        <v>0</v>
      </c>
      <c r="E165" s="15">
        <v>-4.3299416134388597E-4</v>
      </c>
      <c r="F165" s="33">
        <v>0</v>
      </c>
      <c r="G165" s="33">
        <v>0.55655999999999906</v>
      </c>
      <c r="H165" s="33">
        <v>0</v>
      </c>
      <c r="I165" s="33">
        <v>0.61568100000000003</v>
      </c>
      <c r="J165" s="33">
        <v>0.55655999999999906</v>
      </c>
      <c r="K165" s="33">
        <v>0.61568100000000003</v>
      </c>
      <c r="L165" s="33">
        <v>19.076560000000001</v>
      </c>
      <c r="M165" s="33">
        <v>23.705680999999998</v>
      </c>
      <c r="N165" s="34">
        <v>1.2467602591792599</v>
      </c>
      <c r="O165" s="34">
        <v>1.2439394184217101</v>
      </c>
      <c r="P165" s="34">
        <v>1.24411352287161</v>
      </c>
      <c r="Q165" s="34">
        <v>1.2435309778147201</v>
      </c>
      <c r="R165" s="33">
        <v>23.037758029170099</v>
      </c>
      <c r="S165" s="33">
        <v>23.032287984195399</v>
      </c>
      <c r="T165" s="33">
        <v>23.030941276696201</v>
      </c>
      <c r="U165" s="15">
        <v>-2.2651000351332799E-3</v>
      </c>
      <c r="V165" s="15">
        <v>-2.5025664791119701E-3</v>
      </c>
      <c r="W165" s="15">
        <v>-2.5610386062823098E-3</v>
      </c>
      <c r="X165" s="34">
        <v>1.2426601546610001</v>
      </c>
      <c r="Y165" s="34">
        <v>1.24274983567304</v>
      </c>
      <c r="Z165" s="34">
        <v>1.24283163569444</v>
      </c>
      <c r="AA165" s="34">
        <v>1.24295109593403</v>
      </c>
      <c r="AB165" s="33">
        <v>23.7073918052068</v>
      </c>
      <c r="AC165" s="33">
        <v>23.7089709082721</v>
      </c>
      <c r="AD165" s="33">
        <v>23.711957632391599</v>
      </c>
      <c r="AE165" s="15">
        <v>7.2165970539863697E-5</v>
      </c>
      <c r="AF165" s="15">
        <v>1.38771799224128E-4</v>
      </c>
      <c r="AG165" s="15">
        <v>2.6473829610150398E-4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3.0942619460569655E-3</v>
      </c>
      <c r="AT165" s="12"/>
      <c r="AU165">
        <f t="shared" si="50"/>
        <v>0</v>
      </c>
      <c r="AV165">
        <f t="shared" si="51"/>
        <v>0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0</v>
      </c>
      <c r="BE165" s="29">
        <f t="shared" si="62"/>
        <v>0</v>
      </c>
      <c r="BF165" s="29">
        <f t="shared" si="63"/>
        <v>3.0942619460569655E-3</v>
      </c>
      <c r="BH165" s="29"/>
    </row>
    <row r="166" spans="1:60" x14ac:dyDescent="0.25">
      <c r="A166" s="1">
        <v>46262</v>
      </c>
      <c r="B166" s="33">
        <v>18.48</v>
      </c>
      <c r="C166" s="33">
        <v>23.04</v>
      </c>
      <c r="D166" s="15">
        <v>-2.1621630044951199E-3</v>
      </c>
      <c r="E166" s="15">
        <v>-2.1677875387135499E-3</v>
      </c>
      <c r="F166" s="33">
        <v>0</v>
      </c>
      <c r="G166" s="33">
        <v>0.55655999999999906</v>
      </c>
      <c r="H166" s="33">
        <v>0</v>
      </c>
      <c r="I166" s="33">
        <v>0.61568100000000003</v>
      </c>
      <c r="J166" s="33">
        <v>0.55655999999999906</v>
      </c>
      <c r="K166" s="33">
        <v>0.61568100000000003</v>
      </c>
      <c r="L166" s="33">
        <v>19.036560000000001</v>
      </c>
      <c r="M166" s="33">
        <v>23.655680999999898</v>
      </c>
      <c r="N166" s="34">
        <v>1.2467532467532401</v>
      </c>
      <c r="O166" s="34">
        <v>1.2439394184217101</v>
      </c>
      <c r="P166" s="34">
        <v>1.24450236397127</v>
      </c>
      <c r="Q166" s="34">
        <v>1.24351728880103</v>
      </c>
      <c r="R166" s="33">
        <v>22.988000452433202</v>
      </c>
      <c r="S166" s="33">
        <v>22.991217902667302</v>
      </c>
      <c r="T166" s="33">
        <v>22.9804524700161</v>
      </c>
      <c r="U166" s="15">
        <v>-2.2594755009150199E-3</v>
      </c>
      <c r="V166" s="15">
        <v>-2.1195231331076298E-3</v>
      </c>
      <c r="W166" s="15">
        <v>-2.5878738700202898E-3</v>
      </c>
      <c r="X166" s="34">
        <v>1.24264473203141</v>
      </c>
      <c r="Y166" s="34">
        <v>1.24274983567304</v>
      </c>
      <c r="Z166" s="34">
        <v>1.24275117194461</v>
      </c>
      <c r="AA166" s="34">
        <v>1.2429385774186501</v>
      </c>
      <c r="AB166" s="33">
        <v>23.657681811779899</v>
      </c>
      <c r="AC166" s="33">
        <v>23.659239002795498</v>
      </c>
      <c r="AD166" s="33">
        <v>23.661513114813999</v>
      </c>
      <c r="AE166" s="15">
        <v>8.4577026964619096E-5</v>
      </c>
      <c r="AF166" s="15">
        <v>1.5039665297976801E-4</v>
      </c>
      <c r="AG166" s="15">
        <v>2.46511440615861E-4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3.0942619460569655E-3</v>
      </c>
      <c r="AT166" s="12"/>
      <c r="AU166">
        <f t="shared" si="50"/>
        <v>0</v>
      </c>
      <c r="AV166">
        <f t="shared" si="51"/>
        <v>0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0</v>
      </c>
      <c r="BE166" s="29">
        <f t="shared" si="62"/>
        <v>0</v>
      </c>
      <c r="BF166" s="29">
        <f t="shared" si="63"/>
        <v>3.0942619460569655E-3</v>
      </c>
      <c r="BH166" s="29"/>
    </row>
    <row r="167" spans="1:60" x14ac:dyDescent="0.25">
      <c r="A167" s="1">
        <v>46265</v>
      </c>
      <c r="B167" s="33">
        <v>18.48</v>
      </c>
      <c r="C167" s="33">
        <v>23.05</v>
      </c>
      <c r="D167" s="15">
        <v>0</v>
      </c>
      <c r="E167" s="15">
        <v>4.3393361496715799E-4</v>
      </c>
      <c r="F167" s="33">
        <v>0</v>
      </c>
      <c r="G167" s="33">
        <v>0.55655999999999906</v>
      </c>
      <c r="H167" s="33">
        <v>0</v>
      </c>
      <c r="I167" s="33">
        <v>0.61568100000000003</v>
      </c>
      <c r="J167" s="33">
        <v>0.55655999999999906</v>
      </c>
      <c r="K167" s="33">
        <v>0.61568100000000003</v>
      </c>
      <c r="L167" s="33">
        <v>19.036560000000001</v>
      </c>
      <c r="M167" s="33">
        <v>23.665680999999999</v>
      </c>
      <c r="N167" s="34">
        <v>1.2472943722943699</v>
      </c>
      <c r="O167" s="34">
        <v>1.2439394184217101</v>
      </c>
      <c r="P167" s="34">
        <v>1.24499916792123</v>
      </c>
      <c r="Q167" s="34">
        <v>1.24371984525359</v>
      </c>
      <c r="R167" s="33">
        <v>22.988000452433202</v>
      </c>
      <c r="S167" s="33">
        <v>22.998403686189199</v>
      </c>
      <c r="T167" s="33">
        <v>22.980199497043099</v>
      </c>
      <c r="U167" s="15">
        <v>-2.6934091158821601E-3</v>
      </c>
      <c r="V167" s="15">
        <v>-2.2409608704381302E-3</v>
      </c>
      <c r="W167" s="15">
        <v>-3.0328157262610698E-3</v>
      </c>
      <c r="X167" s="34">
        <v>1.2431700370234899</v>
      </c>
      <c r="Y167" s="34">
        <v>1.24274983567304</v>
      </c>
      <c r="Z167" s="34">
        <v>1.2427757144750999</v>
      </c>
      <c r="AA167" s="34">
        <v>1.2429060673829</v>
      </c>
      <c r="AB167" s="33">
        <v>23.657681811779899</v>
      </c>
      <c r="AC167" s="33">
        <v>23.657707249794001</v>
      </c>
      <c r="AD167" s="33">
        <v>23.661274805344899</v>
      </c>
      <c r="AE167" s="15">
        <v>-3.3806508333035599E-4</v>
      </c>
      <c r="AF167" s="15">
        <v>-3.3698983003275699E-4</v>
      </c>
      <c r="AG167" s="15">
        <v>-1.8620232773630801E-4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3.0942619460569655E-3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0</v>
      </c>
      <c r="BE167" s="29">
        <f t="shared" si="62"/>
        <v>0</v>
      </c>
      <c r="BF167" s="29">
        <f t="shared" si="63"/>
        <v>3.0942619460569655E-3</v>
      </c>
      <c r="BH167" s="29"/>
    </row>
    <row r="168" spans="1:60" x14ac:dyDescent="0.25">
      <c r="A168" s="1">
        <v>46266</v>
      </c>
      <c r="B168" s="33">
        <v>18.440000000000001</v>
      </c>
      <c r="C168" s="33">
        <v>22.9</v>
      </c>
      <c r="D168" s="15">
        <v>-2.1668480850903101E-3</v>
      </c>
      <c r="E168" s="15">
        <v>-6.5288588824636597E-3</v>
      </c>
      <c r="F168" s="33">
        <v>0</v>
      </c>
      <c r="G168" s="33">
        <v>0.55655999999999906</v>
      </c>
      <c r="H168" s="33">
        <v>9.1003000000000001E-2</v>
      </c>
      <c r="I168" s="33">
        <v>0.70668399999999998</v>
      </c>
      <c r="J168" s="33">
        <v>0.55655999999999906</v>
      </c>
      <c r="K168" s="33">
        <v>0.70668399999999998</v>
      </c>
      <c r="L168" s="33">
        <v>18.996559999999999</v>
      </c>
      <c r="M168" s="33">
        <v>23.606683999999898</v>
      </c>
      <c r="N168" s="34">
        <v>1.24186550976138</v>
      </c>
      <c r="O168" s="34">
        <v>1.2439394184217101</v>
      </c>
      <c r="P168" s="34">
        <v>1.2449530856178801</v>
      </c>
      <c r="Q168" s="34">
        <v>1.24371069486565</v>
      </c>
      <c r="R168" s="33">
        <v>22.9382428756964</v>
      </c>
      <c r="S168" s="33">
        <v>22.957784656467499</v>
      </c>
      <c r="T168" s="33">
        <v>22.934193946476199</v>
      </c>
      <c r="U168" s="15">
        <v>1.66860168149122E-3</v>
      </c>
      <c r="V168" s="15">
        <v>2.52016914834121E-3</v>
      </c>
      <c r="W168" s="15">
        <v>1.4920717427661201E-3</v>
      </c>
      <c r="X168" s="34">
        <v>1.2426820434857599</v>
      </c>
      <c r="Y168" s="34">
        <v>1.24274983567304</v>
      </c>
      <c r="Z168" s="34">
        <v>1.2427514576518199</v>
      </c>
      <c r="AA168" s="34">
        <v>1.24290744337615</v>
      </c>
      <c r="AB168" s="33">
        <v>23.607971818353001</v>
      </c>
      <c r="AC168" s="33">
        <v>23.608463426569202</v>
      </c>
      <c r="AD168" s="33">
        <v>23.610939683403402</v>
      </c>
      <c r="AE168" s="15">
        <v>5.4551635759946499E-5</v>
      </c>
      <c r="AF168" s="15">
        <v>7.5375241510849706E-5</v>
      </c>
      <c r="AG168" s="15">
        <v>1.80258263038996E-4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3.0942619460569655E-3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0</v>
      </c>
      <c r="BE168" s="29">
        <f t="shared" si="62"/>
        <v>0</v>
      </c>
      <c r="BF168" s="29">
        <f t="shared" si="63"/>
        <v>3.0942619460569655E-3</v>
      </c>
      <c r="BH168" s="29"/>
    </row>
    <row r="169" spans="1:60" x14ac:dyDescent="0.25">
      <c r="A169" s="1">
        <v>46267</v>
      </c>
      <c r="B169" s="33">
        <v>18.45</v>
      </c>
      <c r="C169" s="33">
        <v>22.92</v>
      </c>
      <c r="D169" s="15">
        <v>5.4215235808841402E-4</v>
      </c>
      <c r="E169" s="15">
        <v>8.7298128634491902E-4</v>
      </c>
      <c r="F169" s="33">
        <v>0</v>
      </c>
      <c r="G169" s="33">
        <v>0.55655999999999906</v>
      </c>
      <c r="H169" s="33">
        <v>0</v>
      </c>
      <c r="I169" s="33">
        <v>0.70668399999999998</v>
      </c>
      <c r="J169" s="33">
        <v>0.55655999999999906</v>
      </c>
      <c r="K169" s="33">
        <v>0.70668399999999998</v>
      </c>
      <c r="L169" s="33">
        <v>19.00656</v>
      </c>
      <c r="M169" s="33">
        <v>23.626684000000001</v>
      </c>
      <c r="N169" s="34">
        <v>1.24227642276422</v>
      </c>
      <c r="O169" s="34">
        <v>1.2439394184217101</v>
      </c>
      <c r="P169" s="34">
        <v>1.2450279575876899</v>
      </c>
      <c r="Q169" s="34">
        <v>1.2436681817720501</v>
      </c>
      <c r="R169" s="33">
        <v>22.950682269880598</v>
      </c>
      <c r="S169" s="33">
        <v>22.969384429649999</v>
      </c>
      <c r="T169" s="33">
        <v>22.946462320271198</v>
      </c>
      <c r="U169" s="15">
        <v>1.3377727532344699E-3</v>
      </c>
      <c r="V169" s="15">
        <v>2.1523256120460901E-3</v>
      </c>
      <c r="W169" s="15">
        <v>1.1538855132350301E-3</v>
      </c>
      <c r="X169" s="34">
        <v>1.2430804943135401</v>
      </c>
      <c r="Y169" s="34">
        <v>1.24274983567304</v>
      </c>
      <c r="Z169" s="34">
        <v>1.24284493526385</v>
      </c>
      <c r="AA169" s="34">
        <v>1.2428762109976601</v>
      </c>
      <c r="AB169" s="33">
        <v>23.620399316709701</v>
      </c>
      <c r="AC169" s="33">
        <v>23.620430144946901</v>
      </c>
      <c r="AD169" s="33">
        <v>23.623394896975501</v>
      </c>
      <c r="AE169" s="15">
        <v>-2.66034763888486E-4</v>
      </c>
      <c r="AF169" s="15">
        <v>-2.6472961165030799E-4</v>
      </c>
      <c r="AG169" s="15">
        <v>-1.3922105979710301E-4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3.0942619460569655E-3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0</v>
      </c>
      <c r="BE169" s="29">
        <f t="shared" si="62"/>
        <v>0</v>
      </c>
      <c r="BF169" s="29">
        <f t="shared" si="63"/>
        <v>3.0942619460569655E-3</v>
      </c>
      <c r="BH169" s="29"/>
    </row>
    <row r="170" spans="1:60" x14ac:dyDescent="0.25">
      <c r="A170" s="1">
        <v>46268</v>
      </c>
      <c r="B170" s="33">
        <v>18.48</v>
      </c>
      <c r="C170" s="33">
        <v>22.94</v>
      </c>
      <c r="D170" s="15">
        <v>1.6246957270019801E-3</v>
      </c>
      <c r="E170" s="15">
        <v>8.7221985468569703E-4</v>
      </c>
      <c r="F170" s="33">
        <v>0</v>
      </c>
      <c r="G170" s="33">
        <v>0.55655999999999906</v>
      </c>
      <c r="H170" s="33">
        <v>0</v>
      </c>
      <c r="I170" s="33">
        <v>0.70668399999999998</v>
      </c>
      <c r="J170" s="33">
        <v>0.55655999999999906</v>
      </c>
      <c r="K170" s="33">
        <v>0.70668399999999998</v>
      </c>
      <c r="L170" s="33">
        <v>19.036560000000001</v>
      </c>
      <c r="M170" s="33">
        <v>23.646684</v>
      </c>
      <c r="N170" s="34">
        <v>1.2413419913419901</v>
      </c>
      <c r="O170" s="34">
        <v>1.2439394184217101</v>
      </c>
      <c r="P170" s="34">
        <v>1.24498337373858</v>
      </c>
      <c r="Q170" s="34">
        <v>1.24364677621233</v>
      </c>
      <c r="R170" s="33">
        <v>22.988000452433202</v>
      </c>
      <c r="S170" s="33">
        <v>23.008116656220501</v>
      </c>
      <c r="T170" s="33">
        <v>22.9829879991475</v>
      </c>
      <c r="U170" s="15">
        <v>2.0902486255506602E-3</v>
      </c>
      <c r="V170" s="15">
        <v>2.9649400705843202E-3</v>
      </c>
      <c r="W170" s="15">
        <v>1.8721783392949001E-3</v>
      </c>
      <c r="X170" s="34">
        <v>1.24217211513004</v>
      </c>
      <c r="Y170" s="34">
        <v>1.24274983567304</v>
      </c>
      <c r="Z170" s="34">
        <v>1.2428221613861099</v>
      </c>
      <c r="AA170" s="34">
        <v>1.24286562338381</v>
      </c>
      <c r="AB170" s="33">
        <v>23.657681811779899</v>
      </c>
      <c r="AC170" s="33">
        <v>23.659492180846399</v>
      </c>
      <c r="AD170" s="33">
        <v>23.660087563229698</v>
      </c>
      <c r="AE170" s="15">
        <v>4.6498084434210002E-4</v>
      </c>
      <c r="AF170" s="15">
        <v>5.41501435687239E-4</v>
      </c>
      <c r="AG170" s="15">
        <v>5.6666574976443201E-4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3.0942619460569655E-3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0</v>
      </c>
      <c r="BE170" s="29">
        <f t="shared" si="62"/>
        <v>0</v>
      </c>
      <c r="BF170" s="29">
        <f t="shared" si="63"/>
        <v>3.0942619460569655E-3</v>
      </c>
      <c r="BH170" s="29"/>
    </row>
    <row r="171" spans="1:60" x14ac:dyDescent="0.25">
      <c r="A171" s="1">
        <v>46269</v>
      </c>
      <c r="B171" s="33">
        <v>18.46</v>
      </c>
      <c r="C171" s="33">
        <v>22.94</v>
      </c>
      <c r="D171" s="15">
        <v>-1.08283713883193E-3</v>
      </c>
      <c r="E171" s="15">
        <v>0</v>
      </c>
      <c r="F171" s="33">
        <v>0</v>
      </c>
      <c r="G171" s="33">
        <v>0.55655999999999906</v>
      </c>
      <c r="H171" s="33">
        <v>0</v>
      </c>
      <c r="I171" s="33">
        <v>0.70668399999999998</v>
      </c>
      <c r="J171" s="33">
        <v>0.55655999999999906</v>
      </c>
      <c r="K171" s="33">
        <v>0.70668399999999998</v>
      </c>
      <c r="L171" s="33">
        <v>19.016559999999998</v>
      </c>
      <c r="M171" s="33">
        <v>23.646684</v>
      </c>
      <c r="N171" s="34">
        <v>1.2426868905742099</v>
      </c>
      <c r="O171" s="34">
        <v>1.2439394184217101</v>
      </c>
      <c r="P171" s="34">
        <v>1.2449933026881901</v>
      </c>
      <c r="Q171" s="34">
        <v>1.24362478650923</v>
      </c>
      <c r="R171" s="33">
        <v>22.963121664064801</v>
      </c>
      <c r="S171" s="33">
        <v>22.982393079214201</v>
      </c>
      <c r="T171" s="33">
        <v>22.957719488879601</v>
      </c>
      <c r="U171" s="15">
        <v>1.0074114867187601E-3</v>
      </c>
      <c r="V171" s="15">
        <v>1.8462927741426699E-3</v>
      </c>
      <c r="W171" s="15">
        <v>7.7212941982081698E-4</v>
      </c>
      <c r="X171" s="34">
        <v>1.2434785260846299</v>
      </c>
      <c r="Y171" s="34">
        <v>1.24274983567304</v>
      </c>
      <c r="Z171" s="34">
        <v>1.24285203071936</v>
      </c>
      <c r="AA171" s="34">
        <v>1.2428542925938699</v>
      </c>
      <c r="AB171" s="33">
        <v>23.632826815066501</v>
      </c>
      <c r="AC171" s="33">
        <v>23.634202201328701</v>
      </c>
      <c r="AD171" s="33">
        <v>23.635028699015599</v>
      </c>
      <c r="AE171" s="15">
        <v>-5.8618141733661402E-4</v>
      </c>
      <c r="AF171" s="15">
        <v>-5.2798498353419897E-4</v>
      </c>
      <c r="AG171" s="15">
        <v>-4.93015187272598E-4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3.0942619460569655E-3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0</v>
      </c>
      <c r="BE171" s="29">
        <f t="shared" si="62"/>
        <v>0</v>
      </c>
      <c r="BF171" s="29">
        <f t="shared" si="63"/>
        <v>3.0942619460569655E-3</v>
      </c>
      <c r="BH171" s="29"/>
    </row>
    <row r="172" spans="1:60" x14ac:dyDescent="0.25">
      <c r="A172" s="1">
        <v>46273</v>
      </c>
      <c r="B172" s="33">
        <v>18.46</v>
      </c>
      <c r="C172" s="33">
        <v>22.92</v>
      </c>
      <c r="D172" s="15">
        <v>0</v>
      </c>
      <c r="E172" s="15">
        <v>-8.7221985468574604E-4</v>
      </c>
      <c r="F172" s="33">
        <v>0</v>
      </c>
      <c r="G172" s="33">
        <v>0.55655999999999906</v>
      </c>
      <c r="H172" s="33">
        <v>0</v>
      </c>
      <c r="I172" s="33">
        <v>0.70668399999999998</v>
      </c>
      <c r="J172" s="33">
        <v>0.55655999999999906</v>
      </c>
      <c r="K172" s="33">
        <v>0.70668399999999998</v>
      </c>
      <c r="L172" s="33">
        <v>19.016559999999998</v>
      </c>
      <c r="M172" s="33">
        <v>23.626684000000001</v>
      </c>
      <c r="N172" s="34">
        <v>1.24160346695557</v>
      </c>
      <c r="O172" s="34">
        <v>1.2439394184217101</v>
      </c>
      <c r="P172" s="34">
        <v>1.2444509466810401</v>
      </c>
      <c r="Q172" s="34">
        <v>1.2435894714598199</v>
      </c>
      <c r="R172" s="33">
        <v>22.963121664064801</v>
      </c>
      <c r="S172" s="33">
        <v>22.982576367623999</v>
      </c>
      <c r="T172" s="33">
        <v>22.9573135589605</v>
      </c>
      <c r="U172" s="15">
        <v>1.8796313414046601E-3</v>
      </c>
      <c r="V172" s="15">
        <v>2.7264877634542799E-3</v>
      </c>
      <c r="W172" s="15">
        <v>1.62666748742292E-3</v>
      </c>
      <c r="X172" s="34">
        <v>1.2424268111582699</v>
      </c>
      <c r="Y172" s="34">
        <v>1.24274983567304</v>
      </c>
      <c r="Z172" s="34">
        <v>1.2428032290072299</v>
      </c>
      <c r="AA172" s="34">
        <v>1.24283014670087</v>
      </c>
      <c r="AB172" s="33">
        <v>23.632826815066501</v>
      </c>
      <c r="AC172" s="33">
        <v>23.634770213296701</v>
      </c>
      <c r="AD172" s="33">
        <v>23.634813226368902</v>
      </c>
      <c r="AE172" s="15">
        <v>2.59961010817053E-4</v>
      </c>
      <c r="AF172" s="15">
        <v>3.4219062913893098E-4</v>
      </c>
      <c r="AG172" s="15">
        <v>3.44010533995527E-4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3.0942619460569655E-3</v>
      </c>
      <c r="AT172" s="12"/>
      <c r="AU172">
        <f t="shared" si="50"/>
        <v>0</v>
      </c>
      <c r="AV172">
        <f t="shared" si="51"/>
        <v>0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0</v>
      </c>
      <c r="BE172" s="29">
        <f t="shared" si="62"/>
        <v>0</v>
      </c>
      <c r="BF172" s="29">
        <f t="shared" si="63"/>
        <v>3.0942619460569655E-3</v>
      </c>
      <c r="BH172" s="29"/>
    </row>
    <row r="173" spans="1:60" x14ac:dyDescent="0.25">
      <c r="A173" s="1">
        <v>46274</v>
      </c>
      <c r="B173" s="33">
        <v>18.45</v>
      </c>
      <c r="C173" s="33">
        <v>22.92</v>
      </c>
      <c r="D173" s="15">
        <v>-5.41858588169964E-4</v>
      </c>
      <c r="E173" s="15">
        <v>0</v>
      </c>
      <c r="F173" s="33">
        <v>0</v>
      </c>
      <c r="G173" s="33">
        <v>0.55655999999999906</v>
      </c>
      <c r="H173" s="33">
        <v>0</v>
      </c>
      <c r="I173" s="33">
        <v>0.70668399999999998</v>
      </c>
      <c r="J173" s="33">
        <v>0.55655999999999906</v>
      </c>
      <c r="K173" s="33">
        <v>0.70668399999999998</v>
      </c>
      <c r="L173" s="33">
        <v>19.00656</v>
      </c>
      <c r="M173" s="33">
        <v>23.626684000000001</v>
      </c>
      <c r="N173" s="34">
        <v>1.24227642276422</v>
      </c>
      <c r="O173" s="34">
        <v>1.2439394184217101</v>
      </c>
      <c r="P173" s="34">
        <v>1.2440158798371199</v>
      </c>
      <c r="Q173" s="34">
        <v>1.2435943389842199</v>
      </c>
      <c r="R173" s="33">
        <v>22.950682269880598</v>
      </c>
      <c r="S173" s="33">
        <v>22.960119966265299</v>
      </c>
      <c r="T173" s="33">
        <v>22.944225748433698</v>
      </c>
      <c r="U173" s="15">
        <v>1.3377727532344699E-3</v>
      </c>
      <c r="V173" s="15">
        <v>1.7489046027314699E-3</v>
      </c>
      <c r="W173" s="15">
        <v>1.05641162764351E-3</v>
      </c>
      <c r="X173" s="34">
        <v>1.2430804943135401</v>
      </c>
      <c r="Y173" s="34">
        <v>1.24274983567304</v>
      </c>
      <c r="Z173" s="34">
        <v>1.2428579766387799</v>
      </c>
      <c r="AA173" s="34">
        <v>1.2428450684538801</v>
      </c>
      <c r="AB173" s="33">
        <v>23.620399316709701</v>
      </c>
      <c r="AC173" s="33">
        <v>23.6214141403197</v>
      </c>
      <c r="AD173" s="33">
        <v>23.621925753078902</v>
      </c>
      <c r="AE173" s="15">
        <v>-2.66034763888486E-4</v>
      </c>
      <c r="AF173" s="15">
        <v>-2.2307182339610901E-4</v>
      </c>
      <c r="AG173" s="15">
        <v>-2.0141320398470701E-4</v>
      </c>
      <c r="AI173" s="12"/>
      <c r="AJ173">
        <f t="shared" si="46"/>
        <v>0</v>
      </c>
      <c r="AK173">
        <f t="shared" si="47"/>
        <v>0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3.0942619460569655E-3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0</v>
      </c>
      <c r="BE173" s="29">
        <f t="shared" si="62"/>
        <v>0</v>
      </c>
      <c r="BF173" s="29">
        <f t="shared" si="63"/>
        <v>3.0942619460569655E-3</v>
      </c>
      <c r="BH173" s="29"/>
    </row>
    <row r="174" spans="1:60" x14ac:dyDescent="0.25">
      <c r="A174" s="1">
        <v>46275</v>
      </c>
      <c r="B174" s="33">
        <v>18.38</v>
      </c>
      <c r="C174" s="33">
        <v>22.82</v>
      </c>
      <c r="D174" s="15">
        <v>-3.8012535589952599E-3</v>
      </c>
      <c r="E174" s="15">
        <v>-4.3725474126093001E-3</v>
      </c>
      <c r="F174" s="33">
        <v>0</v>
      </c>
      <c r="G174" s="33">
        <v>0.55655999999999906</v>
      </c>
      <c r="H174" s="33">
        <v>0</v>
      </c>
      <c r="I174" s="33">
        <v>0.70668399999999998</v>
      </c>
      <c r="J174" s="33">
        <v>0.55655999999999906</v>
      </c>
      <c r="K174" s="33">
        <v>0.70668399999999998</v>
      </c>
      <c r="L174" s="33">
        <v>18.93656</v>
      </c>
      <c r="M174" s="33">
        <v>23.526683999999999</v>
      </c>
      <c r="N174" s="34">
        <v>1.24156692056583</v>
      </c>
      <c r="O174" s="34">
        <v>1.2439394184217101</v>
      </c>
      <c r="P174" s="34">
        <v>1.24344255029543</v>
      </c>
      <c r="Q174" s="34">
        <v>1.24354330495861</v>
      </c>
      <c r="R174" s="33">
        <v>22.863606510591101</v>
      </c>
      <c r="S174" s="33">
        <v>22.865011871406299</v>
      </c>
      <c r="T174" s="33">
        <v>22.857263950530101</v>
      </c>
      <c r="U174" s="15">
        <v>1.9090666068487E-3</v>
      </c>
      <c r="V174" s="15">
        <v>1.9705318715075898E-3</v>
      </c>
      <c r="W174" s="15">
        <v>1.63161956624237E-3</v>
      </c>
      <c r="X174" s="34">
        <v>1.24239481722129</v>
      </c>
      <c r="Y174" s="34">
        <v>1.24274983567304</v>
      </c>
      <c r="Z174" s="34">
        <v>1.2427790225423001</v>
      </c>
      <c r="AA174" s="34">
        <v>1.24280581767734</v>
      </c>
      <c r="AB174" s="33">
        <v>23.533406828212598</v>
      </c>
      <c r="AC174" s="33">
        <v>23.535454646099002</v>
      </c>
      <c r="AD174" s="33">
        <v>23.535210209481001</v>
      </c>
      <c r="AE174" s="15">
        <v>2.8571250671561302E-4</v>
      </c>
      <c r="AF174" s="15">
        <v>3.72726206368803E-4</v>
      </c>
      <c r="AG174" s="15">
        <v>3.6234026349895801E-4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3.0942619460569655E-3</v>
      </c>
      <c r="AT174" s="12"/>
      <c r="AU174">
        <f t="shared" si="50"/>
        <v>0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0</v>
      </c>
      <c r="BE174" s="29">
        <f t="shared" si="62"/>
        <v>0</v>
      </c>
      <c r="BF174" s="29">
        <f t="shared" si="63"/>
        <v>3.0942619460569655E-3</v>
      </c>
      <c r="BH174" s="29"/>
    </row>
    <row r="175" spans="1:60" x14ac:dyDescent="0.25">
      <c r="A175" s="1">
        <v>46276</v>
      </c>
      <c r="B175" s="33">
        <v>18.36</v>
      </c>
      <c r="C175" s="33">
        <v>22.81</v>
      </c>
      <c r="D175" s="15">
        <v>-1.08873173519656E-3</v>
      </c>
      <c r="E175" s="15">
        <v>-4.3830813763299402E-4</v>
      </c>
      <c r="F175" s="33">
        <v>0</v>
      </c>
      <c r="G175" s="33">
        <v>0.55655999999999906</v>
      </c>
      <c r="H175" s="33">
        <v>0</v>
      </c>
      <c r="I175" s="33">
        <v>0.70668399999999998</v>
      </c>
      <c r="J175" s="33">
        <v>0.55655999999999906</v>
      </c>
      <c r="K175" s="33">
        <v>0.70668399999999998</v>
      </c>
      <c r="L175" s="33">
        <v>18.91656</v>
      </c>
      <c r="M175" s="33">
        <v>23.516683999999898</v>
      </c>
      <c r="N175" s="34">
        <v>1.2423747276688399</v>
      </c>
      <c r="O175" s="34">
        <v>1.2439394184217101</v>
      </c>
      <c r="P175" s="34">
        <v>1.24300399714439</v>
      </c>
      <c r="Q175" s="34">
        <v>1.243558760008</v>
      </c>
      <c r="R175" s="33">
        <v>22.8387277222226</v>
      </c>
      <c r="S175" s="33">
        <v>22.8296052234241</v>
      </c>
      <c r="T175" s="33">
        <v>22.831455079040001</v>
      </c>
      <c r="U175" s="15">
        <v>1.2586430092849301E-3</v>
      </c>
      <c r="V175" s="15">
        <v>8.5913208644571503E-4</v>
      </c>
      <c r="W175" s="15">
        <v>9.4015760817761195E-4</v>
      </c>
      <c r="X175" s="34">
        <v>1.24317973246721</v>
      </c>
      <c r="Y175" s="34">
        <v>1.24274983567304</v>
      </c>
      <c r="Z175" s="34">
        <v>1.2428309803229201</v>
      </c>
      <c r="AA175" s="34">
        <v>1.2428313080086799</v>
      </c>
      <c r="AB175" s="33">
        <v>23.508551831499201</v>
      </c>
      <c r="AC175" s="33">
        <v>23.509103946662801</v>
      </c>
      <c r="AD175" s="33">
        <v>23.5096108184424</v>
      </c>
      <c r="AE175" s="15">
        <v>-3.4586402122471598E-4</v>
      </c>
      <c r="AF175" s="15">
        <v>-3.2237858136233399E-4</v>
      </c>
      <c r="AG175" s="15">
        <v>-3.00818154530256E-4</v>
      </c>
      <c r="AI175" s="12"/>
      <c r="AJ175">
        <f t="shared" si="46"/>
        <v>0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3.0942619460569655E-3</v>
      </c>
      <c r="AT175" s="12"/>
      <c r="AU175">
        <f t="shared" si="50"/>
        <v>0</v>
      </c>
      <c r="AV175">
        <f t="shared" si="51"/>
        <v>1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0</v>
      </c>
      <c r="BE175" s="29">
        <f t="shared" si="62"/>
        <v>0</v>
      </c>
      <c r="BF175" s="29">
        <f t="shared" si="63"/>
        <v>3.0942619460569655E-3</v>
      </c>
      <c r="BH175" s="29"/>
    </row>
    <row r="176" spans="1:60" x14ac:dyDescent="0.25">
      <c r="A176" s="1">
        <v>46279</v>
      </c>
      <c r="B176" s="33">
        <v>18.34</v>
      </c>
      <c r="C176" s="33">
        <v>22.8</v>
      </c>
      <c r="D176" s="15">
        <v>-1.0899183640255699E-3</v>
      </c>
      <c r="E176" s="15">
        <v>-4.38500335901527E-4</v>
      </c>
      <c r="F176" s="33">
        <v>0</v>
      </c>
      <c r="G176" s="33">
        <v>0.55655999999999906</v>
      </c>
      <c r="H176" s="33">
        <v>0</v>
      </c>
      <c r="I176" s="33">
        <v>0.70668399999999998</v>
      </c>
      <c r="J176" s="33">
        <v>0.55655999999999906</v>
      </c>
      <c r="K176" s="33">
        <v>0.70668399999999998</v>
      </c>
      <c r="L176" s="33">
        <v>18.896560000000001</v>
      </c>
      <c r="M176" s="33">
        <v>23.506684</v>
      </c>
      <c r="N176" s="34">
        <v>1.24318429661941</v>
      </c>
      <c r="O176" s="34">
        <v>1.2439394184217101</v>
      </c>
      <c r="P176" s="34">
        <v>1.2426471021309999</v>
      </c>
      <c r="Q176" s="34">
        <v>1.24357473305114</v>
      </c>
      <c r="R176" s="33">
        <v>22.813848933854199</v>
      </c>
      <c r="S176" s="33">
        <v>22.7966933076281</v>
      </c>
      <c r="T176" s="33">
        <v>22.8068676585467</v>
      </c>
      <c r="U176" s="15">
        <v>6.0722498116084101E-4</v>
      </c>
      <c r="V176" s="15">
        <v>-1.4504088510682099E-4</v>
      </c>
      <c r="W176" s="15">
        <v>3.0116773859972199E-4</v>
      </c>
      <c r="X176" s="34">
        <v>1.24396630921183</v>
      </c>
      <c r="Y176" s="34">
        <v>1.24274983567304</v>
      </c>
      <c r="Z176" s="34">
        <v>1.24296313804096</v>
      </c>
      <c r="AA176" s="34">
        <v>1.24285715499279</v>
      </c>
      <c r="AB176" s="33">
        <v>23.4836968347857</v>
      </c>
      <c r="AC176" s="33">
        <v>23.485230189530899</v>
      </c>
      <c r="AD176" s="33">
        <v>23.485236381664599</v>
      </c>
      <c r="AE176" s="15">
        <v>-9.7837755896175807E-4</v>
      </c>
      <c r="AF176" s="15">
        <v>-9.1308525433115401E-4</v>
      </c>
      <c r="AG176" s="15">
        <v>-9.1282159360410204E-4</v>
      </c>
      <c r="AI176" s="12"/>
      <c r="AJ176">
        <f t="shared" si="46"/>
        <v>0</v>
      </c>
      <c r="AK176">
        <f t="shared" si="47"/>
        <v>0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3.0942619460569655E-3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0</v>
      </c>
      <c r="BE176" s="29">
        <f t="shared" si="62"/>
        <v>0</v>
      </c>
      <c r="BF176" s="29">
        <f t="shared" si="63"/>
        <v>3.0942619460569655E-3</v>
      </c>
      <c r="BH176" s="29"/>
    </row>
    <row r="177" spans="1:100" x14ac:dyDescent="0.25">
      <c r="A177">
        <v>46280</v>
      </c>
      <c r="B177" s="33">
        <v>18.350000000000001</v>
      </c>
      <c r="C177" s="33">
        <v>22.78</v>
      </c>
      <c r="D177" s="15">
        <v>5.4510767226048E-4</v>
      </c>
      <c r="E177" s="15">
        <v>-8.7757794135900696E-4</v>
      </c>
      <c r="F177" s="33">
        <v>0</v>
      </c>
      <c r="G177" s="33">
        <v>0.55655999999999906</v>
      </c>
      <c r="H177" s="33">
        <v>0</v>
      </c>
      <c r="I177" s="33">
        <v>0.70668399999999998</v>
      </c>
      <c r="J177" s="33">
        <v>0.55655999999999906</v>
      </c>
      <c r="K177" s="33">
        <v>0.70668399999999998</v>
      </c>
      <c r="L177" s="33">
        <v>18.906559999999999</v>
      </c>
      <c r="M177" s="33">
        <v>23.486684</v>
      </c>
      <c r="N177" s="34">
        <v>1.2414168937329699</v>
      </c>
      <c r="O177" s="34">
        <v>1.2439394184217101</v>
      </c>
      <c r="P177" s="34">
        <v>1.2420593542748599</v>
      </c>
      <c r="Q177" s="34">
        <v>1.24352926109805</v>
      </c>
      <c r="R177" s="33">
        <v>22.826288328038402</v>
      </c>
      <c r="S177" s="33">
        <v>22.802574324104</v>
      </c>
      <c r="T177" s="33">
        <v>22.8195963514884</v>
      </c>
      <c r="U177" s="15">
        <v>2.0299105947805202E-3</v>
      </c>
      <c r="V177" s="15">
        <v>9.9048051955344602E-4</v>
      </c>
      <c r="W177" s="15">
        <v>1.73669789247871E-3</v>
      </c>
      <c r="X177" s="34">
        <v>1.24225052045427</v>
      </c>
      <c r="Y177" s="34">
        <v>1.24274983567304</v>
      </c>
      <c r="Z177" s="34">
        <v>1.24287118638404</v>
      </c>
      <c r="AA177" s="34">
        <v>1.2428234504295701</v>
      </c>
      <c r="AB177" s="33">
        <v>23.496124333142401</v>
      </c>
      <c r="AC177" s="33">
        <v>23.500157147159701</v>
      </c>
      <c r="AD177" s="33">
        <v>23.498153372300401</v>
      </c>
      <c r="AE177" s="15">
        <v>4.0186330295895699E-4</v>
      </c>
      <c r="AF177" s="15">
        <v>5.7348598884672801E-4</v>
      </c>
      <c r="AG177" s="15">
        <v>4.8821590835485202E-4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18.34</v>
      </c>
      <c r="C178" s="33">
        <v>22.78</v>
      </c>
      <c r="D178" s="15">
        <v>-5.4510767226060599E-4</v>
      </c>
      <c r="E178" s="15">
        <v>0</v>
      </c>
      <c r="F178" s="33">
        <v>0</v>
      </c>
      <c r="G178" s="33">
        <v>0.55655999999999906</v>
      </c>
      <c r="H178" s="33">
        <v>0</v>
      </c>
      <c r="I178" s="33">
        <v>0.70668399999999998</v>
      </c>
      <c r="J178" s="33">
        <v>0.55655999999999906</v>
      </c>
      <c r="K178" s="33">
        <v>0.70668399999999998</v>
      </c>
      <c r="L178" s="33">
        <v>18.896560000000001</v>
      </c>
      <c r="M178" s="33">
        <v>23.486684</v>
      </c>
      <c r="N178" s="34">
        <v>1.24209378407851</v>
      </c>
      <c r="O178" s="34">
        <v>1.2439394184217101</v>
      </c>
      <c r="P178" s="34">
        <v>1.2420821817065799</v>
      </c>
      <c r="Q178" s="34">
        <v>1.24351763366223</v>
      </c>
      <c r="R178" s="33">
        <v>22.813848933854199</v>
      </c>
      <c r="S178" s="33">
        <v>22.779368557401</v>
      </c>
      <c r="T178" s="33">
        <v>22.806326648538199</v>
      </c>
      <c r="U178" s="15">
        <v>1.48480292251991E-3</v>
      </c>
      <c r="V178" s="15">
        <v>-2.7719550070352701E-5</v>
      </c>
      <c r="W178" s="15">
        <v>1.1550240346421699E-3</v>
      </c>
      <c r="X178" s="34">
        <v>1.24290791551478</v>
      </c>
      <c r="Y178" s="34">
        <v>1.24274983567304</v>
      </c>
      <c r="Z178" s="34">
        <v>1.2428937735869401</v>
      </c>
      <c r="AA178" s="34">
        <v>1.24282261561938</v>
      </c>
      <c r="AB178" s="33">
        <v>23.4836968347857</v>
      </c>
      <c r="AC178" s="33">
        <v>23.485989945777199</v>
      </c>
      <c r="AD178" s="33">
        <v>23.4850879004495</v>
      </c>
      <c r="AE178" s="15">
        <v>-1.27193570296663E-4</v>
      </c>
      <c r="AF178" s="15">
        <v>-2.9551403593431399E-5</v>
      </c>
      <c r="AG178" s="15">
        <v>-6.7959946433307706E-5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18.37</v>
      </c>
      <c r="C179" s="33">
        <v>22.82</v>
      </c>
      <c r="D179" s="15">
        <v>1.63443239871547E-3</v>
      </c>
      <c r="E179" s="15">
        <v>1.75438641489337E-3</v>
      </c>
      <c r="F179" s="33">
        <v>0</v>
      </c>
      <c r="G179" s="33">
        <v>0.55655999999999906</v>
      </c>
      <c r="H179" s="33">
        <v>0</v>
      </c>
      <c r="I179" s="33">
        <v>0.70668399999999998</v>
      </c>
      <c r="J179" s="33">
        <v>0.55655999999999906</v>
      </c>
      <c r="K179" s="33">
        <v>0.70668399999999998</v>
      </c>
      <c r="L179" s="33">
        <v>18.926559999999998</v>
      </c>
      <c r="M179" s="33">
        <v>23.526683999999999</v>
      </c>
      <c r="N179" s="34">
        <v>1.24224278715296</v>
      </c>
      <c r="O179" s="34">
        <v>1.2439394184217101</v>
      </c>
      <c r="P179" s="34">
        <v>1.2420788181454501</v>
      </c>
      <c r="Q179" s="34">
        <v>1.2435533878665701</v>
      </c>
      <c r="R179" s="33">
        <v>22.851167116406799</v>
      </c>
      <c r="S179" s="33">
        <v>22.8170496779499</v>
      </c>
      <c r="T179" s="33">
        <v>22.843418930375201</v>
      </c>
      <c r="U179" s="15">
        <v>1.36484890634203E-3</v>
      </c>
      <c r="V179" s="15">
        <v>-1.2929503879075501E-4</v>
      </c>
      <c r="W179" s="15">
        <v>1.0257196231498399E-3</v>
      </c>
      <c r="X179" s="34">
        <v>1.2430512465022601</v>
      </c>
      <c r="Y179" s="34">
        <v>1.24274983567304</v>
      </c>
      <c r="Z179" s="34">
        <v>1.2428908488058099</v>
      </c>
      <c r="AA179" s="34">
        <v>1.2428678920348299</v>
      </c>
      <c r="AB179" s="33">
        <v>23.520979329855901</v>
      </c>
      <c r="AC179" s="33">
        <v>23.523703579419699</v>
      </c>
      <c r="AD179" s="33">
        <v>23.522356803877202</v>
      </c>
      <c r="AE179" s="15">
        <v>-2.4250599363574899E-4</v>
      </c>
      <c r="AF179" s="15">
        <v>-1.2669058588541399E-4</v>
      </c>
      <c r="AG179" s="15">
        <v>-1.83944074566532E-4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18.350000000000001</v>
      </c>
      <c r="C180" s="33">
        <v>22.78</v>
      </c>
      <c r="D180" s="15">
        <v>-1.0893247264549899E-3</v>
      </c>
      <c r="E180" s="15">
        <v>-1.75438641489347E-3</v>
      </c>
      <c r="F180" s="33">
        <v>0</v>
      </c>
      <c r="G180" s="33">
        <v>0.55655999999999906</v>
      </c>
      <c r="H180" s="33">
        <v>0</v>
      </c>
      <c r="I180" s="33">
        <v>0.70668399999999998</v>
      </c>
      <c r="J180" s="33">
        <v>0.55655999999999906</v>
      </c>
      <c r="K180" s="33">
        <v>0.70668399999999998</v>
      </c>
      <c r="L180" s="33">
        <v>18.906559999999999</v>
      </c>
      <c r="M180" s="33">
        <v>23.486684</v>
      </c>
      <c r="N180" s="34">
        <v>1.2414168937329699</v>
      </c>
      <c r="O180" s="34">
        <v>1.2439394184217101</v>
      </c>
      <c r="P180" s="34">
        <v>1.2420863083845499</v>
      </c>
      <c r="Q180" s="34">
        <v>1.2435348410615601</v>
      </c>
      <c r="R180" s="33">
        <v>22.826288328038402</v>
      </c>
      <c r="S180" s="33">
        <v>22.792146312969098</v>
      </c>
      <c r="T180" s="33">
        <v>22.819204667351599</v>
      </c>
      <c r="U180" s="15">
        <v>2.0299105947805202E-3</v>
      </c>
      <c r="V180" s="15">
        <v>5.3305864390561903E-4</v>
      </c>
      <c r="W180" s="15">
        <v>1.7195333689548199E-3</v>
      </c>
      <c r="X180" s="34">
        <v>1.24225052045427</v>
      </c>
      <c r="Y180" s="34">
        <v>1.24274983567304</v>
      </c>
      <c r="Z180" s="34">
        <v>1.2428986893382299</v>
      </c>
      <c r="AA180" s="34">
        <v>1.24286042536217</v>
      </c>
      <c r="AB180" s="33">
        <v>23.496124333142401</v>
      </c>
      <c r="AC180" s="33">
        <v>23.498790406398001</v>
      </c>
      <c r="AD180" s="33">
        <v>23.498356372830099</v>
      </c>
      <c r="AE180" s="15">
        <v>4.0186330295895699E-4</v>
      </c>
      <c r="AF180" s="15">
        <v>5.15325505124989E-4</v>
      </c>
      <c r="AG180" s="15">
        <v>4.9685487029984805E-4</v>
      </c>
    </row>
    <row r="181" spans="1:100" x14ac:dyDescent="0.25">
      <c r="A181">
        <v>46286</v>
      </c>
      <c r="B181" s="33">
        <v>18.29</v>
      </c>
      <c r="C181" s="33">
        <v>22.79</v>
      </c>
      <c r="D181" s="15">
        <v>-3.2751120978051001E-3</v>
      </c>
      <c r="E181" s="15">
        <v>4.3888523855677597E-4</v>
      </c>
      <c r="F181" s="33">
        <v>6.88E-2</v>
      </c>
      <c r="G181" s="33">
        <v>0.62535999999999903</v>
      </c>
      <c r="H181" s="33">
        <v>0</v>
      </c>
      <c r="I181" s="33">
        <v>0.70668399999999998</v>
      </c>
      <c r="J181" s="33">
        <v>0.62535999999999903</v>
      </c>
      <c r="K181" s="33">
        <v>0.70668399999999998</v>
      </c>
      <c r="L181" s="33">
        <v>18.91536</v>
      </c>
      <c r="M181" s="33">
        <v>23.496683999999998</v>
      </c>
      <c r="N181" s="34">
        <v>1.2460360852925001</v>
      </c>
      <c r="O181" s="34">
        <v>1.2439394184217101</v>
      </c>
      <c r="P181" s="34">
        <v>1.24242122785638</v>
      </c>
      <c r="Q181" s="34">
        <v>1.24370726527228</v>
      </c>
      <c r="R181" s="33">
        <v>22.751651962933099</v>
      </c>
      <c r="S181" s="33">
        <v>22.717758580353401</v>
      </c>
      <c r="T181" s="33">
        <v>22.744252243016099</v>
      </c>
      <c r="U181" s="15">
        <v>-1.6840867415813001E-3</v>
      </c>
      <c r="V181" s="15">
        <v>-3.1749083050091201E-3</v>
      </c>
      <c r="W181" s="15">
        <v>-2.0093784403147599E-3</v>
      </c>
      <c r="X181" s="34">
        <v>1.2422012586596201</v>
      </c>
      <c r="Y181" s="34">
        <v>1.24274983567304</v>
      </c>
      <c r="Z181" s="34">
        <v>1.2427709625957299</v>
      </c>
      <c r="AA181" s="34">
        <v>1.2428114966575501</v>
      </c>
      <c r="AB181" s="33">
        <v>23.5070605316963</v>
      </c>
      <c r="AC181" s="33">
        <v>23.509876152360899</v>
      </c>
      <c r="AD181" s="33">
        <v>23.509152375478699</v>
      </c>
      <c r="AE181" s="15">
        <v>4.4151937120517898E-4</v>
      </c>
      <c r="AF181" s="15">
        <v>5.6128985675796001E-4</v>
      </c>
      <c r="AG181" s="15">
        <v>5.3050330480334596E-4</v>
      </c>
    </row>
    <row r="182" spans="1:100" x14ac:dyDescent="0.25">
      <c r="A182">
        <v>46287</v>
      </c>
      <c r="B182" s="33">
        <v>18.29</v>
      </c>
      <c r="C182" s="33">
        <v>22.8</v>
      </c>
      <c r="D182" s="15">
        <v>0</v>
      </c>
      <c r="E182" s="15">
        <v>4.3869270280235599E-4</v>
      </c>
      <c r="F182" s="33">
        <v>0</v>
      </c>
      <c r="G182" s="33">
        <v>0.62535999999999903</v>
      </c>
      <c r="H182" s="33">
        <v>0</v>
      </c>
      <c r="I182" s="33">
        <v>0.70668399999999998</v>
      </c>
      <c r="J182" s="33">
        <v>0.62535999999999903</v>
      </c>
      <c r="K182" s="33">
        <v>0.70668399999999998</v>
      </c>
      <c r="L182" s="33">
        <v>18.91536</v>
      </c>
      <c r="M182" s="33">
        <v>23.506684</v>
      </c>
      <c r="N182" s="34">
        <v>1.24658283214871</v>
      </c>
      <c r="O182" s="34">
        <v>1.2439394184217101</v>
      </c>
      <c r="P182" s="34">
        <v>1.2429191643756901</v>
      </c>
      <c r="Q182" s="34">
        <v>1.2436850555283701</v>
      </c>
      <c r="R182" s="33">
        <v>22.751651962933099</v>
      </c>
      <c r="S182" s="33">
        <v>22.7238842574932</v>
      </c>
      <c r="T182" s="33">
        <v>22.747405881830101</v>
      </c>
      <c r="U182" s="15">
        <v>-2.1227794443835798E-3</v>
      </c>
      <c r="V182" s="15">
        <v>-3.3439946822333899E-3</v>
      </c>
      <c r="W182" s="15">
        <v>-2.30942423733012E-3</v>
      </c>
      <c r="X182" s="34">
        <v>1.24272992953874</v>
      </c>
      <c r="Y182" s="34">
        <v>1.24274983567304</v>
      </c>
      <c r="Z182" s="34">
        <v>1.24280127443378</v>
      </c>
      <c r="AA182" s="34">
        <v>1.24280225172051</v>
      </c>
      <c r="AB182" s="33">
        <v>23.5070605316963</v>
      </c>
      <c r="AC182" s="33">
        <v>23.5074601550449</v>
      </c>
      <c r="AD182" s="33">
        <v>23.508226871416401</v>
      </c>
      <c r="AE182" s="15">
        <v>1.6017941142508201E-5</v>
      </c>
      <c r="AF182" s="15">
        <v>3.3017937854786201E-5</v>
      </c>
      <c r="AG182" s="15">
        <v>6.5633280522618901E-5</v>
      </c>
    </row>
    <row r="183" spans="1:100" x14ac:dyDescent="0.25">
      <c r="A183">
        <v>46288</v>
      </c>
      <c r="B183" s="33">
        <v>18.21</v>
      </c>
      <c r="C183" s="33">
        <v>22.7</v>
      </c>
      <c r="D183" s="15">
        <v>-4.3835686632576502E-3</v>
      </c>
      <c r="E183" s="15">
        <v>-4.3956114730380998E-3</v>
      </c>
      <c r="F183" s="33">
        <v>0</v>
      </c>
      <c r="G183" s="33">
        <v>0.62535999999999903</v>
      </c>
      <c r="H183" s="33">
        <v>0</v>
      </c>
      <c r="I183" s="33">
        <v>0.70668399999999998</v>
      </c>
      <c r="J183" s="33">
        <v>0.62535999999999903</v>
      </c>
      <c r="K183" s="33">
        <v>0.70668399999999998</v>
      </c>
      <c r="L183" s="33">
        <v>18.835360000000001</v>
      </c>
      <c r="M183" s="33">
        <v>23.406683999999998</v>
      </c>
      <c r="N183" s="34">
        <v>1.2465678198791801</v>
      </c>
      <c r="O183" s="34">
        <v>1.2439394184217101</v>
      </c>
      <c r="P183" s="34">
        <v>1.24334830408719</v>
      </c>
      <c r="Q183" s="34">
        <v>1.2436820919621501</v>
      </c>
      <c r="R183" s="33">
        <v>22.6521368094594</v>
      </c>
      <c r="S183" s="33">
        <v>22.633557983281399</v>
      </c>
      <c r="T183" s="33">
        <v>22.647504861171601</v>
      </c>
      <c r="U183" s="15">
        <v>-2.1107366346030101E-3</v>
      </c>
      <c r="V183" s="15">
        <v>-2.9312530164474198E-3</v>
      </c>
      <c r="W183" s="15">
        <v>-2.3152392811180301E-3</v>
      </c>
      <c r="X183" s="34">
        <v>1.24269905114635</v>
      </c>
      <c r="Y183" s="34">
        <v>1.24274983567304</v>
      </c>
      <c r="Z183" s="34">
        <v>1.2427631301170601</v>
      </c>
      <c r="AA183" s="34">
        <v>1.2428105533779199</v>
      </c>
      <c r="AB183" s="33">
        <v>23.407640544842501</v>
      </c>
      <c r="AC183" s="33">
        <v>23.4086094124191</v>
      </c>
      <c r="AD183" s="33">
        <v>23.408627819966402</v>
      </c>
      <c r="AE183" s="15">
        <v>4.0865476624397498E-5</v>
      </c>
      <c r="AF183" s="15">
        <v>8.2255702352635799E-5</v>
      </c>
      <c r="AG183" s="15">
        <v>8.3042060043783593E-5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2026-09-28T01:00:57Z</dcterms:created>
  <dcterms:modified xsi:type="dcterms:W3CDTF">2026-09-28T01:47:43Z</dcterms:modified>
</cp:coreProperties>
</file>