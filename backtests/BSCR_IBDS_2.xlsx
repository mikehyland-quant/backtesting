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4C081FE8-0390-494E-B9D1-DA11F22E8657}" xr6:coauthVersionLast="47" xr6:coauthVersionMax="47" xr10:uidLastSave="{00000000-0000-0000-0000-000000000000}"/>
  <bookViews>
    <workbookView xWindow="360" yWindow="1170" windowWidth="28440" windowHeight="12225" xr2:uid="{6028381F-5E90-4DBC-8AF5-3B7CF603C723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M175" i="1"/>
  <c r="AK175" i="1"/>
  <c r="AJ175" i="1"/>
  <c r="AX174" i="1"/>
  <c r="AV174" i="1"/>
  <c r="AU174" i="1"/>
  <c r="AM174" i="1"/>
  <c r="AK174" i="1"/>
  <c r="AJ174" i="1"/>
  <c r="AX173" i="1"/>
  <c r="AV173" i="1"/>
  <c r="AU173" i="1"/>
  <c r="AM173" i="1"/>
  <c r="AK173" i="1"/>
  <c r="AJ173" i="1"/>
  <c r="AX172" i="1"/>
  <c r="AV172" i="1"/>
  <c r="AU172" i="1"/>
  <c r="AY173" i="1" s="1"/>
  <c r="AM172" i="1"/>
  <c r="AK172" i="1"/>
  <c r="AJ172" i="1"/>
  <c r="AX171" i="1"/>
  <c r="AV171" i="1"/>
  <c r="AU171" i="1"/>
  <c r="AM171" i="1"/>
  <c r="AK171" i="1"/>
  <c r="AJ171" i="1"/>
  <c r="AX170" i="1"/>
  <c r="AV170" i="1"/>
  <c r="AU170" i="1"/>
  <c r="AM170" i="1"/>
  <c r="AK170" i="1"/>
  <c r="AJ170" i="1"/>
  <c r="AX169" i="1"/>
  <c r="AV169" i="1"/>
  <c r="AU169" i="1"/>
  <c r="AM169" i="1"/>
  <c r="AK169" i="1"/>
  <c r="AJ169" i="1"/>
  <c r="AX168" i="1"/>
  <c r="AV168" i="1"/>
  <c r="AU168" i="1"/>
  <c r="AY169" i="1" s="1"/>
  <c r="AM168" i="1"/>
  <c r="AK168" i="1"/>
  <c r="AJ168" i="1"/>
  <c r="AX167" i="1"/>
  <c r="AV167" i="1"/>
  <c r="AU167" i="1"/>
  <c r="AM167" i="1"/>
  <c r="AK167" i="1"/>
  <c r="AJ167" i="1"/>
  <c r="AN168" i="1" s="1"/>
  <c r="AX166" i="1"/>
  <c r="AV166" i="1"/>
  <c r="AU166" i="1"/>
  <c r="AY167" i="1" s="1"/>
  <c r="AM166" i="1"/>
  <c r="AK166" i="1"/>
  <c r="AJ166" i="1"/>
  <c r="AX165" i="1"/>
  <c r="AV165" i="1"/>
  <c r="AU165" i="1"/>
  <c r="AM165" i="1"/>
  <c r="AK165" i="1"/>
  <c r="AJ165" i="1"/>
  <c r="AN166" i="1" s="1"/>
  <c r="AX164" i="1"/>
  <c r="AV164" i="1"/>
  <c r="AU164" i="1"/>
  <c r="AY165" i="1" s="1"/>
  <c r="AM164" i="1"/>
  <c r="AK164" i="1"/>
  <c r="AJ164" i="1"/>
  <c r="AX163" i="1"/>
  <c r="AV163" i="1"/>
  <c r="AU163" i="1"/>
  <c r="AM163" i="1"/>
  <c r="AK163" i="1"/>
  <c r="AJ163" i="1"/>
  <c r="AX162" i="1"/>
  <c r="AV162" i="1"/>
  <c r="AU162" i="1"/>
  <c r="AM162" i="1"/>
  <c r="AK162" i="1"/>
  <c r="AJ162" i="1"/>
  <c r="AN163" i="1" s="1"/>
  <c r="AX161" i="1"/>
  <c r="AV161" i="1"/>
  <c r="AU161" i="1"/>
  <c r="AY162" i="1" s="1"/>
  <c r="AM161" i="1"/>
  <c r="AK161" i="1"/>
  <c r="AJ161" i="1"/>
  <c r="AX160" i="1"/>
  <c r="AV160" i="1"/>
  <c r="AU160" i="1"/>
  <c r="AY161" i="1" s="1"/>
  <c r="AM160" i="1"/>
  <c r="AK160" i="1"/>
  <c r="AJ160" i="1"/>
  <c r="AX159" i="1"/>
  <c r="AV159" i="1"/>
  <c r="AU159" i="1"/>
  <c r="AM159" i="1"/>
  <c r="AK159" i="1"/>
  <c r="AJ159" i="1"/>
  <c r="AX158" i="1"/>
  <c r="AV158" i="1"/>
  <c r="AU158" i="1"/>
  <c r="AM158" i="1"/>
  <c r="AK158" i="1"/>
  <c r="AJ158" i="1"/>
  <c r="AX157" i="1"/>
  <c r="AV157" i="1"/>
  <c r="AU157" i="1"/>
  <c r="AM157" i="1"/>
  <c r="AK157" i="1"/>
  <c r="AJ157" i="1"/>
  <c r="AX156" i="1"/>
  <c r="AV156" i="1"/>
  <c r="AU156" i="1"/>
  <c r="AM156" i="1"/>
  <c r="AK156" i="1"/>
  <c r="AJ156" i="1"/>
  <c r="AN157" i="1" s="1"/>
  <c r="AX155" i="1"/>
  <c r="AV155" i="1"/>
  <c r="AU155" i="1"/>
  <c r="AY156" i="1" s="1"/>
  <c r="AM155" i="1"/>
  <c r="AK155" i="1"/>
  <c r="AJ155" i="1"/>
  <c r="AX154" i="1"/>
  <c r="AV154" i="1"/>
  <c r="AU154" i="1"/>
  <c r="AY155" i="1" s="1"/>
  <c r="AM154" i="1"/>
  <c r="AK154" i="1"/>
  <c r="AJ154" i="1"/>
  <c r="AX153" i="1"/>
  <c r="AV153" i="1"/>
  <c r="AU153" i="1"/>
  <c r="AY154" i="1" s="1"/>
  <c r="AM153" i="1"/>
  <c r="AK153" i="1"/>
  <c r="AJ153" i="1"/>
  <c r="AX152" i="1"/>
  <c r="AV152" i="1"/>
  <c r="AU152" i="1"/>
  <c r="AM152" i="1"/>
  <c r="AK152" i="1"/>
  <c r="AJ152" i="1"/>
  <c r="AX151" i="1"/>
  <c r="AV151" i="1"/>
  <c r="AU151" i="1"/>
  <c r="AY152" i="1" s="1"/>
  <c r="AM151" i="1"/>
  <c r="AK151" i="1"/>
  <c r="AJ151" i="1"/>
  <c r="AX150" i="1"/>
  <c r="AV150" i="1"/>
  <c r="AU150" i="1"/>
  <c r="AY151" i="1" s="1"/>
  <c r="AM150" i="1"/>
  <c r="AK150" i="1"/>
  <c r="AJ150" i="1"/>
  <c r="AX149" i="1"/>
  <c r="AV149" i="1"/>
  <c r="AU149" i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Y148" i="1" s="1"/>
  <c r="AM147" i="1"/>
  <c r="AK147" i="1"/>
  <c r="AJ147" i="1"/>
  <c r="AX146" i="1"/>
  <c r="AV146" i="1"/>
  <c r="AU146" i="1"/>
  <c r="AM146" i="1"/>
  <c r="AK146" i="1"/>
  <c r="AJ146" i="1"/>
  <c r="AX145" i="1"/>
  <c r="AV145" i="1"/>
  <c r="AU145" i="1"/>
  <c r="AM145" i="1"/>
  <c r="AK145" i="1"/>
  <c r="AJ145" i="1"/>
  <c r="AX144" i="1"/>
  <c r="AV144" i="1"/>
  <c r="AU144" i="1"/>
  <c r="AY145" i="1" s="1"/>
  <c r="AM144" i="1"/>
  <c r="AK144" i="1"/>
  <c r="AJ144" i="1"/>
  <c r="AX143" i="1"/>
  <c r="AV143" i="1"/>
  <c r="AU143" i="1"/>
  <c r="AY144" i="1" s="1"/>
  <c r="AM143" i="1"/>
  <c r="AK143" i="1"/>
  <c r="AJ143" i="1"/>
  <c r="AX142" i="1"/>
  <c r="AV142" i="1"/>
  <c r="AU142" i="1"/>
  <c r="AM142" i="1"/>
  <c r="AK142" i="1"/>
  <c r="AJ142" i="1"/>
  <c r="AX141" i="1"/>
  <c r="AV141" i="1"/>
  <c r="AU141" i="1"/>
  <c r="AY142" i="1" s="1"/>
  <c r="AM141" i="1"/>
  <c r="AK141" i="1"/>
  <c r="AJ141" i="1"/>
  <c r="AN142" i="1" s="1"/>
  <c r="AX140" i="1"/>
  <c r="AV140" i="1"/>
  <c r="AU140" i="1"/>
  <c r="AY141" i="1" s="1"/>
  <c r="AM140" i="1"/>
  <c r="AK140" i="1"/>
  <c r="AJ140" i="1"/>
  <c r="AX139" i="1"/>
  <c r="AV139" i="1"/>
  <c r="AU139" i="1"/>
  <c r="AM139" i="1"/>
  <c r="AK139" i="1"/>
  <c r="AJ139" i="1"/>
  <c r="AN140" i="1" s="1"/>
  <c r="AX138" i="1"/>
  <c r="AV138" i="1"/>
  <c r="AU138" i="1"/>
  <c r="AM138" i="1"/>
  <c r="AK138" i="1"/>
  <c r="AJ138" i="1"/>
  <c r="AX137" i="1"/>
  <c r="AV137" i="1"/>
  <c r="AU137" i="1"/>
  <c r="AY138" i="1" s="1"/>
  <c r="AM137" i="1"/>
  <c r="AK137" i="1"/>
  <c r="AJ137" i="1"/>
  <c r="AX136" i="1"/>
  <c r="AV136" i="1"/>
  <c r="AU136" i="1"/>
  <c r="AM136" i="1"/>
  <c r="AK136" i="1"/>
  <c r="AJ136" i="1"/>
  <c r="AN137" i="1" s="1"/>
  <c r="AX135" i="1"/>
  <c r="AV135" i="1"/>
  <c r="AU135" i="1"/>
  <c r="AY136" i="1" s="1"/>
  <c r="AM135" i="1"/>
  <c r="AK135" i="1"/>
  <c r="AJ135" i="1"/>
  <c r="AX134" i="1"/>
  <c r="AV134" i="1"/>
  <c r="AU134" i="1"/>
  <c r="AY135" i="1" s="1"/>
  <c r="AM134" i="1"/>
  <c r="AK134" i="1"/>
  <c r="AJ134" i="1"/>
  <c r="AX133" i="1"/>
  <c r="AV133" i="1"/>
  <c r="AU133" i="1"/>
  <c r="AM133" i="1"/>
  <c r="AK133" i="1"/>
  <c r="AJ133" i="1"/>
  <c r="AX132" i="1"/>
  <c r="AV132" i="1"/>
  <c r="AU132" i="1"/>
  <c r="AM132" i="1"/>
  <c r="AK132" i="1"/>
  <c r="AJ132" i="1"/>
  <c r="AX131" i="1"/>
  <c r="AV131" i="1"/>
  <c r="AU131" i="1"/>
  <c r="AM131" i="1"/>
  <c r="AK131" i="1"/>
  <c r="AJ131" i="1"/>
  <c r="AX130" i="1"/>
  <c r="AV130" i="1"/>
  <c r="AU130" i="1"/>
  <c r="AM130" i="1"/>
  <c r="AK130" i="1"/>
  <c r="AJ130" i="1"/>
  <c r="AX129" i="1"/>
  <c r="AV129" i="1"/>
  <c r="AU129" i="1"/>
  <c r="AY130" i="1" s="1"/>
  <c r="AM129" i="1"/>
  <c r="AK129" i="1"/>
  <c r="AJ129" i="1"/>
  <c r="AX128" i="1"/>
  <c r="AV128" i="1"/>
  <c r="AU128" i="1"/>
  <c r="AM128" i="1"/>
  <c r="AK128" i="1"/>
  <c r="AJ128" i="1"/>
  <c r="AN129" i="1" s="1"/>
  <c r="AX127" i="1"/>
  <c r="AV127" i="1"/>
  <c r="AU127" i="1"/>
  <c r="AM127" i="1"/>
  <c r="AK127" i="1"/>
  <c r="AJ127" i="1"/>
  <c r="AN128" i="1" s="1"/>
  <c r="AX126" i="1"/>
  <c r="AV126" i="1"/>
  <c r="AU126" i="1"/>
  <c r="AM126" i="1"/>
  <c r="AK126" i="1"/>
  <c r="AJ126" i="1"/>
  <c r="AX125" i="1"/>
  <c r="AV125" i="1"/>
  <c r="AU125" i="1"/>
  <c r="AM125" i="1"/>
  <c r="AK125" i="1"/>
  <c r="AJ125" i="1"/>
  <c r="AN126" i="1" s="1"/>
  <c r="AX124" i="1"/>
  <c r="AV124" i="1"/>
  <c r="AU124" i="1"/>
  <c r="AM124" i="1"/>
  <c r="AK124" i="1"/>
  <c r="AJ124" i="1"/>
  <c r="AX123" i="1"/>
  <c r="AV123" i="1"/>
  <c r="AU123" i="1"/>
  <c r="AY124" i="1" s="1"/>
  <c r="AM123" i="1"/>
  <c r="AK123" i="1"/>
  <c r="AJ123" i="1"/>
  <c r="AX122" i="1"/>
  <c r="AV122" i="1"/>
  <c r="AU122" i="1"/>
  <c r="AY123" i="1" s="1"/>
  <c r="AM122" i="1"/>
  <c r="AK122" i="1"/>
  <c r="AJ122" i="1"/>
  <c r="AX121" i="1"/>
  <c r="AV121" i="1"/>
  <c r="AU121" i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Y120" i="1" s="1"/>
  <c r="AM119" i="1"/>
  <c r="AK119" i="1"/>
  <c r="AJ119" i="1"/>
  <c r="AX118" i="1"/>
  <c r="AV118" i="1"/>
  <c r="AU118" i="1"/>
  <c r="AM118" i="1"/>
  <c r="AK118" i="1"/>
  <c r="AJ118" i="1"/>
  <c r="AN119" i="1" s="1"/>
  <c r="AX117" i="1"/>
  <c r="AV117" i="1"/>
  <c r="AU117" i="1"/>
  <c r="AM117" i="1"/>
  <c r="AK117" i="1"/>
  <c r="AJ117" i="1"/>
  <c r="AX116" i="1"/>
  <c r="AV116" i="1"/>
  <c r="AU116" i="1"/>
  <c r="AM116" i="1"/>
  <c r="AK116" i="1"/>
  <c r="AJ116" i="1"/>
  <c r="AN117" i="1" s="1"/>
  <c r="AX115" i="1"/>
  <c r="AV115" i="1"/>
  <c r="AU115" i="1"/>
  <c r="AY116" i="1" s="1"/>
  <c r="AM115" i="1"/>
  <c r="AK115" i="1"/>
  <c r="AJ115" i="1"/>
  <c r="AX114" i="1"/>
  <c r="AV114" i="1"/>
  <c r="AU114" i="1"/>
  <c r="AM114" i="1"/>
  <c r="AK114" i="1"/>
  <c r="AJ114" i="1"/>
  <c r="AX113" i="1"/>
  <c r="AV113" i="1"/>
  <c r="AU113" i="1"/>
  <c r="AM113" i="1"/>
  <c r="AK113" i="1"/>
  <c r="AJ113" i="1"/>
  <c r="AN114" i="1" s="1"/>
  <c r="AX112" i="1"/>
  <c r="AV112" i="1"/>
  <c r="AU112" i="1"/>
  <c r="AM112" i="1"/>
  <c r="AK112" i="1"/>
  <c r="AJ112" i="1"/>
  <c r="AX111" i="1"/>
  <c r="AV111" i="1"/>
  <c r="AU111" i="1"/>
  <c r="AM111" i="1"/>
  <c r="AK111" i="1"/>
  <c r="AJ111" i="1"/>
  <c r="AX110" i="1"/>
  <c r="AV110" i="1"/>
  <c r="AU110" i="1"/>
  <c r="AY111" i="1" s="1"/>
  <c r="AM110" i="1"/>
  <c r="AK110" i="1"/>
  <c r="AJ110" i="1"/>
  <c r="AX109" i="1"/>
  <c r="AV109" i="1"/>
  <c r="AU109" i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X106" i="1"/>
  <c r="AV106" i="1"/>
  <c r="AU106" i="1"/>
  <c r="AM106" i="1"/>
  <c r="AK106" i="1"/>
  <c r="AJ106" i="1"/>
  <c r="AX105" i="1"/>
  <c r="AV105" i="1"/>
  <c r="AU105" i="1"/>
  <c r="AM105" i="1"/>
  <c r="AK105" i="1"/>
  <c r="AJ105" i="1"/>
  <c r="AX104" i="1"/>
  <c r="AV104" i="1"/>
  <c r="AU104" i="1"/>
  <c r="AM104" i="1"/>
  <c r="AK104" i="1"/>
  <c r="AJ104" i="1"/>
  <c r="AX103" i="1"/>
  <c r="AV103" i="1"/>
  <c r="AU103" i="1"/>
  <c r="AM103" i="1"/>
  <c r="AK103" i="1"/>
  <c r="AJ103" i="1"/>
  <c r="AX102" i="1"/>
  <c r="AV102" i="1"/>
  <c r="AU102" i="1"/>
  <c r="AM102" i="1"/>
  <c r="AK102" i="1"/>
  <c r="AJ102" i="1"/>
  <c r="AX101" i="1"/>
  <c r="AV101" i="1"/>
  <c r="AU101" i="1"/>
  <c r="AM101" i="1"/>
  <c r="AK101" i="1"/>
  <c r="AJ101" i="1"/>
  <c r="AX100" i="1"/>
  <c r="AV100" i="1"/>
  <c r="AU100" i="1"/>
  <c r="AM100" i="1"/>
  <c r="AK100" i="1"/>
  <c r="AJ100" i="1"/>
  <c r="AN101" i="1" s="1"/>
  <c r="AX99" i="1"/>
  <c r="AV99" i="1"/>
  <c r="AU99" i="1"/>
  <c r="AM99" i="1"/>
  <c r="AK99" i="1"/>
  <c r="AJ99" i="1"/>
  <c r="AX98" i="1"/>
  <c r="AV98" i="1"/>
  <c r="AU98" i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Y97" i="1" s="1"/>
  <c r="AM96" i="1"/>
  <c r="AK96" i="1"/>
  <c r="AJ96" i="1"/>
  <c r="AX95" i="1"/>
  <c r="AV95" i="1"/>
  <c r="AU95" i="1"/>
  <c r="AY96" i="1" s="1"/>
  <c r="AM95" i="1"/>
  <c r="AK95" i="1"/>
  <c r="AJ95" i="1"/>
  <c r="AX94" i="1"/>
  <c r="AV94" i="1"/>
  <c r="AU94" i="1"/>
  <c r="AM94" i="1"/>
  <c r="AK94" i="1"/>
  <c r="AJ94" i="1"/>
  <c r="AX93" i="1"/>
  <c r="AV93" i="1"/>
  <c r="AU93" i="1"/>
  <c r="AY94" i="1" s="1"/>
  <c r="AM93" i="1"/>
  <c r="AK93" i="1"/>
  <c r="AJ93" i="1"/>
  <c r="AX92" i="1"/>
  <c r="AV92" i="1"/>
  <c r="AU92" i="1"/>
  <c r="AM92" i="1"/>
  <c r="AK92" i="1"/>
  <c r="AJ92" i="1"/>
  <c r="AN93" i="1" s="1"/>
  <c r="AX91" i="1"/>
  <c r="AV91" i="1"/>
  <c r="AU91" i="1"/>
  <c r="AM91" i="1"/>
  <c r="AK91" i="1"/>
  <c r="AJ91" i="1"/>
  <c r="AX90" i="1"/>
  <c r="AV90" i="1"/>
  <c r="AU90" i="1"/>
  <c r="AM90" i="1"/>
  <c r="AK90" i="1"/>
  <c r="AJ90" i="1"/>
  <c r="AN91" i="1" s="1"/>
  <c r="AX89" i="1"/>
  <c r="AV89" i="1"/>
  <c r="AU89" i="1"/>
  <c r="AY90" i="1" s="1"/>
  <c r="AM89" i="1"/>
  <c r="AK89" i="1"/>
  <c r="AJ89" i="1"/>
  <c r="AX88" i="1"/>
  <c r="AV88" i="1"/>
  <c r="AU88" i="1"/>
  <c r="AY89" i="1" s="1"/>
  <c r="AM88" i="1"/>
  <c r="AK88" i="1"/>
  <c r="AJ88" i="1"/>
  <c r="AX87" i="1"/>
  <c r="AV87" i="1"/>
  <c r="AU87" i="1"/>
  <c r="AM87" i="1"/>
  <c r="AK87" i="1"/>
  <c r="AJ87" i="1"/>
  <c r="AX86" i="1"/>
  <c r="AV86" i="1"/>
  <c r="AU86" i="1"/>
  <c r="AY87" i="1" s="1"/>
  <c r="AM86" i="1"/>
  <c r="AK86" i="1"/>
  <c r="AJ86" i="1"/>
  <c r="AX85" i="1"/>
  <c r="AV85" i="1"/>
  <c r="AU85" i="1"/>
  <c r="AY86" i="1" s="1"/>
  <c r="AM85" i="1"/>
  <c r="AK85" i="1"/>
  <c r="AJ85" i="1"/>
  <c r="AX84" i="1"/>
  <c r="AV84" i="1"/>
  <c r="AU84" i="1"/>
  <c r="AM84" i="1"/>
  <c r="AK84" i="1"/>
  <c r="AJ84" i="1"/>
  <c r="AX83" i="1"/>
  <c r="AV83" i="1"/>
  <c r="AU83" i="1"/>
  <c r="AM83" i="1"/>
  <c r="AK83" i="1"/>
  <c r="AJ83" i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X80" i="1"/>
  <c r="AV80" i="1"/>
  <c r="AU80" i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Y78" i="1" s="1"/>
  <c r="AM77" i="1"/>
  <c r="AK77" i="1"/>
  <c r="AJ77" i="1"/>
  <c r="AX76" i="1"/>
  <c r="AV76" i="1"/>
  <c r="AU76" i="1"/>
  <c r="AY77" i="1" s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X73" i="1"/>
  <c r="AV73" i="1"/>
  <c r="AU73" i="1"/>
  <c r="AY74" i="1" s="1"/>
  <c r="AM73" i="1"/>
  <c r="AK73" i="1"/>
  <c r="AJ73" i="1"/>
  <c r="AX72" i="1"/>
  <c r="AV72" i="1"/>
  <c r="AU72" i="1"/>
  <c r="AM72" i="1"/>
  <c r="AK72" i="1"/>
  <c r="AJ72" i="1"/>
  <c r="AX71" i="1"/>
  <c r="AV71" i="1"/>
  <c r="AU71" i="1"/>
  <c r="AY72" i="1" s="1"/>
  <c r="AM71" i="1"/>
  <c r="AK71" i="1"/>
  <c r="AJ71" i="1"/>
  <c r="AX70" i="1"/>
  <c r="AV70" i="1"/>
  <c r="AU70" i="1"/>
  <c r="AM70" i="1"/>
  <c r="AK70" i="1"/>
  <c r="AJ70" i="1"/>
  <c r="AX69" i="1"/>
  <c r="AV69" i="1"/>
  <c r="AU69" i="1"/>
  <c r="AM69" i="1"/>
  <c r="AK69" i="1"/>
  <c r="AJ69" i="1"/>
  <c r="AN70" i="1" s="1"/>
  <c r="AX68" i="1"/>
  <c r="AV68" i="1"/>
  <c r="AU68" i="1"/>
  <c r="AY69" i="1" s="1"/>
  <c r="AM68" i="1"/>
  <c r="AK68" i="1"/>
  <c r="AJ68" i="1"/>
  <c r="AX67" i="1"/>
  <c r="AV67" i="1"/>
  <c r="AU67" i="1"/>
  <c r="AY68" i="1" s="1"/>
  <c r="AM67" i="1"/>
  <c r="AK67" i="1"/>
  <c r="AJ67" i="1"/>
  <c r="AX66" i="1"/>
  <c r="AV66" i="1"/>
  <c r="AU66" i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Y65" i="1" s="1"/>
  <c r="AM64" i="1"/>
  <c r="AK64" i="1"/>
  <c r="AJ64" i="1"/>
  <c r="AX63" i="1"/>
  <c r="AV63" i="1"/>
  <c r="AU63" i="1"/>
  <c r="AY64" i="1" s="1"/>
  <c r="AM63" i="1"/>
  <c r="AK63" i="1"/>
  <c r="AJ63" i="1"/>
  <c r="AX62" i="1"/>
  <c r="AV62" i="1"/>
  <c r="AU62" i="1"/>
  <c r="AY63" i="1" s="1"/>
  <c r="AM62" i="1"/>
  <c r="AK62" i="1"/>
  <c r="AJ62" i="1"/>
  <c r="AX61" i="1"/>
  <c r="AV61" i="1"/>
  <c r="AU61" i="1"/>
  <c r="AM61" i="1"/>
  <c r="AK61" i="1"/>
  <c r="AJ61" i="1"/>
  <c r="AN62" i="1" s="1"/>
  <c r="AX60" i="1"/>
  <c r="AV60" i="1"/>
  <c r="AU60" i="1"/>
  <c r="AY61" i="1" s="1"/>
  <c r="AM60" i="1"/>
  <c r="AK60" i="1"/>
  <c r="AJ60" i="1"/>
  <c r="AX59" i="1"/>
  <c r="AV59" i="1"/>
  <c r="AU59" i="1"/>
  <c r="AM59" i="1"/>
  <c r="AK59" i="1"/>
  <c r="AJ59" i="1"/>
  <c r="AX58" i="1"/>
  <c r="AV58" i="1"/>
  <c r="AU58" i="1"/>
  <c r="AY59" i="1" s="1"/>
  <c r="AM58" i="1"/>
  <c r="AK58" i="1"/>
  <c r="AJ58" i="1"/>
  <c r="AX57" i="1"/>
  <c r="AV57" i="1"/>
  <c r="AU57" i="1"/>
  <c r="AM57" i="1"/>
  <c r="AK57" i="1"/>
  <c r="AJ57" i="1"/>
  <c r="AN58" i="1" s="1"/>
  <c r="AX56" i="1"/>
  <c r="AV56" i="1"/>
  <c r="AU56" i="1"/>
  <c r="AY57" i="1" s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Y55" i="1" s="1"/>
  <c r="AM54" i="1"/>
  <c r="AK54" i="1"/>
  <c r="AJ54" i="1"/>
  <c r="AX53" i="1"/>
  <c r="AV53" i="1"/>
  <c r="AU53" i="1"/>
  <c r="AM53" i="1"/>
  <c r="AK53" i="1"/>
  <c r="AJ53" i="1"/>
  <c r="AN54" i="1" s="1"/>
  <c r="AX52" i="1"/>
  <c r="AV52" i="1"/>
  <c r="AU52" i="1"/>
  <c r="AM52" i="1"/>
  <c r="AK52" i="1"/>
  <c r="AJ52" i="1"/>
  <c r="AN53" i="1" s="1"/>
  <c r="AX51" i="1"/>
  <c r="AV51" i="1"/>
  <c r="AU51" i="1"/>
  <c r="AY52" i="1" s="1"/>
  <c r="AM51" i="1"/>
  <c r="AK51" i="1"/>
  <c r="AJ51" i="1"/>
  <c r="AX50" i="1"/>
  <c r="AV50" i="1"/>
  <c r="AU50" i="1"/>
  <c r="AY51" i="1" s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Y48" i="1" s="1"/>
  <c r="AM47" i="1"/>
  <c r="AK47" i="1"/>
  <c r="AJ47" i="1"/>
  <c r="AX46" i="1"/>
  <c r="AV46" i="1"/>
  <c r="AU46" i="1"/>
  <c r="AY47" i="1" s="1"/>
  <c r="AM46" i="1"/>
  <c r="AK46" i="1"/>
  <c r="AJ46" i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Y44" i="1" s="1"/>
  <c r="AM43" i="1"/>
  <c r="AK43" i="1"/>
  <c r="AJ43" i="1"/>
  <c r="AX42" i="1"/>
  <c r="AV42" i="1"/>
  <c r="AU42" i="1"/>
  <c r="AY43" i="1" s="1"/>
  <c r="AM42" i="1"/>
  <c r="AK42" i="1"/>
  <c r="AJ42" i="1"/>
  <c r="AX41" i="1"/>
  <c r="AV41" i="1"/>
  <c r="AU41" i="1"/>
  <c r="AM41" i="1"/>
  <c r="AK41" i="1"/>
  <c r="AJ41" i="1"/>
  <c r="AX40" i="1"/>
  <c r="AV40" i="1"/>
  <c r="AU40" i="1"/>
  <c r="AM40" i="1"/>
  <c r="AK40" i="1"/>
  <c r="AJ40" i="1"/>
  <c r="AX39" i="1"/>
  <c r="AV39" i="1"/>
  <c r="AU39" i="1"/>
  <c r="AY40" i="1" s="1"/>
  <c r="AM39" i="1"/>
  <c r="AK39" i="1"/>
  <c r="AJ39" i="1"/>
  <c r="AX38" i="1"/>
  <c r="AV38" i="1"/>
  <c r="AU38" i="1"/>
  <c r="AY39" i="1" s="1"/>
  <c r="AM38" i="1"/>
  <c r="AK38" i="1"/>
  <c r="AJ38" i="1"/>
  <c r="AX37" i="1"/>
  <c r="AV37" i="1"/>
  <c r="AU37" i="1"/>
  <c r="AY38" i="1" s="1"/>
  <c r="AM37" i="1"/>
  <c r="AK37" i="1"/>
  <c r="AJ37" i="1"/>
  <c r="AX36" i="1"/>
  <c r="AV36" i="1"/>
  <c r="AU36" i="1"/>
  <c r="AY37" i="1" s="1"/>
  <c r="AM36" i="1"/>
  <c r="AK36" i="1"/>
  <c r="AJ36" i="1"/>
  <c r="AX35" i="1"/>
  <c r="AV35" i="1"/>
  <c r="AU35" i="1"/>
  <c r="AY36" i="1" s="1"/>
  <c r="AM35" i="1"/>
  <c r="AK35" i="1"/>
  <c r="AJ35" i="1"/>
  <c r="AX34" i="1"/>
  <c r="AV34" i="1"/>
  <c r="AU34" i="1"/>
  <c r="AY35" i="1" s="1"/>
  <c r="AM34" i="1"/>
  <c r="AK34" i="1"/>
  <c r="AJ34" i="1"/>
  <c r="AX33" i="1"/>
  <c r="AV33" i="1"/>
  <c r="AU33" i="1"/>
  <c r="AM33" i="1"/>
  <c r="AK33" i="1"/>
  <c r="AJ33" i="1"/>
  <c r="AN34" i="1" s="1"/>
  <c r="AX32" i="1"/>
  <c r="AV32" i="1"/>
  <c r="AU32" i="1"/>
  <c r="AY33" i="1" s="1"/>
  <c r="AM32" i="1"/>
  <c r="AK32" i="1"/>
  <c r="AJ32" i="1"/>
  <c r="AX31" i="1"/>
  <c r="AV31" i="1"/>
  <c r="AU31" i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Y30" i="1" s="1"/>
  <c r="AM29" i="1"/>
  <c r="AK29" i="1"/>
  <c r="AJ29" i="1"/>
  <c r="AX28" i="1"/>
  <c r="AV28" i="1"/>
  <c r="AU28" i="1"/>
  <c r="AY29" i="1" s="1"/>
  <c r="AM28" i="1"/>
  <c r="AK28" i="1"/>
  <c r="AJ28" i="1"/>
  <c r="AX27" i="1"/>
  <c r="AV27" i="1"/>
  <c r="AU27" i="1"/>
  <c r="AM27" i="1"/>
  <c r="AK27" i="1"/>
  <c r="AJ27" i="1"/>
  <c r="AX26" i="1"/>
  <c r="AV26" i="1"/>
  <c r="AU26" i="1"/>
  <c r="AY27" i="1" s="1"/>
  <c r="AM26" i="1"/>
  <c r="AK26" i="1"/>
  <c r="AJ26" i="1"/>
  <c r="AX25" i="1"/>
  <c r="AV25" i="1"/>
  <c r="AU25" i="1"/>
  <c r="AM25" i="1"/>
  <c r="AK25" i="1"/>
  <c r="AJ25" i="1"/>
  <c r="AX24" i="1"/>
  <c r="AV24" i="1"/>
  <c r="AU24" i="1"/>
  <c r="AY25" i="1" s="1"/>
  <c r="AM24" i="1"/>
  <c r="AK24" i="1"/>
  <c r="AJ24" i="1"/>
  <c r="AN25" i="1" s="1"/>
  <c r="AX23" i="1"/>
  <c r="AV23" i="1"/>
  <c r="AU23" i="1"/>
  <c r="AM23" i="1"/>
  <c r="AK23" i="1"/>
  <c r="AJ23" i="1"/>
  <c r="AX22" i="1"/>
  <c r="AW22" i="1"/>
  <c r="AV22" i="1"/>
  <c r="AU22" i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88" i="1" l="1"/>
  <c r="AN75" i="1"/>
  <c r="AN67" i="1"/>
  <c r="AN116" i="1"/>
  <c r="AN92" i="1"/>
  <c r="AN66" i="1"/>
  <c r="AN60" i="1"/>
  <c r="AY158" i="1"/>
  <c r="AY105" i="1"/>
  <c r="AY81" i="1"/>
  <c r="AY23" i="1"/>
  <c r="AY159" i="1"/>
  <c r="AY139" i="1"/>
  <c r="AY125" i="1"/>
  <c r="AY110" i="1"/>
  <c r="AY84" i="1"/>
  <c r="AY71" i="1"/>
  <c r="AY132" i="1"/>
  <c r="AY115" i="1"/>
  <c r="AY112" i="1"/>
  <c r="AY109" i="1"/>
  <c r="AY106" i="1"/>
  <c r="AY80" i="1"/>
  <c r="AY76" i="1"/>
  <c r="AY134" i="1"/>
  <c r="AY104" i="1"/>
  <c r="AY82" i="1"/>
  <c r="AY73" i="1"/>
  <c r="AN174" i="1"/>
  <c r="AN121" i="1"/>
  <c r="AN118" i="1"/>
  <c r="AN107" i="1"/>
  <c r="AN103" i="1"/>
  <c r="AN23" i="1"/>
  <c r="AN46" i="1"/>
  <c r="AN42" i="1"/>
  <c r="AN24" i="1"/>
  <c r="AN26" i="1"/>
  <c r="AN164" i="1"/>
  <c r="AN153" i="1"/>
  <c r="AN146" i="1"/>
  <c r="AN143" i="1"/>
  <c r="AN131" i="1"/>
  <c r="AN113" i="1"/>
  <c r="AN100" i="1"/>
  <c r="AN98" i="1"/>
  <c r="AN32" i="1"/>
  <c r="AN133" i="1"/>
  <c r="AN172" i="1"/>
  <c r="AY108" i="1"/>
  <c r="AP174" i="1"/>
  <c r="AO174" i="1"/>
  <c r="AL174" i="1"/>
  <c r="AN175" i="1" s="1"/>
  <c r="AZ173" i="1"/>
  <c r="AW173" i="1"/>
  <c r="AY174" i="1" s="1"/>
  <c r="BA173" i="1"/>
  <c r="AP172" i="1"/>
  <c r="AO172" i="1"/>
  <c r="AQ172" i="1" s="1"/>
  <c r="AL172" i="1"/>
  <c r="AN173" i="1" s="1"/>
  <c r="BA169" i="1"/>
  <c r="AZ169" i="1"/>
  <c r="BB169" i="1" s="1"/>
  <c r="AW169" i="1"/>
  <c r="AY170" i="1" s="1"/>
  <c r="AP168" i="1"/>
  <c r="AO168" i="1"/>
  <c r="AQ168" i="1" s="1"/>
  <c r="AL168" i="1"/>
  <c r="AN169" i="1" s="1"/>
  <c r="BA167" i="1"/>
  <c r="AW167" i="1"/>
  <c r="AY168" i="1" s="1"/>
  <c r="AZ167" i="1"/>
  <c r="BB167" i="1" s="1"/>
  <c r="AP166" i="1"/>
  <c r="AO166" i="1"/>
  <c r="AL166" i="1"/>
  <c r="AN167" i="1" s="1"/>
  <c r="AZ165" i="1"/>
  <c r="BA165" i="1"/>
  <c r="AW165" i="1"/>
  <c r="AY166" i="1" s="1"/>
  <c r="AO164" i="1"/>
  <c r="AP164" i="1"/>
  <c r="AL164" i="1"/>
  <c r="AN165" i="1" s="1"/>
  <c r="AO163" i="1"/>
  <c r="AP163" i="1"/>
  <c r="AL163" i="1"/>
  <c r="BA162" i="1"/>
  <c r="AZ162" i="1"/>
  <c r="BB162" i="1" s="1"/>
  <c r="AW162" i="1"/>
  <c r="AY163" i="1" s="1"/>
  <c r="BA161" i="1"/>
  <c r="AZ161" i="1"/>
  <c r="BB161" i="1" s="1"/>
  <c r="AW161" i="1"/>
  <c r="AZ159" i="1"/>
  <c r="BA159" i="1"/>
  <c r="AW159" i="1"/>
  <c r="AY160" i="1" s="1"/>
  <c r="BA158" i="1"/>
  <c r="AZ158" i="1"/>
  <c r="BB158" i="1" s="1"/>
  <c r="AW158" i="1"/>
  <c r="AO157" i="1"/>
  <c r="AP157" i="1"/>
  <c r="AL157" i="1"/>
  <c r="AN158" i="1" s="1"/>
  <c r="BA156" i="1"/>
  <c r="AZ156" i="1"/>
  <c r="BB156" i="1" s="1"/>
  <c r="AW156" i="1"/>
  <c r="AY157" i="1" s="1"/>
  <c r="AW155" i="1"/>
  <c r="AZ155" i="1"/>
  <c r="BA155" i="1"/>
  <c r="BA154" i="1"/>
  <c r="AW154" i="1"/>
  <c r="AZ154" i="1"/>
  <c r="BB154" i="1" s="1"/>
  <c r="AL153" i="1"/>
  <c r="AN154" i="1" s="1"/>
  <c r="AO153" i="1"/>
  <c r="AP153" i="1"/>
  <c r="BA152" i="1"/>
  <c r="AW152" i="1"/>
  <c r="AY153" i="1" s="1"/>
  <c r="AZ152" i="1"/>
  <c r="BB152" i="1" s="1"/>
  <c r="BA151" i="1"/>
  <c r="AZ151" i="1"/>
  <c r="BB151" i="1" s="1"/>
  <c r="AW151" i="1"/>
  <c r="BA149" i="1"/>
  <c r="AW149" i="1"/>
  <c r="AY150" i="1" s="1"/>
  <c r="AZ149" i="1"/>
  <c r="BB149" i="1" s="1"/>
  <c r="BA148" i="1"/>
  <c r="AW148" i="1"/>
  <c r="AZ148" i="1"/>
  <c r="BB148" i="1" s="1"/>
  <c r="AL146" i="1"/>
  <c r="AN147" i="1" s="1"/>
  <c r="AO146" i="1"/>
  <c r="AP146" i="1"/>
  <c r="BA145" i="1"/>
  <c r="AW145" i="1"/>
  <c r="AY146" i="1" s="1"/>
  <c r="AZ145" i="1"/>
  <c r="BB145" i="1" s="1"/>
  <c r="BA144" i="1"/>
  <c r="AZ144" i="1"/>
  <c r="BB144" i="1" s="1"/>
  <c r="AW144" i="1"/>
  <c r="BA142" i="1"/>
  <c r="AW142" i="1"/>
  <c r="AY143" i="1" s="1"/>
  <c r="BA143" i="1" s="1"/>
  <c r="AZ142" i="1"/>
  <c r="BB142" i="1" s="1"/>
  <c r="AL143" i="1"/>
  <c r="AN144" i="1" s="1"/>
  <c r="AO143" i="1"/>
  <c r="AP143" i="1"/>
  <c r="AP142" i="1"/>
  <c r="AL142" i="1"/>
  <c r="AO142" i="1"/>
  <c r="AQ142" i="1" s="1"/>
  <c r="BA141" i="1"/>
  <c r="AW141" i="1"/>
  <c r="AZ141" i="1"/>
  <c r="BB141" i="1" s="1"/>
  <c r="AL140" i="1"/>
  <c r="AN141" i="1" s="1"/>
  <c r="AP140" i="1"/>
  <c r="AO140" i="1"/>
  <c r="AQ140" i="1" s="1"/>
  <c r="AW139" i="1"/>
  <c r="AY140" i="1" s="1"/>
  <c r="BA139" i="1"/>
  <c r="AZ139" i="1"/>
  <c r="BB139" i="1" s="1"/>
  <c r="BA138" i="1"/>
  <c r="AW138" i="1"/>
  <c r="AZ138" i="1"/>
  <c r="BB138" i="1" s="1"/>
  <c r="AL137" i="1"/>
  <c r="AN138" i="1" s="1"/>
  <c r="AO137" i="1"/>
  <c r="AP137" i="1"/>
  <c r="BA136" i="1"/>
  <c r="AW136" i="1"/>
  <c r="AY137" i="1" s="1"/>
  <c r="AZ136" i="1"/>
  <c r="BB136" i="1" s="1"/>
  <c r="AZ135" i="1"/>
  <c r="BA135" i="1"/>
  <c r="AW135" i="1"/>
  <c r="AW134" i="1"/>
  <c r="BA134" i="1"/>
  <c r="AZ134" i="1"/>
  <c r="BB134" i="1" s="1"/>
  <c r="AL133" i="1"/>
  <c r="AN134" i="1" s="1"/>
  <c r="AO133" i="1"/>
  <c r="AP133" i="1"/>
  <c r="BA132" i="1"/>
  <c r="AW132" i="1"/>
  <c r="AY133" i="1" s="1"/>
  <c r="AZ132" i="1"/>
  <c r="BB132" i="1" s="1"/>
  <c r="AO131" i="1"/>
  <c r="AL131" i="1"/>
  <c r="AN132" i="1" s="1"/>
  <c r="AP131" i="1"/>
  <c r="AW130" i="1"/>
  <c r="AY131" i="1" s="1"/>
  <c r="BA130" i="1"/>
  <c r="AZ130" i="1"/>
  <c r="BB130" i="1" s="1"/>
  <c r="AP129" i="1"/>
  <c r="AL129" i="1"/>
  <c r="AN130" i="1" s="1"/>
  <c r="AO129" i="1"/>
  <c r="AQ129" i="1" s="1"/>
  <c r="AP128" i="1"/>
  <c r="AO128" i="1"/>
  <c r="AQ128" i="1" s="1"/>
  <c r="AL128" i="1"/>
  <c r="AO126" i="1"/>
  <c r="AP126" i="1"/>
  <c r="AL126" i="1"/>
  <c r="AN127" i="1" s="1"/>
  <c r="AZ125" i="1"/>
  <c r="BA125" i="1"/>
  <c r="AW125" i="1"/>
  <c r="AY126" i="1" s="1"/>
  <c r="AZ124" i="1"/>
  <c r="BA124" i="1"/>
  <c r="AW124" i="1"/>
  <c r="AZ123" i="1"/>
  <c r="BA123" i="1"/>
  <c r="AW123" i="1"/>
  <c r="AO121" i="1"/>
  <c r="AP121" i="1"/>
  <c r="AL121" i="1"/>
  <c r="AN122" i="1" s="1"/>
  <c r="AZ120" i="1"/>
  <c r="BA120" i="1"/>
  <c r="AW120" i="1"/>
  <c r="AY121" i="1" s="1"/>
  <c r="AO119" i="1"/>
  <c r="AP119" i="1"/>
  <c r="AL119" i="1"/>
  <c r="AN120" i="1" s="1"/>
  <c r="AO118" i="1"/>
  <c r="AP118" i="1"/>
  <c r="AL118" i="1"/>
  <c r="AO117" i="1"/>
  <c r="AP117" i="1"/>
  <c r="AL117" i="1"/>
  <c r="AZ116" i="1"/>
  <c r="BA116" i="1"/>
  <c r="AW116" i="1"/>
  <c r="AY117" i="1" s="1"/>
  <c r="AO116" i="1"/>
  <c r="AP116" i="1"/>
  <c r="AL116" i="1"/>
  <c r="AZ115" i="1"/>
  <c r="BA115" i="1"/>
  <c r="AW115" i="1"/>
  <c r="AO114" i="1"/>
  <c r="AP114" i="1"/>
  <c r="AL114" i="1"/>
  <c r="AN115" i="1" s="1"/>
  <c r="AO113" i="1"/>
  <c r="AP113" i="1"/>
  <c r="AL113" i="1"/>
  <c r="AZ112" i="1"/>
  <c r="BA112" i="1"/>
  <c r="AW112" i="1"/>
  <c r="AY113" i="1" s="1"/>
  <c r="AZ111" i="1"/>
  <c r="BA111" i="1"/>
  <c r="AW111" i="1"/>
  <c r="AZ110" i="1"/>
  <c r="BA110" i="1"/>
  <c r="AW110" i="1"/>
  <c r="AZ109" i="1"/>
  <c r="BA109" i="1"/>
  <c r="AW109" i="1"/>
  <c r="AZ108" i="1"/>
  <c r="BA108" i="1"/>
  <c r="AW108" i="1"/>
  <c r="AO107" i="1"/>
  <c r="AP107" i="1"/>
  <c r="AL107" i="1"/>
  <c r="AN108" i="1" s="1"/>
  <c r="AZ106" i="1"/>
  <c r="BA106" i="1"/>
  <c r="AW106" i="1"/>
  <c r="AY107" i="1" s="1"/>
  <c r="AZ105" i="1"/>
  <c r="BA105" i="1"/>
  <c r="AW105" i="1"/>
  <c r="AZ104" i="1"/>
  <c r="BA104" i="1"/>
  <c r="AW104" i="1"/>
  <c r="AO103" i="1"/>
  <c r="AP103" i="1"/>
  <c r="AL103" i="1"/>
  <c r="AN104" i="1" s="1"/>
  <c r="AO101" i="1"/>
  <c r="AP101" i="1"/>
  <c r="AL101" i="1"/>
  <c r="AN102" i="1" s="1"/>
  <c r="AL100" i="1"/>
  <c r="AO100" i="1"/>
  <c r="AP100" i="1"/>
  <c r="AP98" i="1"/>
  <c r="AL98" i="1"/>
  <c r="AN99" i="1" s="1"/>
  <c r="AO98" i="1"/>
  <c r="AQ98" i="1" s="1"/>
  <c r="BA97" i="1"/>
  <c r="AZ97" i="1"/>
  <c r="BB97" i="1" s="1"/>
  <c r="AW97" i="1"/>
  <c r="AY98" i="1" s="1"/>
  <c r="AW96" i="1"/>
  <c r="BA96" i="1"/>
  <c r="AZ96" i="1"/>
  <c r="BB96" i="1" s="1"/>
  <c r="BA94" i="1"/>
  <c r="AZ94" i="1"/>
  <c r="AW94" i="1"/>
  <c r="AY95" i="1" s="1"/>
  <c r="AP93" i="1"/>
  <c r="AL93" i="1"/>
  <c r="AN94" i="1" s="1"/>
  <c r="AO93" i="1"/>
  <c r="AL92" i="1"/>
  <c r="AO92" i="1"/>
  <c r="AP92" i="1"/>
  <c r="AP91" i="1"/>
  <c r="AL91" i="1"/>
  <c r="AO91" i="1"/>
  <c r="AQ91" i="1" s="1"/>
  <c r="AZ90" i="1"/>
  <c r="BA90" i="1"/>
  <c r="AW90" i="1"/>
  <c r="AY91" i="1" s="1"/>
  <c r="AZ89" i="1"/>
  <c r="BA89" i="1"/>
  <c r="AW89" i="1"/>
  <c r="AP88" i="1"/>
  <c r="AL88" i="1"/>
  <c r="AN89" i="1" s="1"/>
  <c r="AO88" i="1"/>
  <c r="AQ88" i="1" s="1"/>
  <c r="AW87" i="1"/>
  <c r="AY88" i="1" s="1"/>
  <c r="BA87" i="1"/>
  <c r="AZ87" i="1"/>
  <c r="BB87" i="1" s="1"/>
  <c r="AW86" i="1"/>
  <c r="AZ86" i="1"/>
  <c r="BA86" i="1"/>
  <c r="AW84" i="1"/>
  <c r="AY85" i="1" s="1"/>
  <c r="AZ84" i="1"/>
  <c r="BA84" i="1"/>
  <c r="BA82" i="1"/>
  <c r="AZ82" i="1"/>
  <c r="BB82" i="1" s="1"/>
  <c r="AW82" i="1"/>
  <c r="AY83" i="1" s="1"/>
  <c r="BA81" i="1"/>
  <c r="AW81" i="1"/>
  <c r="AZ81" i="1"/>
  <c r="BB81" i="1" s="1"/>
  <c r="AW80" i="1"/>
  <c r="AZ80" i="1"/>
  <c r="BB80" i="1" s="1"/>
  <c r="BA80" i="1"/>
  <c r="BA78" i="1"/>
  <c r="AZ78" i="1"/>
  <c r="AW78" i="1"/>
  <c r="AY79" i="1" s="1"/>
  <c r="AW76" i="1"/>
  <c r="AZ76" i="1"/>
  <c r="BA76" i="1"/>
  <c r="AW77" i="1"/>
  <c r="BA77" i="1"/>
  <c r="AZ77" i="1"/>
  <c r="BB77" i="1" s="1"/>
  <c r="AO75" i="1"/>
  <c r="AP75" i="1"/>
  <c r="AL75" i="1"/>
  <c r="AN76" i="1" s="1"/>
  <c r="AZ74" i="1"/>
  <c r="BA74" i="1"/>
  <c r="AW74" i="1"/>
  <c r="AY75" i="1" s="1"/>
  <c r="AZ73" i="1"/>
  <c r="BA73" i="1"/>
  <c r="AW73" i="1"/>
  <c r="AZ72" i="1"/>
  <c r="BA72" i="1"/>
  <c r="AW72" i="1"/>
  <c r="AZ71" i="1"/>
  <c r="BA71" i="1"/>
  <c r="AW71" i="1"/>
  <c r="AO70" i="1"/>
  <c r="AP70" i="1"/>
  <c r="AL70" i="1"/>
  <c r="AN71" i="1" s="1"/>
  <c r="AZ69" i="1"/>
  <c r="BA69" i="1"/>
  <c r="AW69" i="1"/>
  <c r="AY70" i="1" s="1"/>
  <c r="AZ68" i="1"/>
  <c r="BA68" i="1"/>
  <c r="AW68" i="1"/>
  <c r="AO67" i="1"/>
  <c r="AP67" i="1"/>
  <c r="AL67" i="1"/>
  <c r="AN68" i="1" s="1"/>
  <c r="AO66" i="1"/>
  <c r="AP66" i="1"/>
  <c r="AL66" i="1"/>
  <c r="AZ65" i="1"/>
  <c r="BA65" i="1"/>
  <c r="AW65" i="1"/>
  <c r="AY66" i="1" s="1"/>
  <c r="AZ64" i="1"/>
  <c r="BA64" i="1"/>
  <c r="AW64" i="1"/>
  <c r="AZ63" i="1"/>
  <c r="BA63" i="1"/>
  <c r="AW63" i="1"/>
  <c r="AO62" i="1"/>
  <c r="AP62" i="1"/>
  <c r="AL62" i="1"/>
  <c r="AN63" i="1" s="1"/>
  <c r="AZ61" i="1"/>
  <c r="BA61" i="1"/>
  <c r="AW61" i="1"/>
  <c r="AY62" i="1" s="1"/>
  <c r="AO60" i="1"/>
  <c r="AP60" i="1"/>
  <c r="AL60" i="1"/>
  <c r="AN61" i="1" s="1"/>
  <c r="AZ59" i="1"/>
  <c r="BA59" i="1"/>
  <c r="AW59" i="1"/>
  <c r="AY60" i="1" s="1"/>
  <c r="AO58" i="1"/>
  <c r="AP58" i="1"/>
  <c r="AL58" i="1"/>
  <c r="AN59" i="1" s="1"/>
  <c r="AZ57" i="1"/>
  <c r="BA57" i="1"/>
  <c r="AW57" i="1"/>
  <c r="AY58" i="1" s="1"/>
  <c r="AZ55" i="1"/>
  <c r="BA55" i="1"/>
  <c r="AW55" i="1"/>
  <c r="AY56" i="1" s="1"/>
  <c r="AO54" i="1"/>
  <c r="AP54" i="1"/>
  <c r="AL54" i="1"/>
  <c r="AN55" i="1" s="1"/>
  <c r="AO53" i="1"/>
  <c r="AP53" i="1"/>
  <c r="AL53" i="1"/>
  <c r="AZ52" i="1"/>
  <c r="BA52" i="1"/>
  <c r="AW52" i="1"/>
  <c r="AY53" i="1" s="1"/>
  <c r="AZ51" i="1"/>
  <c r="BA51" i="1"/>
  <c r="AW51" i="1"/>
  <c r="AZ48" i="1"/>
  <c r="BA48" i="1"/>
  <c r="AW48" i="1"/>
  <c r="AY49" i="1" s="1"/>
  <c r="AZ47" i="1"/>
  <c r="BA47" i="1"/>
  <c r="AW47" i="1"/>
  <c r="AO46" i="1"/>
  <c r="AP46" i="1"/>
  <c r="AL46" i="1"/>
  <c r="AN47" i="1" s="1"/>
  <c r="AZ44" i="1"/>
  <c r="BA44" i="1"/>
  <c r="AW44" i="1"/>
  <c r="AY45" i="1" s="1"/>
  <c r="AZ43" i="1"/>
  <c r="BA43" i="1"/>
  <c r="AW43" i="1"/>
  <c r="AZ40" i="1"/>
  <c r="BA40" i="1"/>
  <c r="AW40" i="1"/>
  <c r="AY41" i="1" s="1"/>
  <c r="AZ39" i="1"/>
  <c r="BA39" i="1"/>
  <c r="AW39" i="1"/>
  <c r="AZ38" i="1"/>
  <c r="BA38" i="1"/>
  <c r="AW38" i="1"/>
  <c r="AZ37" i="1"/>
  <c r="BA37" i="1"/>
  <c r="AW37" i="1"/>
  <c r="AZ36" i="1"/>
  <c r="BA36" i="1"/>
  <c r="AW36" i="1"/>
  <c r="AZ35" i="1"/>
  <c r="BA35" i="1"/>
  <c r="AW35" i="1"/>
  <c r="AO34" i="1"/>
  <c r="AP34" i="1"/>
  <c r="AL34" i="1"/>
  <c r="AN35" i="1" s="1"/>
  <c r="AZ33" i="1"/>
  <c r="BA33" i="1"/>
  <c r="AW33" i="1"/>
  <c r="AY34" i="1" s="1"/>
  <c r="BA30" i="1"/>
  <c r="AW30" i="1"/>
  <c r="AY31" i="1" s="1"/>
  <c r="AZ30" i="1"/>
  <c r="BB30" i="1" s="1"/>
  <c r="BA29" i="1"/>
  <c r="AW29" i="1"/>
  <c r="AZ29" i="1"/>
  <c r="BB29" i="1" s="1"/>
  <c r="AZ27" i="1"/>
  <c r="AW27" i="1"/>
  <c r="AY28" i="1" s="1"/>
  <c r="BA27" i="1"/>
  <c r="AL26" i="1"/>
  <c r="AN27" i="1" s="1"/>
  <c r="AO26" i="1"/>
  <c r="AP26" i="1"/>
  <c r="AL27" i="1"/>
  <c r="AN28" i="1" s="1"/>
  <c r="AO27" i="1"/>
  <c r="AP27" i="1"/>
  <c r="AW25" i="1"/>
  <c r="AY26" i="1" s="1"/>
  <c r="AW26" i="1" s="1"/>
  <c r="AZ25" i="1"/>
  <c r="BA25" i="1"/>
  <c r="BA26" i="1"/>
  <c r="AZ26" i="1"/>
  <c r="BB26" i="1" s="1"/>
  <c r="AO25" i="1"/>
  <c r="AP25" i="1"/>
  <c r="AL25" i="1"/>
  <c r="AO24" i="1"/>
  <c r="AP24" i="1"/>
  <c r="AL24" i="1"/>
  <c r="AZ23" i="1"/>
  <c r="BA23" i="1"/>
  <c r="AW23" i="1"/>
  <c r="AY24" i="1" s="1"/>
  <c r="AO23" i="1"/>
  <c r="AP23" i="1"/>
  <c r="AL23" i="1"/>
  <c r="AZ22" i="1"/>
  <c r="BA22" i="1"/>
  <c r="AO22" i="1"/>
  <c r="AP22" i="1"/>
  <c r="AQ93" i="1" l="1"/>
  <c r="AO42" i="1"/>
  <c r="AP42" i="1"/>
  <c r="AL42" i="1"/>
  <c r="AN43" i="1" s="1"/>
  <c r="AO32" i="1"/>
  <c r="AP32" i="1"/>
  <c r="AL32" i="1"/>
  <c r="AN33" i="1" s="1"/>
  <c r="AZ143" i="1"/>
  <c r="AW143" i="1"/>
  <c r="AQ174" i="1"/>
  <c r="AQ166" i="1"/>
  <c r="AL175" i="1"/>
  <c r="AN176" i="1" s="1"/>
  <c r="AO175" i="1"/>
  <c r="AP175" i="1"/>
  <c r="AP147" i="1"/>
  <c r="AO147" i="1"/>
  <c r="AL147" i="1"/>
  <c r="AN148" i="1" s="1"/>
  <c r="AL127" i="1"/>
  <c r="AP127" i="1"/>
  <c r="AO127" i="1"/>
  <c r="AQ127" i="1" s="1"/>
  <c r="AO122" i="1"/>
  <c r="AP122" i="1"/>
  <c r="AL122" i="1"/>
  <c r="AN123" i="1" s="1"/>
  <c r="AL102" i="1"/>
  <c r="AP102" i="1"/>
  <c r="AO102" i="1"/>
  <c r="AP99" i="1"/>
  <c r="AL99" i="1"/>
  <c r="AO99" i="1"/>
  <c r="AP28" i="1"/>
  <c r="AL28" i="1"/>
  <c r="AN29" i="1" s="1"/>
  <c r="AO28" i="1"/>
  <c r="AQ133" i="1"/>
  <c r="BB125" i="1"/>
  <c r="BB124" i="1"/>
  <c r="AQ117" i="1"/>
  <c r="BB115" i="1"/>
  <c r="AQ114" i="1"/>
  <c r="BB112" i="1"/>
  <c r="BB106" i="1"/>
  <c r="BB104" i="1"/>
  <c r="AQ103" i="1"/>
  <c r="AQ100" i="1"/>
  <c r="AQ99" i="1"/>
  <c r="BB86" i="1"/>
  <c r="BB78" i="1"/>
  <c r="BB52" i="1"/>
  <c r="BB48" i="1"/>
  <c r="BB47" i="1"/>
  <c r="AQ46" i="1"/>
  <c r="BB44" i="1"/>
  <c r="AQ42" i="1"/>
  <c r="BB40" i="1"/>
  <c r="BB39" i="1"/>
  <c r="BB36" i="1"/>
  <c r="BB35" i="1"/>
  <c r="AQ34" i="1"/>
  <c r="BB33" i="1"/>
  <c r="BB27" i="1"/>
  <c r="AQ26" i="1"/>
  <c r="AQ27" i="1"/>
  <c r="BE27" i="1" s="1"/>
  <c r="BB25" i="1"/>
  <c r="AQ24" i="1"/>
  <c r="BB23" i="1"/>
  <c r="BB22" i="1"/>
  <c r="AQ22" i="1"/>
  <c r="AW174" i="1"/>
  <c r="AY175" i="1" s="1"/>
  <c r="BA174" i="1"/>
  <c r="AZ174" i="1"/>
  <c r="BB174" i="1" s="1"/>
  <c r="BE174" i="1" s="1"/>
  <c r="AL173" i="1"/>
  <c r="AO173" i="1"/>
  <c r="AP173" i="1"/>
  <c r="AW170" i="1"/>
  <c r="AY171" i="1" s="1"/>
  <c r="BA170" i="1"/>
  <c r="AZ170" i="1"/>
  <c r="BB170" i="1" s="1"/>
  <c r="AL169" i="1"/>
  <c r="AN170" i="1" s="1"/>
  <c r="AP169" i="1"/>
  <c r="AO169" i="1"/>
  <c r="AQ169" i="1" s="1"/>
  <c r="BE169" i="1" s="1"/>
  <c r="AZ168" i="1"/>
  <c r="AW168" i="1"/>
  <c r="BA168" i="1"/>
  <c r="AL167" i="1"/>
  <c r="AO167" i="1"/>
  <c r="AP167" i="1"/>
  <c r="AW166" i="1"/>
  <c r="AZ166" i="1"/>
  <c r="BA166" i="1"/>
  <c r="AL165" i="1"/>
  <c r="AP165" i="1"/>
  <c r="AO165" i="1"/>
  <c r="AQ165" i="1" s="1"/>
  <c r="AW163" i="1"/>
  <c r="AY164" i="1" s="1"/>
  <c r="BA163" i="1"/>
  <c r="AZ163" i="1"/>
  <c r="BB163" i="1" s="1"/>
  <c r="AW160" i="1"/>
  <c r="AZ160" i="1"/>
  <c r="BA160" i="1"/>
  <c r="AL158" i="1"/>
  <c r="AN159" i="1" s="1"/>
  <c r="AO158" i="1"/>
  <c r="AP158" i="1"/>
  <c r="AW157" i="1"/>
  <c r="AZ157" i="1"/>
  <c r="BA157" i="1"/>
  <c r="AP154" i="1"/>
  <c r="AO154" i="1"/>
  <c r="AQ154" i="1" s="1"/>
  <c r="BE154" i="1" s="1"/>
  <c r="AL154" i="1"/>
  <c r="AN155" i="1" s="1"/>
  <c r="BA153" i="1"/>
  <c r="AZ153" i="1"/>
  <c r="BB153" i="1" s="1"/>
  <c r="AW153" i="1"/>
  <c r="AZ150" i="1"/>
  <c r="AW150" i="1"/>
  <c r="BA150" i="1"/>
  <c r="AO148" i="1"/>
  <c r="AP148" i="1"/>
  <c r="AL148" i="1"/>
  <c r="AN149" i="1" s="1"/>
  <c r="BA146" i="1"/>
  <c r="AZ146" i="1"/>
  <c r="BB146" i="1" s="1"/>
  <c r="AW146" i="1"/>
  <c r="AY147" i="1" s="1"/>
  <c r="AO144" i="1"/>
  <c r="AL144" i="1"/>
  <c r="AN145" i="1" s="1"/>
  <c r="AP144" i="1"/>
  <c r="AO141" i="1"/>
  <c r="AL141" i="1"/>
  <c r="AP141" i="1"/>
  <c r="AZ140" i="1"/>
  <c r="AW140" i="1"/>
  <c r="BA140" i="1"/>
  <c r="AO138" i="1"/>
  <c r="AL138" i="1"/>
  <c r="AN139" i="1" s="1"/>
  <c r="AP138" i="1"/>
  <c r="AW137" i="1"/>
  <c r="AZ137" i="1"/>
  <c r="BA137" i="1"/>
  <c r="AO134" i="1"/>
  <c r="AL134" i="1"/>
  <c r="AN135" i="1" s="1"/>
  <c r="AP134" i="1"/>
  <c r="AW133" i="1"/>
  <c r="BA133" i="1"/>
  <c r="AZ133" i="1"/>
  <c r="BB133" i="1" s="1"/>
  <c r="BE133" i="1" s="1"/>
  <c r="AO132" i="1"/>
  <c r="AL132" i="1"/>
  <c r="AP132" i="1"/>
  <c r="BA131" i="1"/>
  <c r="AZ131" i="1"/>
  <c r="BB131" i="1" s="1"/>
  <c r="AW131" i="1"/>
  <c r="AO130" i="1"/>
  <c r="AL130" i="1"/>
  <c r="AP130" i="1"/>
  <c r="BA126" i="1"/>
  <c r="AW126" i="1"/>
  <c r="AY127" i="1" s="1"/>
  <c r="AZ126" i="1"/>
  <c r="BB126" i="1" s="1"/>
  <c r="AL123" i="1"/>
  <c r="AN124" i="1" s="1"/>
  <c r="AP123" i="1"/>
  <c r="AO123" i="1"/>
  <c r="AQ123" i="1" s="1"/>
  <c r="AW121" i="1"/>
  <c r="AY122" i="1" s="1"/>
  <c r="BA121" i="1"/>
  <c r="AZ121" i="1"/>
  <c r="BB121" i="1" s="1"/>
  <c r="AL120" i="1"/>
  <c r="AP120" i="1"/>
  <c r="AO120" i="1"/>
  <c r="AQ120" i="1" s="1"/>
  <c r="AW117" i="1"/>
  <c r="AY118" i="1" s="1"/>
  <c r="BA117" i="1"/>
  <c r="AZ117" i="1"/>
  <c r="BB117" i="1" s="1"/>
  <c r="BE117" i="1" s="1"/>
  <c r="AL115" i="1"/>
  <c r="AP115" i="1"/>
  <c r="AO115" i="1"/>
  <c r="AQ115" i="1" s="1"/>
  <c r="BE115" i="1" s="1"/>
  <c r="AW113" i="1"/>
  <c r="AY114" i="1" s="1"/>
  <c r="BA113" i="1"/>
  <c r="AZ113" i="1"/>
  <c r="BB113" i="1" s="1"/>
  <c r="AL108" i="1"/>
  <c r="AN109" i="1" s="1"/>
  <c r="AP108" i="1"/>
  <c r="AO108" i="1"/>
  <c r="AQ108" i="1" s="1"/>
  <c r="AW107" i="1"/>
  <c r="BA107" i="1"/>
  <c r="AZ107" i="1"/>
  <c r="AL104" i="1"/>
  <c r="AN105" i="1" s="1"/>
  <c r="AP104" i="1"/>
  <c r="AO104" i="1"/>
  <c r="BA98" i="1"/>
  <c r="AW98" i="1"/>
  <c r="AY99" i="1" s="1"/>
  <c r="AZ98" i="1"/>
  <c r="BB98" i="1" s="1"/>
  <c r="BE98" i="1" s="1"/>
  <c r="AZ95" i="1"/>
  <c r="BA95" i="1"/>
  <c r="AW95" i="1"/>
  <c r="AO94" i="1"/>
  <c r="AL94" i="1"/>
  <c r="AN95" i="1" s="1"/>
  <c r="AP94" i="1"/>
  <c r="BA91" i="1"/>
  <c r="AZ91" i="1"/>
  <c r="BB91" i="1" s="1"/>
  <c r="BE91" i="1" s="1"/>
  <c r="AW91" i="1"/>
  <c r="AY92" i="1" s="1"/>
  <c r="AL89" i="1"/>
  <c r="AN90" i="1" s="1"/>
  <c r="AO89" i="1"/>
  <c r="AP89" i="1"/>
  <c r="BA88" i="1"/>
  <c r="AZ88" i="1"/>
  <c r="BB88" i="1" s="1"/>
  <c r="BE88" i="1" s="1"/>
  <c r="AW88" i="1"/>
  <c r="BA85" i="1"/>
  <c r="AW85" i="1"/>
  <c r="AZ85" i="1"/>
  <c r="BB85" i="1" s="1"/>
  <c r="BA83" i="1"/>
  <c r="AZ83" i="1"/>
  <c r="BB83" i="1" s="1"/>
  <c r="AW83" i="1"/>
  <c r="BA79" i="1"/>
  <c r="AZ79" i="1"/>
  <c r="BB79" i="1" s="1"/>
  <c r="AW79" i="1"/>
  <c r="AO76" i="1"/>
  <c r="AP76" i="1"/>
  <c r="AL76" i="1"/>
  <c r="AN77" i="1" s="1"/>
  <c r="AW75" i="1"/>
  <c r="BA75" i="1"/>
  <c r="AZ75" i="1"/>
  <c r="BB75" i="1" s="1"/>
  <c r="AL71" i="1"/>
  <c r="AN72" i="1" s="1"/>
  <c r="AP71" i="1"/>
  <c r="AO71" i="1"/>
  <c r="AW70" i="1"/>
  <c r="BA70" i="1"/>
  <c r="AZ70" i="1"/>
  <c r="BB70" i="1" s="1"/>
  <c r="AL68" i="1"/>
  <c r="AN69" i="1" s="1"/>
  <c r="AP68" i="1"/>
  <c r="AO68" i="1"/>
  <c r="AQ68" i="1" s="1"/>
  <c r="AW66" i="1"/>
  <c r="AY67" i="1" s="1"/>
  <c r="BA66" i="1"/>
  <c r="AZ66" i="1"/>
  <c r="BB66" i="1" s="1"/>
  <c r="AL63" i="1"/>
  <c r="AN64" i="1" s="1"/>
  <c r="AP63" i="1"/>
  <c r="AO63" i="1"/>
  <c r="AQ63" i="1" s="1"/>
  <c r="AW62" i="1"/>
  <c r="BA62" i="1"/>
  <c r="AZ62" i="1"/>
  <c r="BB62" i="1" s="1"/>
  <c r="AL61" i="1"/>
  <c r="AP61" i="1"/>
  <c r="AO61" i="1"/>
  <c r="AQ61" i="1" s="1"/>
  <c r="AW60" i="1"/>
  <c r="BA60" i="1"/>
  <c r="AZ60" i="1"/>
  <c r="BB60" i="1" s="1"/>
  <c r="AL59" i="1"/>
  <c r="AP59" i="1"/>
  <c r="AO59" i="1"/>
  <c r="AQ59" i="1" s="1"/>
  <c r="AW58" i="1"/>
  <c r="BA58" i="1"/>
  <c r="AZ58" i="1"/>
  <c r="AW56" i="1"/>
  <c r="BA56" i="1"/>
  <c r="AZ56" i="1"/>
  <c r="BB56" i="1" s="1"/>
  <c r="AL55" i="1"/>
  <c r="AN56" i="1" s="1"/>
  <c r="AP55" i="1"/>
  <c r="AO55" i="1"/>
  <c r="AQ55" i="1" s="1"/>
  <c r="AW53" i="1"/>
  <c r="AY54" i="1" s="1"/>
  <c r="BA53" i="1"/>
  <c r="AZ53" i="1"/>
  <c r="BB53" i="1" s="1"/>
  <c r="AW49" i="1"/>
  <c r="AY50" i="1" s="1"/>
  <c r="BA49" i="1"/>
  <c r="AZ49" i="1"/>
  <c r="BB49" i="1" s="1"/>
  <c r="AL47" i="1"/>
  <c r="AN48" i="1" s="1"/>
  <c r="AP47" i="1"/>
  <c r="AO47" i="1"/>
  <c r="AQ47" i="1" s="1"/>
  <c r="BE47" i="1" s="1"/>
  <c r="AW45" i="1"/>
  <c r="AY46" i="1" s="1"/>
  <c r="BA45" i="1"/>
  <c r="AZ45" i="1"/>
  <c r="BB45" i="1" s="1"/>
  <c r="AL43" i="1"/>
  <c r="AN44" i="1" s="1"/>
  <c r="AP43" i="1"/>
  <c r="AO43" i="1"/>
  <c r="AQ43" i="1" s="1"/>
  <c r="AW41" i="1"/>
  <c r="AY42" i="1" s="1"/>
  <c r="BA41" i="1"/>
  <c r="AZ41" i="1"/>
  <c r="BB41" i="1" s="1"/>
  <c r="AL35" i="1"/>
  <c r="AN36" i="1" s="1"/>
  <c r="AP35" i="1"/>
  <c r="AO35" i="1"/>
  <c r="AQ35" i="1" s="1"/>
  <c r="BE35" i="1" s="1"/>
  <c r="AW34" i="1"/>
  <c r="BA34" i="1"/>
  <c r="AZ34" i="1"/>
  <c r="BB34" i="1" s="1"/>
  <c r="BE34" i="1" s="1"/>
  <c r="AL33" i="1"/>
  <c r="AP33" i="1"/>
  <c r="AO33" i="1"/>
  <c r="AQ33" i="1" s="1"/>
  <c r="BE33" i="1" s="1"/>
  <c r="AW31" i="1"/>
  <c r="AY32" i="1" s="1"/>
  <c r="BA31" i="1"/>
  <c r="AZ31" i="1"/>
  <c r="BB31" i="1" s="1"/>
  <c r="AP29" i="1"/>
  <c r="AL29" i="1"/>
  <c r="AN30" i="1" s="1"/>
  <c r="AO29" i="1"/>
  <c r="AQ29" i="1" s="1"/>
  <c r="BE29" i="1" s="1"/>
  <c r="AW28" i="1"/>
  <c r="BA28" i="1"/>
  <c r="AZ28" i="1"/>
  <c r="BB28" i="1" s="1"/>
  <c r="AW24" i="1"/>
  <c r="BA24" i="1"/>
  <c r="AZ24" i="1"/>
  <c r="BB24" i="1" s="1"/>
  <c r="BE24" i="1" s="1"/>
  <c r="BC22" i="1"/>
  <c r="BC23" i="1" s="1"/>
  <c r="AR22" i="1"/>
  <c r="BE22" i="1"/>
  <c r="AQ75" i="1"/>
  <c r="BB74" i="1"/>
  <c r="BB73" i="1"/>
  <c r="BB72" i="1"/>
  <c r="BB71" i="1"/>
  <c r="AQ70" i="1"/>
  <c r="BB69" i="1"/>
  <c r="BB68" i="1"/>
  <c r="AQ67" i="1"/>
  <c r="AQ66" i="1"/>
  <c r="BB65" i="1"/>
  <c r="BB64" i="1"/>
  <c r="BB63" i="1"/>
  <c r="AQ62" i="1"/>
  <c r="BB61" i="1"/>
  <c r="AQ60" i="1"/>
  <c r="BB59" i="1"/>
  <c r="AQ58" i="1"/>
  <c r="BB57" i="1"/>
  <c r="BB55" i="1"/>
  <c r="AQ54" i="1"/>
  <c r="AQ53" i="1"/>
  <c r="AQ28" i="1"/>
  <c r="BE28" i="1" s="1"/>
  <c r="AQ25" i="1"/>
  <c r="BE25" i="1" s="1"/>
  <c r="BB94" i="1"/>
  <c r="BB51" i="1"/>
  <c r="BE26" i="1"/>
  <c r="BB173" i="1"/>
  <c r="BB165" i="1"/>
  <c r="AQ164" i="1"/>
  <c r="AQ163" i="1"/>
  <c r="BB159" i="1"/>
  <c r="AQ157" i="1"/>
  <c r="BB155" i="1"/>
  <c r="AQ153" i="1"/>
  <c r="AQ147" i="1"/>
  <c r="AQ146" i="1"/>
  <c r="BB143" i="1"/>
  <c r="AQ143" i="1"/>
  <c r="BE143" i="1" s="1"/>
  <c r="BE142" i="1"/>
  <c r="AQ137" i="1"/>
  <c r="BB135" i="1"/>
  <c r="AQ131" i="1"/>
  <c r="AQ126" i="1"/>
  <c r="BB123" i="1"/>
  <c r="AQ122" i="1"/>
  <c r="AQ121" i="1"/>
  <c r="AQ118" i="1"/>
  <c r="BB111" i="1"/>
  <c r="BB110" i="1"/>
  <c r="BB108" i="1"/>
  <c r="AQ107" i="1"/>
  <c r="BB105" i="1"/>
  <c r="AQ102" i="1"/>
  <c r="BB90" i="1"/>
  <c r="BB89" i="1"/>
  <c r="BB84" i="1"/>
  <c r="BB43" i="1"/>
  <c r="BB37" i="1"/>
  <c r="BB120" i="1"/>
  <c r="AQ119" i="1"/>
  <c r="BB116" i="1"/>
  <c r="AQ116" i="1"/>
  <c r="BE116" i="1" s="1"/>
  <c r="AQ113" i="1"/>
  <c r="BB109" i="1"/>
  <c r="AQ101" i="1"/>
  <c r="AQ92" i="1"/>
  <c r="BB76" i="1"/>
  <c r="BB38" i="1"/>
  <c r="AQ32" i="1"/>
  <c r="AQ23" i="1"/>
  <c r="BE68" i="1" l="1"/>
  <c r="BE63" i="1"/>
  <c r="BE61" i="1"/>
  <c r="BB58" i="1"/>
  <c r="BC24" i="1"/>
  <c r="BC25" i="1" s="1"/>
  <c r="BC26" i="1" s="1"/>
  <c r="BC27" i="1" s="1"/>
  <c r="BC28" i="1" s="1"/>
  <c r="BC29" i="1" s="1"/>
  <c r="BC30" i="1" s="1"/>
  <c r="BC31" i="1" s="1"/>
  <c r="AL176" i="1"/>
  <c r="AP176" i="1"/>
  <c r="AO176" i="1"/>
  <c r="AQ176" i="1" s="1"/>
  <c r="AQ175" i="1"/>
  <c r="AL170" i="1"/>
  <c r="AN171" i="1" s="1"/>
  <c r="AO170" i="1"/>
  <c r="AP170" i="1"/>
  <c r="AL95" i="1"/>
  <c r="AN96" i="1" s="1"/>
  <c r="AP95" i="1"/>
  <c r="AO95" i="1"/>
  <c r="AQ95" i="1" s="1"/>
  <c r="AL56" i="1"/>
  <c r="AN57" i="1" s="1"/>
  <c r="AP56" i="1"/>
  <c r="AO56" i="1"/>
  <c r="AQ56" i="1" s="1"/>
  <c r="BE123" i="1"/>
  <c r="BE59" i="1"/>
  <c r="BE55" i="1"/>
  <c r="BE165" i="1"/>
  <c r="BB107" i="1"/>
  <c r="BE120" i="1"/>
  <c r="BE108" i="1"/>
  <c r="AQ104" i="1"/>
  <c r="BE104" i="1" s="1"/>
  <c r="AQ94" i="1"/>
  <c r="BE94" i="1" s="1"/>
  <c r="AW175" i="1"/>
  <c r="AY176" i="1" s="1"/>
  <c r="BA175" i="1"/>
  <c r="AZ175" i="1"/>
  <c r="BB175" i="1" s="1"/>
  <c r="BE175" i="1" s="1"/>
  <c r="AW171" i="1"/>
  <c r="AY172" i="1" s="1"/>
  <c r="BA171" i="1"/>
  <c r="AZ171" i="1"/>
  <c r="BB171" i="1" s="1"/>
  <c r="AW164" i="1"/>
  <c r="BA164" i="1"/>
  <c r="AZ164" i="1"/>
  <c r="BB164" i="1" s="1"/>
  <c r="BE164" i="1" s="1"/>
  <c r="AL159" i="1"/>
  <c r="AN160" i="1" s="1"/>
  <c r="AP159" i="1"/>
  <c r="AO159" i="1"/>
  <c r="AQ159" i="1" s="1"/>
  <c r="BE159" i="1" s="1"/>
  <c r="AO155" i="1"/>
  <c r="AL155" i="1"/>
  <c r="AN156" i="1" s="1"/>
  <c r="AP155" i="1"/>
  <c r="AL149" i="1"/>
  <c r="AN150" i="1" s="1"/>
  <c r="AO149" i="1"/>
  <c r="AP149" i="1"/>
  <c r="BA147" i="1"/>
  <c r="AW147" i="1"/>
  <c r="AZ147" i="1"/>
  <c r="BB147" i="1" s="1"/>
  <c r="BE147" i="1" s="1"/>
  <c r="AO145" i="1"/>
  <c r="AL145" i="1"/>
  <c r="AP145" i="1"/>
  <c r="AO139" i="1"/>
  <c r="AL139" i="1"/>
  <c r="AP139" i="1"/>
  <c r="AO135" i="1"/>
  <c r="AL135" i="1"/>
  <c r="AN136" i="1" s="1"/>
  <c r="AP135" i="1"/>
  <c r="AZ127" i="1"/>
  <c r="AW127" i="1"/>
  <c r="AY128" i="1" s="1"/>
  <c r="BA127" i="1"/>
  <c r="AL124" i="1"/>
  <c r="AN125" i="1" s="1"/>
  <c r="AP124" i="1"/>
  <c r="AO124" i="1"/>
  <c r="AQ124" i="1" s="1"/>
  <c r="BE124" i="1" s="1"/>
  <c r="AW122" i="1"/>
  <c r="BA122" i="1"/>
  <c r="AZ122" i="1"/>
  <c r="BB122" i="1" s="1"/>
  <c r="BE122" i="1" s="1"/>
  <c r="AW118" i="1"/>
  <c r="AY119" i="1" s="1"/>
  <c r="BA118" i="1"/>
  <c r="AZ118" i="1"/>
  <c r="BB118" i="1" s="1"/>
  <c r="BE118" i="1" s="1"/>
  <c r="AW114" i="1"/>
  <c r="BA114" i="1"/>
  <c r="AZ114" i="1"/>
  <c r="BB114" i="1" s="1"/>
  <c r="BE114" i="1" s="1"/>
  <c r="AL109" i="1"/>
  <c r="AN110" i="1" s="1"/>
  <c r="AP109" i="1"/>
  <c r="AO109" i="1"/>
  <c r="AQ109" i="1" s="1"/>
  <c r="BE109" i="1" s="1"/>
  <c r="AL105" i="1"/>
  <c r="AN106" i="1" s="1"/>
  <c r="AP105" i="1"/>
  <c r="AO105" i="1"/>
  <c r="AQ105" i="1" s="1"/>
  <c r="BE105" i="1" s="1"/>
  <c r="BA99" i="1"/>
  <c r="AZ99" i="1"/>
  <c r="BB99" i="1" s="1"/>
  <c r="BE99" i="1" s="1"/>
  <c r="AW99" i="1"/>
  <c r="AY100" i="1" s="1"/>
  <c r="AW92" i="1"/>
  <c r="AY93" i="1" s="1"/>
  <c r="AZ92" i="1"/>
  <c r="BA92" i="1"/>
  <c r="AO90" i="1"/>
  <c r="AP90" i="1"/>
  <c r="AL90" i="1"/>
  <c r="AP77" i="1"/>
  <c r="AL77" i="1"/>
  <c r="AN78" i="1" s="1"/>
  <c r="AO77" i="1"/>
  <c r="AQ77" i="1" s="1"/>
  <c r="BE77" i="1" s="1"/>
  <c r="AL72" i="1"/>
  <c r="AN73" i="1" s="1"/>
  <c r="AP72" i="1"/>
  <c r="AO72" i="1"/>
  <c r="AQ72" i="1" s="1"/>
  <c r="BE72" i="1" s="1"/>
  <c r="AL69" i="1"/>
  <c r="AP69" i="1"/>
  <c r="AO69" i="1"/>
  <c r="AQ69" i="1" s="1"/>
  <c r="BE69" i="1" s="1"/>
  <c r="AW67" i="1"/>
  <c r="BA67" i="1"/>
  <c r="AZ67" i="1"/>
  <c r="BB67" i="1" s="1"/>
  <c r="BE67" i="1" s="1"/>
  <c r="AL64" i="1"/>
  <c r="AN65" i="1" s="1"/>
  <c r="AP64" i="1"/>
  <c r="AO64" i="1"/>
  <c r="AQ64" i="1" s="1"/>
  <c r="BE64" i="1" s="1"/>
  <c r="AW54" i="1"/>
  <c r="BA54" i="1"/>
  <c r="AZ54" i="1"/>
  <c r="BB54" i="1" s="1"/>
  <c r="BE54" i="1" s="1"/>
  <c r="AW50" i="1"/>
  <c r="BA50" i="1"/>
  <c r="AZ50" i="1"/>
  <c r="BB50" i="1" s="1"/>
  <c r="AL48" i="1"/>
  <c r="AN49" i="1" s="1"/>
  <c r="AP48" i="1"/>
  <c r="AO48" i="1"/>
  <c r="AQ48" i="1" s="1"/>
  <c r="BE48" i="1" s="1"/>
  <c r="AW46" i="1"/>
  <c r="BA46" i="1"/>
  <c r="AZ46" i="1"/>
  <c r="BB46" i="1" s="1"/>
  <c r="BE46" i="1" s="1"/>
  <c r="AL44" i="1"/>
  <c r="AN45" i="1" s="1"/>
  <c r="AP44" i="1"/>
  <c r="AO44" i="1"/>
  <c r="AQ44" i="1" s="1"/>
  <c r="BE44" i="1" s="1"/>
  <c r="AW42" i="1"/>
  <c r="BA42" i="1"/>
  <c r="AZ42" i="1"/>
  <c r="BB42" i="1" s="1"/>
  <c r="BE42" i="1" s="1"/>
  <c r="AL36" i="1"/>
  <c r="AN37" i="1" s="1"/>
  <c r="AP36" i="1"/>
  <c r="AO36" i="1"/>
  <c r="AQ36" i="1" s="1"/>
  <c r="BE36" i="1" s="1"/>
  <c r="AW32" i="1"/>
  <c r="BA32" i="1"/>
  <c r="AZ32" i="1"/>
  <c r="BB32" i="1" s="1"/>
  <c r="AL30" i="1"/>
  <c r="AN31" i="1" s="1"/>
  <c r="AP30" i="1"/>
  <c r="AO30" i="1"/>
  <c r="AQ30" i="1" s="1"/>
  <c r="BF22" i="1"/>
  <c r="BE43" i="1"/>
  <c r="AR23" i="1"/>
  <c r="AR24" i="1" s="1"/>
  <c r="AR25" i="1" s="1"/>
  <c r="AR26" i="1" s="1"/>
  <c r="AR27" i="1" s="1"/>
  <c r="AR28" i="1" s="1"/>
  <c r="AR29" i="1" s="1"/>
  <c r="AR30" i="1" s="1"/>
  <c r="BE75" i="1"/>
  <c r="BE70" i="1"/>
  <c r="BE66" i="1"/>
  <c r="BE62" i="1"/>
  <c r="BE60" i="1"/>
  <c r="BE58" i="1"/>
  <c r="BE56" i="1"/>
  <c r="BE53" i="1"/>
  <c r="BE163" i="1"/>
  <c r="BE153" i="1"/>
  <c r="BE146" i="1"/>
  <c r="BE131" i="1"/>
  <c r="BE126" i="1"/>
  <c r="BE121" i="1"/>
  <c r="BE107" i="1"/>
  <c r="BE113" i="1"/>
  <c r="AQ173" i="1"/>
  <c r="BE173" i="1" s="1"/>
  <c r="BB168" i="1"/>
  <c r="BE168" i="1" s="1"/>
  <c r="AQ167" i="1"/>
  <c r="BE167" i="1" s="1"/>
  <c r="BB166" i="1"/>
  <c r="BE166" i="1" s="1"/>
  <c r="BB160" i="1"/>
  <c r="AQ158" i="1"/>
  <c r="BE158" i="1" s="1"/>
  <c r="BB157" i="1"/>
  <c r="BE157" i="1" s="1"/>
  <c r="BB150" i="1"/>
  <c r="AQ148" i="1"/>
  <c r="BE148" i="1" s="1"/>
  <c r="AQ144" i="1"/>
  <c r="BE144" i="1" s="1"/>
  <c r="AQ141" i="1"/>
  <c r="BE141" i="1" s="1"/>
  <c r="BB140" i="1"/>
  <c r="BE140" i="1" s="1"/>
  <c r="AQ138" i="1"/>
  <c r="BE138" i="1" s="1"/>
  <c r="BB137" i="1"/>
  <c r="BE137" i="1" s="1"/>
  <c r="AQ134" i="1"/>
  <c r="BE134" i="1" s="1"/>
  <c r="AQ132" i="1"/>
  <c r="BE132" i="1" s="1"/>
  <c r="AQ130" i="1"/>
  <c r="BE130" i="1" s="1"/>
  <c r="BB95" i="1"/>
  <c r="BE95" i="1" s="1"/>
  <c r="AQ89" i="1"/>
  <c r="BE89" i="1" s="1"/>
  <c r="AQ71" i="1"/>
  <c r="BE71" i="1" s="1"/>
  <c r="AQ76" i="1"/>
  <c r="BE76" i="1" s="1"/>
  <c r="BE23" i="1"/>
  <c r="AL171" i="1" l="1"/>
  <c r="AP171" i="1"/>
  <c r="AO171" i="1"/>
  <c r="AQ171" i="1" s="1"/>
  <c r="BE171" i="1" s="1"/>
  <c r="AP96" i="1"/>
  <c r="AO96" i="1"/>
  <c r="AQ96" i="1" s="1"/>
  <c r="BE96" i="1" s="1"/>
  <c r="AL96" i="1"/>
  <c r="AN97" i="1" s="1"/>
  <c r="AO57" i="1"/>
  <c r="AP57" i="1"/>
  <c r="AL57" i="1"/>
  <c r="AQ170" i="1"/>
  <c r="BE170" i="1" s="1"/>
  <c r="AL160" i="1"/>
  <c r="AN161" i="1" s="1"/>
  <c r="AO160" i="1"/>
  <c r="AP160" i="1"/>
  <c r="AO150" i="1"/>
  <c r="AP150" i="1"/>
  <c r="AL150" i="1"/>
  <c r="AN151" i="1" s="1"/>
  <c r="AL49" i="1"/>
  <c r="AN50" i="1" s="1"/>
  <c r="AP49" i="1"/>
  <c r="AO49" i="1"/>
  <c r="AQ49" i="1" s="1"/>
  <c r="BE49" i="1" s="1"/>
  <c r="AL45" i="1"/>
  <c r="AP45" i="1"/>
  <c r="AO45" i="1"/>
  <c r="AQ45" i="1" s="1"/>
  <c r="BE45" i="1" s="1"/>
  <c r="AO31" i="1"/>
  <c r="AP31" i="1"/>
  <c r="AL31" i="1"/>
  <c r="BF23" i="1"/>
  <c r="BF24" i="1" s="1"/>
  <c r="BF25" i="1" s="1"/>
  <c r="BF26" i="1" s="1"/>
  <c r="BF27" i="1" s="1"/>
  <c r="BF28" i="1" s="1"/>
  <c r="BF29" i="1" s="1"/>
  <c r="AW176" i="1"/>
  <c r="BA176" i="1"/>
  <c r="AZ176" i="1"/>
  <c r="BB176" i="1" s="1"/>
  <c r="BE176" i="1" s="1"/>
  <c r="AW172" i="1"/>
  <c r="AZ172" i="1"/>
  <c r="BA172" i="1"/>
  <c r="AL156" i="1"/>
  <c r="AP156" i="1"/>
  <c r="AO156" i="1"/>
  <c r="AQ156" i="1" s="1"/>
  <c r="BE156" i="1" s="1"/>
  <c r="AP136" i="1"/>
  <c r="AO136" i="1"/>
  <c r="AQ136" i="1" s="1"/>
  <c r="BE136" i="1" s="1"/>
  <c r="AL136" i="1"/>
  <c r="AW128" i="1"/>
  <c r="AY129" i="1" s="1"/>
  <c r="AZ128" i="1"/>
  <c r="BA128" i="1"/>
  <c r="AL125" i="1"/>
  <c r="AP125" i="1"/>
  <c r="AO125" i="1"/>
  <c r="AQ125" i="1" s="1"/>
  <c r="BE125" i="1" s="1"/>
  <c r="AW119" i="1"/>
  <c r="BA119" i="1"/>
  <c r="AZ119" i="1"/>
  <c r="BB119" i="1" s="1"/>
  <c r="BE119" i="1" s="1"/>
  <c r="AL110" i="1"/>
  <c r="AN111" i="1" s="1"/>
  <c r="AP110" i="1"/>
  <c r="AO110" i="1"/>
  <c r="AQ110" i="1" s="1"/>
  <c r="BE110" i="1" s="1"/>
  <c r="AL106" i="1"/>
  <c r="AP106" i="1"/>
  <c r="AO106" i="1"/>
  <c r="AQ106" i="1" s="1"/>
  <c r="BE106" i="1" s="1"/>
  <c r="BA100" i="1"/>
  <c r="AZ100" i="1"/>
  <c r="BB100" i="1" s="1"/>
  <c r="BE100" i="1" s="1"/>
  <c r="AW100" i="1"/>
  <c r="AY101" i="1" s="1"/>
  <c r="BA93" i="1"/>
  <c r="AZ93" i="1"/>
  <c r="BB93" i="1" s="1"/>
  <c r="BE93" i="1" s="1"/>
  <c r="AW93" i="1"/>
  <c r="AO78" i="1"/>
  <c r="AL78" i="1"/>
  <c r="AN79" i="1" s="1"/>
  <c r="AP78" i="1"/>
  <c r="AL73" i="1"/>
  <c r="AN74" i="1" s="1"/>
  <c r="AP73" i="1"/>
  <c r="AO73" i="1"/>
  <c r="AL65" i="1"/>
  <c r="AP65" i="1"/>
  <c r="AO65" i="1"/>
  <c r="AQ65" i="1" s="1"/>
  <c r="BE65" i="1" s="1"/>
  <c r="AL37" i="1"/>
  <c r="AN38" i="1" s="1"/>
  <c r="AP37" i="1"/>
  <c r="AO37" i="1"/>
  <c r="AQ37" i="1" s="1"/>
  <c r="BE32" i="1"/>
  <c r="BC32" i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AQ155" i="1"/>
  <c r="BE155" i="1" s="1"/>
  <c r="AQ149" i="1"/>
  <c r="BE149" i="1" s="1"/>
  <c r="AQ145" i="1"/>
  <c r="BE145" i="1" s="1"/>
  <c r="AQ139" i="1"/>
  <c r="BE139" i="1" s="1"/>
  <c r="AQ135" i="1"/>
  <c r="BE135" i="1" s="1"/>
  <c r="BB127" i="1"/>
  <c r="BE127" i="1" s="1"/>
  <c r="BB92" i="1"/>
  <c r="AQ90" i="1"/>
  <c r="BE90" i="1" s="1"/>
  <c r="BE30" i="1"/>
  <c r="AQ73" i="1" l="1"/>
  <c r="BE73" i="1" s="1"/>
  <c r="AL97" i="1"/>
  <c r="AO97" i="1"/>
  <c r="AP97" i="1"/>
  <c r="AP161" i="1"/>
  <c r="AO161" i="1"/>
  <c r="AQ161" i="1" s="1"/>
  <c r="BE161" i="1" s="1"/>
  <c r="AL161" i="1"/>
  <c r="AN162" i="1" s="1"/>
  <c r="AO151" i="1"/>
  <c r="AP151" i="1"/>
  <c r="AL151" i="1"/>
  <c r="AN152" i="1" s="1"/>
  <c r="AL50" i="1"/>
  <c r="AN51" i="1" s="1"/>
  <c r="AP50" i="1"/>
  <c r="AO50" i="1"/>
  <c r="AQ57" i="1"/>
  <c r="BE57" i="1" s="1"/>
  <c r="AQ160" i="1"/>
  <c r="BE160" i="1" s="1"/>
  <c r="AQ150" i="1"/>
  <c r="BE150" i="1" s="1"/>
  <c r="AQ31" i="1"/>
  <c r="AO79" i="1"/>
  <c r="AP79" i="1"/>
  <c r="AL79" i="1"/>
  <c r="AN80" i="1" s="1"/>
  <c r="BF30" i="1"/>
  <c r="BA129" i="1"/>
  <c r="AZ129" i="1"/>
  <c r="BB129" i="1" s="1"/>
  <c r="BE129" i="1" s="1"/>
  <c r="AW129" i="1"/>
  <c r="AL111" i="1"/>
  <c r="AN112" i="1" s="1"/>
  <c r="AP111" i="1"/>
  <c r="AO111" i="1"/>
  <c r="AQ111" i="1" s="1"/>
  <c r="BE111" i="1" s="1"/>
  <c r="AW101" i="1"/>
  <c r="AY102" i="1" s="1"/>
  <c r="BA101" i="1"/>
  <c r="AZ101" i="1"/>
  <c r="BB101" i="1" s="1"/>
  <c r="BE101" i="1" s="1"/>
  <c r="AL74" i="1"/>
  <c r="AP74" i="1"/>
  <c r="AO74" i="1"/>
  <c r="AQ74" i="1" s="1"/>
  <c r="BE74" i="1" s="1"/>
  <c r="AL38" i="1"/>
  <c r="AN39" i="1" s="1"/>
  <c r="AP38" i="1"/>
  <c r="AO38" i="1"/>
  <c r="AQ38" i="1" s="1"/>
  <c r="BE37" i="1"/>
  <c r="BB172" i="1"/>
  <c r="BE172" i="1" s="1"/>
  <c r="BB128" i="1"/>
  <c r="BE128" i="1" s="1"/>
  <c r="AQ78" i="1"/>
  <c r="BE78" i="1" s="1"/>
  <c r="BC92" i="1"/>
  <c r="BC93" i="1" s="1"/>
  <c r="BC94" i="1" s="1"/>
  <c r="BC95" i="1" s="1"/>
  <c r="BC96" i="1" s="1"/>
  <c r="BC97" i="1" s="1"/>
  <c r="BC98" i="1" s="1"/>
  <c r="BC99" i="1" s="1"/>
  <c r="BC100" i="1" s="1"/>
  <c r="BE92" i="1"/>
  <c r="AQ50" i="1" l="1"/>
  <c r="BE50" i="1" s="1"/>
  <c r="BC101" i="1"/>
  <c r="AP162" i="1"/>
  <c r="AL162" i="1"/>
  <c r="AO162" i="1"/>
  <c r="AQ162" i="1" s="1"/>
  <c r="BE162" i="1" s="1"/>
  <c r="AL152" i="1"/>
  <c r="AO152" i="1"/>
  <c r="AP152" i="1"/>
  <c r="AO51" i="1"/>
  <c r="AP51" i="1"/>
  <c r="AL51" i="1"/>
  <c r="AN52" i="1" s="1"/>
  <c r="BE31" i="1"/>
  <c r="BF31" i="1" s="1"/>
  <c r="BF32" i="1" s="1"/>
  <c r="BF33" i="1" s="1"/>
  <c r="BF34" i="1" s="1"/>
  <c r="BF35" i="1" s="1"/>
  <c r="BF36" i="1" s="1"/>
  <c r="BF37" i="1" s="1"/>
  <c r="AR31" i="1"/>
  <c r="AR32" i="1" s="1"/>
  <c r="AR33" i="1" s="1"/>
  <c r="AR34" i="1" s="1"/>
  <c r="AR35" i="1" s="1"/>
  <c r="AR36" i="1" s="1"/>
  <c r="AR37" i="1" s="1"/>
  <c r="AR38" i="1" s="1"/>
  <c r="AO80" i="1"/>
  <c r="AP80" i="1"/>
  <c r="AL80" i="1"/>
  <c r="AN81" i="1" s="1"/>
  <c r="AQ97" i="1"/>
  <c r="BE97" i="1" s="1"/>
  <c r="AQ151" i="1"/>
  <c r="BE151" i="1" s="1"/>
  <c r="AQ79" i="1"/>
  <c r="BE79" i="1" s="1"/>
  <c r="AL112" i="1"/>
  <c r="AP112" i="1"/>
  <c r="AO112" i="1"/>
  <c r="AQ112" i="1" s="1"/>
  <c r="BE112" i="1" s="1"/>
  <c r="AW102" i="1"/>
  <c r="AY103" i="1" s="1"/>
  <c r="BA102" i="1"/>
  <c r="AZ102" i="1"/>
  <c r="BB102" i="1" s="1"/>
  <c r="AL39" i="1"/>
  <c r="AN40" i="1" s="1"/>
  <c r="AP39" i="1"/>
  <c r="AO39" i="1"/>
  <c r="BE38" i="1"/>
  <c r="AO52" i="1" l="1"/>
  <c r="AP52" i="1"/>
  <c r="AL52" i="1"/>
  <c r="AP81" i="1"/>
  <c r="AO81" i="1"/>
  <c r="AL81" i="1"/>
  <c r="AN82" i="1" s="1"/>
  <c r="AQ152" i="1"/>
  <c r="BE152" i="1" s="1"/>
  <c r="AQ51" i="1"/>
  <c r="BE51" i="1" s="1"/>
  <c r="AQ80" i="1"/>
  <c r="BE80" i="1" s="1"/>
  <c r="AQ39" i="1"/>
  <c r="AW103" i="1"/>
  <c r="BA103" i="1"/>
  <c r="AZ103" i="1"/>
  <c r="BB103" i="1" s="1"/>
  <c r="BE103" i="1" s="1"/>
  <c r="BB14" i="1"/>
  <c r="BB15" i="1"/>
  <c r="BB19" i="1"/>
  <c r="BC102" i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102" i="1"/>
  <c r="AL40" i="1"/>
  <c r="AN41" i="1" s="1"/>
  <c r="AP40" i="1"/>
  <c r="AO40" i="1"/>
  <c r="AQ40" i="1" s="1"/>
  <c r="BF38" i="1"/>
  <c r="AQ81" i="1" l="1"/>
  <c r="BE81" i="1" s="1"/>
  <c r="BE39" i="1"/>
  <c r="AR39" i="1"/>
  <c r="AR40" i="1" s="1"/>
  <c r="BF39" i="1"/>
  <c r="AP82" i="1"/>
  <c r="AO82" i="1"/>
  <c r="AQ82" i="1" s="1"/>
  <c r="BE82" i="1" s="1"/>
  <c r="AL82" i="1"/>
  <c r="AN83" i="1" s="1"/>
  <c r="AQ52" i="1"/>
  <c r="BE52" i="1" s="1"/>
  <c r="AL41" i="1"/>
  <c r="AP41" i="1"/>
  <c r="AO41" i="1"/>
  <c r="AQ41" i="1" s="1"/>
  <c r="BE40" i="1"/>
  <c r="BB16" i="1"/>
  <c r="AT1" i="1" s="1"/>
  <c r="AO83" i="1" l="1"/>
  <c r="AP83" i="1"/>
  <c r="AL83" i="1"/>
  <c r="AN84" i="1" s="1"/>
  <c r="AR41" i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BE41" i="1"/>
  <c r="BF40" i="1"/>
  <c r="BF41" i="1" l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AO84" i="1"/>
  <c r="AL84" i="1"/>
  <c r="AN85" i="1" s="1"/>
  <c r="AP84" i="1"/>
  <c r="AQ83" i="1"/>
  <c r="AL85" i="1" l="1"/>
  <c r="AN86" i="1" s="1"/>
  <c r="AP85" i="1"/>
  <c r="AO85" i="1"/>
  <c r="AR83" i="1"/>
  <c r="BE83" i="1"/>
  <c r="AQ84" i="1"/>
  <c r="AR84" i="1" l="1"/>
  <c r="AQ85" i="1"/>
  <c r="BE85" i="1" s="1"/>
  <c r="AL86" i="1"/>
  <c r="AN87" i="1" s="1"/>
  <c r="AO86" i="1"/>
  <c r="AP86" i="1"/>
  <c r="BF83" i="1"/>
  <c r="AR85" i="1"/>
  <c r="BE84" i="1"/>
  <c r="BF84" i="1" l="1"/>
  <c r="BF85" i="1" s="1"/>
  <c r="AL87" i="1"/>
  <c r="AO87" i="1"/>
  <c r="AP87" i="1"/>
  <c r="AQ86" i="1"/>
  <c r="AR86" i="1" l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86" i="1"/>
  <c r="AQ87" i="1"/>
  <c r="BF86" i="1" l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87" i="1"/>
  <c r="BE14" i="1" s="1"/>
  <c r="AQ14" i="1"/>
  <c r="AQ15" i="1"/>
  <c r="AQ19" i="1"/>
  <c r="BE18" i="1" l="1"/>
  <c r="BE15" i="1"/>
  <c r="BE16" i="1" s="1"/>
  <c r="AQ16" i="1"/>
  <c r="AI1" i="1" s="1"/>
</calcChain>
</file>

<file path=xl/sharedStrings.xml><?xml version="1.0" encoding="utf-8"?>
<sst xmlns="http://schemas.openxmlformats.org/spreadsheetml/2006/main" count="74" uniqueCount="53">
  <si>
    <t>date</t>
  </si>
  <si>
    <t>BSCR</t>
  </si>
  <si>
    <t>IBDS</t>
  </si>
  <si>
    <t>BSCR log rtn</t>
  </si>
  <si>
    <t>IBDS log rtn</t>
  </si>
  <si>
    <t>BSCR div</t>
  </si>
  <si>
    <t>BSCR div cumsum</t>
  </si>
  <si>
    <t>IBDS div</t>
  </si>
  <si>
    <t>IBDS div cumsum</t>
  </si>
  <si>
    <t>BSCR div adjustment</t>
  </si>
  <si>
    <t>IBDS div adjustment</t>
  </si>
  <si>
    <t>BSCR*</t>
  </si>
  <si>
    <t>IBDS*</t>
  </si>
  <si>
    <t>IBDS/BSCR</t>
  </si>
  <si>
    <t>IBDS/BSCR avg</t>
  </si>
  <si>
    <t>IBDS/BSCR 10 dma</t>
  </si>
  <si>
    <t>IBDS/BSCR 20 dma</t>
  </si>
  <si>
    <t>BSCR x avg</t>
  </si>
  <si>
    <t>BSCR x 10 dma</t>
  </si>
  <si>
    <t>BSCR x 20 dma</t>
  </si>
  <si>
    <t>log diff BSCR x avg / IBDS</t>
  </si>
  <si>
    <t>log diff BSCR x 10 dma / IBDS</t>
  </si>
  <si>
    <t>log diff BSCR x 20 dma / IBDS</t>
  </si>
  <si>
    <t>IBDS*/BSCR*</t>
  </si>
  <si>
    <t>IBDS*/BSCR* avg</t>
  </si>
  <si>
    <t>IBDS*/BSCR* 10 dma</t>
  </si>
  <si>
    <t>IBDS*/BSCR* 20 dma</t>
  </si>
  <si>
    <t>BSCR* x avg</t>
  </si>
  <si>
    <t>BSCR* x 10 dma</t>
  </si>
  <si>
    <t>BSCR* x 20 dma</t>
  </si>
  <si>
    <t>log diff BSCR* x avg / IBDS*</t>
  </si>
  <si>
    <t>log diff BSCR* x 10 dma / IBDS*</t>
  </si>
  <si>
    <t>log diff BSCR* x 20 dma / IBDS*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</si>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</sst>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IBDS/BSCR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1.23151696447737</c:v>
                </c:pt>
                <c:pt idx="1">
                  <c:v>1.23151696447737</c:v>
                </c:pt>
                <c:pt idx="2">
                  <c:v>1.23151696447737</c:v>
                </c:pt>
                <c:pt idx="3">
                  <c:v>1.23151696447737</c:v>
                </c:pt>
                <c:pt idx="4">
                  <c:v>1.23151696447737</c:v>
                </c:pt>
                <c:pt idx="5">
                  <c:v>1.23151696447737</c:v>
                </c:pt>
                <c:pt idx="6">
                  <c:v>1.23151696447737</c:v>
                </c:pt>
                <c:pt idx="7">
                  <c:v>1.23151696447737</c:v>
                </c:pt>
                <c:pt idx="8">
                  <c:v>1.23151696447737</c:v>
                </c:pt>
                <c:pt idx="9">
                  <c:v>1.23151696447737</c:v>
                </c:pt>
                <c:pt idx="10">
                  <c:v>1.23151696447737</c:v>
                </c:pt>
                <c:pt idx="11">
                  <c:v>1.23151696447737</c:v>
                </c:pt>
                <c:pt idx="12">
                  <c:v>1.23151696447737</c:v>
                </c:pt>
                <c:pt idx="13">
                  <c:v>1.23151696447737</c:v>
                </c:pt>
                <c:pt idx="14">
                  <c:v>1.23151696447737</c:v>
                </c:pt>
                <c:pt idx="15">
                  <c:v>1.23151696447737</c:v>
                </c:pt>
                <c:pt idx="16">
                  <c:v>1.23151696447737</c:v>
                </c:pt>
                <c:pt idx="17">
                  <c:v>1.23151696447737</c:v>
                </c:pt>
                <c:pt idx="18">
                  <c:v>1.23151696447737</c:v>
                </c:pt>
                <c:pt idx="19">
                  <c:v>1.23151696447737</c:v>
                </c:pt>
                <c:pt idx="20">
                  <c:v>1.23151696447737</c:v>
                </c:pt>
                <c:pt idx="21">
                  <c:v>1.23151696447737</c:v>
                </c:pt>
                <c:pt idx="22">
                  <c:v>1.23151696447737</c:v>
                </c:pt>
                <c:pt idx="23">
                  <c:v>1.23151696447737</c:v>
                </c:pt>
                <c:pt idx="24">
                  <c:v>1.23151696447737</c:v>
                </c:pt>
                <c:pt idx="25">
                  <c:v>1.23151696447737</c:v>
                </c:pt>
                <c:pt idx="26">
                  <c:v>1.23151696447737</c:v>
                </c:pt>
                <c:pt idx="27">
                  <c:v>1.23151696447737</c:v>
                </c:pt>
                <c:pt idx="28">
                  <c:v>1.23151696447737</c:v>
                </c:pt>
                <c:pt idx="29">
                  <c:v>1.23151696447737</c:v>
                </c:pt>
                <c:pt idx="30">
                  <c:v>1.23151696447737</c:v>
                </c:pt>
                <c:pt idx="31">
                  <c:v>1.23151696447737</c:v>
                </c:pt>
                <c:pt idx="32">
                  <c:v>1.23151696447737</c:v>
                </c:pt>
                <c:pt idx="33">
                  <c:v>1.23151696447737</c:v>
                </c:pt>
                <c:pt idx="34">
                  <c:v>1.23151696447737</c:v>
                </c:pt>
                <c:pt idx="35">
                  <c:v>1.23151696447737</c:v>
                </c:pt>
                <c:pt idx="36">
                  <c:v>1.23151696447737</c:v>
                </c:pt>
                <c:pt idx="37">
                  <c:v>1.23151696447737</c:v>
                </c:pt>
                <c:pt idx="38">
                  <c:v>1.23151696447737</c:v>
                </c:pt>
                <c:pt idx="39">
                  <c:v>1.23151696447737</c:v>
                </c:pt>
                <c:pt idx="40">
                  <c:v>1.23151696447737</c:v>
                </c:pt>
                <c:pt idx="41">
                  <c:v>1.23151696447737</c:v>
                </c:pt>
                <c:pt idx="42">
                  <c:v>1.23151696447737</c:v>
                </c:pt>
                <c:pt idx="43">
                  <c:v>1.23151696447737</c:v>
                </c:pt>
                <c:pt idx="44">
                  <c:v>1.23151696447737</c:v>
                </c:pt>
                <c:pt idx="45">
                  <c:v>1.23151696447737</c:v>
                </c:pt>
                <c:pt idx="46">
                  <c:v>1.23151696447737</c:v>
                </c:pt>
                <c:pt idx="47">
                  <c:v>1.23151696447737</c:v>
                </c:pt>
                <c:pt idx="48">
                  <c:v>1.23151696447737</c:v>
                </c:pt>
                <c:pt idx="49">
                  <c:v>1.23151696447737</c:v>
                </c:pt>
                <c:pt idx="50">
                  <c:v>1.23151696447737</c:v>
                </c:pt>
                <c:pt idx="51">
                  <c:v>1.23151696447737</c:v>
                </c:pt>
                <c:pt idx="52">
                  <c:v>1.23151696447737</c:v>
                </c:pt>
                <c:pt idx="53">
                  <c:v>1.23151696447737</c:v>
                </c:pt>
                <c:pt idx="54">
                  <c:v>1.23151696447737</c:v>
                </c:pt>
                <c:pt idx="55">
                  <c:v>1.23151696447737</c:v>
                </c:pt>
                <c:pt idx="56">
                  <c:v>1.23151696447737</c:v>
                </c:pt>
                <c:pt idx="57">
                  <c:v>1.23151696447737</c:v>
                </c:pt>
                <c:pt idx="58">
                  <c:v>1.23151696447737</c:v>
                </c:pt>
                <c:pt idx="59">
                  <c:v>1.23151696447737</c:v>
                </c:pt>
                <c:pt idx="60">
                  <c:v>1.23151696447737</c:v>
                </c:pt>
                <c:pt idx="61">
                  <c:v>1.23151696447737</c:v>
                </c:pt>
                <c:pt idx="62">
                  <c:v>1.23151696447737</c:v>
                </c:pt>
                <c:pt idx="63">
                  <c:v>1.23151696447737</c:v>
                </c:pt>
                <c:pt idx="64">
                  <c:v>1.23151696447737</c:v>
                </c:pt>
                <c:pt idx="65">
                  <c:v>1.23151696447737</c:v>
                </c:pt>
                <c:pt idx="66">
                  <c:v>1.23151696447737</c:v>
                </c:pt>
                <c:pt idx="67">
                  <c:v>1.23151696447737</c:v>
                </c:pt>
                <c:pt idx="68">
                  <c:v>1.23151696447737</c:v>
                </c:pt>
                <c:pt idx="69">
                  <c:v>1.23151696447737</c:v>
                </c:pt>
                <c:pt idx="70">
                  <c:v>1.23151696447737</c:v>
                </c:pt>
                <c:pt idx="71">
                  <c:v>1.23151696447737</c:v>
                </c:pt>
                <c:pt idx="72">
                  <c:v>1.23151696447737</c:v>
                </c:pt>
                <c:pt idx="73">
                  <c:v>1.23151696447737</c:v>
                </c:pt>
                <c:pt idx="74">
                  <c:v>1.23151696447737</c:v>
                </c:pt>
                <c:pt idx="75">
                  <c:v>1.23151696447737</c:v>
                </c:pt>
                <c:pt idx="76">
                  <c:v>1.23151696447737</c:v>
                </c:pt>
                <c:pt idx="77">
                  <c:v>1.23151696447737</c:v>
                </c:pt>
                <c:pt idx="78">
                  <c:v>1.23151696447737</c:v>
                </c:pt>
                <c:pt idx="79">
                  <c:v>1.23151696447737</c:v>
                </c:pt>
                <c:pt idx="80">
                  <c:v>1.23151696447737</c:v>
                </c:pt>
                <c:pt idx="81">
                  <c:v>1.23151696447737</c:v>
                </c:pt>
                <c:pt idx="82">
                  <c:v>1.23151696447737</c:v>
                </c:pt>
                <c:pt idx="83">
                  <c:v>1.23151696447737</c:v>
                </c:pt>
                <c:pt idx="84">
                  <c:v>1.23151696447737</c:v>
                </c:pt>
                <c:pt idx="85">
                  <c:v>1.23151696447737</c:v>
                </c:pt>
                <c:pt idx="86">
                  <c:v>1.23151696447737</c:v>
                </c:pt>
                <c:pt idx="87">
                  <c:v>1.23151696447737</c:v>
                </c:pt>
                <c:pt idx="88">
                  <c:v>1.23151696447737</c:v>
                </c:pt>
                <c:pt idx="89">
                  <c:v>1.23151696447737</c:v>
                </c:pt>
                <c:pt idx="90">
                  <c:v>1.23151696447737</c:v>
                </c:pt>
                <c:pt idx="91">
                  <c:v>1.23151696447737</c:v>
                </c:pt>
                <c:pt idx="92">
                  <c:v>1.23151696447737</c:v>
                </c:pt>
                <c:pt idx="93">
                  <c:v>1.23151696447737</c:v>
                </c:pt>
                <c:pt idx="94">
                  <c:v>1.23151696447737</c:v>
                </c:pt>
                <c:pt idx="95">
                  <c:v>1.23151696447737</c:v>
                </c:pt>
                <c:pt idx="96">
                  <c:v>1.23151696447737</c:v>
                </c:pt>
                <c:pt idx="97">
                  <c:v>1.23151696447737</c:v>
                </c:pt>
                <c:pt idx="98">
                  <c:v>1.23151696447737</c:v>
                </c:pt>
                <c:pt idx="99">
                  <c:v>1.23151696447737</c:v>
                </c:pt>
                <c:pt idx="100">
                  <c:v>1.23151696447737</c:v>
                </c:pt>
                <c:pt idx="101">
                  <c:v>1.23151696447737</c:v>
                </c:pt>
                <c:pt idx="102">
                  <c:v>1.23151696447737</c:v>
                </c:pt>
                <c:pt idx="103">
                  <c:v>1.23151696447737</c:v>
                </c:pt>
                <c:pt idx="104">
                  <c:v>1.23151696447737</c:v>
                </c:pt>
                <c:pt idx="105">
                  <c:v>1.23151696447737</c:v>
                </c:pt>
                <c:pt idx="106">
                  <c:v>1.23151696447737</c:v>
                </c:pt>
                <c:pt idx="107">
                  <c:v>1.23151696447737</c:v>
                </c:pt>
                <c:pt idx="108">
                  <c:v>1.23151696447737</c:v>
                </c:pt>
                <c:pt idx="109">
                  <c:v>1.23151696447737</c:v>
                </c:pt>
                <c:pt idx="110">
                  <c:v>1.23151696447737</c:v>
                </c:pt>
                <c:pt idx="111">
                  <c:v>1.23151696447737</c:v>
                </c:pt>
                <c:pt idx="112">
                  <c:v>1.23151696447737</c:v>
                </c:pt>
                <c:pt idx="113">
                  <c:v>1.23151696447737</c:v>
                </c:pt>
                <c:pt idx="114">
                  <c:v>1.23151696447737</c:v>
                </c:pt>
                <c:pt idx="115">
                  <c:v>1.23151696447737</c:v>
                </c:pt>
                <c:pt idx="116">
                  <c:v>1.23151696447737</c:v>
                </c:pt>
                <c:pt idx="117">
                  <c:v>1.23151696447737</c:v>
                </c:pt>
                <c:pt idx="118">
                  <c:v>1.23151696447737</c:v>
                </c:pt>
                <c:pt idx="119">
                  <c:v>1.23151696447737</c:v>
                </c:pt>
                <c:pt idx="120">
                  <c:v>1.23151696447737</c:v>
                </c:pt>
                <c:pt idx="121">
                  <c:v>1.23151696447737</c:v>
                </c:pt>
                <c:pt idx="122">
                  <c:v>1.23151696447737</c:v>
                </c:pt>
                <c:pt idx="123">
                  <c:v>1.23151696447737</c:v>
                </c:pt>
                <c:pt idx="124">
                  <c:v>1.23151696447737</c:v>
                </c:pt>
                <c:pt idx="125">
                  <c:v>1.23151696447737</c:v>
                </c:pt>
                <c:pt idx="126">
                  <c:v>1.23151696447737</c:v>
                </c:pt>
                <c:pt idx="127">
                  <c:v>1.23151696447737</c:v>
                </c:pt>
                <c:pt idx="128">
                  <c:v>1.23151696447737</c:v>
                </c:pt>
                <c:pt idx="129">
                  <c:v>1.23151696447737</c:v>
                </c:pt>
                <c:pt idx="130">
                  <c:v>1.23151696447737</c:v>
                </c:pt>
                <c:pt idx="131">
                  <c:v>1.23151696447737</c:v>
                </c:pt>
                <c:pt idx="132">
                  <c:v>1.23151696447737</c:v>
                </c:pt>
                <c:pt idx="133">
                  <c:v>1.23151696447737</c:v>
                </c:pt>
                <c:pt idx="134">
                  <c:v>1.23151696447737</c:v>
                </c:pt>
                <c:pt idx="135">
                  <c:v>1.23151696447737</c:v>
                </c:pt>
                <c:pt idx="136">
                  <c:v>1.23151696447737</c:v>
                </c:pt>
                <c:pt idx="137">
                  <c:v>1.23151696447737</c:v>
                </c:pt>
                <c:pt idx="138">
                  <c:v>1.23151696447737</c:v>
                </c:pt>
                <c:pt idx="139">
                  <c:v>1.23151696447737</c:v>
                </c:pt>
                <c:pt idx="140">
                  <c:v>1.23151696447737</c:v>
                </c:pt>
                <c:pt idx="141">
                  <c:v>1.23151696447737</c:v>
                </c:pt>
                <c:pt idx="142">
                  <c:v>1.23151696447737</c:v>
                </c:pt>
                <c:pt idx="143">
                  <c:v>1.23151696447737</c:v>
                </c:pt>
                <c:pt idx="144">
                  <c:v>1.23151696447737</c:v>
                </c:pt>
                <c:pt idx="145">
                  <c:v>1.23151696447737</c:v>
                </c:pt>
                <c:pt idx="146">
                  <c:v>1.23151696447737</c:v>
                </c:pt>
                <c:pt idx="147">
                  <c:v>1.23151696447737</c:v>
                </c:pt>
                <c:pt idx="148">
                  <c:v>1.23151696447737</c:v>
                </c:pt>
                <c:pt idx="149">
                  <c:v>1.23151696447737</c:v>
                </c:pt>
                <c:pt idx="150">
                  <c:v>1.23151696447737</c:v>
                </c:pt>
                <c:pt idx="151">
                  <c:v>1.23151696447737</c:v>
                </c:pt>
                <c:pt idx="152">
                  <c:v>1.23151696447737</c:v>
                </c:pt>
                <c:pt idx="153">
                  <c:v>1.23151696447737</c:v>
                </c:pt>
                <c:pt idx="154">
                  <c:v>1.23151696447737</c:v>
                </c:pt>
                <c:pt idx="155">
                  <c:v>1.23151696447737</c:v>
                </c:pt>
                <c:pt idx="156">
                  <c:v>1.23151696447737</c:v>
                </c:pt>
                <c:pt idx="157">
                  <c:v>1.23151696447737</c:v>
                </c:pt>
                <c:pt idx="158">
                  <c:v>1.23151696447737</c:v>
                </c:pt>
                <c:pt idx="159">
                  <c:v>1.23151696447737</c:v>
                </c:pt>
                <c:pt idx="160">
                  <c:v>1.23151696447737</c:v>
                </c:pt>
                <c:pt idx="161">
                  <c:v>1.23151696447737</c:v>
                </c:pt>
                <c:pt idx="162">
                  <c:v>1.23151696447737</c:v>
                </c:pt>
                <c:pt idx="163">
                  <c:v>1.23151696447737</c:v>
                </c:pt>
                <c:pt idx="164">
                  <c:v>1.23151696447737</c:v>
                </c:pt>
                <c:pt idx="165">
                  <c:v>1.23151696447737</c:v>
                </c:pt>
                <c:pt idx="166">
                  <c:v>1.23151696447737</c:v>
                </c:pt>
                <c:pt idx="167">
                  <c:v>1.23151696447737</c:v>
                </c:pt>
                <c:pt idx="168">
                  <c:v>1.23151696447737</c:v>
                </c:pt>
                <c:pt idx="169">
                  <c:v>1.23151696447737</c:v>
                </c:pt>
                <c:pt idx="170">
                  <c:v>1.23151696447737</c:v>
                </c:pt>
                <c:pt idx="171">
                  <c:v>1.23151696447737</c:v>
                </c:pt>
                <c:pt idx="172">
                  <c:v>1.23151696447737</c:v>
                </c:pt>
                <c:pt idx="173">
                  <c:v>1.23151696447737</c:v>
                </c:pt>
                <c:pt idx="174">
                  <c:v>1.23151696447737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D-4A24-AE86-D9324499D3D8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IBDS/BSCR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1.23009925129278</c:v>
                </c:pt>
                <c:pt idx="10">
                  <c:v>1.2300876180226601</c:v>
                </c:pt>
                <c:pt idx="11">
                  <c:v>1.2304625432883201</c:v>
                </c:pt>
                <c:pt idx="12">
                  <c:v>1.23083746855399</c:v>
                </c:pt>
                <c:pt idx="13">
                  <c:v>1.2312511420102701</c:v>
                </c:pt>
                <c:pt idx="14">
                  <c:v>1.2316531704099201</c:v>
                </c:pt>
                <c:pt idx="15">
                  <c:v>1.23199266758707</c:v>
                </c:pt>
                <c:pt idx="16">
                  <c:v>1.2324335589927</c:v>
                </c:pt>
                <c:pt idx="17">
                  <c:v>1.23282349916781</c:v>
                </c:pt>
                <c:pt idx="18">
                  <c:v>1.2332251752647401</c:v>
                </c:pt>
                <c:pt idx="19">
                  <c:v>1.2336420888117401</c:v>
                </c:pt>
                <c:pt idx="20">
                  <c:v>1.23361470857719</c:v>
                </c:pt>
                <c:pt idx="21">
                  <c:v>1.23316176808059</c:v>
                </c:pt>
                <c:pt idx="22">
                  <c:v>1.23258431116935</c:v>
                </c:pt>
                <c:pt idx="23">
                  <c:v>1.2321083971555</c:v>
                </c:pt>
                <c:pt idx="24">
                  <c:v>1.2317959895220101</c:v>
                </c:pt>
                <c:pt idx="25">
                  <c:v>1.2313825554568101</c:v>
                </c:pt>
                <c:pt idx="26">
                  <c:v>1.23095734591235</c:v>
                </c:pt>
                <c:pt idx="27">
                  <c:v>1.2306686715600199</c:v>
                </c:pt>
                <c:pt idx="28">
                  <c:v>1.23020476667412</c:v>
                </c:pt>
                <c:pt idx="29">
                  <c:v>1.2297413905869099</c:v>
                </c:pt>
                <c:pt idx="30">
                  <c:v>1.22979609568647</c:v>
                </c:pt>
                <c:pt idx="31">
                  <c:v>1.22972648489479</c:v>
                </c:pt>
                <c:pt idx="32">
                  <c:v>1.22995629223618</c:v>
                </c:pt>
                <c:pt idx="33">
                  <c:v>1.2300847805059401</c:v>
                </c:pt>
                <c:pt idx="34">
                  <c:v>1.23048678681257</c:v>
                </c:pt>
                <c:pt idx="35">
                  <c:v>1.2309509565449499</c:v>
                </c:pt>
                <c:pt idx="36">
                  <c:v>1.23142690175658</c:v>
                </c:pt>
                <c:pt idx="37">
                  <c:v>1.2318289080632201</c:v>
                </c:pt>
                <c:pt idx="38">
                  <c:v>1.2322809386501501</c:v>
                </c:pt>
                <c:pt idx="39">
                  <c:v>1.23230001887082</c:v>
                </c:pt>
                <c:pt idx="40">
                  <c:v>1.23238171406796</c:v>
                </c:pt>
                <c:pt idx="41">
                  <c:v>1.2325253583040301</c:v>
                </c:pt>
                <c:pt idx="42">
                  <c:v>1.2324433651544999</c:v>
                </c:pt>
                <c:pt idx="43">
                  <c:v>1.2323613781042499</c:v>
                </c:pt>
                <c:pt idx="44">
                  <c:v>1.2319554927668599</c:v>
                </c:pt>
                <c:pt idx="45">
                  <c:v>1.2315496074294701</c:v>
                </c:pt>
                <c:pt idx="46">
                  <c:v>1.23105391738576</c:v>
                </c:pt>
                <c:pt idx="47">
                  <c:v>1.23055414783821</c:v>
                </c:pt>
                <c:pt idx="48">
                  <c:v>1.23017973930469</c:v>
                </c:pt>
                <c:pt idx="49">
                  <c:v>1.230261488906</c:v>
                </c:pt>
                <c:pt idx="50">
                  <c:v>1.23014424001661</c:v>
                </c:pt>
                <c:pt idx="51">
                  <c:v>1.2300894031948499</c:v>
                </c:pt>
                <c:pt idx="52">
                  <c:v>1.23013614088113</c:v>
                </c:pt>
                <c:pt idx="53">
                  <c:v>1.23016708297632</c:v>
                </c:pt>
                <c:pt idx="54">
                  <c:v>1.2305517421672401</c:v>
                </c:pt>
                <c:pt idx="55">
                  <c:v>1.2308970244106101</c:v>
                </c:pt>
                <c:pt idx="56">
                  <c:v>1.2313834685976599</c:v>
                </c:pt>
                <c:pt idx="57">
                  <c:v>1.2317838397696901</c:v>
                </c:pt>
                <c:pt idx="58">
                  <c:v>1.2322234987606999</c:v>
                </c:pt>
                <c:pt idx="59">
                  <c:v>1.232588215</c:v>
                </c:pt>
                <c:pt idx="60">
                  <c:v>1.2331051978825101</c:v>
                </c:pt>
                <c:pt idx="61">
                  <c:v>1.2331402984264099</c:v>
                </c:pt>
                <c:pt idx="62">
                  <c:v>1.2331245601294401</c:v>
                </c:pt>
                <c:pt idx="63">
                  <c:v>1.2330736695441999</c:v>
                </c:pt>
                <c:pt idx="64">
                  <c:v>1.23254426144322</c:v>
                </c:pt>
                <c:pt idx="65">
                  <c:v>1.2322066953567601</c:v>
                </c:pt>
                <c:pt idx="66">
                  <c:v>1.23176703636575</c:v>
                </c:pt>
                <c:pt idx="67">
                  <c:v>1.23129248750637</c:v>
                </c:pt>
                <c:pt idx="68">
                  <c:v>1.2308919532184399</c:v>
                </c:pt>
                <c:pt idx="69">
                  <c:v>1.23055463361628</c:v>
                </c:pt>
                <c:pt idx="70">
                  <c:v>1.2300884637419001</c:v>
                </c:pt>
                <c:pt idx="71">
                  <c:v>1.23014331281381</c:v>
                </c:pt>
                <c:pt idx="72">
                  <c:v>1.2301123134245</c:v>
                </c:pt>
                <c:pt idx="73">
                  <c:v>1.23059417960274</c:v>
                </c:pt>
                <c:pt idx="74">
                  <c:v>1.2310996637610601</c:v>
                </c:pt>
                <c:pt idx="75">
                  <c:v>1.2314914748293999</c:v>
                </c:pt>
                <c:pt idx="76">
                  <c:v>1.23188328589775</c:v>
                </c:pt>
                <c:pt idx="77">
                  <c:v>1.2325020242234399</c:v>
                </c:pt>
                <c:pt idx="78">
                  <c:v>1.2328936955581</c:v>
                </c:pt>
                <c:pt idx="79">
                  <c:v>1.2333599948594001</c:v>
                </c:pt>
                <c:pt idx="80">
                  <c:v>1.2337752222987399</c:v>
                </c:pt>
                <c:pt idx="81">
                  <c:v>1.2341666764041199</c:v>
                </c:pt>
                <c:pt idx="82">
                  <c:v>1.2341859637035499</c:v>
                </c:pt>
                <c:pt idx="83">
                  <c:v>1.23376670020043</c:v>
                </c:pt>
                <c:pt idx="84">
                  <c:v>1.2333864095040801</c:v>
                </c:pt>
                <c:pt idx="85">
                  <c:v>1.23289286903594</c:v>
                </c:pt>
                <c:pt idx="86">
                  <c:v>1.23251278402818</c:v>
                </c:pt>
                <c:pt idx="87">
                  <c:v>1.2320190880897399</c:v>
                </c:pt>
                <c:pt idx="88">
                  <c:v>1.2314749002324601</c:v>
                </c:pt>
                <c:pt idx="89">
                  <c:v>1.23093033959412</c:v>
                </c:pt>
                <c:pt idx="90">
                  <c:v>1.2304759755471</c:v>
                </c:pt>
                <c:pt idx="91">
                  <c:v>1.23005712480458</c:v>
                </c:pt>
                <c:pt idx="92">
                  <c:v>1.23004542462933</c:v>
                </c:pt>
                <c:pt idx="93">
                  <c:v>1.2305125360551099</c:v>
                </c:pt>
                <c:pt idx="94">
                  <c:v>1.2309287309839401</c:v>
                </c:pt>
                <c:pt idx="95">
                  <c:v>1.23139517662304</c:v>
                </c:pt>
                <c:pt idx="96">
                  <c:v>1.23179916119237</c:v>
                </c:pt>
                <c:pt idx="97">
                  <c:v>1.2321519475513001</c:v>
                </c:pt>
                <c:pt idx="98">
                  <c:v>1.23260620800414</c:v>
                </c:pt>
                <c:pt idx="99">
                  <c:v>1.2330488837723901</c:v>
                </c:pt>
                <c:pt idx="100">
                  <c:v>1.2334403997948999</c:v>
                </c:pt>
                <c:pt idx="101">
                  <c:v>1.23387119583264</c:v>
                </c:pt>
                <c:pt idx="102">
                  <c:v>1.23389460809776</c:v>
                </c:pt>
                <c:pt idx="103">
                  <c:v>1.23342749667199</c:v>
                </c:pt>
                <c:pt idx="104">
                  <c:v>1.2329094687492701</c:v>
                </c:pt>
                <c:pt idx="105">
                  <c:v>1.2325173000751899</c:v>
                </c:pt>
                <c:pt idx="106">
                  <c:v>1.23213680346828</c:v>
                </c:pt>
                <c:pt idx="107">
                  <c:v>1.2317565646745801</c:v>
                </c:pt>
                <c:pt idx="108">
                  <c:v>1.2313765315166301</c:v>
                </c:pt>
                <c:pt idx="109">
                  <c:v>1.2310081845104599</c:v>
                </c:pt>
                <c:pt idx="110">
                  <c:v>1.23057749206682</c:v>
                </c:pt>
                <c:pt idx="111">
                  <c:v>1.2300449666292901</c:v>
                </c:pt>
                <c:pt idx="112">
                  <c:v>1.23007241906406</c:v>
                </c:pt>
                <c:pt idx="113">
                  <c:v>1.2299240161034499</c:v>
                </c:pt>
                <c:pt idx="114">
                  <c:v>1.22984979093547</c:v>
                </c:pt>
                <c:pt idx="115">
                  <c:v>1.22977551397045</c:v>
                </c:pt>
                <c:pt idx="116">
                  <c:v>1.2300778660339</c:v>
                </c:pt>
                <c:pt idx="117">
                  <c:v>1.2305449774596799</c:v>
                </c:pt>
                <c:pt idx="118">
                  <c:v>1.2308978638330199</c:v>
                </c:pt>
                <c:pt idx="119">
                  <c:v>1.2312391160101499</c:v>
                </c:pt>
                <c:pt idx="120">
                  <c:v>1.23174460016846</c:v>
                </c:pt>
                <c:pt idx="121">
                  <c:v>1.2322500843267801</c:v>
                </c:pt>
                <c:pt idx="122">
                  <c:v>1.2326538390852999</c:v>
                </c:pt>
                <c:pt idx="123">
                  <c:v>1.2327237652432801</c:v>
                </c:pt>
                <c:pt idx="124">
                  <c:v>1.2328096884958799</c:v>
                </c:pt>
                <c:pt idx="125">
                  <c:v>1.2327821324670201</c:v>
                </c:pt>
                <c:pt idx="126">
                  <c:v>1.23231528095189</c:v>
                </c:pt>
                <c:pt idx="127">
                  <c:v>1.2318089511138</c:v>
                </c:pt>
                <c:pt idx="128">
                  <c:v>1.2313659438364499</c:v>
                </c:pt>
                <c:pt idx="129">
                  <c:v>1.2309228586654299</c:v>
                </c:pt>
                <c:pt idx="130">
                  <c:v>1.23038981847825</c:v>
                </c:pt>
                <c:pt idx="131">
                  <c:v>1.2299076947880201</c:v>
                </c:pt>
                <c:pt idx="132">
                  <c:v>1.2294764875947199</c:v>
                </c:pt>
                <c:pt idx="133">
                  <c:v>1.2296058808943</c:v>
                </c:pt>
                <c:pt idx="134">
                  <c:v>1.22957082234159</c:v>
                </c:pt>
                <c:pt idx="135">
                  <c:v>1.2300887203089901</c:v>
                </c:pt>
                <c:pt idx="136">
                  <c:v>1.23060661827638</c:v>
                </c:pt>
                <c:pt idx="137">
                  <c:v>1.2310108552099299</c:v>
                </c:pt>
                <c:pt idx="138">
                  <c:v>1.23155269831948</c:v>
                </c:pt>
                <c:pt idx="139">
                  <c:v>1.2321458221727499</c:v>
                </c:pt>
                <c:pt idx="140">
                  <c:v>1.23261267368787</c:v>
                </c:pt>
                <c:pt idx="141">
                  <c:v>1.2331307016105999</c:v>
                </c:pt>
                <c:pt idx="142">
                  <c:v>1.2335978130363701</c:v>
                </c:pt>
                <c:pt idx="143">
                  <c:v>1.2338880708228801</c:v>
                </c:pt>
                <c:pt idx="144">
                  <c:v>1.23435451646198</c:v>
                </c:pt>
                <c:pt idx="145">
                  <c:v>1.23396191148503</c:v>
                </c:pt>
                <c:pt idx="146">
                  <c:v>1.23351833810849</c:v>
                </c:pt>
                <c:pt idx="147">
                  <c:v>1.23311410117493</c:v>
                </c:pt>
                <c:pt idx="148">
                  <c:v>1.23269755105583</c:v>
                </c:pt>
                <c:pt idx="149">
                  <c:v>1.2321553436995101</c:v>
                </c:pt>
                <c:pt idx="150">
                  <c:v>1.23173940868133</c:v>
                </c:pt>
                <c:pt idx="151">
                  <c:v>1.2312722972555501</c:v>
                </c:pt>
                <c:pt idx="152">
                  <c:v>1.2308051858297799</c:v>
                </c:pt>
                <c:pt idx="153">
                  <c:v>1.2305149280432599</c:v>
                </c:pt>
                <c:pt idx="154">
                  <c:v>1.23004848240417</c:v>
                </c:pt>
                <c:pt idx="155">
                  <c:v>1.2300642009029701</c:v>
                </c:pt>
                <c:pt idx="156">
                  <c:v>1.23018177838661</c:v>
                </c:pt>
                <c:pt idx="157">
                  <c:v>1.2301975845338</c:v>
                </c:pt>
                <c:pt idx="158">
                  <c:v>1.23020157697202</c:v>
                </c:pt>
                <c:pt idx="159">
                  <c:v>1.2302173152689899</c:v>
                </c:pt>
                <c:pt idx="160">
                  <c:v>1.23060940604939</c:v>
                </c:pt>
                <c:pt idx="161">
                  <c:v>1.2310015747234699</c:v>
                </c:pt>
                <c:pt idx="162">
                  <c:v>1.2314447377881601</c:v>
                </c:pt>
                <c:pt idx="163">
                  <c:v>1.2317740600849101</c:v>
                </c:pt>
                <c:pt idx="164">
                  <c:v>1.2322795442432299</c:v>
                </c:pt>
                <c:pt idx="165">
                  <c:v>1.23256963614198</c:v>
                </c:pt>
                <c:pt idx="166">
                  <c:v>1.23252653493203</c:v>
                </c:pt>
                <c:pt idx="167">
                  <c:v>1.2325341607462901</c:v>
                </c:pt>
                <c:pt idx="168">
                  <c:v>1.2324791999084801</c:v>
                </c:pt>
                <c:pt idx="169">
                  <c:v>1.23237330076414</c:v>
                </c:pt>
                <c:pt idx="170">
                  <c:v>1.23205558647724</c:v>
                </c:pt>
                <c:pt idx="171">
                  <c:v>1.2315732569558</c:v>
                </c:pt>
                <c:pt idx="172">
                  <c:v>1.23111430744025</c:v>
                </c:pt>
                <c:pt idx="173">
                  <c:v>1.2307182821956799</c:v>
                </c:pt>
                <c:pt idx="174">
                  <c:v>1.2302085981997599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D-4A24-AE86-D9324499D3D8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IBDS/BSCR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1.2318706700522599</c:v>
                </c:pt>
                <c:pt idx="20">
                  <c:v>1.2318511632999301</c:v>
                </c:pt>
                <c:pt idx="21">
                  <c:v>1.2318121556844599</c:v>
                </c:pt>
                <c:pt idx="22">
                  <c:v>1.23171088986167</c:v>
                </c:pt>
                <c:pt idx="23">
                  <c:v>1.23167976958289</c:v>
                </c:pt>
                <c:pt idx="24">
                  <c:v>1.23172457996597</c:v>
                </c:pt>
                <c:pt idx="25">
                  <c:v>1.23168761152194</c:v>
                </c:pt>
                <c:pt idx="26">
                  <c:v>1.2316954524525201</c:v>
                </c:pt>
                <c:pt idx="27">
                  <c:v>1.2317460853639199</c:v>
                </c:pt>
                <c:pt idx="28">
                  <c:v>1.2317149709694299</c:v>
                </c:pt>
                <c:pt idx="29">
                  <c:v>1.2316917396993201</c:v>
                </c:pt>
                <c:pt idx="30">
                  <c:v>1.2317054021318301</c:v>
                </c:pt>
                <c:pt idx="31">
                  <c:v>1.2314441264876901</c:v>
                </c:pt>
                <c:pt idx="32">
                  <c:v>1.23127030170277</c:v>
                </c:pt>
                <c:pt idx="33">
                  <c:v>1.2310965888307199</c:v>
                </c:pt>
                <c:pt idx="34">
                  <c:v>1.2311413881672899</c:v>
                </c:pt>
                <c:pt idx="35">
                  <c:v>1.2311667560008801</c:v>
                </c:pt>
                <c:pt idx="36">
                  <c:v>1.2311921238344701</c:v>
                </c:pt>
                <c:pt idx="37">
                  <c:v>1.23124878981162</c:v>
                </c:pt>
                <c:pt idx="38">
                  <c:v>1.23124285266213</c:v>
                </c:pt>
                <c:pt idx="39">
                  <c:v>1.2310207047288599</c:v>
                </c:pt>
                <c:pt idx="40">
                  <c:v>1.23108890487721</c:v>
                </c:pt>
                <c:pt idx="41">
                  <c:v>1.2311259215994099</c:v>
                </c:pt>
                <c:pt idx="42">
                  <c:v>1.2311998286953401</c:v>
                </c:pt>
                <c:pt idx="43">
                  <c:v>1.23122307930509</c:v>
                </c:pt>
                <c:pt idx="44">
                  <c:v>1.2312211397897099</c:v>
                </c:pt>
                <c:pt idx="45">
                  <c:v>1.23125028198721</c:v>
                </c:pt>
                <c:pt idx="46">
                  <c:v>1.23124040957117</c:v>
                </c:pt>
                <c:pt idx="47">
                  <c:v>1.23119152795071</c:v>
                </c:pt>
                <c:pt idx="48">
                  <c:v>1.23123033897742</c:v>
                </c:pt>
                <c:pt idx="49">
                  <c:v>1.2312807538884101</c:v>
                </c:pt>
                <c:pt idx="50">
                  <c:v>1.23126297704229</c:v>
                </c:pt>
                <c:pt idx="51">
                  <c:v>1.2313073807494399</c:v>
                </c:pt>
                <c:pt idx="52">
                  <c:v>1.23128975301782</c:v>
                </c:pt>
                <c:pt idx="53">
                  <c:v>1.2312642305402799</c:v>
                </c:pt>
                <c:pt idx="54">
                  <c:v>1.2312536174670501</c:v>
                </c:pt>
                <c:pt idx="55">
                  <c:v>1.2312233159200401</c:v>
                </c:pt>
                <c:pt idx="56">
                  <c:v>1.2312186929917099</c:v>
                </c:pt>
                <c:pt idx="57">
                  <c:v>1.2311689938039501</c:v>
                </c:pt>
                <c:pt idx="58">
                  <c:v>1.23120161903269</c:v>
                </c:pt>
                <c:pt idx="59">
                  <c:v>1.231424851953</c:v>
                </c:pt>
                <c:pt idx="60">
                  <c:v>1.2316247189495599</c:v>
                </c:pt>
                <c:pt idx="61">
                  <c:v>1.2316148508106299</c:v>
                </c:pt>
                <c:pt idx="62">
                  <c:v>1.2316303505052899</c:v>
                </c:pt>
                <c:pt idx="63">
                  <c:v>1.23162037626026</c:v>
                </c:pt>
                <c:pt idx="64">
                  <c:v>1.2315480018052301</c:v>
                </c:pt>
                <c:pt idx="65">
                  <c:v>1.2315518598836801</c:v>
                </c:pt>
                <c:pt idx="66">
                  <c:v>1.2315752524817101</c:v>
                </c:pt>
                <c:pt idx="67">
                  <c:v>1.23153816363803</c:v>
                </c:pt>
                <c:pt idx="68">
                  <c:v>1.23155772598957</c:v>
                </c:pt>
                <c:pt idx="69">
                  <c:v>1.2315714243081399</c:v>
                </c:pt>
                <c:pt idx="70">
                  <c:v>1.2315968308122001</c:v>
                </c:pt>
                <c:pt idx="71">
                  <c:v>1.2316418056201099</c:v>
                </c:pt>
                <c:pt idx="72">
                  <c:v>1.23161843677697</c:v>
                </c:pt>
                <c:pt idx="73">
                  <c:v>1.23183392457347</c:v>
                </c:pt>
                <c:pt idx="74">
                  <c:v>1.2318219626021401</c:v>
                </c:pt>
                <c:pt idx="75">
                  <c:v>1.2318490850930801</c:v>
                </c:pt>
                <c:pt idx="76">
                  <c:v>1.2318251611317499</c:v>
                </c:pt>
                <c:pt idx="77">
                  <c:v>1.2318972558649099</c:v>
                </c:pt>
                <c:pt idx="78">
                  <c:v>1.2318928243882701</c:v>
                </c:pt>
                <c:pt idx="79">
                  <c:v>1.2319573142378399</c:v>
                </c:pt>
                <c:pt idx="80">
                  <c:v>1.2319318430203201</c:v>
                </c:pt>
                <c:pt idx="81">
                  <c:v>1.2321549946089601</c:v>
                </c:pt>
                <c:pt idx="82">
                  <c:v>1.23214913856402</c:v>
                </c:pt>
                <c:pt idx="83">
                  <c:v>1.2321804399015801</c:v>
                </c:pt>
                <c:pt idx="84">
                  <c:v>1.2322430366325701</c:v>
                </c:pt>
                <c:pt idx="85">
                  <c:v>1.2321921719326701</c:v>
                </c:pt>
                <c:pt idx="86">
                  <c:v>1.23219803496296</c:v>
                </c:pt>
                <c:pt idx="87">
                  <c:v>1.23226055615659</c:v>
                </c:pt>
                <c:pt idx="88">
                  <c:v>1.2321842978952799</c:v>
                </c:pt>
                <c:pt idx="89">
                  <c:v>1.23214516722676</c:v>
                </c:pt>
                <c:pt idx="90">
                  <c:v>1.2321255989229201</c:v>
                </c:pt>
                <c:pt idx="91">
                  <c:v>1.2321119006043499</c:v>
                </c:pt>
                <c:pt idx="92">
                  <c:v>1.23211569416644</c:v>
                </c:pt>
                <c:pt idx="93">
                  <c:v>1.23213961812777</c:v>
                </c:pt>
                <c:pt idx="94">
                  <c:v>1.23215757024401</c:v>
                </c:pt>
                <c:pt idx="95">
                  <c:v>1.23214402282949</c:v>
                </c:pt>
                <c:pt idx="96">
                  <c:v>1.23215597261027</c:v>
                </c:pt>
                <c:pt idx="97">
                  <c:v>1.2320855178205199</c:v>
                </c:pt>
                <c:pt idx="98">
                  <c:v>1.2320405541182999</c:v>
                </c:pt>
                <c:pt idx="99">
                  <c:v>1.2319896116832501</c:v>
                </c:pt>
                <c:pt idx="100">
                  <c:v>1.231958187671</c:v>
                </c:pt>
                <c:pt idx="101">
                  <c:v>1.23196416031861</c:v>
                </c:pt>
                <c:pt idx="102">
                  <c:v>1.2319700163635501</c:v>
                </c:pt>
                <c:pt idx="103">
                  <c:v>1.2319700163635501</c:v>
                </c:pt>
                <c:pt idx="104">
                  <c:v>1.2319190998666001</c:v>
                </c:pt>
                <c:pt idx="105">
                  <c:v>1.2319562383491101</c:v>
                </c:pt>
                <c:pt idx="106">
                  <c:v>1.23196798233032</c:v>
                </c:pt>
                <c:pt idx="107">
                  <c:v>1.23195425611294</c:v>
                </c:pt>
                <c:pt idx="108">
                  <c:v>1.2319913697603899</c:v>
                </c:pt>
                <c:pt idx="109">
                  <c:v>1.2320285341414201</c:v>
                </c:pt>
                <c:pt idx="110">
                  <c:v>1.2320089459308601</c:v>
                </c:pt>
                <c:pt idx="111">
                  <c:v>1.2319580812309601</c:v>
                </c:pt>
                <c:pt idx="112">
                  <c:v>1.2319835135809101</c:v>
                </c:pt>
                <c:pt idx="113">
                  <c:v>1.2316757563877201</c:v>
                </c:pt>
                <c:pt idx="114">
                  <c:v>1.23137962984237</c:v>
                </c:pt>
                <c:pt idx="115">
                  <c:v>1.23114640702282</c:v>
                </c:pt>
                <c:pt idx="116">
                  <c:v>1.2311073347510899</c:v>
                </c:pt>
                <c:pt idx="117">
                  <c:v>1.2311507710671299</c:v>
                </c:pt>
                <c:pt idx="118">
                  <c:v>1.23113719767482</c:v>
                </c:pt>
                <c:pt idx="119">
                  <c:v>1.2311236502603</c:v>
                </c:pt>
                <c:pt idx="120">
                  <c:v>1.2311610461176401</c:v>
                </c:pt>
                <c:pt idx="121">
                  <c:v>1.23114752547803</c:v>
                </c:pt>
                <c:pt idx="122">
                  <c:v>1.23136312907468</c:v>
                </c:pt>
                <c:pt idx="123">
                  <c:v>1.2313238906733599</c:v>
                </c:pt>
                <c:pt idx="124">
                  <c:v>1.2313297397156799</c:v>
                </c:pt>
                <c:pt idx="125">
                  <c:v>1.2312788232187299</c:v>
                </c:pt>
                <c:pt idx="126">
                  <c:v>1.2311965734929</c:v>
                </c:pt>
                <c:pt idx="127">
                  <c:v>1.2311769642867401</c:v>
                </c:pt>
                <c:pt idx="128">
                  <c:v>1.2311319038347399</c:v>
                </c:pt>
                <c:pt idx="129">
                  <c:v>1.2310809873377899</c:v>
                </c:pt>
                <c:pt idx="130">
                  <c:v>1.2310672093233599</c:v>
                </c:pt>
                <c:pt idx="131">
                  <c:v>1.2310788895574001</c:v>
                </c:pt>
                <c:pt idx="132">
                  <c:v>1.23106516334001</c:v>
                </c:pt>
                <c:pt idx="133">
                  <c:v>1.2311648230687899</c:v>
                </c:pt>
                <c:pt idx="134">
                  <c:v>1.2311902554187399</c:v>
                </c:pt>
                <c:pt idx="135">
                  <c:v>1.2314354263880001</c:v>
                </c:pt>
                <c:pt idx="136">
                  <c:v>1.23146094961414</c:v>
                </c:pt>
                <c:pt idx="137">
                  <c:v>1.2314099031618699</c:v>
                </c:pt>
                <c:pt idx="138">
                  <c:v>1.2314593210779601</c:v>
                </c:pt>
                <c:pt idx="139">
                  <c:v>1.2315343404190899</c:v>
                </c:pt>
                <c:pt idx="140">
                  <c:v>1.2315012460830601</c:v>
                </c:pt>
                <c:pt idx="141">
                  <c:v>1.2315191981993101</c:v>
                </c:pt>
                <c:pt idx="142">
                  <c:v>1.2315371503155501</c:v>
                </c:pt>
                <c:pt idx="143">
                  <c:v>1.2317469758585899</c:v>
                </c:pt>
                <c:pt idx="144">
                  <c:v>1.23196266940179</c:v>
                </c:pt>
                <c:pt idx="145">
                  <c:v>1.23202531589701</c:v>
                </c:pt>
                <c:pt idx="146">
                  <c:v>1.2320624781924301</c:v>
                </c:pt>
                <c:pt idx="147">
                  <c:v>1.2320624781924301</c:v>
                </c:pt>
                <c:pt idx="148">
                  <c:v>1.2321251246876599</c:v>
                </c:pt>
                <c:pt idx="149">
                  <c:v>1.2321505829361299</c:v>
                </c:pt>
                <c:pt idx="150">
                  <c:v>1.2321760411845999</c:v>
                </c:pt>
                <c:pt idx="151">
                  <c:v>1.2322014994330699</c:v>
                </c:pt>
                <c:pt idx="152">
                  <c:v>1.2322014994330699</c:v>
                </c:pt>
                <c:pt idx="153">
                  <c:v>1.2322014994330699</c:v>
                </c:pt>
                <c:pt idx="154">
                  <c:v>1.2322014994330699</c:v>
                </c:pt>
                <c:pt idx="155">
                  <c:v>1.2320130561939999</c:v>
                </c:pt>
                <c:pt idx="156">
                  <c:v>1.23185005824755</c:v>
                </c:pt>
                <c:pt idx="157">
                  <c:v>1.23165584285437</c:v>
                </c:pt>
                <c:pt idx="158">
                  <c:v>1.23144956401393</c:v>
                </c:pt>
                <c:pt idx="159">
                  <c:v>1.23118632948425</c:v>
                </c:pt>
                <c:pt idx="160">
                  <c:v>1.2311744073653601</c:v>
                </c:pt>
                <c:pt idx="161">
                  <c:v>1.2311369359895099</c:v>
                </c:pt>
                <c:pt idx="162">
                  <c:v>1.2311249618089699</c:v>
                </c:pt>
                <c:pt idx="163">
                  <c:v>1.2311444940640901</c:v>
                </c:pt>
                <c:pt idx="164">
                  <c:v>1.2311640133237001</c:v>
                </c:pt>
                <c:pt idx="165">
                  <c:v>1.2313169185224699</c:v>
                </c:pt>
                <c:pt idx="166">
                  <c:v>1.23135415665932</c:v>
                </c:pt>
                <c:pt idx="167">
                  <c:v>1.23136587264005</c:v>
                </c:pt>
                <c:pt idx="168">
                  <c:v>1.2313403884402501</c:v>
                </c:pt>
                <c:pt idx="169">
                  <c:v>1.2312953080165701</c:v>
                </c:pt>
                <c:pt idx="170">
                  <c:v>1.2313324962633201</c:v>
                </c:pt>
                <c:pt idx="171">
                  <c:v>1.2312874158396301</c:v>
                </c:pt>
                <c:pt idx="172">
                  <c:v>1.2312795226141999</c:v>
                </c:pt>
                <c:pt idx="173">
                  <c:v>1.2312461711403</c:v>
                </c:pt>
                <c:pt idx="174">
                  <c:v>1.23124407122149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FD-4A24-AE86-D9324499D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BSCR* x 10 dma / IBDS*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2.7820021007056602E-4</c:v>
                </c:pt>
                <c:pt idx="11">
                  <c:v>2.4445119225889199E-4</c:v>
                </c:pt>
                <c:pt idx="12">
                  <c:v>1.96259281128138E-4</c:v>
                </c:pt>
                <c:pt idx="13">
                  <c:v>2.42584216048105E-4</c:v>
                </c:pt>
                <c:pt idx="14">
                  <c:v>2.2610461845221799E-4</c:v>
                </c:pt>
                <c:pt idx="15">
                  <c:v>2.9458914556189798E-4</c:v>
                </c:pt>
                <c:pt idx="16">
                  <c:v>-1.93091332411118E-4</c:v>
                </c:pt>
                <c:pt idx="17">
                  <c:v>3.18071838738088E-4</c:v>
                </c:pt>
                <c:pt idx="18">
                  <c:v>-1.28214507152994E-4</c:v>
                </c:pt>
                <c:pt idx="19">
                  <c:v>3.4597452358613601E-5</c:v>
                </c:pt>
                <c:pt idx="20">
                  <c:v>2.2360813027484999E-4</c:v>
                </c:pt>
                <c:pt idx="21">
                  <c:v>1.0545137763163599E-4</c:v>
                </c:pt>
                <c:pt idx="22">
                  <c:v>1.0981639150016E-3</c:v>
                </c:pt>
                <c:pt idx="23">
                  <c:v>2.5325445897655502E-4</c:v>
                </c:pt>
                <c:pt idx="24">
                  <c:v>-1.10704641214867E-3</c:v>
                </c:pt>
                <c:pt idx="25">
                  <c:v>-9.5805364291871403E-5</c:v>
                </c:pt>
                <c:pt idx="26">
                  <c:v>-3.9671412507740102E-4</c:v>
                </c:pt>
                <c:pt idx="27">
                  <c:v>-9.9026101953877499E-4</c:v>
                </c:pt>
                <c:pt idx="28">
                  <c:v>1.3401191236312099E-4</c:v>
                </c:pt>
                <c:pt idx="29">
                  <c:v>2.9577283351914799E-4</c:v>
                </c:pt>
                <c:pt idx="30">
                  <c:v>-2.3413599294770001E-4</c:v>
                </c:pt>
                <c:pt idx="31">
                  <c:v>7.2352687031401904E-4</c:v>
                </c:pt>
                <c:pt idx="32">
                  <c:v>-7.5012405713537002E-4</c:v>
                </c:pt>
                <c:pt idx="33">
                  <c:v>-4.6949663100083298E-4</c:v>
                </c:pt>
                <c:pt idx="34">
                  <c:v>-4.7825423611556298E-4</c:v>
                </c:pt>
                <c:pt idx="35">
                  <c:v>-8.5830717364358396E-5</c:v>
                </c:pt>
                <c:pt idx="36">
                  <c:v>-4.6190603667716997E-4</c:v>
                </c:pt>
                <c:pt idx="37">
                  <c:v>-4.1908593917434201E-4</c:v>
                </c:pt>
                <c:pt idx="38">
                  <c:v>1.6169530287627701E-4</c:v>
                </c:pt>
                <c:pt idx="39">
                  <c:v>4.0900705500639898E-4</c:v>
                </c:pt>
                <c:pt idx="40">
                  <c:v>-5.7770581388972197E-4</c:v>
                </c:pt>
                <c:pt idx="41">
                  <c:v>-9.7431970538657195E-5</c:v>
                </c:pt>
                <c:pt idx="42">
                  <c:v>4.33318015116177E-4</c:v>
                </c:pt>
                <c:pt idx="43">
                  <c:v>4.6599816135898902E-4</c:v>
                </c:pt>
                <c:pt idx="44">
                  <c:v>-5.0856411386532296E-4</c:v>
                </c:pt>
                <c:pt idx="45">
                  <c:v>-8.0531497126929403E-5</c:v>
                </c:pt>
                <c:pt idx="46">
                  <c:v>2.5345260268151498E-4</c:v>
                </c:pt>
                <c:pt idx="47">
                  <c:v>2.3244621152938201E-4</c:v>
                </c:pt>
                <c:pt idx="48">
                  <c:v>-2.35323226688232E-4</c:v>
                </c:pt>
                <c:pt idx="49">
                  <c:v>-1.9164291619887201E-4</c:v>
                </c:pt>
                <c:pt idx="50">
                  <c:v>4.73655991480851E-4</c:v>
                </c:pt>
                <c:pt idx="51">
                  <c:v>2.8470824800930997E-4</c:v>
                </c:pt>
                <c:pt idx="52">
                  <c:v>-1.6998522520933899E-4</c:v>
                </c:pt>
                <c:pt idx="53">
                  <c:v>8.9310860066427999E-5</c:v>
                </c:pt>
                <c:pt idx="54">
                  <c:v>-2.3449314714314799E-4</c:v>
                </c:pt>
                <c:pt idx="55">
                  <c:v>4.6079682602134201E-4</c:v>
                </c:pt>
                <c:pt idx="56">
                  <c:v>-4.2373595934644002E-4</c:v>
                </c:pt>
                <c:pt idx="57">
                  <c:v>3.5376729023616502E-4</c:v>
                </c:pt>
                <c:pt idx="58">
                  <c:v>-3.9213095960065998E-4</c:v>
                </c:pt>
                <c:pt idx="59">
                  <c:v>2.2003009846617301E-4</c:v>
                </c:pt>
                <c:pt idx="60">
                  <c:v>-4.5838743761524801E-4</c:v>
                </c:pt>
                <c:pt idx="61">
                  <c:v>-1.16132646815834E-4</c:v>
                </c:pt>
                <c:pt idx="62">
                  <c:v>-7.6371531010133696E-5</c:v>
                </c:pt>
                <c:pt idx="63">
                  <c:v>4.2613487624025499E-4</c:v>
                </c:pt>
                <c:pt idx="64">
                  <c:v>4.9067964528388399E-4</c:v>
                </c:pt>
                <c:pt idx="65">
                  <c:v>-4.0158160912965202E-4</c:v>
                </c:pt>
                <c:pt idx="66">
                  <c:v>-3.20845885909408E-4</c:v>
                </c:pt>
                <c:pt idx="67">
                  <c:v>6.84057540396812E-4</c:v>
                </c:pt>
                <c:pt idx="68">
                  <c:v>-6.6609442586520096E-4</c:v>
                </c:pt>
                <c:pt idx="69">
                  <c:v>-5.4165575443229901E-4</c:v>
                </c:pt>
                <c:pt idx="70">
                  <c:v>-5.24291403926948E-5</c:v>
                </c:pt>
                <c:pt idx="71">
                  <c:v>-4.8451394754969599E-4</c:v>
                </c:pt>
                <c:pt idx="72">
                  <c:v>2.5032343842997499E-4</c:v>
                </c:pt>
                <c:pt idx="73">
                  <c:v>-5.2682928295166598E-6</c:v>
                </c:pt>
                <c:pt idx="74">
                  <c:v>-5.0930944113877797E-5</c:v>
                </c:pt>
                <c:pt idx="75">
                  <c:v>1.1040634311798999E-4</c:v>
                </c:pt>
                <c:pt idx="76">
                  <c:v>8.6408784529780594E-5</c:v>
                </c:pt>
                <c:pt idx="77">
                  <c:v>-7.5406852420845897E-4</c:v>
                </c:pt>
                <c:pt idx="78">
                  <c:v>-9.3471047322661496E-5</c:v>
                </c:pt>
                <c:pt idx="79">
                  <c:v>-6.1984767280150405E-4</c:v>
                </c:pt>
                <c:pt idx="80">
                  <c:v>2.3228051194378499E-4</c:v>
                </c:pt>
                <c:pt idx="81">
                  <c:v>7.0818167570551201E-6</c:v>
                </c:pt>
                <c:pt idx="82">
                  <c:v>1.6134097924549599E-4</c:v>
                </c:pt>
                <c:pt idx="83">
                  <c:v>9.45507185730326E-5</c:v>
                </c:pt>
                <c:pt idx="84">
                  <c:v>-2.9993401538935702E-4</c:v>
                </c:pt>
                <c:pt idx="85">
                  <c:v>7.4895822629872204E-4</c:v>
                </c:pt>
                <c:pt idx="86">
                  <c:v>-2.0675072661668399E-4</c:v>
                </c:pt>
                <c:pt idx="87">
                  <c:v>-6.7683951241625896E-5</c:v>
                </c:pt>
                <c:pt idx="88">
                  <c:v>7.95519579389889E-4</c:v>
                </c:pt>
                <c:pt idx="89">
                  <c:v>2.0718044890087901E-4</c:v>
                </c:pt>
                <c:pt idx="90">
                  <c:v>2.1414284483343101E-4</c:v>
                </c:pt>
                <c:pt idx="91">
                  <c:v>-3.02034536424117E-4</c:v>
                </c:pt>
                <c:pt idx="92">
                  <c:v>1.19250680880125E-4</c:v>
                </c:pt>
                <c:pt idx="93">
                  <c:v>-2.5572956391514999E-4</c:v>
                </c:pt>
                <c:pt idx="94">
                  <c:v>-2.3796349600720099E-4</c:v>
                </c:pt>
                <c:pt idx="95">
                  <c:v>3.3428582076809702E-4</c:v>
                </c:pt>
                <c:pt idx="96">
                  <c:v>-5.5301118840267303E-5</c:v>
                </c:pt>
                <c:pt idx="97">
                  <c:v>4.1333189420448901E-4</c:v>
                </c:pt>
                <c:pt idx="98">
                  <c:v>4.3379533295154801E-4</c:v>
                </c:pt>
                <c:pt idx="99">
                  <c:v>3.5188957673622298E-5</c:v>
                </c:pt>
                <c:pt idx="100">
                  <c:v>5.3475482270158396E-4</c:v>
                </c:pt>
                <c:pt idx="101">
                  <c:v>-3.2052557663267298E-4</c:v>
                </c:pt>
                <c:pt idx="102">
                  <c:v>-1.7318873685080399E-4</c:v>
                </c:pt>
                <c:pt idx="103">
                  <c:v>-1.58646382584015E-4</c:v>
                </c:pt>
                <c:pt idx="104">
                  <c:v>2.26128615045503E-4</c:v>
                </c:pt>
                <c:pt idx="105">
                  <c:v>-2.43375362770276E-4</c:v>
                </c:pt>
                <c:pt idx="106">
                  <c:v>-7.0641526683239196E-4</c:v>
                </c:pt>
                <c:pt idx="107">
                  <c:v>-1.5901268087450401E-4</c:v>
                </c:pt>
                <c:pt idx="108">
                  <c:v>-1.8469500567107101E-5</c:v>
                </c:pt>
                <c:pt idx="109">
                  <c:v>-4.71915510079232E-4</c:v>
                </c:pt>
                <c:pt idx="110">
                  <c:v>5.8464198688180403E-4</c:v>
                </c:pt>
                <c:pt idx="111">
                  <c:v>5.9085001953976496E-4</c:v>
                </c:pt>
                <c:pt idx="112">
                  <c:v>-2.9705950610673E-4</c:v>
                </c:pt>
                <c:pt idx="113">
                  <c:v>1.1305087617283201E-3</c:v>
                </c:pt>
                <c:pt idx="114">
                  <c:v>8.2564953085306997E-4</c:v>
                </c:pt>
                <c:pt idx="115">
                  <c:v>3.5968993990966399E-4</c:v>
                </c:pt>
                <c:pt idx="116">
                  <c:v>2.5982464530044201E-4</c:v>
                </c:pt>
                <c:pt idx="117">
                  <c:v>-6.5835844676590905E-4</c:v>
                </c:pt>
                <c:pt idx="118">
                  <c:v>3.67006237051987E-4</c:v>
                </c:pt>
                <c:pt idx="119">
                  <c:v>-1.0374942130471599E-4</c:v>
                </c:pt>
                <c:pt idx="120">
                  <c:v>-4.9027953453499996E-4</c:v>
                </c:pt>
                <c:pt idx="121">
                  <c:v>-4.3302301982997001E-4</c:v>
                </c:pt>
                <c:pt idx="122">
                  <c:v>-3.7576978324561097E-4</c:v>
                </c:pt>
                <c:pt idx="123">
                  <c:v>2.2479481262174599E-4</c:v>
                </c:pt>
                <c:pt idx="124">
                  <c:v>-3.3713577760696199E-5</c:v>
                </c:pt>
                <c:pt idx="125">
                  <c:v>5.3179477272560696E-4</c:v>
                </c:pt>
                <c:pt idx="126">
                  <c:v>5.0796291762520904E-4</c:v>
                </c:pt>
                <c:pt idx="127">
                  <c:v>-1.87441229057517E-5</c:v>
                </c:pt>
                <c:pt idx="128">
                  <c:v>4.2077602585711499E-4</c:v>
                </c:pt>
                <c:pt idx="129">
                  <c:v>5.9831546289847502E-6</c:v>
                </c:pt>
                <c:pt idx="130">
                  <c:v>4.0226534336754302E-4</c:v>
                </c:pt>
                <c:pt idx="131">
                  <c:v>-8.4394031237142097E-5</c:v>
                </c:pt>
                <c:pt idx="132">
                  <c:v>-5.3034110293743802E-4</c:v>
                </c:pt>
                <c:pt idx="133">
                  <c:v>-9.3557107286018702E-4</c:v>
                </c:pt>
                <c:pt idx="134">
                  <c:v>1.64367078853504E-4</c:v>
                </c:pt>
                <c:pt idx="135">
                  <c:v>-3.0502947197179998E-4</c:v>
                </c:pt>
                <c:pt idx="136">
                  <c:v>-2.38958403735182E-4</c:v>
                </c:pt>
                <c:pt idx="137">
                  <c:v>2.3218339350937901E-4</c:v>
                </c:pt>
                <c:pt idx="138">
                  <c:v>-3.8383261398596702E-4</c:v>
                </c:pt>
                <c:pt idx="139">
                  <c:v>-1.10941618257923E-3</c:v>
                </c:pt>
                <c:pt idx="140">
                  <c:v>4.1786644599089902E-4</c:v>
                </c:pt>
                <c:pt idx="141">
                  <c:v>-3.6656658264003699E-4</c:v>
                </c:pt>
                <c:pt idx="142">
                  <c:v>-3.0055711253615798E-4</c:v>
                </c:pt>
                <c:pt idx="143">
                  <c:v>7.2086541449105596E-4</c:v>
                </c:pt>
                <c:pt idx="144">
                  <c:v>2.0147857554839001E-4</c:v>
                </c:pt>
                <c:pt idx="145">
                  <c:v>-2.8470400250031001E-4</c:v>
                </c:pt>
                <c:pt idx="146">
                  <c:v>1.52178032374071E-4</c:v>
                </c:pt>
                <c:pt idx="147">
                  <c:v>2.3730156846882199E-4</c:v>
                </c:pt>
                <c:pt idx="148">
                  <c:v>-2.36750778448591E-4</c:v>
                </c:pt>
                <c:pt idx="149">
                  <c:v>-3.6595139041414502E-5</c:v>
                </c:pt>
                <c:pt idx="150">
                  <c:v>2.8159122306566997E-4</c:v>
                </c:pt>
                <c:pt idx="151">
                  <c:v>-1.08407444403207E-4</c:v>
                </c:pt>
                <c:pt idx="152">
                  <c:v>-1.3499317253080301E-4</c:v>
                </c:pt>
                <c:pt idx="153">
                  <c:v>-5.6542853550827898E-4</c:v>
                </c:pt>
                <c:pt idx="154">
                  <c:v>5.4144167639810705E-4</c:v>
                </c:pt>
                <c:pt idx="155">
                  <c:v>-3.8526977131586598E-4</c:v>
                </c:pt>
                <c:pt idx="156">
                  <c:v>-7.7634912689565302E-4</c:v>
                </c:pt>
                <c:pt idx="157">
                  <c:v>2.1703893181289E-4</c:v>
                </c:pt>
                <c:pt idx="158">
                  <c:v>-1.7397384441692401E-4</c:v>
                </c:pt>
                <c:pt idx="159">
                  <c:v>-7.7834959774316203E-5</c:v>
                </c:pt>
                <c:pt idx="160">
                  <c:v>8.0484027027123402E-4</c:v>
                </c:pt>
                <c:pt idx="161">
                  <c:v>3.67337946309416E-4</c:v>
                </c:pt>
                <c:pt idx="162">
                  <c:v>-7.0081870073629798E-5</c:v>
                </c:pt>
                <c:pt idx="163">
                  <c:v>4.31900091292655E-4</c:v>
                </c:pt>
                <c:pt idx="164">
                  <c:v>-5.5019988889355002E-5</c:v>
                </c:pt>
                <c:pt idx="165">
                  <c:v>8.0696727984334198E-4</c:v>
                </c:pt>
                <c:pt idx="166">
                  <c:v>-5.00091611129384E-4</c:v>
                </c:pt>
                <c:pt idx="167">
                  <c:v>-3.9998013779712701E-5</c:v>
                </c:pt>
                <c:pt idx="168">
                  <c:v>5.71579832784131E-5</c:v>
                </c:pt>
                <c:pt idx="169">
                  <c:v>5.07546731494462E-4</c:v>
                </c:pt>
                <c:pt idx="170">
                  <c:v>-4.7655988356425799E-4</c:v>
                </c:pt>
                <c:pt idx="171">
                  <c:v>5.1340765712122095E-4</c:v>
                </c:pt>
                <c:pt idx="172">
                  <c:v>-1.13823665793205E-4</c:v>
                </c:pt>
                <c:pt idx="173">
                  <c:v>-1.3413124387103299E-4</c:v>
                </c:pt>
                <c:pt idx="174">
                  <c:v>3.9104431902641098E-4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85-463E-8312-96F53E4BB6FD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BSCR* x 20 dma / IBDS*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3.7041519181628001E-4</c:v>
                </c:pt>
                <c:pt idx="21">
                  <c:v>2.5947983624194203E-4</c:v>
                </c:pt>
                <c:pt idx="22">
                  <c:v>1.2365456945050801E-3</c:v>
                </c:pt>
                <c:pt idx="23">
                  <c:v>4.2645048998989603E-4</c:v>
                </c:pt>
                <c:pt idx="24">
                  <c:v>-9.2423786909132696E-4</c:v>
                </c:pt>
                <c:pt idx="25">
                  <c:v>2.5613659419136202E-5</c:v>
                </c:pt>
                <c:pt idx="26">
                  <c:v>-3.2096866174386699E-4</c:v>
                </c:pt>
                <c:pt idx="27">
                  <c:v>-9.1426463256168297E-4</c:v>
                </c:pt>
                <c:pt idx="28">
                  <c:v>1.3448983939864299E-4</c:v>
                </c:pt>
                <c:pt idx="29">
                  <c:v>2.96430844644372E-4</c:v>
                </c:pt>
                <c:pt idx="30">
                  <c:v>-2.2692757334507501E-4</c:v>
                </c:pt>
                <c:pt idx="31">
                  <c:v>6.9662055033467205E-4</c:v>
                </c:pt>
                <c:pt idx="32">
                  <c:v>-7.5728082535124095E-4</c:v>
                </c:pt>
                <c:pt idx="33">
                  <c:v>-6.2865125465239502E-4</c:v>
                </c:pt>
                <c:pt idx="34">
                  <c:v>-7.0729481096480596E-4</c:v>
                </c:pt>
                <c:pt idx="35">
                  <c:v>-2.5793871551752097E-4</c:v>
                </c:pt>
                <c:pt idx="36">
                  <c:v>-6.4334562734586604E-4</c:v>
                </c:pt>
                <c:pt idx="37">
                  <c:v>-6.1932415030484396E-4</c:v>
                </c:pt>
                <c:pt idx="38">
                  <c:v>2.7821089847538701E-5</c:v>
                </c:pt>
                <c:pt idx="39">
                  <c:v>2.4997664946506903E-4</c:v>
                </c:pt>
                <c:pt idx="40">
                  <c:v>-7.6009206695644904E-4</c:v>
                </c:pt>
                <c:pt idx="41">
                  <c:v>-2.93075008328966E-4</c:v>
                </c:pt>
                <c:pt idx="42">
                  <c:v>1.48915171249598E-4</c:v>
                </c:pt>
                <c:pt idx="43">
                  <c:v>3.0539715850444698E-4</c:v>
                </c:pt>
                <c:pt idx="44">
                  <c:v>-5.8641665060749396E-4</c:v>
                </c:pt>
                <c:pt idx="45">
                  <c:v>-1.7622512651101601E-4</c:v>
                </c:pt>
                <c:pt idx="46">
                  <c:v>1.65165545801746E-4</c:v>
                </c:pt>
                <c:pt idx="47">
                  <c:v>1.9250609527871401E-4</c:v>
                </c:pt>
                <c:pt idx="48">
                  <c:v>-2.55216389201154E-4</c:v>
                </c:pt>
                <c:pt idx="49">
                  <c:v>-2.2137536731561499E-4</c:v>
                </c:pt>
                <c:pt idx="50">
                  <c:v>4.2116159735179501E-4</c:v>
                </c:pt>
                <c:pt idx="51">
                  <c:v>3.14959108515954E-4</c:v>
                </c:pt>
                <c:pt idx="52">
                  <c:v>-5.7017637293987202E-5</c:v>
                </c:pt>
                <c:pt idx="53">
                  <c:v>1.52680897619762E-4</c:v>
                </c:pt>
                <c:pt idx="54">
                  <c:v>-2.1432905642241801E-4</c:v>
                </c:pt>
                <c:pt idx="55">
                  <c:v>5.0599290775225198E-4</c:v>
                </c:pt>
                <c:pt idx="56">
                  <c:v>-3.3765019455768999E-4</c:v>
                </c:pt>
                <c:pt idx="57">
                  <c:v>3.8765502369399201E-4</c:v>
                </c:pt>
                <c:pt idx="58">
                  <c:v>-3.77376142139746E-4</c:v>
                </c:pt>
                <c:pt idx="59">
                  <c:v>2.5025845283120602E-4</c:v>
                </c:pt>
                <c:pt idx="60">
                  <c:v>-3.7154826213936601E-4</c:v>
                </c:pt>
                <c:pt idx="61">
                  <c:v>-1.14538169168808E-4</c:v>
                </c:pt>
                <c:pt idx="62">
                  <c:v>-1.16787934089821E-4</c:v>
                </c:pt>
                <c:pt idx="63">
                  <c:v>4.0522522339650198E-4</c:v>
                </c:pt>
                <c:pt idx="64">
                  <c:v>4.9701084394569597E-4</c:v>
                </c:pt>
                <c:pt idx="65">
                  <c:v>-3.7408776829788299E-4</c:v>
                </c:pt>
                <c:pt idx="66">
                  <c:v>-3.65301638925134E-4</c:v>
                </c:pt>
                <c:pt idx="67">
                  <c:v>6.6555493808790396E-4</c:v>
                </c:pt>
                <c:pt idx="68">
                  <c:v>-6.7939294824598002E-4</c:v>
                </c:pt>
                <c:pt idx="69">
                  <c:v>-5.6362271965934097E-4</c:v>
                </c:pt>
                <c:pt idx="70">
                  <c:v>-1.3828502217641601E-4</c:v>
                </c:pt>
                <c:pt idx="71">
                  <c:v>-5.2073858070453803E-4</c:v>
                </c:pt>
                <c:pt idx="72">
                  <c:v>2.11932514022112E-4</c:v>
                </c:pt>
                <c:pt idx="73">
                  <c:v>-3.1804446092894702E-5</c:v>
                </c:pt>
                <c:pt idx="74">
                  <c:v>-1.16429109272347E-4</c:v>
                </c:pt>
                <c:pt idx="75">
                  <c:v>-2.5593180181754601E-5</c:v>
                </c:pt>
                <c:pt idx="76">
                  <c:v>2.77015094424597E-6</c:v>
                </c:pt>
                <c:pt idx="77">
                  <c:v>-8.26408031039702E-4</c:v>
                </c:pt>
                <c:pt idx="78">
                  <c:v>-2.5958724958047898E-4</c:v>
                </c:pt>
                <c:pt idx="79">
                  <c:v>-7.5891156060841703E-4</c:v>
                </c:pt>
                <c:pt idx="80">
                  <c:v>1.15674232160584E-4</c:v>
                </c:pt>
                <c:pt idx="81">
                  <c:v>-1.18663786888942E-4</c:v>
                </c:pt>
                <c:pt idx="82">
                  <c:v>6.9644540562380502E-5</c:v>
                </c:pt>
                <c:pt idx="83">
                  <c:v>-2.32521074698468E-5</c:v>
                </c:pt>
                <c:pt idx="84">
                  <c:v>-4.0031013666539902E-4</c:v>
                </c:pt>
                <c:pt idx="85">
                  <c:v>6.5971143280500603E-4</c:v>
                </c:pt>
                <c:pt idx="86">
                  <c:v>-2.8500610842211599E-4</c:v>
                </c:pt>
                <c:pt idx="87">
                  <c:v>-1.8041801526664299E-4</c:v>
                </c:pt>
                <c:pt idx="88">
                  <c:v>7.8496311281144699E-4</c:v>
                </c:pt>
                <c:pt idx="89">
                  <c:v>2.2798333640415899E-4</c:v>
                </c:pt>
                <c:pt idx="90">
                  <c:v>2.9621681686898101E-4</c:v>
                </c:pt>
                <c:pt idx="91">
                  <c:v>-2.1523461504339701E-4</c:v>
                </c:pt>
                <c:pt idx="92">
                  <c:v>1.8726546694036901E-4</c:v>
                </c:pt>
                <c:pt idx="93">
                  <c:v>-1.6940199942488401E-4</c:v>
                </c:pt>
                <c:pt idx="94">
                  <c:v>-1.5373026710305501E-4</c:v>
                </c:pt>
                <c:pt idx="95">
                  <c:v>4.5253764188260998E-4</c:v>
                </c:pt>
                <c:pt idx="96">
                  <c:v>3.1051040901872497E-5</c:v>
                </c:pt>
                <c:pt idx="97">
                  <c:v>5.38382161581967E-4</c:v>
                </c:pt>
                <c:pt idx="98">
                  <c:v>5.7234941748448198E-4</c:v>
                </c:pt>
                <c:pt idx="99">
                  <c:v>1.2612777340033501E-4</c:v>
                </c:pt>
                <c:pt idx="100">
                  <c:v>5.8274110614644505E-4</c:v>
                </c:pt>
                <c:pt idx="101">
                  <c:v>-2.5901500588561602E-4</c:v>
                </c:pt>
                <c:pt idx="102">
                  <c:v>-9.9671319714501498E-5</c:v>
                </c:pt>
                <c:pt idx="103">
                  <c:v>-9.7097365741113606E-5</c:v>
                </c:pt>
                <c:pt idx="104">
                  <c:v>3.0757403972695899E-4</c:v>
                </c:pt>
                <c:pt idx="105">
                  <c:v>-1.42101285059927E-4</c:v>
                </c:pt>
                <c:pt idx="106">
                  <c:v>-6.1499371075881203E-4</c:v>
                </c:pt>
                <c:pt idx="107">
                  <c:v>-1.07229554166543E-4</c:v>
                </c:pt>
                <c:pt idx="108">
                  <c:v>-2.66790428337742E-5</c:v>
                </c:pt>
                <c:pt idx="109">
                  <c:v>-4.9932357136957695E-4</c:v>
                </c:pt>
                <c:pt idx="110">
                  <c:v>5.2864059590778702E-4</c:v>
                </c:pt>
                <c:pt idx="111">
                  <c:v>5.1092349145006103E-4</c:v>
                </c:pt>
                <c:pt idx="112">
                  <c:v>-3.44647249670605E-4</c:v>
                </c:pt>
                <c:pt idx="113">
                  <c:v>1.0792380171230601E-3</c:v>
                </c:pt>
                <c:pt idx="114">
                  <c:v>8.2266773218130399E-4</c:v>
                </c:pt>
                <c:pt idx="115">
                  <c:v>3.55018663294783E-4</c:v>
                </c:pt>
                <c:pt idx="116">
                  <c:v>3.0359632798474098E-4</c:v>
                </c:pt>
                <c:pt idx="117">
                  <c:v>-5.3845013059783202E-4</c:v>
                </c:pt>
                <c:pt idx="118">
                  <c:v>4.9736872719866499E-4</c:v>
                </c:pt>
                <c:pt idx="119">
                  <c:v>8.2359291970590095E-5</c:v>
                </c:pt>
                <c:pt idx="120">
                  <c:v>-2.3901957065165601E-4</c:v>
                </c:pt>
                <c:pt idx="121">
                  <c:v>-2.0729338364075501E-4</c:v>
                </c:pt>
                <c:pt idx="122">
                  <c:v>-2.1624865353361001E-4</c:v>
                </c:pt>
                <c:pt idx="123">
                  <c:v>4.0729566301090199E-4</c:v>
                </c:pt>
                <c:pt idx="124">
                  <c:v>6.2449875410558101E-5</c:v>
                </c:pt>
                <c:pt idx="125">
                  <c:v>5.6494993448403695E-4</c:v>
                </c:pt>
                <c:pt idx="126">
                  <c:v>5.2334842274562201E-4</c:v>
                </c:pt>
                <c:pt idx="127">
                  <c:v>-4.2123875898990602E-5</c:v>
                </c:pt>
                <c:pt idx="128">
                  <c:v>4.40032990563727E-4</c:v>
                </c:pt>
                <c:pt idx="129">
                  <c:v>-2.4563819984561599E-6</c:v>
                </c:pt>
                <c:pt idx="130">
                  <c:v>3.6143312131832299E-4</c:v>
                </c:pt>
                <c:pt idx="131">
                  <c:v>-5.6052715966611299E-5</c:v>
                </c:pt>
                <c:pt idx="132">
                  <c:v>-4.5309881810240399E-4</c:v>
                </c:pt>
                <c:pt idx="133">
                  <c:v>-8.7035571451822297E-4</c:v>
                </c:pt>
                <c:pt idx="134">
                  <c:v>2.0508831910526399E-4</c:v>
                </c:pt>
                <c:pt idx="135">
                  <c:v>-2.1698809649039601E-4</c:v>
                </c:pt>
                <c:pt idx="136">
                  <c:v>-1.95871437019674E-4</c:v>
                </c:pt>
                <c:pt idx="137">
                  <c:v>2.2829557940532699E-4</c:v>
                </c:pt>
                <c:pt idx="138">
                  <c:v>-4.0521674746673702E-4</c:v>
                </c:pt>
                <c:pt idx="139">
                  <c:v>-1.1777760543269099E-3</c:v>
                </c:pt>
                <c:pt idx="140">
                  <c:v>2.82238018346819E-4</c:v>
                </c:pt>
                <c:pt idx="141">
                  <c:v>-5.5550863826940599E-4</c:v>
                </c:pt>
                <c:pt idx="142">
                  <c:v>-5.42764186822317E-4</c:v>
                </c:pt>
                <c:pt idx="143">
                  <c:v>4.6592965802171401E-4</c:v>
                </c:pt>
                <c:pt idx="144">
                  <c:v>5.5356801064534798E-5</c:v>
                </c:pt>
                <c:pt idx="145">
                  <c:v>-4.5755074961840699E-4</c:v>
                </c:pt>
                <c:pt idx="146">
                  <c:v>-3.90755368087791E-6</c:v>
                </c:pt>
                <c:pt idx="147">
                  <c:v>1.18190860866481E-4</c:v>
                </c:pt>
                <c:pt idx="148">
                  <c:v>-3.7966637540769302E-4</c:v>
                </c:pt>
                <c:pt idx="149">
                  <c:v>-1.44089388312343E-4</c:v>
                </c:pt>
                <c:pt idx="150">
                  <c:v>2.7963659754689401E-4</c:v>
                </c:pt>
                <c:pt idx="151">
                  <c:v>-1.0459220466711501E-4</c:v>
                </c:pt>
                <c:pt idx="152">
                  <c:v>-8.4879085309013595E-5</c:v>
                </c:pt>
                <c:pt idx="153">
                  <c:v>-4.8928310201223197E-4</c:v>
                </c:pt>
                <c:pt idx="154">
                  <c:v>5.0356795983044495E-4</c:v>
                </c:pt>
                <c:pt idx="155">
                  <c:v>-3.9718534409294699E-4</c:v>
                </c:pt>
                <c:pt idx="156">
                  <c:v>-7.7821497708348004E-4</c:v>
                </c:pt>
                <c:pt idx="157">
                  <c:v>1.6460260576535901E-4</c:v>
                </c:pt>
                <c:pt idx="158">
                  <c:v>-2.2101394053900201E-4</c:v>
                </c:pt>
                <c:pt idx="159">
                  <c:v>-1.1950121067948701E-4</c:v>
                </c:pt>
                <c:pt idx="160">
                  <c:v>7.1403565053366905E-4</c:v>
                </c:pt>
                <c:pt idx="161">
                  <c:v>3.0060918304546699E-4</c:v>
                </c:pt>
                <c:pt idx="162">
                  <c:v>-1.3299263888551799E-4</c:v>
                </c:pt>
                <c:pt idx="163">
                  <c:v>3.5265144535280899E-4</c:v>
                </c:pt>
                <c:pt idx="164">
                  <c:v>-3.5631954960842802E-5</c:v>
                </c:pt>
                <c:pt idx="165">
                  <c:v>7.8527260015109001E-4</c:v>
                </c:pt>
                <c:pt idx="166">
                  <c:v>-4.5813151572490199E-4</c:v>
                </c:pt>
                <c:pt idx="167">
                  <c:v>6.6613492645374494E-5</c:v>
                </c:pt>
                <c:pt idx="168">
                  <c:v>1.6783374504712799E-4</c:v>
                </c:pt>
                <c:pt idx="169">
                  <c:v>6.42418875177777E-4</c:v>
                </c:pt>
                <c:pt idx="170">
                  <c:v>-2.9269737463369198E-4</c:v>
                </c:pt>
                <c:pt idx="171">
                  <c:v>6.3450529351715898E-4</c:v>
                </c:pt>
                <c:pt idx="172">
                  <c:v>9.5698408764864806E-6</c:v>
                </c:pt>
                <c:pt idx="173">
                  <c:v>2.46358866844646E-6</c:v>
                </c:pt>
                <c:pt idx="174">
                  <c:v>4.7104791264575697E-4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85-463E-8312-96F53E4BB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IBDS*/BSCR*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1.23013967146909</c:v>
                </c:pt>
                <c:pt idx="1">
                  <c:v>1.23013967146909</c:v>
                </c:pt>
                <c:pt idx="2">
                  <c:v>1.23013967146909</c:v>
                </c:pt>
                <c:pt idx="3">
                  <c:v>1.23013967146909</c:v>
                </c:pt>
                <c:pt idx="4">
                  <c:v>1.23013967146909</c:v>
                </c:pt>
                <c:pt idx="5">
                  <c:v>1.23013967146909</c:v>
                </c:pt>
                <c:pt idx="6">
                  <c:v>1.23013967146909</c:v>
                </c:pt>
                <c:pt idx="7">
                  <c:v>1.23013967146909</c:v>
                </c:pt>
                <c:pt idx="8">
                  <c:v>1.23013967146909</c:v>
                </c:pt>
                <c:pt idx="9">
                  <c:v>1.23013967146909</c:v>
                </c:pt>
                <c:pt idx="10">
                  <c:v>1.23013967146909</c:v>
                </c:pt>
                <c:pt idx="11">
                  <c:v>1.23013967146909</c:v>
                </c:pt>
                <c:pt idx="12">
                  <c:v>1.23013967146909</c:v>
                </c:pt>
                <c:pt idx="13">
                  <c:v>1.23013967146909</c:v>
                </c:pt>
                <c:pt idx="14">
                  <c:v>1.23013967146909</c:v>
                </c:pt>
                <c:pt idx="15">
                  <c:v>1.23013967146909</c:v>
                </c:pt>
                <c:pt idx="16">
                  <c:v>1.23013967146909</c:v>
                </c:pt>
                <c:pt idx="17">
                  <c:v>1.23013967146909</c:v>
                </c:pt>
                <c:pt idx="18">
                  <c:v>1.23013967146909</c:v>
                </c:pt>
                <c:pt idx="19">
                  <c:v>1.23013967146909</c:v>
                </c:pt>
                <c:pt idx="20">
                  <c:v>1.23013967146909</c:v>
                </c:pt>
                <c:pt idx="21">
                  <c:v>1.23013967146909</c:v>
                </c:pt>
                <c:pt idx="22">
                  <c:v>1.23013967146909</c:v>
                </c:pt>
                <c:pt idx="23">
                  <c:v>1.23013967146909</c:v>
                </c:pt>
                <c:pt idx="24">
                  <c:v>1.23013967146909</c:v>
                </c:pt>
                <c:pt idx="25">
                  <c:v>1.23013967146909</c:v>
                </c:pt>
                <c:pt idx="26">
                  <c:v>1.23013967146909</c:v>
                </c:pt>
                <c:pt idx="27">
                  <c:v>1.23013967146909</c:v>
                </c:pt>
                <c:pt idx="28">
                  <c:v>1.23013967146909</c:v>
                </c:pt>
                <c:pt idx="29">
                  <c:v>1.23013967146909</c:v>
                </c:pt>
                <c:pt idx="30">
                  <c:v>1.23013967146909</c:v>
                </c:pt>
                <c:pt idx="31">
                  <c:v>1.23013967146909</c:v>
                </c:pt>
                <c:pt idx="32">
                  <c:v>1.23013967146909</c:v>
                </c:pt>
                <c:pt idx="33">
                  <c:v>1.23013967146909</c:v>
                </c:pt>
                <c:pt idx="34">
                  <c:v>1.23013967146909</c:v>
                </c:pt>
                <c:pt idx="35">
                  <c:v>1.23013967146909</c:v>
                </c:pt>
                <c:pt idx="36">
                  <c:v>1.23013967146909</c:v>
                </c:pt>
                <c:pt idx="37">
                  <c:v>1.23013967146909</c:v>
                </c:pt>
                <c:pt idx="38">
                  <c:v>1.23013967146909</c:v>
                </c:pt>
                <c:pt idx="39">
                  <c:v>1.23013967146909</c:v>
                </c:pt>
                <c:pt idx="40">
                  <c:v>1.23013967146909</c:v>
                </c:pt>
                <c:pt idx="41">
                  <c:v>1.23013967146909</c:v>
                </c:pt>
                <c:pt idx="42">
                  <c:v>1.23013967146909</c:v>
                </c:pt>
                <c:pt idx="43">
                  <c:v>1.23013967146909</c:v>
                </c:pt>
                <c:pt idx="44">
                  <c:v>1.23013967146909</c:v>
                </c:pt>
                <c:pt idx="45">
                  <c:v>1.23013967146909</c:v>
                </c:pt>
                <c:pt idx="46">
                  <c:v>1.23013967146909</c:v>
                </c:pt>
                <c:pt idx="47">
                  <c:v>1.23013967146909</c:v>
                </c:pt>
                <c:pt idx="48">
                  <c:v>1.23013967146909</c:v>
                </c:pt>
                <c:pt idx="49">
                  <c:v>1.23013967146909</c:v>
                </c:pt>
                <c:pt idx="50">
                  <c:v>1.23013967146909</c:v>
                </c:pt>
                <c:pt idx="51">
                  <c:v>1.23013967146909</c:v>
                </c:pt>
                <c:pt idx="52">
                  <c:v>1.23013967146909</c:v>
                </c:pt>
                <c:pt idx="53">
                  <c:v>1.23013967146909</c:v>
                </c:pt>
                <c:pt idx="54">
                  <c:v>1.23013967146909</c:v>
                </c:pt>
                <c:pt idx="55">
                  <c:v>1.23013967146909</c:v>
                </c:pt>
                <c:pt idx="56">
                  <c:v>1.23013967146909</c:v>
                </c:pt>
                <c:pt idx="57">
                  <c:v>1.23013967146909</c:v>
                </c:pt>
                <c:pt idx="58">
                  <c:v>1.23013967146909</c:v>
                </c:pt>
                <c:pt idx="59">
                  <c:v>1.23013967146909</c:v>
                </c:pt>
                <c:pt idx="60">
                  <c:v>1.23013967146909</c:v>
                </c:pt>
                <c:pt idx="61">
                  <c:v>1.23013967146909</c:v>
                </c:pt>
                <c:pt idx="62">
                  <c:v>1.23013967146909</c:v>
                </c:pt>
                <c:pt idx="63">
                  <c:v>1.23013967146909</c:v>
                </c:pt>
                <c:pt idx="64">
                  <c:v>1.23013967146909</c:v>
                </c:pt>
                <c:pt idx="65">
                  <c:v>1.23013967146909</c:v>
                </c:pt>
                <c:pt idx="66">
                  <c:v>1.23013967146909</c:v>
                </c:pt>
                <c:pt idx="67">
                  <c:v>1.23013967146909</c:v>
                </c:pt>
                <c:pt idx="68">
                  <c:v>1.23013967146909</c:v>
                </c:pt>
                <c:pt idx="69">
                  <c:v>1.23013967146909</c:v>
                </c:pt>
                <c:pt idx="70">
                  <c:v>1.23013967146909</c:v>
                </c:pt>
                <c:pt idx="71">
                  <c:v>1.23013967146909</c:v>
                </c:pt>
                <c:pt idx="72">
                  <c:v>1.23013967146909</c:v>
                </c:pt>
                <c:pt idx="73">
                  <c:v>1.23013967146909</c:v>
                </c:pt>
                <c:pt idx="74">
                  <c:v>1.23013967146909</c:v>
                </c:pt>
                <c:pt idx="75">
                  <c:v>1.23013967146909</c:v>
                </c:pt>
                <c:pt idx="76">
                  <c:v>1.23013967146909</c:v>
                </c:pt>
                <c:pt idx="77">
                  <c:v>1.23013967146909</c:v>
                </c:pt>
                <c:pt idx="78">
                  <c:v>1.23013967146909</c:v>
                </c:pt>
                <c:pt idx="79">
                  <c:v>1.23013967146909</c:v>
                </c:pt>
                <c:pt idx="80">
                  <c:v>1.23013967146909</c:v>
                </c:pt>
                <c:pt idx="81">
                  <c:v>1.23013967146909</c:v>
                </c:pt>
                <c:pt idx="82">
                  <c:v>1.23013967146909</c:v>
                </c:pt>
                <c:pt idx="83">
                  <c:v>1.23013967146909</c:v>
                </c:pt>
                <c:pt idx="84">
                  <c:v>1.23013967146909</c:v>
                </c:pt>
                <c:pt idx="85">
                  <c:v>1.23013967146909</c:v>
                </c:pt>
                <c:pt idx="86">
                  <c:v>1.23013967146909</c:v>
                </c:pt>
                <c:pt idx="87">
                  <c:v>1.23013967146909</c:v>
                </c:pt>
                <c:pt idx="88">
                  <c:v>1.23013967146909</c:v>
                </c:pt>
                <c:pt idx="89">
                  <c:v>1.23013967146909</c:v>
                </c:pt>
                <c:pt idx="90">
                  <c:v>1.23013967146909</c:v>
                </c:pt>
                <c:pt idx="91">
                  <c:v>1.23013967146909</c:v>
                </c:pt>
                <c:pt idx="92">
                  <c:v>1.23013967146909</c:v>
                </c:pt>
                <c:pt idx="93">
                  <c:v>1.23013967146909</c:v>
                </c:pt>
                <c:pt idx="94">
                  <c:v>1.23013967146909</c:v>
                </c:pt>
                <c:pt idx="95">
                  <c:v>1.23013967146909</c:v>
                </c:pt>
                <c:pt idx="96">
                  <c:v>1.23013967146909</c:v>
                </c:pt>
                <c:pt idx="97">
                  <c:v>1.23013967146909</c:v>
                </c:pt>
                <c:pt idx="98">
                  <c:v>1.23013967146909</c:v>
                </c:pt>
                <c:pt idx="99">
                  <c:v>1.23013967146909</c:v>
                </c:pt>
                <c:pt idx="100">
                  <c:v>1.23013967146909</c:v>
                </c:pt>
                <c:pt idx="101">
                  <c:v>1.23013967146909</c:v>
                </c:pt>
                <c:pt idx="102">
                  <c:v>1.23013967146909</c:v>
                </c:pt>
                <c:pt idx="103">
                  <c:v>1.23013967146909</c:v>
                </c:pt>
                <c:pt idx="104">
                  <c:v>1.23013967146909</c:v>
                </c:pt>
                <c:pt idx="105">
                  <c:v>1.23013967146909</c:v>
                </c:pt>
                <c:pt idx="106">
                  <c:v>1.23013967146909</c:v>
                </c:pt>
                <c:pt idx="107">
                  <c:v>1.23013967146909</c:v>
                </c:pt>
                <c:pt idx="108">
                  <c:v>1.23013967146909</c:v>
                </c:pt>
                <c:pt idx="109">
                  <c:v>1.23013967146909</c:v>
                </c:pt>
                <c:pt idx="110">
                  <c:v>1.23013967146909</c:v>
                </c:pt>
                <c:pt idx="111">
                  <c:v>1.23013967146909</c:v>
                </c:pt>
                <c:pt idx="112">
                  <c:v>1.23013967146909</c:v>
                </c:pt>
                <c:pt idx="113">
                  <c:v>1.23013967146909</c:v>
                </c:pt>
                <c:pt idx="114">
                  <c:v>1.23013967146909</c:v>
                </c:pt>
                <c:pt idx="115">
                  <c:v>1.23013967146909</c:v>
                </c:pt>
                <c:pt idx="116">
                  <c:v>1.23013967146909</c:v>
                </c:pt>
                <c:pt idx="117">
                  <c:v>1.23013967146909</c:v>
                </c:pt>
                <c:pt idx="118">
                  <c:v>1.23013967146909</c:v>
                </c:pt>
                <c:pt idx="119">
                  <c:v>1.23013967146909</c:v>
                </c:pt>
                <c:pt idx="120">
                  <c:v>1.23013967146909</c:v>
                </c:pt>
                <c:pt idx="121">
                  <c:v>1.23013967146909</c:v>
                </c:pt>
                <c:pt idx="122">
                  <c:v>1.23013967146909</c:v>
                </c:pt>
                <c:pt idx="123">
                  <c:v>1.23013967146909</c:v>
                </c:pt>
                <c:pt idx="124">
                  <c:v>1.23013967146909</c:v>
                </c:pt>
                <c:pt idx="125">
                  <c:v>1.23013967146909</c:v>
                </c:pt>
                <c:pt idx="126">
                  <c:v>1.23013967146909</c:v>
                </c:pt>
                <c:pt idx="127">
                  <c:v>1.23013967146909</c:v>
                </c:pt>
                <c:pt idx="128">
                  <c:v>1.23013967146909</c:v>
                </c:pt>
                <c:pt idx="129">
                  <c:v>1.23013967146909</c:v>
                </c:pt>
                <c:pt idx="130">
                  <c:v>1.23013967146909</c:v>
                </c:pt>
                <c:pt idx="131">
                  <c:v>1.23013967146909</c:v>
                </c:pt>
                <c:pt idx="132">
                  <c:v>1.23013967146909</c:v>
                </c:pt>
                <c:pt idx="133">
                  <c:v>1.23013967146909</c:v>
                </c:pt>
                <c:pt idx="134">
                  <c:v>1.23013967146909</c:v>
                </c:pt>
                <c:pt idx="135">
                  <c:v>1.23013967146909</c:v>
                </c:pt>
                <c:pt idx="136">
                  <c:v>1.23013967146909</c:v>
                </c:pt>
                <c:pt idx="137">
                  <c:v>1.23013967146909</c:v>
                </c:pt>
                <c:pt idx="138">
                  <c:v>1.23013967146909</c:v>
                </c:pt>
                <c:pt idx="139">
                  <c:v>1.23013967146909</c:v>
                </c:pt>
                <c:pt idx="140">
                  <c:v>1.23013967146909</c:v>
                </c:pt>
                <c:pt idx="141">
                  <c:v>1.23013967146909</c:v>
                </c:pt>
                <c:pt idx="142">
                  <c:v>1.23013967146909</c:v>
                </c:pt>
                <c:pt idx="143">
                  <c:v>1.23013967146909</c:v>
                </c:pt>
                <c:pt idx="144">
                  <c:v>1.23013967146909</c:v>
                </c:pt>
                <c:pt idx="145">
                  <c:v>1.23013967146909</c:v>
                </c:pt>
                <c:pt idx="146">
                  <c:v>1.23013967146909</c:v>
                </c:pt>
                <c:pt idx="147">
                  <c:v>1.23013967146909</c:v>
                </c:pt>
                <c:pt idx="148">
                  <c:v>1.23013967146909</c:v>
                </c:pt>
                <c:pt idx="149">
                  <c:v>1.23013967146909</c:v>
                </c:pt>
                <c:pt idx="150">
                  <c:v>1.23013967146909</c:v>
                </c:pt>
                <c:pt idx="151">
                  <c:v>1.23013967146909</c:v>
                </c:pt>
                <c:pt idx="152">
                  <c:v>1.23013967146909</c:v>
                </c:pt>
                <c:pt idx="153">
                  <c:v>1.23013967146909</c:v>
                </c:pt>
                <c:pt idx="154">
                  <c:v>1.23013967146909</c:v>
                </c:pt>
                <c:pt idx="155">
                  <c:v>1.23013967146909</c:v>
                </c:pt>
                <c:pt idx="156">
                  <c:v>1.23013967146909</c:v>
                </c:pt>
                <c:pt idx="157">
                  <c:v>1.23013967146909</c:v>
                </c:pt>
                <c:pt idx="158">
                  <c:v>1.23013967146909</c:v>
                </c:pt>
                <c:pt idx="159">
                  <c:v>1.23013967146909</c:v>
                </c:pt>
                <c:pt idx="160">
                  <c:v>1.23013967146909</c:v>
                </c:pt>
                <c:pt idx="161">
                  <c:v>1.23013967146909</c:v>
                </c:pt>
                <c:pt idx="162">
                  <c:v>1.23013967146909</c:v>
                </c:pt>
                <c:pt idx="163">
                  <c:v>1.23013967146909</c:v>
                </c:pt>
                <c:pt idx="164">
                  <c:v>1.23013967146909</c:v>
                </c:pt>
                <c:pt idx="165">
                  <c:v>1.23013967146909</c:v>
                </c:pt>
                <c:pt idx="166">
                  <c:v>1.23013967146909</c:v>
                </c:pt>
                <c:pt idx="167">
                  <c:v>1.23013967146909</c:v>
                </c:pt>
                <c:pt idx="168">
                  <c:v>1.23013967146909</c:v>
                </c:pt>
                <c:pt idx="169">
                  <c:v>1.23013967146909</c:v>
                </c:pt>
                <c:pt idx="170">
                  <c:v>1.23013967146909</c:v>
                </c:pt>
                <c:pt idx="171">
                  <c:v>1.23013967146909</c:v>
                </c:pt>
                <c:pt idx="172">
                  <c:v>1.23013967146909</c:v>
                </c:pt>
                <c:pt idx="173">
                  <c:v>1.23013967146909</c:v>
                </c:pt>
                <c:pt idx="174">
                  <c:v>1.23013967146909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3-4638-89A1-EDF783627DC2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IBDS*/BSCR*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1.23009925129278</c:v>
                </c:pt>
                <c:pt idx="10">
                  <c:v>1.2300876180226601</c:v>
                </c:pt>
                <c:pt idx="11">
                  <c:v>1.2300283391778799</c:v>
                </c:pt>
                <c:pt idx="12">
                  <c:v>1.2299690603330999</c:v>
                </c:pt>
                <c:pt idx="13">
                  <c:v>1.22994879110494</c:v>
                </c:pt>
                <c:pt idx="14">
                  <c:v>1.22991687682017</c:v>
                </c:pt>
                <c:pt idx="15">
                  <c:v>1.22982269243218</c:v>
                </c:pt>
                <c:pt idx="16">
                  <c:v>1.2298297239496601</c:v>
                </c:pt>
                <c:pt idx="17">
                  <c:v>1.22978624337272</c:v>
                </c:pt>
                <c:pt idx="18">
                  <c:v>1.2297543205751</c:v>
                </c:pt>
                <c:pt idx="19">
                  <c:v>1.2297381562973999</c:v>
                </c:pt>
                <c:pt idx="20">
                  <c:v>1.22970876855429</c:v>
                </c:pt>
                <c:pt idx="21">
                  <c:v>1.2296879828062699</c:v>
                </c:pt>
                <c:pt idx="22">
                  <c:v>1.2295431194720301</c:v>
                </c:pt>
                <c:pt idx="23">
                  <c:v>1.2294992240901601</c:v>
                </c:pt>
                <c:pt idx="24">
                  <c:v>1.2296182605942101</c:v>
                </c:pt>
                <c:pt idx="25">
                  <c:v>1.22963640661842</c:v>
                </c:pt>
                <c:pt idx="26">
                  <c:v>1.2296428200245499</c:v>
                </c:pt>
                <c:pt idx="27">
                  <c:v>1.2297850678773801</c:v>
                </c:pt>
                <c:pt idx="28">
                  <c:v>1.22975270219265</c:v>
                </c:pt>
                <c:pt idx="29">
                  <c:v>1.2297204275518301</c:v>
                </c:pt>
                <c:pt idx="30">
                  <c:v>1.2297749451003499</c:v>
                </c:pt>
                <c:pt idx="31">
                  <c:v>1.2297055841789699</c:v>
                </c:pt>
                <c:pt idx="32">
                  <c:v>1.22993458787209</c:v>
                </c:pt>
                <c:pt idx="33">
                  <c:v>1.23006262806938</c:v>
                </c:pt>
                <c:pt idx="34">
                  <c:v>1.2300416241642</c:v>
                </c:pt>
                <c:pt idx="35">
                  <c:v>1.23008273754292</c:v>
                </c:pt>
                <c:pt idx="36">
                  <c:v>1.2301354109334099</c:v>
                </c:pt>
                <c:pt idx="37">
                  <c:v>1.2301144070282299</c:v>
                </c:pt>
                <c:pt idx="38">
                  <c:v>1.23014393165978</c:v>
                </c:pt>
                <c:pt idx="39">
                  <c:v>1.23016911850538</c:v>
                </c:pt>
                <c:pt idx="40">
                  <c:v>1.23025628016571</c:v>
                </c:pt>
                <c:pt idx="41">
                  <c:v>1.2304053462262401</c:v>
                </c:pt>
                <c:pt idx="42">
                  <c:v>1.2303297405206299</c:v>
                </c:pt>
                <c:pt idx="43">
                  <c:v>1.2302541774300799</c:v>
                </c:pt>
                <c:pt idx="44">
                  <c:v>1.2302770722549601</c:v>
                </c:pt>
                <c:pt idx="45">
                  <c:v>1.23029996707984</c:v>
                </c:pt>
                <c:pt idx="46">
                  <c:v>1.23023368032337</c:v>
                </c:pt>
                <c:pt idx="47">
                  <c:v>1.2301633502203</c:v>
                </c:pt>
                <c:pt idx="48">
                  <c:v>1.23021708531096</c:v>
                </c:pt>
                <c:pt idx="49">
                  <c:v>1.23029828264105</c:v>
                </c:pt>
                <c:pt idx="50">
                  <c:v>1.2301818509208</c:v>
                </c:pt>
                <c:pt idx="51">
                  <c:v>1.2301274014764201</c:v>
                </c:pt>
                <c:pt idx="52">
                  <c:v>1.23017382325768</c:v>
                </c:pt>
                <c:pt idx="53">
                  <c:v>1.2302045650169799</c:v>
                </c:pt>
                <c:pt idx="54">
                  <c:v>1.23016587238746</c:v>
                </c:pt>
                <c:pt idx="55">
                  <c:v>1.2300881718016401</c:v>
                </c:pt>
                <c:pt idx="56">
                  <c:v>1.23015030489938</c:v>
                </c:pt>
                <c:pt idx="57">
                  <c:v>1.2301270493523599</c:v>
                </c:pt>
                <c:pt idx="58">
                  <c:v>1.2301427138071599</c:v>
                </c:pt>
                <c:pt idx="59">
                  <c:v>1.2300846342938401</c:v>
                </c:pt>
                <c:pt idx="60">
                  <c:v>1.23017792793526</c:v>
                </c:pt>
                <c:pt idx="61">
                  <c:v>1.23022684215475</c:v>
                </c:pt>
                <c:pt idx="62">
                  <c:v>1.23022526988644</c:v>
                </c:pt>
                <c:pt idx="63">
                  <c:v>1.23018898782592</c:v>
                </c:pt>
                <c:pt idx="64">
                  <c:v>1.2300982312076501</c:v>
                </c:pt>
                <c:pt idx="65">
                  <c:v>1.2301975480871401</c:v>
                </c:pt>
                <c:pt idx="66">
                  <c:v>1.2301958281265699</c:v>
                </c:pt>
                <c:pt idx="67">
                  <c:v>1.23015976774921</c:v>
                </c:pt>
                <c:pt idx="68">
                  <c:v>1.23019676059246</c:v>
                </c:pt>
                <c:pt idx="69">
                  <c:v>1.23029588150083</c:v>
                </c:pt>
                <c:pt idx="70">
                  <c:v>1.23026705826663</c:v>
                </c:pt>
                <c:pt idx="71">
                  <c:v>1.2303213066860099</c:v>
                </c:pt>
                <c:pt idx="72">
                  <c:v>1.2302905633780199</c:v>
                </c:pt>
                <c:pt idx="73">
                  <c:v>1.23035015390299</c:v>
                </c:pt>
                <c:pt idx="74">
                  <c:v>1.23043288502239</c:v>
                </c:pt>
                <c:pt idx="75">
                  <c:v>1.23040335799143</c:v>
                </c:pt>
                <c:pt idx="76">
                  <c:v>1.2303738309604699</c:v>
                </c:pt>
                <c:pt idx="77">
                  <c:v>1.2305685685484999</c:v>
                </c:pt>
                <c:pt idx="78">
                  <c:v>1.2305389838668499</c:v>
                </c:pt>
                <c:pt idx="79">
                  <c:v>1.2305828521459199</c:v>
                </c:pt>
                <c:pt idx="80">
                  <c:v>1.2305765179838</c:v>
                </c:pt>
                <c:pt idx="81">
                  <c:v>1.23054696988914</c:v>
                </c:pt>
                <c:pt idx="82">
                  <c:v>1.23058047801727</c:v>
                </c:pt>
                <c:pt idx="83">
                  <c:v>1.23059718664958</c:v>
                </c:pt>
                <c:pt idx="84">
                  <c:v>1.2306525388065299</c:v>
                </c:pt>
                <c:pt idx="85">
                  <c:v>1.2305959519677101</c:v>
                </c:pt>
                <c:pt idx="86">
                  <c:v>1.2306512879629301</c:v>
                </c:pt>
                <c:pt idx="87">
                  <c:v>1.23059454987184</c:v>
                </c:pt>
                <c:pt idx="88">
                  <c:v>1.2304877879362801</c:v>
                </c:pt>
                <c:pt idx="89">
                  <c:v>1.2303808793659099</c:v>
                </c:pt>
                <c:pt idx="90">
                  <c:v>1.2303629179046101</c:v>
                </c:pt>
                <c:pt idx="91">
                  <c:v>1.2303795961872499</c:v>
                </c:pt>
                <c:pt idx="92">
                  <c:v>1.2303680394951899</c:v>
                </c:pt>
                <c:pt idx="93">
                  <c:v>1.23038989849151</c:v>
                </c:pt>
                <c:pt idx="94">
                  <c:v>1.23036153661643</c:v>
                </c:pt>
                <c:pt idx="95">
                  <c:v>1.23038345025637</c:v>
                </c:pt>
                <c:pt idx="96">
                  <c:v>1.2303435591404699</c:v>
                </c:pt>
                <c:pt idx="97">
                  <c:v>1.23025361292712</c:v>
                </c:pt>
                <c:pt idx="98">
                  <c:v>1.23026402025579</c:v>
                </c:pt>
                <c:pt idx="99">
                  <c:v>1.23026280505361</c:v>
                </c:pt>
                <c:pt idx="100">
                  <c:v>1.23021157121817</c:v>
                </c:pt>
                <c:pt idx="101">
                  <c:v>1.23019870747502</c:v>
                </c:pt>
                <c:pt idx="102">
                  <c:v>1.2302165975905199</c:v>
                </c:pt>
                <c:pt idx="103">
                  <c:v>1.2301895037178601</c:v>
                </c:pt>
                <c:pt idx="104">
                  <c:v>1.2301123670085401</c:v>
                </c:pt>
                <c:pt idx="105">
                  <c:v>1.2301585139633899</c:v>
                </c:pt>
                <c:pt idx="106">
                  <c:v>1.23021614696437</c:v>
                </c:pt>
                <c:pt idx="107">
                  <c:v>1.2302738128139401</c:v>
                </c:pt>
                <c:pt idx="108">
                  <c:v>1.23033146133177</c:v>
                </c:pt>
                <c:pt idx="109">
                  <c:v>1.23040060948612</c:v>
                </c:pt>
                <c:pt idx="110">
                  <c:v>1.230408247877</c:v>
                </c:pt>
                <c:pt idx="111">
                  <c:v>1.23031580059454</c:v>
                </c:pt>
                <c:pt idx="112">
                  <c:v>1.2303427555347799</c:v>
                </c:pt>
                <c:pt idx="113">
                  <c:v>1.2301968401055301</c:v>
                </c:pt>
                <c:pt idx="114">
                  <c:v>1.23012385947933</c:v>
                </c:pt>
                <c:pt idx="115">
                  <c:v>1.2300508288175001</c:v>
                </c:pt>
                <c:pt idx="116">
                  <c:v>1.2299211737259299</c:v>
                </c:pt>
                <c:pt idx="117">
                  <c:v>1.22995311240974</c:v>
                </c:pt>
                <c:pt idx="118">
                  <c:v>1.2298736383300199</c:v>
                </c:pt>
                <c:pt idx="119">
                  <c:v>1.2297825416075401</c:v>
                </c:pt>
                <c:pt idx="120">
                  <c:v>1.2298529566855601</c:v>
                </c:pt>
                <c:pt idx="121">
                  <c:v>1.22992337176358</c:v>
                </c:pt>
                <c:pt idx="122">
                  <c:v>1.22989380123953</c:v>
                </c:pt>
                <c:pt idx="123">
                  <c:v>1.2299602742767499</c:v>
                </c:pt>
                <c:pt idx="124">
                  <c:v>1.2300422936247399</c:v>
                </c:pt>
                <c:pt idx="125">
                  <c:v>1.23001297978434</c:v>
                </c:pt>
                <c:pt idx="126">
                  <c:v>1.22997868624935</c:v>
                </c:pt>
                <c:pt idx="127">
                  <c:v>1.2299057434506699</c:v>
                </c:pt>
                <c:pt idx="128">
                  <c:v>1.22989439772006</c:v>
                </c:pt>
                <c:pt idx="129">
                  <c:v>1.22988297726667</c:v>
                </c:pt>
                <c:pt idx="130">
                  <c:v>1.22978324834824</c:v>
                </c:pt>
                <c:pt idx="131">
                  <c:v>1.2297333895928499</c:v>
                </c:pt>
                <c:pt idx="132">
                  <c:v>1.2297334010004799</c:v>
                </c:pt>
                <c:pt idx="133">
                  <c:v>1.22986010937936</c:v>
                </c:pt>
                <c:pt idx="134">
                  <c:v>1.2298257329934701</c:v>
                </c:pt>
                <c:pt idx="135">
                  <c:v>1.2299069915777801</c:v>
                </c:pt>
                <c:pt idx="136">
                  <c:v>1.2299882501621</c:v>
                </c:pt>
                <c:pt idx="137">
                  <c:v>1.22995834607513</c:v>
                </c:pt>
                <c:pt idx="138">
                  <c:v>1.2300625658105</c:v>
                </c:pt>
                <c:pt idx="139">
                  <c:v>1.2302166593401</c:v>
                </c:pt>
                <c:pt idx="140">
                  <c:v>1.2302480956405</c:v>
                </c:pt>
                <c:pt idx="141">
                  <c:v>1.2303293063456999</c:v>
                </c:pt>
                <c:pt idx="142">
                  <c:v>1.2303606468878701</c:v>
                </c:pt>
                <c:pt idx="143">
                  <c:v>1.23021960685743</c:v>
                </c:pt>
                <c:pt idx="144">
                  <c:v>1.23025098600275</c:v>
                </c:pt>
                <c:pt idx="145">
                  <c:v>1.2302910229968</c:v>
                </c:pt>
                <c:pt idx="146">
                  <c:v>1.2302813120636</c:v>
                </c:pt>
                <c:pt idx="147">
                  <c:v>1.23030998191843</c:v>
                </c:pt>
                <c:pt idx="148">
                  <c:v>1.23032705776143</c:v>
                </c:pt>
                <c:pt idx="149">
                  <c:v>1.23022146857996</c:v>
                </c:pt>
                <c:pt idx="150">
                  <c:v>1.2302387083113899</c:v>
                </c:pt>
                <c:pt idx="151">
                  <c:v>1.2302060019543199</c:v>
                </c:pt>
                <c:pt idx="152">
                  <c:v>1.23017329559725</c:v>
                </c:pt>
                <c:pt idx="153">
                  <c:v>1.23031279812908</c:v>
                </c:pt>
                <c:pt idx="154">
                  <c:v>1.2302803048170901</c:v>
                </c:pt>
                <c:pt idx="155">
                  <c:v>1.23029561408712</c:v>
                </c:pt>
                <c:pt idx="156">
                  <c:v>1.2304103450766199</c:v>
                </c:pt>
                <c:pt idx="157">
                  <c:v>1.2304257378857799</c:v>
                </c:pt>
                <c:pt idx="158">
                  <c:v>1.23042959040141</c:v>
                </c:pt>
                <c:pt idx="159">
                  <c:v>1.2304449186005399</c:v>
                </c:pt>
                <c:pt idx="160">
                  <c:v>1.2304029093617801</c:v>
                </c:pt>
                <c:pt idx="161">
                  <c:v>1.230360802973</c:v>
                </c:pt>
                <c:pt idx="162">
                  <c:v>1.23036829791355</c:v>
                </c:pt>
                <c:pt idx="163">
                  <c:v>1.2302650928239101</c:v>
                </c:pt>
                <c:pt idx="164">
                  <c:v>1.23033368762856</c:v>
                </c:pt>
                <c:pt idx="165">
                  <c:v>1.2301923739424001</c:v>
                </c:pt>
                <c:pt idx="166">
                  <c:v>1.23014803522392</c:v>
                </c:pt>
                <c:pt idx="167">
                  <c:v>1.2301534264817899</c:v>
                </c:pt>
                <c:pt idx="168">
                  <c:v>1.2300977561816799</c:v>
                </c:pt>
                <c:pt idx="169">
                  <c:v>1.2299925779748699</c:v>
                </c:pt>
                <c:pt idx="170">
                  <c:v>1.23010496571427</c:v>
                </c:pt>
                <c:pt idx="171">
                  <c:v>1.2300572220953601</c:v>
                </c:pt>
                <c:pt idx="172">
                  <c:v>1.2300322428659101</c:v>
                </c:pt>
                <c:pt idx="173">
                  <c:v>1.23006826518733</c:v>
                </c:pt>
                <c:pt idx="174">
                  <c:v>1.22999372160318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3-4638-89A1-EDF783627DC2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IBDS*/BSCR*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1.2299187037950901</c:v>
                </c:pt>
                <c:pt idx="20">
                  <c:v>1.2298981932884701</c:v>
                </c:pt>
                <c:pt idx="21">
                  <c:v>1.22985816099207</c:v>
                </c:pt>
                <c:pt idx="22">
                  <c:v>1.2297560899025599</c:v>
                </c:pt>
                <c:pt idx="23">
                  <c:v>1.22972400759755</c:v>
                </c:pt>
                <c:pt idx="24">
                  <c:v>1.2297675687071901</c:v>
                </c:pt>
                <c:pt idx="25">
                  <c:v>1.2297295495253</c:v>
                </c:pt>
                <c:pt idx="26">
                  <c:v>1.2297362719870999</c:v>
                </c:pt>
                <c:pt idx="27">
                  <c:v>1.2297856556250499</c:v>
                </c:pt>
                <c:pt idx="28">
                  <c:v>1.22975351138387</c:v>
                </c:pt>
                <c:pt idx="29">
                  <c:v>1.2297292919246201</c:v>
                </c:pt>
                <c:pt idx="30">
                  <c:v>1.22974185682732</c:v>
                </c:pt>
                <c:pt idx="31">
                  <c:v>1.22969678349262</c:v>
                </c:pt>
                <c:pt idx="32">
                  <c:v>1.2297388536720599</c:v>
                </c:pt>
                <c:pt idx="33">
                  <c:v>1.2297809260797701</c:v>
                </c:pt>
                <c:pt idx="34">
                  <c:v>1.2298299423792001</c:v>
                </c:pt>
                <c:pt idx="35">
                  <c:v>1.22985957208067</c:v>
                </c:pt>
                <c:pt idx="36">
                  <c:v>1.2298891154789799</c:v>
                </c:pt>
                <c:pt idx="37">
                  <c:v>1.2299497374527999</c:v>
                </c:pt>
                <c:pt idx="38">
                  <c:v>1.22994831692621</c:v>
                </c:pt>
                <c:pt idx="39">
                  <c:v>1.2299447730286099</c:v>
                </c:pt>
                <c:pt idx="40">
                  <c:v>1.2300156126330299</c:v>
                </c:pt>
                <c:pt idx="41">
                  <c:v>1.2300554652025999</c:v>
                </c:pt>
                <c:pt idx="42">
                  <c:v>1.2301321641963601</c:v>
                </c:pt>
                <c:pt idx="43">
                  <c:v>1.2301584027497301</c:v>
                </c:pt>
                <c:pt idx="44">
                  <c:v>1.2301593482095801</c:v>
                </c:pt>
                <c:pt idx="45">
                  <c:v>1.2301913523113801</c:v>
                </c:pt>
                <c:pt idx="46">
                  <c:v>1.23018454562839</c:v>
                </c:pt>
                <c:pt idx="47">
                  <c:v>1.23013887862426</c:v>
                </c:pt>
                <c:pt idx="48">
                  <c:v>1.2301805084853701</c:v>
                </c:pt>
                <c:pt idx="49">
                  <c:v>1.23023370057321</c:v>
                </c:pt>
                <c:pt idx="50">
                  <c:v>1.2302190655432601</c:v>
                </c:pt>
                <c:pt idx="51">
                  <c:v>1.23026637385133</c:v>
                </c:pt>
                <c:pt idx="52">
                  <c:v>1.2302517818891601</c:v>
                </c:pt>
                <c:pt idx="53">
                  <c:v>1.2302293712235299</c:v>
                </c:pt>
                <c:pt idx="54">
                  <c:v>1.2302214723212099</c:v>
                </c:pt>
                <c:pt idx="55">
                  <c:v>1.2301940694407401</c:v>
                </c:pt>
                <c:pt idx="56">
                  <c:v>1.23019199261137</c:v>
                </c:pt>
                <c:pt idx="57">
                  <c:v>1.23014519978633</c:v>
                </c:pt>
                <c:pt idx="58">
                  <c:v>1.23017989955906</c:v>
                </c:pt>
                <c:pt idx="59">
                  <c:v>1.23019145846744</c:v>
                </c:pt>
                <c:pt idx="60">
                  <c:v>1.23017988942803</c:v>
                </c:pt>
                <c:pt idx="61">
                  <c:v>1.2301771218155799</c:v>
                </c:pt>
                <c:pt idx="62">
                  <c:v>1.2301995465720601</c:v>
                </c:pt>
                <c:pt idx="63">
                  <c:v>1.2301967764214501</c:v>
                </c:pt>
                <c:pt idx="64">
                  <c:v>1.23013205179756</c:v>
                </c:pt>
                <c:pt idx="65">
                  <c:v>1.23014285994439</c:v>
                </c:pt>
                <c:pt idx="66">
                  <c:v>1.23017306651298</c:v>
                </c:pt>
                <c:pt idx="67">
                  <c:v>1.2301434085507801</c:v>
                </c:pt>
                <c:pt idx="68">
                  <c:v>1.2301697371998099</c:v>
                </c:pt>
                <c:pt idx="69">
                  <c:v>1.2301902578973301</c:v>
                </c:pt>
                <c:pt idx="70">
                  <c:v>1.23022249310094</c:v>
                </c:pt>
                <c:pt idx="71">
                  <c:v>1.2302740744203799</c:v>
                </c:pt>
                <c:pt idx="72">
                  <c:v>1.2302579166322301</c:v>
                </c:pt>
                <c:pt idx="73">
                  <c:v>1.23026957086445</c:v>
                </c:pt>
                <c:pt idx="74">
                  <c:v>1.2302655581150199</c:v>
                </c:pt>
                <c:pt idx="75">
                  <c:v>1.23030045303928</c:v>
                </c:pt>
                <c:pt idx="76">
                  <c:v>1.23028482954352</c:v>
                </c:pt>
                <c:pt idx="77">
                  <c:v>1.23036416814886</c:v>
                </c:pt>
                <c:pt idx="78">
                  <c:v>1.2303678722296501</c:v>
                </c:pt>
                <c:pt idx="79">
                  <c:v>1.23043936682337</c:v>
                </c:pt>
                <c:pt idx="80">
                  <c:v>1.23042178812521</c:v>
                </c:pt>
                <c:pt idx="81">
                  <c:v>1.2304341382875801</c:v>
                </c:pt>
                <c:pt idx="82">
                  <c:v>1.2304355206976401</c:v>
                </c:pt>
                <c:pt idx="83">
                  <c:v>1.23047367027629</c:v>
                </c:pt>
                <c:pt idx="84">
                  <c:v>1.2305427119144601</c:v>
                </c:pt>
                <c:pt idx="85">
                  <c:v>1.2304996549795699</c:v>
                </c:pt>
                <c:pt idx="86">
                  <c:v>1.2305125594616999</c:v>
                </c:pt>
                <c:pt idx="87">
                  <c:v>1.2305815592101701</c:v>
                </c:pt>
                <c:pt idx="88">
                  <c:v>1.23051338590157</c:v>
                </c:pt>
                <c:pt idx="89">
                  <c:v>1.23048186575591</c:v>
                </c:pt>
                <c:pt idx="90">
                  <c:v>1.2304697179441999</c:v>
                </c:pt>
                <c:pt idx="91">
                  <c:v>1.2304632830381901</c:v>
                </c:pt>
                <c:pt idx="92">
                  <c:v>1.2304742587562301</c:v>
                </c:pt>
                <c:pt idx="93">
                  <c:v>1.2304935425705501</c:v>
                </c:pt>
                <c:pt idx="94">
                  <c:v>1.23050703771148</c:v>
                </c:pt>
                <c:pt idx="95">
                  <c:v>1.2304897011120399</c:v>
                </c:pt>
                <c:pt idx="96">
                  <c:v>1.2304974235517001</c:v>
                </c:pt>
                <c:pt idx="97">
                  <c:v>1.23042408139948</c:v>
                </c:pt>
                <c:pt idx="98">
                  <c:v>1.23037590409604</c:v>
                </c:pt>
                <c:pt idx="99">
                  <c:v>1.2303218422097599</c:v>
                </c:pt>
                <c:pt idx="100">
                  <c:v>1.2302872445613899</c:v>
                </c:pt>
                <c:pt idx="101">
                  <c:v>1.2302891518311301</c:v>
                </c:pt>
                <c:pt idx="102">
                  <c:v>1.23029231854286</c:v>
                </c:pt>
                <c:pt idx="103">
                  <c:v>1.23028970110469</c:v>
                </c:pt>
                <c:pt idx="104">
                  <c:v>1.2302369518124801</c:v>
                </c:pt>
                <c:pt idx="105">
                  <c:v>1.2302709821098801</c:v>
                </c:pt>
                <c:pt idx="106">
                  <c:v>1.2302798530524199</c:v>
                </c:pt>
                <c:pt idx="107">
                  <c:v>1.23026371287053</c:v>
                </c:pt>
                <c:pt idx="108">
                  <c:v>1.2302977407937801</c:v>
                </c:pt>
                <c:pt idx="109">
                  <c:v>1.2303317072698601</c:v>
                </c:pt>
                <c:pt idx="110">
                  <c:v>1.23030990954759</c:v>
                </c:pt>
                <c:pt idx="111">
                  <c:v>1.23025725403478</c:v>
                </c:pt>
                <c:pt idx="112">
                  <c:v>1.23027967656265</c:v>
                </c:pt>
                <c:pt idx="113">
                  <c:v>1.2301931719117001</c:v>
                </c:pt>
                <c:pt idx="114">
                  <c:v>1.2301181132439301</c:v>
                </c:pt>
                <c:pt idx="115">
                  <c:v>1.23010467139044</c:v>
                </c:pt>
                <c:pt idx="116">
                  <c:v>1.2300686603451501</c:v>
                </c:pt>
                <c:pt idx="117">
                  <c:v>1.23011346261184</c:v>
                </c:pt>
                <c:pt idx="118">
                  <c:v>1.2301025498308999</c:v>
                </c:pt>
                <c:pt idx="119">
                  <c:v>1.23009157554683</c:v>
                </c:pt>
                <c:pt idx="120">
                  <c:v>1.2301306022812799</c:v>
                </c:pt>
                <c:pt idx="121">
                  <c:v>1.2301195861790599</c:v>
                </c:pt>
                <c:pt idx="122">
                  <c:v>1.23011827838715</c:v>
                </c:pt>
                <c:pt idx="123">
                  <c:v>1.2300785571911399</c:v>
                </c:pt>
                <c:pt idx="124">
                  <c:v>1.2300830765520401</c:v>
                </c:pt>
                <c:pt idx="125">
                  <c:v>1.23003190430092</c:v>
                </c:pt>
                <c:pt idx="126">
                  <c:v>1.22994992998764</c:v>
                </c:pt>
                <c:pt idx="127">
                  <c:v>1.2299294279302</c:v>
                </c:pt>
                <c:pt idx="128">
                  <c:v>1.2298840180250401</c:v>
                </c:pt>
                <c:pt idx="129">
                  <c:v>1.2298327594370999</c:v>
                </c:pt>
                <c:pt idx="130">
                  <c:v>1.2298181025168999</c:v>
                </c:pt>
                <c:pt idx="131">
                  <c:v>1.22982838067821</c:v>
                </c:pt>
                <c:pt idx="132">
                  <c:v>1.22981360112</c:v>
                </c:pt>
                <c:pt idx="133">
                  <c:v>1.2299101918280499</c:v>
                </c:pt>
                <c:pt idx="134">
                  <c:v>1.2299340133091099</c:v>
                </c:pt>
                <c:pt idx="135">
                  <c:v>1.2299599856810599</c:v>
                </c:pt>
                <c:pt idx="136">
                  <c:v>1.22998346820572</c:v>
                </c:pt>
                <c:pt idx="137">
                  <c:v>1.2299320447629001</c:v>
                </c:pt>
                <c:pt idx="138">
                  <c:v>1.2299784817652799</c:v>
                </c:pt>
                <c:pt idx="139">
                  <c:v>1.2300498183033799</c:v>
                </c:pt>
                <c:pt idx="140">
                  <c:v>1.23001567199437</c:v>
                </c:pt>
                <c:pt idx="141">
                  <c:v>1.2300313479692699</c:v>
                </c:pt>
                <c:pt idx="142">
                  <c:v>1.2300470239441801</c:v>
                </c:pt>
                <c:pt idx="143">
                  <c:v>1.2300398581184</c:v>
                </c:pt>
                <c:pt idx="144">
                  <c:v>1.2300383594981099</c:v>
                </c:pt>
                <c:pt idx="145">
                  <c:v>1.2300990072872899</c:v>
                </c:pt>
                <c:pt idx="146">
                  <c:v>1.23013478111285</c:v>
                </c:pt>
                <c:pt idx="147">
                  <c:v>1.23013416399678</c:v>
                </c:pt>
                <c:pt idx="148">
                  <c:v>1.23019481178596</c:v>
                </c:pt>
                <c:pt idx="149">
                  <c:v>1.2302190639600299</c:v>
                </c:pt>
                <c:pt idx="150">
                  <c:v>1.2302434019759501</c:v>
                </c:pt>
                <c:pt idx="151">
                  <c:v>1.2302676541500099</c:v>
                </c:pt>
                <c:pt idx="152">
                  <c:v>1.23026697124256</c:v>
                </c:pt>
                <c:pt idx="153">
                  <c:v>1.23026620249326</c:v>
                </c:pt>
                <c:pt idx="154">
                  <c:v>1.2302656454099199</c:v>
                </c:pt>
                <c:pt idx="155">
                  <c:v>1.23029331854196</c:v>
                </c:pt>
                <c:pt idx="156">
                  <c:v>1.2303458285701101</c:v>
                </c:pt>
                <c:pt idx="157">
                  <c:v>1.23036785990211</c:v>
                </c:pt>
                <c:pt idx="158">
                  <c:v>1.2303783240814199</c:v>
                </c:pt>
                <c:pt idx="159">
                  <c:v>1.23033319359025</c:v>
                </c:pt>
                <c:pt idx="160">
                  <c:v>1.23032080883658</c:v>
                </c:pt>
                <c:pt idx="161">
                  <c:v>1.23028340246366</c:v>
                </c:pt>
                <c:pt idx="162">
                  <c:v>1.2302707967554001</c:v>
                </c:pt>
                <c:pt idx="163">
                  <c:v>1.2302889454765</c:v>
                </c:pt>
                <c:pt idx="164">
                  <c:v>1.2303069962228199</c:v>
                </c:pt>
                <c:pt idx="165">
                  <c:v>1.23024399401476</c:v>
                </c:pt>
                <c:pt idx="166">
                  <c:v>1.2302791901502701</c:v>
                </c:pt>
                <c:pt idx="167">
                  <c:v>1.23028958218379</c:v>
                </c:pt>
                <c:pt idx="168">
                  <c:v>1.23026367329154</c:v>
                </c:pt>
                <c:pt idx="169">
                  <c:v>1.2302187482877001</c:v>
                </c:pt>
                <c:pt idx="170">
                  <c:v>1.2302539375380199</c:v>
                </c:pt>
                <c:pt idx="171">
                  <c:v>1.23020901253418</c:v>
                </c:pt>
                <c:pt idx="172">
                  <c:v>1.2302002703897299</c:v>
                </c:pt>
                <c:pt idx="173">
                  <c:v>1.23016667900562</c:v>
                </c:pt>
                <c:pt idx="174">
                  <c:v>1.23016370461587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C3-4638-89A1-EDF783627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BSCR x avg / IBDS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9.2385494289534199E-4</c:v>
                </c:pt>
                <c:pt idx="2">
                  <c:v>9.2385494289534199E-4</c:v>
                </c:pt>
                <c:pt idx="3">
                  <c:v>1.3354622753170701E-3</c:v>
                </c:pt>
                <c:pt idx="4">
                  <c:v>1.24078175630527E-3</c:v>
                </c:pt>
                <c:pt idx="5">
                  <c:v>8.2900493352173598E-4</c:v>
                </c:pt>
                <c:pt idx="6">
                  <c:v>1.24078175630527E-3</c:v>
                </c:pt>
                <c:pt idx="7">
                  <c:v>1.3354622753170701E-3</c:v>
                </c:pt>
                <c:pt idx="8">
                  <c:v>1.01861793395707E-3</c:v>
                </c:pt>
                <c:pt idx="9">
                  <c:v>1.3354622753170701E-3</c:v>
                </c:pt>
                <c:pt idx="10">
                  <c:v>1.4300559154862499E-3</c:v>
                </c:pt>
                <c:pt idx="11">
                  <c:v>-2.1187437532013201E-3</c:v>
                </c:pt>
                <c:pt idx="12">
                  <c:v>-2.1187437532013201E-3</c:v>
                </c:pt>
                <c:pt idx="13">
                  <c:v>-2.0224386418219598E-3</c:v>
                </c:pt>
                <c:pt idx="14">
                  <c:v>-2.0224386418219598E-3</c:v>
                </c:pt>
                <c:pt idx="15">
                  <c:v>-1.9262219910701199E-3</c:v>
                </c:pt>
                <c:pt idx="16">
                  <c:v>-2.33732168853503E-3</c:v>
                </c:pt>
                <c:pt idx="17">
                  <c:v>-1.8300936786745999E-3</c:v>
                </c:pt>
                <c:pt idx="18">
                  <c:v>-2.2410244426245402E-3</c:v>
                </c:pt>
                <c:pt idx="19">
                  <c:v>-2.0486948940935199E-3</c:v>
                </c:pt>
                <c:pt idx="20">
                  <c:v>1.6527282090928099E-3</c:v>
                </c:pt>
                <c:pt idx="21">
                  <c:v>1.5581304608870499E-3</c:v>
                </c:pt>
                <c:pt idx="22">
                  <c:v>2.5713017734940698E-3</c:v>
                </c:pt>
                <c:pt idx="23">
                  <c:v>1.8416632479079399E-3</c:v>
                </c:pt>
                <c:pt idx="24">
                  <c:v>5.1241696136630397E-4</c:v>
                </c:pt>
                <c:pt idx="25">
                  <c:v>1.4300559154862499E-3</c:v>
                </c:pt>
                <c:pt idx="26">
                  <c:v>1.11329402682664E-3</c:v>
                </c:pt>
                <c:pt idx="27">
                  <c:v>5.1241696136630397E-4</c:v>
                </c:pt>
                <c:pt idx="28">
                  <c:v>1.5245627967609701E-3</c:v>
                </c:pt>
                <c:pt idx="29">
                  <c:v>1.71331676131051E-3</c:v>
                </c:pt>
                <c:pt idx="30">
                  <c:v>1.2078833414023E-3</c:v>
                </c:pt>
                <c:pt idx="31">
                  <c:v>2.12441645877529E-3</c:v>
                </c:pt>
                <c:pt idx="32">
                  <c:v>7.0219432936166701E-4</c:v>
                </c:pt>
                <c:pt idx="33">
                  <c:v>7.9695257745234004E-4</c:v>
                </c:pt>
                <c:pt idx="34">
                  <c:v>-2.74825245248502E-3</c:v>
                </c:pt>
                <c:pt idx="35">
                  <c:v>-2.33732168853503E-3</c:v>
                </c:pt>
                <c:pt idx="36">
                  <c:v>-2.74825245248502E-3</c:v>
                </c:pt>
                <c:pt idx="37">
                  <c:v>-2.74825245248502E-3</c:v>
                </c:pt>
                <c:pt idx="38">
                  <c:v>-2.1448155518076399E-3</c:v>
                </c:pt>
                <c:pt idx="39">
                  <c:v>1.5581304608870499E-3</c:v>
                </c:pt>
                <c:pt idx="40">
                  <c:v>5.4393159099201704E-4</c:v>
                </c:pt>
                <c:pt idx="41">
                  <c:v>9.5621772340393602E-4</c:v>
                </c:pt>
                <c:pt idx="42">
                  <c:v>1.3686739057824199E-3</c:v>
                </c:pt>
                <c:pt idx="43">
                  <c:v>1.4634457332644E-3</c:v>
                </c:pt>
                <c:pt idx="44">
                  <c:v>5.4393159099201704E-4</c:v>
                </c:pt>
                <c:pt idx="45">
                  <c:v>9.5621772340393602E-4</c:v>
                </c:pt>
                <c:pt idx="46">
                  <c:v>1.27381485777568E-3</c:v>
                </c:pt>
                <c:pt idx="47">
                  <c:v>1.3069834746411799E-3</c:v>
                </c:pt>
                <c:pt idx="48">
                  <c:v>8.9350403935184604E-4</c:v>
                </c:pt>
                <c:pt idx="49">
                  <c:v>8.9350403935184604E-4</c:v>
                </c:pt>
                <c:pt idx="50">
                  <c:v>1.49697240373385E-3</c:v>
                </c:pt>
                <c:pt idx="51">
                  <c:v>1.4020217212991799E-3</c:v>
                </c:pt>
                <c:pt idx="52">
                  <c:v>9.8871318059448599E-4</c:v>
                </c:pt>
                <c:pt idx="53">
                  <c:v>1.21185754214571E-3</c:v>
                </c:pt>
                <c:pt idx="54">
                  <c:v>-2.5763529839018099E-3</c:v>
                </c:pt>
                <c:pt idx="55">
                  <c:v>-1.8462488166750301E-3</c:v>
                </c:pt>
                <c:pt idx="56">
                  <c:v>-2.6733787232193001E-3</c:v>
                </c:pt>
                <c:pt idx="57">
                  <c:v>-1.94302202198274E-3</c:v>
                </c:pt>
                <c:pt idx="58">
                  <c:v>-2.6733787232193001E-3</c:v>
                </c:pt>
                <c:pt idx="59">
                  <c:v>-2.06627901211852E-3</c:v>
                </c:pt>
                <c:pt idx="60">
                  <c:v>-2.6984389704766301E-3</c:v>
                </c:pt>
                <c:pt idx="61">
                  <c:v>1.116643801973E-3</c:v>
                </c:pt>
                <c:pt idx="62">
                  <c:v>1.116643801973E-3</c:v>
                </c:pt>
                <c:pt idx="63">
                  <c:v>1.62567919092334E-3</c:v>
                </c:pt>
                <c:pt idx="64">
                  <c:v>1.7206339458962E-3</c:v>
                </c:pt>
                <c:pt idx="65">
                  <c:v>8.9350403935184604E-4</c:v>
                </c:pt>
                <c:pt idx="66">
                  <c:v>8.9350403935184604E-4</c:v>
                </c:pt>
                <c:pt idx="67">
                  <c:v>1.9102809444385401E-3</c:v>
                </c:pt>
                <c:pt idx="68">
                  <c:v>5.7557539326803797E-4</c:v>
                </c:pt>
                <c:pt idx="69">
                  <c:v>6.7086744142832902E-4</c:v>
                </c:pt>
                <c:pt idx="70">
                  <c:v>1.0838346164074499E-3</c:v>
                </c:pt>
                <c:pt idx="71">
                  <c:v>6.7086744142832902E-4</c:v>
                </c:pt>
                <c:pt idx="72">
                  <c:v>1.3686739057824199E-3</c:v>
                </c:pt>
                <c:pt idx="73">
                  <c:v>-2.2858125977973701E-3</c:v>
                </c:pt>
                <c:pt idx="74">
                  <c:v>-2.3825700454617898E-3</c:v>
                </c:pt>
                <c:pt idx="75">
                  <c:v>-2.2858125977973701E-3</c:v>
                </c:pt>
                <c:pt idx="76">
                  <c:v>-2.2858125977973701E-3</c:v>
                </c:pt>
                <c:pt idx="77">
                  <c:v>-3.1108951528552799E-3</c:v>
                </c:pt>
                <c:pt idx="78">
                  <c:v>-2.6016005149050898E-3</c:v>
                </c:pt>
                <c:pt idx="79">
                  <c:v>-3.1108951528552799E-3</c:v>
                </c:pt>
                <c:pt idx="80">
                  <c:v>-2.2858125977973701E-3</c:v>
                </c:pt>
                <c:pt idx="81">
                  <c:v>-2.5048512583666E-3</c:v>
                </c:pt>
                <c:pt idx="82">
                  <c:v>1.21185754214571E-3</c:v>
                </c:pt>
                <c:pt idx="83">
                  <c:v>1.116643801973E-3</c:v>
                </c:pt>
                <c:pt idx="84">
                  <c:v>7.0282215319550595E-4</c:v>
                </c:pt>
                <c:pt idx="85">
                  <c:v>1.7206339458962E-3</c:v>
                </c:pt>
                <c:pt idx="86">
                  <c:v>7.98207070890789E-4</c:v>
                </c:pt>
                <c:pt idx="87">
                  <c:v>8.9350403935184604E-4</c:v>
                </c:pt>
                <c:pt idx="88">
                  <c:v>1.8155011565885199E-3</c:v>
                </c:pt>
                <c:pt idx="89">
                  <c:v>1.3069834746411799E-3</c:v>
                </c:pt>
                <c:pt idx="90">
                  <c:v>1.4020217212991799E-3</c:v>
                </c:pt>
                <c:pt idx="91">
                  <c:v>8.9350403935184604E-4</c:v>
                </c:pt>
                <c:pt idx="92">
                  <c:v>1.3069834746411799E-3</c:v>
                </c:pt>
                <c:pt idx="93">
                  <c:v>-2.6733787232193001E-3</c:v>
                </c:pt>
                <c:pt idx="94">
                  <c:v>-2.6733787232193001E-3</c:v>
                </c:pt>
                <c:pt idx="95">
                  <c:v>-2.06627901211852E-3</c:v>
                </c:pt>
                <c:pt idx="96">
                  <c:v>-2.4794167994449398E-3</c:v>
                </c:pt>
                <c:pt idx="97">
                  <c:v>-1.9696028704828498E-3</c:v>
                </c:pt>
                <c:pt idx="98">
                  <c:v>-1.8730158943091699E-3</c:v>
                </c:pt>
                <c:pt idx="99">
                  <c:v>-2.2858125977973701E-3</c:v>
                </c:pt>
                <c:pt idx="100">
                  <c:v>-1.77651795984722E-3</c:v>
                </c:pt>
                <c:pt idx="101">
                  <c:v>-2.6016005149050898E-3</c:v>
                </c:pt>
                <c:pt idx="102">
                  <c:v>1.116643801973E-3</c:v>
                </c:pt>
                <c:pt idx="103">
                  <c:v>1.116643801973E-3</c:v>
                </c:pt>
                <c:pt idx="104">
                  <c:v>1.53063677000561E-3</c:v>
                </c:pt>
                <c:pt idx="105">
                  <c:v>1.116643801973E-3</c:v>
                </c:pt>
                <c:pt idx="106">
                  <c:v>6.0734916402271802E-4</c:v>
                </c:pt>
                <c:pt idx="107">
                  <c:v>1.116643801973E-3</c:v>
                </c:pt>
                <c:pt idx="108">
                  <c:v>1.21185754214571E-3</c:v>
                </c:pt>
                <c:pt idx="109">
                  <c:v>7.0282215319550595E-4</c:v>
                </c:pt>
                <c:pt idx="110">
                  <c:v>1.7206339458962E-3</c:v>
                </c:pt>
                <c:pt idx="111">
                  <c:v>1.7206339458962E-3</c:v>
                </c:pt>
                <c:pt idx="112">
                  <c:v>8.9350403935184604E-4</c:v>
                </c:pt>
                <c:pt idx="113">
                  <c:v>2.32376037972788E-3</c:v>
                </c:pt>
                <c:pt idx="114">
                  <c:v>2.13445559467352E-3</c:v>
                </c:pt>
                <c:pt idx="115">
                  <c:v>1.7206339458962E-3</c:v>
                </c:pt>
                <c:pt idx="116">
                  <c:v>-1.8462488166750301E-3</c:v>
                </c:pt>
                <c:pt idx="117">
                  <c:v>-2.6733787232193001E-3</c:v>
                </c:pt>
                <c:pt idx="118">
                  <c:v>-1.65297047141373E-3</c:v>
                </c:pt>
                <c:pt idx="119">
                  <c:v>-2.06627901211852E-3</c:v>
                </c:pt>
                <c:pt idx="120">
                  <c:v>-2.3825700454617898E-3</c:v>
                </c:pt>
                <c:pt idx="121">
                  <c:v>-2.3825700454617898E-3</c:v>
                </c:pt>
                <c:pt idx="122">
                  <c:v>-2.3825700454617898E-3</c:v>
                </c:pt>
                <c:pt idx="123">
                  <c:v>1.7547962204997099E-3</c:v>
                </c:pt>
                <c:pt idx="124">
                  <c:v>1.43550656125155E-3</c:v>
                </c:pt>
                <c:pt idx="125">
                  <c:v>1.9448011992017E-3</c:v>
                </c:pt>
                <c:pt idx="126">
                  <c:v>1.9448011992017E-3</c:v>
                </c:pt>
                <c:pt idx="127">
                  <c:v>1.43550656125155E-3</c:v>
                </c:pt>
                <c:pt idx="128">
                  <c:v>1.9448011992017E-3</c:v>
                </c:pt>
                <c:pt idx="129">
                  <c:v>1.53063677000561E-3</c:v>
                </c:pt>
                <c:pt idx="130">
                  <c:v>1.9448011992017E-3</c:v>
                </c:pt>
                <c:pt idx="131">
                  <c:v>1.53063677000561E-3</c:v>
                </c:pt>
                <c:pt idx="132">
                  <c:v>1.116643801973E-3</c:v>
                </c:pt>
                <c:pt idx="133">
                  <c:v>7.0282215319550595E-4</c:v>
                </c:pt>
                <c:pt idx="134">
                  <c:v>1.7206339458962E-3</c:v>
                </c:pt>
                <c:pt idx="135">
                  <c:v>-2.2598992879300098E-3</c:v>
                </c:pt>
                <c:pt idx="136">
                  <c:v>-2.2598992879300098E-3</c:v>
                </c:pt>
                <c:pt idx="137">
                  <c:v>-1.8462488166750301E-3</c:v>
                </c:pt>
                <c:pt idx="138">
                  <c:v>-2.4538777163621299E-3</c:v>
                </c:pt>
                <c:pt idx="139">
                  <c:v>-3.28134983639448E-3</c:v>
                </c:pt>
                <c:pt idx="140">
                  <c:v>-1.8462488166750301E-3</c:v>
                </c:pt>
                <c:pt idx="141">
                  <c:v>-2.6733787232193001E-3</c:v>
                </c:pt>
                <c:pt idx="142">
                  <c:v>-2.6733787232193001E-3</c:v>
                </c:pt>
                <c:pt idx="143">
                  <c:v>-1.65297047141373E-3</c:v>
                </c:pt>
                <c:pt idx="144">
                  <c:v>-2.06627901211852E-3</c:v>
                </c:pt>
                <c:pt idx="145">
                  <c:v>9.2595241009886802E-4</c:v>
                </c:pt>
                <c:pt idx="146">
                  <c:v>1.3402884425440999E-3</c:v>
                </c:pt>
                <c:pt idx="147">
                  <c:v>1.43550656125155E-3</c:v>
                </c:pt>
                <c:pt idx="148">
                  <c:v>9.2595241009886802E-4</c:v>
                </c:pt>
                <c:pt idx="149">
                  <c:v>1.116643801973E-3</c:v>
                </c:pt>
                <c:pt idx="150">
                  <c:v>1.53063677000561E-3</c:v>
                </c:pt>
                <c:pt idx="151">
                  <c:v>1.116643801973E-3</c:v>
                </c:pt>
                <c:pt idx="152">
                  <c:v>1.116643801973E-3</c:v>
                </c:pt>
                <c:pt idx="153">
                  <c:v>7.0282215319550595E-4</c:v>
                </c:pt>
                <c:pt idx="154">
                  <c:v>1.7206339458962E-3</c:v>
                </c:pt>
                <c:pt idx="155">
                  <c:v>7.98207070890789E-4</c:v>
                </c:pt>
                <c:pt idx="156">
                  <c:v>3.84727635601462E-4</c:v>
                </c:pt>
                <c:pt idx="157">
                  <c:v>1.3069834746411799E-3</c:v>
                </c:pt>
                <c:pt idx="158">
                  <c:v>8.9350403935184604E-4</c:v>
                </c:pt>
                <c:pt idx="159">
                  <c:v>9.8871318059448599E-4</c:v>
                </c:pt>
                <c:pt idx="160">
                  <c:v>-1.65297047141373E-3</c:v>
                </c:pt>
                <c:pt idx="161">
                  <c:v>-2.06627901211852E-3</c:v>
                </c:pt>
                <c:pt idx="162">
                  <c:v>-2.4794167994449398E-3</c:v>
                </c:pt>
                <c:pt idx="163">
                  <c:v>-1.9696028704828498E-3</c:v>
                </c:pt>
                <c:pt idx="164">
                  <c:v>-2.3825700454617898E-3</c:v>
                </c:pt>
                <c:pt idx="165">
                  <c:v>-1.55646508315637E-3</c:v>
                </c:pt>
                <c:pt idx="166">
                  <c:v>7.3490831975413901E-4</c:v>
                </c:pt>
                <c:pt idx="167">
                  <c:v>1.24498229153733E-3</c:v>
                </c:pt>
                <c:pt idx="168">
                  <c:v>1.3402884425440999E-3</c:v>
                </c:pt>
                <c:pt idx="169">
                  <c:v>1.8498425936966001E-3</c:v>
                </c:pt>
                <c:pt idx="170">
                  <c:v>9.2595241009886802E-4</c:v>
                </c:pt>
                <c:pt idx="171">
                  <c:v>1.8498425936966001E-3</c:v>
                </c:pt>
                <c:pt idx="172">
                  <c:v>1.24498229153733E-3</c:v>
                </c:pt>
                <c:pt idx="173">
                  <c:v>1.24498229153733E-3</c:v>
                </c:pt>
                <c:pt idx="174">
                  <c:v>1.7547962204997099E-3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48-4EB5-83AC-F5AF37589B0D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BSCR x 10 dma / IBDS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2.7820021007056602E-4</c:v>
                </c:pt>
                <c:pt idx="11">
                  <c:v>-3.28005668340981E-3</c:v>
                </c:pt>
                <c:pt idx="12">
                  <c:v>-2.9753075468423101E-3</c:v>
                </c:pt>
                <c:pt idx="13">
                  <c:v>-2.5743461426384799E-3</c:v>
                </c:pt>
                <c:pt idx="14">
                  <c:v>-2.2383115593240101E-3</c:v>
                </c:pt>
                <c:pt idx="15">
                  <c:v>-1.81562797991757E-3</c:v>
                </c:pt>
                <c:pt idx="16">
                  <c:v>-1.95112217104988E-3</c:v>
                </c:pt>
                <c:pt idx="17">
                  <c:v>-1.0860896502867901E-3</c:v>
                </c:pt>
                <c:pt idx="18">
                  <c:v>-1.18067192062146E-3</c:v>
                </c:pt>
                <c:pt idx="19">
                  <c:v>-6.6257743107148604E-4</c:v>
                </c:pt>
                <c:pt idx="20">
                  <c:v>3.3768561982891999E-3</c:v>
                </c:pt>
                <c:pt idx="21">
                  <c:v>3.2600635698608799E-3</c:v>
                </c:pt>
                <c:pt idx="22">
                  <c:v>3.9060021753468299E-3</c:v>
                </c:pt>
                <c:pt idx="23">
                  <c:v>2.7079805290050399E-3</c:v>
                </c:pt>
                <c:pt idx="24">
                  <c:v>9.9254896414552904E-4</c:v>
                </c:pt>
                <c:pt idx="25">
                  <c:v>1.6566004520855401E-3</c:v>
                </c:pt>
                <c:pt idx="26">
                  <c:v>1.0041470481468801E-3</c:v>
                </c:pt>
                <c:pt idx="27">
                  <c:v>5.78996717441187E-5</c:v>
                </c:pt>
                <c:pt idx="28">
                  <c:v>8.3550593727772402E-4</c:v>
                </c:pt>
                <c:pt idx="29">
                  <c:v>6.4723531844835896E-4</c:v>
                </c:pt>
                <c:pt idx="30">
                  <c:v>-2.34934877853416E-4</c:v>
                </c:pt>
                <c:pt idx="31">
                  <c:v>7.2608229383837504E-4</c:v>
                </c:pt>
                <c:pt idx="32">
                  <c:v>-7.5274496068262499E-4</c:v>
                </c:pt>
                <c:pt idx="33">
                  <c:v>-4.7112737919057998E-4</c:v>
                </c:pt>
                <c:pt idx="34">
                  <c:v>-3.9118721451970404E-3</c:v>
                </c:pt>
                <c:pt idx="35">
                  <c:v>-3.17418290321517E-3</c:v>
                </c:pt>
                <c:pt idx="36">
                  <c:v>-3.2079603232470001E-3</c:v>
                </c:pt>
                <c:pt idx="37">
                  <c:v>-2.8213866575027701E-3</c:v>
                </c:pt>
                <c:pt idx="38">
                  <c:v>-1.89154735184352E-3</c:v>
                </c:pt>
                <c:pt idx="39">
                  <c:v>2.1782902526347198E-3</c:v>
                </c:pt>
                <c:pt idx="40">
                  <c:v>1.17957492416431E-3</c:v>
                </c:pt>
                <c:pt idx="41">
                  <c:v>1.6581537515571499E-3</c:v>
                </c:pt>
                <c:pt idx="42">
                  <c:v>2.1871613754397999E-3</c:v>
                </c:pt>
                <c:pt idx="43">
                  <c:v>2.2154064768175499E-3</c:v>
                </c:pt>
                <c:pt idx="44">
                  <c:v>1.2293661316034299E-3</c:v>
                </c:pt>
                <c:pt idx="45">
                  <c:v>1.31224223898181E-3</c:v>
                </c:pt>
                <c:pt idx="46">
                  <c:v>1.3003208015975301E-3</c:v>
                </c:pt>
                <c:pt idx="47">
                  <c:v>9.3091543901054302E-4</c:v>
                </c:pt>
                <c:pt idx="48">
                  <c:v>1.11384722461933E-4</c:v>
                </c:pt>
                <c:pt idx="49">
                  <c:v>-1.9292167845311E-4</c:v>
                </c:pt>
                <c:pt idx="50">
                  <c:v>4.7699785769396999E-4</c:v>
                </c:pt>
                <c:pt idx="51">
                  <c:v>2.8673859416251197E-4</c:v>
                </c:pt>
                <c:pt idx="52">
                  <c:v>-1.7114849453940201E-4</c:v>
                </c:pt>
                <c:pt idx="53">
                  <c:v>8.9990502423836703E-5</c:v>
                </c:pt>
                <c:pt idx="54">
                  <c:v>-3.67306694908682E-3</c:v>
                </c:pt>
                <c:pt idx="55">
                  <c:v>-2.6303230847732799E-3</c:v>
                </c:pt>
                <c:pt idx="56">
                  <c:v>-3.1769009438205801E-3</c:v>
                </c:pt>
                <c:pt idx="57">
                  <c:v>-2.0514274435331202E-3</c:v>
                </c:pt>
                <c:pt idx="58">
                  <c:v>-2.4566976805294001E-3</c:v>
                </c:pt>
                <c:pt idx="59">
                  <c:v>-1.4927329643654201E-3</c:v>
                </c:pt>
                <c:pt idx="60">
                  <c:v>-1.8289545028218901E-3</c:v>
                </c:pt>
                <c:pt idx="61">
                  <c:v>2.4054690419950502E-3</c:v>
                </c:pt>
                <c:pt idx="62">
                  <c:v>2.4339338026668801E-3</c:v>
                </c:pt>
                <c:pt idx="63">
                  <c:v>2.9302063312806499E-3</c:v>
                </c:pt>
                <c:pt idx="64">
                  <c:v>2.9838906120178898E-3</c:v>
                </c:pt>
                <c:pt idx="65">
                  <c:v>1.7273283084551999E-3</c:v>
                </c:pt>
                <c:pt idx="66">
                  <c:v>1.45341334139487E-3</c:v>
                </c:pt>
                <c:pt idx="67">
                  <c:v>2.11332037403949E-3</c:v>
                </c:pt>
                <c:pt idx="68">
                  <c:v>3.9328197918154899E-4</c:v>
                </c:pt>
                <c:pt idx="69">
                  <c:v>1.6322529648449201E-4</c:v>
                </c:pt>
                <c:pt idx="70">
                  <c:v>3.0211006311324501E-4</c:v>
                </c:pt>
                <c:pt idx="71">
                  <c:v>-4.89757961372151E-4</c:v>
                </c:pt>
                <c:pt idx="72">
                  <c:v>2.52637043333524E-4</c:v>
                </c:pt>
                <c:pt idx="73">
                  <c:v>-3.4270495971618401E-3</c:v>
                </c:pt>
                <c:pt idx="74">
                  <c:v>-3.1321583977676898E-3</c:v>
                </c:pt>
                <c:pt idx="75">
                  <c:v>-2.6247209894062302E-3</c:v>
                </c:pt>
                <c:pt idx="76">
                  <c:v>-2.3065105763891E-3</c:v>
                </c:pt>
                <c:pt idx="77">
                  <c:v>-2.8134839440867301E-3</c:v>
                </c:pt>
                <c:pt idx="78">
                  <c:v>-1.80204515185006E-3</c:v>
                </c:pt>
                <c:pt idx="79">
                  <c:v>-1.9936047221097799E-3</c:v>
                </c:pt>
                <c:pt idx="80">
                  <c:v>-7.90378338077716E-4</c:v>
                </c:pt>
                <c:pt idx="81">
                  <c:v>-6.7281003817895005E-4</c:v>
                </c:pt>
                <c:pt idx="82">
                  <c:v>3.3611299814876399E-3</c:v>
                </c:pt>
                <c:pt idx="83">
                  <c:v>3.2815439106491299E-3</c:v>
                </c:pt>
                <c:pt idx="84">
                  <c:v>2.5279560149068302E-3</c:v>
                </c:pt>
                <c:pt idx="85">
                  <c:v>3.2374847927734698E-3</c:v>
                </c:pt>
                <c:pt idx="86">
                  <c:v>1.91482710933983E-3</c:v>
                </c:pt>
                <c:pt idx="87">
                  <c:v>1.7017894146619801E-3</c:v>
                </c:pt>
                <c:pt idx="88">
                  <c:v>2.2231457849630301E-3</c:v>
                </c:pt>
                <c:pt idx="89">
                  <c:v>1.27282644349148E-3</c:v>
                </c:pt>
                <c:pt idx="90">
                  <c:v>9.2556491072237396E-4</c:v>
                </c:pt>
                <c:pt idx="91">
                  <c:v>4.7856616574084402E-5</c:v>
                </c:pt>
                <c:pt idx="92">
                  <c:v>1.20880768813421E-4</c:v>
                </c:pt>
                <c:pt idx="93">
                  <c:v>-3.8689933701217699E-3</c:v>
                </c:pt>
                <c:pt idx="94">
                  <c:v>-3.48931409505371E-3</c:v>
                </c:pt>
                <c:pt idx="95">
                  <c:v>-2.5440426482541598E-3</c:v>
                </c:pt>
                <c:pt idx="96">
                  <c:v>-2.5783142407340902E-3</c:v>
                </c:pt>
                <c:pt idx="97">
                  <c:v>-1.74048350306874E-3</c:v>
                </c:pt>
                <c:pt idx="98">
                  <c:v>-1.35753827888735E-3</c:v>
                </c:pt>
                <c:pt idx="99">
                  <c:v>-1.40173049518411E-3</c:v>
                </c:pt>
                <c:pt idx="100">
                  <c:v>-5.3336229947933197E-4</c:v>
                </c:pt>
                <c:pt idx="101">
                  <c:v>-1.04097659840892E-3</c:v>
                </c:pt>
                <c:pt idx="102">
                  <c:v>3.0264705049142001E-3</c:v>
                </c:pt>
                <c:pt idx="103">
                  <c:v>3.0454449676361899E-3</c:v>
                </c:pt>
                <c:pt idx="104">
                  <c:v>3.08079954836331E-3</c:v>
                </c:pt>
                <c:pt idx="105">
                  <c:v>2.2467277852575899E-3</c:v>
                </c:pt>
                <c:pt idx="106">
                  <c:v>1.4192986301196E-3</c:v>
                </c:pt>
                <c:pt idx="107">
                  <c:v>1.61983058255755E-3</c:v>
                </c:pt>
                <c:pt idx="108">
                  <c:v>1.40639557872661E-3</c:v>
                </c:pt>
                <c:pt idx="109">
                  <c:v>5.88783148970641E-4</c:v>
                </c:pt>
                <c:pt idx="110">
                  <c:v>1.30741585196808E-3</c:v>
                </c:pt>
                <c:pt idx="111">
                  <c:v>9.57484950002981E-4</c:v>
                </c:pt>
                <c:pt idx="112">
                  <c:v>-3.02482951627756E-4</c:v>
                </c:pt>
                <c:pt idx="113">
                  <c:v>1.15009137644506E-3</c:v>
                </c:pt>
                <c:pt idx="114">
                  <c:v>8.4013360290112298E-4</c:v>
                </c:pt>
                <c:pt idx="115">
                  <c:v>3.65960739887806E-4</c:v>
                </c:pt>
                <c:pt idx="116">
                  <c:v>-3.2613189985146E-3</c:v>
                </c:pt>
                <c:pt idx="117">
                  <c:v>-3.8426195662574201E-3</c:v>
                </c:pt>
                <c:pt idx="118">
                  <c:v>-2.44254205093805E-3</c:v>
                </c:pt>
                <c:pt idx="119">
                  <c:v>-2.5691192730549401E-3</c:v>
                </c:pt>
                <c:pt idx="120">
                  <c:v>-2.6082103113473898E-3</c:v>
                </c:pt>
                <c:pt idx="121">
                  <c:v>-2.1977454251262398E-3</c:v>
                </c:pt>
                <c:pt idx="122">
                  <c:v>-1.7874489512023899E-3</c:v>
                </c:pt>
                <c:pt idx="123">
                  <c:v>2.6775201542011602E-3</c:v>
                </c:pt>
                <c:pt idx="124">
                  <c:v>2.41495702469263E-3</c:v>
                </c:pt>
                <c:pt idx="125">
                  <c:v>2.9939511854856602E-3</c:v>
                </c:pt>
                <c:pt idx="126">
                  <c:v>2.9715987193293602E-3</c:v>
                </c:pt>
                <c:pt idx="127">
                  <c:v>2.0835348545214902E-3</c:v>
                </c:pt>
                <c:pt idx="128">
                  <c:v>2.1818681954464802E-3</c:v>
                </c:pt>
                <c:pt idx="129">
                  <c:v>1.40799948132034E-3</c:v>
                </c:pt>
                <c:pt idx="130">
                  <c:v>1.46226691114688E-3</c:v>
                </c:pt>
                <c:pt idx="131">
                  <c:v>6.14967593836019E-4</c:v>
                </c:pt>
                <c:pt idx="132">
                  <c:v>-1.9094845976510899E-4</c:v>
                </c:pt>
                <c:pt idx="133">
                  <c:v>-9.5543284826369603E-4</c:v>
                </c:pt>
                <c:pt idx="134">
                  <c:v>1.6761600469457599E-4</c:v>
                </c:pt>
                <c:pt idx="135">
                  <c:v>-3.84142965986717E-3</c:v>
                </c:pt>
                <c:pt idx="136">
                  <c:v>-3.4203161146239801E-3</c:v>
                </c:pt>
                <c:pt idx="137">
                  <c:v>-2.5857293600990302E-3</c:v>
                </c:pt>
                <c:pt idx="138">
                  <c:v>-2.8649262905309598E-3</c:v>
                </c:pt>
                <c:pt idx="139">
                  <c:v>-3.2523341389134501E-3</c:v>
                </c:pt>
                <c:pt idx="140">
                  <c:v>-1.3357424986505601E-3</c:v>
                </c:pt>
                <c:pt idx="141">
                  <c:v>-1.7840510955286399E-3</c:v>
                </c:pt>
                <c:pt idx="142">
                  <c:v>-1.3638711728877399E-3</c:v>
                </c:pt>
                <c:pt idx="143">
                  <c:v>3.5266581241344E-5</c:v>
                </c:pt>
                <c:pt idx="144">
                  <c:v>-1.42775942544326E-4</c:v>
                </c:pt>
                <c:pt idx="145">
                  <c:v>3.2274131788502598E-3</c:v>
                </c:pt>
                <c:pt idx="146">
                  <c:v>3.3236336116771602E-3</c:v>
                </c:pt>
                <c:pt idx="147">
                  <c:v>3.05931622334685E-3</c:v>
                </c:pt>
                <c:pt idx="148">
                  <c:v>2.2219978453621998E-3</c:v>
                </c:pt>
                <c:pt idx="149">
                  <c:v>2.0748287824966499E-3</c:v>
                </c:pt>
                <c:pt idx="150">
                  <c:v>2.0488706554943302E-3</c:v>
                </c:pt>
                <c:pt idx="151">
                  <c:v>1.2972536702611399E-3</c:v>
                </c:pt>
                <c:pt idx="152">
                  <c:v>9.1795264603089098E-4</c:v>
                </c:pt>
                <c:pt idx="153">
                  <c:v>1.2468604916383001E-4</c:v>
                </c:pt>
                <c:pt idx="154">
                  <c:v>9.0664246797757502E-4</c:v>
                </c:pt>
                <c:pt idx="155">
                  <c:v>-3.9492167510614699E-4</c:v>
                </c:pt>
                <c:pt idx="156">
                  <c:v>-7.9562242841686303E-4</c:v>
                </c:pt>
                <c:pt idx="157">
                  <c:v>2.22215303424522E-4</c:v>
                </c:pt>
                <c:pt idx="158">
                  <c:v>-1.7841558709941801E-4</c:v>
                </c:pt>
                <c:pt idx="159">
                  <c:v>-7.9961087720648402E-5</c:v>
                </c:pt>
                <c:pt idx="160">
                  <c:v>-2.7088515547789098E-3</c:v>
                </c:pt>
                <c:pt idx="161">
                  <c:v>-2.8034941932302002E-3</c:v>
                </c:pt>
                <c:pt idx="162">
                  <c:v>-2.8980043172465901E-3</c:v>
                </c:pt>
                <c:pt idx="163">
                  <c:v>-2.0282531443956398E-3</c:v>
                </c:pt>
                <c:pt idx="164">
                  <c:v>-2.1738284831308899E-3</c:v>
                </c:pt>
                <c:pt idx="165">
                  <c:v>-9.37436857808632E-4</c:v>
                </c:pt>
                <c:pt idx="166">
                  <c:v>1.58931962849349E-3</c:v>
                </c:pt>
                <c:pt idx="167">
                  <c:v>2.06442440884327E-3</c:v>
                </c:pt>
                <c:pt idx="168">
                  <c:v>2.1659176807401698E-3</c:v>
                </c:pt>
                <c:pt idx="169">
                  <c:v>2.6308791017300901E-3</c:v>
                </c:pt>
                <c:pt idx="170">
                  <c:v>1.62106154976115E-3</c:v>
                </c:pt>
                <c:pt idx="171">
                  <c:v>2.2871116387978901E-3</c:v>
                </c:pt>
                <c:pt idx="172">
                  <c:v>1.2906911153106001E-3</c:v>
                </c:pt>
                <c:pt idx="173">
                  <c:v>9.1796862505085799E-4</c:v>
                </c:pt>
                <c:pt idx="174">
                  <c:v>1.1060504836476199E-3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48-4EB5-83AC-F5AF37589B0D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BSCR x 20 dma / IBDS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1.9398982609033499E-3</c:v>
                </c:pt>
                <c:pt idx="21">
                  <c:v>1.8294653221549799E-3</c:v>
                </c:pt>
                <c:pt idx="22">
                  <c:v>2.8109702823265002E-3</c:v>
                </c:pt>
                <c:pt idx="23">
                  <c:v>1.9991195582187999E-3</c:v>
                </c:pt>
                <c:pt idx="24">
                  <c:v>6.4460705685976099E-4</c:v>
                </c:pt>
                <c:pt idx="25">
                  <c:v>1.59862686992764E-3</c:v>
                </c:pt>
                <c:pt idx="26">
                  <c:v>1.25185096724797E-3</c:v>
                </c:pt>
                <c:pt idx="27">
                  <c:v>6.5733988740688002E-4</c:v>
                </c:pt>
                <c:pt idx="28">
                  <c:v>1.71059318212004E-3</c:v>
                </c:pt>
                <c:pt idx="29">
                  <c:v>1.8740864311363201E-3</c:v>
                </c:pt>
                <c:pt idx="30">
                  <c:v>1.34979191938464E-3</c:v>
                </c:pt>
                <c:pt idx="31">
                  <c:v>2.27741738745869E-3</c:v>
                </c:pt>
                <c:pt idx="32">
                  <c:v>6.4304764615176696E-4</c:v>
                </c:pt>
                <c:pt idx="33">
                  <c:v>5.9664069601748199E-4</c:v>
                </c:pt>
                <c:pt idx="34">
                  <c:v>-3.08965855753478E-3</c:v>
                </c:pt>
                <c:pt idx="35">
                  <c:v>-2.64233867360826E-3</c:v>
                </c:pt>
                <c:pt idx="36">
                  <c:v>-3.0326645155886E-3</c:v>
                </c:pt>
                <c:pt idx="37">
                  <c:v>-3.0120600181728699E-3</c:v>
                </c:pt>
                <c:pt idx="38">
                  <c:v>-2.3625988845066802E-3</c:v>
                </c:pt>
                <c:pt idx="39">
                  <c:v>1.3355250614754701E-3</c:v>
                </c:pt>
                <c:pt idx="40">
                  <c:v>1.4088414815637999E-4</c:v>
                </c:pt>
                <c:pt idx="41">
                  <c:v>6.0857004677107595E-4</c:v>
                </c:pt>
                <c:pt idx="42">
                  <c:v>1.05109405410399E-3</c:v>
                </c:pt>
                <c:pt idx="43">
                  <c:v>1.2058961971865201E-3</c:v>
                </c:pt>
                <c:pt idx="44">
                  <c:v>3.0526639007549101E-4</c:v>
                </c:pt>
                <c:pt idx="45">
                  <c:v>7.1597724588787898E-4</c:v>
                </c:pt>
                <c:pt idx="46">
                  <c:v>1.0572434447893801E-3</c:v>
                </c:pt>
                <c:pt idx="47">
                  <c:v>1.08239382543009E-3</c:v>
                </c:pt>
                <c:pt idx="48">
                  <c:v>6.2921248429672998E-4</c:v>
                </c:pt>
                <c:pt idx="49">
                  <c:v>6.6073513054163801E-4</c:v>
                </c:pt>
                <c:pt idx="50">
                  <c:v>1.3051494310809999E-3</c:v>
                </c:pt>
                <c:pt idx="51">
                  <c:v>1.19576095743307E-3</c:v>
                </c:pt>
                <c:pt idx="52">
                  <c:v>8.1851531094378701E-4</c:v>
                </c:pt>
                <c:pt idx="53">
                  <c:v>1.0273432978170399E-3</c:v>
                </c:pt>
                <c:pt idx="54">
                  <c:v>-2.78159568957908E-3</c:v>
                </c:pt>
                <c:pt idx="55">
                  <c:v>-2.0601112147893702E-3</c:v>
                </c:pt>
                <c:pt idx="56">
                  <c:v>-2.9118517453772899E-3</c:v>
                </c:pt>
                <c:pt idx="57">
                  <c:v>-2.1852497951637701E-3</c:v>
                </c:pt>
                <c:pt idx="58">
                  <c:v>-2.9559731600548502E-3</c:v>
                </c:pt>
                <c:pt idx="59">
                  <c:v>-2.3223744089011099E-3</c:v>
                </c:pt>
                <c:pt idx="60">
                  <c:v>-2.7732377528150399E-3</c:v>
                </c:pt>
                <c:pt idx="61">
                  <c:v>1.20413732537184E-3</c:v>
                </c:pt>
                <c:pt idx="62">
                  <c:v>1.1961249996099901E-3</c:v>
                </c:pt>
                <c:pt idx="63">
                  <c:v>1.7177451646499199E-3</c:v>
                </c:pt>
                <c:pt idx="64">
                  <c:v>1.80460147887537E-3</c:v>
                </c:pt>
                <c:pt idx="65">
                  <c:v>9.1870623927835498E-4</c:v>
                </c:pt>
                <c:pt idx="66">
                  <c:v>9.21838940891363E-4</c:v>
                </c:pt>
                <c:pt idx="67">
                  <c:v>1.9576100732007599E-3</c:v>
                </c:pt>
                <c:pt idx="68">
                  <c:v>5.9278910514671103E-4</c:v>
                </c:pt>
                <c:pt idx="69">
                  <c:v>7.0396551381442197E-4</c:v>
                </c:pt>
                <c:pt idx="70">
                  <c:v>1.12805538495319E-3</c:v>
                </c:pt>
                <c:pt idx="71">
                  <c:v>7.3571733590812401E-4</c:v>
                </c:pt>
                <c:pt idx="72">
                  <c:v>1.47004060967522E-3</c:v>
                </c:pt>
                <c:pt idx="73">
                  <c:v>-2.20341980720868E-3</c:v>
                </c:pt>
                <c:pt idx="74">
                  <c:v>-2.1252294455058199E-3</c:v>
                </c:pt>
                <c:pt idx="75">
                  <c:v>-2.0381827463232601E-3</c:v>
                </c:pt>
                <c:pt idx="76">
                  <c:v>-2.0161647979707702E-3</c:v>
                </c:pt>
                <c:pt idx="77">
                  <c:v>-2.86066872041656E-3</c:v>
                </c:pt>
                <c:pt idx="78">
                  <c:v>-2.2928490370479298E-3</c:v>
                </c:pt>
                <c:pt idx="79">
                  <c:v>-2.8057409592563498E-3</c:v>
                </c:pt>
                <c:pt idx="80">
                  <c:v>-1.92830956319242E-3</c:v>
                </c:pt>
                <c:pt idx="81">
                  <c:v>-2.16802384340131E-3</c:v>
                </c:pt>
                <c:pt idx="82">
                  <c:v>1.72980811060473E-3</c:v>
                </c:pt>
                <c:pt idx="83">
                  <c:v>1.6298416738287701E-3</c:v>
                </c:pt>
                <c:pt idx="84">
                  <c:v>1.2414235569793001E-3</c:v>
                </c:pt>
                <c:pt idx="85">
                  <c:v>2.3100356537624901E-3</c:v>
                </c:pt>
                <c:pt idx="86">
                  <c:v>1.3463297873449001E-3</c:v>
                </c:pt>
                <c:pt idx="87">
                  <c:v>1.4463849554425801E-3</c:v>
                </c:pt>
                <c:pt idx="88">
                  <c:v>2.41912035155596E-3</c:v>
                </c:pt>
                <c:pt idx="89">
                  <c:v>1.84871590333732E-3</c:v>
                </c:pt>
                <c:pt idx="90">
                  <c:v>1.91199649009112E-3</c:v>
                </c:pt>
                <c:pt idx="91">
                  <c:v>1.3875971898477499E-3</c:v>
                </c:pt>
                <c:pt idx="92">
                  <c:v>1.7899589316735199E-3</c:v>
                </c:pt>
                <c:pt idx="93">
                  <c:v>-2.1873243605688001E-3</c:v>
                </c:pt>
                <c:pt idx="94">
                  <c:v>-2.1679075726969699E-3</c:v>
                </c:pt>
                <c:pt idx="95">
                  <c:v>-1.5462380959632299E-3</c:v>
                </c:pt>
                <c:pt idx="96">
                  <c:v>-1.9703708155333999E-3</c:v>
                </c:pt>
                <c:pt idx="97">
                  <c:v>-1.45085856996323E-3</c:v>
                </c:pt>
                <c:pt idx="98">
                  <c:v>-1.4114533189168101E-3</c:v>
                </c:pt>
                <c:pt idx="99">
                  <c:v>-1.8607446666808801E-3</c:v>
                </c:pt>
                <c:pt idx="100">
                  <c:v>-1.3927989016159E-3</c:v>
                </c:pt>
                <c:pt idx="101">
                  <c:v>-2.24338850050094E-3</c:v>
                </c:pt>
                <c:pt idx="102">
                  <c:v>1.4797038974143199E-3</c:v>
                </c:pt>
                <c:pt idx="103">
                  <c:v>1.4844573076284199E-3</c:v>
                </c:pt>
                <c:pt idx="104">
                  <c:v>1.89845027566109E-3</c:v>
                </c:pt>
                <c:pt idx="105">
                  <c:v>1.4431271222585401E-3</c:v>
                </c:pt>
                <c:pt idx="106">
                  <c:v>9.6397888168409899E-4</c:v>
                </c:pt>
                <c:pt idx="107">
                  <c:v>1.4828062650907E-3</c:v>
                </c:pt>
                <c:pt idx="108">
                  <c:v>1.56687824342373E-3</c:v>
                </c:pt>
                <c:pt idx="109">
                  <c:v>1.08796823310245E-3</c:v>
                </c:pt>
                <c:pt idx="110">
                  <c:v>2.1359456758286602E-3</c:v>
                </c:pt>
                <c:pt idx="111">
                  <c:v>2.1200463961142399E-3</c:v>
                </c:pt>
                <c:pt idx="112">
                  <c:v>1.2516296546856299E-3</c:v>
                </c:pt>
                <c:pt idx="113">
                  <c:v>2.7025296255794901E-3</c:v>
                </c:pt>
                <c:pt idx="114">
                  <c:v>2.2633873743261299E-3</c:v>
                </c:pt>
                <c:pt idx="115">
                  <c:v>1.6091110866219599E-3</c:v>
                </c:pt>
                <c:pt idx="116">
                  <c:v>-2.14718922261057E-3</c:v>
                </c:pt>
                <c:pt idx="117">
                  <c:v>-3.0060561277172899E-3</c:v>
                </c:pt>
                <c:pt idx="118">
                  <c:v>-1.95036618392346E-3</c:v>
                </c:pt>
                <c:pt idx="119">
                  <c:v>-2.37469974889701E-3</c:v>
                </c:pt>
                <c:pt idx="120">
                  <c:v>-2.7019948271882399E-3</c:v>
                </c:pt>
                <c:pt idx="121">
                  <c:v>-2.67161990149751E-3</c:v>
                </c:pt>
                <c:pt idx="122">
                  <c:v>-2.6826019853540598E-3</c:v>
                </c:pt>
                <c:pt idx="123">
                  <c:v>1.6298730435264099E-3</c:v>
                </c:pt>
                <c:pt idx="124">
                  <c:v>1.2787170520937099E-3</c:v>
                </c:pt>
                <c:pt idx="125">
                  <c:v>1.7927618849079799E-3</c:v>
                </c:pt>
                <c:pt idx="126">
                  <c:v>1.75141020789488E-3</c:v>
                </c:pt>
                <c:pt idx="127">
                  <c:v>1.17531309469969E-3</c:v>
                </c:pt>
                <c:pt idx="128">
                  <c:v>1.6686806559016601E-3</c:v>
                </c:pt>
                <c:pt idx="129">
                  <c:v>1.2179160644820899E-3</c:v>
                </c:pt>
                <c:pt idx="130">
                  <c:v>1.5907221715488E-3</c:v>
                </c:pt>
                <c:pt idx="131">
                  <c:v>1.1653658779055001E-3</c:v>
                </c:pt>
                <c:pt idx="132">
                  <c:v>7.6086075792975404E-4</c:v>
                </c:pt>
                <c:pt idx="133">
                  <c:v>3.3588930061849399E-4</c:v>
                </c:pt>
                <c:pt idx="134">
                  <c:v>1.43465188132912E-3</c:v>
                </c:pt>
                <c:pt idx="135">
                  <c:v>-2.5252244211127202E-3</c:v>
                </c:pt>
                <c:pt idx="136">
                  <c:v>-2.32611095300744E-3</c:v>
                </c:pt>
                <c:pt idx="137">
                  <c:v>-1.8917342941749001E-3</c:v>
                </c:pt>
                <c:pt idx="138">
                  <c:v>-2.5408159986009199E-3</c:v>
                </c:pt>
                <c:pt idx="139">
                  <c:v>-3.3281577571679802E-3</c:v>
                </c:pt>
                <c:pt idx="140">
                  <c:v>-1.8321395354895199E-3</c:v>
                </c:pt>
                <c:pt idx="141">
                  <c:v>-2.68614224583117E-3</c:v>
                </c:pt>
                <c:pt idx="142">
                  <c:v>-2.6715649277386198E-3</c:v>
                </c:pt>
                <c:pt idx="143">
                  <c:v>-1.6365795703355301E-3</c:v>
                </c:pt>
                <c:pt idx="144">
                  <c:v>-1.8795256739008101E-3</c:v>
                </c:pt>
                <c:pt idx="145">
                  <c:v>1.2878023098465701E-3</c:v>
                </c:pt>
                <c:pt idx="146">
                  <c:v>1.75298801819056E-3</c:v>
                </c:pt>
                <c:pt idx="147">
                  <c:v>1.8783692629989199E-3</c:v>
                </c:pt>
                <c:pt idx="148">
                  <c:v>1.3688151118465199E-3</c:v>
                </c:pt>
                <c:pt idx="149">
                  <c:v>1.61035206041595E-3</c:v>
                </c:pt>
                <c:pt idx="150">
                  <c:v>2.04500687922651E-3</c:v>
                </c:pt>
                <c:pt idx="151">
                  <c:v>1.65167533506878E-3</c:v>
                </c:pt>
                <c:pt idx="152">
                  <c:v>1.67233633205806E-3</c:v>
                </c:pt>
                <c:pt idx="153">
                  <c:v>1.2585146832804501E-3</c:v>
                </c:pt>
                <c:pt idx="154">
                  <c:v>2.2763264759811698E-3</c:v>
                </c:pt>
                <c:pt idx="155">
                  <c:v>1.3538996009758201E-3</c:v>
                </c:pt>
                <c:pt idx="156">
                  <c:v>7.8747630857807103E-4</c:v>
                </c:pt>
                <c:pt idx="157">
                  <c:v>1.57742126903522E-3</c:v>
                </c:pt>
                <c:pt idx="158">
                  <c:v>1.0062678509108901E-3</c:v>
                </c:pt>
                <c:pt idx="159">
                  <c:v>9.3398205641258899E-4</c:v>
                </c:pt>
                <c:pt idx="160">
                  <c:v>-1.9214843406420801E-3</c:v>
                </c:pt>
                <c:pt idx="161">
                  <c:v>-2.34447636818129E-3</c:v>
                </c:pt>
                <c:pt idx="162">
                  <c:v>-2.78805009201552E-3</c:v>
                </c:pt>
                <c:pt idx="163">
                  <c:v>-2.2879623262643E-3</c:v>
                </c:pt>
                <c:pt idx="164">
                  <c:v>-2.6850642554024002E-3</c:v>
                </c:pt>
                <c:pt idx="165">
                  <c:v>-1.84310485442614E-3</c:v>
                </c:pt>
                <c:pt idx="166">
                  <c:v>5.7245647375576405E-4</c:v>
                </c:pt>
                <c:pt idx="167">
                  <c:v>1.1127725166166799E-3</c:v>
                </c:pt>
                <c:pt idx="168">
                  <c:v>1.2175933348106301E-3</c:v>
                </c:pt>
                <c:pt idx="169">
                  <c:v>1.7064513922393301E-3</c:v>
                </c:pt>
                <c:pt idx="170">
                  <c:v>7.45949684043652E-4</c:v>
                </c:pt>
                <c:pt idx="171">
                  <c:v>1.7000419523311801E-3</c:v>
                </c:pt>
                <c:pt idx="172">
                  <c:v>1.05856989090964E-3</c:v>
                </c:pt>
                <c:pt idx="173">
                  <c:v>1.05215932370162E-3</c:v>
                </c:pt>
                <c:pt idx="174">
                  <c:v>1.53488604379443E-3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48-4EB5-83AC-F5AF37589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1.4351010197194789E-3</c:v>
                </c:pt>
                <c:pt idx="121">
                  <c:v>1.4351010197194789E-3</c:v>
                </c:pt>
                <c:pt idx="122">
                  <c:v>1.4351010197194789E-3</c:v>
                </c:pt>
                <c:pt idx="123">
                  <c:v>1.4351010197194789E-3</c:v>
                </c:pt>
                <c:pt idx="124">
                  <c:v>1.4351010197194789E-3</c:v>
                </c:pt>
                <c:pt idx="125">
                  <c:v>1.4351010197194789E-3</c:v>
                </c:pt>
                <c:pt idx="126">
                  <c:v>1.4351010197194789E-3</c:v>
                </c:pt>
                <c:pt idx="127">
                  <c:v>1.4351010197194789E-3</c:v>
                </c:pt>
                <c:pt idx="128">
                  <c:v>1.4351010197194789E-3</c:v>
                </c:pt>
                <c:pt idx="129">
                  <c:v>1.4351010197194789E-3</c:v>
                </c:pt>
                <c:pt idx="130">
                  <c:v>1.4351010197194789E-3</c:v>
                </c:pt>
                <c:pt idx="131">
                  <c:v>1.4351010197194789E-3</c:v>
                </c:pt>
                <c:pt idx="132">
                  <c:v>1.4351010197194789E-3</c:v>
                </c:pt>
                <c:pt idx="133">
                  <c:v>1.4351010197194789E-3</c:v>
                </c:pt>
                <c:pt idx="134">
                  <c:v>1.4351010197194789E-3</c:v>
                </c:pt>
                <c:pt idx="135">
                  <c:v>1.4351010197194789E-3</c:v>
                </c:pt>
                <c:pt idx="136">
                  <c:v>1.4351010197194789E-3</c:v>
                </c:pt>
                <c:pt idx="137">
                  <c:v>1.4351010197194789E-3</c:v>
                </c:pt>
                <c:pt idx="138">
                  <c:v>1.4351010197194789E-3</c:v>
                </c:pt>
                <c:pt idx="139">
                  <c:v>1.4351010197194789E-3</c:v>
                </c:pt>
                <c:pt idx="140">
                  <c:v>1.4351010197194789E-3</c:v>
                </c:pt>
                <c:pt idx="141">
                  <c:v>1.4351010197194789E-3</c:v>
                </c:pt>
                <c:pt idx="142">
                  <c:v>1.4351010197194789E-3</c:v>
                </c:pt>
                <c:pt idx="143">
                  <c:v>1.4351010197194789E-3</c:v>
                </c:pt>
                <c:pt idx="144">
                  <c:v>1.4351010197194789E-3</c:v>
                </c:pt>
                <c:pt idx="145">
                  <c:v>1.4351010197194789E-3</c:v>
                </c:pt>
                <c:pt idx="146">
                  <c:v>1.4351010197194789E-3</c:v>
                </c:pt>
                <c:pt idx="147">
                  <c:v>1.4351010197194789E-3</c:v>
                </c:pt>
                <c:pt idx="148">
                  <c:v>1.4351010197194789E-3</c:v>
                </c:pt>
                <c:pt idx="149">
                  <c:v>1.4351010197194789E-3</c:v>
                </c:pt>
                <c:pt idx="150">
                  <c:v>1.4351010197194789E-3</c:v>
                </c:pt>
                <c:pt idx="151">
                  <c:v>1.4351010197194789E-3</c:v>
                </c:pt>
                <c:pt idx="152">
                  <c:v>1.4351010197194789E-3</c:v>
                </c:pt>
                <c:pt idx="153">
                  <c:v>1.4351010197194789E-3</c:v>
                </c:pt>
                <c:pt idx="154">
                  <c:v>1.4351010197194789E-3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A-4B13-B6DB-FC90A175D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7.2963852558584894E-4</c:v>
                </c:pt>
                <c:pt idx="4">
                  <c:v>2.0588848121276169E-3</c:v>
                </c:pt>
                <c:pt idx="5">
                  <c:v>2.0588848121276169E-3</c:v>
                </c:pt>
                <c:pt idx="6">
                  <c:v>2.0588848121276169E-3</c:v>
                </c:pt>
                <c:pt idx="7">
                  <c:v>2.0588848121276169E-3</c:v>
                </c:pt>
                <c:pt idx="8">
                  <c:v>2.0588848121276169E-3</c:v>
                </c:pt>
                <c:pt idx="9">
                  <c:v>2.0588848121276169E-3</c:v>
                </c:pt>
                <c:pt idx="10">
                  <c:v>2.0588848121276169E-3</c:v>
                </c:pt>
                <c:pt idx="11">
                  <c:v>2.0588848121276169E-3</c:v>
                </c:pt>
                <c:pt idx="12">
                  <c:v>2.0588848121276169E-3</c:v>
                </c:pt>
                <c:pt idx="13">
                  <c:v>2.0588848121276169E-3</c:v>
                </c:pt>
                <c:pt idx="14">
                  <c:v>2.0588848121276169E-3</c:v>
                </c:pt>
                <c:pt idx="15">
                  <c:v>2.0588848121276169E-3</c:v>
                </c:pt>
                <c:pt idx="16">
                  <c:v>2.0588848121276169E-3</c:v>
                </c:pt>
                <c:pt idx="17">
                  <c:v>2.0588848121276169E-3</c:v>
                </c:pt>
                <c:pt idx="18">
                  <c:v>2.0588848121276169E-3</c:v>
                </c:pt>
                <c:pt idx="19">
                  <c:v>2.0588848121276169E-3</c:v>
                </c:pt>
                <c:pt idx="20">
                  <c:v>2.0588848121276169E-3</c:v>
                </c:pt>
                <c:pt idx="21">
                  <c:v>2.0588848121276169E-3</c:v>
                </c:pt>
                <c:pt idx="22">
                  <c:v>2.0588848121276169E-3</c:v>
                </c:pt>
                <c:pt idx="23">
                  <c:v>2.0588848121276169E-3</c:v>
                </c:pt>
                <c:pt idx="24">
                  <c:v>2.0588848121276169E-3</c:v>
                </c:pt>
                <c:pt idx="25">
                  <c:v>2.0588848121276169E-3</c:v>
                </c:pt>
                <c:pt idx="26">
                  <c:v>2.0588848121276169E-3</c:v>
                </c:pt>
                <c:pt idx="27">
                  <c:v>2.0588848121276169E-3</c:v>
                </c:pt>
                <c:pt idx="28">
                  <c:v>2.0588848121276169E-3</c:v>
                </c:pt>
                <c:pt idx="29">
                  <c:v>2.0588848121276169E-3</c:v>
                </c:pt>
                <c:pt idx="30">
                  <c:v>2.0588848121276169E-3</c:v>
                </c:pt>
                <c:pt idx="31">
                  <c:v>2.0588848121276169E-3</c:v>
                </c:pt>
                <c:pt idx="32">
                  <c:v>2.0588848121276169E-3</c:v>
                </c:pt>
                <c:pt idx="33">
                  <c:v>2.0588848121276169E-3</c:v>
                </c:pt>
                <c:pt idx="34">
                  <c:v>2.0588848121276169E-3</c:v>
                </c:pt>
                <c:pt idx="35">
                  <c:v>2.0588848121276169E-3</c:v>
                </c:pt>
                <c:pt idx="36">
                  <c:v>2.0588848121276169E-3</c:v>
                </c:pt>
                <c:pt idx="37">
                  <c:v>2.0588848121276169E-3</c:v>
                </c:pt>
                <c:pt idx="38">
                  <c:v>2.0588848121276169E-3</c:v>
                </c:pt>
                <c:pt idx="39">
                  <c:v>2.0588848121276169E-3</c:v>
                </c:pt>
                <c:pt idx="40">
                  <c:v>2.0588848121276169E-3</c:v>
                </c:pt>
                <c:pt idx="41">
                  <c:v>2.0588848121276169E-3</c:v>
                </c:pt>
                <c:pt idx="42">
                  <c:v>2.0588848121276169E-3</c:v>
                </c:pt>
                <c:pt idx="43">
                  <c:v>2.0588848121276169E-3</c:v>
                </c:pt>
                <c:pt idx="44">
                  <c:v>2.0588848121276169E-3</c:v>
                </c:pt>
                <c:pt idx="45">
                  <c:v>2.0588848121276169E-3</c:v>
                </c:pt>
                <c:pt idx="46">
                  <c:v>2.0588848121276169E-3</c:v>
                </c:pt>
                <c:pt idx="47">
                  <c:v>2.0588848121276169E-3</c:v>
                </c:pt>
                <c:pt idx="48">
                  <c:v>2.0588848121276169E-3</c:v>
                </c:pt>
                <c:pt idx="49">
                  <c:v>2.0588848121276169E-3</c:v>
                </c:pt>
                <c:pt idx="50">
                  <c:v>2.0588848121276169E-3</c:v>
                </c:pt>
                <c:pt idx="51">
                  <c:v>2.0588848121276169E-3</c:v>
                </c:pt>
                <c:pt idx="52">
                  <c:v>2.0588848121276169E-3</c:v>
                </c:pt>
                <c:pt idx="53">
                  <c:v>2.0588848121276169E-3</c:v>
                </c:pt>
                <c:pt idx="54">
                  <c:v>2.0588848121276169E-3</c:v>
                </c:pt>
                <c:pt idx="55">
                  <c:v>2.0588848121276169E-3</c:v>
                </c:pt>
                <c:pt idx="56">
                  <c:v>2.0588848121276169E-3</c:v>
                </c:pt>
                <c:pt idx="57">
                  <c:v>2.0588848121276169E-3</c:v>
                </c:pt>
                <c:pt idx="58">
                  <c:v>2.0588848121276169E-3</c:v>
                </c:pt>
                <c:pt idx="59">
                  <c:v>2.0588848121276169E-3</c:v>
                </c:pt>
                <c:pt idx="60">
                  <c:v>2.0588848121276169E-3</c:v>
                </c:pt>
                <c:pt idx="61">
                  <c:v>2.0588848121276169E-3</c:v>
                </c:pt>
                <c:pt idx="62">
                  <c:v>2.0588848121276169E-3</c:v>
                </c:pt>
                <c:pt idx="63">
                  <c:v>2.0588848121276169E-3</c:v>
                </c:pt>
                <c:pt idx="64">
                  <c:v>2.0588848121276169E-3</c:v>
                </c:pt>
                <c:pt idx="65">
                  <c:v>2.0588848121276169E-3</c:v>
                </c:pt>
                <c:pt idx="66">
                  <c:v>2.0588848121276169E-3</c:v>
                </c:pt>
                <c:pt idx="67">
                  <c:v>2.0588848121276169E-3</c:v>
                </c:pt>
                <c:pt idx="68">
                  <c:v>2.0588848121276169E-3</c:v>
                </c:pt>
                <c:pt idx="69">
                  <c:v>2.0588848121276169E-3</c:v>
                </c:pt>
                <c:pt idx="70">
                  <c:v>2.0588848121276169E-3</c:v>
                </c:pt>
                <c:pt idx="71">
                  <c:v>2.0588848121276169E-3</c:v>
                </c:pt>
                <c:pt idx="72">
                  <c:v>2.0588848121276169E-3</c:v>
                </c:pt>
                <c:pt idx="73">
                  <c:v>2.0588848121276169E-3</c:v>
                </c:pt>
                <c:pt idx="74">
                  <c:v>2.0588848121276169E-3</c:v>
                </c:pt>
                <c:pt idx="75">
                  <c:v>2.0588848121276169E-3</c:v>
                </c:pt>
                <c:pt idx="76">
                  <c:v>2.0588848121276169E-3</c:v>
                </c:pt>
                <c:pt idx="77">
                  <c:v>2.0588848121276169E-3</c:v>
                </c:pt>
                <c:pt idx="78">
                  <c:v>2.0588848121276169E-3</c:v>
                </c:pt>
                <c:pt idx="79">
                  <c:v>2.0588848121276169E-3</c:v>
                </c:pt>
                <c:pt idx="80">
                  <c:v>2.0588848121276169E-3</c:v>
                </c:pt>
                <c:pt idx="81">
                  <c:v>2.0588848121276169E-3</c:v>
                </c:pt>
                <c:pt idx="82">
                  <c:v>2.0588848121276169E-3</c:v>
                </c:pt>
                <c:pt idx="83">
                  <c:v>2.0588848121276169E-3</c:v>
                </c:pt>
                <c:pt idx="84">
                  <c:v>2.0588848121276169E-3</c:v>
                </c:pt>
                <c:pt idx="85">
                  <c:v>2.0588848121276169E-3</c:v>
                </c:pt>
                <c:pt idx="86">
                  <c:v>2.0588848121276169E-3</c:v>
                </c:pt>
                <c:pt idx="87">
                  <c:v>2.0588848121276169E-3</c:v>
                </c:pt>
                <c:pt idx="88">
                  <c:v>2.0588848121276169E-3</c:v>
                </c:pt>
                <c:pt idx="89">
                  <c:v>2.0588848121276169E-3</c:v>
                </c:pt>
                <c:pt idx="90">
                  <c:v>2.0588848121276169E-3</c:v>
                </c:pt>
                <c:pt idx="91">
                  <c:v>2.0588848121276169E-3</c:v>
                </c:pt>
                <c:pt idx="92">
                  <c:v>2.0588848121276169E-3</c:v>
                </c:pt>
                <c:pt idx="93">
                  <c:v>2.0588848121276169E-3</c:v>
                </c:pt>
                <c:pt idx="94">
                  <c:v>2.2481895971820228E-3</c:v>
                </c:pt>
                <c:pt idx="95">
                  <c:v>2.6620112459594556E-3</c:v>
                </c:pt>
                <c:pt idx="96">
                  <c:v>2.6620112459594556E-3</c:v>
                </c:pt>
                <c:pt idx="97">
                  <c:v>2.6620112459594556E-3</c:v>
                </c:pt>
                <c:pt idx="98">
                  <c:v>2.6620112459594556E-3</c:v>
                </c:pt>
                <c:pt idx="99">
                  <c:v>2.6620112459594556E-3</c:v>
                </c:pt>
                <c:pt idx="100">
                  <c:v>2.6620112459594556E-3</c:v>
                </c:pt>
                <c:pt idx="101">
                  <c:v>2.6620112459594556E-3</c:v>
                </c:pt>
                <c:pt idx="102">
                  <c:v>2.6620112459594556E-3</c:v>
                </c:pt>
                <c:pt idx="103">
                  <c:v>2.6620112459594556E-3</c:v>
                </c:pt>
                <c:pt idx="104">
                  <c:v>2.6620112459594556E-3</c:v>
                </c:pt>
                <c:pt idx="105">
                  <c:v>2.6620112459594556E-3</c:v>
                </c:pt>
                <c:pt idx="106">
                  <c:v>2.6620112459594556E-3</c:v>
                </c:pt>
                <c:pt idx="107">
                  <c:v>2.6620112459594556E-3</c:v>
                </c:pt>
                <c:pt idx="108">
                  <c:v>2.6620112459594556E-3</c:v>
                </c:pt>
                <c:pt idx="109">
                  <c:v>2.6620112459594556E-3</c:v>
                </c:pt>
                <c:pt idx="110">
                  <c:v>2.6620112459594556E-3</c:v>
                </c:pt>
                <c:pt idx="111">
                  <c:v>2.6620112459594556E-3</c:v>
                </c:pt>
                <c:pt idx="112">
                  <c:v>2.6620112459594556E-3</c:v>
                </c:pt>
                <c:pt idx="113">
                  <c:v>2.6620112459594556E-3</c:v>
                </c:pt>
                <c:pt idx="114">
                  <c:v>2.6620112459594556E-3</c:v>
                </c:pt>
                <c:pt idx="115">
                  <c:v>2.6620112459594556E-3</c:v>
                </c:pt>
                <c:pt idx="116">
                  <c:v>2.6620112459594556E-3</c:v>
                </c:pt>
                <c:pt idx="117">
                  <c:v>2.6620112459594556E-3</c:v>
                </c:pt>
                <c:pt idx="118">
                  <c:v>2.6620112459594556E-3</c:v>
                </c:pt>
                <c:pt idx="119">
                  <c:v>2.6620112459594556E-3</c:v>
                </c:pt>
                <c:pt idx="120">
                  <c:v>2.6620112459594556E-3</c:v>
                </c:pt>
                <c:pt idx="121">
                  <c:v>2.6620112459594556E-3</c:v>
                </c:pt>
                <c:pt idx="122">
                  <c:v>2.6620112459594556E-3</c:v>
                </c:pt>
                <c:pt idx="123">
                  <c:v>2.6620112459594556E-3</c:v>
                </c:pt>
                <c:pt idx="124">
                  <c:v>2.6620112459594556E-3</c:v>
                </c:pt>
                <c:pt idx="125">
                  <c:v>2.6620112459594556E-3</c:v>
                </c:pt>
                <c:pt idx="126">
                  <c:v>2.6620112459594556E-3</c:v>
                </c:pt>
                <c:pt idx="127">
                  <c:v>2.6620112459594556E-3</c:v>
                </c:pt>
                <c:pt idx="128">
                  <c:v>2.6620112459594556E-3</c:v>
                </c:pt>
                <c:pt idx="129">
                  <c:v>2.6620112459594556E-3</c:v>
                </c:pt>
                <c:pt idx="130">
                  <c:v>2.6620112459594556E-3</c:v>
                </c:pt>
                <c:pt idx="131">
                  <c:v>2.6620112459594556E-3</c:v>
                </c:pt>
                <c:pt idx="132">
                  <c:v>2.6620112459594556E-3</c:v>
                </c:pt>
                <c:pt idx="133">
                  <c:v>2.6620112459594556E-3</c:v>
                </c:pt>
                <c:pt idx="134">
                  <c:v>2.6620112459594556E-3</c:v>
                </c:pt>
                <c:pt idx="135">
                  <c:v>2.6620112459594556E-3</c:v>
                </c:pt>
                <c:pt idx="136">
                  <c:v>2.6620112459594556E-3</c:v>
                </c:pt>
                <c:pt idx="137">
                  <c:v>2.6620112459594556E-3</c:v>
                </c:pt>
                <c:pt idx="138">
                  <c:v>2.6620112459594556E-3</c:v>
                </c:pt>
                <c:pt idx="139">
                  <c:v>2.6620112459594556E-3</c:v>
                </c:pt>
                <c:pt idx="140">
                  <c:v>2.6620112459594556E-3</c:v>
                </c:pt>
                <c:pt idx="141">
                  <c:v>2.6620112459594556E-3</c:v>
                </c:pt>
                <c:pt idx="142">
                  <c:v>2.6620112459594556E-3</c:v>
                </c:pt>
                <c:pt idx="143">
                  <c:v>2.6620112459594556E-3</c:v>
                </c:pt>
                <c:pt idx="144">
                  <c:v>2.6620112459594556E-3</c:v>
                </c:pt>
                <c:pt idx="145">
                  <c:v>2.6620112459594556E-3</c:v>
                </c:pt>
                <c:pt idx="146">
                  <c:v>2.6620112459594556E-3</c:v>
                </c:pt>
                <c:pt idx="147">
                  <c:v>2.6620112459594556E-3</c:v>
                </c:pt>
                <c:pt idx="148">
                  <c:v>2.6620112459594556E-3</c:v>
                </c:pt>
                <c:pt idx="149">
                  <c:v>2.6620112459594556E-3</c:v>
                </c:pt>
                <c:pt idx="150">
                  <c:v>2.6620112459594556E-3</c:v>
                </c:pt>
                <c:pt idx="151">
                  <c:v>2.6620112459594556E-3</c:v>
                </c:pt>
                <c:pt idx="152">
                  <c:v>2.6620112459594556E-3</c:v>
                </c:pt>
                <c:pt idx="153">
                  <c:v>2.6620112459594556E-3</c:v>
                </c:pt>
                <c:pt idx="154">
                  <c:v>2.6620112459594556E-3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8-4B4D-8213-6FFC07A8F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7.2963852558584894E-4</c:v>
                </c:pt>
                <c:pt idx="4">
                  <c:v>2.0588848121276169E-3</c:v>
                </c:pt>
                <c:pt idx="5">
                  <c:v>2.0588848121276169E-3</c:v>
                </c:pt>
                <c:pt idx="6">
                  <c:v>2.0588848121276169E-3</c:v>
                </c:pt>
                <c:pt idx="7">
                  <c:v>2.0588848121276169E-3</c:v>
                </c:pt>
                <c:pt idx="8">
                  <c:v>2.0588848121276169E-3</c:v>
                </c:pt>
                <c:pt idx="9">
                  <c:v>2.0588848121276169E-3</c:v>
                </c:pt>
                <c:pt idx="10">
                  <c:v>2.0588848121276169E-3</c:v>
                </c:pt>
                <c:pt idx="11">
                  <c:v>2.0588848121276169E-3</c:v>
                </c:pt>
                <c:pt idx="12">
                  <c:v>2.0588848121276169E-3</c:v>
                </c:pt>
                <c:pt idx="13">
                  <c:v>2.0588848121276169E-3</c:v>
                </c:pt>
                <c:pt idx="14">
                  <c:v>2.0588848121276169E-3</c:v>
                </c:pt>
                <c:pt idx="15">
                  <c:v>2.0588848121276169E-3</c:v>
                </c:pt>
                <c:pt idx="16">
                  <c:v>2.0588848121276169E-3</c:v>
                </c:pt>
                <c:pt idx="17">
                  <c:v>2.0588848121276169E-3</c:v>
                </c:pt>
                <c:pt idx="18">
                  <c:v>2.0588848121276169E-3</c:v>
                </c:pt>
                <c:pt idx="19">
                  <c:v>2.0588848121276169E-3</c:v>
                </c:pt>
                <c:pt idx="20">
                  <c:v>2.0588848121276169E-3</c:v>
                </c:pt>
                <c:pt idx="21">
                  <c:v>2.0588848121276169E-3</c:v>
                </c:pt>
                <c:pt idx="22">
                  <c:v>2.0588848121276169E-3</c:v>
                </c:pt>
                <c:pt idx="23">
                  <c:v>2.0588848121276169E-3</c:v>
                </c:pt>
                <c:pt idx="24">
                  <c:v>2.0588848121276169E-3</c:v>
                </c:pt>
                <c:pt idx="25">
                  <c:v>2.0588848121276169E-3</c:v>
                </c:pt>
                <c:pt idx="26">
                  <c:v>2.0588848121276169E-3</c:v>
                </c:pt>
                <c:pt idx="27">
                  <c:v>2.0588848121276169E-3</c:v>
                </c:pt>
                <c:pt idx="28">
                  <c:v>2.0588848121276169E-3</c:v>
                </c:pt>
                <c:pt idx="29">
                  <c:v>2.0588848121276169E-3</c:v>
                </c:pt>
                <c:pt idx="30">
                  <c:v>2.0588848121276169E-3</c:v>
                </c:pt>
                <c:pt idx="31">
                  <c:v>2.0588848121276169E-3</c:v>
                </c:pt>
                <c:pt idx="32">
                  <c:v>2.0588848121276169E-3</c:v>
                </c:pt>
                <c:pt idx="33">
                  <c:v>2.0588848121276169E-3</c:v>
                </c:pt>
                <c:pt idx="34">
                  <c:v>2.0588848121276169E-3</c:v>
                </c:pt>
                <c:pt idx="35">
                  <c:v>2.0588848121276169E-3</c:v>
                </c:pt>
                <c:pt idx="36">
                  <c:v>2.0588848121276169E-3</c:v>
                </c:pt>
                <c:pt idx="37">
                  <c:v>2.0588848121276169E-3</c:v>
                </c:pt>
                <c:pt idx="38">
                  <c:v>2.0588848121276169E-3</c:v>
                </c:pt>
                <c:pt idx="39">
                  <c:v>2.0588848121276169E-3</c:v>
                </c:pt>
                <c:pt idx="40">
                  <c:v>2.0588848121276169E-3</c:v>
                </c:pt>
                <c:pt idx="41">
                  <c:v>2.0588848121276169E-3</c:v>
                </c:pt>
                <c:pt idx="42">
                  <c:v>2.0588848121276169E-3</c:v>
                </c:pt>
                <c:pt idx="43">
                  <c:v>2.0588848121276169E-3</c:v>
                </c:pt>
                <c:pt idx="44">
                  <c:v>2.0588848121276169E-3</c:v>
                </c:pt>
                <c:pt idx="45">
                  <c:v>2.0588848121276169E-3</c:v>
                </c:pt>
                <c:pt idx="46">
                  <c:v>2.0588848121276169E-3</c:v>
                </c:pt>
                <c:pt idx="47">
                  <c:v>2.0588848121276169E-3</c:v>
                </c:pt>
                <c:pt idx="48">
                  <c:v>2.0588848121276169E-3</c:v>
                </c:pt>
                <c:pt idx="49">
                  <c:v>2.0588848121276169E-3</c:v>
                </c:pt>
                <c:pt idx="50">
                  <c:v>2.0588848121276169E-3</c:v>
                </c:pt>
                <c:pt idx="51">
                  <c:v>2.0588848121276169E-3</c:v>
                </c:pt>
                <c:pt idx="52">
                  <c:v>2.0588848121276169E-3</c:v>
                </c:pt>
                <c:pt idx="53">
                  <c:v>2.0588848121276169E-3</c:v>
                </c:pt>
                <c:pt idx="54">
                  <c:v>2.0588848121276169E-3</c:v>
                </c:pt>
                <c:pt idx="55">
                  <c:v>2.0588848121276169E-3</c:v>
                </c:pt>
                <c:pt idx="56">
                  <c:v>2.0588848121276169E-3</c:v>
                </c:pt>
                <c:pt idx="57">
                  <c:v>2.0588848121276169E-3</c:v>
                </c:pt>
                <c:pt idx="58">
                  <c:v>2.0588848121276169E-3</c:v>
                </c:pt>
                <c:pt idx="59">
                  <c:v>2.0588848121276169E-3</c:v>
                </c:pt>
                <c:pt idx="60">
                  <c:v>2.0588848121276169E-3</c:v>
                </c:pt>
                <c:pt idx="61">
                  <c:v>2.0588848121276169E-3</c:v>
                </c:pt>
                <c:pt idx="62">
                  <c:v>2.0588848121276169E-3</c:v>
                </c:pt>
                <c:pt idx="63">
                  <c:v>2.0588848121276169E-3</c:v>
                </c:pt>
                <c:pt idx="64">
                  <c:v>2.0588848121276169E-3</c:v>
                </c:pt>
                <c:pt idx="65">
                  <c:v>2.0588848121276169E-3</c:v>
                </c:pt>
                <c:pt idx="66">
                  <c:v>2.0588848121276169E-3</c:v>
                </c:pt>
                <c:pt idx="67">
                  <c:v>2.0588848121276169E-3</c:v>
                </c:pt>
                <c:pt idx="68">
                  <c:v>2.0588848121276169E-3</c:v>
                </c:pt>
                <c:pt idx="69">
                  <c:v>2.0588848121276169E-3</c:v>
                </c:pt>
                <c:pt idx="70">
                  <c:v>2.0588848121276169E-3</c:v>
                </c:pt>
                <c:pt idx="71">
                  <c:v>2.0588848121276169E-3</c:v>
                </c:pt>
                <c:pt idx="72">
                  <c:v>2.0588848121276169E-3</c:v>
                </c:pt>
                <c:pt idx="73">
                  <c:v>2.0588848121276169E-3</c:v>
                </c:pt>
                <c:pt idx="74">
                  <c:v>2.0588848121276169E-3</c:v>
                </c:pt>
                <c:pt idx="75">
                  <c:v>2.0588848121276169E-3</c:v>
                </c:pt>
                <c:pt idx="76">
                  <c:v>2.0588848121276169E-3</c:v>
                </c:pt>
                <c:pt idx="77">
                  <c:v>2.0588848121276169E-3</c:v>
                </c:pt>
                <c:pt idx="78">
                  <c:v>2.0588848121276169E-3</c:v>
                </c:pt>
                <c:pt idx="79">
                  <c:v>2.0588848121276169E-3</c:v>
                </c:pt>
                <c:pt idx="80">
                  <c:v>2.0588848121276169E-3</c:v>
                </c:pt>
                <c:pt idx="81">
                  <c:v>2.0588848121276169E-3</c:v>
                </c:pt>
                <c:pt idx="82">
                  <c:v>2.0588848121276169E-3</c:v>
                </c:pt>
                <c:pt idx="83">
                  <c:v>2.0588848121276169E-3</c:v>
                </c:pt>
                <c:pt idx="84">
                  <c:v>2.0588848121276169E-3</c:v>
                </c:pt>
                <c:pt idx="85">
                  <c:v>2.0588848121276169E-3</c:v>
                </c:pt>
                <c:pt idx="86">
                  <c:v>2.0588848121276169E-3</c:v>
                </c:pt>
                <c:pt idx="87">
                  <c:v>2.0588848121276169E-3</c:v>
                </c:pt>
                <c:pt idx="88">
                  <c:v>2.0588848121276169E-3</c:v>
                </c:pt>
                <c:pt idx="89">
                  <c:v>2.0588848121276169E-3</c:v>
                </c:pt>
                <c:pt idx="90">
                  <c:v>2.0588848121276169E-3</c:v>
                </c:pt>
                <c:pt idx="91">
                  <c:v>2.0588848121276169E-3</c:v>
                </c:pt>
                <c:pt idx="92">
                  <c:v>2.0588848121276169E-3</c:v>
                </c:pt>
                <c:pt idx="93">
                  <c:v>2.0588848121276169E-3</c:v>
                </c:pt>
                <c:pt idx="94">
                  <c:v>2.2481895971820228E-3</c:v>
                </c:pt>
                <c:pt idx="95">
                  <c:v>2.6620112459594556E-3</c:v>
                </c:pt>
                <c:pt idx="96">
                  <c:v>2.6620112459594556E-3</c:v>
                </c:pt>
                <c:pt idx="97">
                  <c:v>2.6620112459594556E-3</c:v>
                </c:pt>
                <c:pt idx="98">
                  <c:v>2.6620112459594556E-3</c:v>
                </c:pt>
                <c:pt idx="99">
                  <c:v>2.6620112459594556E-3</c:v>
                </c:pt>
                <c:pt idx="100">
                  <c:v>2.6620112459594556E-3</c:v>
                </c:pt>
                <c:pt idx="101">
                  <c:v>2.6620112459594556E-3</c:v>
                </c:pt>
                <c:pt idx="102">
                  <c:v>2.6620112459594556E-3</c:v>
                </c:pt>
                <c:pt idx="103">
                  <c:v>2.6620112459594556E-3</c:v>
                </c:pt>
                <c:pt idx="104">
                  <c:v>2.6620112459594556E-3</c:v>
                </c:pt>
                <c:pt idx="105">
                  <c:v>2.6620112459594556E-3</c:v>
                </c:pt>
                <c:pt idx="106">
                  <c:v>2.6620112459594556E-3</c:v>
                </c:pt>
                <c:pt idx="107">
                  <c:v>2.6620112459594556E-3</c:v>
                </c:pt>
                <c:pt idx="108">
                  <c:v>2.6620112459594556E-3</c:v>
                </c:pt>
                <c:pt idx="109">
                  <c:v>2.6620112459594556E-3</c:v>
                </c:pt>
                <c:pt idx="110">
                  <c:v>2.6620112459594556E-3</c:v>
                </c:pt>
                <c:pt idx="111">
                  <c:v>2.6620112459594556E-3</c:v>
                </c:pt>
                <c:pt idx="112">
                  <c:v>2.6620112459594556E-3</c:v>
                </c:pt>
                <c:pt idx="113">
                  <c:v>2.6620112459594556E-3</c:v>
                </c:pt>
                <c:pt idx="114">
                  <c:v>2.6620112459594556E-3</c:v>
                </c:pt>
                <c:pt idx="115">
                  <c:v>2.6620112459594556E-3</c:v>
                </c:pt>
                <c:pt idx="116">
                  <c:v>2.6620112459594556E-3</c:v>
                </c:pt>
                <c:pt idx="117">
                  <c:v>2.6620112459594556E-3</c:v>
                </c:pt>
                <c:pt idx="118">
                  <c:v>2.6620112459594556E-3</c:v>
                </c:pt>
                <c:pt idx="119">
                  <c:v>2.6620112459594556E-3</c:v>
                </c:pt>
                <c:pt idx="120">
                  <c:v>4.0971122656789346E-3</c:v>
                </c:pt>
                <c:pt idx="121">
                  <c:v>4.0971122656789346E-3</c:v>
                </c:pt>
                <c:pt idx="122">
                  <c:v>4.0971122656789346E-3</c:v>
                </c:pt>
                <c:pt idx="123">
                  <c:v>4.0971122656789346E-3</c:v>
                </c:pt>
                <c:pt idx="124">
                  <c:v>4.0971122656789346E-3</c:v>
                </c:pt>
                <c:pt idx="125">
                  <c:v>4.0971122656789346E-3</c:v>
                </c:pt>
                <c:pt idx="126">
                  <c:v>4.0971122656789346E-3</c:v>
                </c:pt>
                <c:pt idx="127">
                  <c:v>4.0971122656789346E-3</c:v>
                </c:pt>
                <c:pt idx="128">
                  <c:v>4.0971122656789346E-3</c:v>
                </c:pt>
                <c:pt idx="129">
                  <c:v>4.0971122656789346E-3</c:v>
                </c:pt>
                <c:pt idx="130">
                  <c:v>4.0971122656789346E-3</c:v>
                </c:pt>
                <c:pt idx="131">
                  <c:v>4.0971122656789346E-3</c:v>
                </c:pt>
                <c:pt idx="132">
                  <c:v>4.0971122656789346E-3</c:v>
                </c:pt>
                <c:pt idx="133">
                  <c:v>4.0971122656789346E-3</c:v>
                </c:pt>
                <c:pt idx="134">
                  <c:v>4.0971122656789346E-3</c:v>
                </c:pt>
                <c:pt idx="135">
                  <c:v>4.0971122656789346E-3</c:v>
                </c:pt>
                <c:pt idx="136">
                  <c:v>4.0971122656789346E-3</c:v>
                </c:pt>
                <c:pt idx="137">
                  <c:v>4.0971122656789346E-3</c:v>
                </c:pt>
                <c:pt idx="138">
                  <c:v>4.0971122656789346E-3</c:v>
                </c:pt>
                <c:pt idx="139">
                  <c:v>4.0971122656789346E-3</c:v>
                </c:pt>
                <c:pt idx="140">
                  <c:v>4.0971122656789346E-3</c:v>
                </c:pt>
                <c:pt idx="141">
                  <c:v>4.0971122656789346E-3</c:v>
                </c:pt>
                <c:pt idx="142">
                  <c:v>4.0971122656789346E-3</c:v>
                </c:pt>
                <c:pt idx="143">
                  <c:v>4.0971122656789346E-3</c:v>
                </c:pt>
                <c:pt idx="144">
                  <c:v>4.0971122656789346E-3</c:v>
                </c:pt>
                <c:pt idx="145">
                  <c:v>4.0971122656789346E-3</c:v>
                </c:pt>
                <c:pt idx="146">
                  <c:v>4.0971122656789346E-3</c:v>
                </c:pt>
                <c:pt idx="147">
                  <c:v>4.0971122656789346E-3</c:v>
                </c:pt>
                <c:pt idx="148">
                  <c:v>4.0971122656789346E-3</c:v>
                </c:pt>
                <c:pt idx="149">
                  <c:v>4.0971122656789346E-3</c:v>
                </c:pt>
                <c:pt idx="150">
                  <c:v>4.0971122656789346E-3</c:v>
                </c:pt>
                <c:pt idx="151">
                  <c:v>4.0971122656789346E-3</c:v>
                </c:pt>
                <c:pt idx="152">
                  <c:v>4.0971122656789346E-3</c:v>
                </c:pt>
                <c:pt idx="153">
                  <c:v>4.0971122656789346E-3</c:v>
                </c:pt>
                <c:pt idx="154">
                  <c:v>4.0971122656789346E-3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8-4CF9-9E6E-CCE3D0636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FF2D0D-2068-456E-943A-A83809E05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FF2BCD-0F1C-4F09-8196-394942F43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14CBEC-AD96-4C3D-ACE2-174140284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FD4C05-32C2-4C36-A159-FEF58C21E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415AD8-7CE7-44EB-8B6B-6DABE6110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824F03-1512-47A3-80C4-D5C33B7B2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0AB9AF-2DFB-4D7D-837D-36F53C438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A6B2-3301-45FC-BC21-2616FC7A021A}">
  <dimension ref="A1:DZ183"/>
  <sheetViews>
    <sheetView tabSelected="1" topLeftCell="AF4" workbookViewId="0">
      <selection activeCell="AI23" sqref="AI23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1.2750711555097241</v>
      </c>
      <c r="AJ1" s="4">
        <v>0</v>
      </c>
      <c r="AK1" s="4">
        <f t="shared" ref="AK1:AQ1" si="0">AJ1-$AK12</f>
        <v>-2.0000000000000001E-4</v>
      </c>
      <c r="AL1" s="4">
        <f t="shared" si="0"/>
        <v>-4.0000000000000002E-4</v>
      </c>
      <c r="AM1" s="4">
        <f t="shared" si="0"/>
        <v>-6.0000000000000006E-4</v>
      </c>
      <c r="AN1" s="4">
        <f t="shared" si="0"/>
        <v>-8.0000000000000004E-4</v>
      </c>
      <c r="AO1" s="4">
        <f t="shared" si="0"/>
        <v>-1E-3</v>
      </c>
      <c r="AP1" s="4">
        <f t="shared" si="0"/>
        <v>-1.2000000000000001E-3</v>
      </c>
      <c r="AQ1" s="4">
        <f t="shared" si="0"/>
        <v>-1.4000000000000002E-3</v>
      </c>
      <c r="AR1" s="5" t="s">
        <v>33</v>
      </c>
      <c r="AS1" s="2"/>
      <c r="AT1" s="3">
        <f>BB16</f>
        <v>2.1568267039673046</v>
      </c>
      <c r="AU1" s="4">
        <v>0</v>
      </c>
      <c r="AV1" s="6">
        <f>AU1+$AV12</f>
        <v>2.0000000000000001E-4</v>
      </c>
      <c r="AW1" s="6">
        <f t="shared" ref="AW1:BB1" si="1">AV1+$AV12</f>
        <v>4.0000000000000002E-4</v>
      </c>
      <c r="AX1" s="6">
        <f t="shared" si="1"/>
        <v>6.0000000000000006E-4</v>
      </c>
      <c r="AY1" s="6">
        <f t="shared" si="1"/>
        <v>8.0000000000000004E-4</v>
      </c>
      <c r="AZ1" s="6">
        <f t="shared" si="1"/>
        <v>1E-3</v>
      </c>
      <c r="BA1" s="6">
        <f t="shared" si="1"/>
        <v>1.2000000000000001E-3</v>
      </c>
      <c r="BB1" s="6">
        <f t="shared" si="1"/>
        <v>1.4000000000000002E-3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19.75</v>
      </c>
      <c r="C2" s="33">
        <v>24.29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19.75</v>
      </c>
      <c r="M2" s="33">
        <v>24.29</v>
      </c>
      <c r="N2" s="34">
        <v>1.22987341772151</v>
      </c>
      <c r="O2" s="34">
        <v>1.23151696447737</v>
      </c>
      <c r="X2" s="34">
        <v>1.22987341772151</v>
      </c>
      <c r="Y2" s="34">
        <v>1.23013967146909</v>
      </c>
      <c r="AI2" s="4">
        <v>0</v>
      </c>
      <c r="AJ2" s="10">
        <v>4.9726253941699152</v>
      </c>
      <c r="AK2" s="10">
        <v>5.5499373561338494</v>
      </c>
      <c r="AL2" s="10">
        <v>4.6789532362431077</v>
      </c>
      <c r="AM2" s="10">
        <v>3.308870615782729</v>
      </c>
      <c r="AN2" s="10">
        <v>1.9308233468844676</v>
      </c>
      <c r="AO2" s="10">
        <v>1.2750711555097243</v>
      </c>
      <c r="AP2" s="10" t="e">
        <v>#DIV/0!</v>
      </c>
      <c r="AQ2" s="10" t="e">
        <v>#DIV/0!</v>
      </c>
      <c r="AR2"/>
      <c r="AT2" s="4">
        <v>0</v>
      </c>
      <c r="AU2" s="10">
        <v>6.0644983507490791</v>
      </c>
      <c r="AV2" s="11">
        <v>5.7806652793741193</v>
      </c>
      <c r="AW2" s="11">
        <v>4.1744531311271995</v>
      </c>
      <c r="AX2" s="11">
        <v>3.3591708175098658</v>
      </c>
      <c r="AY2" s="11">
        <v>1.2750711555097243</v>
      </c>
      <c r="AZ2" s="11">
        <v>1.2750711555097243</v>
      </c>
      <c r="BA2" s="11" t="e">
        <v>#DIV/0!</v>
      </c>
      <c r="BB2" s="11" t="e">
        <v>#DIV/0!</v>
      </c>
      <c r="BC2"/>
    </row>
    <row r="3" spans="1:130" x14ac:dyDescent="0.25">
      <c r="A3" s="1">
        <v>46027</v>
      </c>
      <c r="B3" s="33">
        <v>19.75</v>
      </c>
      <c r="C3" s="33">
        <v>24.3</v>
      </c>
      <c r="D3" s="15">
        <v>0</v>
      </c>
      <c r="E3" s="15">
        <v>4.1160733242161902E-4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19.75</v>
      </c>
      <c r="M3" s="33">
        <v>24.3</v>
      </c>
      <c r="N3" s="34">
        <v>1.23037974683544</v>
      </c>
      <c r="O3" s="34">
        <v>1.23151696447737</v>
      </c>
      <c r="R3" s="33">
        <v>24.322460048428201</v>
      </c>
      <c r="U3" s="15">
        <v>9.2385494289534199E-4</v>
      </c>
      <c r="X3" s="34">
        <v>1.23037974683544</v>
      </c>
      <c r="Y3" s="34">
        <v>1.23013967146909</v>
      </c>
      <c r="AB3" s="33">
        <v>24.2952585115146</v>
      </c>
      <c r="AE3" s="15">
        <v>-1.9514202190057099E-4</v>
      </c>
      <c r="AI3" s="4">
        <f t="shared" ref="AI3:AI9" si="2">AI2-AK$12</f>
        <v>-2.0000000000000001E-4</v>
      </c>
      <c r="AJ3" s="10">
        <v>4.9726253941699152</v>
      </c>
      <c r="AK3" s="10">
        <v>6.0316130915469648</v>
      </c>
      <c r="AL3" s="10">
        <v>4.9905736436251305</v>
      </c>
      <c r="AM3" s="10">
        <v>3.308870615782729</v>
      </c>
      <c r="AN3" s="10">
        <v>1.9308233468844676</v>
      </c>
      <c r="AO3" s="11">
        <v>1.2750711555097243</v>
      </c>
      <c r="AP3" s="10" t="e">
        <v>#DIV/0!</v>
      </c>
      <c r="AQ3" s="10" t="e">
        <v>#DIV/0!</v>
      </c>
      <c r="AR3"/>
      <c r="AT3" s="4">
        <f>AT2+AV$12</f>
        <v>2.0000000000000001E-4</v>
      </c>
      <c r="AU3" s="10">
        <v>6.0644983507490791</v>
      </c>
      <c r="AV3" s="11">
        <v>6.1517170629025344</v>
      </c>
      <c r="AW3" s="11">
        <v>3.8684684629709261</v>
      </c>
      <c r="AX3" s="11">
        <v>3.0442726066153996</v>
      </c>
      <c r="AY3" s="11">
        <v>1.2750711555097243</v>
      </c>
      <c r="AZ3" s="11">
        <v>1.2750711555097243</v>
      </c>
      <c r="BA3" s="11" t="e">
        <v>#DIV/0!</v>
      </c>
      <c r="BB3" s="11" t="e">
        <v>#DIV/0!</v>
      </c>
      <c r="BC3"/>
    </row>
    <row r="4" spans="1:130" x14ac:dyDescent="0.25">
      <c r="A4" s="1">
        <v>46028</v>
      </c>
      <c r="B4" s="33">
        <v>19.75</v>
      </c>
      <c r="C4" s="33">
        <v>24.3</v>
      </c>
      <c r="D4" s="15">
        <v>0</v>
      </c>
      <c r="E4" s="15">
        <v>0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19.75</v>
      </c>
      <c r="M4" s="33">
        <v>24.3</v>
      </c>
      <c r="N4" s="34">
        <v>1.23037974683544</v>
      </c>
      <c r="O4" s="34">
        <v>1.23151696447737</v>
      </c>
      <c r="R4" s="33">
        <v>24.322460048428201</v>
      </c>
      <c r="U4" s="15">
        <v>9.2385494289534199E-4</v>
      </c>
      <c r="X4" s="34">
        <v>1.23037974683544</v>
      </c>
      <c r="Y4" s="34">
        <v>1.23013967146909</v>
      </c>
      <c r="AB4" s="33">
        <v>24.2952585115146</v>
      </c>
      <c r="AE4" s="15">
        <v>-1.9514202190057099E-4</v>
      </c>
      <c r="AG4"/>
      <c r="AI4" s="4">
        <f t="shared" si="2"/>
        <v>-4.0000000000000002E-4</v>
      </c>
      <c r="AJ4" s="10">
        <v>4.9726253941699152</v>
      </c>
      <c r="AK4" s="11">
        <v>6.0316130915469648</v>
      </c>
      <c r="AL4" s="11">
        <v>4.8548834221129722</v>
      </c>
      <c r="AM4" s="11">
        <v>2.9982522769160713</v>
      </c>
      <c r="AN4" s="10">
        <v>1.9308233468844676</v>
      </c>
      <c r="AO4" s="11">
        <v>1.2750711555097243</v>
      </c>
      <c r="AP4" s="11" t="e">
        <v>#DIV/0!</v>
      </c>
      <c r="AQ4" s="11" t="e">
        <v>#DIV/0!</v>
      </c>
      <c r="AR4"/>
      <c r="AT4" s="4">
        <f t="shared" ref="AT4:AT9" si="3">AT3+AV$12</f>
        <v>4.0000000000000002E-4</v>
      </c>
      <c r="AU4" s="10">
        <v>6.0644983507490791</v>
      </c>
      <c r="AV4" s="11">
        <v>6.1517170629025344</v>
      </c>
      <c r="AW4" s="11">
        <v>3.7774223583440243</v>
      </c>
      <c r="AX4" s="11">
        <v>2.6627809813420398</v>
      </c>
      <c r="AY4" s="11">
        <v>1.2750711555097243</v>
      </c>
      <c r="AZ4" s="11">
        <v>1.2750711555097243</v>
      </c>
      <c r="BA4" s="11" t="e">
        <v>#DIV/0!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3">
        <v>19.75</v>
      </c>
      <c r="C5" s="33">
        <v>24.29</v>
      </c>
      <c r="D5" s="15">
        <v>0</v>
      </c>
      <c r="E5" s="15">
        <v>-4.1160733242167399E-4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19.75</v>
      </c>
      <c r="M5" s="33">
        <v>24.29</v>
      </c>
      <c r="N5" s="34">
        <v>1.22987341772151</v>
      </c>
      <c r="O5" s="34">
        <v>1.23151696447737</v>
      </c>
      <c r="R5" s="33">
        <v>24.322460048428201</v>
      </c>
      <c r="U5" s="15">
        <v>1.3354622753170701E-3</v>
      </c>
      <c r="X5" s="34">
        <v>1.22987341772151</v>
      </c>
      <c r="Y5" s="34">
        <v>1.23013967146909</v>
      </c>
      <c r="AB5" s="33">
        <v>24.2952585115146</v>
      </c>
      <c r="AE5" s="15">
        <v>2.1646531052122101E-4</v>
      </c>
      <c r="AG5" s="29"/>
      <c r="AI5" s="4">
        <f t="shared" si="2"/>
        <v>-6.0000000000000006E-4</v>
      </c>
      <c r="AJ5" s="10">
        <v>4.9726253941699152</v>
      </c>
      <c r="AK5" s="11">
        <v>6.0316130915469648</v>
      </c>
      <c r="AL5" s="11">
        <v>4.8548834221129722</v>
      </c>
      <c r="AM5" s="11">
        <v>3.1942535487532417</v>
      </c>
      <c r="AN5" s="11">
        <v>1.9308233468844676</v>
      </c>
      <c r="AO5" s="11">
        <v>1.2750711555097243</v>
      </c>
      <c r="AP5" s="10" t="e">
        <v>#DIV/0!</v>
      </c>
      <c r="AQ5" s="11" t="e">
        <v>#DIV/0!</v>
      </c>
      <c r="AR5"/>
      <c r="AT5" s="4">
        <f t="shared" si="3"/>
        <v>6.0000000000000006E-4</v>
      </c>
      <c r="AU5" s="10">
        <v>6.0644983507490791</v>
      </c>
      <c r="AV5" s="11">
        <v>6.1517170629025344</v>
      </c>
      <c r="AW5" s="11">
        <v>3.7774223583440243</v>
      </c>
      <c r="AX5" s="11">
        <v>2.33133009002148</v>
      </c>
      <c r="AY5" s="11">
        <v>1.2750711555097243</v>
      </c>
      <c r="AZ5" s="11">
        <v>1.2750711555097243</v>
      </c>
      <c r="BA5" s="11" t="e">
        <v>#DIV/0!</v>
      </c>
      <c r="BB5" s="11" t="e">
        <v>#DIV/0!</v>
      </c>
      <c r="BC5"/>
    </row>
    <row r="6" spans="1:130" x14ac:dyDescent="0.25">
      <c r="A6" s="1">
        <v>46030</v>
      </c>
      <c r="B6" s="33">
        <v>19.739999999999998</v>
      </c>
      <c r="C6" s="33">
        <v>24.28</v>
      </c>
      <c r="D6" s="15">
        <v>-5.0645734179541996E-4</v>
      </c>
      <c r="E6" s="15">
        <v>-4.1177682278348E-4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19.739999999999998</v>
      </c>
      <c r="M6" s="33">
        <v>24.28</v>
      </c>
      <c r="N6" s="34">
        <v>1.2299898682877399</v>
      </c>
      <c r="O6" s="34">
        <v>1.23151696447737</v>
      </c>
      <c r="R6" s="33">
        <v>24.310144878783401</v>
      </c>
      <c r="U6" s="15">
        <v>1.24078175630527E-3</v>
      </c>
      <c r="X6" s="34">
        <v>1.2299898682877399</v>
      </c>
      <c r="Y6" s="34">
        <v>1.23013967146909</v>
      </c>
      <c r="AB6" s="33">
        <v>24.282957114799899</v>
      </c>
      <c r="AE6" s="15">
        <v>1.21784791509246E-4</v>
      </c>
      <c r="AG6" s="29"/>
      <c r="AI6" s="4">
        <f t="shared" si="2"/>
        <v>-8.0000000000000004E-4</v>
      </c>
      <c r="AJ6" s="10">
        <v>4.9726253941699152</v>
      </c>
      <c r="AK6" s="11">
        <v>6.0316130915469648</v>
      </c>
      <c r="AL6" s="11">
        <v>4.8548834221129722</v>
      </c>
      <c r="AM6" s="11">
        <v>3.1942535487532417</v>
      </c>
      <c r="AN6" s="11">
        <v>1.9308233468844676</v>
      </c>
      <c r="AO6" s="11">
        <v>1.2750711555097243</v>
      </c>
      <c r="AP6" s="11" t="e">
        <v>#DIV/0!</v>
      </c>
      <c r="AQ6" s="11" t="e">
        <v>#DIV/0!</v>
      </c>
      <c r="AR6"/>
      <c r="AT6" s="4">
        <f t="shared" si="3"/>
        <v>8.0000000000000004E-4</v>
      </c>
      <c r="AU6" s="10">
        <v>6.0644983507490791</v>
      </c>
      <c r="AV6" s="11">
        <v>6.1517170629025344</v>
      </c>
      <c r="AW6" s="11">
        <v>3.7774223583440243</v>
      </c>
      <c r="AX6" s="11">
        <v>2.33133009002148</v>
      </c>
      <c r="AY6" s="11">
        <v>1.2750711555097243</v>
      </c>
      <c r="AZ6" s="11">
        <v>1.2750711555097243</v>
      </c>
      <c r="BA6" s="11" t="e">
        <v>#DIV/0!</v>
      </c>
      <c r="BB6" s="11" t="e">
        <v>#DIV/0!</v>
      </c>
      <c r="BC6"/>
    </row>
    <row r="7" spans="1:130" x14ac:dyDescent="0.25">
      <c r="A7" s="1">
        <v>46031</v>
      </c>
      <c r="B7" s="33">
        <v>19.739999999999998</v>
      </c>
      <c r="C7" s="33">
        <v>24.29</v>
      </c>
      <c r="D7" s="15">
        <v>0</v>
      </c>
      <c r="E7" s="15">
        <v>4.1177682278355302E-4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19.739999999999998</v>
      </c>
      <c r="M7" s="33">
        <v>24.29</v>
      </c>
      <c r="N7" s="34">
        <v>1.2304964539006999</v>
      </c>
      <c r="O7" s="34">
        <v>1.23151696447737</v>
      </c>
      <c r="R7" s="33">
        <v>24.310144878783401</v>
      </c>
      <c r="U7" s="15">
        <v>8.2900493352173598E-4</v>
      </c>
      <c r="X7" s="34">
        <v>1.2304964539006999</v>
      </c>
      <c r="Y7" s="34">
        <v>1.23013967146909</v>
      </c>
      <c r="AB7" s="33">
        <v>24.282957114799899</v>
      </c>
      <c r="AE7" s="15">
        <v>-2.8999203127431499E-4</v>
      </c>
      <c r="AG7"/>
      <c r="AI7" s="4">
        <f t="shared" si="2"/>
        <v>-1E-3</v>
      </c>
      <c r="AJ7" s="10">
        <v>4.9726253941699152</v>
      </c>
      <c r="AK7" s="11">
        <v>6.0316130915469648</v>
      </c>
      <c r="AL7" s="11">
        <v>4.8548834221129722</v>
      </c>
      <c r="AM7" s="11">
        <v>3.1942535487532417</v>
      </c>
      <c r="AN7" s="11">
        <v>1.9308233468844676</v>
      </c>
      <c r="AO7" s="11">
        <v>1.2750711555097243</v>
      </c>
      <c r="AP7" s="11" t="e">
        <v>#DIV/0!</v>
      </c>
      <c r="AQ7" s="11" t="e">
        <v>#DIV/0!</v>
      </c>
      <c r="AR7"/>
      <c r="AT7" s="4">
        <f t="shared" si="3"/>
        <v>1E-3</v>
      </c>
      <c r="AU7" s="10">
        <v>6.0644983507490791</v>
      </c>
      <c r="AV7" s="11">
        <v>6.1517170629025344</v>
      </c>
      <c r="AW7" s="11">
        <v>3.7774223583440243</v>
      </c>
      <c r="AX7" s="11">
        <v>2.33133009002148</v>
      </c>
      <c r="AY7" s="11">
        <v>1.2750711555097243</v>
      </c>
      <c r="AZ7" s="11">
        <v>1.2750711555097243</v>
      </c>
      <c r="BA7" s="11" t="e">
        <v>#DIV/0!</v>
      </c>
      <c r="BB7" s="11" t="e">
        <v>#DIV/0!</v>
      </c>
      <c r="BC7"/>
    </row>
    <row r="8" spans="1:130" x14ac:dyDescent="0.25">
      <c r="A8" s="1">
        <v>46034</v>
      </c>
      <c r="B8" s="33">
        <v>19.739999999999998</v>
      </c>
      <c r="C8" s="33">
        <v>24.28</v>
      </c>
      <c r="D8" s="15">
        <v>0</v>
      </c>
      <c r="E8" s="15">
        <v>-4.1177682278348E-4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19.739999999999998</v>
      </c>
      <c r="M8" s="33">
        <v>24.28</v>
      </c>
      <c r="N8" s="34">
        <v>1.2299898682877399</v>
      </c>
      <c r="O8" s="34">
        <v>1.23151696447737</v>
      </c>
      <c r="R8" s="33">
        <v>24.310144878783401</v>
      </c>
      <c r="U8" s="15">
        <v>1.24078175630527E-3</v>
      </c>
      <c r="X8" s="34">
        <v>1.2299898682877399</v>
      </c>
      <c r="Y8" s="34">
        <v>1.23013967146909</v>
      </c>
      <c r="AB8" s="33">
        <v>24.282957114799899</v>
      </c>
      <c r="AE8" s="15">
        <v>1.21784791509246E-4</v>
      </c>
      <c r="AG8"/>
      <c r="AI8" s="4">
        <f t="shared" si="2"/>
        <v>-1.2000000000000001E-3</v>
      </c>
      <c r="AJ8" s="10">
        <v>4.9726253941699152</v>
      </c>
      <c r="AK8" s="11">
        <v>6.0316130915469648</v>
      </c>
      <c r="AL8" s="11">
        <v>4.8548834221129722</v>
      </c>
      <c r="AM8" s="11">
        <v>3.1942535487532417</v>
      </c>
      <c r="AN8" s="11">
        <v>1.9308233468844676</v>
      </c>
      <c r="AO8" s="11">
        <v>1.2750711555097243</v>
      </c>
      <c r="AP8" s="11" t="e">
        <v>#DIV/0!</v>
      </c>
      <c r="AQ8" s="11" t="e">
        <v>#DIV/0!</v>
      </c>
      <c r="AR8"/>
      <c r="AT8" s="4">
        <f t="shared" si="3"/>
        <v>1.2000000000000001E-3</v>
      </c>
      <c r="AU8" s="10">
        <v>6.0644983507490791</v>
      </c>
      <c r="AV8" s="11">
        <v>6.1517170629025344</v>
      </c>
      <c r="AW8" s="11">
        <v>3.7774223583440243</v>
      </c>
      <c r="AX8" s="11">
        <v>2.33133009002148</v>
      </c>
      <c r="AY8" s="11">
        <v>1.2750711555097243</v>
      </c>
      <c r="AZ8" s="11">
        <v>1.2750711555097243</v>
      </c>
      <c r="BA8" s="11" t="e">
        <v>#DIV/0!</v>
      </c>
      <c r="BB8" s="11" t="e">
        <v>#DIV/0!</v>
      </c>
      <c r="BC8"/>
    </row>
    <row r="9" spans="1:130" x14ac:dyDescent="0.25">
      <c r="A9" s="1">
        <v>46035</v>
      </c>
      <c r="B9" s="33">
        <v>19.75</v>
      </c>
      <c r="C9" s="33">
        <v>24.29</v>
      </c>
      <c r="D9" s="15">
        <v>5.0645734179543796E-4</v>
      </c>
      <c r="E9" s="15">
        <v>4.1177682278355302E-4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19.75</v>
      </c>
      <c r="M9" s="33">
        <v>24.29</v>
      </c>
      <c r="N9" s="34">
        <v>1.22987341772151</v>
      </c>
      <c r="O9" s="34">
        <v>1.23151696447737</v>
      </c>
      <c r="R9" s="33">
        <v>24.322460048428201</v>
      </c>
      <c r="U9" s="15">
        <v>1.3354622753170701E-3</v>
      </c>
      <c r="X9" s="34">
        <v>1.22987341772151</v>
      </c>
      <c r="Y9" s="34">
        <v>1.23013967146909</v>
      </c>
      <c r="AB9" s="33">
        <v>24.2952585115146</v>
      </c>
      <c r="AE9" s="15">
        <v>2.1646531052122101E-4</v>
      </c>
      <c r="AF9"/>
      <c r="AI9" s="4">
        <f t="shared" si="2"/>
        <v>-1.4000000000000002E-3</v>
      </c>
      <c r="AJ9" s="10">
        <v>4.9726253941699152</v>
      </c>
      <c r="AK9" s="11">
        <v>6.0316130915469648</v>
      </c>
      <c r="AL9" s="11">
        <v>4.8548834221129722</v>
      </c>
      <c r="AM9" s="11">
        <v>3.1942535487532417</v>
      </c>
      <c r="AN9" s="11">
        <v>1.9308233468844676</v>
      </c>
      <c r="AO9" s="11">
        <v>1.2750711555097243</v>
      </c>
      <c r="AP9" s="11" t="e">
        <v>#DIV/0!</v>
      </c>
      <c r="AQ9" s="11" t="e">
        <v>#DIV/0!</v>
      </c>
      <c r="AR9"/>
      <c r="AT9" s="4">
        <f t="shared" si="3"/>
        <v>1.4000000000000002E-3</v>
      </c>
      <c r="AU9" s="10">
        <v>6.0644983507490791</v>
      </c>
      <c r="AV9" s="10">
        <v>6.1517170629025344</v>
      </c>
      <c r="AW9" s="10">
        <v>3.7774223583440243</v>
      </c>
      <c r="AX9" s="10">
        <v>2.33133009002148</v>
      </c>
      <c r="AY9" s="10">
        <v>1.2750711555097243</v>
      </c>
      <c r="AZ9" s="10">
        <v>1.2750711555097243</v>
      </c>
      <c r="BA9" s="10" t="e">
        <v>#DIV/0!</v>
      </c>
      <c r="BB9" s="10" t="e">
        <v>#DIV/0!</v>
      </c>
      <c r="BC9"/>
    </row>
    <row r="10" spans="1:130" x14ac:dyDescent="0.25">
      <c r="A10" s="1">
        <v>46036</v>
      </c>
      <c r="B10" s="33">
        <v>19.760000000000002</v>
      </c>
      <c r="C10" s="33">
        <v>24.31</v>
      </c>
      <c r="D10" s="15">
        <v>5.0620097259106102E-4</v>
      </c>
      <c r="E10" s="15">
        <v>8.2304531395081305E-4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19.760000000000002</v>
      </c>
      <c r="M10" s="33">
        <v>24.31</v>
      </c>
      <c r="N10" s="34">
        <v>1.2302631578947301</v>
      </c>
      <c r="O10" s="34">
        <v>1.23151696447737</v>
      </c>
      <c r="R10" s="33">
        <v>24.334775218072998</v>
      </c>
      <c r="U10" s="15">
        <v>1.01861793395707E-3</v>
      </c>
      <c r="X10" s="34">
        <v>1.2302631578947301</v>
      </c>
      <c r="Y10" s="34">
        <v>1.23013967146909</v>
      </c>
      <c r="AB10" s="33">
        <v>24.307559908229301</v>
      </c>
      <c r="AE10" s="15">
        <v>-1.0037903083866099E-4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19.75</v>
      </c>
      <c r="C11" s="33">
        <v>24.29</v>
      </c>
      <c r="D11" s="15">
        <v>-5.0620097259095498E-4</v>
      </c>
      <c r="E11" s="15">
        <v>-8.230453139509E-4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19.75</v>
      </c>
      <c r="M11" s="33">
        <v>24.29</v>
      </c>
      <c r="N11" s="34">
        <v>1.22987341772151</v>
      </c>
      <c r="O11" s="34">
        <v>1.23151696447737</v>
      </c>
      <c r="P11" s="34">
        <v>1.23009925129278</v>
      </c>
      <c r="R11" s="33">
        <v>24.322460048428201</v>
      </c>
      <c r="U11" s="15">
        <v>1.3354622753170701E-3</v>
      </c>
      <c r="X11" s="34">
        <v>1.22987341772151</v>
      </c>
      <c r="Y11" s="34">
        <v>1.23013967146909</v>
      </c>
      <c r="Z11" s="34">
        <v>1.23009925129278</v>
      </c>
      <c r="AB11" s="33">
        <v>24.2952585115146</v>
      </c>
      <c r="AE11" s="15">
        <v>2.1646531052122101E-4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19.760000000000002</v>
      </c>
      <c r="C12" s="33">
        <v>24.3</v>
      </c>
      <c r="D12" s="15">
        <v>5.0620097259106102E-4</v>
      </c>
      <c r="E12" s="15">
        <v>4.1160733242161902E-4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19.760000000000002</v>
      </c>
      <c r="M12" s="33">
        <v>24.3</v>
      </c>
      <c r="N12" s="34">
        <v>1.2297570850202399</v>
      </c>
      <c r="O12" s="34">
        <v>1.23151696447737</v>
      </c>
      <c r="P12" s="34">
        <v>1.2300876180226601</v>
      </c>
      <c r="R12" s="33">
        <v>24.334775218072998</v>
      </c>
      <c r="S12" s="33">
        <v>24.306761205545499</v>
      </c>
      <c r="U12" s="15">
        <v>1.4300559154862499E-3</v>
      </c>
      <c r="V12" s="15">
        <v>2.7820021007056602E-4</v>
      </c>
      <c r="X12" s="34">
        <v>1.2297570850202399</v>
      </c>
      <c r="Y12" s="34">
        <v>1.23013967146909</v>
      </c>
      <c r="Z12" s="34">
        <v>1.2300876180226601</v>
      </c>
      <c r="AB12" s="33">
        <v>24.307559908229301</v>
      </c>
      <c r="AC12" s="33">
        <v>24.306761205545499</v>
      </c>
      <c r="AE12" s="15">
        <v>3.1105895069052101E-4</v>
      </c>
      <c r="AF12" s="15">
        <v>2.7820021007056602E-4</v>
      </c>
      <c r="AK12" s="17">
        <v>2.0000000000000001E-4</v>
      </c>
      <c r="AL12" s="18" t="s">
        <v>37</v>
      </c>
      <c r="AM12" s="19" t="s">
        <v>38</v>
      </c>
      <c r="AV12" s="17">
        <v>2.0000000000000001E-4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19.690000000000001</v>
      </c>
      <c r="C13" s="33">
        <v>24.3</v>
      </c>
      <c r="D13" s="15">
        <v>-3.5487996686875399E-3</v>
      </c>
      <c r="E13" s="15">
        <v>0</v>
      </c>
      <c r="F13" s="33">
        <v>6.9519999999999998E-2</v>
      </c>
      <c r="G13" s="33">
        <v>6.9519999999999998E-2</v>
      </c>
      <c r="H13" s="33">
        <v>0</v>
      </c>
      <c r="I13" s="33">
        <v>0</v>
      </c>
      <c r="J13" s="33">
        <v>6.9519999999999998E-2</v>
      </c>
      <c r="K13" s="33">
        <v>0</v>
      </c>
      <c r="L13" s="33">
        <v>19.759519999999998</v>
      </c>
      <c r="M13" s="33">
        <v>24.3</v>
      </c>
      <c r="N13" s="34">
        <v>1.2341289994921201</v>
      </c>
      <c r="O13" s="34">
        <v>1.23151696447737</v>
      </c>
      <c r="P13" s="34">
        <v>1.2304625432883201</v>
      </c>
      <c r="R13" s="33">
        <v>24.248569030559601</v>
      </c>
      <c r="S13" s="33">
        <v>24.220425198866199</v>
      </c>
      <c r="U13" s="15">
        <v>-2.1187437532013201E-3</v>
      </c>
      <c r="V13" s="15">
        <v>-3.28005668340981E-3</v>
      </c>
      <c r="X13" s="34">
        <v>1.22978695838765</v>
      </c>
      <c r="Y13" s="34">
        <v>1.23013967146909</v>
      </c>
      <c r="Z13" s="34">
        <v>1.2300283391778799</v>
      </c>
      <c r="AB13" s="33">
        <v>24.306969441187</v>
      </c>
      <c r="AC13" s="33">
        <v>24.305940890071099</v>
      </c>
      <c r="AE13" s="15">
        <v>2.8676715767167498E-4</v>
      </c>
      <c r="AF13" s="15">
        <v>2.4445119225889199E-4</v>
      </c>
    </row>
    <row r="14" spans="1:130" x14ac:dyDescent="0.25">
      <c r="A14" s="1">
        <v>46043</v>
      </c>
      <c r="B14" s="33">
        <v>19.690000000000001</v>
      </c>
      <c r="C14" s="33">
        <v>24.3</v>
      </c>
      <c r="D14" s="15">
        <v>0</v>
      </c>
      <c r="E14" s="15">
        <v>0</v>
      </c>
      <c r="F14" s="33">
        <v>0</v>
      </c>
      <c r="G14" s="33">
        <v>6.9519999999999998E-2</v>
      </c>
      <c r="H14" s="33">
        <v>0</v>
      </c>
      <c r="I14" s="33">
        <v>0</v>
      </c>
      <c r="J14" s="33">
        <v>6.9519999999999998E-2</v>
      </c>
      <c r="K14" s="33">
        <v>0</v>
      </c>
      <c r="L14" s="33">
        <v>19.759519999999998</v>
      </c>
      <c r="M14" s="33">
        <v>24.3</v>
      </c>
      <c r="N14" s="34">
        <v>1.2341289994921201</v>
      </c>
      <c r="O14" s="34">
        <v>1.23151696447737</v>
      </c>
      <c r="P14" s="34">
        <v>1.23083746855399</v>
      </c>
      <c r="R14" s="33">
        <v>24.248569030559601</v>
      </c>
      <c r="S14" s="33">
        <v>24.227807477347199</v>
      </c>
      <c r="U14" s="15">
        <v>-2.1187437532013201E-3</v>
      </c>
      <c r="V14" s="15">
        <v>-2.9753075468423101E-3</v>
      </c>
      <c r="X14" s="34">
        <v>1.22978695838765</v>
      </c>
      <c r="Y14" s="34">
        <v>1.23013967146909</v>
      </c>
      <c r="Z14" s="34">
        <v>1.2299690603330999</v>
      </c>
      <c r="AB14" s="33">
        <v>24.306969441187</v>
      </c>
      <c r="AC14" s="33">
        <v>24.3047695685521</v>
      </c>
      <c r="AE14" s="15">
        <v>2.8676715767167498E-4</v>
      </c>
      <c r="AF14" s="15">
        <v>1.96259281128138E-4</v>
      </c>
      <c r="AQ14" s="20">
        <f>AVERAGE(AQ22:AQ176)</f>
        <v>9.2587162562547025E-6</v>
      </c>
      <c r="AR14" s="21" t="s">
        <v>41</v>
      </c>
      <c r="BB14" s="20">
        <f>AVERAGE(BB22:BB176)</f>
        <v>1.717426610296423E-5</v>
      </c>
      <c r="BC14" s="21" t="s">
        <v>41</v>
      </c>
      <c r="BD14" s="22"/>
      <c r="BE14" s="20">
        <f>AVERAGE(BE22:BE176)</f>
        <v>2.6432982359218931E-5</v>
      </c>
      <c r="BF14" s="21" t="s">
        <v>41</v>
      </c>
    </row>
    <row r="15" spans="1:130" x14ac:dyDescent="0.25">
      <c r="A15" s="1">
        <v>46044</v>
      </c>
      <c r="B15" s="33">
        <v>19.7</v>
      </c>
      <c r="C15" s="33">
        <v>24.31</v>
      </c>
      <c r="D15" s="15">
        <v>5.0774309290865501E-4</v>
      </c>
      <c r="E15" s="15">
        <v>4.1143798152902799E-4</v>
      </c>
      <c r="F15" s="33">
        <v>0</v>
      </c>
      <c r="G15" s="33">
        <v>6.9519999999999998E-2</v>
      </c>
      <c r="H15" s="33">
        <v>0</v>
      </c>
      <c r="I15" s="33">
        <v>0</v>
      </c>
      <c r="J15" s="33">
        <v>6.9519999999999998E-2</v>
      </c>
      <c r="K15" s="33">
        <v>0</v>
      </c>
      <c r="L15" s="33">
        <v>19.76952</v>
      </c>
      <c r="M15" s="33">
        <v>24.31</v>
      </c>
      <c r="N15" s="34">
        <v>1.2340101522842599</v>
      </c>
      <c r="O15" s="34">
        <v>1.23151696447737</v>
      </c>
      <c r="P15" s="34">
        <v>1.2312511420102701</v>
      </c>
      <c r="R15" s="33">
        <v>24.260884200204298</v>
      </c>
      <c r="S15" s="33">
        <v>24.247498130513701</v>
      </c>
      <c r="U15" s="15">
        <v>-2.0224386418219598E-3</v>
      </c>
      <c r="V15" s="15">
        <v>-2.5743461426384799E-3</v>
      </c>
      <c r="X15" s="34">
        <v>1.2296707254399699</v>
      </c>
      <c r="Y15" s="34">
        <v>1.23013967146909</v>
      </c>
      <c r="Z15" s="34">
        <v>1.22994879110494</v>
      </c>
      <c r="AB15" s="33">
        <v>24.319270837901701</v>
      </c>
      <c r="AC15" s="33">
        <v>24.3158979376364</v>
      </c>
      <c r="AE15" s="15">
        <v>3.8128632629440599E-4</v>
      </c>
      <c r="AF15" s="15">
        <v>2.42584216048105E-4</v>
      </c>
      <c r="AQ15" s="20">
        <f>STDEV(AQ22:AQ176)</f>
        <v>1.1527008779663717E-4</v>
      </c>
      <c r="AR15" s="21" t="s">
        <v>42</v>
      </c>
      <c r="BB15" s="20">
        <f>STDEV(BB22:BB176)</f>
        <v>1.2640469530975887E-4</v>
      </c>
      <c r="BC15" s="21" t="s">
        <v>42</v>
      </c>
      <c r="BD15" s="22"/>
      <c r="BE15" s="20">
        <f>STDEV(BE22:BE176)</f>
        <v>1.7013304128543771E-4</v>
      </c>
      <c r="BF15" s="21" t="s">
        <v>42</v>
      </c>
    </row>
    <row r="16" spans="1:130" x14ac:dyDescent="0.25">
      <c r="A16" s="1">
        <v>46045</v>
      </c>
      <c r="B16" s="33">
        <v>19.7</v>
      </c>
      <c r="C16" s="33">
        <v>24.31</v>
      </c>
      <c r="D16" s="15">
        <v>0</v>
      </c>
      <c r="E16" s="15">
        <v>0</v>
      </c>
      <c r="F16" s="33">
        <v>0</v>
      </c>
      <c r="G16" s="33">
        <v>6.9519999999999998E-2</v>
      </c>
      <c r="H16" s="33">
        <v>0</v>
      </c>
      <c r="I16" s="33">
        <v>0</v>
      </c>
      <c r="J16" s="33">
        <v>6.9519999999999998E-2</v>
      </c>
      <c r="K16" s="33">
        <v>0</v>
      </c>
      <c r="L16" s="33">
        <v>19.76952</v>
      </c>
      <c r="M16" s="33">
        <v>24.31</v>
      </c>
      <c r="N16" s="34">
        <v>1.2340101522842599</v>
      </c>
      <c r="O16" s="34">
        <v>1.23151696447737</v>
      </c>
      <c r="P16" s="34">
        <v>1.2316531704099201</v>
      </c>
      <c r="R16" s="33">
        <v>24.260884200204298</v>
      </c>
      <c r="S16" s="33">
        <v>24.2556474976023</v>
      </c>
      <c r="U16" s="15">
        <v>-2.0224386418219598E-3</v>
      </c>
      <c r="V16" s="15">
        <v>-2.2383115593240101E-3</v>
      </c>
      <c r="X16" s="34">
        <v>1.2296707254399699</v>
      </c>
      <c r="Y16" s="34">
        <v>1.23013967146909</v>
      </c>
      <c r="Z16" s="34">
        <v>1.22991687682017</v>
      </c>
      <c r="AB16" s="33">
        <v>24.319270837901701</v>
      </c>
      <c r="AC16" s="33">
        <v>24.3154972247251</v>
      </c>
      <c r="AE16" s="15">
        <v>3.8128632629440599E-4</v>
      </c>
      <c r="AF16" s="15">
        <v>2.2610461845221799E-4</v>
      </c>
      <c r="AQ16" s="23">
        <f>SQRT(252)*AQ14/AQ15</f>
        <v>1.2750711555097241</v>
      </c>
      <c r="AR16" s="21" t="s">
        <v>43</v>
      </c>
      <c r="BB16" s="23">
        <f>SQRT(252)*BB14/BB15</f>
        <v>2.1568267039673046</v>
      </c>
      <c r="BC16" s="21" t="s">
        <v>43</v>
      </c>
      <c r="BD16" s="22"/>
      <c r="BE16" s="23">
        <f>SQRT(252)*BE14/BE15</f>
        <v>2.4663673982616339</v>
      </c>
      <c r="BF16" s="21" t="s">
        <v>43</v>
      </c>
    </row>
    <row r="17" spans="1:124" x14ac:dyDescent="0.25">
      <c r="A17" s="1">
        <v>46048</v>
      </c>
      <c r="B17" s="33">
        <v>19.71</v>
      </c>
      <c r="C17" s="33">
        <v>24.32</v>
      </c>
      <c r="D17" s="15">
        <v>5.0748542068615801E-4</v>
      </c>
      <c r="E17" s="15">
        <v>4.1126876993428398E-4</v>
      </c>
      <c r="F17" s="33">
        <v>0</v>
      </c>
      <c r="G17" s="33">
        <v>6.9519999999999998E-2</v>
      </c>
      <c r="H17" s="33">
        <v>0</v>
      </c>
      <c r="I17" s="33">
        <v>0</v>
      </c>
      <c r="J17" s="33">
        <v>6.9519999999999998E-2</v>
      </c>
      <c r="K17" s="33">
        <v>0</v>
      </c>
      <c r="L17" s="33">
        <v>19.779520000000002</v>
      </c>
      <c r="M17" s="33">
        <v>24.32</v>
      </c>
      <c r="N17" s="34">
        <v>1.23389142567224</v>
      </c>
      <c r="O17" s="34">
        <v>1.23151696447737</v>
      </c>
      <c r="P17" s="34">
        <v>1.23199266758707</v>
      </c>
      <c r="R17" s="33">
        <v>24.273199369849099</v>
      </c>
      <c r="S17" s="33">
        <v>24.275883988779601</v>
      </c>
      <c r="U17" s="15">
        <v>-1.9262219910701199E-3</v>
      </c>
      <c r="V17" s="15">
        <v>-1.81562797991757E-3</v>
      </c>
      <c r="X17" s="34">
        <v>1.2295546100208701</v>
      </c>
      <c r="Y17" s="34">
        <v>1.23013967146909</v>
      </c>
      <c r="Z17" s="34">
        <v>1.22982269243218</v>
      </c>
      <c r="AB17" s="33">
        <v>24.331572234616399</v>
      </c>
      <c r="AC17" s="33">
        <v>24.3271654634021</v>
      </c>
      <c r="AE17" s="15">
        <v>4.7571884332512601E-4</v>
      </c>
      <c r="AF17" s="15">
        <v>2.9458914556189798E-4</v>
      </c>
    </row>
    <row r="18" spans="1:124" x14ac:dyDescent="0.25">
      <c r="A18" s="1">
        <v>46049</v>
      </c>
      <c r="B18" s="33">
        <v>19.71</v>
      </c>
      <c r="C18" s="33">
        <v>24.33</v>
      </c>
      <c r="D18" s="15">
        <v>0</v>
      </c>
      <c r="E18" s="15">
        <v>4.1109969746499798E-4</v>
      </c>
      <c r="F18" s="33">
        <v>0</v>
      </c>
      <c r="G18" s="33">
        <v>6.9519999999999998E-2</v>
      </c>
      <c r="H18" s="33">
        <v>0</v>
      </c>
      <c r="I18" s="33">
        <v>0</v>
      </c>
      <c r="J18" s="33">
        <v>6.9519999999999998E-2</v>
      </c>
      <c r="K18" s="33">
        <v>0</v>
      </c>
      <c r="L18" s="33">
        <v>19.779520000000002</v>
      </c>
      <c r="M18" s="33">
        <v>24.33</v>
      </c>
      <c r="N18" s="34">
        <v>1.2343987823439799</v>
      </c>
      <c r="O18" s="34">
        <v>1.23151696447737</v>
      </c>
      <c r="P18" s="34">
        <v>1.2324335589927</v>
      </c>
      <c r="R18" s="33">
        <v>24.273199369849099</v>
      </c>
      <c r="S18" s="33">
        <v>24.2825754781413</v>
      </c>
      <c r="U18" s="15">
        <v>-2.33732168853503E-3</v>
      </c>
      <c r="V18" s="15">
        <v>-1.95112217104988E-3</v>
      </c>
      <c r="X18" s="34">
        <v>1.23006018346249</v>
      </c>
      <c r="Y18" s="34">
        <v>1.23013967146909</v>
      </c>
      <c r="Z18" s="34">
        <v>1.2298297239496601</v>
      </c>
      <c r="AB18" s="33">
        <v>24.331572234616399</v>
      </c>
      <c r="AC18" s="33">
        <v>24.325302541416299</v>
      </c>
      <c r="AE18" s="15">
        <v>6.4619145860106598E-5</v>
      </c>
      <c r="AF18" s="15">
        <v>-1.93091332411118E-4</v>
      </c>
      <c r="BE18" s="24">
        <f>SUM(BE22:BE176)</f>
        <v>4.0971122656789346E-3</v>
      </c>
      <c r="BF18" s="20">
        <f>BF176</f>
        <v>4.0971122656789346E-3</v>
      </c>
    </row>
    <row r="19" spans="1:124" x14ac:dyDescent="0.25">
      <c r="A19" s="1">
        <v>46050</v>
      </c>
      <c r="B19" s="33">
        <v>19.72</v>
      </c>
      <c r="C19" s="33">
        <v>24.33</v>
      </c>
      <c r="D19" s="15">
        <v>5.0722800986046702E-4</v>
      </c>
      <c r="E19" s="15">
        <v>0</v>
      </c>
      <c r="F19" s="33">
        <v>0</v>
      </c>
      <c r="G19" s="33">
        <v>6.9519999999999998E-2</v>
      </c>
      <c r="H19" s="33">
        <v>0</v>
      </c>
      <c r="I19" s="33">
        <v>0</v>
      </c>
      <c r="J19" s="33">
        <v>6.9519999999999998E-2</v>
      </c>
      <c r="K19" s="33">
        <v>0</v>
      </c>
      <c r="L19" s="33">
        <v>19.78952</v>
      </c>
      <c r="M19" s="33">
        <v>24.33</v>
      </c>
      <c r="N19" s="34">
        <v>1.2337728194726101</v>
      </c>
      <c r="O19" s="34">
        <v>1.23151696447737</v>
      </c>
      <c r="P19" s="34">
        <v>1.23282349916781</v>
      </c>
      <c r="R19" s="33">
        <v>24.285514539493899</v>
      </c>
      <c r="S19" s="33">
        <v>24.303589783336101</v>
      </c>
      <c r="U19" s="15">
        <v>-1.8300936786745999E-3</v>
      </c>
      <c r="V19" s="15">
        <v>-1.0860896502867901E-3</v>
      </c>
      <c r="X19" s="34">
        <v>1.2294386119521801</v>
      </c>
      <c r="Y19" s="34">
        <v>1.23013967146909</v>
      </c>
      <c r="Z19" s="34">
        <v>1.22978624337272</v>
      </c>
      <c r="AB19" s="33">
        <v>24.3438736313311</v>
      </c>
      <c r="AC19" s="33">
        <v>24.3377399186963</v>
      </c>
      <c r="AE19" s="15">
        <v>5.7006482828722896E-4</v>
      </c>
      <c r="AF19" s="15">
        <v>3.18071838738088E-4</v>
      </c>
      <c r="AI19" s="12"/>
      <c r="AJ19"/>
      <c r="AK19"/>
      <c r="AL19"/>
      <c r="AM19"/>
      <c r="AN19"/>
      <c r="AO19"/>
      <c r="AP19"/>
      <c r="AQ19" s="24">
        <f>SUM(AQ22:AQ176)</f>
        <v>1.4351010197194789E-3</v>
      </c>
      <c r="AR19" s="24">
        <f>AR176</f>
        <v>1.4351010197194789E-3</v>
      </c>
      <c r="AU19"/>
      <c r="AV19"/>
      <c r="AW19"/>
      <c r="AX19"/>
      <c r="AY19"/>
      <c r="AZ19"/>
      <c r="BA19"/>
      <c r="BB19" s="24">
        <f>SUM(BB22:BB176)</f>
        <v>2.6620112459594556E-3</v>
      </c>
      <c r="BC19" s="24">
        <f>BC176</f>
        <v>2.6620112459594556E-3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19.72</v>
      </c>
      <c r="C20" s="33">
        <v>24.34</v>
      </c>
      <c r="D20" s="15">
        <v>0</v>
      </c>
      <c r="E20" s="15">
        <v>4.1093076394989298E-4</v>
      </c>
      <c r="F20" s="33">
        <v>0</v>
      </c>
      <c r="G20" s="33">
        <v>6.9519999999999998E-2</v>
      </c>
      <c r="H20" s="33">
        <v>0</v>
      </c>
      <c r="I20" s="33">
        <v>0</v>
      </c>
      <c r="J20" s="33">
        <v>6.9519999999999998E-2</v>
      </c>
      <c r="K20" s="33">
        <v>0</v>
      </c>
      <c r="L20" s="33">
        <v>19.78952</v>
      </c>
      <c r="M20" s="33">
        <v>24.34</v>
      </c>
      <c r="N20" s="34">
        <v>1.2342799188640901</v>
      </c>
      <c r="O20" s="34">
        <v>1.23151696447737</v>
      </c>
      <c r="P20" s="34">
        <v>1.2332251752647401</v>
      </c>
      <c r="R20" s="33">
        <v>24.285514539493899</v>
      </c>
      <c r="S20" s="33">
        <v>24.3112794035892</v>
      </c>
      <c r="U20" s="15">
        <v>-2.2410244426245402E-3</v>
      </c>
      <c r="V20" s="15">
        <v>-1.18067192062146E-3</v>
      </c>
      <c r="X20" s="34">
        <v>1.22994392991846</v>
      </c>
      <c r="Y20" s="34">
        <v>1.23013967146909</v>
      </c>
      <c r="Z20" s="34">
        <v>1.2297543205751</v>
      </c>
      <c r="AB20" s="33">
        <v>24.3438736313311</v>
      </c>
      <c r="AC20" s="33">
        <v>24.336879458949401</v>
      </c>
      <c r="AE20" s="15">
        <v>1.59134064337372E-4</v>
      </c>
      <c r="AF20" s="15">
        <v>-1.28214507152994E-4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BSCR log rtn</v>
      </c>
      <c r="AP20" s="7" t="str">
        <f>E1</f>
        <v>IBDS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BSCR log rtn</v>
      </c>
      <c r="BA20" s="24" t="str">
        <f>E1</f>
        <v>IBDS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19.739999999999998</v>
      </c>
      <c r="C21" s="33">
        <v>24.36</v>
      </c>
      <c r="D21" s="15">
        <v>1.0136848308461999E-3</v>
      </c>
      <c r="E21" s="15">
        <v>8.2135528231517803E-4</v>
      </c>
      <c r="F21" s="33">
        <v>0</v>
      </c>
      <c r="G21" s="33">
        <v>6.9519999999999998E-2</v>
      </c>
      <c r="H21" s="33">
        <v>0</v>
      </c>
      <c r="I21" s="33">
        <v>0</v>
      </c>
      <c r="J21" s="33">
        <v>6.9519999999999998E-2</v>
      </c>
      <c r="K21" s="33">
        <v>0</v>
      </c>
      <c r="L21" s="33">
        <v>19.809519999999999</v>
      </c>
      <c r="M21" s="33">
        <v>24.36</v>
      </c>
      <c r="N21" s="34">
        <v>1.23404255319148</v>
      </c>
      <c r="O21" s="34">
        <v>1.23151696447737</v>
      </c>
      <c r="P21" s="34">
        <v>1.2336420888117401</v>
      </c>
      <c r="Q21" s="34">
        <v>1.2318706700522599</v>
      </c>
      <c r="R21" s="33">
        <v>24.310144878783401</v>
      </c>
      <c r="S21" s="33">
        <v>24.343864959726101</v>
      </c>
      <c r="U21" s="15">
        <v>-2.0486948940935199E-3</v>
      </c>
      <c r="V21" s="15">
        <v>-6.6257743107148604E-4</v>
      </c>
      <c r="X21" s="34">
        <v>1.2297117749445701</v>
      </c>
      <c r="Y21" s="34">
        <v>1.23013967146909</v>
      </c>
      <c r="Z21" s="34">
        <v>1.2297381562973999</v>
      </c>
      <c r="AA21" s="34">
        <v>1.2299187037950901</v>
      </c>
      <c r="AB21" s="33">
        <v>24.368476424760502</v>
      </c>
      <c r="AC21" s="33">
        <v>24.3608428085188</v>
      </c>
      <c r="AE21" s="15">
        <v>3.4790436590458398E-4</v>
      </c>
      <c r="AF21" s="15">
        <v>3.4597452358613601E-5</v>
      </c>
      <c r="AI21" s="26">
        <v>-1E-3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19.739999999999998</v>
      </c>
      <c r="C22" s="33">
        <v>24.27</v>
      </c>
      <c r="D22" s="15">
        <v>0</v>
      </c>
      <c r="E22" s="15">
        <v>-3.7014231031862201E-3</v>
      </c>
      <c r="F22" s="33">
        <v>0</v>
      </c>
      <c r="G22" s="33">
        <v>6.9519999999999998E-2</v>
      </c>
      <c r="H22" s="33">
        <v>8.5075999999999999E-2</v>
      </c>
      <c r="I22" s="33">
        <v>8.5075999999999999E-2</v>
      </c>
      <c r="J22" s="33">
        <v>6.9519999999999998E-2</v>
      </c>
      <c r="K22" s="33">
        <v>8.5075999999999999E-2</v>
      </c>
      <c r="L22" s="33">
        <v>19.809519999999999</v>
      </c>
      <c r="M22" s="33">
        <v>24.355076</v>
      </c>
      <c r="N22" s="34">
        <v>1.2294832826747699</v>
      </c>
      <c r="O22" s="34">
        <v>1.23151696447737</v>
      </c>
      <c r="P22" s="34">
        <v>1.23361470857719</v>
      </c>
      <c r="Q22" s="34">
        <v>1.2318511632999301</v>
      </c>
      <c r="R22" s="33">
        <v>24.310144878783401</v>
      </c>
      <c r="S22" s="33">
        <v>24.352094833143799</v>
      </c>
      <c r="T22" s="33">
        <v>24.317127026831699</v>
      </c>
      <c r="U22" s="15">
        <v>1.6527282090928099E-3</v>
      </c>
      <c r="V22" s="15">
        <v>3.3768561982891999E-3</v>
      </c>
      <c r="W22" s="15">
        <v>1.9398982609033499E-3</v>
      </c>
      <c r="X22" s="34">
        <v>1.2294632075890699</v>
      </c>
      <c r="Y22" s="34">
        <v>1.23013967146909</v>
      </c>
      <c r="Z22" s="34">
        <v>1.22970876855429</v>
      </c>
      <c r="AA22" s="34">
        <v>1.2298981932884701</v>
      </c>
      <c r="AB22" s="33">
        <v>24.368476424760502</v>
      </c>
      <c r="AC22" s="33">
        <v>24.360522601936601</v>
      </c>
      <c r="AD22" s="33">
        <v>24.364099161203001</v>
      </c>
      <c r="AE22" s="15">
        <v>5.5005944482800395E-4</v>
      </c>
      <c r="AF22" s="15">
        <v>2.2360813027484999E-4</v>
      </c>
      <c r="AG22" s="15">
        <v>3.7041519181628001E-4</v>
      </c>
      <c r="AI22" s="26">
        <v>-2.0000000000000001E-4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2.0000000000000001E-4</v>
      </c>
      <c r="AU22">
        <f t="shared" ref="AU22:AU85" si="10">IF($AG22&gt;AT$21,1,0)</f>
        <v>0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19.73</v>
      </c>
      <c r="C23" s="33">
        <v>24.26</v>
      </c>
      <c r="D23" s="15">
        <v>-5.0671397081141205E-4</v>
      </c>
      <c r="E23" s="15">
        <v>-4.1211622260588199E-4</v>
      </c>
      <c r="F23" s="33">
        <v>0</v>
      </c>
      <c r="G23" s="33">
        <v>6.9519999999999998E-2</v>
      </c>
      <c r="H23" s="33">
        <v>0</v>
      </c>
      <c r="I23" s="33">
        <v>8.5075999999999999E-2</v>
      </c>
      <c r="J23" s="33">
        <v>6.9519999999999998E-2</v>
      </c>
      <c r="K23" s="33">
        <v>8.5075999999999999E-2</v>
      </c>
      <c r="L23" s="33">
        <v>19.799520000000001</v>
      </c>
      <c r="M23" s="33">
        <v>24.345075999999999</v>
      </c>
      <c r="N23" s="34">
        <v>1.2295995945261</v>
      </c>
      <c r="O23" s="34">
        <v>1.23151696447737</v>
      </c>
      <c r="P23" s="34">
        <v>1.23316176808059</v>
      </c>
      <c r="Q23" s="34">
        <v>1.2318121556844599</v>
      </c>
      <c r="R23" s="33">
        <v>24.2978297091387</v>
      </c>
      <c r="S23" s="33">
        <v>24.3392182002281</v>
      </c>
      <c r="T23" s="33">
        <v>24.304423451907599</v>
      </c>
      <c r="U23" s="15">
        <v>1.5581304608870499E-3</v>
      </c>
      <c r="V23" s="15">
        <v>3.2600635698608799E-3</v>
      </c>
      <c r="W23" s="15">
        <v>1.8294653221549799E-3</v>
      </c>
      <c r="X23" s="34">
        <v>1.2295791009074899</v>
      </c>
      <c r="Y23" s="34">
        <v>1.23013967146909</v>
      </c>
      <c r="Z23" s="34">
        <v>1.2296879828062699</v>
      </c>
      <c r="AA23" s="34">
        <v>1.22985816099207</v>
      </c>
      <c r="AB23" s="33">
        <v>24.356175028045801</v>
      </c>
      <c r="AC23" s="33">
        <v>24.347643357166</v>
      </c>
      <c r="AD23" s="33">
        <v>24.351393875978999</v>
      </c>
      <c r="AE23" s="15">
        <v>4.5580053915254397E-4</v>
      </c>
      <c r="AF23" s="15">
        <v>1.0545137763163599E-4</v>
      </c>
      <c r="AG23" s="15">
        <v>2.5947983624194203E-4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0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19.75</v>
      </c>
      <c r="C24" s="33">
        <v>24.26</v>
      </c>
      <c r="D24" s="15">
        <v>1.0131713126068E-3</v>
      </c>
      <c r="E24" s="15">
        <v>0</v>
      </c>
      <c r="F24" s="33">
        <v>0</v>
      </c>
      <c r="G24" s="33">
        <v>6.9519999999999998E-2</v>
      </c>
      <c r="H24" s="33">
        <v>0</v>
      </c>
      <c r="I24" s="33">
        <v>8.5075999999999999E-2</v>
      </c>
      <c r="J24" s="33">
        <v>6.9519999999999998E-2</v>
      </c>
      <c r="K24" s="33">
        <v>8.5075999999999999E-2</v>
      </c>
      <c r="L24" s="33">
        <v>19.819520000000001</v>
      </c>
      <c r="M24" s="33">
        <v>24.345075999999999</v>
      </c>
      <c r="N24" s="34">
        <v>1.22835443037974</v>
      </c>
      <c r="O24" s="34">
        <v>1.23151696447737</v>
      </c>
      <c r="P24" s="34">
        <v>1.23258431116935</v>
      </c>
      <c r="Q24" s="34">
        <v>1.23171088986167</v>
      </c>
      <c r="R24" s="33">
        <v>24.322460048428201</v>
      </c>
      <c r="S24" s="33">
        <v>24.354944919591698</v>
      </c>
      <c r="T24" s="33">
        <v>24.328290074768098</v>
      </c>
      <c r="U24" s="15">
        <v>2.5713017734940698E-3</v>
      </c>
      <c r="V24" s="15">
        <v>3.9060021753468299E-3</v>
      </c>
      <c r="W24" s="15">
        <v>2.8109702823265002E-3</v>
      </c>
      <c r="X24" s="34">
        <v>1.2283383250452</v>
      </c>
      <c r="Y24" s="34">
        <v>1.23013967146909</v>
      </c>
      <c r="Z24" s="34">
        <v>1.2295431194720301</v>
      </c>
      <c r="AA24" s="34">
        <v>1.2297560899025599</v>
      </c>
      <c r="AB24" s="33">
        <v>24.380777821475199</v>
      </c>
      <c r="AC24" s="33">
        <v>24.371825568988601</v>
      </c>
      <c r="AD24" s="33">
        <v>24.3751984189457</v>
      </c>
      <c r="AE24" s="15">
        <v>1.4654162036852299E-3</v>
      </c>
      <c r="AF24" s="15">
        <v>1.0981639150016E-3</v>
      </c>
      <c r="AG24" s="15">
        <v>1.2365456945050801E-3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1</v>
      </c>
      <c r="AV24">
        <f t="shared" si="11"/>
        <v>0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19.760000000000002</v>
      </c>
      <c r="C25" s="33">
        <v>24.29</v>
      </c>
      <c r="D25" s="15">
        <v>5.0620097259106102E-4</v>
      </c>
      <c r="E25" s="15">
        <v>1.23583949817691E-3</v>
      </c>
      <c r="F25" s="33">
        <v>0</v>
      </c>
      <c r="G25" s="33">
        <v>6.9519999999999998E-2</v>
      </c>
      <c r="H25" s="33">
        <v>0</v>
      </c>
      <c r="I25" s="33">
        <v>8.5075999999999999E-2</v>
      </c>
      <c r="J25" s="33">
        <v>6.9519999999999998E-2</v>
      </c>
      <c r="K25" s="33">
        <v>8.5075999999999999E-2</v>
      </c>
      <c r="L25" s="33">
        <v>19.829519999999999</v>
      </c>
      <c r="M25" s="33">
        <v>24.375076</v>
      </c>
      <c r="N25" s="34">
        <v>1.2292510121457401</v>
      </c>
      <c r="O25" s="34">
        <v>1.23151696447737</v>
      </c>
      <c r="P25" s="34">
        <v>1.2321083971555</v>
      </c>
      <c r="Q25" s="34">
        <v>1.23167976958289</v>
      </c>
      <c r="R25" s="33">
        <v>24.334775218072998</v>
      </c>
      <c r="S25" s="33">
        <v>24.355865988706501</v>
      </c>
      <c r="T25" s="33">
        <v>24.338607183666699</v>
      </c>
      <c r="U25" s="15">
        <v>1.8416632479079399E-3</v>
      </c>
      <c r="V25" s="15">
        <v>2.7079805290050399E-3</v>
      </c>
      <c r="W25" s="15">
        <v>1.9991195582187999E-3</v>
      </c>
      <c r="X25" s="34">
        <v>1.2292317716212999</v>
      </c>
      <c r="Y25" s="34">
        <v>1.23013967146909</v>
      </c>
      <c r="Z25" s="34">
        <v>1.2294992240901601</v>
      </c>
      <c r="AA25" s="34">
        <v>1.22972400759755</v>
      </c>
      <c r="AB25" s="33">
        <v>24.3930792181899</v>
      </c>
      <c r="AC25" s="33">
        <v>24.381249878433</v>
      </c>
      <c r="AD25" s="33">
        <v>24.3854729798447</v>
      </c>
      <c r="AE25" s="15">
        <v>7.3831863957880698E-4</v>
      </c>
      <c r="AF25" s="15">
        <v>2.5325445897655502E-4</v>
      </c>
      <c r="AG25" s="15">
        <v>4.2645048998989603E-4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0</v>
      </c>
      <c r="AW25">
        <f t="shared" si="18"/>
        <v>1</v>
      </c>
      <c r="AX25">
        <f t="shared" si="5"/>
        <v>1</v>
      </c>
      <c r="AY25">
        <f t="shared" si="19"/>
        <v>1</v>
      </c>
      <c r="AZ25" s="28">
        <f t="shared" si="12"/>
        <v>-5.0620097259106102E-4</v>
      </c>
      <c r="BA25" s="28">
        <f t="shared" si="13"/>
        <v>1.23583949817691E-3</v>
      </c>
      <c r="BB25" s="28">
        <f t="shared" si="20"/>
        <v>7.2963852558584894E-4</v>
      </c>
      <c r="BC25" s="29">
        <f t="shared" si="21"/>
        <v>7.2963852558584894E-4</v>
      </c>
      <c r="BE25" s="29">
        <f t="shared" si="22"/>
        <v>7.2963852558584894E-4</v>
      </c>
      <c r="BF25" s="29">
        <f t="shared" si="23"/>
        <v>7.2963852558584894E-4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19.75</v>
      </c>
      <c r="C26" s="33">
        <v>24.31</v>
      </c>
      <c r="D26" s="15">
        <v>-5.0620097259095498E-4</v>
      </c>
      <c r="E26" s="15">
        <v>8.2304531395081305E-4</v>
      </c>
      <c r="F26" s="33">
        <v>0</v>
      </c>
      <c r="G26" s="33">
        <v>6.9519999999999998E-2</v>
      </c>
      <c r="H26" s="33">
        <v>0</v>
      </c>
      <c r="I26" s="33">
        <v>8.5075999999999999E-2</v>
      </c>
      <c r="J26" s="33">
        <v>6.9519999999999998E-2</v>
      </c>
      <c r="K26" s="33">
        <v>8.5075999999999999E-2</v>
      </c>
      <c r="L26" s="33">
        <v>19.819520000000001</v>
      </c>
      <c r="M26" s="33">
        <v>24.395076</v>
      </c>
      <c r="N26" s="34">
        <v>1.2308860759493601</v>
      </c>
      <c r="O26" s="34">
        <v>1.23151696447737</v>
      </c>
      <c r="P26" s="34">
        <v>1.2317959895220101</v>
      </c>
      <c r="Q26" s="34">
        <v>1.23172457996597</v>
      </c>
      <c r="R26" s="33">
        <v>24.322460048428201</v>
      </c>
      <c r="S26" s="33">
        <v>24.334140843821199</v>
      </c>
      <c r="T26" s="33">
        <v>24.325675449262</v>
      </c>
      <c r="U26" s="15">
        <v>5.1241696136630397E-4</v>
      </c>
      <c r="V26" s="15">
        <v>9.9254896414552904E-4</v>
      </c>
      <c r="W26" s="15">
        <v>6.4460705685976099E-4</v>
      </c>
      <c r="X26" s="34">
        <v>1.23086109048049</v>
      </c>
      <c r="Y26" s="34">
        <v>1.23013967146909</v>
      </c>
      <c r="Z26" s="34">
        <v>1.2296182605942101</v>
      </c>
      <c r="AA26" s="34">
        <v>1.2297675687071901</v>
      </c>
      <c r="AB26" s="33">
        <v>24.380777821475199</v>
      </c>
      <c r="AC26" s="33">
        <v>24.368084461839398</v>
      </c>
      <c r="AD26" s="33">
        <v>24.372539563059899</v>
      </c>
      <c r="AE26" s="15">
        <v>-5.8628103104725799E-4</v>
      </c>
      <c r="AF26" s="15">
        <v>-1.10704641214867E-3</v>
      </c>
      <c r="AG26" s="15">
        <v>-9.2423786909132696E-4</v>
      </c>
      <c r="AI26" s="12"/>
      <c r="AJ26">
        <f t="shared" si="6"/>
        <v>0</v>
      </c>
      <c r="AK26">
        <f t="shared" si="7"/>
        <v>0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1</v>
      </c>
      <c r="AX26">
        <f t="shared" si="5"/>
        <v>1</v>
      </c>
      <c r="AY26">
        <f t="shared" si="19"/>
        <v>1</v>
      </c>
      <c r="AZ26" s="28">
        <f t="shared" si="12"/>
        <v>5.0620097259095498E-4</v>
      </c>
      <c r="BA26" s="28">
        <f t="shared" si="13"/>
        <v>8.2304531395081305E-4</v>
      </c>
      <c r="BB26" s="28">
        <f t="shared" si="20"/>
        <v>1.329246286541768E-3</v>
      </c>
      <c r="BC26" s="29">
        <f t="shared" si="21"/>
        <v>2.0588848121276169E-3</v>
      </c>
      <c r="BE26" s="29">
        <f t="shared" si="22"/>
        <v>1.329246286541768E-3</v>
      </c>
      <c r="BF26" s="29">
        <f t="shared" si="23"/>
        <v>2.0588848121276169E-3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19.760000000000002</v>
      </c>
      <c r="C27" s="33">
        <v>24.3</v>
      </c>
      <c r="D27" s="15">
        <v>5.0620097259106102E-4</v>
      </c>
      <c r="E27" s="15">
        <v>-4.1143798152912698E-4</v>
      </c>
      <c r="F27" s="33">
        <v>0</v>
      </c>
      <c r="G27" s="33">
        <v>6.9519999999999998E-2</v>
      </c>
      <c r="H27" s="33">
        <v>0</v>
      </c>
      <c r="I27" s="33">
        <v>8.5075999999999999E-2</v>
      </c>
      <c r="J27" s="33">
        <v>6.9519999999999998E-2</v>
      </c>
      <c r="K27" s="33">
        <v>8.5075999999999999E-2</v>
      </c>
      <c r="L27" s="33">
        <v>19.829519999999999</v>
      </c>
      <c r="M27" s="33">
        <v>24.385076000000002</v>
      </c>
      <c r="N27" s="34">
        <v>1.2297570850202399</v>
      </c>
      <c r="O27" s="34">
        <v>1.23151696447737</v>
      </c>
      <c r="P27" s="34">
        <v>1.2313825554568101</v>
      </c>
      <c r="Q27" s="34">
        <v>1.23168761152194</v>
      </c>
      <c r="R27" s="33">
        <v>24.334775218072998</v>
      </c>
      <c r="S27" s="33">
        <v>24.340288752955001</v>
      </c>
      <c r="T27" s="33">
        <v>24.338877700127501</v>
      </c>
      <c r="U27" s="15">
        <v>1.4300559154862499E-3</v>
      </c>
      <c r="V27" s="15">
        <v>1.6566004520855401E-3</v>
      </c>
      <c r="W27" s="15">
        <v>1.59862686992764E-3</v>
      </c>
      <c r="X27" s="34">
        <v>1.2297360702629201</v>
      </c>
      <c r="Y27" s="34">
        <v>1.23013967146909</v>
      </c>
      <c r="Z27" s="34">
        <v>1.22963640661842</v>
      </c>
      <c r="AA27" s="34">
        <v>1.2297295495253</v>
      </c>
      <c r="AB27" s="33">
        <v>24.3930792181899</v>
      </c>
      <c r="AC27" s="33">
        <v>24.3827398908182</v>
      </c>
      <c r="AD27" s="33">
        <v>24.385700599030599</v>
      </c>
      <c r="AE27" s="15">
        <v>3.2814764010355001E-4</v>
      </c>
      <c r="AF27" s="15">
        <v>-9.5805364291871403E-5</v>
      </c>
      <c r="AG27" s="15">
        <v>2.5613659419136202E-5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2.0588848121276169E-3</v>
      </c>
      <c r="BE27" s="29">
        <f t="shared" si="22"/>
        <v>0</v>
      </c>
      <c r="BF27" s="29">
        <f t="shared" si="23"/>
        <v>2.0588848121276169E-3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19.77</v>
      </c>
      <c r="C28" s="33">
        <v>24.32</v>
      </c>
      <c r="D28" s="15">
        <v>5.0594486280374905E-4</v>
      </c>
      <c r="E28" s="15">
        <v>8.2270675146354697E-4</v>
      </c>
      <c r="F28" s="33">
        <v>0</v>
      </c>
      <c r="G28" s="33">
        <v>6.9519999999999998E-2</v>
      </c>
      <c r="H28" s="33">
        <v>0</v>
      </c>
      <c r="I28" s="33">
        <v>8.5075999999999999E-2</v>
      </c>
      <c r="J28" s="33">
        <v>6.9519999999999998E-2</v>
      </c>
      <c r="K28" s="33">
        <v>8.5075999999999999E-2</v>
      </c>
      <c r="L28" s="33">
        <v>19.83952</v>
      </c>
      <c r="M28" s="33">
        <v>24.405076000000001</v>
      </c>
      <c r="N28" s="34">
        <v>1.23014668689934</v>
      </c>
      <c r="O28" s="34">
        <v>1.23151696447737</v>
      </c>
      <c r="P28" s="34">
        <v>1.23095734591235</v>
      </c>
      <c r="Q28" s="34">
        <v>1.2316954524525201</v>
      </c>
      <c r="R28" s="33">
        <v>24.347090387717799</v>
      </c>
      <c r="S28" s="33">
        <v>24.344433121381201</v>
      </c>
      <c r="T28" s="33">
        <v>24.3504640797889</v>
      </c>
      <c r="U28" s="15">
        <v>1.11329402682664E-3</v>
      </c>
      <c r="V28" s="15">
        <v>1.0041470481468801E-3</v>
      </c>
      <c r="W28" s="15">
        <v>1.25185096724797E-3</v>
      </c>
      <c r="X28" s="34">
        <v>1.2301243175238099</v>
      </c>
      <c r="Y28" s="34">
        <v>1.23013967146909</v>
      </c>
      <c r="Z28" s="34">
        <v>1.2296428200245499</v>
      </c>
      <c r="AA28" s="34">
        <v>1.2297362719870999</v>
      </c>
      <c r="AB28" s="33">
        <v>24.405380614904601</v>
      </c>
      <c r="AC28" s="33">
        <v>24.395396081834299</v>
      </c>
      <c r="AD28" s="33">
        <v>24.397243992398199</v>
      </c>
      <c r="AE28" s="15">
        <v>1.24815429205712E-5</v>
      </c>
      <c r="AF28" s="15">
        <v>-3.9671412507740102E-4</v>
      </c>
      <c r="AG28" s="15">
        <v>-3.2096866174386699E-4</v>
      </c>
      <c r="AI28" s="12"/>
      <c r="AJ28">
        <f t="shared" si="6"/>
        <v>0</v>
      </c>
      <c r="AK28">
        <f t="shared" si="7"/>
        <v>0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2.0588848121276169E-3</v>
      </c>
      <c r="BE28" s="29">
        <f t="shared" si="22"/>
        <v>0</v>
      </c>
      <c r="BF28" s="29">
        <f t="shared" si="23"/>
        <v>2.0588848121276169E-3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19.75</v>
      </c>
      <c r="C29" s="33">
        <v>24.31</v>
      </c>
      <c r="D29" s="15">
        <v>-1.0121458353946199E-3</v>
      </c>
      <c r="E29" s="15">
        <v>-4.1126876993427699E-4</v>
      </c>
      <c r="F29" s="33">
        <v>0</v>
      </c>
      <c r="G29" s="33">
        <v>6.9519999999999998E-2</v>
      </c>
      <c r="H29" s="33">
        <v>0</v>
      </c>
      <c r="I29" s="33">
        <v>8.5075999999999999E-2</v>
      </c>
      <c r="J29" s="33">
        <v>6.9519999999999998E-2</v>
      </c>
      <c r="K29" s="33">
        <v>8.5075999999999999E-2</v>
      </c>
      <c r="L29" s="33">
        <v>19.819520000000001</v>
      </c>
      <c r="M29" s="33">
        <v>24.395076</v>
      </c>
      <c r="N29" s="34">
        <v>1.2308860759493601</v>
      </c>
      <c r="O29" s="34">
        <v>1.23151696447737</v>
      </c>
      <c r="P29" s="34">
        <v>1.2306686715600199</v>
      </c>
      <c r="Q29" s="34">
        <v>1.2317460853639199</v>
      </c>
      <c r="R29" s="33">
        <v>24.322460048428201</v>
      </c>
      <c r="S29" s="33">
        <v>24.311407581768901</v>
      </c>
      <c r="T29" s="33">
        <v>24.325985185937402</v>
      </c>
      <c r="U29" s="15">
        <v>5.1241696136630397E-4</v>
      </c>
      <c r="V29" s="15">
        <v>5.78996717441187E-5</v>
      </c>
      <c r="W29" s="15">
        <v>6.5733988740688002E-4</v>
      </c>
      <c r="X29" s="34">
        <v>1.23086109048049</v>
      </c>
      <c r="Y29" s="34">
        <v>1.23013967146909</v>
      </c>
      <c r="Z29" s="34">
        <v>1.2297850678773801</v>
      </c>
      <c r="AA29" s="34">
        <v>1.2297856556250499</v>
      </c>
      <c r="AB29" s="33">
        <v>24.380777821475199</v>
      </c>
      <c r="AC29" s="33">
        <v>24.370930464333</v>
      </c>
      <c r="AD29" s="33">
        <v>24.372782637373898</v>
      </c>
      <c r="AE29" s="15">
        <v>-5.8628103104725799E-4</v>
      </c>
      <c r="AF29" s="15">
        <v>-9.9026101953877499E-4</v>
      </c>
      <c r="AG29" s="15">
        <v>-9.1426463256168297E-4</v>
      </c>
      <c r="AI29" s="12"/>
      <c r="AJ29">
        <f t="shared" si="6"/>
        <v>0</v>
      </c>
      <c r="AK29">
        <f t="shared" si="7"/>
        <v>0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2.0588848121276169E-3</v>
      </c>
      <c r="BE29" s="29">
        <f t="shared" si="22"/>
        <v>0</v>
      </c>
      <c r="BF29" s="29">
        <f t="shared" si="23"/>
        <v>2.0588848121276169E-3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19.77</v>
      </c>
      <c r="C30" s="33">
        <v>24.31</v>
      </c>
      <c r="D30" s="15">
        <v>1.01214583539458E-3</v>
      </c>
      <c r="E30" s="15">
        <v>0</v>
      </c>
      <c r="F30" s="33">
        <v>0</v>
      </c>
      <c r="G30" s="33">
        <v>6.9519999999999998E-2</v>
      </c>
      <c r="H30" s="33">
        <v>0</v>
      </c>
      <c r="I30" s="33">
        <v>8.5075999999999999E-2</v>
      </c>
      <c r="J30" s="33">
        <v>6.9519999999999998E-2</v>
      </c>
      <c r="K30" s="33">
        <v>8.5075999999999999E-2</v>
      </c>
      <c r="L30" s="33">
        <v>19.83952</v>
      </c>
      <c r="M30" s="33">
        <v>24.395076</v>
      </c>
      <c r="N30" s="34">
        <v>1.2296408700050501</v>
      </c>
      <c r="O30" s="34">
        <v>1.23151696447737</v>
      </c>
      <c r="P30" s="34">
        <v>1.23020476667412</v>
      </c>
      <c r="Q30" s="34">
        <v>1.2317149709694299</v>
      </c>
      <c r="R30" s="33">
        <v>24.347090387717799</v>
      </c>
      <c r="S30" s="33">
        <v>24.330319636741699</v>
      </c>
      <c r="T30" s="33">
        <v>24.351620107644699</v>
      </c>
      <c r="U30" s="15">
        <v>1.5245627967609701E-3</v>
      </c>
      <c r="V30" s="15">
        <v>8.3550593727772402E-4</v>
      </c>
      <c r="W30" s="15">
        <v>1.71059318212004E-3</v>
      </c>
      <c r="X30" s="34">
        <v>1.2296202730711201</v>
      </c>
      <c r="Y30" s="34">
        <v>1.23013967146909</v>
      </c>
      <c r="Z30" s="34">
        <v>1.22975270219265</v>
      </c>
      <c r="AA30" s="34">
        <v>1.22975351138387</v>
      </c>
      <c r="AB30" s="33">
        <v>24.405380614904601</v>
      </c>
      <c r="AC30" s="33">
        <v>24.398345449854698</v>
      </c>
      <c r="AD30" s="33">
        <v>24.398357110486401</v>
      </c>
      <c r="AE30" s="15">
        <v>4.2231633769645598E-4</v>
      </c>
      <c r="AF30" s="15">
        <v>1.3401191236312099E-4</v>
      </c>
      <c r="AG30" s="15">
        <v>1.3448983939864299E-4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2.0588848121276169E-3</v>
      </c>
      <c r="BE30" s="29">
        <f t="shared" si="22"/>
        <v>0</v>
      </c>
      <c r="BF30" s="29">
        <f t="shared" si="23"/>
        <v>2.0588848121276169E-3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19.79</v>
      </c>
      <c r="C31" s="33">
        <v>24.33</v>
      </c>
      <c r="D31" s="15">
        <v>1.01112243194888E-3</v>
      </c>
      <c r="E31" s="15">
        <v>8.2236846739928895E-4</v>
      </c>
      <c r="F31" s="33">
        <v>0</v>
      </c>
      <c r="G31" s="33">
        <v>6.9519999999999998E-2</v>
      </c>
      <c r="H31" s="33">
        <v>0</v>
      </c>
      <c r="I31" s="33">
        <v>8.5075999999999999E-2</v>
      </c>
      <c r="J31" s="33">
        <v>6.9519999999999998E-2</v>
      </c>
      <c r="K31" s="33">
        <v>8.5075999999999999E-2</v>
      </c>
      <c r="L31" s="33">
        <v>19.85952</v>
      </c>
      <c r="M31" s="33">
        <v>24.415075999999999</v>
      </c>
      <c r="N31" s="34">
        <v>1.22940879231935</v>
      </c>
      <c r="O31" s="34">
        <v>1.23151696447737</v>
      </c>
      <c r="P31" s="34">
        <v>1.2297413905869099</v>
      </c>
      <c r="Q31" s="34">
        <v>1.2316917396993201</v>
      </c>
      <c r="R31" s="33">
        <v>24.3717207270073</v>
      </c>
      <c r="S31" s="33">
        <v>24.345752332480899</v>
      </c>
      <c r="T31" s="33">
        <v>24.375639275485099</v>
      </c>
      <c r="U31" s="15">
        <v>1.71331676131051E-3</v>
      </c>
      <c r="V31" s="15">
        <v>6.4723531844835896E-4</v>
      </c>
      <c r="W31" s="15">
        <v>1.8740864311363201E-3</v>
      </c>
      <c r="X31" s="34">
        <v>1.2293890285364399</v>
      </c>
      <c r="Y31" s="34">
        <v>1.23013967146909</v>
      </c>
      <c r="Z31" s="34">
        <v>1.2297204275518301</v>
      </c>
      <c r="AA31" s="34">
        <v>1.2297292919246201</v>
      </c>
      <c r="AB31" s="33">
        <v>24.4299834083339</v>
      </c>
      <c r="AC31" s="33">
        <v>24.422298384248901</v>
      </c>
      <c r="AD31" s="33">
        <v>24.4223144543983</v>
      </c>
      <c r="AE31" s="15">
        <v>6.1039576888282396E-4</v>
      </c>
      <c r="AF31" s="15">
        <v>2.9577283351914799E-4</v>
      </c>
      <c r="AG31" s="15">
        <v>2.96430844644372E-4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0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2.0588848121276169E-3</v>
      </c>
      <c r="BE31" s="29">
        <f t="shared" si="22"/>
        <v>0</v>
      </c>
      <c r="BF31" s="29">
        <f t="shared" si="23"/>
        <v>2.0588848121276169E-3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19.78</v>
      </c>
      <c r="C32" s="33">
        <v>24.33</v>
      </c>
      <c r="D32" s="15">
        <v>-5.0543341990821997E-4</v>
      </c>
      <c r="E32" s="15">
        <v>0</v>
      </c>
      <c r="F32" s="33">
        <v>0</v>
      </c>
      <c r="G32" s="33">
        <v>6.9519999999999998E-2</v>
      </c>
      <c r="H32" s="33">
        <v>0</v>
      </c>
      <c r="I32" s="33">
        <v>8.5075999999999999E-2</v>
      </c>
      <c r="J32" s="33">
        <v>6.9519999999999998E-2</v>
      </c>
      <c r="K32" s="33">
        <v>8.5075999999999999E-2</v>
      </c>
      <c r="L32" s="33">
        <v>19.849519999999998</v>
      </c>
      <c r="M32" s="33">
        <v>24.415075999999999</v>
      </c>
      <c r="N32" s="34">
        <v>1.23003033367037</v>
      </c>
      <c r="O32" s="34">
        <v>1.23151696447737</v>
      </c>
      <c r="P32" s="34">
        <v>1.22979609568647</v>
      </c>
      <c r="Q32" s="34">
        <v>1.2317054021318301</v>
      </c>
      <c r="R32" s="33">
        <v>24.3594055573625</v>
      </c>
      <c r="S32" s="33">
        <v>24.324284705808999</v>
      </c>
      <c r="T32" s="33">
        <v>24.362862611252702</v>
      </c>
      <c r="U32" s="15">
        <v>1.2078833414023E-3</v>
      </c>
      <c r="V32" s="15">
        <v>-2.34934877853416E-4</v>
      </c>
      <c r="W32" s="15">
        <v>1.34979191938464E-3</v>
      </c>
      <c r="X32" s="34">
        <v>1.2300083830742501</v>
      </c>
      <c r="Y32" s="34">
        <v>1.23013967146909</v>
      </c>
      <c r="Z32" s="34">
        <v>1.2297749451003499</v>
      </c>
      <c r="AA32" s="34">
        <v>1.22974185682732</v>
      </c>
      <c r="AB32" s="33">
        <v>24.417682011619199</v>
      </c>
      <c r="AC32" s="33">
        <v>24.409360221098702</v>
      </c>
      <c r="AD32" s="33">
        <v>24.409536174643598</v>
      </c>
      <c r="AE32" s="15">
        <v>1.0673210885002601E-4</v>
      </c>
      <c r="AF32" s="15">
        <v>-2.3413599294770001E-4</v>
      </c>
      <c r="AG32" s="15">
        <v>-2.2692757334507501E-4</v>
      </c>
      <c r="AI32" s="12"/>
      <c r="AJ32">
        <f t="shared" si="6"/>
        <v>0</v>
      </c>
      <c r="AK32">
        <f t="shared" si="7"/>
        <v>0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2.0588848121276169E-3</v>
      </c>
      <c r="BE32" s="29">
        <f t="shared" si="22"/>
        <v>0</v>
      </c>
      <c r="BF32" s="29">
        <f t="shared" si="23"/>
        <v>2.0588848121276169E-3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19.79</v>
      </c>
      <c r="C33" s="33">
        <v>24.32</v>
      </c>
      <c r="D33" s="15">
        <v>5.0543341990828502E-4</v>
      </c>
      <c r="E33" s="15">
        <v>-4.1109969746489899E-4</v>
      </c>
      <c r="F33" s="33">
        <v>0</v>
      </c>
      <c r="G33" s="33">
        <v>6.9519999999999998E-2</v>
      </c>
      <c r="H33" s="33">
        <v>0</v>
      </c>
      <c r="I33" s="33">
        <v>8.5075999999999999E-2</v>
      </c>
      <c r="J33" s="33">
        <v>6.9519999999999998E-2</v>
      </c>
      <c r="K33" s="33">
        <v>8.5075999999999999E-2</v>
      </c>
      <c r="L33" s="33">
        <v>19.85952</v>
      </c>
      <c r="M33" s="33">
        <v>24.405076000000001</v>
      </c>
      <c r="N33" s="34">
        <v>1.22890348660939</v>
      </c>
      <c r="O33" s="34">
        <v>1.23151696447737</v>
      </c>
      <c r="P33" s="34">
        <v>1.22972648489479</v>
      </c>
      <c r="Q33" s="34">
        <v>1.2314441264876901</v>
      </c>
      <c r="R33" s="33">
        <v>24.3717207270073</v>
      </c>
      <c r="S33" s="33">
        <v>24.337664733635201</v>
      </c>
      <c r="T33" s="33">
        <v>24.375449908189001</v>
      </c>
      <c r="U33" s="15">
        <v>2.12441645877529E-3</v>
      </c>
      <c r="V33" s="15">
        <v>7.2608229383837504E-4</v>
      </c>
      <c r="W33" s="15">
        <v>2.27741738745869E-3</v>
      </c>
      <c r="X33" s="34">
        <v>1.22888549169365</v>
      </c>
      <c r="Y33" s="34">
        <v>1.23013967146909</v>
      </c>
      <c r="Z33" s="34">
        <v>1.2297055841789699</v>
      </c>
      <c r="AA33" s="34">
        <v>1.22969678349262</v>
      </c>
      <c r="AB33" s="33">
        <v>24.4299834083339</v>
      </c>
      <c r="AC33" s="33">
        <v>24.4227401177193</v>
      </c>
      <c r="AD33" s="33">
        <v>24.422083000499299</v>
      </c>
      <c r="AE33" s="15">
        <v>1.0200626679065499E-3</v>
      </c>
      <c r="AF33" s="15">
        <v>7.2352687031401904E-4</v>
      </c>
      <c r="AG33" s="15">
        <v>6.9662055033467205E-4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0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2.0588848121276169E-3</v>
      </c>
      <c r="BE33" s="29">
        <f t="shared" si="22"/>
        <v>0</v>
      </c>
      <c r="BF33" s="29">
        <f t="shared" si="23"/>
        <v>2.0588848121276169E-3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19.77</v>
      </c>
      <c r="C34" s="33">
        <v>24.33</v>
      </c>
      <c r="D34" s="15">
        <v>-1.0111224319487599E-3</v>
      </c>
      <c r="E34" s="15">
        <v>4.1109969746499798E-4</v>
      </c>
      <c r="F34" s="33">
        <v>0</v>
      </c>
      <c r="G34" s="33">
        <v>6.9519999999999998E-2</v>
      </c>
      <c r="H34" s="33">
        <v>0</v>
      </c>
      <c r="I34" s="33">
        <v>8.5075999999999999E-2</v>
      </c>
      <c r="J34" s="33">
        <v>6.9519999999999998E-2</v>
      </c>
      <c r="K34" s="33">
        <v>8.5075999999999999E-2</v>
      </c>
      <c r="L34" s="33">
        <v>19.83952</v>
      </c>
      <c r="M34" s="33">
        <v>24.415075999999999</v>
      </c>
      <c r="N34" s="34">
        <v>1.23065250379362</v>
      </c>
      <c r="O34" s="34">
        <v>1.23151696447737</v>
      </c>
      <c r="P34" s="34">
        <v>1.22995629223618</v>
      </c>
      <c r="Q34" s="34">
        <v>1.23127030170277</v>
      </c>
      <c r="R34" s="33">
        <v>24.347090387717799</v>
      </c>
      <c r="S34" s="33">
        <v>24.311692606370102</v>
      </c>
      <c r="T34" s="33">
        <v>24.345650380661699</v>
      </c>
      <c r="U34" s="15">
        <v>7.0219432936166701E-4</v>
      </c>
      <c r="V34" s="15">
        <v>-7.5274496068262499E-4</v>
      </c>
      <c r="W34" s="15">
        <v>6.4304764615176696E-4</v>
      </c>
      <c r="X34" s="34">
        <v>1.2306283619764899</v>
      </c>
      <c r="Y34" s="34">
        <v>1.23013967146909</v>
      </c>
      <c r="Z34" s="34">
        <v>1.22993458787209</v>
      </c>
      <c r="AA34" s="34">
        <v>1.2297388536720599</v>
      </c>
      <c r="AB34" s="33">
        <v>24.405380614904601</v>
      </c>
      <c r="AC34" s="33">
        <v>24.3967685314303</v>
      </c>
      <c r="AD34" s="33">
        <v>24.396593930037501</v>
      </c>
      <c r="AE34" s="15">
        <v>-3.9718535610311302E-4</v>
      </c>
      <c r="AF34" s="15">
        <v>-7.5012405713537002E-4</v>
      </c>
      <c r="AG34" s="15">
        <v>-7.5728082535124095E-4</v>
      </c>
      <c r="AI34" s="12"/>
      <c r="AJ34">
        <f t="shared" si="6"/>
        <v>0</v>
      </c>
      <c r="AK34">
        <f t="shared" si="7"/>
        <v>0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2.0588848121276169E-3</v>
      </c>
      <c r="BE34" s="29">
        <f t="shared" si="22"/>
        <v>0</v>
      </c>
      <c r="BF34" s="29">
        <f t="shared" si="23"/>
        <v>2.0588848121276169E-3</v>
      </c>
      <c r="BH34" s="29"/>
    </row>
    <row r="35" spans="1:124" x14ac:dyDescent="0.25">
      <c r="A35" s="1">
        <v>46073</v>
      </c>
      <c r="B35" s="33">
        <v>19.78</v>
      </c>
      <c r="C35" s="33">
        <v>24.34</v>
      </c>
      <c r="D35" s="15">
        <v>5.0568901204065995E-4</v>
      </c>
      <c r="E35" s="15">
        <v>4.1093076394989298E-4</v>
      </c>
      <c r="F35" s="33">
        <v>0</v>
      </c>
      <c r="G35" s="33">
        <v>6.9519999999999998E-2</v>
      </c>
      <c r="H35" s="33">
        <v>0</v>
      </c>
      <c r="I35" s="33">
        <v>8.5075999999999999E-2</v>
      </c>
      <c r="J35" s="33">
        <v>6.9519999999999998E-2</v>
      </c>
      <c r="K35" s="33">
        <v>8.5075999999999999E-2</v>
      </c>
      <c r="L35" s="33">
        <v>19.849519999999998</v>
      </c>
      <c r="M35" s="33">
        <v>24.425076000000001</v>
      </c>
      <c r="N35" s="34">
        <v>1.2305358948432701</v>
      </c>
      <c r="O35" s="34">
        <v>1.23151696447737</v>
      </c>
      <c r="P35" s="34">
        <v>1.2300847805059401</v>
      </c>
      <c r="Q35" s="34">
        <v>1.2310965888307199</v>
      </c>
      <c r="R35" s="33">
        <v>24.3594055573625</v>
      </c>
      <c r="S35" s="33">
        <v>24.328535460431699</v>
      </c>
      <c r="T35" s="33">
        <v>24.3545265676808</v>
      </c>
      <c r="U35" s="15">
        <v>7.9695257745234004E-4</v>
      </c>
      <c r="V35" s="15">
        <v>-4.7112737919057998E-4</v>
      </c>
      <c r="W35" s="15">
        <v>5.9664069601748199E-4</v>
      </c>
      <c r="X35" s="34">
        <v>1.23051217359412</v>
      </c>
      <c r="Y35" s="34">
        <v>1.23013967146909</v>
      </c>
      <c r="Z35" s="34">
        <v>1.23006262806938</v>
      </c>
      <c r="AA35" s="34">
        <v>1.2297809260797701</v>
      </c>
      <c r="AB35" s="33">
        <v>24.417682011619199</v>
      </c>
      <c r="AC35" s="33">
        <v>24.413611200658899</v>
      </c>
      <c r="AD35" s="33">
        <v>24.409725970740698</v>
      </c>
      <c r="AE35" s="15">
        <v>-3.0276703192847799E-4</v>
      </c>
      <c r="AF35" s="15">
        <v>-4.6949663100083298E-4</v>
      </c>
      <c r="AG35" s="15">
        <v>-6.2865125465239502E-4</v>
      </c>
      <c r="AI35" s="12"/>
      <c r="AJ35">
        <f t="shared" si="6"/>
        <v>0</v>
      </c>
      <c r="AK35">
        <f t="shared" si="7"/>
        <v>0</v>
      </c>
      <c r="AL35">
        <f t="shared" si="14"/>
        <v>0</v>
      </c>
      <c r="AM35">
        <f t="shared" si="4"/>
        <v>0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0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2.0588848121276169E-3</v>
      </c>
      <c r="BE35" s="29">
        <f t="shared" si="22"/>
        <v>0</v>
      </c>
      <c r="BF35" s="29">
        <f t="shared" si="23"/>
        <v>2.0588848121276169E-3</v>
      </c>
      <c r="BH35" s="29"/>
    </row>
    <row r="36" spans="1:124" x14ac:dyDescent="0.25">
      <c r="A36" s="1">
        <v>46076</v>
      </c>
      <c r="B36" s="33">
        <v>19.71</v>
      </c>
      <c r="C36" s="33">
        <v>24.34</v>
      </c>
      <c r="D36" s="15">
        <v>-3.5452050299371999E-3</v>
      </c>
      <c r="E36" s="15">
        <v>0</v>
      </c>
      <c r="F36" s="33">
        <v>6.7760000000000001E-2</v>
      </c>
      <c r="G36" s="33">
        <v>0.13728000000000001</v>
      </c>
      <c r="H36" s="33">
        <v>0</v>
      </c>
      <c r="I36" s="33">
        <v>8.5075999999999999E-2</v>
      </c>
      <c r="J36" s="33">
        <v>0.13728000000000001</v>
      </c>
      <c r="K36" s="33">
        <v>8.5075999999999999E-2</v>
      </c>
      <c r="L36" s="33">
        <v>19.847280000000001</v>
      </c>
      <c r="M36" s="33">
        <v>24.425076000000001</v>
      </c>
      <c r="N36" s="34">
        <v>1.2349061390157201</v>
      </c>
      <c r="O36" s="34">
        <v>1.23151696447737</v>
      </c>
      <c r="P36" s="34">
        <v>1.23048678681257</v>
      </c>
      <c r="Q36" s="34">
        <v>1.2311413881672899</v>
      </c>
      <c r="R36" s="33">
        <v>24.273199369849099</v>
      </c>
      <c r="S36" s="33">
        <v>24.244971023771999</v>
      </c>
      <c r="T36" s="33">
        <v>24.2649137658535</v>
      </c>
      <c r="U36" s="15">
        <v>-2.74825245248502E-3</v>
      </c>
      <c r="V36" s="15">
        <v>-3.9118721451970404E-3</v>
      </c>
      <c r="W36" s="15">
        <v>-3.08965855753478E-3</v>
      </c>
      <c r="X36" s="34">
        <v>1.2306510514286999</v>
      </c>
      <c r="Y36" s="34">
        <v>1.23013967146909</v>
      </c>
      <c r="Z36" s="34">
        <v>1.2300416241642</v>
      </c>
      <c r="AA36" s="34">
        <v>1.2298299423792001</v>
      </c>
      <c r="AB36" s="33">
        <v>24.4149264987552</v>
      </c>
      <c r="AC36" s="33">
        <v>24.413397396828799</v>
      </c>
      <c r="AD36" s="33">
        <v>24.407806378564501</v>
      </c>
      <c r="AE36" s="15">
        <v>-4.1562247631582498E-4</v>
      </c>
      <c r="AF36" s="15">
        <v>-4.7825423611556298E-4</v>
      </c>
      <c r="AG36" s="15">
        <v>-7.0729481096480596E-4</v>
      </c>
      <c r="AI36" s="12"/>
      <c r="AJ36">
        <f t="shared" si="6"/>
        <v>0</v>
      </c>
      <c r="AK36">
        <f t="shared" si="7"/>
        <v>0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2.0588848121276169E-3</v>
      </c>
      <c r="BE36" s="29">
        <f t="shared" si="22"/>
        <v>0</v>
      </c>
      <c r="BF36" s="29">
        <f t="shared" si="23"/>
        <v>2.0588848121276169E-3</v>
      </c>
      <c r="BH36" s="29"/>
    </row>
    <row r="37" spans="1:124" x14ac:dyDescent="0.25">
      <c r="A37" s="1">
        <v>46077</v>
      </c>
      <c r="B37" s="33">
        <v>19.71</v>
      </c>
      <c r="C37" s="33">
        <v>24.33</v>
      </c>
      <c r="D37" s="15">
        <v>0</v>
      </c>
      <c r="E37" s="15">
        <v>-4.1093076394987802E-4</v>
      </c>
      <c r="F37" s="33">
        <v>0</v>
      </c>
      <c r="G37" s="33">
        <v>0.13728000000000001</v>
      </c>
      <c r="H37" s="33">
        <v>0</v>
      </c>
      <c r="I37" s="33">
        <v>8.5075999999999999E-2</v>
      </c>
      <c r="J37" s="33">
        <v>0.13728000000000001</v>
      </c>
      <c r="K37" s="33">
        <v>8.5075999999999999E-2</v>
      </c>
      <c r="L37" s="33">
        <v>19.847280000000001</v>
      </c>
      <c r="M37" s="33">
        <v>24.415075999999999</v>
      </c>
      <c r="N37" s="34">
        <v>1.2343987823439799</v>
      </c>
      <c r="O37" s="34">
        <v>1.23151696447737</v>
      </c>
      <c r="P37" s="34">
        <v>1.2309509565449499</v>
      </c>
      <c r="Q37" s="34">
        <v>1.2311667560008801</v>
      </c>
      <c r="R37" s="33">
        <v>24.273199369849099</v>
      </c>
      <c r="S37" s="33">
        <v>24.252894568075799</v>
      </c>
      <c r="T37" s="33">
        <v>24.265796760777398</v>
      </c>
      <c r="U37" s="15">
        <v>-2.33732168853503E-3</v>
      </c>
      <c r="V37" s="15">
        <v>-3.17418290321517E-3</v>
      </c>
      <c r="W37" s="15">
        <v>-2.64233867360826E-3</v>
      </c>
      <c r="X37" s="34">
        <v>1.23014720405012</v>
      </c>
      <c r="Y37" s="34">
        <v>1.23013967146909</v>
      </c>
      <c r="Z37" s="34">
        <v>1.23008273754292</v>
      </c>
      <c r="AA37" s="34">
        <v>1.22985957208067</v>
      </c>
      <c r="AB37" s="33">
        <v>24.4149264987552</v>
      </c>
      <c r="AC37" s="33">
        <v>24.4129805264417</v>
      </c>
      <c r="AD37" s="33">
        <v>24.408779218784002</v>
      </c>
      <c r="AE37" s="15">
        <v>-6.1233355374219096E-6</v>
      </c>
      <c r="AF37" s="15">
        <v>-8.5830717364358396E-5</v>
      </c>
      <c r="AG37" s="15">
        <v>-2.5793871551752097E-4</v>
      </c>
      <c r="AI37" s="12"/>
      <c r="AJ37">
        <f t="shared" si="6"/>
        <v>0</v>
      </c>
      <c r="AK37">
        <f t="shared" si="7"/>
        <v>0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2.0588848121276169E-3</v>
      </c>
      <c r="BE37" s="29">
        <f t="shared" si="22"/>
        <v>0</v>
      </c>
      <c r="BF37" s="29">
        <f t="shared" si="23"/>
        <v>2.0588848121276169E-3</v>
      </c>
      <c r="BH37" s="29"/>
    </row>
    <row r="38" spans="1:124" x14ac:dyDescent="0.25">
      <c r="A38" s="1">
        <v>46078</v>
      </c>
      <c r="B38" s="33">
        <v>19.71</v>
      </c>
      <c r="C38" s="33">
        <v>24.34</v>
      </c>
      <c r="D38" s="15">
        <v>0</v>
      </c>
      <c r="E38" s="15">
        <v>4.1093076394989298E-4</v>
      </c>
      <c r="F38" s="33">
        <v>0</v>
      </c>
      <c r="G38" s="33">
        <v>0.13728000000000001</v>
      </c>
      <c r="H38" s="33">
        <v>0</v>
      </c>
      <c r="I38" s="33">
        <v>8.5075999999999999E-2</v>
      </c>
      <c r="J38" s="33">
        <v>0.13728000000000001</v>
      </c>
      <c r="K38" s="33">
        <v>8.5075999999999999E-2</v>
      </c>
      <c r="L38" s="33">
        <v>19.847280000000001</v>
      </c>
      <c r="M38" s="33">
        <v>24.425076000000001</v>
      </c>
      <c r="N38" s="34">
        <v>1.2349061390157201</v>
      </c>
      <c r="O38" s="34">
        <v>1.23151696447737</v>
      </c>
      <c r="P38" s="34">
        <v>1.23142690175658</v>
      </c>
      <c r="Q38" s="34">
        <v>1.2311921238344701</v>
      </c>
      <c r="R38" s="33">
        <v>24.273199369849099</v>
      </c>
      <c r="S38" s="33">
        <v>24.2620433535009</v>
      </c>
      <c r="T38" s="33">
        <v>24.266296760777401</v>
      </c>
      <c r="U38" s="15">
        <v>-2.74825245248502E-3</v>
      </c>
      <c r="V38" s="15">
        <v>-3.2079603232470001E-3</v>
      </c>
      <c r="W38" s="15">
        <v>-3.0326645155886E-3</v>
      </c>
      <c r="X38" s="34">
        <v>1.2306510514286999</v>
      </c>
      <c r="Y38" s="34">
        <v>1.23013967146909</v>
      </c>
      <c r="Z38" s="34">
        <v>1.2301354109334099</v>
      </c>
      <c r="AA38" s="34">
        <v>1.2298891154789799</v>
      </c>
      <c r="AB38" s="33">
        <v>24.4149264987552</v>
      </c>
      <c r="AC38" s="33">
        <v>24.413796515180898</v>
      </c>
      <c r="AD38" s="33">
        <v>24.4093672877652</v>
      </c>
      <c r="AE38" s="15">
        <v>-4.1562247631582498E-4</v>
      </c>
      <c r="AF38" s="15">
        <v>-4.6190603667716997E-4</v>
      </c>
      <c r="AG38" s="15">
        <v>-6.4334562734586604E-4</v>
      </c>
      <c r="AI38" s="12"/>
      <c r="AJ38">
        <f t="shared" si="6"/>
        <v>0</v>
      </c>
      <c r="AK38">
        <f t="shared" si="7"/>
        <v>0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2.0588848121276169E-3</v>
      </c>
      <c r="BE38" s="29">
        <f t="shared" si="22"/>
        <v>0</v>
      </c>
      <c r="BF38" s="29">
        <f t="shared" si="23"/>
        <v>2.0588848121276169E-3</v>
      </c>
      <c r="BH38" s="29"/>
    </row>
    <row r="39" spans="1:124" x14ac:dyDescent="0.25">
      <c r="A39" s="1">
        <v>46079</v>
      </c>
      <c r="B39" s="33">
        <v>19.71</v>
      </c>
      <c r="C39" s="33">
        <v>24.34</v>
      </c>
      <c r="D39" s="15">
        <v>0</v>
      </c>
      <c r="E39" s="15">
        <v>0</v>
      </c>
      <c r="F39" s="33">
        <v>0</v>
      </c>
      <c r="G39" s="33">
        <v>0.13728000000000001</v>
      </c>
      <c r="H39" s="33">
        <v>0</v>
      </c>
      <c r="I39" s="33">
        <v>8.5075999999999999E-2</v>
      </c>
      <c r="J39" s="33">
        <v>0.13728000000000001</v>
      </c>
      <c r="K39" s="33">
        <v>8.5075999999999999E-2</v>
      </c>
      <c r="L39" s="33">
        <v>19.847280000000001</v>
      </c>
      <c r="M39" s="33">
        <v>24.425076000000001</v>
      </c>
      <c r="N39" s="34">
        <v>1.2349061390157201</v>
      </c>
      <c r="O39" s="34">
        <v>1.23151696447737</v>
      </c>
      <c r="P39" s="34">
        <v>1.2318289080632201</v>
      </c>
      <c r="Q39" s="34">
        <v>1.23124878981162</v>
      </c>
      <c r="R39" s="33">
        <v>24.273199369849099</v>
      </c>
      <c r="S39" s="33">
        <v>24.271424233622302</v>
      </c>
      <c r="T39" s="33">
        <v>24.2667967607774</v>
      </c>
      <c r="U39" s="15">
        <v>-2.74825245248502E-3</v>
      </c>
      <c r="V39" s="15">
        <v>-2.8213866575027701E-3</v>
      </c>
      <c r="W39" s="15">
        <v>-3.0120600181728699E-3</v>
      </c>
      <c r="X39" s="34">
        <v>1.2306510514286999</v>
      </c>
      <c r="Y39" s="34">
        <v>1.23013967146909</v>
      </c>
      <c r="Z39" s="34">
        <v>1.2301144070282299</v>
      </c>
      <c r="AA39" s="34">
        <v>1.2299497374527999</v>
      </c>
      <c r="AB39" s="33">
        <v>24.4149264987552</v>
      </c>
      <c r="AC39" s="33">
        <v>24.414841938710499</v>
      </c>
      <c r="AD39" s="33">
        <v>24.409953643863702</v>
      </c>
      <c r="AE39" s="15">
        <v>-4.1562247631582498E-4</v>
      </c>
      <c r="AF39" s="15">
        <v>-4.1908593917434201E-4</v>
      </c>
      <c r="AG39" s="15">
        <v>-6.1932415030484396E-4</v>
      </c>
      <c r="AI39" s="12"/>
      <c r="AJ39">
        <f t="shared" si="6"/>
        <v>0</v>
      </c>
      <c r="AK39">
        <f t="shared" si="7"/>
        <v>0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2.0588848121276169E-3</v>
      </c>
      <c r="BE39" s="29">
        <f t="shared" si="22"/>
        <v>0</v>
      </c>
      <c r="BF39" s="29">
        <f t="shared" si="23"/>
        <v>2.0588848121276169E-3</v>
      </c>
      <c r="BH39" s="29"/>
    </row>
    <row r="40" spans="1:124" x14ac:dyDescent="0.25">
      <c r="A40" s="1">
        <v>46080</v>
      </c>
      <c r="B40" s="33">
        <v>19.73</v>
      </c>
      <c r="C40" s="33">
        <v>24.35</v>
      </c>
      <c r="D40" s="15">
        <v>1.0141988698950299E-3</v>
      </c>
      <c r="E40" s="15">
        <v>4.1076196921769199E-4</v>
      </c>
      <c r="F40" s="33">
        <v>0</v>
      </c>
      <c r="G40" s="33">
        <v>0.13728000000000001</v>
      </c>
      <c r="H40" s="33">
        <v>0</v>
      </c>
      <c r="I40" s="33">
        <v>8.5075999999999999E-2</v>
      </c>
      <c r="J40" s="33">
        <v>0.13728000000000001</v>
      </c>
      <c r="K40" s="33">
        <v>8.5075999999999999E-2</v>
      </c>
      <c r="L40" s="33">
        <v>19.867280000000001</v>
      </c>
      <c r="M40" s="33">
        <v>24.435075999999999</v>
      </c>
      <c r="N40" s="34">
        <v>1.2341611758743001</v>
      </c>
      <c r="O40" s="34">
        <v>1.23151696447737</v>
      </c>
      <c r="P40" s="34">
        <v>1.2322809386501501</v>
      </c>
      <c r="Q40" s="34">
        <v>1.23124285266213</v>
      </c>
      <c r="R40" s="33">
        <v>24.2978297091387</v>
      </c>
      <c r="S40" s="33">
        <v>24.303984356087401</v>
      </c>
      <c r="T40" s="33">
        <v>24.292538622983301</v>
      </c>
      <c r="U40" s="15">
        <v>-2.1448155518076399E-3</v>
      </c>
      <c r="V40" s="15">
        <v>-1.89154735184352E-3</v>
      </c>
      <c r="W40" s="15">
        <v>-2.3625988845066802E-3</v>
      </c>
      <c r="X40" s="34">
        <v>1.22991551938664</v>
      </c>
      <c r="Y40" s="34">
        <v>1.23013967146909</v>
      </c>
      <c r="Z40" s="34">
        <v>1.23014393165978</v>
      </c>
      <c r="AA40" s="34">
        <v>1.22994831692621</v>
      </c>
      <c r="AB40" s="33">
        <v>24.439529292184499</v>
      </c>
      <c r="AC40" s="33">
        <v>24.4390273564639</v>
      </c>
      <c r="AD40" s="33">
        <v>24.435755819901399</v>
      </c>
      <c r="AE40" s="15">
        <v>1.82233377447632E-4</v>
      </c>
      <c r="AF40" s="15">
        <v>1.6169530287627701E-4</v>
      </c>
      <c r="AG40" s="15">
        <v>2.7821089847538701E-5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0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2.0588848121276169E-3</v>
      </c>
      <c r="BE40" s="29">
        <f t="shared" si="22"/>
        <v>0</v>
      </c>
      <c r="BF40" s="29">
        <f t="shared" si="23"/>
        <v>2.0588848121276169E-3</v>
      </c>
      <c r="BH40" s="29"/>
    </row>
    <row r="41" spans="1:124" x14ac:dyDescent="0.25">
      <c r="A41" s="1">
        <v>46083</v>
      </c>
      <c r="B41" s="33">
        <v>19.73</v>
      </c>
      <c r="C41" s="33">
        <v>24.26</v>
      </c>
      <c r="D41" s="15">
        <v>0</v>
      </c>
      <c r="E41" s="15">
        <v>-3.7029460126946998E-3</v>
      </c>
      <c r="F41" s="33">
        <v>0</v>
      </c>
      <c r="G41" s="33">
        <v>0.13728000000000001</v>
      </c>
      <c r="H41" s="33">
        <v>8.4543999999999994E-2</v>
      </c>
      <c r="I41" s="33">
        <v>0.16961999999999999</v>
      </c>
      <c r="J41" s="33">
        <v>0.13728000000000001</v>
      </c>
      <c r="K41" s="33">
        <v>0.16961999999999999</v>
      </c>
      <c r="L41" s="33">
        <v>19.867280000000001</v>
      </c>
      <c r="M41" s="33">
        <v>24.42962</v>
      </c>
      <c r="N41" s="34">
        <v>1.2295995945261</v>
      </c>
      <c r="O41" s="34">
        <v>1.23151696447737</v>
      </c>
      <c r="P41" s="34">
        <v>1.23230001887082</v>
      </c>
      <c r="Q41" s="34">
        <v>1.2310207047288599</v>
      </c>
      <c r="R41" s="33">
        <v>24.2978297091387</v>
      </c>
      <c r="S41" s="33">
        <v>24.312902919567399</v>
      </c>
      <c r="T41" s="33">
        <v>24.292421483023901</v>
      </c>
      <c r="U41" s="15">
        <v>1.5581304608870499E-3</v>
      </c>
      <c r="V41" s="15">
        <v>2.1782902526347198E-3</v>
      </c>
      <c r="W41" s="15">
        <v>1.3355250614754701E-3</v>
      </c>
      <c r="X41" s="34">
        <v>1.2296408969924399</v>
      </c>
      <c r="Y41" s="34">
        <v>1.23013967146909</v>
      </c>
      <c r="Z41" s="34">
        <v>1.23016911850538</v>
      </c>
      <c r="AA41" s="34">
        <v>1.2299447730286099</v>
      </c>
      <c r="AB41" s="33">
        <v>24.439529292184499</v>
      </c>
      <c r="AC41" s="33">
        <v>24.4396139305858</v>
      </c>
      <c r="AD41" s="33">
        <v>24.435727597901899</v>
      </c>
      <c r="AE41" s="15">
        <v>4.0554388459494999E-4</v>
      </c>
      <c r="AF41" s="15">
        <v>4.0900705500639898E-4</v>
      </c>
      <c r="AG41" s="15">
        <v>2.4997664946506903E-4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0</v>
      </c>
      <c r="AV41">
        <f t="shared" si="11"/>
        <v>0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2.0588848121276169E-3</v>
      </c>
      <c r="BE41" s="29">
        <f t="shared" si="22"/>
        <v>0</v>
      </c>
      <c r="BF41" s="29">
        <f t="shared" si="23"/>
        <v>2.0588848121276169E-3</v>
      </c>
      <c r="BH41" s="29"/>
    </row>
    <row r="42" spans="1:124" x14ac:dyDescent="0.25">
      <c r="A42" s="1">
        <v>46084</v>
      </c>
      <c r="B42" s="33">
        <v>19.71</v>
      </c>
      <c r="C42" s="33">
        <v>24.26</v>
      </c>
      <c r="D42" s="15">
        <v>-1.0141988698951501E-3</v>
      </c>
      <c r="E42" s="15">
        <v>0</v>
      </c>
      <c r="F42" s="33">
        <v>0</v>
      </c>
      <c r="G42" s="33">
        <v>0.13728000000000001</v>
      </c>
      <c r="H42" s="33">
        <v>0</v>
      </c>
      <c r="I42" s="33">
        <v>0.16961999999999999</v>
      </c>
      <c r="J42" s="33">
        <v>0.13728000000000001</v>
      </c>
      <c r="K42" s="33">
        <v>0.16961999999999999</v>
      </c>
      <c r="L42" s="33">
        <v>19.847280000000001</v>
      </c>
      <c r="M42" s="33">
        <v>24.42962</v>
      </c>
      <c r="N42" s="34">
        <v>1.2308472856418</v>
      </c>
      <c r="O42" s="34">
        <v>1.23151696447737</v>
      </c>
      <c r="P42" s="34">
        <v>1.23238171406796</v>
      </c>
      <c r="Q42" s="34">
        <v>1.23108890487721</v>
      </c>
      <c r="R42" s="33">
        <v>24.273199369849099</v>
      </c>
      <c r="S42" s="33">
        <v>24.288633371943899</v>
      </c>
      <c r="T42" s="33">
        <v>24.263418090205899</v>
      </c>
      <c r="U42" s="15">
        <v>5.4393159099201704E-4</v>
      </c>
      <c r="V42" s="15">
        <v>1.17957492416431E-3</v>
      </c>
      <c r="W42" s="15">
        <v>1.4088414815637999E-4</v>
      </c>
      <c r="X42" s="34">
        <v>1.2308799996775299</v>
      </c>
      <c r="Y42" s="34">
        <v>1.23013967146909</v>
      </c>
      <c r="Z42" s="34">
        <v>1.23025628016571</v>
      </c>
      <c r="AA42" s="34">
        <v>1.2300156126330299</v>
      </c>
      <c r="AB42" s="33">
        <v>24.4149264987552</v>
      </c>
      <c r="AC42" s="33">
        <v>24.4155109423296</v>
      </c>
      <c r="AD42" s="33">
        <v>24.4110582948353</v>
      </c>
      <c r="AE42" s="15">
        <v>-6.0164348903894802E-4</v>
      </c>
      <c r="AF42" s="15">
        <v>-5.7770581388972197E-4</v>
      </c>
      <c r="AG42" s="15">
        <v>-7.6009206695644904E-4</v>
      </c>
      <c r="AI42" s="12"/>
      <c r="AJ42">
        <f t="shared" si="6"/>
        <v>0</v>
      </c>
      <c r="AK42">
        <f t="shared" si="7"/>
        <v>0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0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2.0588848121276169E-3</v>
      </c>
      <c r="BE42" s="29">
        <f t="shared" si="22"/>
        <v>0</v>
      </c>
      <c r="BF42" s="29">
        <f t="shared" si="23"/>
        <v>2.0588848121276169E-3</v>
      </c>
      <c r="BH42" s="29"/>
    </row>
    <row r="43" spans="1:124" x14ac:dyDescent="0.25">
      <c r="A43" s="1">
        <v>46085</v>
      </c>
      <c r="B43" s="33">
        <v>19.71</v>
      </c>
      <c r="C43" s="33">
        <v>24.25</v>
      </c>
      <c r="D43" s="15">
        <v>0</v>
      </c>
      <c r="E43" s="15">
        <v>-4.1228613241193102E-4</v>
      </c>
      <c r="F43" s="33">
        <v>0</v>
      </c>
      <c r="G43" s="33">
        <v>0.13728000000000001</v>
      </c>
      <c r="H43" s="33">
        <v>0</v>
      </c>
      <c r="I43" s="33">
        <v>0.16961999999999999</v>
      </c>
      <c r="J43" s="33">
        <v>0.13728000000000001</v>
      </c>
      <c r="K43" s="33">
        <v>0.16961999999999999</v>
      </c>
      <c r="L43" s="33">
        <v>19.847280000000001</v>
      </c>
      <c r="M43" s="33">
        <v>24.419619999999998</v>
      </c>
      <c r="N43" s="34">
        <v>1.2303399289700601</v>
      </c>
      <c r="O43" s="34">
        <v>1.23151696447737</v>
      </c>
      <c r="P43" s="34">
        <v>1.2325253583040301</v>
      </c>
      <c r="Q43" s="34">
        <v>1.2311259215994099</v>
      </c>
      <c r="R43" s="33">
        <v>24.273199369849099</v>
      </c>
      <c r="S43" s="33">
        <v>24.290243584279601</v>
      </c>
      <c r="T43" s="33">
        <v>24.2647623151299</v>
      </c>
      <c r="U43" s="15">
        <v>9.5621772340393602E-4</v>
      </c>
      <c r="V43" s="15">
        <v>1.6581537515571499E-3</v>
      </c>
      <c r="W43" s="15">
        <v>6.0857004677107595E-4</v>
      </c>
      <c r="X43" s="34">
        <v>1.23037615229895</v>
      </c>
      <c r="Y43" s="34">
        <v>1.23013967146909</v>
      </c>
      <c r="Z43" s="34">
        <v>1.2304053462262401</v>
      </c>
      <c r="AA43" s="34">
        <v>1.2300554652025999</v>
      </c>
      <c r="AB43" s="33">
        <v>24.4149264987552</v>
      </c>
      <c r="AC43" s="33">
        <v>24.4172408642074</v>
      </c>
      <c r="AD43" s="33">
        <v>24.412464268299299</v>
      </c>
      <c r="AE43" s="15">
        <v>-1.9222053221542801E-4</v>
      </c>
      <c r="AF43" s="15">
        <v>-9.7431970538657195E-5</v>
      </c>
      <c r="AG43" s="15">
        <v>-2.93075008328966E-4</v>
      </c>
      <c r="AI43" s="12"/>
      <c r="AJ43">
        <f t="shared" si="6"/>
        <v>0</v>
      </c>
      <c r="AK43">
        <f t="shared" si="7"/>
        <v>0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0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2.0588848121276169E-3</v>
      </c>
      <c r="BE43" s="29">
        <f t="shared" si="22"/>
        <v>0</v>
      </c>
      <c r="BF43" s="29">
        <f t="shared" si="23"/>
        <v>2.0588848121276169E-3</v>
      </c>
      <c r="BH43" s="29"/>
    </row>
    <row r="44" spans="1:124" x14ac:dyDescent="0.25">
      <c r="A44" s="1">
        <v>46086</v>
      </c>
      <c r="B44" s="33">
        <v>19.71</v>
      </c>
      <c r="C44" s="33">
        <v>24.24</v>
      </c>
      <c r="D44" s="15">
        <v>0</v>
      </c>
      <c r="E44" s="15">
        <v>-4.1245618237858799E-4</v>
      </c>
      <c r="F44" s="33">
        <v>0</v>
      </c>
      <c r="G44" s="33">
        <v>0.13728000000000001</v>
      </c>
      <c r="H44" s="33">
        <v>0</v>
      </c>
      <c r="I44" s="33">
        <v>0.16961999999999999</v>
      </c>
      <c r="J44" s="33">
        <v>0.13728000000000001</v>
      </c>
      <c r="K44" s="33">
        <v>0.16961999999999999</v>
      </c>
      <c r="L44" s="33">
        <v>19.847280000000001</v>
      </c>
      <c r="M44" s="33">
        <v>24.409619999999901</v>
      </c>
      <c r="N44" s="34">
        <v>1.2298325722983201</v>
      </c>
      <c r="O44" s="34">
        <v>1.23151696447737</v>
      </c>
      <c r="P44" s="34">
        <v>1.2324433651544999</v>
      </c>
      <c r="Q44" s="34">
        <v>1.2311998286953401</v>
      </c>
      <c r="R44" s="33">
        <v>24.273199369849099</v>
      </c>
      <c r="S44" s="33">
        <v>24.293074812172499</v>
      </c>
      <c r="T44" s="33">
        <v>24.2654919147245</v>
      </c>
      <c r="U44" s="15">
        <v>1.3686739057824199E-3</v>
      </c>
      <c r="V44" s="15">
        <v>2.1871613754397999E-3</v>
      </c>
      <c r="W44" s="15">
        <v>1.05109405410399E-3</v>
      </c>
      <c r="X44" s="34">
        <v>1.2298723049203699</v>
      </c>
      <c r="Y44" s="34">
        <v>1.23013967146909</v>
      </c>
      <c r="Z44" s="34">
        <v>1.2303297405206299</v>
      </c>
      <c r="AA44" s="34">
        <v>1.2301321641963601</v>
      </c>
      <c r="AB44" s="33">
        <v>24.4149264987552</v>
      </c>
      <c r="AC44" s="33">
        <v>24.420199420049201</v>
      </c>
      <c r="AD44" s="33">
        <v>24.413255233406399</v>
      </c>
      <c r="AE44" s="15">
        <v>2.17370120426396E-4</v>
      </c>
      <c r="AF44" s="15">
        <v>4.33318015116177E-4</v>
      </c>
      <c r="AG44" s="15">
        <v>1.48915171249598E-4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0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2.0588848121276169E-3</v>
      </c>
      <c r="BE44" s="29">
        <f t="shared" si="22"/>
        <v>0</v>
      </c>
      <c r="BF44" s="29">
        <f t="shared" si="23"/>
        <v>2.0588848121276169E-3</v>
      </c>
      <c r="BH44" s="29"/>
    </row>
    <row r="45" spans="1:124" x14ac:dyDescent="0.25">
      <c r="A45" s="1">
        <v>46087</v>
      </c>
      <c r="B45" s="33">
        <v>19.72</v>
      </c>
      <c r="C45" s="33">
        <v>24.25</v>
      </c>
      <c r="D45" s="15">
        <v>5.0722800986046702E-4</v>
      </c>
      <c r="E45" s="15">
        <v>4.1245618237846401E-4</v>
      </c>
      <c r="F45" s="33">
        <v>0</v>
      </c>
      <c r="G45" s="33">
        <v>0.13728000000000001</v>
      </c>
      <c r="H45" s="33">
        <v>0</v>
      </c>
      <c r="I45" s="33">
        <v>0.16961999999999999</v>
      </c>
      <c r="J45" s="33">
        <v>0.13728000000000001</v>
      </c>
      <c r="K45" s="33">
        <v>0.16961999999999999</v>
      </c>
      <c r="L45" s="33">
        <v>19.857279999999999</v>
      </c>
      <c r="M45" s="33">
        <v>24.419619999999998</v>
      </c>
      <c r="N45" s="34">
        <v>1.2297160243407701</v>
      </c>
      <c r="O45" s="34">
        <v>1.23151696447737</v>
      </c>
      <c r="P45" s="34">
        <v>1.2323613781042499</v>
      </c>
      <c r="Q45" s="34">
        <v>1.23122307930509</v>
      </c>
      <c r="R45" s="33">
        <v>24.285514539493899</v>
      </c>
      <c r="S45" s="33">
        <v>24.303783160846798</v>
      </c>
      <c r="T45" s="33">
        <v>24.279260621872201</v>
      </c>
      <c r="U45" s="15">
        <v>1.4634457332644E-3</v>
      </c>
      <c r="V45" s="15">
        <v>2.2154064768175499E-3</v>
      </c>
      <c r="W45" s="15">
        <v>1.2058961971865201E-3</v>
      </c>
      <c r="X45" s="34">
        <v>1.2297565426886199</v>
      </c>
      <c r="Y45" s="34">
        <v>1.23013967146909</v>
      </c>
      <c r="Z45" s="34">
        <v>1.2302541774300799</v>
      </c>
      <c r="AA45" s="34">
        <v>1.2301584027497301</v>
      </c>
      <c r="AB45" s="33">
        <v>24.427227895469802</v>
      </c>
      <c r="AC45" s="33">
        <v>24.431002149845501</v>
      </c>
      <c r="AD45" s="33">
        <v>24.4270788214532</v>
      </c>
      <c r="AE45" s="15">
        <v>3.1149995789670799E-4</v>
      </c>
      <c r="AF45" s="15">
        <v>4.6599816135898902E-4</v>
      </c>
      <c r="AG45" s="15">
        <v>3.0539715850444698E-4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0</v>
      </c>
      <c r="AT45" s="12"/>
      <c r="AU45">
        <f t="shared" si="10"/>
        <v>0</v>
      </c>
      <c r="AV45">
        <f t="shared" si="11"/>
        <v>0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2.0588848121276169E-3</v>
      </c>
      <c r="BE45" s="29">
        <f t="shared" si="22"/>
        <v>0</v>
      </c>
      <c r="BF45" s="29">
        <f t="shared" si="23"/>
        <v>2.0588848121276169E-3</v>
      </c>
      <c r="BH45" s="29"/>
    </row>
    <row r="46" spans="1:124" x14ac:dyDescent="0.25">
      <c r="A46" s="1">
        <v>46090</v>
      </c>
      <c r="B46" s="33">
        <v>19.71</v>
      </c>
      <c r="C46" s="33">
        <v>24.26</v>
      </c>
      <c r="D46" s="15">
        <v>-5.0722800986042896E-4</v>
      </c>
      <c r="E46" s="15">
        <v>4.1228613241195601E-4</v>
      </c>
      <c r="F46" s="33">
        <v>0</v>
      </c>
      <c r="G46" s="33">
        <v>0.13728000000000001</v>
      </c>
      <c r="H46" s="33">
        <v>0</v>
      </c>
      <c r="I46" s="33">
        <v>0.16961999999999999</v>
      </c>
      <c r="J46" s="33">
        <v>0.13728000000000001</v>
      </c>
      <c r="K46" s="33">
        <v>0.16961999999999999</v>
      </c>
      <c r="L46" s="33">
        <v>19.847280000000001</v>
      </c>
      <c r="M46" s="33">
        <v>24.42962</v>
      </c>
      <c r="N46" s="34">
        <v>1.2308472856418</v>
      </c>
      <c r="O46" s="34">
        <v>1.23151696447737</v>
      </c>
      <c r="P46" s="34">
        <v>1.2319554927668599</v>
      </c>
      <c r="Q46" s="34">
        <v>1.2312211397897099</v>
      </c>
      <c r="R46" s="33">
        <v>24.273199369849099</v>
      </c>
      <c r="S46" s="33">
        <v>24.289842762434802</v>
      </c>
      <c r="T46" s="33">
        <v>24.267406893103399</v>
      </c>
      <c r="U46" s="15">
        <v>5.4393159099201704E-4</v>
      </c>
      <c r="V46" s="15">
        <v>1.2293661316034299E-3</v>
      </c>
      <c r="W46" s="15">
        <v>3.0526639007549101E-4</v>
      </c>
      <c r="X46" s="34">
        <v>1.2308799996775299</v>
      </c>
      <c r="Y46" s="34">
        <v>1.23013967146909</v>
      </c>
      <c r="Z46" s="34">
        <v>1.2302770722549601</v>
      </c>
      <c r="AA46" s="34">
        <v>1.2301593482095801</v>
      </c>
      <c r="AB46" s="33">
        <v>24.4149264987552</v>
      </c>
      <c r="AC46" s="33">
        <v>24.4171991306245</v>
      </c>
      <c r="AD46" s="33">
        <v>24.415298263726701</v>
      </c>
      <c r="AE46" s="15">
        <v>-6.0164348903894802E-4</v>
      </c>
      <c r="AF46" s="15">
        <v>-5.0856411386532296E-4</v>
      </c>
      <c r="AG46" s="15">
        <v>-5.8641665060749396E-4</v>
      </c>
      <c r="AI46" s="12"/>
      <c r="AJ46">
        <f t="shared" si="6"/>
        <v>0</v>
      </c>
      <c r="AK46">
        <f t="shared" si="7"/>
        <v>0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0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2.0588848121276169E-3</v>
      </c>
      <c r="BE46" s="29">
        <f t="shared" si="22"/>
        <v>0</v>
      </c>
      <c r="BF46" s="29">
        <f t="shared" si="23"/>
        <v>2.0588848121276169E-3</v>
      </c>
      <c r="BH46" s="29"/>
    </row>
    <row r="47" spans="1:124" x14ac:dyDescent="0.25">
      <c r="A47" s="1">
        <v>46091</v>
      </c>
      <c r="B47" s="33">
        <v>19.71</v>
      </c>
      <c r="C47" s="33">
        <v>24.25</v>
      </c>
      <c r="D47" s="15">
        <v>0</v>
      </c>
      <c r="E47" s="15">
        <v>-4.1228613241193102E-4</v>
      </c>
      <c r="F47" s="33">
        <v>0</v>
      </c>
      <c r="G47" s="33">
        <v>0.13728000000000001</v>
      </c>
      <c r="H47" s="33">
        <v>0</v>
      </c>
      <c r="I47" s="33">
        <v>0.16961999999999999</v>
      </c>
      <c r="J47" s="33">
        <v>0.13728000000000001</v>
      </c>
      <c r="K47" s="33">
        <v>0.16961999999999999</v>
      </c>
      <c r="L47" s="33">
        <v>19.847280000000001</v>
      </c>
      <c r="M47" s="33">
        <v>24.419619999999998</v>
      </c>
      <c r="N47" s="34">
        <v>1.2303399289700601</v>
      </c>
      <c r="O47" s="34">
        <v>1.23151696447737</v>
      </c>
      <c r="P47" s="34">
        <v>1.2315496074294701</v>
      </c>
      <c r="Q47" s="34">
        <v>1.23125028198721</v>
      </c>
      <c r="R47" s="33">
        <v>24.273199369849099</v>
      </c>
      <c r="S47" s="33">
        <v>24.281842762434799</v>
      </c>
      <c r="T47" s="33">
        <v>24.267368665255301</v>
      </c>
      <c r="U47" s="15">
        <v>9.5621772340393602E-4</v>
      </c>
      <c r="V47" s="15">
        <v>1.31224223898181E-3</v>
      </c>
      <c r="W47" s="15">
        <v>7.1597724588787898E-4</v>
      </c>
      <c r="X47" s="34">
        <v>1.23037615229895</v>
      </c>
      <c r="Y47" s="34">
        <v>1.23013967146909</v>
      </c>
      <c r="Z47" s="34">
        <v>1.23029996707984</v>
      </c>
      <c r="AA47" s="34">
        <v>1.2301913523113801</v>
      </c>
      <c r="AB47" s="33">
        <v>24.4149264987552</v>
      </c>
      <c r="AC47" s="33">
        <v>24.417653530624499</v>
      </c>
      <c r="AD47" s="33">
        <v>24.415317028533099</v>
      </c>
      <c r="AE47" s="15">
        <v>-1.9222053221542801E-4</v>
      </c>
      <c r="AF47" s="15">
        <v>-8.0531497126929403E-5</v>
      </c>
      <c r="AG47" s="15">
        <v>-1.7622512651101601E-4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0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2.0588848121276169E-3</v>
      </c>
      <c r="BE47" s="29">
        <f t="shared" si="22"/>
        <v>0</v>
      </c>
      <c r="BF47" s="29">
        <f t="shared" si="23"/>
        <v>2.0588848121276169E-3</v>
      </c>
      <c r="BH47" s="29"/>
    </row>
    <row r="48" spans="1:124" x14ac:dyDescent="0.25">
      <c r="A48" s="1">
        <v>46092</v>
      </c>
      <c r="B48" s="33">
        <v>19.7</v>
      </c>
      <c r="C48" s="33">
        <v>24.23</v>
      </c>
      <c r="D48" s="15">
        <v>-5.0748542068606802E-4</v>
      </c>
      <c r="E48" s="15">
        <v>-8.2508255505779095E-4</v>
      </c>
      <c r="F48" s="33">
        <v>0</v>
      </c>
      <c r="G48" s="33">
        <v>0.13728000000000001</v>
      </c>
      <c r="H48" s="33">
        <v>0</v>
      </c>
      <c r="I48" s="33">
        <v>0.16961999999999999</v>
      </c>
      <c r="J48" s="33">
        <v>0.13728000000000001</v>
      </c>
      <c r="K48" s="33">
        <v>0.16961999999999999</v>
      </c>
      <c r="L48" s="33">
        <v>19.83728</v>
      </c>
      <c r="M48" s="33">
        <v>24.399619999999999</v>
      </c>
      <c r="N48" s="34">
        <v>1.2299492385786801</v>
      </c>
      <c r="O48" s="34">
        <v>1.23151696447737</v>
      </c>
      <c r="P48" s="34">
        <v>1.23105391738576</v>
      </c>
      <c r="Q48" s="34">
        <v>1.23124040957117</v>
      </c>
      <c r="R48" s="33">
        <v>24.260884200204298</v>
      </c>
      <c r="S48" s="33">
        <v>24.261527266360499</v>
      </c>
      <c r="T48" s="33">
        <v>24.255630555147999</v>
      </c>
      <c r="U48" s="15">
        <v>1.27381485777568E-3</v>
      </c>
      <c r="V48" s="15">
        <v>1.3003208015975301E-3</v>
      </c>
      <c r="W48" s="15">
        <v>1.0572434447893801E-3</v>
      </c>
      <c r="X48" s="34">
        <v>1.22998818386391</v>
      </c>
      <c r="Y48" s="34">
        <v>1.23013967146909</v>
      </c>
      <c r="Z48" s="34">
        <v>1.23023368032337</v>
      </c>
      <c r="AA48" s="34">
        <v>1.23018454562839</v>
      </c>
      <c r="AB48" s="33">
        <v>24.402625102040499</v>
      </c>
      <c r="AC48" s="33">
        <v>24.4058049309537</v>
      </c>
      <c r="AD48" s="33">
        <v>24.4036503093796</v>
      </c>
      <c r="AE48" s="15">
        <v>1.2315425399102799E-4</v>
      </c>
      <c r="AF48" s="15">
        <v>2.5345260268151498E-4</v>
      </c>
      <c r="AG48" s="15">
        <v>1.65165545801746E-4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0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2.0588848121276169E-3</v>
      </c>
      <c r="BE48" s="29">
        <f t="shared" si="22"/>
        <v>0</v>
      </c>
      <c r="BF48" s="29">
        <f t="shared" si="23"/>
        <v>2.0588848121276169E-3</v>
      </c>
      <c r="BH48" s="29"/>
    </row>
    <row r="49" spans="1:60" x14ac:dyDescent="0.25">
      <c r="A49" s="1">
        <v>46093</v>
      </c>
      <c r="B49" s="33">
        <v>19.66</v>
      </c>
      <c r="C49" s="33">
        <v>24.18</v>
      </c>
      <c r="D49" s="15">
        <v>-2.0325210249222399E-3</v>
      </c>
      <c r="E49" s="15">
        <v>-2.0656896417877201E-3</v>
      </c>
      <c r="F49" s="33">
        <v>0</v>
      </c>
      <c r="G49" s="33">
        <v>0.13728000000000001</v>
      </c>
      <c r="H49" s="33">
        <v>0</v>
      </c>
      <c r="I49" s="33">
        <v>0.16961999999999999</v>
      </c>
      <c r="J49" s="33">
        <v>0.13728000000000001</v>
      </c>
      <c r="K49" s="33">
        <v>0.16961999999999999</v>
      </c>
      <c r="L49" s="33">
        <v>19.797280000000001</v>
      </c>
      <c r="M49" s="33">
        <v>24.349619999999899</v>
      </c>
      <c r="N49" s="34">
        <v>1.2299084435401799</v>
      </c>
      <c r="O49" s="34">
        <v>1.23151696447737</v>
      </c>
      <c r="P49" s="34">
        <v>1.23055414783821</v>
      </c>
      <c r="Q49" s="34">
        <v>1.23119152795071</v>
      </c>
      <c r="R49" s="33">
        <v>24.211623521625199</v>
      </c>
      <c r="S49" s="33">
        <v>24.202520015804101</v>
      </c>
      <c r="T49" s="33">
        <v>24.206186452169302</v>
      </c>
      <c r="U49" s="15">
        <v>1.3069834746411799E-3</v>
      </c>
      <c r="V49" s="15">
        <v>9.3091543901054302E-4</v>
      </c>
      <c r="W49" s="15">
        <v>1.08239382543009E-3</v>
      </c>
      <c r="X49" s="34">
        <v>1.2299477503980301</v>
      </c>
      <c r="Y49" s="34">
        <v>1.23013967146909</v>
      </c>
      <c r="Z49" s="34">
        <v>1.2301633502203</v>
      </c>
      <c r="AA49" s="34">
        <v>1.23013887862426</v>
      </c>
      <c r="AB49" s="33">
        <v>24.353419515181699</v>
      </c>
      <c r="AC49" s="33">
        <v>24.355280634792202</v>
      </c>
      <c r="AD49" s="33">
        <v>24.354307901477998</v>
      </c>
      <c r="AE49" s="15">
        <v>1.5602784661013E-4</v>
      </c>
      <c r="AF49" s="15">
        <v>2.3244621152938201E-4</v>
      </c>
      <c r="AG49" s="15">
        <v>1.9250609527871401E-4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0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2.0588848121276169E-3</v>
      </c>
      <c r="BE49" s="29">
        <f t="shared" si="22"/>
        <v>0</v>
      </c>
      <c r="BF49" s="29">
        <f t="shared" si="23"/>
        <v>2.0588848121276169E-3</v>
      </c>
      <c r="BH49" s="29"/>
    </row>
    <row r="50" spans="1:60" x14ac:dyDescent="0.25">
      <c r="A50" s="1">
        <v>46094</v>
      </c>
      <c r="B50" s="33">
        <v>19.66</v>
      </c>
      <c r="C50" s="33">
        <v>24.19</v>
      </c>
      <c r="D50" s="15">
        <v>0</v>
      </c>
      <c r="E50" s="15">
        <v>4.1347943528944199E-4</v>
      </c>
      <c r="F50" s="33">
        <v>0</v>
      </c>
      <c r="G50" s="33">
        <v>0.13728000000000001</v>
      </c>
      <c r="H50" s="33">
        <v>0</v>
      </c>
      <c r="I50" s="33">
        <v>0.16961999999999999</v>
      </c>
      <c r="J50" s="33">
        <v>0.13728000000000001</v>
      </c>
      <c r="K50" s="33">
        <v>0.16961999999999999</v>
      </c>
      <c r="L50" s="33">
        <v>19.797280000000001</v>
      </c>
      <c r="M50" s="33">
        <v>24.35962</v>
      </c>
      <c r="N50" s="34">
        <v>1.23041709053916</v>
      </c>
      <c r="O50" s="34">
        <v>1.23151696447737</v>
      </c>
      <c r="P50" s="34">
        <v>1.23017973930469</v>
      </c>
      <c r="Q50" s="34">
        <v>1.23123033897742</v>
      </c>
      <c r="R50" s="33">
        <v>24.211623521625199</v>
      </c>
      <c r="S50" s="33">
        <v>24.192694546499201</v>
      </c>
      <c r="T50" s="33">
        <v>24.2052254395111</v>
      </c>
      <c r="U50" s="15">
        <v>8.9350403935184604E-4</v>
      </c>
      <c r="V50" s="15">
        <v>1.11384722461933E-4</v>
      </c>
      <c r="W50" s="15">
        <v>6.2921248429672998E-4</v>
      </c>
      <c r="X50" s="34">
        <v>1.23045287029329</v>
      </c>
      <c r="Y50" s="34">
        <v>1.23013967146909</v>
      </c>
      <c r="Z50" s="34">
        <v>1.23021708531096</v>
      </c>
      <c r="AA50" s="34">
        <v>1.2301805084853701</v>
      </c>
      <c r="AB50" s="33">
        <v>24.353419515181699</v>
      </c>
      <c r="AC50" s="33">
        <v>24.353888290049301</v>
      </c>
      <c r="AD50" s="33">
        <v>24.353403819010602</v>
      </c>
      <c r="AE50" s="15">
        <v>-2.5457187288861402E-4</v>
      </c>
      <c r="AF50" s="15">
        <v>-2.35323226688232E-4</v>
      </c>
      <c r="AG50" s="15">
        <v>-2.55216389201154E-4</v>
      </c>
      <c r="AI50" s="12"/>
      <c r="AJ50">
        <f t="shared" si="6"/>
        <v>0</v>
      </c>
      <c r="AK50">
        <f t="shared" si="7"/>
        <v>0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0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2.0588848121276169E-3</v>
      </c>
      <c r="BE50" s="29">
        <f t="shared" si="22"/>
        <v>0</v>
      </c>
      <c r="BF50" s="29">
        <f t="shared" si="23"/>
        <v>2.0588848121276169E-3</v>
      </c>
      <c r="BH50" s="29"/>
    </row>
    <row r="51" spans="1:60" x14ac:dyDescent="0.25">
      <c r="A51" s="1">
        <v>46097</v>
      </c>
      <c r="B51" s="33">
        <v>19.66</v>
      </c>
      <c r="C51" s="33">
        <v>24.19</v>
      </c>
      <c r="D51" s="15">
        <v>0</v>
      </c>
      <c r="E51" s="15">
        <v>0</v>
      </c>
      <c r="F51" s="33">
        <v>0</v>
      </c>
      <c r="G51" s="33">
        <v>0.13728000000000001</v>
      </c>
      <c r="H51" s="33">
        <v>0</v>
      </c>
      <c r="I51" s="33">
        <v>0.16961999999999999</v>
      </c>
      <c r="J51" s="33">
        <v>0.13728000000000001</v>
      </c>
      <c r="K51" s="33">
        <v>0.16961999999999999</v>
      </c>
      <c r="L51" s="33">
        <v>19.797280000000001</v>
      </c>
      <c r="M51" s="33">
        <v>24.35962</v>
      </c>
      <c r="N51" s="34">
        <v>1.23041709053916</v>
      </c>
      <c r="O51" s="34">
        <v>1.23151696447737</v>
      </c>
      <c r="P51" s="34">
        <v>1.230261488906</v>
      </c>
      <c r="Q51" s="34">
        <v>1.2312807538884101</v>
      </c>
      <c r="R51" s="33">
        <v>24.211623521625199</v>
      </c>
      <c r="S51" s="33">
        <v>24.185333674730298</v>
      </c>
      <c r="T51" s="33">
        <v>24.205988464296102</v>
      </c>
      <c r="U51" s="15">
        <v>8.9350403935184604E-4</v>
      </c>
      <c r="V51" s="15">
        <v>-1.9292167845311E-4</v>
      </c>
      <c r="W51" s="15">
        <v>6.6073513054163801E-4</v>
      </c>
      <c r="X51" s="34">
        <v>1.23045287029329</v>
      </c>
      <c r="Y51" s="34">
        <v>1.23013967146909</v>
      </c>
      <c r="Z51" s="34">
        <v>1.23029828264105</v>
      </c>
      <c r="AA51" s="34">
        <v>1.23023370057321</v>
      </c>
      <c r="AB51" s="33">
        <v>24.353419515181699</v>
      </c>
      <c r="AC51" s="33">
        <v>24.3549520986851</v>
      </c>
      <c r="AD51" s="33">
        <v>24.3542279770273</v>
      </c>
      <c r="AE51" s="15">
        <v>-2.5457187288861402E-4</v>
      </c>
      <c r="AF51" s="15">
        <v>-1.9164291619887201E-4</v>
      </c>
      <c r="AG51" s="15">
        <v>-2.2137536731561499E-4</v>
      </c>
      <c r="AI51" s="12"/>
      <c r="AJ51">
        <f t="shared" si="6"/>
        <v>0</v>
      </c>
      <c r="AK51">
        <f t="shared" si="7"/>
        <v>0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0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2.0588848121276169E-3</v>
      </c>
      <c r="BE51" s="29">
        <f t="shared" si="22"/>
        <v>0</v>
      </c>
      <c r="BF51" s="29">
        <f t="shared" si="23"/>
        <v>2.0588848121276169E-3</v>
      </c>
      <c r="BH51" s="29"/>
    </row>
    <row r="52" spans="1:60" x14ac:dyDescent="0.25">
      <c r="A52" s="1">
        <v>46098</v>
      </c>
      <c r="B52" s="33">
        <v>19.68</v>
      </c>
      <c r="C52" s="33">
        <v>24.2</v>
      </c>
      <c r="D52" s="15">
        <v>1.01677690508681E-3</v>
      </c>
      <c r="E52" s="15">
        <v>4.13308540704658E-4</v>
      </c>
      <c r="F52" s="33">
        <v>0</v>
      </c>
      <c r="G52" s="33">
        <v>0.13728000000000001</v>
      </c>
      <c r="H52" s="33">
        <v>0</v>
      </c>
      <c r="I52" s="33">
        <v>0.16961999999999999</v>
      </c>
      <c r="J52" s="33">
        <v>0.13728000000000001</v>
      </c>
      <c r="K52" s="33">
        <v>0.16961999999999999</v>
      </c>
      <c r="L52" s="33">
        <v>19.81728</v>
      </c>
      <c r="M52" s="33">
        <v>24.369619999999902</v>
      </c>
      <c r="N52" s="34">
        <v>1.22967479674796</v>
      </c>
      <c r="O52" s="34">
        <v>1.23151696447737</v>
      </c>
      <c r="P52" s="34">
        <v>1.23014424001661</v>
      </c>
      <c r="Q52" s="34">
        <v>1.23126297704229</v>
      </c>
      <c r="R52" s="33">
        <v>24.2362538609148</v>
      </c>
      <c r="S52" s="33">
        <v>24.211546101670098</v>
      </c>
      <c r="T52" s="33">
        <v>24.231605236523901</v>
      </c>
      <c r="U52" s="15">
        <v>1.49697240373385E-3</v>
      </c>
      <c r="V52" s="15">
        <v>4.7699785769396999E-4</v>
      </c>
      <c r="W52" s="15">
        <v>1.3051494310809999E-3</v>
      </c>
      <c r="X52" s="34">
        <v>1.2297156824750901</v>
      </c>
      <c r="Y52" s="34">
        <v>1.23013967146909</v>
      </c>
      <c r="Z52" s="34">
        <v>1.2301818509208</v>
      </c>
      <c r="AA52" s="34">
        <v>1.2302190655432601</v>
      </c>
      <c r="AB52" s="33">
        <v>24.378022308611101</v>
      </c>
      <c r="AC52" s="33">
        <v>24.381165550616799</v>
      </c>
      <c r="AD52" s="33">
        <v>24.3798857096956</v>
      </c>
      <c r="AE52" s="15">
        <v>3.4472677226706898E-4</v>
      </c>
      <c r="AF52" s="15">
        <v>4.73655991480851E-4</v>
      </c>
      <c r="AG52" s="15">
        <v>4.2116159735179501E-4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0</v>
      </c>
      <c r="AT52" s="12"/>
      <c r="AU52">
        <f t="shared" si="10"/>
        <v>0</v>
      </c>
      <c r="AV52">
        <f t="shared" si="11"/>
        <v>0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2.0588848121276169E-3</v>
      </c>
      <c r="BE52" s="29">
        <f t="shared" si="22"/>
        <v>0</v>
      </c>
      <c r="BF52" s="29">
        <f t="shared" si="23"/>
        <v>2.0588848121276169E-3</v>
      </c>
      <c r="BH52" s="29"/>
    </row>
    <row r="53" spans="1:60" x14ac:dyDescent="0.25">
      <c r="A53" s="1">
        <v>46099</v>
      </c>
      <c r="B53" s="33">
        <v>19.670000000000002</v>
      </c>
      <c r="C53" s="33">
        <v>24.19</v>
      </c>
      <c r="D53" s="15">
        <v>-5.0825922313953295E-4</v>
      </c>
      <c r="E53" s="15">
        <v>-4.13308540704703E-4</v>
      </c>
      <c r="F53" s="33">
        <v>0</v>
      </c>
      <c r="G53" s="33">
        <v>0.13728000000000001</v>
      </c>
      <c r="H53" s="33">
        <v>0</v>
      </c>
      <c r="I53" s="33">
        <v>0.16961999999999999</v>
      </c>
      <c r="J53" s="33">
        <v>0.13728000000000001</v>
      </c>
      <c r="K53" s="33">
        <v>0.16961999999999999</v>
      </c>
      <c r="L53" s="33">
        <v>19.807279999999999</v>
      </c>
      <c r="M53" s="33">
        <v>24.35962</v>
      </c>
      <c r="N53" s="34">
        <v>1.2297915607524099</v>
      </c>
      <c r="O53" s="34">
        <v>1.23151696447737</v>
      </c>
      <c r="P53" s="34">
        <v>1.2300894031948499</v>
      </c>
      <c r="Q53" s="34">
        <v>1.2313073807494399</v>
      </c>
      <c r="R53" s="33">
        <v>24.22393869127</v>
      </c>
      <c r="S53" s="33">
        <v>24.1969372011269</v>
      </c>
      <c r="T53" s="33">
        <v>24.2189427584219</v>
      </c>
      <c r="U53" s="15">
        <v>1.4020217212991799E-3</v>
      </c>
      <c r="V53" s="15">
        <v>2.8673859416251197E-4</v>
      </c>
      <c r="W53" s="15">
        <v>1.19576095743307E-3</v>
      </c>
      <c r="X53" s="34">
        <v>1.2298316578550901</v>
      </c>
      <c r="Y53" s="34">
        <v>1.23013967146909</v>
      </c>
      <c r="Z53" s="34">
        <v>1.2301274014764201</v>
      </c>
      <c r="AA53" s="34">
        <v>1.23026637385133</v>
      </c>
      <c r="AB53" s="33">
        <v>24.3657209118964</v>
      </c>
      <c r="AC53" s="33">
        <v>24.366556372106601</v>
      </c>
      <c r="AD53" s="33">
        <v>24.367293492553699</v>
      </c>
      <c r="AE53" s="15">
        <v>2.5042049225913098E-4</v>
      </c>
      <c r="AF53" s="15">
        <v>2.8470824800930997E-4</v>
      </c>
      <c r="AG53" s="15">
        <v>3.14959108515954E-4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0</v>
      </c>
      <c r="AT53" s="12"/>
      <c r="AU53">
        <f t="shared" si="10"/>
        <v>0</v>
      </c>
      <c r="AV53">
        <f t="shared" si="11"/>
        <v>0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2.0588848121276169E-3</v>
      </c>
      <c r="BE53" s="29">
        <f t="shared" si="22"/>
        <v>0</v>
      </c>
      <c r="BF53" s="29">
        <f t="shared" si="23"/>
        <v>2.0588848121276169E-3</v>
      </c>
      <c r="BH53" s="29"/>
    </row>
    <row r="54" spans="1:60" x14ac:dyDescent="0.25">
      <c r="A54" s="1">
        <v>46100</v>
      </c>
      <c r="B54" s="33">
        <v>19.670000000000002</v>
      </c>
      <c r="C54" s="33">
        <v>24.2</v>
      </c>
      <c r="D54" s="15">
        <v>0</v>
      </c>
      <c r="E54" s="15">
        <v>4.13308540704658E-4</v>
      </c>
      <c r="F54" s="33">
        <v>0</v>
      </c>
      <c r="G54" s="33">
        <v>0.13728000000000001</v>
      </c>
      <c r="H54" s="33">
        <v>0</v>
      </c>
      <c r="I54" s="33">
        <v>0.16961999999999999</v>
      </c>
      <c r="J54" s="33">
        <v>0.13728000000000001</v>
      </c>
      <c r="K54" s="33">
        <v>0.16961999999999999</v>
      </c>
      <c r="L54" s="33">
        <v>19.807279999999999</v>
      </c>
      <c r="M54" s="33">
        <v>24.369619999999902</v>
      </c>
      <c r="N54" s="34">
        <v>1.2302999491611499</v>
      </c>
      <c r="O54" s="34">
        <v>1.23151696447737</v>
      </c>
      <c r="P54" s="34">
        <v>1.23013614088113</v>
      </c>
      <c r="Q54" s="34">
        <v>1.23128975301782</v>
      </c>
      <c r="R54" s="33">
        <v>24.22393869127</v>
      </c>
      <c r="S54" s="33">
        <v>24.195858560842701</v>
      </c>
      <c r="T54" s="33">
        <v>24.2198161793415</v>
      </c>
      <c r="U54" s="15">
        <v>9.8871318059448599E-4</v>
      </c>
      <c r="V54" s="15">
        <v>-1.7114849453940201E-4</v>
      </c>
      <c r="W54" s="15">
        <v>8.1851531094378701E-4</v>
      </c>
      <c r="X54" s="34">
        <v>1.2303365227330501</v>
      </c>
      <c r="Y54" s="34">
        <v>1.23013967146909</v>
      </c>
      <c r="Z54" s="34">
        <v>1.23017382325768</v>
      </c>
      <c r="AA54" s="34">
        <v>1.2302517818891601</v>
      </c>
      <c r="AB54" s="33">
        <v>24.3657209118964</v>
      </c>
      <c r="AC54" s="33">
        <v>24.365477876715801</v>
      </c>
      <c r="AD54" s="33">
        <v>24.368230541458001</v>
      </c>
      <c r="AE54" s="15">
        <v>-1.6001070430278201E-4</v>
      </c>
      <c r="AF54" s="15">
        <v>-1.6998522520933899E-4</v>
      </c>
      <c r="AG54" s="15">
        <v>-5.7017637293987202E-5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0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2.0588848121276169E-3</v>
      </c>
      <c r="BE54" s="29">
        <f t="shared" si="22"/>
        <v>0</v>
      </c>
      <c r="BF54" s="29">
        <f t="shared" si="23"/>
        <v>2.0588848121276169E-3</v>
      </c>
      <c r="BH54" s="29"/>
    </row>
    <row r="55" spans="1:60" x14ac:dyDescent="0.25">
      <c r="A55" s="1">
        <v>46101</v>
      </c>
      <c r="B55" s="33">
        <v>19.649999999999999</v>
      </c>
      <c r="C55" s="33">
        <v>24.17</v>
      </c>
      <c r="D55" s="15">
        <v>-1.0172940856975801E-3</v>
      </c>
      <c r="E55" s="15">
        <v>-1.2404384472489199E-3</v>
      </c>
      <c r="F55" s="33">
        <v>0</v>
      </c>
      <c r="G55" s="33">
        <v>0.13728000000000001</v>
      </c>
      <c r="H55" s="33">
        <v>0</v>
      </c>
      <c r="I55" s="33">
        <v>0.16961999999999999</v>
      </c>
      <c r="J55" s="33">
        <v>0.13728000000000001</v>
      </c>
      <c r="K55" s="33">
        <v>0.16961999999999999</v>
      </c>
      <c r="L55" s="33">
        <v>19.787279999999999</v>
      </c>
      <c r="M55" s="33">
        <v>24.33962</v>
      </c>
      <c r="N55" s="34">
        <v>1.23002544529262</v>
      </c>
      <c r="O55" s="34">
        <v>1.23151696447737</v>
      </c>
      <c r="P55" s="34">
        <v>1.23016708297632</v>
      </c>
      <c r="Q55" s="34">
        <v>1.2312642305402799</v>
      </c>
      <c r="R55" s="33">
        <v>24.199308351980498</v>
      </c>
      <c r="S55" s="33">
        <v>24.1721751683143</v>
      </c>
      <c r="T55" s="33">
        <v>24.194843646800098</v>
      </c>
      <c r="U55" s="15">
        <v>1.21185754214571E-3</v>
      </c>
      <c r="V55" s="15">
        <v>8.9990502423836703E-5</v>
      </c>
      <c r="W55" s="15">
        <v>1.0273432978170399E-3</v>
      </c>
      <c r="X55" s="34">
        <v>1.23006396028155</v>
      </c>
      <c r="Y55" s="34">
        <v>1.23013967146909</v>
      </c>
      <c r="Z55" s="34">
        <v>1.2302045650169799</v>
      </c>
      <c r="AA55" s="34">
        <v>1.2302293712235299</v>
      </c>
      <c r="AB55" s="33">
        <v>24.341118118467001</v>
      </c>
      <c r="AC55" s="33">
        <v>24.341793889470399</v>
      </c>
      <c r="AD55" s="33">
        <v>24.343336478739701</v>
      </c>
      <c r="AE55" s="15">
        <v>6.1548716204074496E-5</v>
      </c>
      <c r="AF55" s="15">
        <v>8.9310860066427999E-5</v>
      </c>
      <c r="AG55" s="15">
        <v>1.52680897619762E-4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0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0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2.0588848121276169E-3</v>
      </c>
      <c r="BE55" s="29">
        <f t="shared" si="22"/>
        <v>0</v>
      </c>
      <c r="BF55" s="29">
        <f t="shared" si="23"/>
        <v>2.0588848121276169E-3</v>
      </c>
      <c r="BH55" s="29"/>
    </row>
    <row r="56" spans="1:60" x14ac:dyDescent="0.25">
      <c r="A56" s="1">
        <v>46104</v>
      </c>
      <c r="B56" s="33">
        <v>19.600000000000001</v>
      </c>
      <c r="C56" s="33">
        <v>24.2</v>
      </c>
      <c r="D56" s="15">
        <v>-2.5477720787985499E-3</v>
      </c>
      <c r="E56" s="15">
        <v>1.2404384472488701E-3</v>
      </c>
      <c r="F56" s="33">
        <v>6.7479999999999998E-2</v>
      </c>
      <c r="G56" s="33">
        <v>0.20476</v>
      </c>
      <c r="H56" s="33">
        <v>0</v>
      </c>
      <c r="I56" s="33">
        <v>0.16961999999999999</v>
      </c>
      <c r="J56" s="33">
        <v>0.20476</v>
      </c>
      <c r="K56" s="33">
        <v>0.16961999999999999</v>
      </c>
      <c r="L56" s="33">
        <v>19.804760000000002</v>
      </c>
      <c r="M56" s="33">
        <v>24.369619999999902</v>
      </c>
      <c r="N56" s="34">
        <v>1.2346938775510199</v>
      </c>
      <c r="O56" s="34">
        <v>1.23151696447737</v>
      </c>
      <c r="P56" s="34">
        <v>1.2305517421672401</v>
      </c>
      <c r="Q56" s="34">
        <v>1.2312536174670501</v>
      </c>
      <c r="R56" s="33">
        <v>24.137732503756599</v>
      </c>
      <c r="S56" s="33">
        <v>24.111274826335901</v>
      </c>
      <c r="T56" s="33">
        <v>24.132778918589601</v>
      </c>
      <c r="U56" s="15">
        <v>-2.5763529839018099E-3</v>
      </c>
      <c r="V56" s="15">
        <v>-3.67306694908682E-3</v>
      </c>
      <c r="W56" s="15">
        <v>-2.78159568957908E-3</v>
      </c>
      <c r="X56" s="34">
        <v>1.23049307338235</v>
      </c>
      <c r="Y56" s="34">
        <v>1.23013967146909</v>
      </c>
      <c r="Z56" s="34">
        <v>1.23016587238746</v>
      </c>
      <c r="AA56" s="34">
        <v>1.2302214723212099</v>
      </c>
      <c r="AB56" s="33">
        <v>24.3626209599243</v>
      </c>
      <c r="AC56" s="33">
        <v>24.3639061610657</v>
      </c>
      <c r="AD56" s="33">
        <v>24.364397442032899</v>
      </c>
      <c r="AE56" s="15">
        <v>-2.8724474745737299E-4</v>
      </c>
      <c r="AF56" s="15">
        <v>-2.3449314714314799E-4</v>
      </c>
      <c r="AG56" s="15">
        <v>-2.1432905642241801E-4</v>
      </c>
      <c r="AI56" s="12"/>
      <c r="AJ56">
        <f t="shared" si="6"/>
        <v>0</v>
      </c>
      <c r="AK56">
        <f t="shared" si="7"/>
        <v>0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0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2.0588848121276169E-3</v>
      </c>
      <c r="BE56" s="29">
        <f t="shared" si="22"/>
        <v>0</v>
      </c>
      <c r="BF56" s="29">
        <f t="shared" si="23"/>
        <v>2.0588848121276169E-3</v>
      </c>
      <c r="BH56" s="29"/>
    </row>
    <row r="57" spans="1:60" x14ac:dyDescent="0.25">
      <c r="A57" s="1">
        <v>46105</v>
      </c>
      <c r="B57" s="33">
        <v>19.59</v>
      </c>
      <c r="C57" s="33">
        <v>24.17</v>
      </c>
      <c r="D57" s="15">
        <v>-5.10334280022221E-4</v>
      </c>
      <c r="E57" s="15">
        <v>-1.2404384472489199E-3</v>
      </c>
      <c r="F57" s="33">
        <v>0</v>
      </c>
      <c r="G57" s="33">
        <v>0.20476</v>
      </c>
      <c r="H57" s="33">
        <v>0</v>
      </c>
      <c r="I57" s="33">
        <v>0.16961999999999999</v>
      </c>
      <c r="J57" s="33">
        <v>0.20476</v>
      </c>
      <c r="K57" s="33">
        <v>0.16961999999999999</v>
      </c>
      <c r="L57" s="33">
        <v>19.79476</v>
      </c>
      <c r="M57" s="33">
        <v>24.33962</v>
      </c>
      <c r="N57" s="34">
        <v>1.2337927514037701</v>
      </c>
      <c r="O57" s="34">
        <v>1.23151696447737</v>
      </c>
      <c r="P57" s="34">
        <v>1.2308970244106101</v>
      </c>
      <c r="Q57" s="34">
        <v>1.2312233159200401</v>
      </c>
      <c r="R57" s="33">
        <v>24.125417334111798</v>
      </c>
      <c r="S57" s="33">
        <v>24.1065086290563</v>
      </c>
      <c r="T57" s="33">
        <v>24.120258366179499</v>
      </c>
      <c r="U57" s="15">
        <v>-1.8462488166750301E-3</v>
      </c>
      <c r="V57" s="15">
        <v>-2.6303230847732799E-3</v>
      </c>
      <c r="W57" s="15">
        <v>-2.0601112147893702E-3</v>
      </c>
      <c r="X57" s="34">
        <v>1.2295991464407701</v>
      </c>
      <c r="Y57" s="34">
        <v>1.23013967146909</v>
      </c>
      <c r="Z57" s="34">
        <v>1.2300881718016401</v>
      </c>
      <c r="AA57" s="34">
        <v>1.2301940694407401</v>
      </c>
      <c r="AB57" s="33">
        <v>24.350319563209599</v>
      </c>
      <c r="AC57" s="33">
        <v>24.350838204100398</v>
      </c>
      <c r="AD57" s="33">
        <v>24.3519387914451</v>
      </c>
      <c r="AE57" s="15">
        <v>4.39497911800933E-4</v>
      </c>
      <c r="AF57" s="15">
        <v>4.6079682602134201E-4</v>
      </c>
      <c r="AG57" s="15">
        <v>5.0599290775225198E-4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0</v>
      </c>
      <c r="AT57" s="12"/>
      <c r="AU57">
        <f t="shared" si="10"/>
        <v>0</v>
      </c>
      <c r="AV57">
        <f t="shared" si="11"/>
        <v>0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2.0588848121276169E-3</v>
      </c>
      <c r="BE57" s="29">
        <f t="shared" si="22"/>
        <v>0</v>
      </c>
      <c r="BF57" s="29">
        <f t="shared" si="23"/>
        <v>2.0588848121276169E-3</v>
      </c>
      <c r="BH57" s="29"/>
    </row>
    <row r="58" spans="1:60" x14ac:dyDescent="0.25">
      <c r="A58" s="1">
        <v>46106</v>
      </c>
      <c r="B58" s="33">
        <v>19.59</v>
      </c>
      <c r="C58" s="33">
        <v>24.19</v>
      </c>
      <c r="D58" s="15">
        <v>0</v>
      </c>
      <c r="E58" s="15">
        <v>8.2712990654411496E-4</v>
      </c>
      <c r="F58" s="33">
        <v>0</v>
      </c>
      <c r="G58" s="33">
        <v>0.20476</v>
      </c>
      <c r="H58" s="33">
        <v>0</v>
      </c>
      <c r="I58" s="33">
        <v>0.16961999999999999</v>
      </c>
      <c r="J58" s="33">
        <v>0.20476</v>
      </c>
      <c r="K58" s="33">
        <v>0.16961999999999999</v>
      </c>
      <c r="L58" s="33">
        <v>19.79476</v>
      </c>
      <c r="M58" s="33">
        <v>24.35962</v>
      </c>
      <c r="N58" s="34">
        <v>1.2348136804492</v>
      </c>
      <c r="O58" s="34">
        <v>1.23151696447737</v>
      </c>
      <c r="P58" s="34">
        <v>1.2313834685976599</v>
      </c>
      <c r="Q58" s="34">
        <v>1.2312186929917099</v>
      </c>
      <c r="R58" s="33">
        <v>24.125417334111798</v>
      </c>
      <c r="S58" s="33">
        <v>24.113272708203901</v>
      </c>
      <c r="T58" s="33">
        <v>24.119664758873601</v>
      </c>
      <c r="U58" s="15">
        <v>-2.6733787232193001E-3</v>
      </c>
      <c r="V58" s="15">
        <v>-3.1769009438205801E-3</v>
      </c>
      <c r="W58" s="15">
        <v>-2.9118517453772899E-3</v>
      </c>
      <c r="X58" s="34">
        <v>1.2306095148413001</v>
      </c>
      <c r="Y58" s="34">
        <v>1.23013967146909</v>
      </c>
      <c r="Z58" s="34">
        <v>1.23015030489938</v>
      </c>
      <c r="AA58" s="34">
        <v>1.23019199261137</v>
      </c>
      <c r="AB58" s="33">
        <v>24.350319563209599</v>
      </c>
      <c r="AC58" s="33">
        <v>24.3493001396523</v>
      </c>
      <c r="AD58" s="33">
        <v>24.351396358002901</v>
      </c>
      <c r="AE58" s="15">
        <v>-3.8187018858051099E-4</v>
      </c>
      <c r="AF58" s="15">
        <v>-4.2373595934644002E-4</v>
      </c>
      <c r="AG58" s="15">
        <v>-3.3765019455768999E-4</v>
      </c>
      <c r="AI58" s="12"/>
      <c r="AJ58">
        <f t="shared" si="6"/>
        <v>0</v>
      </c>
      <c r="AK58">
        <f t="shared" si="7"/>
        <v>0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0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2.0588848121276169E-3</v>
      </c>
      <c r="BE58" s="29">
        <f t="shared" si="22"/>
        <v>0</v>
      </c>
      <c r="BF58" s="29">
        <f t="shared" si="23"/>
        <v>2.0588848121276169E-3</v>
      </c>
      <c r="BH58" s="29"/>
    </row>
    <row r="59" spans="1:60" x14ac:dyDescent="0.25">
      <c r="A59" s="1">
        <v>46107</v>
      </c>
      <c r="B59" s="33">
        <v>19.579999999999998</v>
      </c>
      <c r="C59" s="33">
        <v>24.16</v>
      </c>
      <c r="D59" s="15">
        <v>-5.1059485408513699E-4</v>
      </c>
      <c r="E59" s="15">
        <v>-1.2409515553217299E-3</v>
      </c>
      <c r="F59" s="33">
        <v>0</v>
      </c>
      <c r="G59" s="33">
        <v>0.20476</v>
      </c>
      <c r="H59" s="33">
        <v>0</v>
      </c>
      <c r="I59" s="33">
        <v>0.16961999999999999</v>
      </c>
      <c r="J59" s="33">
        <v>0.20476</v>
      </c>
      <c r="K59" s="33">
        <v>0.16961999999999999</v>
      </c>
      <c r="L59" s="33">
        <v>19.784759999999999</v>
      </c>
      <c r="M59" s="33">
        <v>24.329619999999998</v>
      </c>
      <c r="N59" s="34">
        <v>1.2339121552604699</v>
      </c>
      <c r="O59" s="34">
        <v>1.23151696447737</v>
      </c>
      <c r="P59" s="34">
        <v>1.2317838397696901</v>
      </c>
      <c r="Q59" s="34">
        <v>1.2311689938039501</v>
      </c>
      <c r="R59" s="33">
        <v>24.113102164467001</v>
      </c>
      <c r="S59" s="33">
        <v>24.110488315142302</v>
      </c>
      <c r="T59" s="33">
        <v>24.107262008777798</v>
      </c>
      <c r="U59" s="15">
        <v>-1.94302202198274E-3</v>
      </c>
      <c r="V59" s="15">
        <v>-2.0514274435331202E-3</v>
      </c>
      <c r="W59" s="15">
        <v>-2.1852497951637701E-3</v>
      </c>
      <c r="X59" s="34">
        <v>1.22971519492781</v>
      </c>
      <c r="Y59" s="34">
        <v>1.23013967146909</v>
      </c>
      <c r="Z59" s="34">
        <v>1.2301270493523599</v>
      </c>
      <c r="AA59" s="34">
        <v>1.23014519978633</v>
      </c>
      <c r="AB59" s="33">
        <v>24.338018166494901</v>
      </c>
      <c r="AC59" s="33">
        <v>24.338228546361101</v>
      </c>
      <c r="AD59" s="33">
        <v>24.339053327737801</v>
      </c>
      <c r="AE59" s="15">
        <v>3.4512324389306701E-4</v>
      </c>
      <c r="AF59" s="15">
        <v>3.5376729023616502E-4</v>
      </c>
      <c r="AG59" s="15">
        <v>3.8765502369399201E-4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0</v>
      </c>
      <c r="AT59" s="12"/>
      <c r="AU59">
        <f t="shared" si="10"/>
        <v>0</v>
      </c>
      <c r="AV59">
        <f t="shared" si="11"/>
        <v>0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2.0588848121276169E-3</v>
      </c>
      <c r="BE59" s="29">
        <f t="shared" si="22"/>
        <v>0</v>
      </c>
      <c r="BF59" s="29">
        <f t="shared" si="23"/>
        <v>2.0588848121276169E-3</v>
      </c>
      <c r="BH59" s="29"/>
    </row>
    <row r="60" spans="1:60" x14ac:dyDescent="0.25">
      <c r="A60" s="1">
        <v>46108</v>
      </c>
      <c r="B60" s="33">
        <v>19.59</v>
      </c>
      <c r="C60" s="33">
        <v>24.19</v>
      </c>
      <c r="D60" s="15">
        <v>5.10594854085132E-4</v>
      </c>
      <c r="E60" s="15">
        <v>1.2409515553216499E-3</v>
      </c>
      <c r="F60" s="33">
        <v>0</v>
      </c>
      <c r="G60" s="33">
        <v>0.20476</v>
      </c>
      <c r="H60" s="33">
        <v>0</v>
      </c>
      <c r="I60" s="33">
        <v>0.16961999999999999</v>
      </c>
      <c r="J60" s="33">
        <v>0.20476</v>
      </c>
      <c r="K60" s="33">
        <v>0.16961999999999999</v>
      </c>
      <c r="L60" s="33">
        <v>19.79476</v>
      </c>
      <c r="M60" s="33">
        <v>24.35962</v>
      </c>
      <c r="N60" s="34">
        <v>1.2348136804492</v>
      </c>
      <c r="O60" s="34">
        <v>1.23151696447737</v>
      </c>
      <c r="P60" s="34">
        <v>1.2322234987606999</v>
      </c>
      <c r="Q60" s="34">
        <v>1.23120161903269</v>
      </c>
      <c r="R60" s="33">
        <v>24.125417334111798</v>
      </c>
      <c r="S60" s="33">
        <v>24.1306454210883</v>
      </c>
      <c r="T60" s="33">
        <v>24.118600588619401</v>
      </c>
      <c r="U60" s="15">
        <v>-2.6733787232193001E-3</v>
      </c>
      <c r="V60" s="15">
        <v>-2.4566976805294001E-3</v>
      </c>
      <c r="W60" s="15">
        <v>-2.9559731600548502E-3</v>
      </c>
      <c r="X60" s="34">
        <v>1.2306095148413001</v>
      </c>
      <c r="Y60" s="34">
        <v>1.23013967146909</v>
      </c>
      <c r="Z60" s="34">
        <v>1.2301427138071599</v>
      </c>
      <c r="AA60" s="34">
        <v>1.23017989955906</v>
      </c>
      <c r="AB60" s="33">
        <v>24.350319563209599</v>
      </c>
      <c r="AC60" s="33">
        <v>24.350069711438099</v>
      </c>
      <c r="AD60" s="33">
        <v>24.350428994922499</v>
      </c>
      <c r="AE60" s="15">
        <v>-3.8187018858051099E-4</v>
      </c>
      <c r="AF60" s="15">
        <v>-3.9213095960065998E-4</v>
      </c>
      <c r="AG60" s="15">
        <v>-3.77376142139746E-4</v>
      </c>
      <c r="AI60" s="12"/>
      <c r="AJ60">
        <f t="shared" si="6"/>
        <v>0</v>
      </c>
      <c r="AK60">
        <f t="shared" si="7"/>
        <v>0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0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2.0588848121276169E-3</v>
      </c>
      <c r="BE60" s="29">
        <f t="shared" si="22"/>
        <v>0</v>
      </c>
      <c r="BF60" s="29">
        <f t="shared" si="23"/>
        <v>2.0588848121276169E-3</v>
      </c>
      <c r="BH60" s="29"/>
    </row>
    <row r="61" spans="1:60" x14ac:dyDescent="0.25">
      <c r="A61" s="1">
        <v>46111</v>
      </c>
      <c r="B61" s="33">
        <v>19.61</v>
      </c>
      <c r="C61" s="33">
        <v>24.2</v>
      </c>
      <c r="D61" s="15">
        <v>1.02040825180545E-3</v>
      </c>
      <c r="E61" s="15">
        <v>4.13308540704658E-4</v>
      </c>
      <c r="F61" s="33">
        <v>0</v>
      </c>
      <c r="G61" s="33">
        <v>0.20476</v>
      </c>
      <c r="H61" s="33">
        <v>0</v>
      </c>
      <c r="I61" s="33">
        <v>0.16961999999999999</v>
      </c>
      <c r="J61" s="33">
        <v>0.20476</v>
      </c>
      <c r="K61" s="33">
        <v>0.16961999999999999</v>
      </c>
      <c r="L61" s="33">
        <v>19.81476</v>
      </c>
      <c r="M61" s="33">
        <v>24.369619999999902</v>
      </c>
      <c r="N61" s="34">
        <v>1.2340642529321699</v>
      </c>
      <c r="O61" s="34">
        <v>1.23151696447737</v>
      </c>
      <c r="P61" s="34">
        <v>1.232588215</v>
      </c>
      <c r="Q61" s="34">
        <v>1.231424851953</v>
      </c>
      <c r="R61" s="33">
        <v>24.150047673401399</v>
      </c>
      <c r="S61" s="33">
        <v>24.163902810697302</v>
      </c>
      <c r="T61" s="33">
        <v>24.143863749231201</v>
      </c>
      <c r="U61" s="15">
        <v>-2.06627901211852E-3</v>
      </c>
      <c r="V61" s="15">
        <v>-1.4927329643654201E-3</v>
      </c>
      <c r="W61" s="15">
        <v>-2.3223744089011099E-3</v>
      </c>
      <c r="X61" s="34">
        <v>1.22987207516013</v>
      </c>
      <c r="Y61" s="34">
        <v>1.23013967146909</v>
      </c>
      <c r="Z61" s="34">
        <v>1.2300846342938401</v>
      </c>
      <c r="AA61" s="34">
        <v>1.23019145846744</v>
      </c>
      <c r="AB61" s="33">
        <v>24.374922356639001</v>
      </c>
      <c r="AC61" s="33">
        <v>24.374982639837601</v>
      </c>
      <c r="AD61" s="33">
        <v>24.375719466586901</v>
      </c>
      <c r="AE61" s="15">
        <v>2.1755693678078699E-4</v>
      </c>
      <c r="AF61" s="15">
        <v>2.2003009846617301E-4</v>
      </c>
      <c r="AG61" s="15">
        <v>2.5025845283120602E-4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0</v>
      </c>
      <c r="AT61" s="12"/>
      <c r="AU61">
        <f t="shared" si="10"/>
        <v>0</v>
      </c>
      <c r="AV61">
        <f t="shared" si="11"/>
        <v>0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2.0588848121276169E-3</v>
      </c>
      <c r="BE61" s="29">
        <f t="shared" si="22"/>
        <v>0</v>
      </c>
      <c r="BF61" s="29">
        <f t="shared" si="23"/>
        <v>2.0588848121276169E-3</v>
      </c>
      <c r="BH61" s="29"/>
    </row>
    <row r="62" spans="1:60" x14ac:dyDescent="0.25">
      <c r="A62" s="1">
        <v>46112</v>
      </c>
      <c r="B62" s="33">
        <v>19.63</v>
      </c>
      <c r="C62" s="33">
        <v>24.24</v>
      </c>
      <c r="D62" s="15">
        <v>1.0193680801147799E-3</v>
      </c>
      <c r="E62" s="15">
        <v>1.6515280384729299E-3</v>
      </c>
      <c r="F62" s="33">
        <v>0</v>
      </c>
      <c r="G62" s="33">
        <v>0.20476</v>
      </c>
      <c r="H62" s="33">
        <v>0</v>
      </c>
      <c r="I62" s="33">
        <v>0.16961999999999999</v>
      </c>
      <c r="J62" s="33">
        <v>0.20476</v>
      </c>
      <c r="K62" s="33">
        <v>0.16961999999999999</v>
      </c>
      <c r="L62" s="33">
        <v>19.834759999999999</v>
      </c>
      <c r="M62" s="33">
        <v>24.409619999999901</v>
      </c>
      <c r="N62" s="34">
        <v>1.2348446255731</v>
      </c>
      <c r="O62" s="34">
        <v>1.23151696447737</v>
      </c>
      <c r="P62" s="34">
        <v>1.2331051978825101</v>
      </c>
      <c r="Q62" s="34">
        <v>1.2316247189495599</v>
      </c>
      <c r="R62" s="33">
        <v>24.174678012690901</v>
      </c>
      <c r="S62" s="33">
        <v>24.19570666045</v>
      </c>
      <c r="T62" s="33">
        <v>24.1728698438374</v>
      </c>
      <c r="U62" s="15">
        <v>-2.6984389704766301E-3</v>
      </c>
      <c r="V62" s="15">
        <v>-1.8289545028218901E-3</v>
      </c>
      <c r="W62" s="15">
        <v>-2.7732377528150399E-3</v>
      </c>
      <c r="X62" s="34">
        <v>1.23064861888926</v>
      </c>
      <c r="Y62" s="34">
        <v>1.23013967146909</v>
      </c>
      <c r="Z62" s="34">
        <v>1.23017792793526</v>
      </c>
      <c r="AA62" s="34">
        <v>1.23017988942803</v>
      </c>
      <c r="AB62" s="33">
        <v>24.399525150068399</v>
      </c>
      <c r="AC62" s="33">
        <v>24.398433500906201</v>
      </c>
      <c r="AD62" s="33">
        <v>24.400552332751801</v>
      </c>
      <c r="AE62" s="15">
        <v>-4.1364584626460898E-4</v>
      </c>
      <c r="AF62" s="15">
        <v>-4.5838743761524801E-4</v>
      </c>
      <c r="AG62" s="15">
        <v>-3.7154826213936601E-4</v>
      </c>
      <c r="AI62" s="12"/>
      <c r="AJ62">
        <f t="shared" si="6"/>
        <v>0</v>
      </c>
      <c r="AK62">
        <f t="shared" si="7"/>
        <v>0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0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2.0588848121276169E-3</v>
      </c>
      <c r="BE62" s="29">
        <f t="shared" si="22"/>
        <v>0</v>
      </c>
      <c r="BF62" s="29">
        <f t="shared" si="23"/>
        <v>2.0588848121276169E-3</v>
      </c>
      <c r="BH62" s="29"/>
    </row>
    <row r="63" spans="1:60" x14ac:dyDescent="0.25">
      <c r="A63" s="1">
        <v>46113</v>
      </c>
      <c r="B63" s="33">
        <v>19.64</v>
      </c>
      <c r="C63" s="33">
        <v>24.16</v>
      </c>
      <c r="D63" s="15">
        <v>5.0929463795013497E-4</v>
      </c>
      <c r="E63" s="15">
        <v>-3.3057881344994299E-3</v>
      </c>
      <c r="F63" s="33">
        <v>0</v>
      </c>
      <c r="G63" s="33">
        <v>0.20476</v>
      </c>
      <c r="H63" s="33">
        <v>8.5801000000000002E-2</v>
      </c>
      <c r="I63" s="33">
        <v>0.25542100000000001</v>
      </c>
      <c r="J63" s="33">
        <v>0.20476</v>
      </c>
      <c r="K63" s="33">
        <v>0.25542100000000001</v>
      </c>
      <c r="L63" s="33">
        <v>19.844760000000001</v>
      </c>
      <c r="M63" s="33">
        <v>24.415420999999998</v>
      </c>
      <c r="N63" s="34">
        <v>1.23014256619144</v>
      </c>
      <c r="O63" s="34">
        <v>1.23151696447737</v>
      </c>
      <c r="P63" s="34">
        <v>1.2331402984264099</v>
      </c>
      <c r="Q63" s="34">
        <v>1.2316148508106299</v>
      </c>
      <c r="R63" s="33">
        <v>24.186993182335701</v>
      </c>
      <c r="S63" s="33">
        <v>24.218186086412601</v>
      </c>
      <c r="T63" s="33">
        <v>24.189109480169499</v>
      </c>
      <c r="U63" s="15">
        <v>1.116643801973E-3</v>
      </c>
      <c r="V63" s="15">
        <v>2.4054690419950502E-3</v>
      </c>
      <c r="W63" s="15">
        <v>1.20413732537184E-3</v>
      </c>
      <c r="X63" s="34">
        <v>1.2303208000499799</v>
      </c>
      <c r="Y63" s="34">
        <v>1.23013967146909</v>
      </c>
      <c r="Z63" s="34">
        <v>1.23022684215475</v>
      </c>
      <c r="AA63" s="34">
        <v>1.2301771218155799</v>
      </c>
      <c r="AB63" s="33">
        <v>24.4118265467831</v>
      </c>
      <c r="AC63" s="33">
        <v>24.412585737172598</v>
      </c>
      <c r="AD63" s="33">
        <v>24.4126246625259</v>
      </c>
      <c r="AE63" s="15">
        <v>-1.47231449814729E-4</v>
      </c>
      <c r="AF63" s="15">
        <v>-1.16132646815834E-4</v>
      </c>
      <c r="AG63" s="15">
        <v>-1.14538169168808E-4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0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2.0588848121276169E-3</v>
      </c>
      <c r="BE63" s="29">
        <f t="shared" si="22"/>
        <v>0</v>
      </c>
      <c r="BF63" s="29">
        <f t="shared" si="23"/>
        <v>2.0588848121276169E-3</v>
      </c>
      <c r="BH63" s="29"/>
    </row>
    <row r="64" spans="1:60" x14ac:dyDescent="0.25">
      <c r="A64" s="1">
        <v>46114</v>
      </c>
      <c r="B64" s="33">
        <v>19.64</v>
      </c>
      <c r="C64" s="33">
        <v>24.16</v>
      </c>
      <c r="D64" s="15">
        <v>0</v>
      </c>
      <c r="E64" s="15">
        <v>0</v>
      </c>
      <c r="F64" s="33">
        <v>0</v>
      </c>
      <c r="G64" s="33">
        <v>0.20476</v>
      </c>
      <c r="H64" s="33">
        <v>0</v>
      </c>
      <c r="I64" s="33">
        <v>0.25542100000000001</v>
      </c>
      <c r="J64" s="33">
        <v>0.20476</v>
      </c>
      <c r="K64" s="33">
        <v>0.25542100000000001</v>
      </c>
      <c r="L64" s="33">
        <v>19.844760000000001</v>
      </c>
      <c r="M64" s="33">
        <v>24.415420999999998</v>
      </c>
      <c r="N64" s="34">
        <v>1.23014256619144</v>
      </c>
      <c r="O64" s="34">
        <v>1.23151696447737</v>
      </c>
      <c r="P64" s="34">
        <v>1.2331245601294401</v>
      </c>
      <c r="Q64" s="34">
        <v>1.2316303505052899</v>
      </c>
      <c r="R64" s="33">
        <v>24.186993182335701</v>
      </c>
      <c r="S64" s="33">
        <v>24.2188754610948</v>
      </c>
      <c r="T64" s="33">
        <v>24.188915669920899</v>
      </c>
      <c r="U64" s="15">
        <v>1.116643801973E-3</v>
      </c>
      <c r="V64" s="15">
        <v>2.4339338026668801E-3</v>
      </c>
      <c r="W64" s="15">
        <v>1.1961249996099901E-3</v>
      </c>
      <c r="X64" s="34">
        <v>1.2303208000499799</v>
      </c>
      <c r="Y64" s="34">
        <v>1.23013967146909</v>
      </c>
      <c r="Z64" s="34">
        <v>1.23022526988644</v>
      </c>
      <c r="AA64" s="34">
        <v>1.2301995465720601</v>
      </c>
      <c r="AB64" s="33">
        <v>24.4118265467831</v>
      </c>
      <c r="AC64" s="33">
        <v>24.413556428118898</v>
      </c>
      <c r="AD64" s="33">
        <v>24.4125697399211</v>
      </c>
      <c r="AE64" s="15">
        <v>-1.47231449814729E-4</v>
      </c>
      <c r="AF64" s="15">
        <v>-7.6371531010133696E-5</v>
      </c>
      <c r="AG64" s="15">
        <v>-1.16787934089821E-4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0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2.0588848121276169E-3</v>
      </c>
      <c r="BE64" s="29">
        <f t="shared" si="22"/>
        <v>0</v>
      </c>
      <c r="BF64" s="29">
        <f t="shared" si="23"/>
        <v>2.0588848121276169E-3</v>
      </c>
      <c r="BH64" s="29"/>
    </row>
    <row r="65" spans="1:60" x14ac:dyDescent="0.25">
      <c r="A65" s="1">
        <v>46118</v>
      </c>
      <c r="B65" s="33">
        <v>19.649999999999999</v>
      </c>
      <c r="C65" s="33">
        <v>24.16</v>
      </c>
      <c r="D65" s="15">
        <v>5.0903538895028097E-4</v>
      </c>
      <c r="E65" s="15">
        <v>0</v>
      </c>
      <c r="F65" s="33">
        <v>0</v>
      </c>
      <c r="G65" s="33">
        <v>0.20476</v>
      </c>
      <c r="H65" s="33">
        <v>0</v>
      </c>
      <c r="I65" s="33">
        <v>0.25542100000000001</v>
      </c>
      <c r="J65" s="33">
        <v>0.20476</v>
      </c>
      <c r="K65" s="33">
        <v>0.25542100000000001</v>
      </c>
      <c r="L65" s="33">
        <v>19.854759999999999</v>
      </c>
      <c r="M65" s="33">
        <v>24.415420999999998</v>
      </c>
      <c r="N65" s="34">
        <v>1.2295165394401999</v>
      </c>
      <c r="O65" s="34">
        <v>1.23151696447737</v>
      </c>
      <c r="P65" s="34">
        <v>1.2330736695441999</v>
      </c>
      <c r="Q65" s="34">
        <v>1.23162037626026</v>
      </c>
      <c r="R65" s="33">
        <v>24.199308351980498</v>
      </c>
      <c r="S65" s="33">
        <v>24.2308976065436</v>
      </c>
      <c r="T65" s="33">
        <v>24.201536387429002</v>
      </c>
      <c r="U65" s="15">
        <v>1.62567919092334E-3</v>
      </c>
      <c r="V65" s="15">
        <v>2.9302063312806499E-3</v>
      </c>
      <c r="W65" s="15">
        <v>1.7177451646499199E-3</v>
      </c>
      <c r="X65" s="34">
        <v>1.22970113967632</v>
      </c>
      <c r="Y65" s="34">
        <v>1.23013967146909</v>
      </c>
      <c r="Z65" s="34">
        <v>1.23018898782592</v>
      </c>
      <c r="AA65" s="34">
        <v>1.2301967764214501</v>
      </c>
      <c r="AB65" s="33">
        <v>24.424127943497702</v>
      </c>
      <c r="AC65" s="33">
        <v>24.4258274795306</v>
      </c>
      <c r="AD65" s="33">
        <v>24.425316749297199</v>
      </c>
      <c r="AE65" s="15">
        <v>3.5655298946796801E-4</v>
      </c>
      <c r="AF65" s="15">
        <v>4.2613487624025499E-4</v>
      </c>
      <c r="AG65" s="15">
        <v>4.0522522339650198E-4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0</v>
      </c>
      <c r="AT65" s="12"/>
      <c r="AU65">
        <f t="shared" si="10"/>
        <v>0</v>
      </c>
      <c r="AV65">
        <f t="shared" si="11"/>
        <v>0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2.0588848121276169E-3</v>
      </c>
      <c r="BE65" s="29">
        <f t="shared" si="22"/>
        <v>0</v>
      </c>
      <c r="BF65" s="29">
        <f t="shared" si="23"/>
        <v>2.0588848121276169E-3</v>
      </c>
      <c r="BH65" s="29"/>
    </row>
    <row r="66" spans="1:60" x14ac:dyDescent="0.25">
      <c r="A66" s="1">
        <v>46119</v>
      </c>
      <c r="B66" s="33">
        <v>19.66</v>
      </c>
      <c r="C66" s="33">
        <v>24.17</v>
      </c>
      <c r="D66" s="15">
        <v>5.0877640375042205E-4</v>
      </c>
      <c r="E66" s="15">
        <v>4.1382164877743302E-4</v>
      </c>
      <c r="F66" s="33">
        <v>0</v>
      </c>
      <c r="G66" s="33">
        <v>0.20476</v>
      </c>
      <c r="H66" s="33">
        <v>0</v>
      </c>
      <c r="I66" s="33">
        <v>0.25542100000000001</v>
      </c>
      <c r="J66" s="33">
        <v>0.20476</v>
      </c>
      <c r="K66" s="33">
        <v>0.25542100000000001</v>
      </c>
      <c r="L66" s="33">
        <v>19.86476</v>
      </c>
      <c r="M66" s="33">
        <v>24.425421</v>
      </c>
      <c r="N66" s="34">
        <v>1.2293997965412</v>
      </c>
      <c r="O66" s="34">
        <v>1.23151696447737</v>
      </c>
      <c r="P66" s="34">
        <v>1.23254426144322</v>
      </c>
      <c r="Q66" s="34">
        <v>1.2315480018052301</v>
      </c>
      <c r="R66" s="33">
        <v>24.211623521625199</v>
      </c>
      <c r="S66" s="33">
        <v>24.242228343239098</v>
      </c>
      <c r="T66" s="33">
        <v>24.213656597276799</v>
      </c>
      <c r="U66" s="15">
        <v>1.7206339458962E-3</v>
      </c>
      <c r="V66" s="15">
        <v>2.9838906120178898E-3</v>
      </c>
      <c r="W66" s="15">
        <v>1.80460147887537E-3</v>
      </c>
      <c r="X66" s="34">
        <v>1.22958550719968</v>
      </c>
      <c r="Y66" s="34">
        <v>1.23013967146909</v>
      </c>
      <c r="Z66" s="34">
        <v>1.2300982312076501</v>
      </c>
      <c r="AA66" s="34">
        <v>1.23013205179756</v>
      </c>
      <c r="AB66" s="33">
        <v>24.436429340212399</v>
      </c>
      <c r="AC66" s="33">
        <v>24.437408997804901</v>
      </c>
      <c r="AD66" s="33">
        <v>24.437563716385799</v>
      </c>
      <c r="AE66" s="15">
        <v>4.50590402209018E-4</v>
      </c>
      <c r="AF66" s="15">
        <v>4.9067964528388399E-4</v>
      </c>
      <c r="AG66" s="15">
        <v>4.9701084394569597E-4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0</v>
      </c>
      <c r="AT66" s="12"/>
      <c r="AU66">
        <f t="shared" si="10"/>
        <v>0</v>
      </c>
      <c r="AV66">
        <f t="shared" si="11"/>
        <v>0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2.0588848121276169E-3</v>
      </c>
      <c r="BE66" s="29">
        <f t="shared" si="22"/>
        <v>0</v>
      </c>
      <c r="BF66" s="29">
        <f t="shared" si="23"/>
        <v>2.0588848121276169E-3</v>
      </c>
      <c r="BH66" s="29"/>
    </row>
    <row r="67" spans="1:60" x14ac:dyDescent="0.25">
      <c r="A67" s="1">
        <v>46120</v>
      </c>
      <c r="B67" s="33">
        <v>19.66</v>
      </c>
      <c r="C67" s="33">
        <v>24.19</v>
      </c>
      <c r="D67" s="15">
        <v>0</v>
      </c>
      <c r="E67" s="15">
        <v>8.2712990654411496E-4</v>
      </c>
      <c r="F67" s="33">
        <v>0</v>
      </c>
      <c r="G67" s="33">
        <v>0.20476</v>
      </c>
      <c r="H67" s="33">
        <v>0</v>
      </c>
      <c r="I67" s="33">
        <v>0.25542100000000001</v>
      </c>
      <c r="J67" s="33">
        <v>0.20476</v>
      </c>
      <c r="K67" s="33">
        <v>0.25542100000000001</v>
      </c>
      <c r="L67" s="33">
        <v>19.86476</v>
      </c>
      <c r="M67" s="33">
        <v>24.445421</v>
      </c>
      <c r="N67" s="34">
        <v>1.23041709053916</v>
      </c>
      <c r="O67" s="34">
        <v>1.23151696447737</v>
      </c>
      <c r="P67" s="34">
        <v>1.2322066953567601</v>
      </c>
      <c r="Q67" s="34">
        <v>1.2315518598836801</v>
      </c>
      <c r="R67" s="33">
        <v>24.211623521625199</v>
      </c>
      <c r="S67" s="33">
        <v>24.231820179973699</v>
      </c>
      <c r="T67" s="33">
        <v>24.2122337154909</v>
      </c>
      <c r="U67" s="15">
        <v>8.9350403935184604E-4</v>
      </c>
      <c r="V67" s="15">
        <v>1.7273283084551999E-3</v>
      </c>
      <c r="W67" s="15">
        <v>9.1870623927835498E-4</v>
      </c>
      <c r="X67" s="34">
        <v>1.23059231523562</v>
      </c>
      <c r="Y67" s="34">
        <v>1.23013967146909</v>
      </c>
      <c r="Z67" s="34">
        <v>1.2301975480871401</v>
      </c>
      <c r="AA67" s="34">
        <v>1.23014285994439</v>
      </c>
      <c r="AB67" s="33">
        <v>24.436429340212399</v>
      </c>
      <c r="AC67" s="33">
        <v>24.435606139364602</v>
      </c>
      <c r="AD67" s="33">
        <v>24.436277977266101</v>
      </c>
      <c r="AE67" s="15">
        <v>-3.6789359757661899E-4</v>
      </c>
      <c r="AF67" s="15">
        <v>-4.0158160912965202E-4</v>
      </c>
      <c r="AG67" s="15">
        <v>-3.7408776829788299E-4</v>
      </c>
      <c r="AI67" s="12"/>
      <c r="AJ67">
        <f t="shared" si="6"/>
        <v>0</v>
      </c>
      <c r="AK67">
        <f t="shared" si="7"/>
        <v>0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0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2.0588848121276169E-3</v>
      </c>
      <c r="BE67" s="29">
        <f t="shared" si="22"/>
        <v>0</v>
      </c>
      <c r="BF67" s="29">
        <f t="shared" si="23"/>
        <v>2.0588848121276169E-3</v>
      </c>
      <c r="BH67" s="29"/>
    </row>
    <row r="68" spans="1:60" x14ac:dyDescent="0.25">
      <c r="A68" s="1">
        <v>46121</v>
      </c>
      <c r="B68" s="33">
        <v>19.66</v>
      </c>
      <c r="C68" s="33">
        <v>24.19</v>
      </c>
      <c r="D68" s="15">
        <v>0</v>
      </c>
      <c r="E68" s="15">
        <v>0</v>
      </c>
      <c r="F68" s="33">
        <v>0</v>
      </c>
      <c r="G68" s="33">
        <v>0.20476</v>
      </c>
      <c r="H68" s="33">
        <v>0</v>
      </c>
      <c r="I68" s="33">
        <v>0.25542100000000001</v>
      </c>
      <c r="J68" s="33">
        <v>0.20476</v>
      </c>
      <c r="K68" s="33">
        <v>0.25542100000000001</v>
      </c>
      <c r="L68" s="33">
        <v>19.86476</v>
      </c>
      <c r="M68" s="33">
        <v>24.445421</v>
      </c>
      <c r="N68" s="34">
        <v>1.23041709053916</v>
      </c>
      <c r="O68" s="34">
        <v>1.23151696447737</v>
      </c>
      <c r="P68" s="34">
        <v>1.23176703636575</v>
      </c>
      <c r="Q68" s="34">
        <v>1.2315752524817101</v>
      </c>
      <c r="R68" s="33">
        <v>24.211623521625199</v>
      </c>
      <c r="S68" s="33">
        <v>24.2251836307139</v>
      </c>
      <c r="T68" s="33">
        <v>24.212309565313301</v>
      </c>
      <c r="U68" s="15">
        <v>8.9350403935184604E-4</v>
      </c>
      <c r="V68" s="15">
        <v>1.45341334139487E-3</v>
      </c>
      <c r="W68" s="15">
        <v>9.21838940891363E-4</v>
      </c>
      <c r="X68" s="34">
        <v>1.23059231523562</v>
      </c>
      <c r="Y68" s="34">
        <v>1.23013967146909</v>
      </c>
      <c r="Z68" s="34">
        <v>1.2301958281265699</v>
      </c>
      <c r="AA68" s="34">
        <v>1.23017306651298</v>
      </c>
      <c r="AB68" s="33">
        <v>24.436429340212399</v>
      </c>
      <c r="AC68" s="33">
        <v>24.437579045339501</v>
      </c>
      <c r="AD68" s="33">
        <v>24.436492678509001</v>
      </c>
      <c r="AE68" s="15">
        <v>-3.6789359757661899E-4</v>
      </c>
      <c r="AF68" s="15">
        <v>-3.20845885909408E-4</v>
      </c>
      <c r="AG68" s="15">
        <v>-3.65301638925134E-4</v>
      </c>
      <c r="AI68" s="12"/>
      <c r="AJ68">
        <f t="shared" si="6"/>
        <v>0</v>
      </c>
      <c r="AK68">
        <f t="shared" si="7"/>
        <v>0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0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2.0588848121276169E-3</v>
      </c>
      <c r="BE68" s="29">
        <f t="shared" si="22"/>
        <v>0</v>
      </c>
      <c r="BF68" s="29">
        <f t="shared" si="23"/>
        <v>2.0588848121276169E-3</v>
      </c>
      <c r="BH68" s="29"/>
    </row>
    <row r="69" spans="1:60" x14ac:dyDescent="0.25">
      <c r="A69" s="1">
        <v>46122</v>
      </c>
      <c r="B69" s="33">
        <v>19.68</v>
      </c>
      <c r="C69" s="33">
        <v>24.19</v>
      </c>
      <c r="D69" s="15">
        <v>1.01677690508681E-3</v>
      </c>
      <c r="E69" s="15">
        <v>0</v>
      </c>
      <c r="F69" s="33">
        <v>0</v>
      </c>
      <c r="G69" s="33">
        <v>0.20476</v>
      </c>
      <c r="H69" s="33">
        <v>0</v>
      </c>
      <c r="I69" s="33">
        <v>0.25542100000000001</v>
      </c>
      <c r="J69" s="33">
        <v>0.20476</v>
      </c>
      <c r="K69" s="33">
        <v>0.25542100000000001</v>
      </c>
      <c r="L69" s="33">
        <v>19.88476</v>
      </c>
      <c r="M69" s="33">
        <v>24.445421</v>
      </c>
      <c r="N69" s="34">
        <v>1.2291666666666601</v>
      </c>
      <c r="O69" s="34">
        <v>1.23151696447737</v>
      </c>
      <c r="P69" s="34">
        <v>1.23129248750637</v>
      </c>
      <c r="Q69" s="34">
        <v>1.23153816363803</v>
      </c>
      <c r="R69" s="33">
        <v>24.2362538609148</v>
      </c>
      <c r="S69" s="33">
        <v>24.241175275678099</v>
      </c>
      <c r="T69" s="33">
        <v>24.237400968840099</v>
      </c>
      <c r="U69" s="15">
        <v>1.9102809444385401E-3</v>
      </c>
      <c r="V69" s="15">
        <v>2.11332037403949E-3</v>
      </c>
      <c r="W69" s="15">
        <v>1.9576100732007599E-3</v>
      </c>
      <c r="X69" s="34">
        <v>1.2293545911542301</v>
      </c>
      <c r="Y69" s="34">
        <v>1.23013967146909</v>
      </c>
      <c r="Z69" s="34">
        <v>1.23015976774921</v>
      </c>
      <c r="AA69" s="34">
        <v>1.2301434085507801</v>
      </c>
      <c r="AB69" s="33">
        <v>24.461032133641801</v>
      </c>
      <c r="AC69" s="33">
        <v>24.462148795298098</v>
      </c>
      <c r="AD69" s="33">
        <v>24.461696186074601</v>
      </c>
      <c r="AE69" s="15">
        <v>6.3840794708297597E-4</v>
      </c>
      <c r="AF69" s="15">
        <v>6.84057540396812E-4</v>
      </c>
      <c r="AG69" s="15">
        <v>6.6555493808790396E-4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0</v>
      </c>
      <c r="AT69" s="12"/>
      <c r="AU69">
        <f t="shared" si="10"/>
        <v>0</v>
      </c>
      <c r="AV69">
        <f t="shared" si="11"/>
        <v>0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2.0588848121276169E-3</v>
      </c>
      <c r="BE69" s="29">
        <f t="shared" si="22"/>
        <v>0</v>
      </c>
      <c r="BF69" s="29">
        <f t="shared" si="23"/>
        <v>2.0588848121276169E-3</v>
      </c>
      <c r="BH69" s="29"/>
    </row>
    <row r="70" spans="1:60" x14ac:dyDescent="0.25">
      <c r="A70" s="1">
        <v>46125</v>
      </c>
      <c r="B70" s="33">
        <v>19.670000000000002</v>
      </c>
      <c r="C70" s="33">
        <v>24.21</v>
      </c>
      <c r="D70" s="15">
        <v>-5.0825922313953295E-4</v>
      </c>
      <c r="E70" s="15">
        <v>8.26446328031118E-4</v>
      </c>
      <c r="F70" s="33">
        <v>0</v>
      </c>
      <c r="G70" s="33">
        <v>0.20476</v>
      </c>
      <c r="H70" s="33">
        <v>0</v>
      </c>
      <c r="I70" s="33">
        <v>0.25542100000000001</v>
      </c>
      <c r="J70" s="33">
        <v>0.20476</v>
      </c>
      <c r="K70" s="33">
        <v>0.25542100000000001</v>
      </c>
      <c r="L70" s="33">
        <v>19.874759999999998</v>
      </c>
      <c r="M70" s="33">
        <v>24.465420999999999</v>
      </c>
      <c r="N70" s="34">
        <v>1.2308083375698999</v>
      </c>
      <c r="O70" s="34">
        <v>1.23151696447737</v>
      </c>
      <c r="P70" s="34">
        <v>1.2308919532184399</v>
      </c>
      <c r="Q70" s="34">
        <v>1.23155772598957</v>
      </c>
      <c r="R70" s="33">
        <v>24.22393869127</v>
      </c>
      <c r="S70" s="33">
        <v>24.219523229250399</v>
      </c>
      <c r="T70" s="33">
        <v>24.224355678760201</v>
      </c>
      <c r="U70" s="15">
        <v>5.7557539326803797E-4</v>
      </c>
      <c r="V70" s="15">
        <v>3.9328197918154899E-4</v>
      </c>
      <c r="W70" s="15">
        <v>5.9278910514671103E-4</v>
      </c>
      <c r="X70" s="34">
        <v>1.2309794432737799</v>
      </c>
      <c r="Y70" s="34">
        <v>1.23013967146909</v>
      </c>
      <c r="Z70" s="34">
        <v>1.23019676059246</v>
      </c>
      <c r="AA70" s="34">
        <v>1.2301697371998099</v>
      </c>
      <c r="AB70" s="33">
        <v>24.4487307369271</v>
      </c>
      <c r="AC70" s="33">
        <v>24.449130145671401</v>
      </c>
      <c r="AD70" s="33">
        <v>24.448805010528801</v>
      </c>
      <c r="AE70" s="15">
        <v>-6.8243087645972005E-4</v>
      </c>
      <c r="AF70" s="15">
        <v>-6.6609442586520096E-4</v>
      </c>
      <c r="AG70" s="15">
        <v>-6.7939294824598002E-4</v>
      </c>
      <c r="AI70" s="12"/>
      <c r="AJ70">
        <f t="shared" si="6"/>
        <v>0</v>
      </c>
      <c r="AK70">
        <f t="shared" si="7"/>
        <v>0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0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2.0588848121276169E-3</v>
      </c>
      <c r="BE70" s="29">
        <f t="shared" si="22"/>
        <v>0</v>
      </c>
      <c r="BF70" s="29">
        <f t="shared" si="23"/>
        <v>2.0588848121276169E-3</v>
      </c>
      <c r="BH70" s="29"/>
    </row>
    <row r="71" spans="1:60" x14ac:dyDescent="0.25">
      <c r="A71" s="1">
        <v>46126</v>
      </c>
      <c r="B71" s="33">
        <v>19.68</v>
      </c>
      <c r="C71" s="33">
        <v>24.22</v>
      </c>
      <c r="D71" s="15">
        <v>5.0825922313961296E-4</v>
      </c>
      <c r="E71" s="15">
        <v>4.12967174978938E-4</v>
      </c>
      <c r="F71" s="33">
        <v>0</v>
      </c>
      <c r="G71" s="33">
        <v>0.20476</v>
      </c>
      <c r="H71" s="33">
        <v>0</v>
      </c>
      <c r="I71" s="33">
        <v>0.25542100000000001</v>
      </c>
      <c r="J71" s="33">
        <v>0.20476</v>
      </c>
      <c r="K71" s="33">
        <v>0.25542100000000001</v>
      </c>
      <c r="L71" s="33">
        <v>19.88476</v>
      </c>
      <c r="M71" s="33">
        <v>24.475420999999901</v>
      </c>
      <c r="N71" s="34">
        <v>1.23069105691056</v>
      </c>
      <c r="O71" s="34">
        <v>1.23151696447737</v>
      </c>
      <c r="P71" s="34">
        <v>1.23055463361628</v>
      </c>
      <c r="Q71" s="34">
        <v>1.2315714243081399</v>
      </c>
      <c r="R71" s="33">
        <v>24.2362538609148</v>
      </c>
      <c r="S71" s="33">
        <v>24.223953639339001</v>
      </c>
      <c r="T71" s="33">
        <v>24.237056047474798</v>
      </c>
      <c r="U71" s="15">
        <v>6.7086744142832902E-4</v>
      </c>
      <c r="V71" s="15">
        <v>1.6322529648449201E-4</v>
      </c>
      <c r="W71" s="15">
        <v>7.0396551381442197E-4</v>
      </c>
      <c r="X71" s="34">
        <v>1.2308632842438101</v>
      </c>
      <c r="Y71" s="34">
        <v>1.23013967146909</v>
      </c>
      <c r="Z71" s="34">
        <v>1.23029588150083</v>
      </c>
      <c r="AA71" s="34">
        <v>1.2301902578973301</v>
      </c>
      <c r="AB71" s="33">
        <v>24.461032133641801</v>
      </c>
      <c r="AC71" s="33">
        <v>24.462167337158601</v>
      </c>
      <c r="AD71" s="33">
        <v>24.461629983481298</v>
      </c>
      <c r="AE71" s="15">
        <v>-5.8806332913003702E-4</v>
      </c>
      <c r="AF71" s="15">
        <v>-5.4165575443229901E-4</v>
      </c>
      <c r="AG71" s="15">
        <v>-5.6362271965934097E-4</v>
      </c>
      <c r="AI71" s="12"/>
      <c r="AJ71">
        <f t="shared" si="6"/>
        <v>0</v>
      </c>
      <c r="AK71">
        <f t="shared" si="7"/>
        <v>0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0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2.0588848121276169E-3</v>
      </c>
      <c r="BE71" s="29">
        <f t="shared" si="22"/>
        <v>0</v>
      </c>
      <c r="BF71" s="29">
        <f t="shared" si="23"/>
        <v>2.0588848121276169E-3</v>
      </c>
      <c r="BH71" s="29"/>
    </row>
    <row r="72" spans="1:60" x14ac:dyDescent="0.25">
      <c r="A72" s="1">
        <v>46127</v>
      </c>
      <c r="B72" s="33">
        <v>19.68</v>
      </c>
      <c r="C72" s="33">
        <v>24.21</v>
      </c>
      <c r="D72" s="15">
        <v>0</v>
      </c>
      <c r="E72" s="15">
        <v>-4.1296717497902799E-4</v>
      </c>
      <c r="F72" s="33">
        <v>0</v>
      </c>
      <c r="G72" s="33">
        <v>0.20476</v>
      </c>
      <c r="H72" s="33">
        <v>0</v>
      </c>
      <c r="I72" s="33">
        <v>0.25542100000000001</v>
      </c>
      <c r="J72" s="33">
        <v>0.20476</v>
      </c>
      <c r="K72" s="33">
        <v>0.25542100000000001</v>
      </c>
      <c r="L72" s="33">
        <v>19.88476</v>
      </c>
      <c r="M72" s="33">
        <v>24.465420999999999</v>
      </c>
      <c r="N72" s="34">
        <v>1.2301829268292599</v>
      </c>
      <c r="O72" s="34">
        <v>1.23151696447737</v>
      </c>
      <c r="P72" s="34">
        <v>1.2300884637419001</v>
      </c>
      <c r="Q72" s="34">
        <v>1.2315968308122001</v>
      </c>
      <c r="R72" s="33">
        <v>24.2362538609148</v>
      </c>
      <c r="S72" s="33">
        <v>24.217315189568499</v>
      </c>
      <c r="T72" s="33">
        <v>24.237325630384198</v>
      </c>
      <c r="U72" s="15">
        <v>1.0838346164074499E-3</v>
      </c>
      <c r="V72" s="15">
        <v>3.0211006311324501E-4</v>
      </c>
      <c r="W72" s="15">
        <v>1.12805538495319E-3</v>
      </c>
      <c r="X72" s="34">
        <v>1.2303603865472801</v>
      </c>
      <c r="Y72" s="34">
        <v>1.23013967146909</v>
      </c>
      <c r="Z72" s="34">
        <v>1.23026705826663</v>
      </c>
      <c r="AA72" s="34">
        <v>1.23022249310094</v>
      </c>
      <c r="AB72" s="33">
        <v>24.461032133641801</v>
      </c>
      <c r="AC72" s="33">
        <v>24.464138332632398</v>
      </c>
      <c r="AD72" s="33">
        <v>24.462038032626701</v>
      </c>
      <c r="AE72" s="15">
        <v>-1.7940668447468899E-4</v>
      </c>
      <c r="AF72" s="15">
        <v>-5.24291403926948E-5</v>
      </c>
      <c r="AG72" s="15">
        <v>-1.3828502217641601E-4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0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2.0588848121276169E-3</v>
      </c>
      <c r="BE72" s="29">
        <f t="shared" si="22"/>
        <v>0</v>
      </c>
      <c r="BF72" s="29">
        <f t="shared" si="23"/>
        <v>2.0588848121276169E-3</v>
      </c>
      <c r="BH72" s="29"/>
    </row>
    <row r="73" spans="1:60" x14ac:dyDescent="0.25">
      <c r="A73" s="1">
        <v>46128</v>
      </c>
      <c r="B73" s="33">
        <v>19.68</v>
      </c>
      <c r="C73" s="33">
        <v>24.22</v>
      </c>
      <c r="D73" s="15">
        <v>0</v>
      </c>
      <c r="E73" s="15">
        <v>4.12967174978938E-4</v>
      </c>
      <c r="F73" s="33">
        <v>0</v>
      </c>
      <c r="G73" s="33">
        <v>0.20476</v>
      </c>
      <c r="H73" s="33">
        <v>0</v>
      </c>
      <c r="I73" s="33">
        <v>0.25542100000000001</v>
      </c>
      <c r="J73" s="33">
        <v>0.20476</v>
      </c>
      <c r="K73" s="33">
        <v>0.25542100000000001</v>
      </c>
      <c r="L73" s="33">
        <v>19.88476</v>
      </c>
      <c r="M73" s="33">
        <v>24.475420999999901</v>
      </c>
      <c r="N73" s="34">
        <v>1.23069105691056</v>
      </c>
      <c r="O73" s="34">
        <v>1.23151696447737</v>
      </c>
      <c r="P73" s="34">
        <v>1.23014331281381</v>
      </c>
      <c r="Q73" s="34">
        <v>1.2316418056201099</v>
      </c>
      <c r="R73" s="33">
        <v>24.2362538609148</v>
      </c>
      <c r="S73" s="33">
        <v>24.208140966440599</v>
      </c>
      <c r="T73" s="33">
        <v>24.237825630384201</v>
      </c>
      <c r="U73" s="15">
        <v>6.7086744142832902E-4</v>
      </c>
      <c r="V73" s="15">
        <v>-4.89757961372151E-4</v>
      </c>
      <c r="W73" s="15">
        <v>7.3571733590812401E-4</v>
      </c>
      <c r="X73" s="34">
        <v>1.2308632842438101</v>
      </c>
      <c r="Y73" s="34">
        <v>1.23013967146909</v>
      </c>
      <c r="Z73" s="34">
        <v>1.2303213066860099</v>
      </c>
      <c r="AA73" s="34">
        <v>1.2302740744203799</v>
      </c>
      <c r="AB73" s="33">
        <v>24.461032133641801</v>
      </c>
      <c r="AC73" s="33">
        <v>24.463565189537999</v>
      </c>
      <c r="AD73" s="33">
        <v>24.462679021913999</v>
      </c>
      <c r="AE73" s="15">
        <v>-5.8806332913003702E-4</v>
      </c>
      <c r="AF73" s="15">
        <v>-4.8451394754969599E-4</v>
      </c>
      <c r="AG73" s="15">
        <v>-5.2073858070453803E-4</v>
      </c>
      <c r="AI73" s="12"/>
      <c r="AJ73">
        <f t="shared" si="6"/>
        <v>0</v>
      </c>
      <c r="AK73">
        <f t="shared" si="7"/>
        <v>0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0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2.0588848121276169E-3</v>
      </c>
      <c r="BE73" s="29">
        <f t="shared" si="22"/>
        <v>0</v>
      </c>
      <c r="BF73" s="29">
        <f t="shared" si="23"/>
        <v>2.0588848121276169E-3</v>
      </c>
      <c r="BH73" s="29"/>
    </row>
    <row r="74" spans="1:60" x14ac:dyDescent="0.25">
      <c r="A74" s="1">
        <v>46129</v>
      </c>
      <c r="B74" s="33">
        <v>19.71</v>
      </c>
      <c r="C74" s="33">
        <v>24.24</v>
      </c>
      <c r="D74" s="15">
        <v>1.5232295405216299E-3</v>
      </c>
      <c r="E74" s="15">
        <v>8.2542307616742105E-4</v>
      </c>
      <c r="F74" s="33">
        <v>0</v>
      </c>
      <c r="G74" s="33">
        <v>0.20476</v>
      </c>
      <c r="H74" s="33">
        <v>0</v>
      </c>
      <c r="I74" s="33">
        <v>0.25542100000000001</v>
      </c>
      <c r="J74" s="33">
        <v>0.20476</v>
      </c>
      <c r="K74" s="33">
        <v>0.25542100000000001</v>
      </c>
      <c r="L74" s="33">
        <v>19.914760000000001</v>
      </c>
      <c r="M74" s="33">
        <v>24.495420999999901</v>
      </c>
      <c r="N74" s="34">
        <v>1.2298325722983201</v>
      </c>
      <c r="O74" s="34">
        <v>1.23151696447737</v>
      </c>
      <c r="P74" s="34">
        <v>1.2301123134245</v>
      </c>
      <c r="Q74" s="34">
        <v>1.23161843677697</v>
      </c>
      <c r="R74" s="33">
        <v>24.273199369849099</v>
      </c>
      <c r="S74" s="33">
        <v>24.246124695560301</v>
      </c>
      <c r="T74" s="33">
        <v>24.2756599887725</v>
      </c>
      <c r="U74" s="15">
        <v>1.3686739057824199E-3</v>
      </c>
      <c r="V74" s="15">
        <v>2.52637043333524E-4</v>
      </c>
      <c r="W74" s="15">
        <v>1.47004060967522E-3</v>
      </c>
      <c r="X74" s="34">
        <v>1.23001336697002</v>
      </c>
      <c r="Y74" s="34">
        <v>1.23013967146909</v>
      </c>
      <c r="Z74" s="34">
        <v>1.2302905633780199</v>
      </c>
      <c r="AA74" s="34">
        <v>1.2302579166322301</v>
      </c>
      <c r="AB74" s="33">
        <v>24.4979363237859</v>
      </c>
      <c r="AC74" s="33">
        <v>24.5015535455384</v>
      </c>
      <c r="AD74" s="33">
        <v>24.5006129263041</v>
      </c>
      <c r="AE74" s="15">
        <v>1.0268019689001099E-4</v>
      </c>
      <c r="AF74" s="15">
        <v>2.5032343842997499E-4</v>
      </c>
      <c r="AG74" s="15">
        <v>2.11932514022112E-4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0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0</v>
      </c>
      <c r="AT74" s="12"/>
      <c r="AU74">
        <f t="shared" si="10"/>
        <v>0</v>
      </c>
      <c r="AV74">
        <f t="shared" si="11"/>
        <v>0</v>
      </c>
      <c r="AW74">
        <f t="shared" si="18"/>
        <v>0</v>
      </c>
      <c r="AX74">
        <f t="shared" si="5"/>
        <v>0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2.0588848121276169E-3</v>
      </c>
      <c r="BE74" s="29">
        <f t="shared" si="22"/>
        <v>0</v>
      </c>
      <c r="BF74" s="29">
        <f t="shared" si="23"/>
        <v>2.0588848121276169E-3</v>
      </c>
      <c r="BH74" s="29"/>
    </row>
    <row r="75" spans="1:60" x14ac:dyDescent="0.25">
      <c r="A75" s="1">
        <v>46132</v>
      </c>
      <c r="B75" s="33">
        <v>19.63</v>
      </c>
      <c r="C75" s="33">
        <v>24.23</v>
      </c>
      <c r="D75" s="15">
        <v>-4.06711287625924E-3</v>
      </c>
      <c r="E75" s="15">
        <v>-4.1262637267930102E-4</v>
      </c>
      <c r="F75" s="33">
        <v>6.7280000000000006E-2</v>
      </c>
      <c r="G75" s="33">
        <v>0.27204</v>
      </c>
      <c r="H75" s="33">
        <v>0</v>
      </c>
      <c r="I75" s="33">
        <v>0.25542100000000001</v>
      </c>
      <c r="J75" s="33">
        <v>0.27204</v>
      </c>
      <c r="K75" s="33">
        <v>0.25542100000000001</v>
      </c>
      <c r="L75" s="33">
        <v>19.90204</v>
      </c>
      <c r="M75" s="33">
        <v>24.485420999999999</v>
      </c>
      <c r="N75" s="34">
        <v>1.2343352012226101</v>
      </c>
      <c r="O75" s="34">
        <v>1.23151696447737</v>
      </c>
      <c r="P75" s="34">
        <v>1.23059417960274</v>
      </c>
      <c r="Q75" s="34">
        <v>1.23183392457347</v>
      </c>
      <c r="R75" s="33">
        <v>24.174678012690901</v>
      </c>
      <c r="S75" s="33">
        <v>24.147104712522999</v>
      </c>
      <c r="T75" s="33">
        <v>24.176669913931999</v>
      </c>
      <c r="U75" s="15">
        <v>-2.2858125977973701E-3</v>
      </c>
      <c r="V75" s="15">
        <v>-3.4270495971618401E-3</v>
      </c>
      <c r="W75" s="15">
        <v>-2.20341980720868E-3</v>
      </c>
      <c r="X75" s="34">
        <v>1.23029704492604</v>
      </c>
      <c r="Y75" s="34">
        <v>1.23013967146909</v>
      </c>
      <c r="Z75" s="34">
        <v>1.23035015390299</v>
      </c>
      <c r="AA75" s="34">
        <v>1.23026957086445</v>
      </c>
      <c r="AB75" s="33">
        <v>24.4822889471648</v>
      </c>
      <c r="AC75" s="33">
        <v>24.4852920039719</v>
      </c>
      <c r="AD75" s="33">
        <v>24.484642267131299</v>
      </c>
      <c r="AE75" s="15">
        <v>-1.2792319031460999E-4</v>
      </c>
      <c r="AF75" s="15">
        <v>-5.2682928295166598E-6</v>
      </c>
      <c r="AG75" s="15">
        <v>-3.1804446092894702E-5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0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2.0588848121276169E-3</v>
      </c>
      <c r="BE75" s="29">
        <f t="shared" si="22"/>
        <v>0</v>
      </c>
      <c r="BF75" s="29">
        <f t="shared" si="23"/>
        <v>2.0588848121276169E-3</v>
      </c>
      <c r="BH75" s="29"/>
    </row>
    <row r="76" spans="1:60" x14ac:dyDescent="0.25">
      <c r="A76" s="1">
        <v>46133</v>
      </c>
      <c r="B76" s="33">
        <v>19.62</v>
      </c>
      <c r="C76" s="33">
        <v>24.22</v>
      </c>
      <c r="D76" s="15">
        <v>-5.0955415115256297E-4</v>
      </c>
      <c r="E76" s="15">
        <v>-4.1279670348818703E-4</v>
      </c>
      <c r="F76" s="33">
        <v>0</v>
      </c>
      <c r="G76" s="33">
        <v>0.27204</v>
      </c>
      <c r="H76" s="33">
        <v>0</v>
      </c>
      <c r="I76" s="33">
        <v>0.25542100000000001</v>
      </c>
      <c r="J76" s="33">
        <v>0.27204</v>
      </c>
      <c r="K76" s="33">
        <v>0.25542100000000001</v>
      </c>
      <c r="L76" s="33">
        <v>19.892040000000001</v>
      </c>
      <c r="M76" s="33">
        <v>24.475420999999901</v>
      </c>
      <c r="N76" s="34">
        <v>1.23445463812436</v>
      </c>
      <c r="O76" s="34">
        <v>1.23151696447737</v>
      </c>
      <c r="P76" s="34">
        <v>1.2310996637610601</v>
      </c>
      <c r="Q76" s="34">
        <v>1.2318219626021401</v>
      </c>
      <c r="R76" s="33">
        <v>24.1623628430461</v>
      </c>
      <c r="S76" s="33">
        <v>24.1442578038058</v>
      </c>
      <c r="T76" s="33">
        <v>24.1685816001315</v>
      </c>
      <c r="U76" s="15">
        <v>-2.3825700454617898E-3</v>
      </c>
      <c r="V76" s="15">
        <v>-3.1321583977676898E-3</v>
      </c>
      <c r="W76" s="15">
        <v>-2.1252294455058199E-3</v>
      </c>
      <c r="X76" s="34">
        <v>1.23041281839368</v>
      </c>
      <c r="Y76" s="34">
        <v>1.23013967146909</v>
      </c>
      <c r="Z76" s="34">
        <v>1.23043288502239</v>
      </c>
      <c r="AA76" s="34">
        <v>1.2302655581150199</v>
      </c>
      <c r="AB76" s="33">
        <v>24.469987550450099</v>
      </c>
      <c r="AC76" s="33">
        <v>24.4741744754444</v>
      </c>
      <c r="AD76" s="33">
        <v>24.4725715144186</v>
      </c>
      <c r="AE76" s="15">
        <v>-2.2202080779663101E-4</v>
      </c>
      <c r="AF76" s="15">
        <v>-5.0930944113877797E-5</v>
      </c>
      <c r="AG76" s="15">
        <v>-1.16429109272347E-4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0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2.0588848121276169E-3</v>
      </c>
      <c r="BE76" s="29">
        <f t="shared" si="22"/>
        <v>0</v>
      </c>
      <c r="BF76" s="29">
        <f t="shared" si="23"/>
        <v>2.0588848121276169E-3</v>
      </c>
      <c r="BH76" s="29"/>
    </row>
    <row r="77" spans="1:60" x14ac:dyDescent="0.25">
      <c r="A77" s="1">
        <v>46134</v>
      </c>
      <c r="B77" s="33">
        <v>19.63</v>
      </c>
      <c r="C77" s="33">
        <v>24.23</v>
      </c>
      <c r="D77" s="15">
        <v>5.0955415115258205E-4</v>
      </c>
      <c r="E77" s="15">
        <v>4.1279670348812598E-4</v>
      </c>
      <c r="F77" s="33">
        <v>0</v>
      </c>
      <c r="G77" s="33">
        <v>0.27204</v>
      </c>
      <c r="H77" s="33">
        <v>0</v>
      </c>
      <c r="I77" s="33">
        <v>0.25542100000000001</v>
      </c>
      <c r="J77" s="33">
        <v>0.27204</v>
      </c>
      <c r="K77" s="33">
        <v>0.25542100000000001</v>
      </c>
      <c r="L77" s="33">
        <v>19.90204</v>
      </c>
      <c r="M77" s="33">
        <v>24.485420999999999</v>
      </c>
      <c r="N77" s="34">
        <v>1.2343352012226101</v>
      </c>
      <c r="O77" s="34">
        <v>1.23151696447737</v>
      </c>
      <c r="P77" s="34">
        <v>1.2314914748293999</v>
      </c>
      <c r="Q77" s="34">
        <v>1.2318490850930801</v>
      </c>
      <c r="R77" s="33">
        <v>24.174678012690901</v>
      </c>
      <c r="S77" s="33">
        <v>24.166486399629601</v>
      </c>
      <c r="T77" s="33">
        <v>24.180665125880001</v>
      </c>
      <c r="U77" s="15">
        <v>-2.2858125977973701E-3</v>
      </c>
      <c r="V77" s="15">
        <v>-2.6247209894062302E-3</v>
      </c>
      <c r="W77" s="15">
        <v>-2.0381827463232601E-3</v>
      </c>
      <c r="X77" s="34">
        <v>1.23029704492604</v>
      </c>
      <c r="Y77" s="34">
        <v>1.23013967146909</v>
      </c>
      <c r="Z77" s="34">
        <v>1.23040335799143</v>
      </c>
      <c r="AA77" s="34">
        <v>1.23030045303928</v>
      </c>
      <c r="AB77" s="33">
        <v>24.4822889471648</v>
      </c>
      <c r="AC77" s="33">
        <v>24.488124495030998</v>
      </c>
      <c r="AD77" s="33">
        <v>24.484794348227499</v>
      </c>
      <c r="AE77" s="15">
        <v>-1.2792319031460999E-4</v>
      </c>
      <c r="AF77" s="15">
        <v>1.1040634311798999E-4</v>
      </c>
      <c r="AG77" s="15">
        <v>-2.5593180181754601E-5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0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2.0588848121276169E-3</v>
      </c>
      <c r="BE77" s="29">
        <f t="shared" si="22"/>
        <v>0</v>
      </c>
      <c r="BF77" s="29">
        <f t="shared" si="23"/>
        <v>2.0588848121276169E-3</v>
      </c>
      <c r="BH77" s="29"/>
    </row>
    <row r="78" spans="1:60" x14ac:dyDescent="0.25">
      <c r="A78" s="1">
        <v>46135</v>
      </c>
      <c r="B78" s="33">
        <v>19.63</v>
      </c>
      <c r="C78" s="33">
        <v>24.23</v>
      </c>
      <c r="D78" s="15">
        <v>0</v>
      </c>
      <c r="E78" s="15">
        <v>0</v>
      </c>
      <c r="F78" s="33">
        <v>0</v>
      </c>
      <c r="G78" s="33">
        <v>0.27204</v>
      </c>
      <c r="H78" s="33">
        <v>0</v>
      </c>
      <c r="I78" s="33">
        <v>0.25542100000000001</v>
      </c>
      <c r="J78" s="33">
        <v>0.27204</v>
      </c>
      <c r="K78" s="33">
        <v>0.25542100000000001</v>
      </c>
      <c r="L78" s="33">
        <v>19.90204</v>
      </c>
      <c r="M78" s="33">
        <v>24.485420999999999</v>
      </c>
      <c r="N78" s="34">
        <v>1.2343352012226101</v>
      </c>
      <c r="O78" s="34">
        <v>1.23151696447737</v>
      </c>
      <c r="P78" s="34">
        <v>1.23188328589775</v>
      </c>
      <c r="Q78" s="34">
        <v>1.2318251611317499</v>
      </c>
      <c r="R78" s="33">
        <v>24.174678012690901</v>
      </c>
      <c r="S78" s="33">
        <v>24.1741776509012</v>
      </c>
      <c r="T78" s="33">
        <v>24.181197540377202</v>
      </c>
      <c r="U78" s="15">
        <v>-2.2858125977973701E-3</v>
      </c>
      <c r="V78" s="15">
        <v>-2.3065105763891E-3</v>
      </c>
      <c r="W78" s="15">
        <v>-2.0161647979707702E-3</v>
      </c>
      <c r="X78" s="34">
        <v>1.23029704492604</v>
      </c>
      <c r="Y78" s="34">
        <v>1.23013967146909</v>
      </c>
      <c r="Z78" s="34">
        <v>1.2303738309604699</v>
      </c>
      <c r="AA78" s="34">
        <v>1.23028482954352</v>
      </c>
      <c r="AB78" s="33">
        <v>24.4822889471648</v>
      </c>
      <c r="AC78" s="33">
        <v>24.487536846879799</v>
      </c>
      <c r="AD78" s="33">
        <v>24.485488828406002</v>
      </c>
      <c r="AE78" s="15">
        <v>-1.2792319031460999E-4</v>
      </c>
      <c r="AF78" s="15">
        <v>8.6408784529780594E-5</v>
      </c>
      <c r="AG78" s="15">
        <v>2.77015094424597E-6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0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2.0588848121276169E-3</v>
      </c>
      <c r="BE78" s="29">
        <f t="shared" si="22"/>
        <v>0</v>
      </c>
      <c r="BF78" s="29">
        <f t="shared" si="23"/>
        <v>2.0588848121276169E-3</v>
      </c>
      <c r="BH78" s="29"/>
    </row>
    <row r="79" spans="1:60" x14ac:dyDescent="0.25">
      <c r="A79" s="1">
        <v>46136</v>
      </c>
      <c r="B79" s="33">
        <v>19.63</v>
      </c>
      <c r="C79" s="33">
        <v>24.25</v>
      </c>
      <c r="D79" s="15">
        <v>0</v>
      </c>
      <c r="E79" s="15">
        <v>8.2508255505787302E-4</v>
      </c>
      <c r="F79" s="33">
        <v>0</v>
      </c>
      <c r="G79" s="33">
        <v>0.27204</v>
      </c>
      <c r="H79" s="33">
        <v>0</v>
      </c>
      <c r="I79" s="33">
        <v>0.25542100000000001</v>
      </c>
      <c r="J79" s="33">
        <v>0.27204</v>
      </c>
      <c r="K79" s="33">
        <v>0.25542100000000001</v>
      </c>
      <c r="L79" s="33">
        <v>19.90204</v>
      </c>
      <c r="M79" s="33">
        <v>24.505420999999998</v>
      </c>
      <c r="N79" s="34">
        <v>1.23535404992358</v>
      </c>
      <c r="O79" s="34">
        <v>1.23151696447737</v>
      </c>
      <c r="P79" s="34">
        <v>1.2325020242234399</v>
      </c>
      <c r="Q79" s="34">
        <v>1.2318972558649099</v>
      </c>
      <c r="R79" s="33">
        <v>24.174678012690901</v>
      </c>
      <c r="S79" s="33">
        <v>24.181868902172798</v>
      </c>
      <c r="T79" s="33">
        <v>24.180727913016302</v>
      </c>
      <c r="U79" s="15">
        <v>-3.1108951528552799E-3</v>
      </c>
      <c r="V79" s="15">
        <v>-2.8134839440867301E-3</v>
      </c>
      <c r="W79" s="15">
        <v>-2.86066872041656E-3</v>
      </c>
      <c r="X79" s="34">
        <v>1.23130196703453</v>
      </c>
      <c r="Y79" s="34">
        <v>1.23013967146909</v>
      </c>
      <c r="Z79" s="34">
        <v>1.2305685685484999</v>
      </c>
      <c r="AA79" s="34">
        <v>1.23036416814886</v>
      </c>
      <c r="AB79" s="33">
        <v>24.4822889471648</v>
      </c>
      <c r="AC79" s="33">
        <v>24.486949198728599</v>
      </c>
      <c r="AD79" s="33">
        <v>24.485177888968401</v>
      </c>
      <c r="AE79" s="15">
        <v>-9.4440236456767098E-4</v>
      </c>
      <c r="AF79" s="15">
        <v>-7.5406852420845897E-4</v>
      </c>
      <c r="AG79" s="15">
        <v>-8.26408031039702E-4</v>
      </c>
      <c r="AI79" s="12"/>
      <c r="AJ79">
        <f t="shared" si="6"/>
        <v>0</v>
      </c>
      <c r="AK79">
        <f t="shared" si="7"/>
        <v>0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0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2.0588848121276169E-3</v>
      </c>
      <c r="BE79" s="29">
        <f t="shared" si="22"/>
        <v>0</v>
      </c>
      <c r="BF79" s="29">
        <f t="shared" si="23"/>
        <v>2.0588848121276169E-3</v>
      </c>
      <c r="BH79" s="29"/>
    </row>
    <row r="80" spans="1:60" x14ac:dyDescent="0.25">
      <c r="A80" s="1">
        <v>46139</v>
      </c>
      <c r="B80" s="33">
        <v>19.64</v>
      </c>
      <c r="C80" s="33">
        <v>24.25</v>
      </c>
      <c r="D80" s="15">
        <v>5.0929463795013497E-4</v>
      </c>
      <c r="E80" s="15">
        <v>0</v>
      </c>
      <c r="F80" s="33">
        <v>0</v>
      </c>
      <c r="G80" s="33">
        <v>0.27204</v>
      </c>
      <c r="H80" s="33">
        <v>0</v>
      </c>
      <c r="I80" s="33">
        <v>0.25542100000000001</v>
      </c>
      <c r="J80" s="33">
        <v>0.27204</v>
      </c>
      <c r="K80" s="33">
        <v>0.25542100000000001</v>
      </c>
      <c r="L80" s="33">
        <v>19.912040000000001</v>
      </c>
      <c r="M80" s="33">
        <v>24.505420999999998</v>
      </c>
      <c r="N80" s="34">
        <v>1.23472505091649</v>
      </c>
      <c r="O80" s="34">
        <v>1.23151696447737</v>
      </c>
      <c r="P80" s="34">
        <v>1.2328936955581</v>
      </c>
      <c r="Q80" s="34">
        <v>1.2318928243882701</v>
      </c>
      <c r="R80" s="33">
        <v>24.186993182335701</v>
      </c>
      <c r="S80" s="33">
        <v>24.206339755748399</v>
      </c>
      <c r="T80" s="33">
        <v>24.194462105186801</v>
      </c>
      <c r="U80" s="15">
        <v>-2.6016005149050898E-3</v>
      </c>
      <c r="V80" s="15">
        <v>-1.80204515185006E-3</v>
      </c>
      <c r="W80" s="15">
        <v>-2.2928490370479298E-3</v>
      </c>
      <c r="X80" s="34">
        <v>1.23068359645721</v>
      </c>
      <c r="Y80" s="34">
        <v>1.23013967146909</v>
      </c>
      <c r="Z80" s="34">
        <v>1.2305389838668499</v>
      </c>
      <c r="AA80" s="34">
        <v>1.2303678722296501</v>
      </c>
      <c r="AB80" s="33">
        <v>24.494590343879501</v>
      </c>
      <c r="AC80" s="33">
        <v>24.503130559680599</v>
      </c>
      <c r="AD80" s="33">
        <v>24.499060530746799</v>
      </c>
      <c r="AE80" s="15">
        <v>-4.42067501610389E-4</v>
      </c>
      <c r="AF80" s="15">
        <v>-9.3471047322661496E-5</v>
      </c>
      <c r="AG80" s="15">
        <v>-2.5958724958047898E-4</v>
      </c>
      <c r="AI80" s="12"/>
      <c r="AJ80">
        <f t="shared" si="6"/>
        <v>0</v>
      </c>
      <c r="AK80">
        <f t="shared" si="7"/>
        <v>0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0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2.0588848121276169E-3</v>
      </c>
      <c r="BE80" s="29">
        <f t="shared" si="22"/>
        <v>0</v>
      </c>
      <c r="BF80" s="29">
        <f t="shared" si="23"/>
        <v>2.0588848121276169E-3</v>
      </c>
      <c r="BH80" s="29"/>
    </row>
    <row r="81" spans="1:60" x14ac:dyDescent="0.25">
      <c r="A81" s="1">
        <v>46140</v>
      </c>
      <c r="B81" s="33">
        <v>19.63</v>
      </c>
      <c r="C81" s="33">
        <v>24.25</v>
      </c>
      <c r="D81" s="15">
        <v>-5.0929463795022399E-4</v>
      </c>
      <c r="E81" s="15">
        <v>0</v>
      </c>
      <c r="F81" s="33">
        <v>0</v>
      </c>
      <c r="G81" s="33">
        <v>0.27204</v>
      </c>
      <c r="H81" s="33">
        <v>0</v>
      </c>
      <c r="I81" s="33">
        <v>0.25542100000000001</v>
      </c>
      <c r="J81" s="33">
        <v>0.27204</v>
      </c>
      <c r="K81" s="33">
        <v>0.25542100000000001</v>
      </c>
      <c r="L81" s="33">
        <v>19.90204</v>
      </c>
      <c r="M81" s="33">
        <v>24.505420999999998</v>
      </c>
      <c r="N81" s="34">
        <v>1.23535404992358</v>
      </c>
      <c r="O81" s="34">
        <v>1.23151696447737</v>
      </c>
      <c r="P81" s="34">
        <v>1.2333599948594001</v>
      </c>
      <c r="Q81" s="34">
        <v>1.2319573142378399</v>
      </c>
      <c r="R81" s="33">
        <v>24.174678012690901</v>
      </c>
      <c r="S81" s="33">
        <v>24.2017032438055</v>
      </c>
      <c r="T81" s="33">
        <v>24.1820561427418</v>
      </c>
      <c r="U81" s="15">
        <v>-3.1108951528552799E-3</v>
      </c>
      <c r="V81" s="15">
        <v>-1.9936047221097799E-3</v>
      </c>
      <c r="W81" s="15">
        <v>-2.8057409592563498E-3</v>
      </c>
      <c r="X81" s="34">
        <v>1.23130196703453</v>
      </c>
      <c r="Y81" s="34">
        <v>1.23013967146909</v>
      </c>
      <c r="Z81" s="34">
        <v>1.2305828521459199</v>
      </c>
      <c r="AA81" s="34">
        <v>1.23043936682337</v>
      </c>
      <c r="AB81" s="33">
        <v>24.4822889471648</v>
      </c>
      <c r="AC81" s="33">
        <v>24.490236078477398</v>
      </c>
      <c r="AD81" s="33">
        <v>24.4868306078295</v>
      </c>
      <c r="AE81" s="15">
        <v>-9.4440236456767098E-4</v>
      </c>
      <c r="AF81" s="15">
        <v>-6.1984767280150405E-4</v>
      </c>
      <c r="AG81" s="15">
        <v>-7.5891156060841703E-4</v>
      </c>
      <c r="AI81" s="12"/>
      <c r="AJ81">
        <f t="shared" si="6"/>
        <v>0</v>
      </c>
      <c r="AK81">
        <f t="shared" si="7"/>
        <v>0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0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2.0588848121276169E-3</v>
      </c>
      <c r="BE81" s="29">
        <f t="shared" si="22"/>
        <v>0</v>
      </c>
      <c r="BF81" s="29">
        <f t="shared" si="23"/>
        <v>2.0588848121276169E-3</v>
      </c>
      <c r="BH81" s="29"/>
    </row>
    <row r="82" spans="1:60" x14ac:dyDescent="0.25">
      <c r="A82" s="1">
        <v>46141</v>
      </c>
      <c r="B82" s="33">
        <v>19.63</v>
      </c>
      <c r="C82" s="33">
        <v>24.23</v>
      </c>
      <c r="D82" s="15">
        <v>0</v>
      </c>
      <c r="E82" s="15">
        <v>-8.2508255505779095E-4</v>
      </c>
      <c r="F82" s="33">
        <v>0</v>
      </c>
      <c r="G82" s="33">
        <v>0.27204</v>
      </c>
      <c r="H82" s="33">
        <v>0</v>
      </c>
      <c r="I82" s="33">
        <v>0.25542100000000001</v>
      </c>
      <c r="J82" s="33">
        <v>0.27204</v>
      </c>
      <c r="K82" s="33">
        <v>0.25542100000000001</v>
      </c>
      <c r="L82" s="33">
        <v>19.90204</v>
      </c>
      <c r="M82" s="33">
        <v>24.485420999999999</v>
      </c>
      <c r="N82" s="34">
        <v>1.2343352012226101</v>
      </c>
      <c r="O82" s="34">
        <v>1.23151696447737</v>
      </c>
      <c r="P82" s="34">
        <v>1.2337752222987399</v>
      </c>
      <c r="Q82" s="34">
        <v>1.2319318430203201</v>
      </c>
      <c r="R82" s="33">
        <v>24.174678012690901</v>
      </c>
      <c r="S82" s="33">
        <v>24.210856699090101</v>
      </c>
      <c r="T82" s="33">
        <v>24.183322078488899</v>
      </c>
      <c r="U82" s="15">
        <v>-2.2858125977973701E-3</v>
      </c>
      <c r="V82" s="15">
        <v>-7.90378338077716E-4</v>
      </c>
      <c r="W82" s="15">
        <v>-1.92830956319242E-3</v>
      </c>
      <c r="X82" s="34">
        <v>1.23029704492604</v>
      </c>
      <c r="Y82" s="34">
        <v>1.23013967146909</v>
      </c>
      <c r="Z82" s="34">
        <v>1.2305765179838</v>
      </c>
      <c r="AA82" s="34">
        <v>1.23042178812521</v>
      </c>
      <c r="AB82" s="33">
        <v>24.4822889471648</v>
      </c>
      <c r="AC82" s="33">
        <v>24.491109146722199</v>
      </c>
      <c r="AD82" s="33">
        <v>24.488253496093499</v>
      </c>
      <c r="AE82" s="15">
        <v>-1.2792319031460999E-4</v>
      </c>
      <c r="AF82" s="15">
        <v>2.3228051194378499E-4</v>
      </c>
      <c r="AG82" s="15">
        <v>1.15674232160584E-4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0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2.0588848121276169E-3</v>
      </c>
      <c r="BE82" s="29">
        <f t="shared" si="22"/>
        <v>0</v>
      </c>
      <c r="BF82" s="29">
        <f t="shared" si="23"/>
        <v>2.0588848121276169E-3</v>
      </c>
      <c r="BH82" s="29"/>
    </row>
    <row r="83" spans="1:60" x14ac:dyDescent="0.25">
      <c r="A83" s="1">
        <v>46142</v>
      </c>
      <c r="B83" s="33">
        <v>19.649999999999999</v>
      </c>
      <c r="C83" s="33">
        <v>24.26</v>
      </c>
      <c r="D83" s="15">
        <v>1.0183300269005499E-3</v>
      </c>
      <c r="E83" s="15">
        <v>1.2373686874697599E-3</v>
      </c>
      <c r="F83" s="33">
        <v>0</v>
      </c>
      <c r="G83" s="33">
        <v>0.27204</v>
      </c>
      <c r="H83" s="33">
        <v>0</v>
      </c>
      <c r="I83" s="33">
        <v>0.25542100000000001</v>
      </c>
      <c r="J83" s="33">
        <v>0.27204</v>
      </c>
      <c r="K83" s="33">
        <v>0.25542100000000001</v>
      </c>
      <c r="L83" s="33">
        <v>19.922039999999999</v>
      </c>
      <c r="M83" s="33">
        <v>24.515421</v>
      </c>
      <c r="N83" s="34">
        <v>1.23460559796437</v>
      </c>
      <c r="O83" s="34">
        <v>1.23151696447737</v>
      </c>
      <c r="P83" s="34">
        <v>1.2341666764041199</v>
      </c>
      <c r="Q83" s="34">
        <v>1.2321549946089601</v>
      </c>
      <c r="R83" s="33">
        <v>24.199308351980498</v>
      </c>
      <c r="S83" s="33">
        <v>24.2436831181702</v>
      </c>
      <c r="T83" s="33">
        <v>24.207460715349299</v>
      </c>
      <c r="U83" s="15">
        <v>-2.5048512583666E-3</v>
      </c>
      <c r="V83" s="15">
        <v>-6.7281003817895005E-4</v>
      </c>
      <c r="W83" s="15">
        <v>-2.16802384340131E-3</v>
      </c>
      <c r="X83" s="34">
        <v>1.23056780329725</v>
      </c>
      <c r="Y83" s="34">
        <v>1.23013967146909</v>
      </c>
      <c r="Z83" s="34">
        <v>1.23054696988914</v>
      </c>
      <c r="AA83" s="34">
        <v>1.2304341382875801</v>
      </c>
      <c r="AB83" s="33">
        <v>24.506891740594199</v>
      </c>
      <c r="AC83" s="33">
        <v>24.515594614333899</v>
      </c>
      <c r="AD83" s="33">
        <v>24.512512079902098</v>
      </c>
      <c r="AE83" s="15">
        <v>-3.4797458606112397E-4</v>
      </c>
      <c r="AF83" s="15">
        <v>7.0818167570551201E-6</v>
      </c>
      <c r="AG83" s="15">
        <v>-1.18663786888942E-4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0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2.0588848121276169E-3</v>
      </c>
      <c r="BE83" s="29">
        <f t="shared" si="22"/>
        <v>0</v>
      </c>
      <c r="BF83" s="29">
        <f t="shared" si="23"/>
        <v>2.0588848121276169E-3</v>
      </c>
      <c r="BH83" s="29"/>
    </row>
    <row r="84" spans="1:60" x14ac:dyDescent="0.25">
      <c r="A84" s="1">
        <v>46143</v>
      </c>
      <c r="B84" s="33">
        <v>19.649999999999999</v>
      </c>
      <c r="C84" s="33">
        <v>24.17</v>
      </c>
      <c r="D84" s="15">
        <v>0</v>
      </c>
      <c r="E84" s="15">
        <v>-3.7167088005124302E-3</v>
      </c>
      <c r="F84" s="33">
        <v>0</v>
      </c>
      <c r="G84" s="33">
        <v>0.27204</v>
      </c>
      <c r="H84" s="33">
        <v>8.5629999999999998E-2</v>
      </c>
      <c r="I84" s="33">
        <v>0.34105099999999999</v>
      </c>
      <c r="J84" s="33">
        <v>0.27204</v>
      </c>
      <c r="K84" s="33">
        <v>0.34105099999999999</v>
      </c>
      <c r="L84" s="33">
        <v>19.922039999999999</v>
      </c>
      <c r="M84" s="33">
        <v>24.511050999999998</v>
      </c>
      <c r="N84" s="34">
        <v>1.23002544529262</v>
      </c>
      <c r="O84" s="34">
        <v>1.23151696447737</v>
      </c>
      <c r="P84" s="34">
        <v>1.2341859637035499</v>
      </c>
      <c r="Q84" s="34">
        <v>1.23214913856402</v>
      </c>
      <c r="R84" s="33">
        <v>24.199308351980498</v>
      </c>
      <c r="S84" s="33">
        <v>24.251375191340902</v>
      </c>
      <c r="T84" s="33">
        <v>24.211845644066202</v>
      </c>
      <c r="U84" s="15">
        <v>1.21185754214571E-3</v>
      </c>
      <c r="V84" s="15">
        <v>3.3611299814876399E-3</v>
      </c>
      <c r="W84" s="15">
        <v>1.72980811060473E-3</v>
      </c>
      <c r="X84" s="34">
        <v>1.2303484482512801</v>
      </c>
      <c r="Y84" s="34">
        <v>1.23013967146909</v>
      </c>
      <c r="Z84" s="34">
        <v>1.23058047801727</v>
      </c>
      <c r="AA84" s="34">
        <v>1.2304355206976401</v>
      </c>
      <c r="AB84" s="33">
        <v>24.506891740594199</v>
      </c>
      <c r="AC84" s="33">
        <v>24.515005956010299</v>
      </c>
      <c r="AD84" s="33">
        <v>24.512758120330702</v>
      </c>
      <c r="AE84" s="15">
        <v>-1.6970354866841999E-4</v>
      </c>
      <c r="AF84" s="15">
        <v>1.6134097924549599E-4</v>
      </c>
      <c r="AG84" s="15">
        <v>6.9644540562380502E-5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0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2.0588848121276169E-3</v>
      </c>
      <c r="BE84" s="29">
        <f t="shared" si="22"/>
        <v>0</v>
      </c>
      <c r="BF84" s="29">
        <f t="shared" si="23"/>
        <v>2.0588848121276169E-3</v>
      </c>
      <c r="BH84" s="29"/>
    </row>
    <row r="85" spans="1:60" x14ac:dyDescent="0.25">
      <c r="A85" s="1">
        <v>46146</v>
      </c>
      <c r="B85" s="33">
        <v>19.64</v>
      </c>
      <c r="C85" s="33">
        <v>24.16</v>
      </c>
      <c r="D85" s="15">
        <v>-5.0903538895036098E-4</v>
      </c>
      <c r="E85" s="15">
        <v>-4.13821648777492E-4</v>
      </c>
      <c r="F85" s="33">
        <v>0</v>
      </c>
      <c r="G85" s="33">
        <v>0.27204</v>
      </c>
      <c r="H85" s="33">
        <v>0</v>
      </c>
      <c r="I85" s="33">
        <v>0.34105099999999999</v>
      </c>
      <c r="J85" s="33">
        <v>0.27204</v>
      </c>
      <c r="K85" s="33">
        <v>0.34105099999999999</v>
      </c>
      <c r="L85" s="33">
        <v>19.912040000000001</v>
      </c>
      <c r="M85" s="33">
        <v>24.501051</v>
      </c>
      <c r="N85" s="34">
        <v>1.23014256619144</v>
      </c>
      <c r="O85" s="34">
        <v>1.23151696447737</v>
      </c>
      <c r="P85" s="34">
        <v>1.23376670020043</v>
      </c>
      <c r="Q85" s="34">
        <v>1.2321804399015801</v>
      </c>
      <c r="R85" s="33">
        <v>24.186993182335701</v>
      </c>
      <c r="S85" s="33">
        <v>24.2394123271377</v>
      </c>
      <c r="T85" s="33">
        <v>24.199409081397398</v>
      </c>
      <c r="U85" s="15">
        <v>1.116643801973E-3</v>
      </c>
      <c r="V85" s="15">
        <v>3.2815439106491299E-3</v>
      </c>
      <c r="W85" s="15">
        <v>1.6298416738287701E-3</v>
      </c>
      <c r="X85" s="34">
        <v>1.2304641312492299</v>
      </c>
      <c r="Y85" s="34">
        <v>1.23013967146909</v>
      </c>
      <c r="Z85" s="34">
        <v>1.23059718664958</v>
      </c>
      <c r="AA85" s="34">
        <v>1.23047367027629</v>
      </c>
      <c r="AB85" s="33">
        <v>24.494590343879501</v>
      </c>
      <c r="AC85" s="33">
        <v>24.503367701498998</v>
      </c>
      <c r="AD85" s="33">
        <v>24.500481305552299</v>
      </c>
      <c r="AE85" s="15">
        <v>-2.6372371013808998E-4</v>
      </c>
      <c r="AF85" s="15">
        <v>9.45507185730326E-5</v>
      </c>
      <c r="AG85" s="15">
        <v>-2.32521074698468E-5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0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2.0588848121276169E-3</v>
      </c>
      <c r="BE85" s="29">
        <f t="shared" si="22"/>
        <v>0</v>
      </c>
      <c r="BF85" s="29">
        <f t="shared" si="23"/>
        <v>2.0588848121276169E-3</v>
      </c>
      <c r="BH85" s="29"/>
    </row>
    <row r="86" spans="1:60" x14ac:dyDescent="0.25">
      <c r="A86" s="1">
        <v>46147</v>
      </c>
      <c r="B86" s="33">
        <v>19.64</v>
      </c>
      <c r="C86" s="33">
        <v>24.17</v>
      </c>
      <c r="D86" s="15">
        <v>0</v>
      </c>
      <c r="E86" s="15">
        <v>4.1382164877743302E-4</v>
      </c>
      <c r="F86" s="33">
        <v>0</v>
      </c>
      <c r="G86" s="33">
        <v>0.27204</v>
      </c>
      <c r="H86" s="33">
        <v>0</v>
      </c>
      <c r="I86" s="33">
        <v>0.34105099999999999</v>
      </c>
      <c r="J86" s="33">
        <v>0.27204</v>
      </c>
      <c r="K86" s="33">
        <v>0.34105099999999999</v>
      </c>
      <c r="L86" s="33">
        <v>19.912040000000001</v>
      </c>
      <c r="M86" s="33">
        <v>24.511050999999998</v>
      </c>
      <c r="N86" s="34">
        <v>1.23065173116089</v>
      </c>
      <c r="O86" s="34">
        <v>1.23151696447737</v>
      </c>
      <c r="P86" s="34">
        <v>1.2333864095040801</v>
      </c>
      <c r="Q86" s="34">
        <v>1.2322430366325701</v>
      </c>
      <c r="R86" s="33">
        <v>24.186993182335701</v>
      </c>
      <c r="S86" s="33">
        <v>24.231177991936502</v>
      </c>
      <c r="T86" s="33">
        <v>24.2000238396672</v>
      </c>
      <c r="U86" s="15">
        <v>7.0282215319550595E-4</v>
      </c>
      <c r="V86" s="15">
        <v>2.5279560149068302E-3</v>
      </c>
      <c r="W86" s="15">
        <v>1.2414235569793001E-3</v>
      </c>
      <c r="X86" s="34">
        <v>1.2309663399631501</v>
      </c>
      <c r="Y86" s="34">
        <v>1.23013967146909</v>
      </c>
      <c r="Z86" s="34">
        <v>1.2306525388065299</v>
      </c>
      <c r="AA86" s="34">
        <v>1.2305427119144601</v>
      </c>
      <c r="AB86" s="33">
        <v>24.494590343879501</v>
      </c>
      <c r="AC86" s="33">
        <v>24.503700404454001</v>
      </c>
      <c r="AD86" s="33">
        <v>24.501240941488302</v>
      </c>
      <c r="AE86" s="15">
        <v>-6.7178619800139703E-4</v>
      </c>
      <c r="AF86" s="15">
        <v>-2.9993401538935702E-4</v>
      </c>
      <c r="AG86" s="15">
        <v>-4.0031013666539902E-4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0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2.0588848121276169E-3</v>
      </c>
      <c r="BE86" s="29">
        <f t="shared" si="22"/>
        <v>0</v>
      </c>
      <c r="BF86" s="29">
        <f t="shared" si="23"/>
        <v>2.0588848121276169E-3</v>
      </c>
      <c r="BH86" s="29"/>
    </row>
    <row r="87" spans="1:60" x14ac:dyDescent="0.25">
      <c r="A87" s="1">
        <v>46148</v>
      </c>
      <c r="B87" s="33">
        <v>19.66</v>
      </c>
      <c r="C87" s="33">
        <v>24.17</v>
      </c>
      <c r="D87" s="15">
        <v>1.01781179270062E-3</v>
      </c>
      <c r="E87" s="15">
        <v>0</v>
      </c>
      <c r="F87" s="33">
        <v>0</v>
      </c>
      <c r="G87" s="33">
        <v>0.27204</v>
      </c>
      <c r="H87" s="33">
        <v>0</v>
      </c>
      <c r="I87" s="33">
        <v>0.34105099999999999</v>
      </c>
      <c r="J87" s="33">
        <v>0.27204</v>
      </c>
      <c r="K87" s="33">
        <v>0.34105099999999999</v>
      </c>
      <c r="L87" s="33">
        <v>19.932040000000001</v>
      </c>
      <c r="M87" s="33">
        <v>24.511050999999998</v>
      </c>
      <c r="N87" s="34">
        <v>1.2293997965412</v>
      </c>
      <c r="O87" s="34">
        <v>1.23151696447737</v>
      </c>
      <c r="P87" s="34">
        <v>1.23289286903594</v>
      </c>
      <c r="Q87" s="34">
        <v>1.2321921719326701</v>
      </c>
      <c r="R87" s="33">
        <v>24.211623521625199</v>
      </c>
      <c r="S87" s="33">
        <v>24.248376810850299</v>
      </c>
      <c r="T87" s="33">
        <v>24.2258981001964</v>
      </c>
      <c r="U87" s="15">
        <v>1.7206339458962E-3</v>
      </c>
      <c r="V87" s="15">
        <v>3.2374847927734698E-3</v>
      </c>
      <c r="W87" s="15">
        <v>2.3100356537624901E-3</v>
      </c>
      <c r="X87" s="34">
        <v>1.22973117653787</v>
      </c>
      <c r="Y87" s="34">
        <v>1.23013967146909</v>
      </c>
      <c r="Z87" s="34">
        <v>1.2305959519677101</v>
      </c>
      <c r="AA87" s="34">
        <v>1.2304996549795699</v>
      </c>
      <c r="AB87" s="33">
        <v>24.5191931373089</v>
      </c>
      <c r="AC87" s="33">
        <v>24.529415629593402</v>
      </c>
      <c r="AD87" s="33">
        <v>24.5272265555875</v>
      </c>
      <c r="AE87" s="15">
        <v>3.3212714017771502E-4</v>
      </c>
      <c r="AF87" s="15">
        <v>7.4895822629872204E-4</v>
      </c>
      <c r="AG87" s="15">
        <v>6.5971143280500603E-4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0</v>
      </c>
      <c r="AT87" s="12"/>
      <c r="AU87">
        <f t="shared" si="30"/>
        <v>0</v>
      </c>
      <c r="AV87">
        <f t="shared" si="31"/>
        <v>0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2.0588848121276169E-3</v>
      </c>
      <c r="BE87" s="29">
        <f t="shared" ref="BE87:BE150" si="42">AQ87+BB87</f>
        <v>0</v>
      </c>
      <c r="BF87" s="29">
        <f t="shared" ref="BF87:BF150" si="43">BF86+BE87</f>
        <v>2.0588848121276169E-3</v>
      </c>
      <c r="BH87" s="29"/>
    </row>
    <row r="88" spans="1:60" x14ac:dyDescent="0.25">
      <c r="A88" s="1">
        <v>46149</v>
      </c>
      <c r="B88" s="33">
        <v>19.649999999999999</v>
      </c>
      <c r="C88" s="33">
        <v>24.18</v>
      </c>
      <c r="D88" s="15">
        <v>-5.0877640375033195E-4</v>
      </c>
      <c r="E88" s="15">
        <v>4.13650471254907E-4</v>
      </c>
      <c r="F88" s="33">
        <v>0</v>
      </c>
      <c r="G88" s="33">
        <v>0.27204</v>
      </c>
      <c r="H88" s="33">
        <v>0</v>
      </c>
      <c r="I88" s="33">
        <v>0.34105099999999999</v>
      </c>
      <c r="J88" s="33">
        <v>0.27204</v>
      </c>
      <c r="K88" s="33">
        <v>0.34105099999999999</v>
      </c>
      <c r="L88" s="33">
        <v>19.922039999999999</v>
      </c>
      <c r="M88" s="33">
        <v>24.521051</v>
      </c>
      <c r="N88" s="34">
        <v>1.23053435114503</v>
      </c>
      <c r="O88" s="34">
        <v>1.23151696447737</v>
      </c>
      <c r="P88" s="34">
        <v>1.23251278402818</v>
      </c>
      <c r="Q88" s="34">
        <v>1.23219803496296</v>
      </c>
      <c r="R88" s="33">
        <v>24.199308351980498</v>
      </c>
      <c r="S88" s="33">
        <v>24.226344876556301</v>
      </c>
      <c r="T88" s="33">
        <v>24.212576178477001</v>
      </c>
      <c r="U88" s="15">
        <v>7.98207070890789E-4</v>
      </c>
      <c r="V88" s="15">
        <v>1.91482710933983E-3</v>
      </c>
      <c r="W88" s="15">
        <v>1.3463297873449001E-3</v>
      </c>
      <c r="X88" s="34">
        <v>1.2308504048782101</v>
      </c>
      <c r="Y88" s="34">
        <v>1.23013967146909</v>
      </c>
      <c r="Z88" s="34">
        <v>1.2306512879629301</v>
      </c>
      <c r="AA88" s="34">
        <v>1.2305125594616999</v>
      </c>
      <c r="AB88" s="33">
        <v>24.506891740594199</v>
      </c>
      <c r="AC88" s="33">
        <v>24.515981778938901</v>
      </c>
      <c r="AD88" s="33">
        <v>24.514063346489301</v>
      </c>
      <c r="AE88" s="15">
        <v>-5.7759958945606895E-4</v>
      </c>
      <c r="AF88" s="15">
        <v>-2.0675072661668399E-4</v>
      </c>
      <c r="AG88" s="15">
        <v>-2.8500610842211599E-4</v>
      </c>
      <c r="AI88" s="12"/>
      <c r="AJ88">
        <f t="shared" si="26"/>
        <v>0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0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2.0588848121276169E-3</v>
      </c>
      <c r="BE88" s="29">
        <f t="shared" si="42"/>
        <v>0</v>
      </c>
      <c r="BF88" s="29">
        <f t="shared" si="43"/>
        <v>2.0588848121276169E-3</v>
      </c>
      <c r="BH88" s="29"/>
    </row>
    <row r="89" spans="1:60" x14ac:dyDescent="0.25">
      <c r="A89" s="1">
        <v>46150</v>
      </c>
      <c r="B89" s="33">
        <v>19.66</v>
      </c>
      <c r="C89" s="33">
        <v>24.19</v>
      </c>
      <c r="D89" s="15">
        <v>5.0877640375042205E-4</v>
      </c>
      <c r="E89" s="15">
        <v>4.1347943528944199E-4</v>
      </c>
      <c r="F89" s="33">
        <v>0</v>
      </c>
      <c r="G89" s="33">
        <v>0.27204</v>
      </c>
      <c r="H89" s="33">
        <v>0</v>
      </c>
      <c r="I89" s="33">
        <v>0.34105099999999999</v>
      </c>
      <c r="J89" s="33">
        <v>0.27204</v>
      </c>
      <c r="K89" s="33">
        <v>0.34105099999999999</v>
      </c>
      <c r="L89" s="33">
        <v>19.932040000000001</v>
      </c>
      <c r="M89" s="33">
        <v>24.531051000000001</v>
      </c>
      <c r="N89" s="34">
        <v>1.23041709053916</v>
      </c>
      <c r="O89" s="34">
        <v>1.23151696447737</v>
      </c>
      <c r="P89" s="34">
        <v>1.2320190880897399</v>
      </c>
      <c r="Q89" s="34">
        <v>1.23226055615659</v>
      </c>
      <c r="R89" s="33">
        <v>24.211623521625199</v>
      </c>
      <c r="S89" s="33">
        <v>24.2312013339941</v>
      </c>
      <c r="T89" s="33">
        <v>24.225013367371901</v>
      </c>
      <c r="U89" s="15">
        <v>8.9350403935184604E-4</v>
      </c>
      <c r="V89" s="15">
        <v>1.7017894146619801E-3</v>
      </c>
      <c r="W89" s="15">
        <v>1.4463849554425801E-3</v>
      </c>
      <c r="X89" s="34">
        <v>1.2307345861236401</v>
      </c>
      <c r="Y89" s="34">
        <v>1.23013967146909</v>
      </c>
      <c r="Z89" s="34">
        <v>1.23059454987184</v>
      </c>
      <c r="AA89" s="34">
        <v>1.2305815592101701</v>
      </c>
      <c r="AB89" s="33">
        <v>24.5191931373089</v>
      </c>
      <c r="AC89" s="33">
        <v>24.529390697728701</v>
      </c>
      <c r="AD89" s="33">
        <v>24.526625555693101</v>
      </c>
      <c r="AE89" s="15">
        <v>-4.8349863005302599E-4</v>
      </c>
      <c r="AF89" s="15">
        <v>-6.7683951241625896E-5</v>
      </c>
      <c r="AG89" s="15">
        <v>-1.8041801526664299E-4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0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2.0588848121276169E-3</v>
      </c>
      <c r="BE89" s="29">
        <f t="shared" si="42"/>
        <v>0</v>
      </c>
      <c r="BF89" s="29">
        <f t="shared" si="43"/>
        <v>2.0588848121276169E-3</v>
      </c>
      <c r="BH89" s="29"/>
    </row>
    <row r="90" spans="1:60" x14ac:dyDescent="0.25">
      <c r="A90" s="1">
        <v>46153</v>
      </c>
      <c r="B90" s="33">
        <v>19.670000000000002</v>
      </c>
      <c r="C90" s="33">
        <v>24.18</v>
      </c>
      <c r="D90" s="15">
        <v>5.08517681947289E-4</v>
      </c>
      <c r="E90" s="15">
        <v>-4.1347943528932403E-4</v>
      </c>
      <c r="F90" s="33">
        <v>0</v>
      </c>
      <c r="G90" s="33">
        <v>0.27204</v>
      </c>
      <c r="H90" s="33">
        <v>0</v>
      </c>
      <c r="I90" s="33">
        <v>0.34105099999999999</v>
      </c>
      <c r="J90" s="33">
        <v>0.27204</v>
      </c>
      <c r="K90" s="33">
        <v>0.34105099999999999</v>
      </c>
      <c r="L90" s="33">
        <v>19.942039999999999</v>
      </c>
      <c r="M90" s="33">
        <v>24.521051</v>
      </c>
      <c r="N90" s="34">
        <v>1.2292831723436699</v>
      </c>
      <c r="O90" s="34">
        <v>1.23151696447737</v>
      </c>
      <c r="P90" s="34">
        <v>1.2314749002324601</v>
      </c>
      <c r="Q90" s="34">
        <v>1.2321842978952799</v>
      </c>
      <c r="R90" s="33">
        <v>24.22393869127</v>
      </c>
      <c r="S90" s="33">
        <v>24.2338154627252</v>
      </c>
      <c r="T90" s="33">
        <v>24.238565139600201</v>
      </c>
      <c r="U90" s="15">
        <v>1.8155011565885199E-3</v>
      </c>
      <c r="V90" s="15">
        <v>2.2231457849630301E-3</v>
      </c>
      <c r="W90" s="15">
        <v>2.41912035155596E-3</v>
      </c>
      <c r="X90" s="34">
        <v>1.2296159771016399</v>
      </c>
      <c r="Y90" s="34">
        <v>1.23013967146909</v>
      </c>
      <c r="Z90" s="34">
        <v>1.2304877879362801</v>
      </c>
      <c r="AA90" s="34">
        <v>1.23051338590157</v>
      </c>
      <c r="AB90" s="33">
        <v>24.531494534023601</v>
      </c>
      <c r="AC90" s="33">
        <v>24.5405657373263</v>
      </c>
      <c r="AD90" s="33">
        <v>24.540306677031701</v>
      </c>
      <c r="AE90" s="15">
        <v>4.2581008050526998E-4</v>
      </c>
      <c r="AF90" s="15">
        <v>7.95519579389889E-4</v>
      </c>
      <c r="AG90" s="15">
        <v>7.8496311281144699E-4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0</v>
      </c>
      <c r="AT90" s="12"/>
      <c r="AU90">
        <f t="shared" si="30"/>
        <v>0</v>
      </c>
      <c r="AV90">
        <f t="shared" si="31"/>
        <v>0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2.0588848121276169E-3</v>
      </c>
      <c r="BE90" s="29">
        <f t="shared" si="42"/>
        <v>0</v>
      </c>
      <c r="BF90" s="29">
        <f t="shared" si="43"/>
        <v>2.0588848121276169E-3</v>
      </c>
      <c r="BH90" s="29"/>
    </row>
    <row r="91" spans="1:60" x14ac:dyDescent="0.25">
      <c r="A91" s="1">
        <v>46154</v>
      </c>
      <c r="B91" s="33">
        <v>19.66</v>
      </c>
      <c r="C91" s="33">
        <v>24.18</v>
      </c>
      <c r="D91" s="15">
        <v>-5.0851768194727003E-4</v>
      </c>
      <c r="E91" s="15">
        <v>0</v>
      </c>
      <c r="F91" s="33">
        <v>0</v>
      </c>
      <c r="G91" s="33">
        <v>0.27204</v>
      </c>
      <c r="H91" s="33">
        <v>0</v>
      </c>
      <c r="I91" s="33">
        <v>0.34105099999999999</v>
      </c>
      <c r="J91" s="33">
        <v>0.27204</v>
      </c>
      <c r="K91" s="33">
        <v>0.34105099999999999</v>
      </c>
      <c r="L91" s="33">
        <v>19.932040000000001</v>
      </c>
      <c r="M91" s="33">
        <v>24.521051</v>
      </c>
      <c r="N91" s="34">
        <v>1.2299084435401799</v>
      </c>
      <c r="O91" s="34">
        <v>1.23151696447737</v>
      </c>
      <c r="P91" s="34">
        <v>1.23093033959412</v>
      </c>
      <c r="Q91" s="34">
        <v>1.23214516722676</v>
      </c>
      <c r="R91" s="33">
        <v>24.211623521625199</v>
      </c>
      <c r="S91" s="33">
        <v>24.2107965385702</v>
      </c>
      <c r="T91" s="33">
        <v>24.224743296621199</v>
      </c>
      <c r="U91" s="15">
        <v>1.3069834746411799E-3</v>
      </c>
      <c r="V91" s="15">
        <v>1.27282644349148E-3</v>
      </c>
      <c r="W91" s="15">
        <v>1.84871590333732E-3</v>
      </c>
      <c r="X91" s="34">
        <v>1.2302328813307599</v>
      </c>
      <c r="Y91" s="34">
        <v>1.23013967146909</v>
      </c>
      <c r="Z91" s="34">
        <v>1.2303808793659099</v>
      </c>
      <c r="AA91" s="34">
        <v>1.23048186575591</v>
      </c>
      <c r="AB91" s="33">
        <v>24.5191931373089</v>
      </c>
      <c r="AC91" s="33">
        <v>24.526131808657599</v>
      </c>
      <c r="AD91" s="33">
        <v>24.526642028325501</v>
      </c>
      <c r="AE91" s="15">
        <v>-7.5768900609957999E-5</v>
      </c>
      <c r="AF91" s="15">
        <v>2.0718044890087901E-4</v>
      </c>
      <c r="AG91" s="15">
        <v>2.2798333640415899E-4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0</v>
      </c>
      <c r="AT91" s="12"/>
      <c r="AU91">
        <f t="shared" si="30"/>
        <v>0</v>
      </c>
      <c r="AV91">
        <f t="shared" si="31"/>
        <v>0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2.0588848121276169E-3</v>
      </c>
      <c r="BE91" s="29">
        <f t="shared" si="42"/>
        <v>0</v>
      </c>
      <c r="BF91" s="29">
        <f t="shared" si="43"/>
        <v>2.0588848121276169E-3</v>
      </c>
      <c r="BH91" s="29"/>
    </row>
    <row r="92" spans="1:60" x14ac:dyDescent="0.25">
      <c r="A92" s="1">
        <v>46155</v>
      </c>
      <c r="B92" s="33">
        <v>19.670000000000002</v>
      </c>
      <c r="C92" s="33">
        <v>24.19</v>
      </c>
      <c r="D92" s="15">
        <v>5.08517681947289E-4</v>
      </c>
      <c r="E92" s="15">
        <v>4.1347943528944199E-4</v>
      </c>
      <c r="F92" s="33">
        <v>0</v>
      </c>
      <c r="G92" s="33">
        <v>0.27204</v>
      </c>
      <c r="H92" s="33">
        <v>0</v>
      </c>
      <c r="I92" s="33">
        <v>0.34105099999999999</v>
      </c>
      <c r="J92" s="33">
        <v>0.27204</v>
      </c>
      <c r="K92" s="33">
        <v>0.34105099999999999</v>
      </c>
      <c r="L92" s="33">
        <v>19.942039999999999</v>
      </c>
      <c r="M92" s="33">
        <v>24.531051000000001</v>
      </c>
      <c r="N92" s="34">
        <v>1.2297915607524099</v>
      </c>
      <c r="O92" s="34">
        <v>1.23151696447737</v>
      </c>
      <c r="P92" s="34">
        <v>1.2304759755471</v>
      </c>
      <c r="Q92" s="34">
        <v>1.2321255989229201</v>
      </c>
      <c r="R92" s="33">
        <v>24.22393869127</v>
      </c>
      <c r="S92" s="33">
        <v>24.212399779816302</v>
      </c>
      <c r="T92" s="33">
        <v>24.2362954393504</v>
      </c>
      <c r="U92" s="15">
        <v>1.4020217212991799E-3</v>
      </c>
      <c r="V92" s="15">
        <v>9.2556491072237396E-4</v>
      </c>
      <c r="W92" s="15">
        <v>1.91199649009112E-3</v>
      </c>
      <c r="X92" s="34">
        <v>1.23011743031304</v>
      </c>
      <c r="Y92" s="34">
        <v>1.23013967146909</v>
      </c>
      <c r="Z92" s="34">
        <v>1.2303629179046101</v>
      </c>
      <c r="AA92" s="34">
        <v>1.2304697179441999</v>
      </c>
      <c r="AB92" s="33">
        <v>24.531494534023601</v>
      </c>
      <c r="AC92" s="33">
        <v>24.536304711550098</v>
      </c>
      <c r="AD92" s="33">
        <v>24.538318586179098</v>
      </c>
      <c r="AE92" s="15">
        <v>1.8080351062153699E-5</v>
      </c>
      <c r="AF92" s="15">
        <v>2.1414284483343101E-4</v>
      </c>
      <c r="AG92" s="15">
        <v>2.9621681686898101E-4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0</v>
      </c>
      <c r="AT92" s="12"/>
      <c r="AU92">
        <f t="shared" si="30"/>
        <v>0</v>
      </c>
      <c r="AV92">
        <f t="shared" si="31"/>
        <v>0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2.0588848121276169E-3</v>
      </c>
      <c r="BE92" s="29">
        <f t="shared" si="42"/>
        <v>0</v>
      </c>
      <c r="BF92" s="29">
        <f t="shared" si="43"/>
        <v>2.0588848121276169E-3</v>
      </c>
      <c r="BH92" s="29"/>
    </row>
    <row r="93" spans="1:60" x14ac:dyDescent="0.25">
      <c r="A93" s="1">
        <v>46156</v>
      </c>
      <c r="B93" s="33">
        <v>19.66</v>
      </c>
      <c r="C93" s="33">
        <v>24.19</v>
      </c>
      <c r="D93" s="15">
        <v>-5.0851768194727003E-4</v>
      </c>
      <c r="E93" s="15">
        <v>0</v>
      </c>
      <c r="F93" s="33">
        <v>0</v>
      </c>
      <c r="G93" s="33">
        <v>0.27204</v>
      </c>
      <c r="H93" s="33">
        <v>0</v>
      </c>
      <c r="I93" s="33">
        <v>0.34105099999999999</v>
      </c>
      <c r="J93" s="33">
        <v>0.27204</v>
      </c>
      <c r="K93" s="33">
        <v>0.34105099999999999</v>
      </c>
      <c r="L93" s="33">
        <v>19.932040000000001</v>
      </c>
      <c r="M93" s="33">
        <v>24.531051000000001</v>
      </c>
      <c r="N93" s="34">
        <v>1.23041709053916</v>
      </c>
      <c r="O93" s="34">
        <v>1.23151696447737</v>
      </c>
      <c r="P93" s="34">
        <v>1.23005712480458</v>
      </c>
      <c r="Q93" s="34">
        <v>1.2321119006043499</v>
      </c>
      <c r="R93" s="33">
        <v>24.211623521625199</v>
      </c>
      <c r="S93" s="33">
        <v>24.191157679256001</v>
      </c>
      <c r="T93" s="33">
        <v>24.223589274824601</v>
      </c>
      <c r="U93" s="15">
        <v>8.9350403935184604E-4</v>
      </c>
      <c r="V93" s="15">
        <v>4.7856616574084402E-5</v>
      </c>
      <c r="W93" s="15">
        <v>1.3875971898477499E-3</v>
      </c>
      <c r="X93" s="34">
        <v>1.2307345861236401</v>
      </c>
      <c r="Y93" s="34">
        <v>1.23013967146909</v>
      </c>
      <c r="Z93" s="34">
        <v>1.2303795961872499</v>
      </c>
      <c r="AA93" s="34">
        <v>1.2304632830381901</v>
      </c>
      <c r="AB93" s="33">
        <v>24.5191931373089</v>
      </c>
      <c r="AC93" s="33">
        <v>24.523642894191401</v>
      </c>
      <c r="AD93" s="33">
        <v>24.5257716368526</v>
      </c>
      <c r="AE93" s="15">
        <v>-4.8349863005302599E-4</v>
      </c>
      <c r="AF93" s="15">
        <v>-3.02034536424117E-4</v>
      </c>
      <c r="AG93" s="15">
        <v>-2.1523461504339701E-4</v>
      </c>
      <c r="AI93" s="12"/>
      <c r="AJ93">
        <f t="shared" si="26"/>
        <v>0</v>
      </c>
      <c r="AK93">
        <f t="shared" si="27"/>
        <v>0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0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2.0588848121276169E-3</v>
      </c>
      <c r="BE93" s="29">
        <f t="shared" si="42"/>
        <v>0</v>
      </c>
      <c r="BF93" s="29">
        <f t="shared" si="43"/>
        <v>2.0588848121276169E-3</v>
      </c>
      <c r="BH93" s="29"/>
    </row>
    <row r="94" spans="1:60" x14ac:dyDescent="0.25">
      <c r="A94" s="1">
        <v>46157</v>
      </c>
      <c r="B94" s="33">
        <v>19.66</v>
      </c>
      <c r="C94" s="33">
        <v>24.18</v>
      </c>
      <c r="D94" s="15">
        <v>0</v>
      </c>
      <c r="E94" s="15">
        <v>-4.1347943528932403E-4</v>
      </c>
      <c r="F94" s="33">
        <v>0</v>
      </c>
      <c r="G94" s="33">
        <v>0.27204</v>
      </c>
      <c r="H94" s="33">
        <v>0</v>
      </c>
      <c r="I94" s="33">
        <v>0.34105099999999999</v>
      </c>
      <c r="J94" s="33">
        <v>0.27204</v>
      </c>
      <c r="K94" s="33">
        <v>0.34105099999999999</v>
      </c>
      <c r="L94" s="33">
        <v>19.932040000000001</v>
      </c>
      <c r="M94" s="33">
        <v>24.521051</v>
      </c>
      <c r="N94" s="34">
        <v>1.2299084435401799</v>
      </c>
      <c r="O94" s="34">
        <v>1.23151696447737</v>
      </c>
      <c r="P94" s="34">
        <v>1.23004542462933</v>
      </c>
      <c r="Q94" s="34">
        <v>1.23211569416644</v>
      </c>
      <c r="R94" s="33">
        <v>24.211623521625199</v>
      </c>
      <c r="S94" s="33">
        <v>24.182923073657999</v>
      </c>
      <c r="T94" s="33">
        <v>24.223319965881501</v>
      </c>
      <c r="U94" s="15">
        <v>1.3069834746411799E-3</v>
      </c>
      <c r="V94" s="15">
        <v>1.20880768813421E-4</v>
      </c>
      <c r="W94" s="15">
        <v>1.7899589316735199E-3</v>
      </c>
      <c r="X94" s="34">
        <v>1.2302328813307599</v>
      </c>
      <c r="Y94" s="34">
        <v>1.23013967146909</v>
      </c>
      <c r="Z94" s="34">
        <v>1.2303680394951899</v>
      </c>
      <c r="AA94" s="34">
        <v>1.2304742587562301</v>
      </c>
      <c r="AB94" s="33">
        <v>24.5191931373089</v>
      </c>
      <c r="AC94" s="33">
        <v>24.523975326388101</v>
      </c>
      <c r="AD94" s="33">
        <v>24.525643376048599</v>
      </c>
      <c r="AE94" s="15">
        <v>-7.5768900609957999E-5</v>
      </c>
      <c r="AF94" s="15">
        <v>1.19250680880125E-4</v>
      </c>
      <c r="AG94" s="15">
        <v>1.8726546694036901E-4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0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0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0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2.0588848121276169E-3</v>
      </c>
      <c r="BE94" s="29">
        <f t="shared" si="42"/>
        <v>0</v>
      </c>
      <c r="BF94" s="29">
        <f t="shared" si="43"/>
        <v>2.0588848121276169E-3</v>
      </c>
      <c r="BH94" s="29"/>
    </row>
    <row r="95" spans="1:60" x14ac:dyDescent="0.25">
      <c r="A95" s="1">
        <v>46160</v>
      </c>
      <c r="B95" s="33">
        <v>19.59</v>
      </c>
      <c r="C95" s="33">
        <v>24.19</v>
      </c>
      <c r="D95" s="15">
        <v>-3.5668827625711099E-3</v>
      </c>
      <c r="E95" s="15">
        <v>4.1347943528944199E-4</v>
      </c>
      <c r="F95" s="33">
        <v>7.084E-2</v>
      </c>
      <c r="G95" s="33">
        <v>0.34288000000000002</v>
      </c>
      <c r="H95" s="33">
        <v>0</v>
      </c>
      <c r="I95" s="33">
        <v>0.34105099999999999</v>
      </c>
      <c r="J95" s="33">
        <v>0.34288000000000002</v>
      </c>
      <c r="K95" s="33">
        <v>0.34105099999999999</v>
      </c>
      <c r="L95" s="33">
        <v>19.932880000000001</v>
      </c>
      <c r="M95" s="33">
        <v>24.531051000000001</v>
      </c>
      <c r="N95" s="34">
        <v>1.2348136804492</v>
      </c>
      <c r="O95" s="34">
        <v>1.23151696447737</v>
      </c>
      <c r="P95" s="34">
        <v>1.2305125360551099</v>
      </c>
      <c r="Q95" s="34">
        <v>1.23213961812777</v>
      </c>
      <c r="R95" s="33">
        <v>24.125417334111798</v>
      </c>
      <c r="S95" s="33">
        <v>24.0965898684886</v>
      </c>
      <c r="T95" s="33">
        <v>24.1371464487206</v>
      </c>
      <c r="U95" s="15">
        <v>-2.6733787232193001E-3</v>
      </c>
      <c r="V95" s="15">
        <v>-3.8689933701217699E-3</v>
      </c>
      <c r="W95" s="15">
        <v>-2.1873243605688001E-3</v>
      </c>
      <c r="X95" s="34">
        <v>1.2306827212123801</v>
      </c>
      <c r="Y95" s="34">
        <v>1.23013967146909</v>
      </c>
      <c r="Z95" s="34">
        <v>1.23038989849151</v>
      </c>
      <c r="AA95" s="34">
        <v>1.2304935425705501</v>
      </c>
      <c r="AB95" s="33">
        <v>24.520226454632901</v>
      </c>
      <c r="AC95" s="33">
        <v>24.524778487092998</v>
      </c>
      <c r="AD95" s="33">
        <v>24.526895742876899</v>
      </c>
      <c r="AE95" s="15">
        <v>-4.4135631545050302E-4</v>
      </c>
      <c r="AF95" s="15">
        <v>-2.5572956391514999E-4</v>
      </c>
      <c r="AG95" s="15">
        <v>-1.6940199942488401E-4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0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2.0588848121276169E-3</v>
      </c>
      <c r="BE95" s="29">
        <f t="shared" si="42"/>
        <v>0</v>
      </c>
      <c r="BF95" s="29">
        <f t="shared" si="43"/>
        <v>2.0588848121276169E-3</v>
      </c>
      <c r="BH95" s="29"/>
    </row>
    <row r="96" spans="1:60" x14ac:dyDescent="0.25">
      <c r="A96" s="1">
        <v>46161</v>
      </c>
      <c r="B96" s="33">
        <v>19.59</v>
      </c>
      <c r="C96" s="33">
        <v>24.19</v>
      </c>
      <c r="D96" s="15">
        <v>0</v>
      </c>
      <c r="E96" s="15">
        <v>0</v>
      </c>
      <c r="F96" s="33">
        <v>0</v>
      </c>
      <c r="G96" s="33">
        <v>0.34288000000000002</v>
      </c>
      <c r="H96" s="33">
        <v>0</v>
      </c>
      <c r="I96" s="33">
        <v>0.34105099999999999</v>
      </c>
      <c r="J96" s="33">
        <v>0.34288000000000002</v>
      </c>
      <c r="K96" s="33">
        <v>0.34105099999999999</v>
      </c>
      <c r="L96" s="33">
        <v>19.932880000000001</v>
      </c>
      <c r="M96" s="33">
        <v>24.531051000000001</v>
      </c>
      <c r="N96" s="34">
        <v>1.2348136804492</v>
      </c>
      <c r="O96" s="34">
        <v>1.23151696447737</v>
      </c>
      <c r="P96" s="34">
        <v>1.2309287309839401</v>
      </c>
      <c r="Q96" s="34">
        <v>1.23215757024401</v>
      </c>
      <c r="R96" s="33">
        <v>24.125417334111798</v>
      </c>
      <c r="S96" s="33">
        <v>24.105740581319601</v>
      </c>
      <c r="T96" s="33">
        <v>24.137615119123002</v>
      </c>
      <c r="U96" s="15">
        <v>-2.6733787232193001E-3</v>
      </c>
      <c r="V96" s="15">
        <v>-3.48931409505371E-3</v>
      </c>
      <c r="W96" s="15">
        <v>-2.1679075726969699E-3</v>
      </c>
      <c r="X96" s="34">
        <v>1.2306827212123801</v>
      </c>
      <c r="Y96" s="34">
        <v>1.23013967146909</v>
      </c>
      <c r="Z96" s="34">
        <v>1.23036153661643</v>
      </c>
      <c r="AA96" s="34">
        <v>1.23050703771148</v>
      </c>
      <c r="AB96" s="33">
        <v>24.520226454632901</v>
      </c>
      <c r="AC96" s="33">
        <v>24.5252141998435</v>
      </c>
      <c r="AD96" s="33">
        <v>24.527280124833698</v>
      </c>
      <c r="AE96" s="15">
        <v>-4.4135631545050302E-4</v>
      </c>
      <c r="AF96" s="15">
        <v>-2.3796349600720099E-4</v>
      </c>
      <c r="AG96" s="15">
        <v>-1.5373026710305501E-4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0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2.0588848121276169E-3</v>
      </c>
      <c r="BE96" s="29">
        <f t="shared" si="42"/>
        <v>0</v>
      </c>
      <c r="BF96" s="29">
        <f t="shared" si="43"/>
        <v>2.0588848121276169E-3</v>
      </c>
      <c r="BH96" s="29"/>
    </row>
    <row r="97" spans="1:60" x14ac:dyDescent="0.25">
      <c r="A97" s="1">
        <v>46162</v>
      </c>
      <c r="B97" s="33">
        <v>19.61</v>
      </c>
      <c r="C97" s="33">
        <v>24.2</v>
      </c>
      <c r="D97" s="15">
        <v>1.02040825180545E-3</v>
      </c>
      <c r="E97" s="15">
        <v>4.13308540704658E-4</v>
      </c>
      <c r="F97" s="33">
        <v>0</v>
      </c>
      <c r="G97" s="33">
        <v>0.34288000000000002</v>
      </c>
      <c r="H97" s="33">
        <v>0</v>
      </c>
      <c r="I97" s="33">
        <v>0.34105099999999999</v>
      </c>
      <c r="J97" s="33">
        <v>0.34288000000000002</v>
      </c>
      <c r="K97" s="33">
        <v>0.34105099999999999</v>
      </c>
      <c r="L97" s="33">
        <v>19.95288</v>
      </c>
      <c r="M97" s="33">
        <v>24.541051</v>
      </c>
      <c r="N97" s="34">
        <v>1.2340642529321699</v>
      </c>
      <c r="O97" s="34">
        <v>1.23151696447737</v>
      </c>
      <c r="P97" s="34">
        <v>1.23139517662304</v>
      </c>
      <c r="Q97" s="34">
        <v>1.23214402282949</v>
      </c>
      <c r="R97" s="33">
        <v>24.150047673401399</v>
      </c>
      <c r="S97" s="33">
        <v>24.138512414595102</v>
      </c>
      <c r="T97" s="33">
        <v>24.162609952485099</v>
      </c>
      <c r="U97" s="15">
        <v>-2.06627901211852E-3</v>
      </c>
      <c r="V97" s="15">
        <v>-2.5440426482541598E-3</v>
      </c>
      <c r="W97" s="15">
        <v>-1.5462380959632299E-3</v>
      </c>
      <c r="X97" s="34">
        <v>1.22995031293728</v>
      </c>
      <c r="Y97" s="34">
        <v>1.23013967146909</v>
      </c>
      <c r="Z97" s="34">
        <v>1.23038345025637</v>
      </c>
      <c r="AA97" s="34">
        <v>1.2304897011120399</v>
      </c>
      <c r="AB97" s="33">
        <v>24.5448292480623</v>
      </c>
      <c r="AC97" s="33">
        <v>24.549256096723301</v>
      </c>
      <c r="AD97" s="33">
        <v>24.552159262612701</v>
      </c>
      <c r="AE97" s="15">
        <v>1.5394439503628601E-4</v>
      </c>
      <c r="AF97" s="15">
        <v>3.3428582076809702E-4</v>
      </c>
      <c r="AG97" s="15">
        <v>4.5253764188260998E-4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0</v>
      </c>
      <c r="AT97" s="12"/>
      <c r="AU97">
        <f t="shared" si="30"/>
        <v>0</v>
      </c>
      <c r="AV97">
        <f t="shared" si="31"/>
        <v>0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2.0588848121276169E-3</v>
      </c>
      <c r="BE97" s="29">
        <f t="shared" si="42"/>
        <v>0</v>
      </c>
      <c r="BF97" s="29">
        <f t="shared" si="43"/>
        <v>2.0588848121276169E-3</v>
      </c>
      <c r="BH97" s="29"/>
    </row>
    <row r="98" spans="1:60" x14ac:dyDescent="0.25">
      <c r="A98" s="1">
        <v>46163</v>
      </c>
      <c r="B98" s="33">
        <v>19.61</v>
      </c>
      <c r="C98" s="33">
        <v>24.21</v>
      </c>
      <c r="D98" s="15">
        <v>0</v>
      </c>
      <c r="E98" s="15">
        <v>4.13137787326395E-4</v>
      </c>
      <c r="F98" s="33">
        <v>0</v>
      </c>
      <c r="G98" s="33">
        <v>0.34288000000000002</v>
      </c>
      <c r="H98" s="33">
        <v>0</v>
      </c>
      <c r="I98" s="33">
        <v>0.34105099999999999</v>
      </c>
      <c r="J98" s="33">
        <v>0.34288000000000002</v>
      </c>
      <c r="K98" s="33">
        <v>0.34105099999999999</v>
      </c>
      <c r="L98" s="33">
        <v>19.95288</v>
      </c>
      <c r="M98" s="33">
        <v>24.551051000000001</v>
      </c>
      <c r="N98" s="34">
        <v>1.2345741968383399</v>
      </c>
      <c r="O98" s="34">
        <v>1.23151696447737</v>
      </c>
      <c r="P98" s="34">
        <v>1.23179916119237</v>
      </c>
      <c r="Q98" s="34">
        <v>1.23215597261027</v>
      </c>
      <c r="R98" s="33">
        <v>24.150047673401399</v>
      </c>
      <c r="S98" s="33">
        <v>24.147659413577799</v>
      </c>
      <c r="T98" s="33">
        <v>24.162344287686299</v>
      </c>
      <c r="U98" s="15">
        <v>-2.4794167994449398E-3</v>
      </c>
      <c r="V98" s="15">
        <v>-2.5783142407340902E-3</v>
      </c>
      <c r="W98" s="15">
        <v>-1.9703708155333999E-3</v>
      </c>
      <c r="X98" s="34">
        <v>1.2304514937191999</v>
      </c>
      <c r="Y98" s="34">
        <v>1.23013967146909</v>
      </c>
      <c r="Z98" s="34">
        <v>1.2303435591404699</v>
      </c>
      <c r="AA98" s="34">
        <v>1.2304974235517001</v>
      </c>
      <c r="AB98" s="33">
        <v>24.5448292480623</v>
      </c>
      <c r="AC98" s="33">
        <v>24.5496933369514</v>
      </c>
      <c r="AD98" s="33">
        <v>24.551813347524501</v>
      </c>
      <c r="AE98" s="15">
        <v>-2.5345311824649598E-4</v>
      </c>
      <c r="AF98" s="15">
        <v>-5.5301118840267303E-5</v>
      </c>
      <c r="AG98" s="15">
        <v>3.1051040901872497E-5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0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2.0588848121276169E-3</v>
      </c>
      <c r="BE98" s="29">
        <f t="shared" si="42"/>
        <v>0</v>
      </c>
      <c r="BF98" s="29">
        <f t="shared" si="43"/>
        <v>2.0588848121276169E-3</v>
      </c>
      <c r="BH98" s="29"/>
    </row>
    <row r="99" spans="1:60" x14ac:dyDescent="0.25">
      <c r="A99" s="1">
        <v>46164</v>
      </c>
      <c r="B99" s="33">
        <v>19.62</v>
      </c>
      <c r="C99" s="33">
        <v>24.21</v>
      </c>
      <c r="D99" s="15">
        <v>5.0981392896222097E-4</v>
      </c>
      <c r="E99" s="15">
        <v>0</v>
      </c>
      <c r="F99" s="33">
        <v>0</v>
      </c>
      <c r="G99" s="33">
        <v>0.34288000000000002</v>
      </c>
      <c r="H99" s="33">
        <v>0</v>
      </c>
      <c r="I99" s="33">
        <v>0.34105099999999999</v>
      </c>
      <c r="J99" s="33">
        <v>0.34288000000000002</v>
      </c>
      <c r="K99" s="33">
        <v>0.34105099999999999</v>
      </c>
      <c r="L99" s="33">
        <v>19.962879999999998</v>
      </c>
      <c r="M99" s="33">
        <v>24.551051000000001</v>
      </c>
      <c r="N99" s="34">
        <v>1.23394495412844</v>
      </c>
      <c r="O99" s="34">
        <v>1.23151696447737</v>
      </c>
      <c r="P99" s="34">
        <v>1.2321519475513001</v>
      </c>
      <c r="Q99" s="34">
        <v>1.2320855178205199</v>
      </c>
      <c r="R99" s="33">
        <v>24.1623628430461</v>
      </c>
      <c r="S99" s="33">
        <v>24.167899542594299</v>
      </c>
      <c r="T99" s="33">
        <v>24.174900182613602</v>
      </c>
      <c r="U99" s="15">
        <v>-1.9696028704828498E-3</v>
      </c>
      <c r="V99" s="15">
        <v>-1.74048350306874E-3</v>
      </c>
      <c r="W99" s="15">
        <v>-1.45085856996323E-3</v>
      </c>
      <c r="X99" s="34">
        <v>1.22983512399012</v>
      </c>
      <c r="Y99" s="34">
        <v>1.23013967146909</v>
      </c>
      <c r="Z99" s="34">
        <v>1.23025361292712</v>
      </c>
      <c r="AA99" s="34">
        <v>1.23042408139948</v>
      </c>
      <c r="AB99" s="33">
        <v>24.557130644777001</v>
      </c>
      <c r="AC99" s="33">
        <v>24.561200829894201</v>
      </c>
      <c r="AD99" s="33">
        <v>24.564272406671801</v>
      </c>
      <c r="AE99" s="15">
        <v>2.4760211453424199E-4</v>
      </c>
      <c r="AF99" s="15">
        <v>4.1333189420448901E-4</v>
      </c>
      <c r="AG99" s="15">
        <v>5.38382161581967E-4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0</v>
      </c>
      <c r="AT99" s="12"/>
      <c r="AU99">
        <f t="shared" si="30"/>
        <v>0</v>
      </c>
      <c r="AV99">
        <f t="shared" si="31"/>
        <v>0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2.0588848121276169E-3</v>
      </c>
      <c r="BE99" s="29">
        <f t="shared" si="42"/>
        <v>0</v>
      </c>
      <c r="BF99" s="29">
        <f t="shared" si="43"/>
        <v>2.0588848121276169E-3</v>
      </c>
      <c r="BH99" s="29"/>
    </row>
    <row r="100" spans="1:60" x14ac:dyDescent="0.25">
      <c r="A100" s="1">
        <v>46168</v>
      </c>
      <c r="B100" s="33">
        <v>19.63</v>
      </c>
      <c r="C100" s="33">
        <v>24.22</v>
      </c>
      <c r="D100" s="15">
        <v>5.0955415115258205E-4</v>
      </c>
      <c r="E100" s="15">
        <v>4.12967174978938E-4</v>
      </c>
      <c r="F100" s="33">
        <v>0</v>
      </c>
      <c r="G100" s="33">
        <v>0.34288000000000002</v>
      </c>
      <c r="H100" s="33">
        <v>0</v>
      </c>
      <c r="I100" s="33">
        <v>0.34105099999999999</v>
      </c>
      <c r="J100" s="33">
        <v>0.34288000000000002</v>
      </c>
      <c r="K100" s="33">
        <v>0.34105099999999999</v>
      </c>
      <c r="L100" s="33">
        <v>19.97288</v>
      </c>
      <c r="M100" s="33">
        <v>24.561050999999999</v>
      </c>
      <c r="N100" s="34">
        <v>1.2338257768721299</v>
      </c>
      <c r="O100" s="34">
        <v>1.23151696447737</v>
      </c>
      <c r="P100" s="34">
        <v>1.23260620800414</v>
      </c>
      <c r="Q100" s="34">
        <v>1.2320405541182999</v>
      </c>
      <c r="R100" s="33">
        <v>24.174678012690901</v>
      </c>
      <c r="S100" s="33">
        <v>24.187142730432001</v>
      </c>
      <c r="T100" s="33">
        <v>24.1858387148168</v>
      </c>
      <c r="U100" s="15">
        <v>-1.8730158943091699E-3</v>
      </c>
      <c r="V100" s="15">
        <v>-1.35753827888735E-3</v>
      </c>
      <c r="W100" s="15">
        <v>-1.4114533189168101E-3</v>
      </c>
      <c r="X100" s="34">
        <v>1.2297200503883201</v>
      </c>
      <c r="Y100" s="34">
        <v>1.23013967146909</v>
      </c>
      <c r="Z100" s="34">
        <v>1.23026402025579</v>
      </c>
      <c r="AA100" s="34">
        <v>1.23037590409604</v>
      </c>
      <c r="AB100" s="33">
        <v>24.569432041491702</v>
      </c>
      <c r="AC100" s="33">
        <v>24.571707780559901</v>
      </c>
      <c r="AD100" s="33">
        <v>24.5751125269021</v>
      </c>
      <c r="AE100" s="15">
        <v>3.4117480855794398E-4</v>
      </c>
      <c r="AF100" s="15">
        <v>4.3379533295154801E-4</v>
      </c>
      <c r="AG100" s="15">
        <v>5.7234941748448198E-4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0</v>
      </c>
      <c r="AT100" s="12"/>
      <c r="AU100">
        <f t="shared" si="30"/>
        <v>0</v>
      </c>
      <c r="AV100">
        <f t="shared" si="31"/>
        <v>0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2.0588848121276169E-3</v>
      </c>
      <c r="BE100" s="29">
        <f t="shared" si="42"/>
        <v>0</v>
      </c>
      <c r="BF100" s="29">
        <f t="shared" si="43"/>
        <v>2.0588848121276169E-3</v>
      </c>
      <c r="BH100" s="29"/>
    </row>
    <row r="101" spans="1:60" x14ac:dyDescent="0.25">
      <c r="A101" s="1">
        <v>46169</v>
      </c>
      <c r="B101" s="33">
        <v>19.63</v>
      </c>
      <c r="C101" s="33">
        <v>24.23</v>
      </c>
      <c r="D101" s="15">
        <v>0</v>
      </c>
      <c r="E101" s="15">
        <v>4.1279670348812598E-4</v>
      </c>
      <c r="F101" s="33">
        <v>0</v>
      </c>
      <c r="G101" s="33">
        <v>0.34288000000000002</v>
      </c>
      <c r="H101" s="33">
        <v>0</v>
      </c>
      <c r="I101" s="33">
        <v>0.34105099999999999</v>
      </c>
      <c r="J101" s="33">
        <v>0.34288000000000002</v>
      </c>
      <c r="K101" s="33">
        <v>0.34105099999999999</v>
      </c>
      <c r="L101" s="33">
        <v>19.97288</v>
      </c>
      <c r="M101" s="33">
        <v>24.571051000000001</v>
      </c>
      <c r="N101" s="34">
        <v>1.2343352012226101</v>
      </c>
      <c r="O101" s="34">
        <v>1.23151696447737</v>
      </c>
      <c r="P101" s="34">
        <v>1.2330488837723901</v>
      </c>
      <c r="Q101" s="34">
        <v>1.2319896116832501</v>
      </c>
      <c r="R101" s="33">
        <v>24.174678012690901</v>
      </c>
      <c r="S101" s="33">
        <v>24.196059863121299</v>
      </c>
      <c r="T101" s="33">
        <v>24.184956077342299</v>
      </c>
      <c r="U101" s="15">
        <v>-2.2858125977973701E-3</v>
      </c>
      <c r="V101" s="15">
        <v>-1.40173049518411E-3</v>
      </c>
      <c r="W101" s="15">
        <v>-1.8607446666808801E-3</v>
      </c>
      <c r="X101" s="34">
        <v>1.23022072930894</v>
      </c>
      <c r="Y101" s="34">
        <v>1.23013967146909</v>
      </c>
      <c r="Z101" s="34">
        <v>1.23026280505361</v>
      </c>
      <c r="AA101" s="34">
        <v>1.2303218422097599</v>
      </c>
      <c r="AB101" s="33">
        <v>24.569432041491702</v>
      </c>
      <c r="AC101" s="33">
        <v>24.571915644886499</v>
      </c>
      <c r="AD101" s="33">
        <v>24.5741502874017</v>
      </c>
      <c r="AE101" s="15">
        <v>-6.5891029499915202E-5</v>
      </c>
      <c r="AF101" s="15">
        <v>3.5188957673622298E-5</v>
      </c>
      <c r="AG101" s="15">
        <v>1.2612777340033501E-4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0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2.0588848121276169E-3</v>
      </c>
      <c r="BE101" s="29">
        <f t="shared" si="42"/>
        <v>0</v>
      </c>
      <c r="BF101" s="29">
        <f t="shared" si="43"/>
        <v>2.0588848121276169E-3</v>
      </c>
      <c r="BH101" s="29"/>
    </row>
    <row r="102" spans="1:60" x14ac:dyDescent="0.25">
      <c r="A102" s="1">
        <v>46170</v>
      </c>
      <c r="B102" s="33">
        <v>19.64</v>
      </c>
      <c r="C102" s="33">
        <v>24.23</v>
      </c>
      <c r="D102" s="15">
        <v>5.0929463795013497E-4</v>
      </c>
      <c r="E102" s="15">
        <v>0</v>
      </c>
      <c r="F102" s="33">
        <v>0</v>
      </c>
      <c r="G102" s="33">
        <v>0.34288000000000002</v>
      </c>
      <c r="H102" s="33">
        <v>0</v>
      </c>
      <c r="I102" s="33">
        <v>0.34105099999999999</v>
      </c>
      <c r="J102" s="33">
        <v>0.34288000000000002</v>
      </c>
      <c r="K102" s="33">
        <v>0.34105099999999999</v>
      </c>
      <c r="L102" s="33">
        <v>19.982880000000002</v>
      </c>
      <c r="M102" s="33">
        <v>24.571051000000001</v>
      </c>
      <c r="N102" s="34">
        <v>1.23370672097759</v>
      </c>
      <c r="O102" s="34">
        <v>1.23151696447737</v>
      </c>
      <c r="P102" s="34">
        <v>1.2334403997948999</v>
      </c>
      <c r="Q102" s="34">
        <v>1.231958187671</v>
      </c>
      <c r="R102" s="33">
        <v>24.186993182335701</v>
      </c>
      <c r="S102" s="33">
        <v>24.217080077289701</v>
      </c>
      <c r="T102" s="33">
        <v>24.196275973459102</v>
      </c>
      <c r="U102" s="15">
        <v>-1.77651795984722E-3</v>
      </c>
      <c r="V102" s="15">
        <v>-5.3336229947933197E-4</v>
      </c>
      <c r="W102" s="15">
        <v>-1.3927989016159E-3</v>
      </c>
      <c r="X102" s="34">
        <v>1.22960509195871</v>
      </c>
      <c r="Y102" s="34">
        <v>1.23013967146909</v>
      </c>
      <c r="Z102" s="34">
        <v>1.23021157121817</v>
      </c>
      <c r="AA102" s="34">
        <v>1.2302872445613899</v>
      </c>
      <c r="AB102" s="33">
        <v>24.581733438206399</v>
      </c>
      <c r="AC102" s="33">
        <v>24.584194001849699</v>
      </c>
      <c r="AD102" s="33">
        <v>24.585373734256599</v>
      </c>
      <c r="AE102" s="15">
        <v>4.3466259324650698E-4</v>
      </c>
      <c r="AF102" s="15">
        <v>5.3475482270158396E-4</v>
      </c>
      <c r="AG102" s="15">
        <v>5.8274110614644505E-4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0</v>
      </c>
      <c r="AT102" s="12"/>
      <c r="AU102">
        <f t="shared" si="30"/>
        <v>0</v>
      </c>
      <c r="AV102">
        <f t="shared" si="31"/>
        <v>0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2.0588848121276169E-3</v>
      </c>
      <c r="BE102" s="29">
        <f t="shared" si="42"/>
        <v>0</v>
      </c>
      <c r="BF102" s="29">
        <f t="shared" si="43"/>
        <v>2.0588848121276169E-3</v>
      </c>
      <c r="BH102" s="29"/>
    </row>
    <row r="103" spans="1:60" x14ac:dyDescent="0.25">
      <c r="A103" s="1">
        <v>46171</v>
      </c>
      <c r="B103" s="33">
        <v>19.64</v>
      </c>
      <c r="C103" s="33">
        <v>24.25</v>
      </c>
      <c r="D103" s="15">
        <v>0</v>
      </c>
      <c r="E103" s="15">
        <v>8.2508255505787302E-4</v>
      </c>
      <c r="F103" s="33">
        <v>0</v>
      </c>
      <c r="G103" s="33">
        <v>0.34288000000000002</v>
      </c>
      <c r="H103" s="33">
        <v>0</v>
      </c>
      <c r="I103" s="33">
        <v>0.34105099999999999</v>
      </c>
      <c r="J103" s="33">
        <v>0.34288000000000002</v>
      </c>
      <c r="K103" s="33">
        <v>0.34105099999999999</v>
      </c>
      <c r="L103" s="33">
        <v>19.982880000000002</v>
      </c>
      <c r="M103" s="33">
        <v>24.591051</v>
      </c>
      <c r="N103" s="34">
        <v>1.23472505091649</v>
      </c>
      <c r="O103" s="34">
        <v>1.23151696447737</v>
      </c>
      <c r="P103" s="34">
        <v>1.23387119583264</v>
      </c>
      <c r="Q103" s="34">
        <v>1.23196416031861</v>
      </c>
      <c r="R103" s="33">
        <v>24.186993182335701</v>
      </c>
      <c r="S103" s="33">
        <v>24.224769451972001</v>
      </c>
      <c r="T103" s="33">
        <v>24.1956588058585</v>
      </c>
      <c r="U103" s="15">
        <v>-2.6016005149050898E-3</v>
      </c>
      <c r="V103" s="15">
        <v>-1.04097659840892E-3</v>
      </c>
      <c r="W103" s="15">
        <v>-2.24338850050094E-3</v>
      </c>
      <c r="X103" s="34">
        <v>1.23060594869208</v>
      </c>
      <c r="Y103" s="34">
        <v>1.23013967146909</v>
      </c>
      <c r="Z103" s="34">
        <v>1.23019870747502</v>
      </c>
      <c r="AA103" s="34">
        <v>1.2302891518311301</v>
      </c>
      <c r="AB103" s="33">
        <v>24.581733438206399</v>
      </c>
      <c r="AC103" s="33">
        <v>24.583170202264299</v>
      </c>
      <c r="AD103" s="33">
        <v>24.584682373601002</v>
      </c>
      <c r="AE103" s="15">
        <v>-3.7897231208504898E-4</v>
      </c>
      <c r="AF103" s="15">
        <v>-3.2052557663267298E-4</v>
      </c>
      <c r="AG103" s="15">
        <v>-2.5901500588561602E-4</v>
      </c>
      <c r="AI103" s="12"/>
      <c r="AJ103">
        <f t="shared" si="26"/>
        <v>0</v>
      </c>
      <c r="AK103">
        <f t="shared" si="27"/>
        <v>0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0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2.0588848121276169E-3</v>
      </c>
      <c r="BE103" s="29">
        <f t="shared" si="42"/>
        <v>0</v>
      </c>
      <c r="BF103" s="29">
        <f t="shared" si="43"/>
        <v>2.0588848121276169E-3</v>
      </c>
      <c r="BH103" s="29"/>
    </row>
    <row r="104" spans="1:60" x14ac:dyDescent="0.25">
      <c r="A104" s="1">
        <v>46174</v>
      </c>
      <c r="B104" s="33">
        <v>19.64</v>
      </c>
      <c r="C104" s="33">
        <v>24.16</v>
      </c>
      <c r="D104" s="15">
        <v>0</v>
      </c>
      <c r="E104" s="15">
        <v>-3.7182443168780098E-3</v>
      </c>
      <c r="F104" s="33">
        <v>0</v>
      </c>
      <c r="G104" s="33">
        <v>0.34288000000000002</v>
      </c>
      <c r="H104" s="33">
        <v>8.6120000000000002E-2</v>
      </c>
      <c r="I104" s="33">
        <v>0.42717099999999902</v>
      </c>
      <c r="J104" s="33">
        <v>0.34288000000000002</v>
      </c>
      <c r="K104" s="33">
        <v>0.42717099999999902</v>
      </c>
      <c r="L104" s="33">
        <v>19.982880000000002</v>
      </c>
      <c r="M104" s="33">
        <v>24.587171000000001</v>
      </c>
      <c r="N104" s="34">
        <v>1.23014256619144</v>
      </c>
      <c r="O104" s="34">
        <v>1.23151696447737</v>
      </c>
      <c r="P104" s="34">
        <v>1.23389460809776</v>
      </c>
      <c r="Q104" s="34">
        <v>1.2319700163635501</v>
      </c>
      <c r="R104" s="33">
        <v>24.186993182335701</v>
      </c>
      <c r="S104" s="33">
        <v>24.233230286152999</v>
      </c>
      <c r="T104" s="33">
        <v>24.195776108657501</v>
      </c>
      <c r="U104" s="15">
        <v>1.116643801973E-3</v>
      </c>
      <c r="V104" s="15">
        <v>3.0264705049142001E-3</v>
      </c>
      <c r="W104" s="15">
        <v>1.4797038974143199E-3</v>
      </c>
      <c r="X104" s="34">
        <v>1.2304117824858001</v>
      </c>
      <c r="Y104" s="34">
        <v>1.23013967146909</v>
      </c>
      <c r="Z104" s="34">
        <v>1.2302165975905199</v>
      </c>
      <c r="AA104" s="34">
        <v>1.23029231854286</v>
      </c>
      <c r="AB104" s="33">
        <v>24.581733438206399</v>
      </c>
      <c r="AC104" s="33">
        <v>24.5829131476284</v>
      </c>
      <c r="AD104" s="33">
        <v>24.584720486343301</v>
      </c>
      <c r="AE104" s="15">
        <v>-2.2117888848184299E-4</v>
      </c>
      <c r="AF104" s="15">
        <v>-1.7318873685080399E-4</v>
      </c>
      <c r="AG104" s="15">
        <v>-9.9671319714501498E-5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0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2.0588848121276169E-3</v>
      </c>
      <c r="BE104" s="29">
        <f t="shared" si="42"/>
        <v>0</v>
      </c>
      <c r="BF104" s="29">
        <f t="shared" si="43"/>
        <v>2.0588848121276169E-3</v>
      </c>
      <c r="BH104" s="29"/>
    </row>
    <row r="105" spans="1:60" x14ac:dyDescent="0.25">
      <c r="A105" s="1">
        <v>46175</v>
      </c>
      <c r="B105" s="33">
        <v>19.64</v>
      </c>
      <c r="C105" s="33">
        <v>24.16</v>
      </c>
      <c r="D105" s="15">
        <v>0</v>
      </c>
      <c r="E105" s="15">
        <v>0</v>
      </c>
      <c r="F105" s="33">
        <v>0</v>
      </c>
      <c r="G105" s="33">
        <v>0.34288000000000002</v>
      </c>
      <c r="H105" s="33">
        <v>0</v>
      </c>
      <c r="I105" s="33">
        <v>0.42717099999999902</v>
      </c>
      <c r="J105" s="33">
        <v>0.34288000000000002</v>
      </c>
      <c r="K105" s="33">
        <v>0.42717099999999902</v>
      </c>
      <c r="L105" s="33">
        <v>19.982880000000002</v>
      </c>
      <c r="M105" s="33">
        <v>24.587171000000001</v>
      </c>
      <c r="N105" s="34">
        <v>1.23014256619144</v>
      </c>
      <c r="O105" s="34">
        <v>1.23151696447737</v>
      </c>
      <c r="P105" s="34">
        <v>1.23342749667199</v>
      </c>
      <c r="Q105" s="34">
        <v>1.2319700163635501</v>
      </c>
      <c r="R105" s="33">
        <v>24.186993182335701</v>
      </c>
      <c r="S105" s="33">
        <v>24.2336901030401</v>
      </c>
      <c r="T105" s="33">
        <v>24.1958911213801</v>
      </c>
      <c r="U105" s="15">
        <v>1.116643801973E-3</v>
      </c>
      <c r="V105" s="15">
        <v>3.0454449676361899E-3</v>
      </c>
      <c r="W105" s="15">
        <v>1.4844573076284199E-3</v>
      </c>
      <c r="X105" s="34">
        <v>1.2304117824858001</v>
      </c>
      <c r="Y105" s="34">
        <v>1.23013967146909</v>
      </c>
      <c r="Z105" s="34">
        <v>1.2301895037178601</v>
      </c>
      <c r="AA105" s="34">
        <v>1.23028970110469</v>
      </c>
      <c r="AB105" s="33">
        <v>24.581733438206399</v>
      </c>
      <c r="AC105" s="33">
        <v>24.583270643659699</v>
      </c>
      <c r="AD105" s="33">
        <v>24.584783766363799</v>
      </c>
      <c r="AE105" s="15">
        <v>-2.2117888848184299E-4</v>
      </c>
      <c r="AF105" s="15">
        <v>-1.58646382584015E-4</v>
      </c>
      <c r="AG105" s="15">
        <v>-9.7097365741113606E-5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0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2.0588848121276169E-3</v>
      </c>
      <c r="BE105" s="29">
        <f t="shared" si="42"/>
        <v>0</v>
      </c>
      <c r="BF105" s="29">
        <f t="shared" si="43"/>
        <v>2.0588848121276169E-3</v>
      </c>
      <c r="BH105" s="29"/>
    </row>
    <row r="106" spans="1:60" x14ac:dyDescent="0.25">
      <c r="A106" s="1">
        <v>46176</v>
      </c>
      <c r="B106" s="33">
        <v>19.64</v>
      </c>
      <c r="C106" s="33">
        <v>24.15</v>
      </c>
      <c r="D106" s="15">
        <v>0</v>
      </c>
      <c r="E106" s="15">
        <v>-4.1399296803260299E-4</v>
      </c>
      <c r="F106" s="33">
        <v>0</v>
      </c>
      <c r="G106" s="33">
        <v>0.34288000000000002</v>
      </c>
      <c r="H106" s="33">
        <v>0</v>
      </c>
      <c r="I106" s="33">
        <v>0.42717099999999902</v>
      </c>
      <c r="J106" s="33">
        <v>0.34288000000000002</v>
      </c>
      <c r="K106" s="33">
        <v>0.42717099999999902</v>
      </c>
      <c r="L106" s="33">
        <v>19.982880000000002</v>
      </c>
      <c r="M106" s="33">
        <v>24.577171</v>
      </c>
      <c r="N106" s="34">
        <v>1.2296334012219901</v>
      </c>
      <c r="O106" s="34">
        <v>1.23151696447737</v>
      </c>
      <c r="P106" s="34">
        <v>1.2329094687492701</v>
      </c>
      <c r="Q106" s="34">
        <v>1.2319190998666001</v>
      </c>
      <c r="R106" s="33">
        <v>24.186993182335701</v>
      </c>
      <c r="S106" s="33">
        <v>24.224516034637901</v>
      </c>
      <c r="T106" s="33">
        <v>24.1958911213801</v>
      </c>
      <c r="U106" s="15">
        <v>1.53063677000561E-3</v>
      </c>
      <c r="V106" s="15">
        <v>3.08079954836331E-3</v>
      </c>
      <c r="W106" s="15">
        <v>1.89845027566109E-3</v>
      </c>
      <c r="X106" s="34">
        <v>1.22991135411912</v>
      </c>
      <c r="Y106" s="34">
        <v>1.23013967146909</v>
      </c>
      <c r="Z106" s="34">
        <v>1.2301123670085401</v>
      </c>
      <c r="AA106" s="34">
        <v>1.2302369518124801</v>
      </c>
      <c r="AB106" s="33">
        <v>24.581733438206399</v>
      </c>
      <c r="AC106" s="33">
        <v>24.582729230053701</v>
      </c>
      <c r="AD106" s="33">
        <v>24.5847314624109</v>
      </c>
      <c r="AE106" s="15">
        <v>1.8562001214840601E-4</v>
      </c>
      <c r="AF106" s="15">
        <v>2.26128615045503E-4</v>
      </c>
      <c r="AG106" s="15">
        <v>3.0757403972695899E-4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0</v>
      </c>
      <c r="AT106" s="12"/>
      <c r="AU106">
        <f t="shared" si="30"/>
        <v>0</v>
      </c>
      <c r="AV106">
        <f t="shared" si="31"/>
        <v>0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2.0588848121276169E-3</v>
      </c>
      <c r="BE106" s="29">
        <f t="shared" si="42"/>
        <v>0</v>
      </c>
      <c r="BF106" s="29">
        <f t="shared" si="43"/>
        <v>2.0588848121276169E-3</v>
      </c>
      <c r="BH106" s="29"/>
    </row>
    <row r="107" spans="1:60" x14ac:dyDescent="0.25">
      <c r="A107" s="1">
        <v>46177</v>
      </c>
      <c r="B107" s="33">
        <v>19.64</v>
      </c>
      <c r="C107" s="33">
        <v>24.16</v>
      </c>
      <c r="D107" s="15">
        <v>0</v>
      </c>
      <c r="E107" s="15">
        <v>4.1399296803251202E-4</v>
      </c>
      <c r="F107" s="33">
        <v>0</v>
      </c>
      <c r="G107" s="33">
        <v>0.34288000000000002</v>
      </c>
      <c r="H107" s="33">
        <v>0</v>
      </c>
      <c r="I107" s="33">
        <v>0.42717099999999902</v>
      </c>
      <c r="J107" s="33">
        <v>0.34288000000000002</v>
      </c>
      <c r="K107" s="33">
        <v>0.42717099999999902</v>
      </c>
      <c r="L107" s="33">
        <v>19.982880000000002</v>
      </c>
      <c r="M107" s="33">
        <v>24.587171000000001</v>
      </c>
      <c r="N107" s="34">
        <v>1.23014256619144</v>
      </c>
      <c r="O107" s="34">
        <v>1.23151696447737</v>
      </c>
      <c r="P107" s="34">
        <v>1.2325173000751899</v>
      </c>
      <c r="Q107" s="34">
        <v>1.2319562383491101</v>
      </c>
      <c r="R107" s="33">
        <v>24.186993182335701</v>
      </c>
      <c r="S107" s="33">
        <v>24.214341966235601</v>
      </c>
      <c r="T107" s="33">
        <v>24.194891121380099</v>
      </c>
      <c r="U107" s="15">
        <v>1.116643801973E-3</v>
      </c>
      <c r="V107" s="15">
        <v>2.2467277852575899E-3</v>
      </c>
      <c r="W107" s="15">
        <v>1.4431271222585401E-3</v>
      </c>
      <c r="X107" s="34">
        <v>1.2304117824858001</v>
      </c>
      <c r="Y107" s="34">
        <v>1.23013967146909</v>
      </c>
      <c r="Z107" s="34">
        <v>1.2301585139633899</v>
      </c>
      <c r="AA107" s="34">
        <v>1.2302709821098801</v>
      </c>
      <c r="AB107" s="33">
        <v>24.581733438206399</v>
      </c>
      <c r="AC107" s="33">
        <v>24.581187816447599</v>
      </c>
      <c r="AD107" s="33">
        <v>24.5836773796347</v>
      </c>
      <c r="AE107" s="15">
        <v>-2.2117888848184299E-4</v>
      </c>
      <c r="AF107" s="15">
        <v>-2.43375362770276E-4</v>
      </c>
      <c r="AG107" s="15">
        <v>-1.42101285059927E-4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0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2.0588848121276169E-3</v>
      </c>
      <c r="BE107" s="29">
        <f t="shared" si="42"/>
        <v>0</v>
      </c>
      <c r="BF107" s="29">
        <f t="shared" si="43"/>
        <v>2.0588848121276169E-3</v>
      </c>
      <c r="BH107" s="29"/>
    </row>
    <row r="108" spans="1:60" x14ac:dyDescent="0.25">
      <c r="A108" s="1">
        <v>46178</v>
      </c>
      <c r="B108" s="33">
        <v>19.63</v>
      </c>
      <c r="C108" s="33">
        <v>24.16</v>
      </c>
      <c r="D108" s="15">
        <v>-5.0929463795022399E-4</v>
      </c>
      <c r="E108" s="15">
        <v>0</v>
      </c>
      <c r="F108" s="33">
        <v>0</v>
      </c>
      <c r="G108" s="33">
        <v>0.34288000000000002</v>
      </c>
      <c r="H108" s="33">
        <v>0</v>
      </c>
      <c r="I108" s="33">
        <v>0.42717099999999902</v>
      </c>
      <c r="J108" s="33">
        <v>0.34288000000000002</v>
      </c>
      <c r="K108" s="33">
        <v>0.42717099999999902</v>
      </c>
      <c r="L108" s="33">
        <v>19.97288</v>
      </c>
      <c r="M108" s="33">
        <v>24.587171000000001</v>
      </c>
      <c r="N108" s="34">
        <v>1.2307692307692299</v>
      </c>
      <c r="O108" s="34">
        <v>1.23151696447737</v>
      </c>
      <c r="P108" s="34">
        <v>1.23213680346828</v>
      </c>
      <c r="Q108" s="34">
        <v>1.23196798233032</v>
      </c>
      <c r="R108" s="33">
        <v>24.174678012690901</v>
      </c>
      <c r="S108" s="33">
        <v>24.194314600476101</v>
      </c>
      <c r="T108" s="33">
        <v>24.1833009587932</v>
      </c>
      <c r="U108" s="15">
        <v>6.0734916402271802E-4</v>
      </c>
      <c r="V108" s="15">
        <v>1.4192986301196E-3</v>
      </c>
      <c r="W108" s="15">
        <v>9.6397888168409899E-4</v>
      </c>
      <c r="X108" s="34">
        <v>1.23102782372897</v>
      </c>
      <c r="Y108" s="34">
        <v>1.23013967146909</v>
      </c>
      <c r="Z108" s="34">
        <v>1.23021614696437</v>
      </c>
      <c r="AA108" s="34">
        <v>1.2302798530524199</v>
      </c>
      <c r="AB108" s="33">
        <v>24.569432041491702</v>
      </c>
      <c r="AC108" s="33">
        <v>24.569808380369199</v>
      </c>
      <c r="AD108" s="33">
        <v>24.572054693162901</v>
      </c>
      <c r="AE108" s="15">
        <v>-7.2173251122824203E-4</v>
      </c>
      <c r="AF108" s="15">
        <v>-7.0641526683239196E-4</v>
      </c>
      <c r="AG108" s="15">
        <v>-6.1499371075881203E-4</v>
      </c>
      <c r="AI108" s="12"/>
      <c r="AJ108">
        <f t="shared" si="26"/>
        <v>0</v>
      </c>
      <c r="AK108">
        <f t="shared" si="27"/>
        <v>0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0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2.0588848121276169E-3</v>
      </c>
      <c r="BE108" s="29">
        <f t="shared" si="42"/>
        <v>0</v>
      </c>
      <c r="BF108" s="29">
        <f t="shared" si="43"/>
        <v>2.0588848121276169E-3</v>
      </c>
      <c r="BH108" s="29"/>
    </row>
    <row r="109" spans="1:60" x14ac:dyDescent="0.25">
      <c r="A109" s="1">
        <v>46181</v>
      </c>
      <c r="B109" s="33">
        <v>19.64</v>
      </c>
      <c r="C109" s="33">
        <v>24.16</v>
      </c>
      <c r="D109" s="15">
        <v>5.0929463795013497E-4</v>
      </c>
      <c r="E109" s="15">
        <v>0</v>
      </c>
      <c r="F109" s="33">
        <v>0</v>
      </c>
      <c r="G109" s="33">
        <v>0.34288000000000002</v>
      </c>
      <c r="H109" s="33">
        <v>0</v>
      </c>
      <c r="I109" s="33">
        <v>0.42717099999999902</v>
      </c>
      <c r="J109" s="33">
        <v>0.34288000000000002</v>
      </c>
      <c r="K109" s="33">
        <v>0.42717099999999902</v>
      </c>
      <c r="L109" s="33">
        <v>19.982880000000002</v>
      </c>
      <c r="M109" s="33">
        <v>24.587171000000001</v>
      </c>
      <c r="N109" s="34">
        <v>1.23014256619144</v>
      </c>
      <c r="O109" s="34">
        <v>1.23151696447737</v>
      </c>
      <c r="P109" s="34">
        <v>1.2317565646745801</v>
      </c>
      <c r="Q109" s="34">
        <v>1.23195425611294</v>
      </c>
      <c r="R109" s="33">
        <v>24.186993182335701</v>
      </c>
      <c r="S109" s="33">
        <v>24.1991668201171</v>
      </c>
      <c r="T109" s="33">
        <v>24.1958511729676</v>
      </c>
      <c r="U109" s="15">
        <v>1.116643801973E-3</v>
      </c>
      <c r="V109" s="15">
        <v>1.61983058255755E-3</v>
      </c>
      <c r="W109" s="15">
        <v>1.4828062650907E-3</v>
      </c>
      <c r="X109" s="34">
        <v>1.2304117824858001</v>
      </c>
      <c r="Y109" s="34">
        <v>1.23013967146909</v>
      </c>
      <c r="Z109" s="34">
        <v>1.2302738128139401</v>
      </c>
      <c r="AA109" s="34">
        <v>1.23026371287053</v>
      </c>
      <c r="AB109" s="33">
        <v>24.581733438206399</v>
      </c>
      <c r="AC109" s="33">
        <v>24.5832616388514</v>
      </c>
      <c r="AD109" s="33">
        <v>24.584534669964199</v>
      </c>
      <c r="AE109" s="15">
        <v>-2.2117888848184299E-4</v>
      </c>
      <c r="AF109" s="15">
        <v>-1.5901268087450401E-4</v>
      </c>
      <c r="AG109" s="15">
        <v>-1.07229554166543E-4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0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2.0588848121276169E-3</v>
      </c>
      <c r="BE109" s="29">
        <f t="shared" si="42"/>
        <v>0</v>
      </c>
      <c r="BF109" s="29">
        <f t="shared" si="43"/>
        <v>2.0588848121276169E-3</v>
      </c>
      <c r="BH109" s="29"/>
    </row>
    <row r="110" spans="1:60" x14ac:dyDescent="0.25">
      <c r="A110" s="1">
        <v>46182</v>
      </c>
      <c r="B110" s="33">
        <v>19.649999999999999</v>
      </c>
      <c r="C110" s="33">
        <v>24.17</v>
      </c>
      <c r="D110" s="15">
        <v>5.0903538895028097E-4</v>
      </c>
      <c r="E110" s="15">
        <v>4.1382164877743302E-4</v>
      </c>
      <c r="F110" s="33">
        <v>0</v>
      </c>
      <c r="G110" s="33">
        <v>0.34288000000000002</v>
      </c>
      <c r="H110" s="33">
        <v>0</v>
      </c>
      <c r="I110" s="33">
        <v>0.42717099999999902</v>
      </c>
      <c r="J110" s="33">
        <v>0.34288000000000002</v>
      </c>
      <c r="K110" s="33">
        <v>0.42717099999999902</v>
      </c>
      <c r="L110" s="33">
        <v>19.99288</v>
      </c>
      <c r="M110" s="33">
        <v>24.597170999999999</v>
      </c>
      <c r="N110" s="34">
        <v>1.23002544529262</v>
      </c>
      <c r="O110" s="34">
        <v>1.23151696447737</v>
      </c>
      <c r="P110" s="34">
        <v>1.2313765315166301</v>
      </c>
      <c r="Q110" s="34">
        <v>1.2319913697603899</v>
      </c>
      <c r="R110" s="33">
        <v>24.199308351980498</v>
      </c>
      <c r="S110" s="33">
        <v>24.204016495855601</v>
      </c>
      <c r="T110" s="33">
        <v>24.207901132619298</v>
      </c>
      <c r="U110" s="15">
        <v>1.21185754214571E-3</v>
      </c>
      <c r="V110" s="15">
        <v>1.40639557872661E-3</v>
      </c>
      <c r="W110" s="15">
        <v>1.56687824342373E-3</v>
      </c>
      <c r="X110" s="34">
        <v>1.23029653556666</v>
      </c>
      <c r="Y110" s="34">
        <v>1.23013967146909</v>
      </c>
      <c r="Z110" s="34">
        <v>1.23033146133177</v>
      </c>
      <c r="AA110" s="34">
        <v>1.2302977407937801</v>
      </c>
      <c r="AB110" s="33">
        <v>24.5940348349211</v>
      </c>
      <c r="AC110" s="33">
        <v>24.596716706731499</v>
      </c>
      <c r="AD110" s="33">
        <v>24.596514779774999</v>
      </c>
      <c r="AE110" s="15">
        <v>-1.27509176891267E-4</v>
      </c>
      <c r="AF110" s="15">
        <v>-1.8469500567107101E-5</v>
      </c>
      <c r="AG110" s="15">
        <v>-2.66790428337742E-5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0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2.0588848121276169E-3</v>
      </c>
      <c r="BE110" s="29">
        <f t="shared" si="42"/>
        <v>0</v>
      </c>
      <c r="BF110" s="29">
        <f t="shared" si="43"/>
        <v>2.0588848121276169E-3</v>
      </c>
      <c r="BH110" s="29"/>
    </row>
    <row r="111" spans="1:60" x14ac:dyDescent="0.25">
      <c r="A111" s="1">
        <v>46183</v>
      </c>
      <c r="B111" s="33">
        <v>19.64</v>
      </c>
      <c r="C111" s="33">
        <v>24.17</v>
      </c>
      <c r="D111" s="15">
        <v>-5.0903538895036098E-4</v>
      </c>
      <c r="E111" s="15">
        <v>0</v>
      </c>
      <c r="F111" s="33">
        <v>0</v>
      </c>
      <c r="G111" s="33">
        <v>0.34288000000000002</v>
      </c>
      <c r="H111" s="33">
        <v>0</v>
      </c>
      <c r="I111" s="33">
        <v>0.42717099999999902</v>
      </c>
      <c r="J111" s="33">
        <v>0.34288000000000002</v>
      </c>
      <c r="K111" s="33">
        <v>0.42717099999999902</v>
      </c>
      <c r="L111" s="33">
        <v>19.982880000000002</v>
      </c>
      <c r="M111" s="33">
        <v>24.597170999999999</v>
      </c>
      <c r="N111" s="34">
        <v>1.23065173116089</v>
      </c>
      <c r="O111" s="34">
        <v>1.23151696447737</v>
      </c>
      <c r="P111" s="34">
        <v>1.2310081845104599</v>
      </c>
      <c r="Q111" s="34">
        <v>1.2320285341414201</v>
      </c>
      <c r="R111" s="33">
        <v>24.186993182335701</v>
      </c>
      <c r="S111" s="33">
        <v>24.184235078986699</v>
      </c>
      <c r="T111" s="33">
        <v>24.196310502094001</v>
      </c>
      <c r="U111" s="15">
        <v>7.0282215319550595E-4</v>
      </c>
      <c r="V111" s="15">
        <v>5.88783148970641E-4</v>
      </c>
      <c r="W111" s="15">
        <v>1.08796823310245E-3</v>
      </c>
      <c r="X111" s="34">
        <v>1.2309122108524799</v>
      </c>
      <c r="Y111" s="34">
        <v>1.23013967146909</v>
      </c>
      <c r="Z111" s="34">
        <v>1.23040060948612</v>
      </c>
      <c r="AA111" s="34">
        <v>1.2303317072698601</v>
      </c>
      <c r="AB111" s="33">
        <v>24.581733438206399</v>
      </c>
      <c r="AC111" s="33">
        <v>24.585565952017401</v>
      </c>
      <c r="AD111" s="33">
        <v>24.584892118553199</v>
      </c>
      <c r="AE111" s="15">
        <v>-6.2781237105618496E-4</v>
      </c>
      <c r="AF111" s="15">
        <v>-4.71915510079232E-4</v>
      </c>
      <c r="AG111" s="15">
        <v>-4.9932357136957695E-4</v>
      </c>
      <c r="AI111" s="12"/>
      <c r="AJ111">
        <f t="shared" si="26"/>
        <v>0</v>
      </c>
      <c r="AK111">
        <f t="shared" si="27"/>
        <v>0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0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2.0588848121276169E-3</v>
      </c>
      <c r="BE111" s="29">
        <f t="shared" si="42"/>
        <v>0</v>
      </c>
      <c r="BF111" s="29">
        <f t="shared" si="43"/>
        <v>2.0588848121276169E-3</v>
      </c>
      <c r="BH111" s="29"/>
    </row>
    <row r="112" spans="1:60" x14ac:dyDescent="0.25">
      <c r="A112" s="1">
        <v>46184</v>
      </c>
      <c r="B112" s="33">
        <v>19.66</v>
      </c>
      <c r="C112" s="33">
        <v>24.17</v>
      </c>
      <c r="D112" s="15">
        <v>1.01781179270062E-3</v>
      </c>
      <c r="E112" s="15">
        <v>0</v>
      </c>
      <c r="F112" s="33">
        <v>0</v>
      </c>
      <c r="G112" s="33">
        <v>0.34288000000000002</v>
      </c>
      <c r="H112" s="33">
        <v>0</v>
      </c>
      <c r="I112" s="33">
        <v>0.42717099999999902</v>
      </c>
      <c r="J112" s="33">
        <v>0.34288000000000002</v>
      </c>
      <c r="K112" s="33">
        <v>0.42717099999999902</v>
      </c>
      <c r="L112" s="33">
        <v>20.002880000000001</v>
      </c>
      <c r="M112" s="33">
        <v>24.597170999999999</v>
      </c>
      <c r="N112" s="34">
        <v>1.2293997965412</v>
      </c>
      <c r="O112" s="34">
        <v>1.23151696447737</v>
      </c>
      <c r="P112" s="34">
        <v>1.23057749206682</v>
      </c>
      <c r="Q112" s="34">
        <v>1.2320089459308601</v>
      </c>
      <c r="R112" s="33">
        <v>24.211623521625199</v>
      </c>
      <c r="S112" s="33">
        <v>24.201620907475601</v>
      </c>
      <c r="T112" s="33">
        <v>24.221680981220398</v>
      </c>
      <c r="U112" s="15">
        <v>1.7206339458962E-3</v>
      </c>
      <c r="V112" s="15">
        <v>1.30741585196808E-3</v>
      </c>
      <c r="W112" s="15">
        <v>2.1359456758286602E-3</v>
      </c>
      <c r="X112" s="34">
        <v>1.2296814758674699</v>
      </c>
      <c r="Y112" s="34">
        <v>1.23013967146909</v>
      </c>
      <c r="Z112" s="34">
        <v>1.230408247877</v>
      </c>
      <c r="AA112" s="34">
        <v>1.23030990954759</v>
      </c>
      <c r="AB112" s="33">
        <v>24.606336231635701</v>
      </c>
      <c r="AC112" s="33">
        <v>24.611555743477801</v>
      </c>
      <c r="AD112" s="33">
        <v>24.6101775007143</v>
      </c>
      <c r="AE112" s="15">
        <v>3.7254383914737E-4</v>
      </c>
      <c r="AF112" s="15">
        <v>5.8464198688180403E-4</v>
      </c>
      <c r="AG112" s="15">
        <v>5.2864059590778702E-4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0</v>
      </c>
      <c r="AT112" s="12"/>
      <c r="AU112">
        <f t="shared" si="30"/>
        <v>0</v>
      </c>
      <c r="AV112">
        <f t="shared" si="31"/>
        <v>0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2.0588848121276169E-3</v>
      </c>
      <c r="BE112" s="29">
        <f t="shared" si="42"/>
        <v>0</v>
      </c>
      <c r="BF112" s="29">
        <f t="shared" si="43"/>
        <v>2.0588848121276169E-3</v>
      </c>
      <c r="BH112" s="29"/>
    </row>
    <row r="113" spans="1:60" x14ac:dyDescent="0.25">
      <c r="A113" s="1">
        <v>46185</v>
      </c>
      <c r="B113" s="33">
        <v>19.66</v>
      </c>
      <c r="C113" s="33">
        <v>24.17</v>
      </c>
      <c r="D113" s="15">
        <v>0</v>
      </c>
      <c r="E113" s="15">
        <v>0</v>
      </c>
      <c r="F113" s="33">
        <v>0</v>
      </c>
      <c r="G113" s="33">
        <v>0.34288000000000002</v>
      </c>
      <c r="H113" s="33">
        <v>0</v>
      </c>
      <c r="I113" s="33">
        <v>0.42717099999999902</v>
      </c>
      <c r="J113" s="33">
        <v>0.34288000000000002</v>
      </c>
      <c r="K113" s="33">
        <v>0.42717099999999902</v>
      </c>
      <c r="L113" s="33">
        <v>20.002880000000001</v>
      </c>
      <c r="M113" s="33">
        <v>24.597170999999999</v>
      </c>
      <c r="N113" s="34">
        <v>1.2293997965412</v>
      </c>
      <c r="O113" s="34">
        <v>1.23151696447737</v>
      </c>
      <c r="P113" s="34">
        <v>1.2300449666292901</v>
      </c>
      <c r="Q113" s="34">
        <v>1.2319580812309601</v>
      </c>
      <c r="R113" s="33">
        <v>24.211623521625199</v>
      </c>
      <c r="S113" s="33">
        <v>24.193153494033702</v>
      </c>
      <c r="T113" s="33">
        <v>24.221295877000799</v>
      </c>
      <c r="U113" s="15">
        <v>1.7206339458962E-3</v>
      </c>
      <c r="V113" s="15">
        <v>9.57484950002981E-4</v>
      </c>
      <c r="W113" s="15">
        <v>2.1200463961142399E-3</v>
      </c>
      <c r="X113" s="34">
        <v>1.2296814758674699</v>
      </c>
      <c r="Y113" s="34">
        <v>1.23013967146909</v>
      </c>
      <c r="Z113" s="34">
        <v>1.23031580059454</v>
      </c>
      <c r="AA113" s="34">
        <v>1.23025725403478</v>
      </c>
      <c r="AB113" s="33">
        <v>24.606336231635701</v>
      </c>
      <c r="AC113" s="33">
        <v>24.6117085332939</v>
      </c>
      <c r="AD113" s="33">
        <v>24.609741483491302</v>
      </c>
      <c r="AE113" s="15">
        <v>3.7254383914737E-4</v>
      </c>
      <c r="AF113" s="15">
        <v>5.9085001953976496E-4</v>
      </c>
      <c r="AG113" s="15">
        <v>5.1092349145006103E-4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0</v>
      </c>
      <c r="AT113" s="12"/>
      <c r="AU113">
        <f t="shared" si="30"/>
        <v>0</v>
      </c>
      <c r="AV113">
        <f t="shared" si="31"/>
        <v>0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2.0588848121276169E-3</v>
      </c>
      <c r="BE113" s="29">
        <f t="shared" si="42"/>
        <v>0</v>
      </c>
      <c r="BF113" s="29">
        <f t="shared" si="43"/>
        <v>2.0588848121276169E-3</v>
      </c>
      <c r="BH113" s="29"/>
    </row>
    <row r="114" spans="1:60" x14ac:dyDescent="0.25">
      <c r="A114" s="1">
        <v>46188</v>
      </c>
      <c r="B114" s="33">
        <v>19.66</v>
      </c>
      <c r="C114" s="33">
        <v>24.19</v>
      </c>
      <c r="D114" s="15">
        <v>0</v>
      </c>
      <c r="E114" s="15">
        <v>8.2712990654411496E-4</v>
      </c>
      <c r="F114" s="33">
        <v>0</v>
      </c>
      <c r="G114" s="33">
        <v>0.34288000000000002</v>
      </c>
      <c r="H114" s="33">
        <v>0</v>
      </c>
      <c r="I114" s="33">
        <v>0.42717099999999902</v>
      </c>
      <c r="J114" s="33">
        <v>0.34288000000000002</v>
      </c>
      <c r="K114" s="33">
        <v>0.42717099999999902</v>
      </c>
      <c r="L114" s="33">
        <v>20.002880000000001</v>
      </c>
      <c r="M114" s="33">
        <v>24.617170999999999</v>
      </c>
      <c r="N114" s="34">
        <v>1.23041709053916</v>
      </c>
      <c r="O114" s="34">
        <v>1.23151696447737</v>
      </c>
      <c r="P114" s="34">
        <v>1.23007241906406</v>
      </c>
      <c r="Q114" s="34">
        <v>1.2319835135809101</v>
      </c>
      <c r="R114" s="33">
        <v>24.211623521625199</v>
      </c>
      <c r="S114" s="33">
        <v>24.1826840439319</v>
      </c>
      <c r="T114" s="33">
        <v>24.220295877000801</v>
      </c>
      <c r="U114" s="15">
        <v>8.9350403935184604E-4</v>
      </c>
      <c r="V114" s="15">
        <v>-3.02482951627756E-4</v>
      </c>
      <c r="W114" s="15">
        <v>1.2516296546856299E-3</v>
      </c>
      <c r="X114" s="34">
        <v>1.2306813318881999</v>
      </c>
      <c r="Y114" s="34">
        <v>1.23013967146909</v>
      </c>
      <c r="Z114" s="34">
        <v>1.2303427555347799</v>
      </c>
      <c r="AA114" s="34">
        <v>1.23027967656265</v>
      </c>
      <c r="AB114" s="33">
        <v>24.606336231635701</v>
      </c>
      <c r="AC114" s="33">
        <v>24.609859321396499</v>
      </c>
      <c r="AD114" s="33">
        <v>24.608688221587201</v>
      </c>
      <c r="AE114" s="15">
        <v>-4.4022740956678501E-4</v>
      </c>
      <c r="AF114" s="15">
        <v>-2.9705950610673E-4</v>
      </c>
      <c r="AG114" s="15">
        <v>-3.44647249670605E-4</v>
      </c>
      <c r="AI114" s="12"/>
      <c r="AJ114">
        <f t="shared" si="26"/>
        <v>0</v>
      </c>
      <c r="AK114">
        <f t="shared" si="27"/>
        <v>0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0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2.0588848121276169E-3</v>
      </c>
      <c r="BE114" s="29">
        <f t="shared" si="42"/>
        <v>0</v>
      </c>
      <c r="BF114" s="29">
        <f t="shared" si="43"/>
        <v>2.0588848121276169E-3</v>
      </c>
      <c r="BH114" s="29"/>
    </row>
    <row r="115" spans="1:60" x14ac:dyDescent="0.25">
      <c r="A115" s="1">
        <v>46189</v>
      </c>
      <c r="B115" s="33">
        <v>19.68</v>
      </c>
      <c r="C115" s="33">
        <v>24.18</v>
      </c>
      <c r="D115" s="15">
        <v>1.01677690508681E-3</v>
      </c>
      <c r="E115" s="15">
        <v>-4.1347943528932403E-4</v>
      </c>
      <c r="F115" s="33">
        <v>0</v>
      </c>
      <c r="G115" s="33">
        <v>0.34288000000000002</v>
      </c>
      <c r="H115" s="33">
        <v>0</v>
      </c>
      <c r="I115" s="33">
        <v>0.42717099999999902</v>
      </c>
      <c r="J115" s="33">
        <v>0.34288000000000002</v>
      </c>
      <c r="K115" s="33">
        <v>0.42717099999999902</v>
      </c>
      <c r="L115" s="33">
        <v>20.022880000000001</v>
      </c>
      <c r="M115" s="33">
        <v>24.607171000000001</v>
      </c>
      <c r="N115" s="34">
        <v>1.22865853658536</v>
      </c>
      <c r="O115" s="34">
        <v>1.23151696447737</v>
      </c>
      <c r="P115" s="34">
        <v>1.2299240161034499</v>
      </c>
      <c r="Q115" s="34">
        <v>1.2316757563877201</v>
      </c>
      <c r="R115" s="33">
        <v>24.2362538609148</v>
      </c>
      <c r="S115" s="33">
        <v>24.207825207180701</v>
      </c>
      <c r="T115" s="33">
        <v>24.2454355472724</v>
      </c>
      <c r="U115" s="15">
        <v>2.32376037972788E-3</v>
      </c>
      <c r="V115" s="15">
        <v>1.15009137644506E-3</v>
      </c>
      <c r="W115" s="15">
        <v>2.7025296255794901E-3</v>
      </c>
      <c r="X115" s="34">
        <v>1.2289526281933401</v>
      </c>
      <c r="Y115" s="34">
        <v>1.23013967146909</v>
      </c>
      <c r="Z115" s="34">
        <v>1.2301968401055301</v>
      </c>
      <c r="AA115" s="34">
        <v>1.2301931719117001</v>
      </c>
      <c r="AB115" s="33">
        <v>24.6309390250651</v>
      </c>
      <c r="AC115" s="33">
        <v>24.635005352942301</v>
      </c>
      <c r="AD115" s="33">
        <v>24.633742330252801</v>
      </c>
      <c r="AE115" s="15">
        <v>9.6543213779646999E-4</v>
      </c>
      <c r="AF115" s="15">
        <v>1.1305087617283201E-3</v>
      </c>
      <c r="AG115" s="15">
        <v>1.0792380171230601E-3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0</v>
      </c>
      <c r="AT115" s="12"/>
      <c r="AU115">
        <f t="shared" si="30"/>
        <v>1</v>
      </c>
      <c r="AV115">
        <f t="shared" si="31"/>
        <v>0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2.0588848121276169E-3</v>
      </c>
      <c r="BE115" s="29">
        <f t="shared" si="42"/>
        <v>0</v>
      </c>
      <c r="BF115" s="29">
        <f t="shared" si="43"/>
        <v>2.0588848121276169E-3</v>
      </c>
      <c r="BH115" s="29"/>
    </row>
    <row r="116" spans="1:60" x14ac:dyDescent="0.25">
      <c r="A116" s="1">
        <v>46190</v>
      </c>
      <c r="B116" s="33">
        <v>19.66</v>
      </c>
      <c r="C116" s="33">
        <v>24.16</v>
      </c>
      <c r="D116" s="15">
        <v>-1.01677690508683E-3</v>
      </c>
      <c r="E116" s="15">
        <v>-8.2747212003242399E-4</v>
      </c>
      <c r="F116" s="33">
        <v>0</v>
      </c>
      <c r="G116" s="33">
        <v>0.34288000000000002</v>
      </c>
      <c r="H116" s="33">
        <v>0</v>
      </c>
      <c r="I116" s="33">
        <v>0.42717099999999902</v>
      </c>
      <c r="J116" s="33">
        <v>0.34288000000000002</v>
      </c>
      <c r="K116" s="33">
        <v>0.42717099999999902</v>
      </c>
      <c r="L116" s="33">
        <v>20.002880000000001</v>
      </c>
      <c r="M116" s="33">
        <v>24.587171000000001</v>
      </c>
      <c r="N116" s="34">
        <v>1.2288911495422099</v>
      </c>
      <c r="O116" s="34">
        <v>1.23151696447737</v>
      </c>
      <c r="P116" s="34">
        <v>1.22984979093547</v>
      </c>
      <c r="Q116" s="34">
        <v>1.23137962984237</v>
      </c>
      <c r="R116" s="33">
        <v>24.211623521625199</v>
      </c>
      <c r="S116" s="33">
        <v>24.1803061565939</v>
      </c>
      <c r="T116" s="33">
        <v>24.214745370582602</v>
      </c>
      <c r="U116" s="15">
        <v>2.13445559467352E-3</v>
      </c>
      <c r="V116" s="15">
        <v>8.4013360290112298E-4</v>
      </c>
      <c r="W116" s="15">
        <v>2.2633873743261299E-3</v>
      </c>
      <c r="X116" s="34">
        <v>1.2291815478571</v>
      </c>
      <c r="Y116" s="34">
        <v>1.23013967146909</v>
      </c>
      <c r="Z116" s="34">
        <v>1.23012385947933</v>
      </c>
      <c r="AA116" s="34">
        <v>1.2301181132439301</v>
      </c>
      <c r="AB116" s="33">
        <v>24.606336231635701</v>
      </c>
      <c r="AC116" s="33">
        <v>24.607479769010201</v>
      </c>
      <c r="AD116" s="33">
        <v>24.6074063945691</v>
      </c>
      <c r="AE116" s="15">
        <v>7.7917732172182001E-4</v>
      </c>
      <c r="AF116" s="15">
        <v>8.2564953085306997E-4</v>
      </c>
      <c r="AG116" s="15">
        <v>8.2266773218130399E-4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0</v>
      </c>
      <c r="AT116" s="12"/>
      <c r="AU116">
        <f t="shared" si="30"/>
        <v>0</v>
      </c>
      <c r="AV116">
        <f t="shared" si="31"/>
        <v>0</v>
      </c>
      <c r="AW116">
        <f t="shared" si="38"/>
        <v>1</v>
      </c>
      <c r="AX116">
        <f t="shared" si="25"/>
        <v>1</v>
      </c>
      <c r="AY116">
        <f t="shared" si="39"/>
        <v>1</v>
      </c>
      <c r="AZ116" s="28">
        <f t="shared" si="32"/>
        <v>1.01677690508683E-3</v>
      </c>
      <c r="BA116" s="28">
        <f t="shared" si="33"/>
        <v>-8.2747212003242399E-4</v>
      </c>
      <c r="BB116" s="28">
        <f t="shared" si="40"/>
        <v>1.8930478505440598E-4</v>
      </c>
      <c r="BC116" s="29">
        <f t="shared" si="41"/>
        <v>2.2481895971820228E-3</v>
      </c>
      <c r="BE116" s="29">
        <f t="shared" si="42"/>
        <v>1.8930478505440598E-4</v>
      </c>
      <c r="BF116" s="29">
        <f t="shared" si="43"/>
        <v>2.2481895971820228E-3</v>
      </c>
      <c r="BH116" s="29"/>
    </row>
    <row r="117" spans="1:60" x14ac:dyDescent="0.25">
      <c r="A117" s="1">
        <v>46191</v>
      </c>
      <c r="B117" s="33">
        <v>19.66</v>
      </c>
      <c r="C117" s="33">
        <v>24.17</v>
      </c>
      <c r="D117" s="15">
        <v>0</v>
      </c>
      <c r="E117" s="15">
        <v>4.1382164877743302E-4</v>
      </c>
      <c r="F117" s="33">
        <v>0</v>
      </c>
      <c r="G117" s="33">
        <v>0.34288000000000002</v>
      </c>
      <c r="H117" s="33">
        <v>0</v>
      </c>
      <c r="I117" s="33">
        <v>0.42717099999999902</v>
      </c>
      <c r="J117" s="33">
        <v>0.34288000000000002</v>
      </c>
      <c r="K117" s="33">
        <v>0.42717099999999902</v>
      </c>
      <c r="L117" s="33">
        <v>20.002880000000001</v>
      </c>
      <c r="M117" s="33">
        <v>24.597170999999999</v>
      </c>
      <c r="N117" s="34">
        <v>1.2293997965412</v>
      </c>
      <c r="O117" s="34">
        <v>1.23151696447737</v>
      </c>
      <c r="P117" s="34">
        <v>1.22977551397045</v>
      </c>
      <c r="Q117" s="34">
        <v>1.23114640702282</v>
      </c>
      <c r="R117" s="33">
        <v>24.211623521625199</v>
      </c>
      <c r="S117" s="33">
        <v>24.178846889791501</v>
      </c>
      <c r="T117" s="33">
        <v>24.208923522700999</v>
      </c>
      <c r="U117" s="15">
        <v>1.7206339458962E-3</v>
      </c>
      <c r="V117" s="15">
        <v>3.65960739887806E-4</v>
      </c>
      <c r="W117" s="15">
        <v>1.6091110866219599E-3</v>
      </c>
      <c r="X117" s="34">
        <v>1.2296814758674699</v>
      </c>
      <c r="Y117" s="34">
        <v>1.23013967146909</v>
      </c>
      <c r="Z117" s="34">
        <v>1.2300508288175001</v>
      </c>
      <c r="AA117" s="34">
        <v>1.23010467139044</v>
      </c>
      <c r="AB117" s="33">
        <v>24.606336231635701</v>
      </c>
      <c r="AC117" s="33">
        <v>24.606019946301998</v>
      </c>
      <c r="AD117" s="33">
        <v>24.6059050050449</v>
      </c>
      <c r="AE117" s="15">
        <v>3.7254383914737E-4</v>
      </c>
      <c r="AF117" s="15">
        <v>3.5968993990966399E-4</v>
      </c>
      <c r="AG117" s="15">
        <v>3.55018663294783E-4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0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0</v>
      </c>
      <c r="AT117" s="12"/>
      <c r="AU117">
        <f t="shared" si="30"/>
        <v>0</v>
      </c>
      <c r="AV117">
        <f t="shared" si="31"/>
        <v>0</v>
      </c>
      <c r="AW117">
        <f t="shared" si="38"/>
        <v>1</v>
      </c>
      <c r="AX117">
        <f t="shared" si="25"/>
        <v>0</v>
      </c>
      <c r="AY117">
        <f t="shared" si="39"/>
        <v>1</v>
      </c>
      <c r="AZ117" s="28">
        <f t="shared" si="32"/>
        <v>0</v>
      </c>
      <c r="BA117" s="28">
        <f t="shared" si="33"/>
        <v>4.1382164877743302E-4</v>
      </c>
      <c r="BB117" s="28">
        <f t="shared" si="40"/>
        <v>4.1382164877743302E-4</v>
      </c>
      <c r="BC117" s="29">
        <f t="shared" si="41"/>
        <v>2.6620112459594556E-3</v>
      </c>
      <c r="BE117" s="29">
        <f t="shared" si="42"/>
        <v>4.1382164877743302E-4</v>
      </c>
      <c r="BF117" s="29">
        <f t="shared" si="43"/>
        <v>2.6620112459594556E-3</v>
      </c>
      <c r="BH117" s="29"/>
    </row>
    <row r="118" spans="1:60" x14ac:dyDescent="0.25">
      <c r="A118" s="1">
        <v>46195</v>
      </c>
      <c r="B118" s="33">
        <v>19.59</v>
      </c>
      <c r="C118" s="33">
        <v>24.17</v>
      </c>
      <c r="D118" s="15">
        <v>-3.5668827625711099E-3</v>
      </c>
      <c r="E118" s="15">
        <v>0</v>
      </c>
      <c r="F118" s="33">
        <v>6.9190000000000002E-2</v>
      </c>
      <c r="G118" s="33">
        <v>0.41206999999999999</v>
      </c>
      <c r="H118" s="33">
        <v>0</v>
      </c>
      <c r="I118" s="33">
        <v>0.42717099999999902</v>
      </c>
      <c r="J118" s="33">
        <v>0.41206999999999999</v>
      </c>
      <c r="K118" s="33">
        <v>0.42717099999999902</v>
      </c>
      <c r="L118" s="33">
        <v>20.00207</v>
      </c>
      <c r="M118" s="33">
        <v>24.597170999999999</v>
      </c>
      <c r="N118" s="34">
        <v>1.2337927514037701</v>
      </c>
      <c r="O118" s="34">
        <v>1.23151696447737</v>
      </c>
      <c r="P118" s="34">
        <v>1.2300778660339</v>
      </c>
      <c r="Q118" s="34">
        <v>1.2311073347510899</v>
      </c>
      <c r="R118" s="33">
        <v>24.125417334111798</v>
      </c>
      <c r="S118" s="33">
        <v>24.091302318681201</v>
      </c>
      <c r="T118" s="33">
        <v>24.118158113577099</v>
      </c>
      <c r="U118" s="15">
        <v>-1.8462488166750301E-3</v>
      </c>
      <c r="V118" s="15">
        <v>-3.2613189985146E-3</v>
      </c>
      <c r="W118" s="15">
        <v>-2.14718922261057E-3</v>
      </c>
      <c r="X118" s="34">
        <v>1.2297312728132599</v>
      </c>
      <c r="Y118" s="34">
        <v>1.23013967146909</v>
      </c>
      <c r="Z118" s="34">
        <v>1.2299211737259299</v>
      </c>
      <c r="AA118" s="34">
        <v>1.2300686603451501</v>
      </c>
      <c r="AB118" s="33">
        <v>24.6053398185019</v>
      </c>
      <c r="AC118" s="33">
        <v>24.603562781565699</v>
      </c>
      <c r="AD118" s="33">
        <v>24.6046397444787</v>
      </c>
      <c r="AE118" s="15">
        <v>3.3204885039660501E-4</v>
      </c>
      <c r="AF118" s="15">
        <v>2.5982464530044201E-4</v>
      </c>
      <c r="AG118" s="15">
        <v>3.0359632798474098E-4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0</v>
      </c>
      <c r="AT118" s="12"/>
      <c r="AU118">
        <f t="shared" si="30"/>
        <v>0</v>
      </c>
      <c r="AV118">
        <f t="shared" si="31"/>
        <v>0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2.6620112459594556E-3</v>
      </c>
      <c r="BE118" s="29">
        <f t="shared" si="42"/>
        <v>0</v>
      </c>
      <c r="BF118" s="29">
        <f t="shared" si="43"/>
        <v>2.6620112459594556E-3</v>
      </c>
      <c r="BH118" s="29"/>
    </row>
    <row r="119" spans="1:60" x14ac:dyDescent="0.25">
      <c r="A119" s="1">
        <v>46196</v>
      </c>
      <c r="B119" s="33">
        <v>19.59</v>
      </c>
      <c r="C119" s="33">
        <v>24.19</v>
      </c>
      <c r="D119" s="15">
        <v>0</v>
      </c>
      <c r="E119" s="15">
        <v>8.2712990654411496E-4</v>
      </c>
      <c r="F119" s="33">
        <v>0</v>
      </c>
      <c r="G119" s="33">
        <v>0.41206999999999999</v>
      </c>
      <c r="H119" s="33">
        <v>0</v>
      </c>
      <c r="I119" s="33">
        <v>0.42717099999999902</v>
      </c>
      <c r="J119" s="33">
        <v>0.41206999999999999</v>
      </c>
      <c r="K119" s="33">
        <v>0.42717099999999902</v>
      </c>
      <c r="L119" s="33">
        <v>20.00207</v>
      </c>
      <c r="M119" s="33">
        <v>24.617170999999999</v>
      </c>
      <c r="N119" s="34">
        <v>1.2348136804492</v>
      </c>
      <c r="O119" s="34">
        <v>1.23151696447737</v>
      </c>
      <c r="P119" s="34">
        <v>1.2305449774596799</v>
      </c>
      <c r="Q119" s="34">
        <v>1.2311507710671299</v>
      </c>
      <c r="R119" s="33">
        <v>24.125417334111798</v>
      </c>
      <c r="S119" s="33">
        <v>24.097225395604202</v>
      </c>
      <c r="T119" s="33">
        <v>24.117392687773901</v>
      </c>
      <c r="U119" s="15">
        <v>-2.6733787232193001E-3</v>
      </c>
      <c r="V119" s="15">
        <v>-3.8426195662574201E-3</v>
      </c>
      <c r="W119" s="15">
        <v>-3.0060561277172899E-3</v>
      </c>
      <c r="X119" s="34">
        <v>1.23073116932397</v>
      </c>
      <c r="Y119" s="34">
        <v>1.23013967146909</v>
      </c>
      <c r="Z119" s="34">
        <v>1.22995311240974</v>
      </c>
      <c r="AA119" s="34">
        <v>1.23011346261184</v>
      </c>
      <c r="AB119" s="33">
        <v>24.6053398185019</v>
      </c>
      <c r="AC119" s="33">
        <v>24.600969411348199</v>
      </c>
      <c r="AD119" s="33">
        <v>24.603919449029899</v>
      </c>
      <c r="AE119" s="15">
        <v>-4.8072239831754599E-4</v>
      </c>
      <c r="AF119" s="15">
        <v>-6.5835844676590905E-4</v>
      </c>
      <c r="AG119" s="15">
        <v>-5.3845013059783202E-4</v>
      </c>
      <c r="AI119" s="12"/>
      <c r="AJ119">
        <f t="shared" si="26"/>
        <v>0</v>
      </c>
      <c r="AK119">
        <f t="shared" si="27"/>
        <v>0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0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2.6620112459594556E-3</v>
      </c>
      <c r="BE119" s="29">
        <f t="shared" si="42"/>
        <v>0</v>
      </c>
      <c r="BF119" s="29">
        <f t="shared" si="43"/>
        <v>2.6620112459594556E-3</v>
      </c>
      <c r="BH119" s="29"/>
    </row>
    <row r="120" spans="1:60" x14ac:dyDescent="0.25">
      <c r="A120" s="1">
        <v>46197</v>
      </c>
      <c r="B120" s="33">
        <v>19.61</v>
      </c>
      <c r="C120" s="33">
        <v>24.19</v>
      </c>
      <c r="D120" s="15">
        <v>1.02040825180545E-3</v>
      </c>
      <c r="E120" s="15">
        <v>0</v>
      </c>
      <c r="F120" s="33">
        <v>0</v>
      </c>
      <c r="G120" s="33">
        <v>0.41206999999999999</v>
      </c>
      <c r="H120" s="33">
        <v>0</v>
      </c>
      <c r="I120" s="33">
        <v>0.42717099999999902</v>
      </c>
      <c r="J120" s="33">
        <v>0.41206999999999999</v>
      </c>
      <c r="K120" s="33">
        <v>0.42717099999999902</v>
      </c>
      <c r="L120" s="33">
        <v>20.022069999999999</v>
      </c>
      <c r="M120" s="33">
        <v>24.617170999999999</v>
      </c>
      <c r="N120" s="34">
        <v>1.2335543090259999</v>
      </c>
      <c r="O120" s="34">
        <v>1.23151696447737</v>
      </c>
      <c r="P120" s="34">
        <v>1.2308978638330199</v>
      </c>
      <c r="Q120" s="34">
        <v>1.23113719767482</v>
      </c>
      <c r="R120" s="33">
        <v>24.150047673401399</v>
      </c>
      <c r="S120" s="33">
        <v>24.130987007984402</v>
      </c>
      <c r="T120" s="33">
        <v>24.142866620626499</v>
      </c>
      <c r="U120" s="15">
        <v>-1.65297047141373E-3</v>
      </c>
      <c r="V120" s="15">
        <v>-2.44254205093805E-3</v>
      </c>
      <c r="W120" s="15">
        <v>-1.95036618392346E-3</v>
      </c>
      <c r="X120" s="34">
        <v>1.22950179476947</v>
      </c>
      <c r="Y120" s="34">
        <v>1.23013967146909</v>
      </c>
      <c r="Z120" s="34">
        <v>1.2298736383300199</v>
      </c>
      <c r="AA120" s="34">
        <v>1.2301025498308999</v>
      </c>
      <c r="AB120" s="33">
        <v>24.629942611931199</v>
      </c>
      <c r="AC120" s="33">
        <v>24.626207313385802</v>
      </c>
      <c r="AD120" s="33">
        <v>24.629417856356699</v>
      </c>
      <c r="AE120" s="15">
        <v>5.1867454885769703E-4</v>
      </c>
      <c r="AF120" s="15">
        <v>3.67006237051987E-4</v>
      </c>
      <c r="AG120" s="15">
        <v>4.9736872719866499E-4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0</v>
      </c>
      <c r="AT120" s="12"/>
      <c r="AU120">
        <f t="shared" si="30"/>
        <v>0</v>
      </c>
      <c r="AV120">
        <f t="shared" si="31"/>
        <v>0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2.6620112459594556E-3</v>
      </c>
      <c r="BE120" s="29">
        <f t="shared" si="42"/>
        <v>0</v>
      </c>
      <c r="BF120" s="29">
        <f t="shared" si="43"/>
        <v>2.6620112459594556E-3</v>
      </c>
      <c r="BH120" s="29"/>
    </row>
    <row r="121" spans="1:60" x14ac:dyDescent="0.25">
      <c r="A121" s="1">
        <v>46198</v>
      </c>
      <c r="B121" s="33">
        <v>19.61</v>
      </c>
      <c r="C121" s="33">
        <v>24.2</v>
      </c>
      <c r="D121" s="15">
        <v>0</v>
      </c>
      <c r="E121" s="15">
        <v>4.13308540704658E-4</v>
      </c>
      <c r="F121" s="33">
        <v>0</v>
      </c>
      <c r="G121" s="33">
        <v>0.41206999999999999</v>
      </c>
      <c r="H121" s="33">
        <v>0</v>
      </c>
      <c r="I121" s="33">
        <v>0.42717099999999902</v>
      </c>
      <c r="J121" s="33">
        <v>0.41206999999999999</v>
      </c>
      <c r="K121" s="33">
        <v>0.42717099999999902</v>
      </c>
      <c r="L121" s="33">
        <v>20.022069999999999</v>
      </c>
      <c r="M121" s="33">
        <v>24.627171000000001</v>
      </c>
      <c r="N121" s="34">
        <v>1.2340642529321699</v>
      </c>
      <c r="O121" s="34">
        <v>1.23151696447737</v>
      </c>
      <c r="P121" s="34">
        <v>1.2312391160101499</v>
      </c>
      <c r="Q121" s="34">
        <v>1.2311236502603</v>
      </c>
      <c r="R121" s="33">
        <v>24.150047673401399</v>
      </c>
      <c r="S121" s="33">
        <v>24.1379071097656</v>
      </c>
      <c r="T121" s="33">
        <v>24.142600446403399</v>
      </c>
      <c r="U121" s="15">
        <v>-2.06627901211852E-3</v>
      </c>
      <c r="V121" s="15">
        <v>-2.5691192730549401E-3</v>
      </c>
      <c r="W121" s="15">
        <v>-2.37469974889701E-3</v>
      </c>
      <c r="X121" s="34">
        <v>1.23000124362765</v>
      </c>
      <c r="Y121" s="34">
        <v>1.23013967146909</v>
      </c>
      <c r="Z121" s="34">
        <v>1.2297825416075401</v>
      </c>
      <c r="AA121" s="34">
        <v>1.23009157554683</v>
      </c>
      <c r="AB121" s="33">
        <v>24.629942611931199</v>
      </c>
      <c r="AC121" s="33">
        <v>24.6246160777985</v>
      </c>
      <c r="AD121" s="33">
        <v>24.629199359892699</v>
      </c>
      <c r="AE121" s="15">
        <v>1.12536514260614E-4</v>
      </c>
      <c r="AF121" s="15">
        <v>-1.0374942130471599E-4</v>
      </c>
      <c r="AG121" s="15">
        <v>8.2359291970590095E-5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0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2.6620112459594556E-3</v>
      </c>
      <c r="BE121" s="29">
        <f t="shared" si="42"/>
        <v>0</v>
      </c>
      <c r="BF121" s="29">
        <f t="shared" si="43"/>
        <v>2.6620112459594556E-3</v>
      </c>
      <c r="BH121" s="29"/>
    </row>
    <row r="122" spans="1:60" x14ac:dyDescent="0.25">
      <c r="A122" s="1">
        <v>46199</v>
      </c>
      <c r="B122" s="33">
        <v>19.62</v>
      </c>
      <c r="C122" s="33">
        <v>24.22</v>
      </c>
      <c r="D122" s="15">
        <v>5.0981392896222097E-4</v>
      </c>
      <c r="E122" s="15">
        <v>8.2610496230545497E-4</v>
      </c>
      <c r="F122" s="33">
        <v>0</v>
      </c>
      <c r="G122" s="33">
        <v>0.41206999999999999</v>
      </c>
      <c r="H122" s="33">
        <v>0</v>
      </c>
      <c r="I122" s="33">
        <v>0.42717099999999902</v>
      </c>
      <c r="J122" s="33">
        <v>0.41206999999999999</v>
      </c>
      <c r="K122" s="33">
        <v>0.42717099999999902</v>
      </c>
      <c r="L122" s="33">
        <v>20.032070000000001</v>
      </c>
      <c r="M122" s="33">
        <v>24.647171</v>
      </c>
      <c r="N122" s="34">
        <v>1.23445463812436</v>
      </c>
      <c r="O122" s="34">
        <v>1.23151696447737</v>
      </c>
      <c r="P122" s="34">
        <v>1.23174460016846</v>
      </c>
      <c r="Q122" s="34">
        <v>1.2311610461176401</v>
      </c>
      <c r="R122" s="33">
        <v>24.1623628430461</v>
      </c>
      <c r="S122" s="33">
        <v>24.156911456119101</v>
      </c>
      <c r="T122" s="33">
        <v>24.154646018107201</v>
      </c>
      <c r="U122" s="15">
        <v>-2.3825700454617898E-3</v>
      </c>
      <c r="V122" s="15">
        <v>-2.6082103113473898E-3</v>
      </c>
      <c r="W122" s="15">
        <v>-2.7019948271882399E-3</v>
      </c>
      <c r="X122" s="34">
        <v>1.23038562664767</v>
      </c>
      <c r="Y122" s="34">
        <v>1.23013967146909</v>
      </c>
      <c r="Z122" s="34">
        <v>1.2298529566855601</v>
      </c>
      <c r="AA122" s="34">
        <v>1.2301306022812799</v>
      </c>
      <c r="AB122" s="33">
        <v>24.6422440086459</v>
      </c>
      <c r="AC122" s="33">
        <v>24.635089958260199</v>
      </c>
      <c r="AD122" s="33">
        <v>24.641280547764499</v>
      </c>
      <c r="AE122" s="15">
        <v>-1.9992087021391999E-4</v>
      </c>
      <c r="AF122" s="15">
        <v>-4.9027953453499996E-4</v>
      </c>
      <c r="AG122" s="15">
        <v>-2.3901957065165601E-4</v>
      </c>
      <c r="AI122" s="12"/>
      <c r="AJ122">
        <f t="shared" si="26"/>
        <v>0</v>
      </c>
      <c r="AK122">
        <f t="shared" si="27"/>
        <v>0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0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2.6620112459594556E-3</v>
      </c>
      <c r="BE122" s="29">
        <f t="shared" si="42"/>
        <v>0</v>
      </c>
      <c r="BF122" s="29">
        <f t="shared" si="43"/>
        <v>2.6620112459594556E-3</v>
      </c>
      <c r="BH122" s="29"/>
    </row>
    <row r="123" spans="1:60" x14ac:dyDescent="0.25">
      <c r="A123" s="1">
        <v>46202</v>
      </c>
      <c r="B123" s="33">
        <v>19.62</v>
      </c>
      <c r="C123" s="33">
        <v>24.22</v>
      </c>
      <c r="D123" s="15">
        <v>0</v>
      </c>
      <c r="E123" s="15">
        <v>0</v>
      </c>
      <c r="F123" s="33">
        <v>0</v>
      </c>
      <c r="G123" s="33">
        <v>0.41206999999999999</v>
      </c>
      <c r="H123" s="33">
        <v>0</v>
      </c>
      <c r="I123" s="33">
        <v>0.42717099999999902</v>
      </c>
      <c r="J123" s="33">
        <v>0.41206999999999999</v>
      </c>
      <c r="K123" s="33">
        <v>0.42717099999999902</v>
      </c>
      <c r="L123" s="33">
        <v>20.032070000000001</v>
      </c>
      <c r="M123" s="33">
        <v>24.647171</v>
      </c>
      <c r="N123" s="34">
        <v>1.23445463812436</v>
      </c>
      <c r="O123" s="34">
        <v>1.23151696447737</v>
      </c>
      <c r="P123" s="34">
        <v>1.2322500843267801</v>
      </c>
      <c r="Q123" s="34">
        <v>1.23114752547803</v>
      </c>
      <c r="R123" s="33">
        <v>24.1623628430461</v>
      </c>
      <c r="S123" s="33">
        <v>24.1668290553053</v>
      </c>
      <c r="T123" s="33">
        <v>24.155379724828201</v>
      </c>
      <c r="U123" s="15">
        <v>-2.3825700454617898E-3</v>
      </c>
      <c r="V123" s="15">
        <v>-2.1977454251262398E-3</v>
      </c>
      <c r="W123" s="15">
        <v>-2.67161990149751E-3</v>
      </c>
      <c r="X123" s="34">
        <v>1.23038562664767</v>
      </c>
      <c r="Y123" s="34">
        <v>1.23013967146909</v>
      </c>
      <c r="Z123" s="34">
        <v>1.22992337176358</v>
      </c>
      <c r="AA123" s="34">
        <v>1.2301195861790599</v>
      </c>
      <c r="AB123" s="33">
        <v>24.6422440086459</v>
      </c>
      <c r="AC123" s="33">
        <v>24.6365005180322</v>
      </c>
      <c r="AD123" s="33">
        <v>24.642062334040801</v>
      </c>
      <c r="AE123" s="15">
        <v>-1.9992087021391999E-4</v>
      </c>
      <c r="AF123" s="15">
        <v>-4.3302301982997001E-4</v>
      </c>
      <c r="AG123" s="15">
        <v>-2.0729338364075501E-4</v>
      </c>
      <c r="AI123" s="12"/>
      <c r="AJ123">
        <f t="shared" si="26"/>
        <v>0</v>
      </c>
      <c r="AK123">
        <f t="shared" si="27"/>
        <v>0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0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2.6620112459594556E-3</v>
      </c>
      <c r="BE123" s="29">
        <f t="shared" si="42"/>
        <v>0</v>
      </c>
      <c r="BF123" s="29">
        <f t="shared" si="43"/>
        <v>2.6620112459594556E-3</v>
      </c>
      <c r="BH123" s="29"/>
    </row>
    <row r="124" spans="1:60" x14ac:dyDescent="0.25">
      <c r="A124" s="1">
        <v>46203</v>
      </c>
      <c r="B124" s="33">
        <v>19.62</v>
      </c>
      <c r="C124" s="33">
        <v>24.22</v>
      </c>
      <c r="D124" s="15">
        <v>0</v>
      </c>
      <c r="E124" s="15">
        <v>0</v>
      </c>
      <c r="F124" s="33">
        <v>0</v>
      </c>
      <c r="G124" s="33">
        <v>0.41206999999999999</v>
      </c>
      <c r="H124" s="33">
        <v>0</v>
      </c>
      <c r="I124" s="33">
        <v>0.42717099999999902</v>
      </c>
      <c r="J124" s="33">
        <v>0.41206999999999999</v>
      </c>
      <c r="K124" s="33">
        <v>0.42717099999999902</v>
      </c>
      <c r="L124" s="33">
        <v>20.032070000000001</v>
      </c>
      <c r="M124" s="33">
        <v>24.647171</v>
      </c>
      <c r="N124" s="34">
        <v>1.23445463812436</v>
      </c>
      <c r="O124" s="34">
        <v>1.23151696447737</v>
      </c>
      <c r="P124" s="34">
        <v>1.2326538390852999</v>
      </c>
      <c r="Q124" s="34">
        <v>1.23136312907468</v>
      </c>
      <c r="R124" s="33">
        <v>24.1623628430461</v>
      </c>
      <c r="S124" s="33">
        <v>24.176746654491499</v>
      </c>
      <c r="T124" s="33">
        <v>24.1551144498791</v>
      </c>
      <c r="U124" s="15">
        <v>-2.3825700454617898E-3</v>
      </c>
      <c r="V124" s="15">
        <v>-1.7874489512023899E-3</v>
      </c>
      <c r="W124" s="15">
        <v>-2.6826019853540598E-3</v>
      </c>
      <c r="X124" s="34">
        <v>1.23038562664767</v>
      </c>
      <c r="Y124" s="34">
        <v>1.23013967146909</v>
      </c>
      <c r="Z124" s="34">
        <v>1.22989380123953</v>
      </c>
      <c r="AA124" s="34">
        <v>1.23011827838715</v>
      </c>
      <c r="AB124" s="33">
        <v>24.6422440086459</v>
      </c>
      <c r="AC124" s="33">
        <v>24.637911077804102</v>
      </c>
      <c r="AD124" s="33">
        <v>24.64184165871</v>
      </c>
      <c r="AE124" s="15">
        <v>-1.9992087021391999E-4</v>
      </c>
      <c r="AF124" s="15">
        <v>-3.7576978324561097E-4</v>
      </c>
      <c r="AG124" s="15">
        <v>-2.1624865353361001E-4</v>
      </c>
      <c r="AI124" s="12"/>
      <c r="AJ124">
        <f t="shared" si="26"/>
        <v>0</v>
      </c>
      <c r="AK124">
        <f t="shared" si="27"/>
        <v>0</v>
      </c>
      <c r="AL124">
        <f t="shared" si="34"/>
        <v>0</v>
      </c>
      <c r="AM124">
        <f t="shared" si="24"/>
        <v>0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0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2.6620112459594556E-3</v>
      </c>
      <c r="BE124" s="29">
        <f t="shared" si="42"/>
        <v>0</v>
      </c>
      <c r="BF124" s="29">
        <f t="shared" si="43"/>
        <v>2.6620112459594556E-3</v>
      </c>
      <c r="BH124" s="29"/>
    </row>
    <row r="125" spans="1:60" x14ac:dyDescent="0.25">
      <c r="A125" s="1">
        <v>46204</v>
      </c>
      <c r="B125" s="33">
        <v>19.62</v>
      </c>
      <c r="C125" s="33">
        <v>24.12</v>
      </c>
      <c r="D125" s="15">
        <v>0</v>
      </c>
      <c r="E125" s="15">
        <v>-4.13736626596139E-3</v>
      </c>
      <c r="F125" s="33">
        <v>0</v>
      </c>
      <c r="G125" s="33">
        <v>0.41206999999999999</v>
      </c>
      <c r="H125" s="33">
        <v>8.4610000000000005E-2</v>
      </c>
      <c r="I125" s="33">
        <v>0.51178099999999904</v>
      </c>
      <c r="J125" s="33">
        <v>0.41206999999999999</v>
      </c>
      <c r="K125" s="33">
        <v>0.51178099999999904</v>
      </c>
      <c r="L125" s="33">
        <v>20.032070000000001</v>
      </c>
      <c r="M125" s="33">
        <v>24.631781</v>
      </c>
      <c r="N125" s="34">
        <v>1.22935779816513</v>
      </c>
      <c r="O125" s="34">
        <v>1.23151696447737</v>
      </c>
      <c r="P125" s="34">
        <v>1.2327237652432801</v>
      </c>
      <c r="Q125" s="34">
        <v>1.2313238906733599</v>
      </c>
      <c r="R125" s="33">
        <v>24.1623628430461</v>
      </c>
      <c r="S125" s="33">
        <v>24.1846683228536</v>
      </c>
      <c r="T125" s="33">
        <v>24.159344592445301</v>
      </c>
      <c r="U125" s="15">
        <v>1.7547962204997099E-3</v>
      </c>
      <c r="V125" s="15">
        <v>2.6775201542011602E-3</v>
      </c>
      <c r="W125" s="15">
        <v>1.6298730435264099E-3</v>
      </c>
      <c r="X125" s="34">
        <v>1.2296173585655401</v>
      </c>
      <c r="Y125" s="34">
        <v>1.23013967146909</v>
      </c>
      <c r="Z125" s="34">
        <v>1.2299602742767499</v>
      </c>
      <c r="AA125" s="34">
        <v>1.2300785571911399</v>
      </c>
      <c r="AB125" s="33">
        <v>24.6422440086459</v>
      </c>
      <c r="AC125" s="33">
        <v>24.637318718996301</v>
      </c>
      <c r="AD125" s="33">
        <v>24.641815460930999</v>
      </c>
      <c r="AE125" s="15">
        <v>4.2468658898464699E-4</v>
      </c>
      <c r="AF125" s="15">
        <v>2.2479481262174599E-4</v>
      </c>
      <c r="AG125" s="15">
        <v>4.0729566301090199E-4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0</v>
      </c>
      <c r="AT125" s="12"/>
      <c r="AU125">
        <f t="shared" si="30"/>
        <v>0</v>
      </c>
      <c r="AV125">
        <f t="shared" si="31"/>
        <v>0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2.6620112459594556E-3</v>
      </c>
      <c r="BE125" s="29">
        <f t="shared" si="42"/>
        <v>0</v>
      </c>
      <c r="BF125" s="29">
        <f t="shared" si="43"/>
        <v>2.6620112459594556E-3</v>
      </c>
      <c r="BH125" s="29"/>
    </row>
    <row r="126" spans="1:60" x14ac:dyDescent="0.25">
      <c r="A126" s="1">
        <v>46205</v>
      </c>
      <c r="B126" s="33">
        <v>19.63</v>
      </c>
      <c r="C126" s="33">
        <v>24.14</v>
      </c>
      <c r="D126" s="15">
        <v>5.0955415115258205E-4</v>
      </c>
      <c r="E126" s="15">
        <v>8.2884381040069003E-4</v>
      </c>
      <c r="F126" s="33">
        <v>0</v>
      </c>
      <c r="G126" s="33">
        <v>0.41206999999999999</v>
      </c>
      <c r="H126" s="33">
        <v>0</v>
      </c>
      <c r="I126" s="33">
        <v>0.51178099999999904</v>
      </c>
      <c r="J126" s="33">
        <v>0.41206999999999999</v>
      </c>
      <c r="K126" s="33">
        <v>0.51178099999999904</v>
      </c>
      <c r="L126" s="33">
        <v>20.042069999999999</v>
      </c>
      <c r="M126" s="33">
        <v>24.651781</v>
      </c>
      <c r="N126" s="34">
        <v>1.22975038206826</v>
      </c>
      <c r="O126" s="34">
        <v>1.23151696447737</v>
      </c>
      <c r="P126" s="34">
        <v>1.2328096884958799</v>
      </c>
      <c r="Q126" s="34">
        <v>1.2313297397156799</v>
      </c>
      <c r="R126" s="33">
        <v>24.174678012690901</v>
      </c>
      <c r="S126" s="33">
        <v>24.1983675117256</v>
      </c>
      <c r="T126" s="33">
        <v>24.170887973918202</v>
      </c>
      <c r="U126" s="15">
        <v>1.43550656125155E-3</v>
      </c>
      <c r="V126" s="15">
        <v>2.41495702469263E-3</v>
      </c>
      <c r="W126" s="15">
        <v>1.2787170520937099E-3</v>
      </c>
      <c r="X126" s="34">
        <v>1.2300017413370901</v>
      </c>
      <c r="Y126" s="34">
        <v>1.23013967146909</v>
      </c>
      <c r="Z126" s="34">
        <v>1.2300422936247399</v>
      </c>
      <c r="AA126" s="34">
        <v>1.2300830765520401</v>
      </c>
      <c r="AB126" s="33">
        <v>24.654545405360601</v>
      </c>
      <c r="AC126" s="33">
        <v>24.650949914273799</v>
      </c>
      <c r="AD126" s="33">
        <v>24.653320548723901</v>
      </c>
      <c r="AE126" s="15">
        <v>1.1213187292992299E-4</v>
      </c>
      <c r="AF126" s="15">
        <v>-3.3713577760696199E-5</v>
      </c>
      <c r="AG126" s="15">
        <v>6.2449875410558101E-5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0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2.6620112459594556E-3</v>
      </c>
      <c r="BE126" s="29">
        <f t="shared" si="42"/>
        <v>0</v>
      </c>
      <c r="BF126" s="29">
        <f t="shared" si="43"/>
        <v>2.6620112459594556E-3</v>
      </c>
      <c r="BH126" s="29"/>
    </row>
    <row r="127" spans="1:60" x14ac:dyDescent="0.25">
      <c r="A127" s="1">
        <v>46209</v>
      </c>
      <c r="B127" s="33">
        <v>19.64</v>
      </c>
      <c r="C127" s="33">
        <v>24.14</v>
      </c>
      <c r="D127" s="15">
        <v>5.0929463795013497E-4</v>
      </c>
      <c r="E127" s="15">
        <v>0</v>
      </c>
      <c r="F127" s="33">
        <v>0</v>
      </c>
      <c r="G127" s="33">
        <v>0.41206999999999999</v>
      </c>
      <c r="H127" s="33">
        <v>0</v>
      </c>
      <c r="I127" s="33">
        <v>0.51178099999999904</v>
      </c>
      <c r="J127" s="33">
        <v>0.41206999999999999</v>
      </c>
      <c r="K127" s="33">
        <v>0.51178099999999904</v>
      </c>
      <c r="L127" s="33">
        <v>20.052070000000001</v>
      </c>
      <c r="M127" s="33">
        <v>24.651781</v>
      </c>
      <c r="N127" s="34">
        <v>1.2291242362525401</v>
      </c>
      <c r="O127" s="34">
        <v>1.23151696447737</v>
      </c>
      <c r="P127" s="34">
        <v>1.2327821324670201</v>
      </c>
      <c r="Q127" s="34">
        <v>1.2312788232187299</v>
      </c>
      <c r="R127" s="33">
        <v>24.186993182335701</v>
      </c>
      <c r="S127" s="33">
        <v>24.212382282059199</v>
      </c>
      <c r="T127" s="33">
        <v>24.183316088015999</v>
      </c>
      <c r="U127" s="15">
        <v>1.9448011992017E-3</v>
      </c>
      <c r="V127" s="15">
        <v>2.9939511854856602E-3</v>
      </c>
      <c r="W127" s="15">
        <v>1.7927618849079799E-3</v>
      </c>
      <c r="X127" s="34">
        <v>1.22938833746341</v>
      </c>
      <c r="Y127" s="34">
        <v>1.23013967146909</v>
      </c>
      <c r="Z127" s="34">
        <v>1.23001297978434</v>
      </c>
      <c r="AA127" s="34">
        <v>1.23003190430092</v>
      </c>
      <c r="AB127" s="33">
        <v>24.666846802075298</v>
      </c>
      <c r="AC127" s="33">
        <v>24.664894174724001</v>
      </c>
      <c r="AD127" s="33">
        <v>24.665711956836901</v>
      </c>
      <c r="AE127" s="15">
        <v>6.1095789625202201E-4</v>
      </c>
      <c r="AF127" s="15">
        <v>5.3179477272560696E-4</v>
      </c>
      <c r="AG127" s="15">
        <v>5.6494993448403695E-4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0</v>
      </c>
      <c r="AT127" s="12"/>
      <c r="AU127">
        <f t="shared" si="30"/>
        <v>0</v>
      </c>
      <c r="AV127">
        <f t="shared" si="31"/>
        <v>0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2.6620112459594556E-3</v>
      </c>
      <c r="BE127" s="29">
        <f t="shared" si="42"/>
        <v>0</v>
      </c>
      <c r="BF127" s="29">
        <f t="shared" si="43"/>
        <v>2.6620112459594556E-3</v>
      </c>
      <c r="BH127" s="29"/>
    </row>
    <row r="128" spans="1:60" x14ac:dyDescent="0.25">
      <c r="A128" s="1">
        <v>46210</v>
      </c>
      <c r="B128" s="33">
        <v>19.64</v>
      </c>
      <c r="C128" s="33">
        <v>24.14</v>
      </c>
      <c r="D128" s="15">
        <v>0</v>
      </c>
      <c r="E128" s="15">
        <v>0</v>
      </c>
      <c r="F128" s="33">
        <v>0</v>
      </c>
      <c r="G128" s="33">
        <v>0.41206999999999999</v>
      </c>
      <c r="H128" s="33">
        <v>0</v>
      </c>
      <c r="I128" s="33">
        <v>0.51178099999999904</v>
      </c>
      <c r="J128" s="33">
        <v>0.41206999999999999</v>
      </c>
      <c r="K128" s="33">
        <v>0.51178099999999904</v>
      </c>
      <c r="L128" s="33">
        <v>20.052070000000001</v>
      </c>
      <c r="M128" s="33">
        <v>24.651781</v>
      </c>
      <c r="N128" s="34">
        <v>1.2291242362525401</v>
      </c>
      <c r="O128" s="34">
        <v>1.23151696447737</v>
      </c>
      <c r="P128" s="34">
        <v>1.23231528095189</v>
      </c>
      <c r="Q128" s="34">
        <v>1.2311965734929</v>
      </c>
      <c r="R128" s="33">
        <v>24.186993182335701</v>
      </c>
      <c r="S128" s="33">
        <v>24.211841081652199</v>
      </c>
      <c r="T128" s="33">
        <v>24.182316088016002</v>
      </c>
      <c r="U128" s="15">
        <v>1.9448011992017E-3</v>
      </c>
      <c r="V128" s="15">
        <v>2.9715987193293602E-3</v>
      </c>
      <c r="W128" s="15">
        <v>1.75141020789488E-3</v>
      </c>
      <c r="X128" s="34">
        <v>1.22938833746341</v>
      </c>
      <c r="Y128" s="34">
        <v>1.23013967146909</v>
      </c>
      <c r="Z128" s="34">
        <v>1.22997868624935</v>
      </c>
      <c r="AA128" s="34">
        <v>1.22994992998764</v>
      </c>
      <c r="AB128" s="33">
        <v>24.666846802075298</v>
      </c>
      <c r="AC128" s="33">
        <v>24.6643063715442</v>
      </c>
      <c r="AD128" s="33">
        <v>24.6646858472754</v>
      </c>
      <c r="AE128" s="15">
        <v>6.1095789625202201E-4</v>
      </c>
      <c r="AF128" s="15">
        <v>5.0796291762520904E-4</v>
      </c>
      <c r="AG128" s="15">
        <v>5.2334842274562201E-4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0</v>
      </c>
      <c r="AT128" s="12"/>
      <c r="AU128">
        <f t="shared" si="30"/>
        <v>0</v>
      </c>
      <c r="AV128">
        <f t="shared" si="31"/>
        <v>0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2.6620112459594556E-3</v>
      </c>
      <c r="BE128" s="29">
        <f t="shared" si="42"/>
        <v>0</v>
      </c>
      <c r="BF128" s="29">
        <f t="shared" si="43"/>
        <v>2.6620112459594556E-3</v>
      </c>
      <c r="BH128" s="29"/>
    </row>
    <row r="129" spans="1:60" x14ac:dyDescent="0.25">
      <c r="A129" s="1">
        <v>46211</v>
      </c>
      <c r="B129" s="33">
        <v>19.63</v>
      </c>
      <c r="C129" s="33">
        <v>24.14</v>
      </c>
      <c r="D129" s="15">
        <v>-5.0929463795022399E-4</v>
      </c>
      <c r="E129" s="15">
        <v>0</v>
      </c>
      <c r="F129" s="33">
        <v>0</v>
      </c>
      <c r="G129" s="33">
        <v>0.41206999999999999</v>
      </c>
      <c r="H129" s="33">
        <v>0</v>
      </c>
      <c r="I129" s="33">
        <v>0.51178099999999904</v>
      </c>
      <c r="J129" s="33">
        <v>0.41206999999999999</v>
      </c>
      <c r="K129" s="33">
        <v>0.51178099999999904</v>
      </c>
      <c r="L129" s="33">
        <v>20.042069999999999</v>
      </c>
      <c r="M129" s="33">
        <v>24.651781</v>
      </c>
      <c r="N129" s="34">
        <v>1.22975038206826</v>
      </c>
      <c r="O129" s="34">
        <v>1.23151696447737</v>
      </c>
      <c r="P129" s="34">
        <v>1.2318089511138</v>
      </c>
      <c r="Q129" s="34">
        <v>1.2311769642867401</v>
      </c>
      <c r="R129" s="33">
        <v>24.174678012690901</v>
      </c>
      <c r="S129" s="33">
        <v>24.1903489650857</v>
      </c>
      <c r="T129" s="33">
        <v>24.168388737665602</v>
      </c>
      <c r="U129" s="15">
        <v>1.43550656125155E-3</v>
      </c>
      <c r="V129" s="15">
        <v>2.0835348545214902E-3</v>
      </c>
      <c r="W129" s="15">
        <v>1.17531309469969E-3</v>
      </c>
      <c r="X129" s="34">
        <v>1.2300017413370901</v>
      </c>
      <c r="Y129" s="34">
        <v>1.23013967146909</v>
      </c>
      <c r="Z129" s="34">
        <v>1.2299057434506699</v>
      </c>
      <c r="AA129" s="34">
        <v>1.2299294279302</v>
      </c>
      <c r="AB129" s="33">
        <v>24.654545405360601</v>
      </c>
      <c r="AC129" s="33">
        <v>24.6513189283176</v>
      </c>
      <c r="AD129" s="33">
        <v>24.650742593307399</v>
      </c>
      <c r="AE129" s="15">
        <v>1.1213187292992299E-4</v>
      </c>
      <c r="AF129" s="15">
        <v>-1.87441229057517E-5</v>
      </c>
      <c r="AG129" s="15">
        <v>-4.2123875898990602E-5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0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2.6620112459594556E-3</v>
      </c>
      <c r="BE129" s="29">
        <f t="shared" si="42"/>
        <v>0</v>
      </c>
      <c r="BF129" s="29">
        <f t="shared" si="43"/>
        <v>2.6620112459594556E-3</v>
      </c>
      <c r="BH129" s="29"/>
    </row>
    <row r="130" spans="1:60" x14ac:dyDescent="0.25">
      <c r="A130" s="1">
        <v>46212</v>
      </c>
      <c r="B130" s="33">
        <v>19.64</v>
      </c>
      <c r="C130" s="33">
        <v>24.14</v>
      </c>
      <c r="D130" s="15">
        <v>5.0929463795013497E-4</v>
      </c>
      <c r="E130" s="15">
        <v>0</v>
      </c>
      <c r="F130" s="33">
        <v>0</v>
      </c>
      <c r="G130" s="33">
        <v>0.41206999999999999</v>
      </c>
      <c r="H130" s="33">
        <v>0</v>
      </c>
      <c r="I130" s="33">
        <v>0.51178099999999904</v>
      </c>
      <c r="J130" s="33">
        <v>0.41206999999999999</v>
      </c>
      <c r="K130" s="33">
        <v>0.51178099999999904</v>
      </c>
      <c r="L130" s="33">
        <v>20.052070000000001</v>
      </c>
      <c r="M130" s="33">
        <v>24.651781</v>
      </c>
      <c r="N130" s="34">
        <v>1.2291242362525401</v>
      </c>
      <c r="O130" s="34">
        <v>1.23151696447737</v>
      </c>
      <c r="P130" s="34">
        <v>1.2313659438364499</v>
      </c>
      <c r="Q130" s="34">
        <v>1.2311319038347399</v>
      </c>
      <c r="R130" s="33">
        <v>24.186993182335701</v>
      </c>
      <c r="S130" s="33">
        <v>24.192727799875001</v>
      </c>
      <c r="T130" s="33">
        <v>24.1803155785916</v>
      </c>
      <c r="U130" s="15">
        <v>1.9448011992017E-3</v>
      </c>
      <c r="V130" s="15">
        <v>2.1818681954464802E-3</v>
      </c>
      <c r="W130" s="15">
        <v>1.6686806559016601E-3</v>
      </c>
      <c r="X130" s="34">
        <v>1.22938833746341</v>
      </c>
      <c r="Y130" s="34">
        <v>1.23013967146909</v>
      </c>
      <c r="Z130" s="34">
        <v>1.22989439772006</v>
      </c>
      <c r="AA130" s="34">
        <v>1.2298840180250401</v>
      </c>
      <c r="AB130" s="33">
        <v>24.666846802075298</v>
      </c>
      <c r="AC130" s="33">
        <v>24.6621560610748</v>
      </c>
      <c r="AD130" s="33">
        <v>24.6626309839165</v>
      </c>
      <c r="AE130" s="15">
        <v>6.1095789625202201E-4</v>
      </c>
      <c r="AF130" s="15">
        <v>4.2077602585711499E-4</v>
      </c>
      <c r="AG130" s="15">
        <v>4.40032990563727E-4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0</v>
      </c>
      <c r="AT130" s="12"/>
      <c r="AU130">
        <f t="shared" si="30"/>
        <v>0</v>
      </c>
      <c r="AV130">
        <f t="shared" si="31"/>
        <v>0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2.6620112459594556E-3</v>
      </c>
      <c r="BE130" s="29">
        <f t="shared" si="42"/>
        <v>0</v>
      </c>
      <c r="BF130" s="29">
        <f t="shared" si="43"/>
        <v>2.6620112459594556E-3</v>
      </c>
      <c r="BH130" s="29"/>
    </row>
    <row r="131" spans="1:60" x14ac:dyDescent="0.25">
      <c r="A131" s="1">
        <v>46213</v>
      </c>
      <c r="B131" s="33">
        <v>19.64</v>
      </c>
      <c r="C131" s="33">
        <v>24.15</v>
      </c>
      <c r="D131" s="15">
        <v>0</v>
      </c>
      <c r="E131" s="15">
        <v>4.1416442919608E-4</v>
      </c>
      <c r="F131" s="33">
        <v>0</v>
      </c>
      <c r="G131" s="33">
        <v>0.41206999999999999</v>
      </c>
      <c r="H131" s="33">
        <v>0</v>
      </c>
      <c r="I131" s="33">
        <v>0.51178099999999904</v>
      </c>
      <c r="J131" s="33">
        <v>0.41206999999999999</v>
      </c>
      <c r="K131" s="33">
        <v>0.51178099999999904</v>
      </c>
      <c r="L131" s="33">
        <v>20.052070000000001</v>
      </c>
      <c r="M131" s="33">
        <v>24.661780999999898</v>
      </c>
      <c r="N131" s="34">
        <v>1.2296334012219901</v>
      </c>
      <c r="O131" s="34">
        <v>1.23151696447737</v>
      </c>
      <c r="P131" s="34">
        <v>1.2309228586654299</v>
      </c>
      <c r="Q131" s="34">
        <v>1.2310809873377899</v>
      </c>
      <c r="R131" s="33">
        <v>24.186993182335701</v>
      </c>
      <c r="S131" s="33">
        <v>24.184027136948</v>
      </c>
      <c r="T131" s="33">
        <v>24.179430591314301</v>
      </c>
      <c r="U131" s="15">
        <v>1.53063677000561E-3</v>
      </c>
      <c r="V131" s="15">
        <v>1.40799948132034E-3</v>
      </c>
      <c r="W131" s="15">
        <v>1.2179160644820899E-3</v>
      </c>
      <c r="X131" s="34">
        <v>1.22988703909371</v>
      </c>
      <c r="Y131" s="34">
        <v>1.23013967146909</v>
      </c>
      <c r="Z131" s="34">
        <v>1.22988297726667</v>
      </c>
      <c r="AA131" s="34">
        <v>1.2298327594370999</v>
      </c>
      <c r="AB131" s="33">
        <v>24.666846802075298</v>
      </c>
      <c r="AC131" s="33">
        <v>24.661928555690501</v>
      </c>
      <c r="AD131" s="33">
        <v>24.661720421319501</v>
      </c>
      <c r="AE131" s="15">
        <v>2.0538994571260501E-4</v>
      </c>
      <c r="AF131" s="15">
        <v>5.9831546289847502E-6</v>
      </c>
      <c r="AG131" s="15">
        <v>-2.4563819984561599E-6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0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2.6620112459594556E-3</v>
      </c>
      <c r="BE131" s="29">
        <f t="shared" si="42"/>
        <v>0</v>
      </c>
      <c r="BF131" s="29">
        <f t="shared" si="43"/>
        <v>2.6620112459594556E-3</v>
      </c>
      <c r="BH131" s="29"/>
    </row>
    <row r="132" spans="1:60" x14ac:dyDescent="0.25">
      <c r="A132" s="1">
        <v>46216</v>
      </c>
      <c r="B132" s="33">
        <v>19.64</v>
      </c>
      <c r="C132" s="33">
        <v>24.14</v>
      </c>
      <c r="D132" s="15">
        <v>0</v>
      </c>
      <c r="E132" s="15">
        <v>-4.1416442919614798E-4</v>
      </c>
      <c r="F132" s="33">
        <v>0</v>
      </c>
      <c r="G132" s="33">
        <v>0.41206999999999999</v>
      </c>
      <c r="H132" s="33">
        <v>0</v>
      </c>
      <c r="I132" s="33">
        <v>0.51178099999999904</v>
      </c>
      <c r="J132" s="33">
        <v>0.41206999999999999</v>
      </c>
      <c r="K132" s="33">
        <v>0.51178099999999904</v>
      </c>
      <c r="L132" s="33">
        <v>20.052070000000001</v>
      </c>
      <c r="M132" s="33">
        <v>24.651781</v>
      </c>
      <c r="N132" s="34">
        <v>1.2291242362525401</v>
      </c>
      <c r="O132" s="34">
        <v>1.23151696447737</v>
      </c>
      <c r="P132" s="34">
        <v>1.23038981847825</v>
      </c>
      <c r="Q132" s="34">
        <v>1.2310672093233599</v>
      </c>
      <c r="R132" s="33">
        <v>24.186993182335701</v>
      </c>
      <c r="S132" s="33">
        <v>24.1753249441892</v>
      </c>
      <c r="T132" s="33">
        <v>24.178430591314299</v>
      </c>
      <c r="U132" s="15">
        <v>1.9448011992017E-3</v>
      </c>
      <c r="V132" s="15">
        <v>1.46226691114688E-3</v>
      </c>
      <c r="W132" s="15">
        <v>1.5907221715488E-3</v>
      </c>
      <c r="X132" s="34">
        <v>1.22938833746341</v>
      </c>
      <c r="Y132" s="34">
        <v>1.23013967146909</v>
      </c>
      <c r="Z132" s="34">
        <v>1.22978324834824</v>
      </c>
      <c r="AA132" s="34">
        <v>1.2298181025168999</v>
      </c>
      <c r="AB132" s="33">
        <v>24.666846802075298</v>
      </c>
      <c r="AC132" s="33">
        <v>24.6616995519596</v>
      </c>
      <c r="AD132" s="33">
        <v>24.660692580526</v>
      </c>
      <c r="AE132" s="15">
        <v>6.1095789625202201E-4</v>
      </c>
      <c r="AF132" s="15">
        <v>4.0226534336754302E-4</v>
      </c>
      <c r="AG132" s="15">
        <v>3.6143312131832299E-4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0</v>
      </c>
      <c r="AT132" s="12"/>
      <c r="AU132">
        <f t="shared" si="30"/>
        <v>0</v>
      </c>
      <c r="AV132">
        <f t="shared" si="31"/>
        <v>0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2.6620112459594556E-3</v>
      </c>
      <c r="BE132" s="29">
        <f t="shared" si="42"/>
        <v>0</v>
      </c>
      <c r="BF132" s="29">
        <f t="shared" si="43"/>
        <v>2.6620112459594556E-3</v>
      </c>
      <c r="BH132" s="29"/>
    </row>
    <row r="133" spans="1:60" x14ac:dyDescent="0.25">
      <c r="A133" s="1">
        <v>46217</v>
      </c>
      <c r="B133" s="33">
        <v>19.64</v>
      </c>
      <c r="C133" s="33">
        <v>24.15</v>
      </c>
      <c r="D133" s="15">
        <v>0</v>
      </c>
      <c r="E133" s="15">
        <v>4.1416442919608E-4</v>
      </c>
      <c r="F133" s="33">
        <v>0</v>
      </c>
      <c r="G133" s="33">
        <v>0.41206999999999999</v>
      </c>
      <c r="H133" s="33">
        <v>0</v>
      </c>
      <c r="I133" s="33">
        <v>0.51178099999999904</v>
      </c>
      <c r="J133" s="33">
        <v>0.41206999999999999</v>
      </c>
      <c r="K133" s="33">
        <v>0.51178099999999904</v>
      </c>
      <c r="L133" s="33">
        <v>20.052070000000001</v>
      </c>
      <c r="M133" s="33">
        <v>24.661780999999898</v>
      </c>
      <c r="N133" s="34">
        <v>1.2296334012219901</v>
      </c>
      <c r="O133" s="34">
        <v>1.23151696447737</v>
      </c>
      <c r="P133" s="34">
        <v>1.2299076947880201</v>
      </c>
      <c r="Q133" s="34">
        <v>1.2310788895574001</v>
      </c>
      <c r="R133" s="33">
        <v>24.186993182335701</v>
      </c>
      <c r="S133" s="33">
        <v>24.164856034912901</v>
      </c>
      <c r="T133" s="33">
        <v>24.1781599911108</v>
      </c>
      <c r="U133" s="15">
        <v>1.53063677000561E-3</v>
      </c>
      <c r="V133" s="15">
        <v>6.14967593836019E-4</v>
      </c>
      <c r="W133" s="15">
        <v>1.1653658779055001E-3</v>
      </c>
      <c r="X133" s="34">
        <v>1.22988703909371</v>
      </c>
      <c r="Y133" s="34">
        <v>1.23013967146909</v>
      </c>
      <c r="Z133" s="34">
        <v>1.2297333895928499</v>
      </c>
      <c r="AA133" s="34">
        <v>1.22982838067821</v>
      </c>
      <c r="AB133" s="33">
        <v>24.666846802075298</v>
      </c>
      <c r="AC133" s="33">
        <v>24.659699780706301</v>
      </c>
      <c r="AD133" s="33">
        <v>24.660398678936101</v>
      </c>
      <c r="AE133" s="15">
        <v>2.0538994571260501E-4</v>
      </c>
      <c r="AF133" s="15">
        <v>-8.4394031237142097E-5</v>
      </c>
      <c r="AG133" s="15">
        <v>-5.6052715966611299E-5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0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2.6620112459594556E-3</v>
      </c>
      <c r="BE133" s="29">
        <f t="shared" si="42"/>
        <v>0</v>
      </c>
      <c r="BF133" s="29">
        <f t="shared" si="43"/>
        <v>2.6620112459594556E-3</v>
      </c>
      <c r="BH133" s="29"/>
    </row>
    <row r="134" spans="1:60" x14ac:dyDescent="0.25">
      <c r="A134" s="1">
        <v>46218</v>
      </c>
      <c r="B134" s="33">
        <v>19.64</v>
      </c>
      <c r="C134" s="33">
        <v>24.16</v>
      </c>
      <c r="D134" s="15">
        <v>0</v>
      </c>
      <c r="E134" s="15">
        <v>4.1399296803251202E-4</v>
      </c>
      <c r="F134" s="33">
        <v>0</v>
      </c>
      <c r="G134" s="33">
        <v>0.41206999999999999</v>
      </c>
      <c r="H134" s="33">
        <v>0</v>
      </c>
      <c r="I134" s="33">
        <v>0.51178099999999904</v>
      </c>
      <c r="J134" s="33">
        <v>0.41206999999999999</v>
      </c>
      <c r="K134" s="33">
        <v>0.51178099999999904</v>
      </c>
      <c r="L134" s="33">
        <v>20.052070000000001</v>
      </c>
      <c r="M134" s="33">
        <v>24.671780999999999</v>
      </c>
      <c r="N134" s="34">
        <v>1.23014256619144</v>
      </c>
      <c r="O134" s="34">
        <v>1.23151696447737</v>
      </c>
      <c r="P134" s="34">
        <v>1.2294764875947199</v>
      </c>
      <c r="Q134" s="34">
        <v>1.23106516334001</v>
      </c>
      <c r="R134" s="33">
        <v>24.186993182335701</v>
      </c>
      <c r="S134" s="33">
        <v>24.1553871256367</v>
      </c>
      <c r="T134" s="33">
        <v>24.178389390907299</v>
      </c>
      <c r="U134" s="15">
        <v>1.116643801973E-3</v>
      </c>
      <c r="V134" s="15">
        <v>-1.9094845976510899E-4</v>
      </c>
      <c r="W134" s="15">
        <v>7.6086075792975404E-4</v>
      </c>
      <c r="X134" s="34">
        <v>1.23038574072402</v>
      </c>
      <c r="Y134" s="34">
        <v>1.23013967146909</v>
      </c>
      <c r="Z134" s="34">
        <v>1.2297334010004799</v>
      </c>
      <c r="AA134" s="34">
        <v>1.22981360112</v>
      </c>
      <c r="AB134" s="33">
        <v>24.666846802075298</v>
      </c>
      <c r="AC134" s="33">
        <v>24.658700009453099</v>
      </c>
      <c r="AD134" s="33">
        <v>24.660604777346201</v>
      </c>
      <c r="AE134" s="15">
        <v>-2.00013586145087E-4</v>
      </c>
      <c r="AF134" s="15">
        <v>-5.3034110293743802E-4</v>
      </c>
      <c r="AG134" s="15">
        <v>-4.5309881810240399E-4</v>
      </c>
      <c r="AI134" s="12"/>
      <c r="AJ134">
        <f t="shared" si="26"/>
        <v>0</v>
      </c>
      <c r="AK134">
        <f t="shared" si="27"/>
        <v>0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0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2.6620112459594556E-3</v>
      </c>
      <c r="BE134" s="29">
        <f t="shared" si="42"/>
        <v>0</v>
      </c>
      <c r="BF134" s="29">
        <f t="shared" si="43"/>
        <v>2.6620112459594556E-3</v>
      </c>
      <c r="BH134" s="29"/>
    </row>
    <row r="135" spans="1:60" x14ac:dyDescent="0.25">
      <c r="A135" s="1">
        <v>46219</v>
      </c>
      <c r="B135" s="33">
        <v>19.64</v>
      </c>
      <c r="C135" s="33">
        <v>24.17</v>
      </c>
      <c r="D135" s="15">
        <v>0</v>
      </c>
      <c r="E135" s="15">
        <v>4.1382164877743302E-4</v>
      </c>
      <c r="F135" s="33">
        <v>0</v>
      </c>
      <c r="G135" s="33">
        <v>0.41206999999999999</v>
      </c>
      <c r="H135" s="33">
        <v>0</v>
      </c>
      <c r="I135" s="33">
        <v>0.51178099999999904</v>
      </c>
      <c r="J135" s="33">
        <v>0.41206999999999999</v>
      </c>
      <c r="K135" s="33">
        <v>0.51178099999999904</v>
      </c>
      <c r="L135" s="33">
        <v>20.052070000000001</v>
      </c>
      <c r="M135" s="33">
        <v>24.681781000000001</v>
      </c>
      <c r="N135" s="34">
        <v>1.23065173116089</v>
      </c>
      <c r="O135" s="34">
        <v>1.23151696447737</v>
      </c>
      <c r="P135" s="34">
        <v>1.2296058808943</v>
      </c>
      <c r="Q135" s="34">
        <v>1.2311648230687899</v>
      </c>
      <c r="R135" s="33">
        <v>24.186993182335701</v>
      </c>
      <c r="S135" s="33">
        <v>24.146918216360401</v>
      </c>
      <c r="T135" s="33">
        <v>24.178119807997899</v>
      </c>
      <c r="U135" s="15">
        <v>7.0282215319550595E-4</v>
      </c>
      <c r="V135" s="15">
        <v>-9.5543284826369603E-4</v>
      </c>
      <c r="W135" s="15">
        <v>3.3588930061849399E-4</v>
      </c>
      <c r="X135" s="34">
        <v>1.2308844423543299</v>
      </c>
      <c r="Y135" s="34">
        <v>1.23013967146909</v>
      </c>
      <c r="Z135" s="34">
        <v>1.22986010937936</v>
      </c>
      <c r="AA135" s="34">
        <v>1.2299101918280499</v>
      </c>
      <c r="AB135" s="33">
        <v>24.666846802075298</v>
      </c>
      <c r="AC135" s="33">
        <v>24.658700238199799</v>
      </c>
      <c r="AD135" s="33">
        <v>24.660308416610398</v>
      </c>
      <c r="AE135" s="15">
        <v>-6.0525283257885398E-4</v>
      </c>
      <c r="AF135" s="15">
        <v>-9.3557107286018702E-4</v>
      </c>
      <c r="AG135" s="15">
        <v>-8.7035571451822297E-4</v>
      </c>
      <c r="AI135" s="12"/>
      <c r="AJ135">
        <f t="shared" si="26"/>
        <v>0</v>
      </c>
      <c r="AK135">
        <f t="shared" si="27"/>
        <v>0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0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2.6620112459594556E-3</v>
      </c>
      <c r="BE135" s="29">
        <f t="shared" si="42"/>
        <v>0</v>
      </c>
      <c r="BF135" s="29">
        <f t="shared" si="43"/>
        <v>2.6620112459594556E-3</v>
      </c>
      <c r="BH135" s="29"/>
    </row>
    <row r="136" spans="1:60" x14ac:dyDescent="0.25">
      <c r="A136" s="1">
        <v>46220</v>
      </c>
      <c r="B136" s="33">
        <v>19.66</v>
      </c>
      <c r="C136" s="33">
        <v>24.17</v>
      </c>
      <c r="D136" s="15">
        <v>1.01781179270062E-3</v>
      </c>
      <c r="E136" s="15">
        <v>0</v>
      </c>
      <c r="F136" s="33">
        <v>0</v>
      </c>
      <c r="G136" s="33">
        <v>0.41206999999999999</v>
      </c>
      <c r="H136" s="33">
        <v>0</v>
      </c>
      <c r="I136" s="33">
        <v>0.51178099999999904</v>
      </c>
      <c r="J136" s="33">
        <v>0.41206999999999999</v>
      </c>
      <c r="K136" s="33">
        <v>0.51178099999999904</v>
      </c>
      <c r="L136" s="33">
        <v>20.07207</v>
      </c>
      <c r="M136" s="33">
        <v>24.681781000000001</v>
      </c>
      <c r="N136" s="34">
        <v>1.2293997965412</v>
      </c>
      <c r="O136" s="34">
        <v>1.23151696447737</v>
      </c>
      <c r="P136" s="34">
        <v>1.22957082234159</v>
      </c>
      <c r="Q136" s="34">
        <v>1.2311902554187399</v>
      </c>
      <c r="R136" s="33">
        <v>24.211623521625199</v>
      </c>
      <c r="S136" s="33">
        <v>24.174051618381998</v>
      </c>
      <c r="T136" s="33">
        <v>24.204700421532401</v>
      </c>
      <c r="U136" s="15">
        <v>1.7206339458962E-3</v>
      </c>
      <c r="V136" s="15">
        <v>1.6761600469457599E-4</v>
      </c>
      <c r="W136" s="15">
        <v>1.43465188132912E-3</v>
      </c>
      <c r="X136" s="34">
        <v>1.22965797747815</v>
      </c>
      <c r="Y136" s="34">
        <v>1.23013967146909</v>
      </c>
      <c r="Z136" s="34">
        <v>1.2298257329934701</v>
      </c>
      <c r="AA136" s="34">
        <v>1.2299340133091099</v>
      </c>
      <c r="AB136" s="33">
        <v>24.6914495955047</v>
      </c>
      <c r="AC136" s="33">
        <v>24.685838205670201</v>
      </c>
      <c r="AD136" s="33">
        <v>24.686843464086099</v>
      </c>
      <c r="AE136" s="15">
        <v>3.9165335189601699E-4</v>
      </c>
      <c r="AF136" s="15">
        <v>1.64367078853504E-4</v>
      </c>
      <c r="AG136" s="15">
        <v>2.0508831910526399E-4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0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0</v>
      </c>
      <c r="AT136" s="12"/>
      <c r="AU136">
        <f t="shared" si="30"/>
        <v>0</v>
      </c>
      <c r="AV136">
        <f t="shared" si="31"/>
        <v>0</v>
      </c>
      <c r="AW136">
        <f t="shared" si="38"/>
        <v>0</v>
      </c>
      <c r="AX136">
        <f t="shared" si="25"/>
        <v>0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2.6620112459594556E-3</v>
      </c>
      <c r="BE136" s="29">
        <f t="shared" si="42"/>
        <v>0</v>
      </c>
      <c r="BF136" s="29">
        <f t="shared" si="43"/>
        <v>2.6620112459594556E-3</v>
      </c>
      <c r="BH136" s="29"/>
    </row>
    <row r="137" spans="1:60" x14ac:dyDescent="0.25">
      <c r="A137" s="1">
        <v>46223</v>
      </c>
      <c r="B137" s="33">
        <v>19.59</v>
      </c>
      <c r="C137" s="33">
        <v>24.18</v>
      </c>
      <c r="D137" s="15">
        <v>-3.5668827625711099E-3</v>
      </c>
      <c r="E137" s="15">
        <v>4.13650471254907E-4</v>
      </c>
      <c r="F137" s="33">
        <v>6.9269999999999998E-2</v>
      </c>
      <c r="G137" s="33">
        <v>0.48133999999999999</v>
      </c>
      <c r="H137" s="33">
        <v>0</v>
      </c>
      <c r="I137" s="33">
        <v>0.51178099999999904</v>
      </c>
      <c r="J137" s="33">
        <v>0.48133999999999999</v>
      </c>
      <c r="K137" s="33">
        <v>0.51178099999999904</v>
      </c>
      <c r="L137" s="33">
        <v>20.071339999999999</v>
      </c>
      <c r="M137" s="33">
        <v>24.691780999999999</v>
      </c>
      <c r="N137" s="34">
        <v>1.2343032159264899</v>
      </c>
      <c r="O137" s="34">
        <v>1.23151696447737</v>
      </c>
      <c r="P137" s="34">
        <v>1.2300887203089901</v>
      </c>
      <c r="Q137" s="34">
        <v>1.2314354263880001</v>
      </c>
      <c r="R137" s="33">
        <v>24.125417334111798</v>
      </c>
      <c r="S137" s="33">
        <v>24.0872924096719</v>
      </c>
      <c r="T137" s="33">
        <v>24.1190171036531</v>
      </c>
      <c r="U137" s="15">
        <v>-2.2598992879300098E-3</v>
      </c>
      <c r="V137" s="15">
        <v>-3.84142965986717E-3</v>
      </c>
      <c r="W137" s="15">
        <v>-2.5252244211127202E-3</v>
      </c>
      <c r="X137" s="34">
        <v>1.2302009233065601</v>
      </c>
      <c r="Y137" s="34">
        <v>1.23013967146909</v>
      </c>
      <c r="Z137" s="34">
        <v>1.2299069915777801</v>
      </c>
      <c r="AA137" s="34">
        <v>1.2299599856810599</v>
      </c>
      <c r="AB137" s="33">
        <v>24.690551593544502</v>
      </c>
      <c r="AC137" s="33">
        <v>24.684250427661102</v>
      </c>
      <c r="AD137" s="33">
        <v>24.6864237586916</v>
      </c>
      <c r="AE137" s="15">
        <v>-4.9791348084067E-5</v>
      </c>
      <c r="AF137" s="15">
        <v>-3.0502947197179998E-4</v>
      </c>
      <c r="AG137" s="15">
        <v>-2.1698809649039601E-4</v>
      </c>
      <c r="AI137" s="12"/>
      <c r="AJ137">
        <f t="shared" si="26"/>
        <v>0</v>
      </c>
      <c r="AK137">
        <f t="shared" si="27"/>
        <v>0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0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2.6620112459594556E-3</v>
      </c>
      <c r="BE137" s="29">
        <f t="shared" si="42"/>
        <v>0</v>
      </c>
      <c r="BF137" s="29">
        <f t="shared" si="43"/>
        <v>2.6620112459594556E-3</v>
      </c>
      <c r="BH137" s="29"/>
    </row>
    <row r="138" spans="1:60" x14ac:dyDescent="0.25">
      <c r="A138" s="1">
        <v>46224</v>
      </c>
      <c r="B138" s="33">
        <v>19.59</v>
      </c>
      <c r="C138" s="33">
        <v>24.18</v>
      </c>
      <c r="D138" s="15">
        <v>0</v>
      </c>
      <c r="E138" s="15">
        <v>0</v>
      </c>
      <c r="F138" s="33">
        <v>0</v>
      </c>
      <c r="G138" s="33">
        <v>0.48133999999999999</v>
      </c>
      <c r="H138" s="33">
        <v>0</v>
      </c>
      <c r="I138" s="33">
        <v>0.51178099999999904</v>
      </c>
      <c r="J138" s="33">
        <v>0.48133999999999999</v>
      </c>
      <c r="K138" s="33">
        <v>0.51178099999999904</v>
      </c>
      <c r="L138" s="33">
        <v>20.071339999999999</v>
      </c>
      <c r="M138" s="33">
        <v>24.691780999999999</v>
      </c>
      <c r="N138" s="34">
        <v>1.2343032159264899</v>
      </c>
      <c r="O138" s="34">
        <v>1.23151696447737</v>
      </c>
      <c r="P138" s="34">
        <v>1.23060661827638</v>
      </c>
      <c r="Q138" s="34">
        <v>1.23146094961414</v>
      </c>
      <c r="R138" s="33">
        <v>24.125417334111798</v>
      </c>
      <c r="S138" s="33">
        <v>24.097438030853102</v>
      </c>
      <c r="T138" s="33">
        <v>24.123820002940999</v>
      </c>
      <c r="U138" s="15">
        <v>-2.2598992879300098E-3</v>
      </c>
      <c r="V138" s="15">
        <v>-3.4203161146239801E-3</v>
      </c>
      <c r="W138" s="15">
        <v>-2.32611095300744E-3</v>
      </c>
      <c r="X138" s="34">
        <v>1.2302009233065601</v>
      </c>
      <c r="Y138" s="34">
        <v>1.23013967146909</v>
      </c>
      <c r="Z138" s="34">
        <v>1.2299882501621</v>
      </c>
      <c r="AA138" s="34">
        <v>1.22998346820572</v>
      </c>
      <c r="AB138" s="33">
        <v>24.690551593544502</v>
      </c>
      <c r="AC138" s="33">
        <v>24.6858813963348</v>
      </c>
      <c r="AD138" s="33">
        <v>24.686945058999701</v>
      </c>
      <c r="AE138" s="15">
        <v>-4.9791348084067E-5</v>
      </c>
      <c r="AF138" s="15">
        <v>-2.38958403735182E-4</v>
      </c>
      <c r="AG138" s="15">
        <v>-1.95871437019674E-4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0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2.6620112459594556E-3</v>
      </c>
      <c r="BE138" s="29">
        <f t="shared" si="42"/>
        <v>0</v>
      </c>
      <c r="BF138" s="29">
        <f t="shared" si="43"/>
        <v>2.6620112459594556E-3</v>
      </c>
      <c r="BH138" s="29"/>
    </row>
    <row r="139" spans="1:60" x14ac:dyDescent="0.25">
      <c r="A139" s="1">
        <v>46225</v>
      </c>
      <c r="B139" s="33">
        <v>19.59</v>
      </c>
      <c r="C139" s="33">
        <v>24.17</v>
      </c>
      <c r="D139" s="15">
        <v>0</v>
      </c>
      <c r="E139" s="15">
        <v>-4.1365047125491898E-4</v>
      </c>
      <c r="F139" s="33">
        <v>0</v>
      </c>
      <c r="G139" s="33">
        <v>0.48133999999999999</v>
      </c>
      <c r="H139" s="33">
        <v>0</v>
      </c>
      <c r="I139" s="33">
        <v>0.51178099999999904</v>
      </c>
      <c r="J139" s="33">
        <v>0.48133999999999999</v>
      </c>
      <c r="K139" s="33">
        <v>0.51178099999999904</v>
      </c>
      <c r="L139" s="33">
        <v>20.071339999999999</v>
      </c>
      <c r="M139" s="33">
        <v>24.681781000000001</v>
      </c>
      <c r="N139" s="34">
        <v>1.2337927514037701</v>
      </c>
      <c r="O139" s="34">
        <v>1.23151696447737</v>
      </c>
      <c r="P139" s="34">
        <v>1.2310108552099299</v>
      </c>
      <c r="Q139" s="34">
        <v>1.2314099031618699</v>
      </c>
      <c r="R139" s="33">
        <v>24.125417334111798</v>
      </c>
      <c r="S139" s="33">
        <v>24.1075836520344</v>
      </c>
      <c r="T139" s="33">
        <v>24.124320002941001</v>
      </c>
      <c r="U139" s="15">
        <v>-1.8462488166750301E-3</v>
      </c>
      <c r="V139" s="15">
        <v>-2.5857293600990302E-3</v>
      </c>
      <c r="W139" s="15">
        <v>-1.8917342941749001E-3</v>
      </c>
      <c r="X139" s="34">
        <v>1.2297027004674299</v>
      </c>
      <c r="Y139" s="34">
        <v>1.23013967146909</v>
      </c>
      <c r="Z139" s="34">
        <v>1.22995834607513</v>
      </c>
      <c r="AA139" s="34">
        <v>1.2299320447629001</v>
      </c>
      <c r="AB139" s="33">
        <v>24.690551593544502</v>
      </c>
      <c r="AC139" s="33">
        <v>24.687512365008502</v>
      </c>
      <c r="AD139" s="33">
        <v>24.687416384736299</v>
      </c>
      <c r="AE139" s="15">
        <v>3.5528374602139502E-4</v>
      </c>
      <c r="AF139" s="15">
        <v>2.3218339350937901E-4</v>
      </c>
      <c r="AG139" s="15">
        <v>2.2829557940532699E-4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0</v>
      </c>
      <c r="AT139" s="12"/>
      <c r="AU139">
        <f t="shared" si="30"/>
        <v>0</v>
      </c>
      <c r="AV139">
        <f t="shared" si="31"/>
        <v>0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2.6620112459594556E-3</v>
      </c>
      <c r="BE139" s="29">
        <f t="shared" si="42"/>
        <v>0</v>
      </c>
      <c r="BF139" s="29">
        <f t="shared" si="43"/>
        <v>2.6620112459594556E-3</v>
      </c>
      <c r="BH139" s="29"/>
    </row>
    <row r="140" spans="1:60" x14ac:dyDescent="0.25">
      <c r="A140" s="1">
        <v>46226</v>
      </c>
      <c r="B140" s="33">
        <v>19.57</v>
      </c>
      <c r="C140" s="33">
        <v>24.16</v>
      </c>
      <c r="D140" s="15">
        <v>-1.02145054846445E-3</v>
      </c>
      <c r="E140" s="15">
        <v>-4.13821648777492E-4</v>
      </c>
      <c r="F140" s="33">
        <v>0</v>
      </c>
      <c r="G140" s="33">
        <v>0.48133999999999999</v>
      </c>
      <c r="H140" s="33">
        <v>0</v>
      </c>
      <c r="I140" s="33">
        <v>0.51178099999999904</v>
      </c>
      <c r="J140" s="33">
        <v>0.48133999999999999</v>
      </c>
      <c r="K140" s="33">
        <v>0.51178099999999904</v>
      </c>
      <c r="L140" s="33">
        <v>20.05134</v>
      </c>
      <c r="M140" s="33">
        <v>24.671780999999999</v>
      </c>
      <c r="N140" s="34">
        <v>1.23454266734798</v>
      </c>
      <c r="O140" s="34">
        <v>1.23151696447737</v>
      </c>
      <c r="P140" s="34">
        <v>1.23155269831948</v>
      </c>
      <c r="Q140" s="34">
        <v>1.2314593210779601</v>
      </c>
      <c r="R140" s="33">
        <v>24.1007869948223</v>
      </c>
      <c r="S140" s="33">
        <v>24.0908824364585</v>
      </c>
      <c r="T140" s="33">
        <v>24.098691804877799</v>
      </c>
      <c r="U140" s="15">
        <v>-2.4538777163621299E-3</v>
      </c>
      <c r="V140" s="15">
        <v>-2.8649262905309598E-3</v>
      </c>
      <c r="W140" s="15">
        <v>-2.5408159986009199E-3</v>
      </c>
      <c r="X140" s="34">
        <v>1.2304305348171201</v>
      </c>
      <c r="Y140" s="34">
        <v>1.23013967146909</v>
      </c>
      <c r="Z140" s="34">
        <v>1.2300625658105</v>
      </c>
      <c r="AA140" s="34">
        <v>1.2299784817652799</v>
      </c>
      <c r="AB140" s="33">
        <v>24.6659488001151</v>
      </c>
      <c r="AC140" s="33">
        <v>24.662312982990102</v>
      </c>
      <c r="AD140" s="33">
        <v>24.661785606436101</v>
      </c>
      <c r="AE140" s="15">
        <v>-2.3641946784350301E-4</v>
      </c>
      <c r="AF140" s="15">
        <v>-3.8383261398596702E-4</v>
      </c>
      <c r="AG140" s="15">
        <v>-4.0521674746673702E-4</v>
      </c>
      <c r="AI140" s="12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0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2.6620112459594556E-3</v>
      </c>
      <c r="BE140" s="29">
        <f t="shared" si="42"/>
        <v>0</v>
      </c>
      <c r="BF140" s="29">
        <f t="shared" si="43"/>
        <v>2.6620112459594556E-3</v>
      </c>
      <c r="BH140" s="29"/>
    </row>
    <row r="141" spans="1:60" x14ac:dyDescent="0.25">
      <c r="A141" s="1">
        <v>46227</v>
      </c>
      <c r="B141" s="33">
        <v>19.57</v>
      </c>
      <c r="C141" s="33">
        <v>24.18</v>
      </c>
      <c r="D141" s="15">
        <v>0</v>
      </c>
      <c r="E141" s="15">
        <v>8.2747212003239201E-4</v>
      </c>
      <c r="F141" s="33">
        <v>0</v>
      </c>
      <c r="G141" s="33">
        <v>0.48133999999999999</v>
      </c>
      <c r="H141" s="33">
        <v>0</v>
      </c>
      <c r="I141" s="33">
        <v>0.51178099999999904</v>
      </c>
      <c r="J141" s="33">
        <v>0.48133999999999999</v>
      </c>
      <c r="K141" s="33">
        <v>0.51178099999999904</v>
      </c>
      <c r="L141" s="33">
        <v>20.05134</v>
      </c>
      <c r="M141" s="33">
        <v>24.691780999999999</v>
      </c>
      <c r="N141" s="34">
        <v>1.23556463975472</v>
      </c>
      <c r="O141" s="34">
        <v>1.23151696447737</v>
      </c>
      <c r="P141" s="34">
        <v>1.2321458221727499</v>
      </c>
      <c r="Q141" s="34">
        <v>1.2315343404190899</v>
      </c>
      <c r="R141" s="33">
        <v>24.1007869948223</v>
      </c>
      <c r="S141" s="33">
        <v>24.1014863061122</v>
      </c>
      <c r="T141" s="33">
        <v>24.099658913495801</v>
      </c>
      <c r="U141" s="15">
        <v>-3.28134983639448E-3</v>
      </c>
      <c r="V141" s="15">
        <v>-3.2523341389134501E-3</v>
      </c>
      <c r="W141" s="15">
        <v>-3.3281577571679802E-3</v>
      </c>
      <c r="X141" s="34">
        <v>1.2314279743897401</v>
      </c>
      <c r="Y141" s="34">
        <v>1.23013967146909</v>
      </c>
      <c r="Z141" s="34">
        <v>1.2302166593401</v>
      </c>
      <c r="AA141" s="34">
        <v>1.2300498183033799</v>
      </c>
      <c r="AB141" s="33">
        <v>24.6659488001151</v>
      </c>
      <c r="AC141" s="33">
        <v>24.6644027283388</v>
      </c>
      <c r="AD141" s="33">
        <v>24.662716730559499</v>
      </c>
      <c r="AE141" s="15">
        <v>-1.0467338083828099E-3</v>
      </c>
      <c r="AF141" s="15">
        <v>-1.10941618257923E-3</v>
      </c>
      <c r="AG141" s="15">
        <v>-1.1777760543269099E-3</v>
      </c>
      <c r="AI141" s="12"/>
      <c r="AJ141">
        <f t="shared" si="26"/>
        <v>1</v>
      </c>
      <c r="AK141">
        <f t="shared" si="27"/>
        <v>0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0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2.6620112459594556E-3</v>
      </c>
      <c r="BE141" s="29">
        <f t="shared" si="42"/>
        <v>0</v>
      </c>
      <c r="BF141" s="29">
        <f t="shared" si="43"/>
        <v>2.6620112459594556E-3</v>
      </c>
      <c r="BH141" s="29"/>
    </row>
    <row r="142" spans="1:60" x14ac:dyDescent="0.25">
      <c r="A142" s="1">
        <v>46230</v>
      </c>
      <c r="B142" s="33">
        <v>19.59</v>
      </c>
      <c r="C142" s="33">
        <v>24.17</v>
      </c>
      <c r="D142" s="15">
        <v>1.0214505484645599E-3</v>
      </c>
      <c r="E142" s="15">
        <v>-4.1365047125491898E-4</v>
      </c>
      <c r="F142" s="33">
        <v>0</v>
      </c>
      <c r="G142" s="33">
        <v>0.48133999999999999</v>
      </c>
      <c r="H142" s="33">
        <v>0</v>
      </c>
      <c r="I142" s="33">
        <v>0.51178099999999904</v>
      </c>
      <c r="J142" s="33">
        <v>0.48133999999999999</v>
      </c>
      <c r="K142" s="33">
        <v>0.51178099999999904</v>
      </c>
      <c r="L142" s="33">
        <v>20.071339999999999</v>
      </c>
      <c r="M142" s="33">
        <v>24.681781000000001</v>
      </c>
      <c r="N142" s="34">
        <v>1.2337927514037701</v>
      </c>
      <c r="O142" s="34">
        <v>1.23151696447737</v>
      </c>
      <c r="P142" s="34">
        <v>1.23261267368787</v>
      </c>
      <c r="Q142" s="34">
        <v>1.2315012460830601</v>
      </c>
      <c r="R142" s="33">
        <v>24.125417334111798</v>
      </c>
      <c r="S142" s="33">
        <v>24.137736656364201</v>
      </c>
      <c r="T142" s="33">
        <v>24.1257577288101</v>
      </c>
      <c r="U142" s="15">
        <v>-1.8462488166750301E-3</v>
      </c>
      <c r="V142" s="15">
        <v>-1.3357424986505601E-3</v>
      </c>
      <c r="W142" s="15">
        <v>-1.8321395354895199E-3</v>
      </c>
      <c r="X142" s="34">
        <v>1.2297027004674299</v>
      </c>
      <c r="Y142" s="34">
        <v>1.23013967146909</v>
      </c>
      <c r="Z142" s="34">
        <v>1.2302480956405</v>
      </c>
      <c r="AA142" s="34">
        <v>1.23001567199437</v>
      </c>
      <c r="AB142" s="33">
        <v>24.690551593544502</v>
      </c>
      <c r="AC142" s="33">
        <v>24.692096843279401</v>
      </c>
      <c r="AD142" s="33">
        <v>24.688748120105501</v>
      </c>
      <c r="AE142" s="15">
        <v>3.5528374602139502E-4</v>
      </c>
      <c r="AF142" s="15">
        <v>4.1786644599089902E-4</v>
      </c>
      <c r="AG142" s="15">
        <v>2.82238018346819E-4</v>
      </c>
      <c r="AI142" s="12"/>
      <c r="AJ142">
        <f t="shared" si="26"/>
        <v>0</v>
      </c>
      <c r="AK142">
        <f t="shared" si="27"/>
        <v>1</v>
      </c>
      <c r="AL142">
        <f t="shared" si="34"/>
        <v>1</v>
      </c>
      <c r="AM142">
        <f t="shared" si="24"/>
        <v>1</v>
      </c>
      <c r="AN142">
        <f t="shared" si="35"/>
        <v>1</v>
      </c>
      <c r="AO142" s="28">
        <f t="shared" si="28"/>
        <v>1.0214505484645599E-3</v>
      </c>
      <c r="AP142" s="28">
        <f t="shared" si="29"/>
        <v>4.1365047125491898E-4</v>
      </c>
      <c r="AQ142" s="28">
        <f t="shared" si="36"/>
        <v>1.4351010197194789E-3</v>
      </c>
      <c r="AR142" s="29">
        <f t="shared" si="37"/>
        <v>1.4351010197194789E-3</v>
      </c>
      <c r="AT142" s="12"/>
      <c r="AU142">
        <f t="shared" si="30"/>
        <v>0</v>
      </c>
      <c r="AV142">
        <f t="shared" si="31"/>
        <v>0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2.6620112459594556E-3</v>
      </c>
      <c r="BE142" s="29">
        <f t="shared" si="42"/>
        <v>1.4351010197194789E-3</v>
      </c>
      <c r="BF142" s="29">
        <f t="shared" si="43"/>
        <v>4.0971122656789346E-3</v>
      </c>
      <c r="BH142" s="29"/>
    </row>
    <row r="143" spans="1:60" x14ac:dyDescent="0.25">
      <c r="A143" s="1">
        <v>46231</v>
      </c>
      <c r="B143" s="33">
        <v>19.59</v>
      </c>
      <c r="C143" s="33">
        <v>24.19</v>
      </c>
      <c r="D143" s="15">
        <v>0</v>
      </c>
      <c r="E143" s="15">
        <v>8.2712990654411496E-4</v>
      </c>
      <c r="F143" s="33">
        <v>0</v>
      </c>
      <c r="G143" s="33">
        <v>0.48133999999999999</v>
      </c>
      <c r="H143" s="33">
        <v>0</v>
      </c>
      <c r="I143" s="33">
        <v>0.51178099999999904</v>
      </c>
      <c r="J143" s="33">
        <v>0.48133999999999999</v>
      </c>
      <c r="K143" s="33">
        <v>0.51178099999999904</v>
      </c>
      <c r="L143" s="33">
        <v>20.071339999999999</v>
      </c>
      <c r="M143" s="33">
        <v>24.701781</v>
      </c>
      <c r="N143" s="34">
        <v>1.2348136804492</v>
      </c>
      <c r="O143" s="34">
        <v>1.23151696447737</v>
      </c>
      <c r="P143" s="34">
        <v>1.2331307016105999</v>
      </c>
      <c r="Q143" s="34">
        <v>1.2315191981993101</v>
      </c>
      <c r="R143" s="33">
        <v>24.125417334111798</v>
      </c>
      <c r="S143" s="33">
        <v>24.146882277545501</v>
      </c>
      <c r="T143" s="33">
        <v>24.125109410767301</v>
      </c>
      <c r="U143" s="15">
        <v>-2.6733787232193001E-3</v>
      </c>
      <c r="V143" s="15">
        <v>-1.7840510955286399E-3</v>
      </c>
      <c r="W143" s="15">
        <v>-2.68614224583117E-3</v>
      </c>
      <c r="X143" s="34">
        <v>1.23069914614569</v>
      </c>
      <c r="Y143" s="34">
        <v>1.23013967146909</v>
      </c>
      <c r="Z143" s="34">
        <v>1.2303293063456999</v>
      </c>
      <c r="AA143" s="34">
        <v>1.2300313479692699</v>
      </c>
      <c r="AB143" s="33">
        <v>24.690551593544502</v>
      </c>
      <c r="AC143" s="33">
        <v>24.692727811953102</v>
      </c>
      <c r="AD143" s="33">
        <v>24.6880627579276</v>
      </c>
      <c r="AE143" s="15">
        <v>-4.5470242279576798E-4</v>
      </c>
      <c r="AF143" s="15">
        <v>-3.6656658264003699E-4</v>
      </c>
      <c r="AG143" s="15">
        <v>-5.5550863826940599E-4</v>
      </c>
      <c r="AI143" s="12"/>
      <c r="AJ143">
        <f t="shared" si="26"/>
        <v>0</v>
      </c>
      <c r="AK143">
        <f t="shared" si="27"/>
        <v>0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1.4351010197194789E-3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2.6620112459594556E-3</v>
      </c>
      <c r="BE143" s="29">
        <f t="shared" si="42"/>
        <v>0</v>
      </c>
      <c r="BF143" s="29">
        <f t="shared" si="43"/>
        <v>4.0971122656789346E-3</v>
      </c>
      <c r="BH143" s="29"/>
    </row>
    <row r="144" spans="1:60" x14ac:dyDescent="0.25">
      <c r="A144" s="1">
        <v>46232</v>
      </c>
      <c r="B144" s="33">
        <v>19.59</v>
      </c>
      <c r="C144" s="33">
        <v>24.19</v>
      </c>
      <c r="D144" s="15">
        <v>0</v>
      </c>
      <c r="E144" s="15">
        <v>0</v>
      </c>
      <c r="F144" s="33">
        <v>0</v>
      </c>
      <c r="G144" s="33">
        <v>0.48133999999999999</v>
      </c>
      <c r="H144" s="33">
        <v>0</v>
      </c>
      <c r="I144" s="33">
        <v>0.51178099999999904</v>
      </c>
      <c r="J144" s="33">
        <v>0.48133999999999999</v>
      </c>
      <c r="K144" s="33">
        <v>0.51178099999999904</v>
      </c>
      <c r="L144" s="33">
        <v>20.071339999999999</v>
      </c>
      <c r="M144" s="33">
        <v>24.701781</v>
      </c>
      <c r="N144" s="34">
        <v>1.2348136804492</v>
      </c>
      <c r="O144" s="34">
        <v>1.23151696447737</v>
      </c>
      <c r="P144" s="34">
        <v>1.2335978130363701</v>
      </c>
      <c r="Q144" s="34">
        <v>1.2315371503155501</v>
      </c>
      <c r="R144" s="33">
        <v>24.125417334111798</v>
      </c>
      <c r="S144" s="33">
        <v>24.157030444551602</v>
      </c>
      <c r="T144" s="33">
        <v>24.1254610927244</v>
      </c>
      <c r="U144" s="15">
        <v>-2.6733787232193001E-3</v>
      </c>
      <c r="V144" s="15">
        <v>-1.3638711728877399E-3</v>
      </c>
      <c r="W144" s="15">
        <v>-2.6715649277386198E-3</v>
      </c>
      <c r="X144" s="34">
        <v>1.23069914614569</v>
      </c>
      <c r="Y144" s="34">
        <v>1.23013967146909</v>
      </c>
      <c r="Z144" s="34">
        <v>1.2303606468878701</v>
      </c>
      <c r="AA144" s="34">
        <v>1.2300470239441801</v>
      </c>
      <c r="AB144" s="33">
        <v>24.690551593544502</v>
      </c>
      <c r="AC144" s="33">
        <v>24.694357819628799</v>
      </c>
      <c r="AD144" s="33">
        <v>24.688377395749701</v>
      </c>
      <c r="AE144" s="15">
        <v>-4.5470242279576798E-4</v>
      </c>
      <c r="AF144" s="15">
        <v>-3.0055711253615798E-4</v>
      </c>
      <c r="AG144" s="15">
        <v>-5.42764186822317E-4</v>
      </c>
      <c r="AI144" s="12"/>
      <c r="AJ144">
        <f t="shared" si="26"/>
        <v>0</v>
      </c>
      <c r="AK144">
        <f t="shared" si="27"/>
        <v>0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1.4351010197194789E-3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2.6620112459594556E-3</v>
      </c>
      <c r="BE144" s="29">
        <f t="shared" si="42"/>
        <v>0</v>
      </c>
      <c r="BF144" s="29">
        <f t="shared" si="43"/>
        <v>4.0971122656789346E-3</v>
      </c>
      <c r="BH144" s="29"/>
    </row>
    <row r="145" spans="1:60" x14ac:dyDescent="0.25">
      <c r="A145" s="1">
        <v>46233</v>
      </c>
      <c r="B145" s="33">
        <v>19.61</v>
      </c>
      <c r="C145" s="33">
        <v>24.19</v>
      </c>
      <c r="D145" s="15">
        <v>1.02040825180545E-3</v>
      </c>
      <c r="E145" s="15">
        <v>0</v>
      </c>
      <c r="F145" s="33">
        <v>0</v>
      </c>
      <c r="G145" s="33">
        <v>0.48133999999999999</v>
      </c>
      <c r="H145" s="33">
        <v>0</v>
      </c>
      <c r="I145" s="33">
        <v>0.51178099999999904</v>
      </c>
      <c r="J145" s="33">
        <v>0.48133999999999999</v>
      </c>
      <c r="K145" s="33">
        <v>0.51178099999999904</v>
      </c>
      <c r="L145" s="33">
        <v>20.091339999999999</v>
      </c>
      <c r="M145" s="33">
        <v>24.701781</v>
      </c>
      <c r="N145" s="34">
        <v>1.2335543090259999</v>
      </c>
      <c r="O145" s="34">
        <v>1.23151696447737</v>
      </c>
      <c r="P145" s="34">
        <v>1.2338880708228801</v>
      </c>
      <c r="Q145" s="34">
        <v>1.2317469758585899</v>
      </c>
      <c r="R145" s="33">
        <v>24.150047673401399</v>
      </c>
      <c r="S145" s="33">
        <v>24.1908531136433</v>
      </c>
      <c r="T145" s="33">
        <v>24.150443517687901</v>
      </c>
      <c r="U145" s="15">
        <v>-1.65297047141373E-3</v>
      </c>
      <c r="V145" s="15">
        <v>3.5266581241344E-5</v>
      </c>
      <c r="W145" s="15">
        <v>-1.6365795703355301E-3</v>
      </c>
      <c r="X145" s="34">
        <v>1.2294740420499499</v>
      </c>
      <c r="Y145" s="34">
        <v>1.23013967146909</v>
      </c>
      <c r="Z145" s="34">
        <v>1.23021960685743</v>
      </c>
      <c r="AA145" s="34">
        <v>1.2300398581184</v>
      </c>
      <c r="AB145" s="33">
        <v>24.7151543869739</v>
      </c>
      <c r="AC145" s="33">
        <v>24.719594079244199</v>
      </c>
      <c r="AD145" s="33">
        <v>24.713292974050599</v>
      </c>
      <c r="AE145" s="15">
        <v>5.4124713302044602E-4</v>
      </c>
      <c r="AF145" s="15">
        <v>7.2086541449105596E-4</v>
      </c>
      <c r="AG145" s="15">
        <v>4.6592965802171401E-4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1.4351010197194789E-3</v>
      </c>
      <c r="AT145" s="12"/>
      <c r="AU145">
        <f t="shared" si="30"/>
        <v>0</v>
      </c>
      <c r="AV145">
        <f t="shared" si="31"/>
        <v>0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2.6620112459594556E-3</v>
      </c>
      <c r="BE145" s="29">
        <f t="shared" si="42"/>
        <v>0</v>
      </c>
      <c r="BF145" s="29">
        <f t="shared" si="43"/>
        <v>4.0971122656789346E-3</v>
      </c>
      <c r="BH145" s="29"/>
    </row>
    <row r="146" spans="1:60" x14ac:dyDescent="0.25">
      <c r="A146" s="1">
        <v>46234</v>
      </c>
      <c r="B146" s="33">
        <v>19.61</v>
      </c>
      <c r="C146" s="33">
        <v>24.2</v>
      </c>
      <c r="D146" s="15">
        <v>0</v>
      </c>
      <c r="E146" s="15">
        <v>4.13308540704658E-4</v>
      </c>
      <c r="F146" s="33">
        <v>0</v>
      </c>
      <c r="G146" s="33">
        <v>0.48133999999999999</v>
      </c>
      <c r="H146" s="33">
        <v>0</v>
      </c>
      <c r="I146" s="33">
        <v>0.51178099999999904</v>
      </c>
      <c r="J146" s="33">
        <v>0.48133999999999999</v>
      </c>
      <c r="K146" s="33">
        <v>0.51178099999999904</v>
      </c>
      <c r="L146" s="33">
        <v>20.091339999999999</v>
      </c>
      <c r="M146" s="33">
        <v>24.711780999999998</v>
      </c>
      <c r="N146" s="34">
        <v>1.2340642529321699</v>
      </c>
      <c r="O146" s="34">
        <v>1.23151696447737</v>
      </c>
      <c r="P146" s="34">
        <v>1.23435451646198</v>
      </c>
      <c r="Q146" s="34">
        <v>1.23196266940179</v>
      </c>
      <c r="R146" s="33">
        <v>24.150047673401399</v>
      </c>
      <c r="S146" s="33">
        <v>24.196545068836802</v>
      </c>
      <c r="T146" s="33">
        <v>24.154558196587001</v>
      </c>
      <c r="U146" s="15">
        <v>-2.06627901211852E-3</v>
      </c>
      <c r="V146" s="15">
        <v>-1.42775942544326E-4</v>
      </c>
      <c r="W146" s="15">
        <v>-1.8795256739008101E-3</v>
      </c>
      <c r="X146" s="34">
        <v>1.2299717689312899</v>
      </c>
      <c r="Y146" s="34">
        <v>1.23013967146909</v>
      </c>
      <c r="Z146" s="34">
        <v>1.23025098600275</v>
      </c>
      <c r="AA146" s="34">
        <v>1.2300383594981099</v>
      </c>
      <c r="AB146" s="33">
        <v>24.7151543869739</v>
      </c>
      <c r="AC146" s="33">
        <v>24.716760396039099</v>
      </c>
      <c r="AD146" s="33">
        <v>24.7131490030085</v>
      </c>
      <c r="AE146" s="15">
        <v>1.3649994492997001E-4</v>
      </c>
      <c r="AF146" s="15">
        <v>2.0147857554839001E-4</v>
      </c>
      <c r="AG146" s="15">
        <v>5.5356801064534798E-5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1.4351010197194789E-3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2.6620112459594556E-3</v>
      </c>
      <c r="BE146" s="29">
        <f t="shared" si="42"/>
        <v>0</v>
      </c>
      <c r="BF146" s="29">
        <f t="shared" si="43"/>
        <v>4.0971122656789346E-3</v>
      </c>
      <c r="BH146" s="29"/>
    </row>
    <row r="147" spans="1:60" x14ac:dyDescent="0.25">
      <c r="A147" s="1">
        <v>46237</v>
      </c>
      <c r="B147" s="33">
        <v>19.62</v>
      </c>
      <c r="C147" s="33">
        <v>24.14</v>
      </c>
      <c r="D147" s="15">
        <v>5.0981392896222097E-4</v>
      </c>
      <c r="E147" s="15">
        <v>-2.4824174932551899E-3</v>
      </c>
      <c r="F147" s="33">
        <v>0</v>
      </c>
      <c r="G147" s="33">
        <v>0.48133999999999999</v>
      </c>
      <c r="H147" s="33">
        <v>8.4954000000000002E-2</v>
      </c>
      <c r="I147" s="33">
        <v>0.59673499999999902</v>
      </c>
      <c r="J147" s="33">
        <v>0.48133999999999999</v>
      </c>
      <c r="K147" s="33">
        <v>0.59673499999999902</v>
      </c>
      <c r="L147" s="33">
        <v>20.10134</v>
      </c>
      <c r="M147" s="33">
        <v>24.736734999999999</v>
      </c>
      <c r="N147" s="34">
        <v>1.23037716615698</v>
      </c>
      <c r="O147" s="34">
        <v>1.23151696447737</v>
      </c>
      <c r="P147" s="34">
        <v>1.23396191148503</v>
      </c>
      <c r="Q147" s="34">
        <v>1.23202531589701</v>
      </c>
      <c r="R147" s="33">
        <v>24.1623628430461</v>
      </c>
      <c r="S147" s="33">
        <v>24.218035612984099</v>
      </c>
      <c r="T147" s="33">
        <v>24.1711075736631</v>
      </c>
      <c r="U147" s="15">
        <v>9.2595241009886802E-4</v>
      </c>
      <c r="V147" s="15">
        <v>3.2274131788502598E-3</v>
      </c>
      <c r="W147" s="15">
        <v>1.2878023098465701E-3</v>
      </c>
      <c r="X147" s="34">
        <v>1.23060129324711</v>
      </c>
      <c r="Y147" s="34">
        <v>1.23013967146909</v>
      </c>
      <c r="Z147" s="34">
        <v>1.2302910229968</v>
      </c>
      <c r="AA147" s="34">
        <v>1.2300990072872899</v>
      </c>
      <c r="AB147" s="33">
        <v>24.727455783688601</v>
      </c>
      <c r="AC147" s="33">
        <v>24.729693354976501</v>
      </c>
      <c r="AD147" s="33">
        <v>24.725419277313701</v>
      </c>
      <c r="AE147" s="15">
        <v>-3.7518925401145499E-4</v>
      </c>
      <c r="AF147" s="15">
        <v>-2.8470400250031001E-4</v>
      </c>
      <c r="AG147" s="15">
        <v>-4.5755074961840699E-4</v>
      </c>
      <c r="AI147" s="12"/>
      <c r="AJ147">
        <f t="shared" si="26"/>
        <v>0</v>
      </c>
      <c r="AK147">
        <f t="shared" si="27"/>
        <v>0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1.4351010197194789E-3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2.6620112459594556E-3</v>
      </c>
      <c r="BE147" s="29">
        <f t="shared" si="42"/>
        <v>0</v>
      </c>
      <c r="BF147" s="29">
        <f t="shared" si="43"/>
        <v>4.0971122656789346E-3</v>
      </c>
      <c r="BH147" s="29"/>
    </row>
    <row r="148" spans="1:60" x14ac:dyDescent="0.25">
      <c r="A148" s="1">
        <v>46238</v>
      </c>
      <c r="B148" s="33">
        <v>19.62</v>
      </c>
      <c r="C148" s="33">
        <v>24.13</v>
      </c>
      <c r="D148" s="15">
        <v>0</v>
      </c>
      <c r="E148" s="15">
        <v>-4.1433603244512901E-4</v>
      </c>
      <c r="F148" s="33">
        <v>0</v>
      </c>
      <c r="G148" s="33">
        <v>0.48133999999999999</v>
      </c>
      <c r="H148" s="33">
        <v>0</v>
      </c>
      <c r="I148" s="33">
        <v>0.59673499999999902</v>
      </c>
      <c r="J148" s="33">
        <v>0.48133999999999999</v>
      </c>
      <c r="K148" s="33">
        <v>0.59673499999999902</v>
      </c>
      <c r="L148" s="33">
        <v>20.10134</v>
      </c>
      <c r="M148" s="33">
        <v>24.726734999999898</v>
      </c>
      <c r="N148" s="34">
        <v>1.22986748216106</v>
      </c>
      <c r="O148" s="34">
        <v>1.23151696447737</v>
      </c>
      <c r="P148" s="34">
        <v>1.23351833810849</v>
      </c>
      <c r="Q148" s="34">
        <v>1.2320624781924301</v>
      </c>
      <c r="R148" s="33">
        <v>24.1623628430461</v>
      </c>
      <c r="S148" s="33">
        <v>24.210332703336299</v>
      </c>
      <c r="T148" s="33">
        <v>24.1723366978994</v>
      </c>
      <c r="U148" s="15">
        <v>1.3402884425440999E-3</v>
      </c>
      <c r="V148" s="15">
        <v>3.3236336116771602E-3</v>
      </c>
      <c r="W148" s="15">
        <v>1.75298801819056E-3</v>
      </c>
      <c r="X148" s="34">
        <v>1.2301038139745899</v>
      </c>
      <c r="Y148" s="34">
        <v>1.23013967146909</v>
      </c>
      <c r="Z148" s="34">
        <v>1.2302813120636</v>
      </c>
      <c r="AA148" s="34">
        <v>1.23013478111285</v>
      </c>
      <c r="AB148" s="33">
        <v>24.727455783688601</v>
      </c>
      <c r="AC148" s="33">
        <v>24.7304981522066</v>
      </c>
      <c r="AD148" s="33">
        <v>24.726638379144401</v>
      </c>
      <c r="AE148" s="15">
        <v>2.91495494021622E-5</v>
      </c>
      <c r="AF148" s="15">
        <v>1.52178032374071E-4</v>
      </c>
      <c r="AG148" s="15">
        <v>-3.90755368087791E-6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1.4351010197194789E-3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2.6620112459594556E-3</v>
      </c>
      <c r="BE148" s="29">
        <f t="shared" si="42"/>
        <v>0</v>
      </c>
      <c r="BF148" s="29">
        <f t="shared" si="43"/>
        <v>4.0971122656789346E-3</v>
      </c>
      <c r="BH148" s="29"/>
    </row>
    <row r="149" spans="1:60" x14ac:dyDescent="0.25">
      <c r="A149" s="1">
        <v>46239</v>
      </c>
      <c r="B149" s="33">
        <v>19.63</v>
      </c>
      <c r="C149" s="33">
        <v>24.14</v>
      </c>
      <c r="D149" s="15">
        <v>5.0955415115258205E-4</v>
      </c>
      <c r="E149" s="15">
        <v>4.1433603244518202E-4</v>
      </c>
      <c r="F149" s="33">
        <v>0</v>
      </c>
      <c r="G149" s="33">
        <v>0.48133999999999999</v>
      </c>
      <c r="H149" s="33">
        <v>0</v>
      </c>
      <c r="I149" s="33">
        <v>0.59673499999999902</v>
      </c>
      <c r="J149" s="33">
        <v>0.48133999999999999</v>
      </c>
      <c r="K149" s="33">
        <v>0.59673499999999902</v>
      </c>
      <c r="L149" s="33">
        <v>20.111339999999998</v>
      </c>
      <c r="M149" s="33">
        <v>24.736734999999999</v>
      </c>
      <c r="N149" s="34">
        <v>1.22975038206826</v>
      </c>
      <c r="O149" s="34">
        <v>1.23151696447737</v>
      </c>
      <c r="P149" s="34">
        <v>1.23311410117493</v>
      </c>
      <c r="Q149" s="34">
        <v>1.2320624781924301</v>
      </c>
      <c r="R149" s="33">
        <v>24.174678012690901</v>
      </c>
      <c r="S149" s="33">
        <v>24.213964977069601</v>
      </c>
      <c r="T149" s="33">
        <v>24.185386446917502</v>
      </c>
      <c r="U149" s="15">
        <v>1.43550656125155E-3</v>
      </c>
      <c r="V149" s="15">
        <v>3.05931622334685E-3</v>
      </c>
      <c r="W149" s="15">
        <v>1.8783692629989199E-3</v>
      </c>
      <c r="X149" s="34">
        <v>1.2299893990156701</v>
      </c>
      <c r="Y149" s="34">
        <v>1.23013967146909</v>
      </c>
      <c r="Z149" s="34">
        <v>1.23030998191843</v>
      </c>
      <c r="AA149" s="34">
        <v>1.23013416399678</v>
      </c>
      <c r="AB149" s="33">
        <v>24.739757180403299</v>
      </c>
      <c r="AC149" s="33">
        <v>24.7426057625573</v>
      </c>
      <c r="AD149" s="33">
        <v>24.739658828786101</v>
      </c>
      <c r="AE149" s="15">
        <v>1.2216631672562801E-4</v>
      </c>
      <c r="AF149" s="15">
        <v>2.3730156846882199E-4</v>
      </c>
      <c r="AG149" s="15">
        <v>1.18190860866481E-4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1.4351010197194789E-3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2.6620112459594556E-3</v>
      </c>
      <c r="BE149" s="29">
        <f t="shared" si="42"/>
        <v>0</v>
      </c>
      <c r="BF149" s="29">
        <f t="shared" si="43"/>
        <v>4.0971122656789346E-3</v>
      </c>
      <c r="BH149" s="29"/>
    </row>
    <row r="150" spans="1:60" x14ac:dyDescent="0.25">
      <c r="A150" s="1">
        <v>46240</v>
      </c>
      <c r="B150" s="33">
        <v>19.62</v>
      </c>
      <c r="C150" s="33">
        <v>24.14</v>
      </c>
      <c r="D150" s="15">
        <v>-5.0955415115256297E-4</v>
      </c>
      <c r="E150" s="15">
        <v>0</v>
      </c>
      <c r="F150" s="33">
        <v>0</v>
      </c>
      <c r="G150" s="33">
        <v>0.48133999999999999</v>
      </c>
      <c r="H150" s="33">
        <v>0</v>
      </c>
      <c r="I150" s="33">
        <v>0.59673499999999902</v>
      </c>
      <c r="J150" s="33">
        <v>0.48133999999999999</v>
      </c>
      <c r="K150" s="33">
        <v>0.59673499999999902</v>
      </c>
      <c r="L150" s="33">
        <v>20.10134</v>
      </c>
      <c r="M150" s="33">
        <v>24.736734999999999</v>
      </c>
      <c r="N150" s="34">
        <v>1.23037716615698</v>
      </c>
      <c r="O150" s="34">
        <v>1.23151696447737</v>
      </c>
      <c r="P150" s="34">
        <v>1.23269755105583</v>
      </c>
      <c r="Q150" s="34">
        <v>1.2321251246876599</v>
      </c>
      <c r="R150" s="33">
        <v>24.1623628430461</v>
      </c>
      <c r="S150" s="33">
        <v>24.193698665052299</v>
      </c>
      <c r="T150" s="33">
        <v>24.173065822135602</v>
      </c>
      <c r="U150" s="15">
        <v>9.2595241009886802E-4</v>
      </c>
      <c r="V150" s="15">
        <v>2.2219978453621998E-3</v>
      </c>
      <c r="W150" s="15">
        <v>1.3688151118465199E-3</v>
      </c>
      <c r="X150" s="34">
        <v>1.23060129324711</v>
      </c>
      <c r="Y150" s="34">
        <v>1.23013967146909</v>
      </c>
      <c r="Z150" s="34">
        <v>1.23032705776143</v>
      </c>
      <c r="AA150" s="34">
        <v>1.23019481178596</v>
      </c>
      <c r="AB150" s="33">
        <v>24.727455783688601</v>
      </c>
      <c r="AC150" s="33">
        <v>24.730879251936202</v>
      </c>
      <c r="AD150" s="33">
        <v>24.7273450761151</v>
      </c>
      <c r="AE150" s="15">
        <v>-3.7518925401145499E-4</v>
      </c>
      <c r="AF150" s="15">
        <v>-2.36750778448591E-4</v>
      </c>
      <c r="AG150" s="15">
        <v>-3.7966637540769302E-4</v>
      </c>
      <c r="AI150" s="12"/>
      <c r="AJ150">
        <f t="shared" ref="AJ150:AJ176" si="46">IF($AG150&lt;AI$21,1,0)</f>
        <v>0</v>
      </c>
      <c r="AK150">
        <f t="shared" ref="AK150:AK176" si="47">IF($AG150&gt;AI$22,1,0)</f>
        <v>0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1.4351010197194789E-3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2.6620112459594556E-3</v>
      </c>
      <c r="BE150" s="29">
        <f t="shared" si="42"/>
        <v>0</v>
      </c>
      <c r="BF150" s="29">
        <f t="shared" si="43"/>
        <v>4.0971122656789346E-3</v>
      </c>
      <c r="BH150" s="29"/>
    </row>
    <row r="151" spans="1:60" x14ac:dyDescent="0.25">
      <c r="A151" s="1">
        <v>46241</v>
      </c>
      <c r="B151" s="33">
        <v>19.64</v>
      </c>
      <c r="C151" s="33">
        <v>24.16</v>
      </c>
      <c r="D151" s="15">
        <v>1.0188487891028401E-3</v>
      </c>
      <c r="E151" s="15">
        <v>8.2815739722863599E-4</v>
      </c>
      <c r="F151" s="33">
        <v>0</v>
      </c>
      <c r="G151" s="33">
        <v>0.48133999999999999</v>
      </c>
      <c r="H151" s="33">
        <v>0</v>
      </c>
      <c r="I151" s="33">
        <v>0.59673499999999902</v>
      </c>
      <c r="J151" s="33">
        <v>0.48133999999999999</v>
      </c>
      <c r="K151" s="33">
        <v>0.59673499999999902</v>
      </c>
      <c r="L151" s="33">
        <v>20.12134</v>
      </c>
      <c r="M151" s="33">
        <v>24.756734999999999</v>
      </c>
      <c r="N151" s="34">
        <v>1.23014256619144</v>
      </c>
      <c r="O151" s="34">
        <v>1.23151696447737</v>
      </c>
      <c r="P151" s="34">
        <v>1.2321553436995101</v>
      </c>
      <c r="Q151" s="34">
        <v>1.2321505829361299</v>
      </c>
      <c r="R151" s="33">
        <v>24.186993182335701</v>
      </c>
      <c r="S151" s="33">
        <v>24.210179902736598</v>
      </c>
      <c r="T151" s="33">
        <v>24.1989374488656</v>
      </c>
      <c r="U151" s="15">
        <v>1.116643801973E-3</v>
      </c>
      <c r="V151" s="15">
        <v>2.0748287824966499E-3</v>
      </c>
      <c r="W151" s="15">
        <v>1.61035206041595E-3</v>
      </c>
      <c r="X151" s="34">
        <v>1.23037208257501</v>
      </c>
      <c r="Y151" s="34">
        <v>1.23013967146909</v>
      </c>
      <c r="Z151" s="34">
        <v>1.23022146857996</v>
      </c>
      <c r="AA151" s="34">
        <v>1.2302190639600299</v>
      </c>
      <c r="AB151" s="33">
        <v>24.752058577118</v>
      </c>
      <c r="AC151" s="33">
        <v>24.7558290404174</v>
      </c>
      <c r="AD151" s="33">
        <v>24.753168074181399</v>
      </c>
      <c r="AE151" s="15">
        <v>-1.8891281964279399E-4</v>
      </c>
      <c r="AF151" s="15">
        <v>-3.6595139041414502E-5</v>
      </c>
      <c r="AG151" s="15">
        <v>-1.44089388312343E-4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1.4351010197194789E-3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2.6620112459594556E-3</v>
      </c>
      <c r="BE151" s="29">
        <f t="shared" ref="BE151:BE176" si="62">AQ151+BB151</f>
        <v>0</v>
      </c>
      <c r="BF151" s="29">
        <f t="shared" ref="BF151:BF176" si="63">BF150+BE151</f>
        <v>4.0971122656789346E-3</v>
      </c>
      <c r="BH151" s="29"/>
    </row>
    <row r="152" spans="1:60" x14ac:dyDescent="0.25">
      <c r="A152" s="1">
        <v>46244</v>
      </c>
      <c r="B152" s="33">
        <v>19.64</v>
      </c>
      <c r="C152" s="33">
        <v>24.15</v>
      </c>
      <c r="D152" s="15">
        <v>0</v>
      </c>
      <c r="E152" s="15">
        <v>-4.1399296803260299E-4</v>
      </c>
      <c r="F152" s="33">
        <v>0</v>
      </c>
      <c r="G152" s="33">
        <v>0.48133999999999999</v>
      </c>
      <c r="H152" s="33">
        <v>0</v>
      </c>
      <c r="I152" s="33">
        <v>0.59673499999999902</v>
      </c>
      <c r="J152" s="33">
        <v>0.48133999999999999</v>
      </c>
      <c r="K152" s="33">
        <v>0.59673499999999902</v>
      </c>
      <c r="L152" s="33">
        <v>20.12134</v>
      </c>
      <c r="M152" s="33">
        <v>24.746734999999902</v>
      </c>
      <c r="N152" s="34">
        <v>1.2296334012219901</v>
      </c>
      <c r="O152" s="34">
        <v>1.23151696447737</v>
      </c>
      <c r="P152" s="34">
        <v>1.23173940868133</v>
      </c>
      <c r="Q152" s="34">
        <v>1.2321760411845999</v>
      </c>
      <c r="R152" s="33">
        <v>24.186993182335701</v>
      </c>
      <c r="S152" s="33">
        <v>24.199530950258399</v>
      </c>
      <c r="T152" s="33">
        <v>24.199437448865599</v>
      </c>
      <c r="U152" s="15">
        <v>1.53063677000561E-3</v>
      </c>
      <c r="V152" s="15">
        <v>2.0488706554943302E-3</v>
      </c>
      <c r="W152" s="15">
        <v>2.04500687922651E-3</v>
      </c>
      <c r="X152" s="34">
        <v>1.2298750977817501</v>
      </c>
      <c r="Y152" s="34">
        <v>1.23013967146909</v>
      </c>
      <c r="Z152" s="34">
        <v>1.2302387083113899</v>
      </c>
      <c r="AA152" s="34">
        <v>1.2302434019759501</v>
      </c>
      <c r="AB152" s="33">
        <v>24.752058577118</v>
      </c>
      <c r="AC152" s="33">
        <v>24.7537044445966</v>
      </c>
      <c r="AD152" s="33">
        <v>24.753656060421498</v>
      </c>
      <c r="AE152" s="15">
        <v>2.15099268238171E-4</v>
      </c>
      <c r="AF152" s="15">
        <v>2.8159122306566997E-4</v>
      </c>
      <c r="AG152" s="15">
        <v>2.7963659754689401E-4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1.4351010197194789E-3</v>
      </c>
      <c r="AT152" s="12"/>
      <c r="AU152">
        <f t="shared" si="50"/>
        <v>0</v>
      </c>
      <c r="AV152">
        <f t="shared" si="51"/>
        <v>0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2.6620112459594556E-3</v>
      </c>
      <c r="BE152" s="29">
        <f t="shared" si="62"/>
        <v>0</v>
      </c>
      <c r="BF152" s="29">
        <f t="shared" si="63"/>
        <v>4.0971122656789346E-3</v>
      </c>
      <c r="BH152" s="29"/>
    </row>
    <row r="153" spans="1:60" x14ac:dyDescent="0.25">
      <c r="A153" s="1">
        <v>46245</v>
      </c>
      <c r="B153" s="33">
        <v>19.64</v>
      </c>
      <c r="C153" s="33">
        <v>24.16</v>
      </c>
      <c r="D153" s="15">
        <v>0</v>
      </c>
      <c r="E153" s="15">
        <v>4.1399296803251202E-4</v>
      </c>
      <c r="F153" s="33">
        <v>0</v>
      </c>
      <c r="G153" s="33">
        <v>0.48133999999999999</v>
      </c>
      <c r="H153" s="33">
        <v>0</v>
      </c>
      <c r="I153" s="33">
        <v>0.59673499999999902</v>
      </c>
      <c r="J153" s="33">
        <v>0.48133999999999999</v>
      </c>
      <c r="K153" s="33">
        <v>0.59673499999999902</v>
      </c>
      <c r="L153" s="33">
        <v>20.12134</v>
      </c>
      <c r="M153" s="33">
        <v>24.756734999999999</v>
      </c>
      <c r="N153" s="34">
        <v>1.23014256619144</v>
      </c>
      <c r="O153" s="34">
        <v>1.23151696447737</v>
      </c>
      <c r="P153" s="34">
        <v>1.2312722972555501</v>
      </c>
      <c r="Q153" s="34">
        <v>1.2322014994330699</v>
      </c>
      <c r="R153" s="33">
        <v>24.186993182335701</v>
      </c>
      <c r="S153" s="33">
        <v>24.191361986501299</v>
      </c>
      <c r="T153" s="33">
        <v>24.199937448865601</v>
      </c>
      <c r="U153" s="15">
        <v>1.116643801973E-3</v>
      </c>
      <c r="V153" s="15">
        <v>1.2972536702611399E-3</v>
      </c>
      <c r="W153" s="15">
        <v>1.65167533506878E-3</v>
      </c>
      <c r="X153" s="34">
        <v>1.23037208257501</v>
      </c>
      <c r="Y153" s="34">
        <v>1.23013967146909</v>
      </c>
      <c r="Z153" s="34">
        <v>1.2302060019543199</v>
      </c>
      <c r="AA153" s="34">
        <v>1.2302676541500099</v>
      </c>
      <c r="AB153" s="33">
        <v>24.752058577118</v>
      </c>
      <c r="AC153" s="33">
        <v>24.754051331094299</v>
      </c>
      <c r="AD153" s="33">
        <v>24.754145773914701</v>
      </c>
      <c r="AE153" s="15">
        <v>-1.8891281964279399E-4</v>
      </c>
      <c r="AF153" s="15">
        <v>-1.08407444403207E-4</v>
      </c>
      <c r="AG153" s="15">
        <v>-1.0459220466711501E-4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1.4351010197194789E-3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2.6620112459594556E-3</v>
      </c>
      <c r="BE153" s="29">
        <f t="shared" si="62"/>
        <v>0</v>
      </c>
      <c r="BF153" s="29">
        <f t="shared" si="63"/>
        <v>4.0971122656789346E-3</v>
      </c>
      <c r="BH153" s="29"/>
    </row>
    <row r="154" spans="1:60" x14ac:dyDescent="0.25">
      <c r="A154" s="1">
        <v>46246</v>
      </c>
      <c r="B154" s="33">
        <v>19.64</v>
      </c>
      <c r="C154" s="33">
        <v>24.16</v>
      </c>
      <c r="D154" s="15">
        <v>0</v>
      </c>
      <c r="E154" s="15">
        <v>0</v>
      </c>
      <c r="F154" s="33">
        <v>0</v>
      </c>
      <c r="G154" s="33">
        <v>0.48133999999999999</v>
      </c>
      <c r="H154" s="33">
        <v>0</v>
      </c>
      <c r="I154" s="33">
        <v>0.59673499999999902</v>
      </c>
      <c r="J154" s="33">
        <v>0.48133999999999999</v>
      </c>
      <c r="K154" s="33">
        <v>0.59673499999999902</v>
      </c>
      <c r="L154" s="33">
        <v>20.12134</v>
      </c>
      <c r="M154" s="33">
        <v>24.756734999999999</v>
      </c>
      <c r="N154" s="34">
        <v>1.23014256619144</v>
      </c>
      <c r="O154" s="34">
        <v>1.23151696447737</v>
      </c>
      <c r="P154" s="34">
        <v>1.2308051858297799</v>
      </c>
      <c r="Q154" s="34">
        <v>1.2322014994330699</v>
      </c>
      <c r="R154" s="33">
        <v>24.186993182335701</v>
      </c>
      <c r="S154" s="33">
        <v>24.1821879180991</v>
      </c>
      <c r="T154" s="33">
        <v>24.2004374488656</v>
      </c>
      <c r="U154" s="15">
        <v>1.116643801973E-3</v>
      </c>
      <c r="V154" s="15">
        <v>9.1795264603089098E-4</v>
      </c>
      <c r="W154" s="15">
        <v>1.67233633205806E-3</v>
      </c>
      <c r="X154" s="34">
        <v>1.23037208257501</v>
      </c>
      <c r="Y154" s="34">
        <v>1.23013967146909</v>
      </c>
      <c r="Z154" s="34">
        <v>1.23017329559725</v>
      </c>
      <c r="AA154" s="34">
        <v>1.23026697124256</v>
      </c>
      <c r="AB154" s="33">
        <v>24.752058577118</v>
      </c>
      <c r="AC154" s="33">
        <v>24.7533932353636</v>
      </c>
      <c r="AD154" s="33">
        <v>24.7546337601548</v>
      </c>
      <c r="AE154" s="15">
        <v>-1.8891281964279399E-4</v>
      </c>
      <c r="AF154" s="15">
        <v>-1.3499317253080301E-4</v>
      </c>
      <c r="AG154" s="15">
        <v>-8.4879085309013595E-5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1.4351010197194789E-3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2.6620112459594556E-3</v>
      </c>
      <c r="BE154" s="29">
        <f t="shared" si="62"/>
        <v>0</v>
      </c>
      <c r="BF154" s="29">
        <f t="shared" si="63"/>
        <v>4.0971122656789346E-3</v>
      </c>
      <c r="BH154" s="29"/>
    </row>
    <row r="155" spans="1:60" x14ac:dyDescent="0.25">
      <c r="A155" s="1">
        <v>46247</v>
      </c>
      <c r="B155" s="33">
        <v>19.64</v>
      </c>
      <c r="C155" s="33">
        <v>24.17</v>
      </c>
      <c r="D155" s="15">
        <v>0</v>
      </c>
      <c r="E155" s="15">
        <v>4.1382164877743302E-4</v>
      </c>
      <c r="F155" s="33">
        <v>0</v>
      </c>
      <c r="G155" s="33">
        <v>0.48133999999999999</v>
      </c>
      <c r="H155" s="33">
        <v>0</v>
      </c>
      <c r="I155" s="33">
        <v>0.59673499999999902</v>
      </c>
      <c r="J155" s="33">
        <v>0.48133999999999999</v>
      </c>
      <c r="K155" s="33">
        <v>0.59673499999999902</v>
      </c>
      <c r="L155" s="33">
        <v>20.12134</v>
      </c>
      <c r="M155" s="33">
        <v>24.766735000000001</v>
      </c>
      <c r="N155" s="34">
        <v>1.23065173116089</v>
      </c>
      <c r="O155" s="34">
        <v>1.23151696447737</v>
      </c>
      <c r="P155" s="34">
        <v>1.2305149280432599</v>
      </c>
      <c r="Q155" s="34">
        <v>1.2322014994330699</v>
      </c>
      <c r="R155" s="33">
        <v>24.186993182335701</v>
      </c>
      <c r="S155" s="33">
        <v>24.173013849696801</v>
      </c>
      <c r="T155" s="33">
        <v>24.2004374488656</v>
      </c>
      <c r="U155" s="15">
        <v>7.0282215319550595E-4</v>
      </c>
      <c r="V155" s="15">
        <v>1.2468604916383001E-4</v>
      </c>
      <c r="W155" s="15">
        <v>1.2585146832804501E-3</v>
      </c>
      <c r="X155" s="34">
        <v>1.2308690673682701</v>
      </c>
      <c r="Y155" s="34">
        <v>1.23013967146909</v>
      </c>
      <c r="Z155" s="34">
        <v>1.23031279812908</v>
      </c>
      <c r="AA155" s="34">
        <v>1.23026620249326</v>
      </c>
      <c r="AB155" s="33">
        <v>24.752058577118</v>
      </c>
      <c r="AC155" s="33">
        <v>24.752735139632801</v>
      </c>
      <c r="AD155" s="33">
        <v>24.7546200191418</v>
      </c>
      <c r="AE155" s="15">
        <v>-5.9276174767272096E-4</v>
      </c>
      <c r="AF155" s="15">
        <v>-5.6542853550827898E-4</v>
      </c>
      <c r="AG155" s="15">
        <v>-4.8928310201223197E-4</v>
      </c>
      <c r="AI155" s="12"/>
      <c r="AJ155">
        <f t="shared" si="46"/>
        <v>0</v>
      </c>
      <c r="AK155">
        <f t="shared" si="47"/>
        <v>0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1.4351010197194789E-3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2.6620112459594556E-3</v>
      </c>
      <c r="BE155" s="29">
        <f t="shared" si="62"/>
        <v>0</v>
      </c>
      <c r="BF155" s="29">
        <f t="shared" si="63"/>
        <v>4.0971122656789346E-3</v>
      </c>
      <c r="BH155" s="29"/>
    </row>
    <row r="156" spans="1:60" x14ac:dyDescent="0.25">
      <c r="A156" s="1">
        <v>46248</v>
      </c>
      <c r="B156" s="33">
        <v>19.66</v>
      </c>
      <c r="C156" s="33">
        <v>24.17</v>
      </c>
      <c r="D156" s="15">
        <v>1.01781179270062E-3</v>
      </c>
      <c r="E156" s="15">
        <v>0</v>
      </c>
      <c r="F156" s="33">
        <v>0</v>
      </c>
      <c r="G156" s="33">
        <v>0.48133999999999999</v>
      </c>
      <c r="H156" s="33">
        <v>0</v>
      </c>
      <c r="I156" s="33">
        <v>0.59673499999999902</v>
      </c>
      <c r="J156" s="33">
        <v>0.48133999999999999</v>
      </c>
      <c r="K156" s="33">
        <v>0.59673499999999902</v>
      </c>
      <c r="L156" s="33">
        <v>20.14134</v>
      </c>
      <c r="M156" s="33">
        <v>24.766735000000001</v>
      </c>
      <c r="N156" s="34">
        <v>1.2293997965412</v>
      </c>
      <c r="O156" s="34">
        <v>1.23151696447737</v>
      </c>
      <c r="P156" s="34">
        <v>1.23004848240417</v>
      </c>
      <c r="Q156" s="34">
        <v>1.2322014994330699</v>
      </c>
      <c r="R156" s="33">
        <v>24.211623521625199</v>
      </c>
      <c r="S156" s="33">
        <v>24.191923485330602</v>
      </c>
      <c r="T156" s="33">
        <v>24.2250814788543</v>
      </c>
      <c r="U156" s="15">
        <v>1.7206339458962E-3</v>
      </c>
      <c r="V156" s="15">
        <v>9.0664246797757502E-4</v>
      </c>
      <c r="W156" s="15">
        <v>2.2763264759811698E-3</v>
      </c>
      <c r="X156" s="34">
        <v>1.2296468358113199</v>
      </c>
      <c r="Y156" s="34">
        <v>1.23013967146909</v>
      </c>
      <c r="Z156" s="34">
        <v>1.2302803048170901</v>
      </c>
      <c r="AA156" s="34">
        <v>1.2302656454099199</v>
      </c>
      <c r="AB156" s="33">
        <v>24.776661370547401</v>
      </c>
      <c r="AC156" s="33">
        <v>24.780148373469299</v>
      </c>
      <c r="AD156" s="33">
        <v>24.779209874925598</v>
      </c>
      <c r="AE156" s="15">
        <v>4.0071417817172503E-4</v>
      </c>
      <c r="AF156" s="15">
        <v>5.4144167639810705E-4</v>
      </c>
      <c r="AG156" s="15">
        <v>5.0356795983044495E-4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1.4351010197194789E-3</v>
      </c>
      <c r="AT156" s="12"/>
      <c r="AU156">
        <f t="shared" si="50"/>
        <v>0</v>
      </c>
      <c r="AV156">
        <f t="shared" si="51"/>
        <v>0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2.6620112459594556E-3</v>
      </c>
      <c r="BE156" s="29">
        <f t="shared" si="62"/>
        <v>0</v>
      </c>
      <c r="BF156" s="29">
        <f t="shared" si="63"/>
        <v>4.0971122656789346E-3</v>
      </c>
      <c r="BH156" s="29"/>
    </row>
    <row r="157" spans="1:60" x14ac:dyDescent="0.25">
      <c r="A157" s="1">
        <v>46251</v>
      </c>
      <c r="B157" s="33">
        <v>19.649999999999999</v>
      </c>
      <c r="C157" s="33">
        <v>24.18</v>
      </c>
      <c r="D157" s="15">
        <v>-5.0877640375033195E-4</v>
      </c>
      <c r="E157" s="15">
        <v>4.13650471254907E-4</v>
      </c>
      <c r="F157" s="33">
        <v>0</v>
      </c>
      <c r="G157" s="33">
        <v>0.48133999999999999</v>
      </c>
      <c r="H157" s="33">
        <v>0</v>
      </c>
      <c r="I157" s="33">
        <v>0.59673499999999902</v>
      </c>
      <c r="J157" s="33">
        <v>0.48133999999999999</v>
      </c>
      <c r="K157" s="33">
        <v>0.59673499999999902</v>
      </c>
      <c r="L157" s="33">
        <v>20.131339999999899</v>
      </c>
      <c r="M157" s="33">
        <v>24.776734999999999</v>
      </c>
      <c r="N157" s="34">
        <v>1.23053435114503</v>
      </c>
      <c r="O157" s="34">
        <v>1.23151696447737</v>
      </c>
      <c r="P157" s="34">
        <v>1.2300642009029701</v>
      </c>
      <c r="Q157" s="34">
        <v>1.2320130561939999</v>
      </c>
      <c r="R157" s="33">
        <v>24.199308351980498</v>
      </c>
      <c r="S157" s="33">
        <v>24.170452679241901</v>
      </c>
      <c r="T157" s="33">
        <v>24.2127594638599</v>
      </c>
      <c r="U157" s="15">
        <v>7.98207070890789E-4</v>
      </c>
      <c r="V157" s="15">
        <v>-3.9492167510614699E-4</v>
      </c>
      <c r="W157" s="15">
        <v>1.3538996009758201E-3</v>
      </c>
      <c r="X157" s="34">
        <v>1.2307543859474801</v>
      </c>
      <c r="Y157" s="34">
        <v>1.23013967146909</v>
      </c>
      <c r="Z157" s="34">
        <v>1.23029561408712</v>
      </c>
      <c r="AA157" s="34">
        <v>1.23029331854196</v>
      </c>
      <c r="AB157" s="33">
        <v>24.7643599738327</v>
      </c>
      <c r="AC157" s="33">
        <v>24.767191111576501</v>
      </c>
      <c r="AD157" s="33">
        <v>24.766895998066499</v>
      </c>
      <c r="AE157" s="15">
        <v>-4.9958631036360504E-4</v>
      </c>
      <c r="AF157" s="15">
        <v>-3.8526977131586598E-4</v>
      </c>
      <c r="AG157" s="15">
        <v>-3.9718534409294699E-4</v>
      </c>
      <c r="AI157" s="12"/>
      <c r="AJ157">
        <f t="shared" si="46"/>
        <v>0</v>
      </c>
      <c r="AK157">
        <f t="shared" si="47"/>
        <v>0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1.4351010197194789E-3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2.6620112459594556E-3</v>
      </c>
      <c r="BE157" s="29">
        <f t="shared" si="62"/>
        <v>0</v>
      </c>
      <c r="BF157" s="29">
        <f t="shared" si="63"/>
        <v>4.0971122656789346E-3</v>
      </c>
      <c r="BH157" s="29"/>
    </row>
    <row r="158" spans="1:60" x14ac:dyDescent="0.25">
      <c r="A158" s="1">
        <v>46252</v>
      </c>
      <c r="B158" s="33">
        <v>19.649999999999999</v>
      </c>
      <c r="C158" s="33">
        <v>24.19</v>
      </c>
      <c r="D158" s="15">
        <v>0</v>
      </c>
      <c r="E158" s="15">
        <v>4.1347943528944199E-4</v>
      </c>
      <c r="F158" s="33">
        <v>0</v>
      </c>
      <c r="G158" s="33">
        <v>0.48133999999999999</v>
      </c>
      <c r="H158" s="33">
        <v>0</v>
      </c>
      <c r="I158" s="33">
        <v>0.59673499999999902</v>
      </c>
      <c r="J158" s="33">
        <v>0.48133999999999999</v>
      </c>
      <c r="K158" s="33">
        <v>0.59673499999999902</v>
      </c>
      <c r="L158" s="33">
        <v>20.131339999999899</v>
      </c>
      <c r="M158" s="33">
        <v>24.786735</v>
      </c>
      <c r="N158" s="34">
        <v>1.2310432569974501</v>
      </c>
      <c r="O158" s="34">
        <v>1.23151696447737</v>
      </c>
      <c r="P158" s="34">
        <v>1.23018177838661</v>
      </c>
      <c r="Q158" s="34">
        <v>1.23185005824755</v>
      </c>
      <c r="R158" s="33">
        <v>24.199308351980498</v>
      </c>
      <c r="S158" s="33">
        <v>24.170761547743499</v>
      </c>
      <c r="T158" s="33">
        <v>24.2090565542122</v>
      </c>
      <c r="U158" s="15">
        <v>3.84727635601462E-4</v>
      </c>
      <c r="V158" s="15">
        <v>-7.9562242841686303E-4</v>
      </c>
      <c r="W158" s="15">
        <v>7.8747630857807103E-4</v>
      </c>
      <c r="X158" s="34">
        <v>1.2312511238695401</v>
      </c>
      <c r="Y158" s="34">
        <v>1.23013967146909</v>
      </c>
      <c r="Z158" s="34">
        <v>1.2304103450766199</v>
      </c>
      <c r="AA158" s="34">
        <v>1.2303458285701101</v>
      </c>
      <c r="AB158" s="33">
        <v>24.7643599738327</v>
      </c>
      <c r="AC158" s="33">
        <v>24.767499307696699</v>
      </c>
      <c r="AD158" s="33">
        <v>24.767453095296599</v>
      </c>
      <c r="AE158" s="15">
        <v>-9.0310931372448197E-4</v>
      </c>
      <c r="AF158" s="15">
        <v>-7.7634912689565302E-4</v>
      </c>
      <c r="AG158" s="15">
        <v>-7.7821497708348004E-4</v>
      </c>
      <c r="AI158" s="12"/>
      <c r="AJ158">
        <f t="shared" si="46"/>
        <v>0</v>
      </c>
      <c r="AK158">
        <f t="shared" si="47"/>
        <v>0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1.4351010197194789E-3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2.6620112459594556E-3</v>
      </c>
      <c r="BE158" s="29">
        <f t="shared" si="62"/>
        <v>0</v>
      </c>
      <c r="BF158" s="29">
        <f t="shared" si="63"/>
        <v>4.0971122656789346E-3</v>
      </c>
      <c r="BH158" s="29"/>
    </row>
    <row r="159" spans="1:60" x14ac:dyDescent="0.25">
      <c r="A159" s="1">
        <v>46253</v>
      </c>
      <c r="B159" s="33">
        <v>19.66</v>
      </c>
      <c r="C159" s="33">
        <v>24.18</v>
      </c>
      <c r="D159" s="15">
        <v>5.0877640375042205E-4</v>
      </c>
      <c r="E159" s="15">
        <v>-4.1347943528932403E-4</v>
      </c>
      <c r="F159" s="33">
        <v>0</v>
      </c>
      <c r="G159" s="33">
        <v>0.48133999999999999</v>
      </c>
      <c r="H159" s="33">
        <v>0</v>
      </c>
      <c r="I159" s="33">
        <v>0.59673499999999902</v>
      </c>
      <c r="J159" s="33">
        <v>0.48133999999999999</v>
      </c>
      <c r="K159" s="33">
        <v>0.59673499999999902</v>
      </c>
      <c r="L159" s="33">
        <v>20.14134</v>
      </c>
      <c r="M159" s="33">
        <v>24.776734999999999</v>
      </c>
      <c r="N159" s="34">
        <v>1.2299084435401799</v>
      </c>
      <c r="O159" s="34">
        <v>1.23151696447737</v>
      </c>
      <c r="P159" s="34">
        <v>1.2301975845338</v>
      </c>
      <c r="Q159" s="34">
        <v>1.23165584285437</v>
      </c>
      <c r="R159" s="33">
        <v>24.211623521625199</v>
      </c>
      <c r="S159" s="33">
        <v>24.185373763080801</v>
      </c>
      <c r="T159" s="33">
        <v>24.218172145146902</v>
      </c>
      <c r="U159" s="15">
        <v>1.3069834746411799E-3</v>
      </c>
      <c r="V159" s="15">
        <v>2.22215303424522E-4</v>
      </c>
      <c r="W159" s="15">
        <v>1.57742126903522E-3</v>
      </c>
      <c r="X159" s="34">
        <v>1.2301433271073301</v>
      </c>
      <c r="Y159" s="34">
        <v>1.23013967146909</v>
      </c>
      <c r="Z159" s="34">
        <v>1.2304257378857799</v>
      </c>
      <c r="AA159" s="34">
        <v>1.23036785990211</v>
      </c>
      <c r="AB159" s="33">
        <v>24.776661370547401</v>
      </c>
      <c r="AC159" s="33">
        <v>24.782113099705601</v>
      </c>
      <c r="AD159" s="33">
        <v>24.780813650812402</v>
      </c>
      <c r="AE159" s="15">
        <v>-2.9717217380026099E-6</v>
      </c>
      <c r="AF159" s="15">
        <v>2.1703893181289E-4</v>
      </c>
      <c r="AG159" s="15">
        <v>1.6460260576535901E-4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1.4351010197194789E-3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2.6620112459594556E-3</v>
      </c>
      <c r="BE159" s="29">
        <f t="shared" si="62"/>
        <v>0</v>
      </c>
      <c r="BF159" s="29">
        <f t="shared" si="63"/>
        <v>4.0971122656789346E-3</v>
      </c>
      <c r="BH159" s="29"/>
    </row>
    <row r="160" spans="1:60" x14ac:dyDescent="0.25">
      <c r="A160" s="1">
        <v>46254</v>
      </c>
      <c r="B160" s="33">
        <v>19.66</v>
      </c>
      <c r="C160" s="33">
        <v>24.19</v>
      </c>
      <c r="D160" s="15">
        <v>0</v>
      </c>
      <c r="E160" s="15">
        <v>4.1347943528944199E-4</v>
      </c>
      <c r="F160" s="33">
        <v>0</v>
      </c>
      <c r="G160" s="33">
        <v>0.48133999999999999</v>
      </c>
      <c r="H160" s="33">
        <v>0</v>
      </c>
      <c r="I160" s="33">
        <v>0.59673499999999902</v>
      </c>
      <c r="J160" s="33">
        <v>0.48133999999999999</v>
      </c>
      <c r="K160" s="33">
        <v>0.59673499999999902</v>
      </c>
      <c r="L160" s="33">
        <v>20.14134</v>
      </c>
      <c r="M160" s="33">
        <v>24.786735</v>
      </c>
      <c r="N160" s="34">
        <v>1.23041709053916</v>
      </c>
      <c r="O160" s="34">
        <v>1.23151696447737</v>
      </c>
      <c r="P160" s="34">
        <v>1.23020157697202</v>
      </c>
      <c r="Q160" s="34">
        <v>1.23144956401393</v>
      </c>
      <c r="R160" s="33">
        <v>24.211623521625199</v>
      </c>
      <c r="S160" s="33">
        <v>24.1856845119346</v>
      </c>
      <c r="T160" s="33">
        <v>24.214353870516899</v>
      </c>
      <c r="U160" s="15">
        <v>8.9350403935184604E-4</v>
      </c>
      <c r="V160" s="15">
        <v>-1.7841558709941801E-4</v>
      </c>
      <c r="W160" s="15">
        <v>1.0062678509108901E-3</v>
      </c>
      <c r="X160" s="34">
        <v>1.23063981840334</v>
      </c>
      <c r="Y160" s="34">
        <v>1.23013967146909</v>
      </c>
      <c r="Z160" s="34">
        <v>1.23042959040141</v>
      </c>
      <c r="AA160" s="34">
        <v>1.2303783240814199</v>
      </c>
      <c r="AB160" s="33">
        <v>24.776661370547401</v>
      </c>
      <c r="AC160" s="33">
        <v>24.782423131508502</v>
      </c>
      <c r="AD160" s="33">
        <v>24.7812573913607</v>
      </c>
      <c r="AE160" s="15">
        <v>-4.06494725098916E-4</v>
      </c>
      <c r="AF160" s="15">
        <v>-1.7397384441692401E-4</v>
      </c>
      <c r="AG160" s="15">
        <v>-2.2101394053900201E-4</v>
      </c>
      <c r="AI160" s="12"/>
      <c r="AJ160">
        <f t="shared" si="46"/>
        <v>0</v>
      </c>
      <c r="AK160">
        <f t="shared" si="47"/>
        <v>0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1.4351010197194789E-3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2.6620112459594556E-3</v>
      </c>
      <c r="BE160" s="29">
        <f t="shared" si="62"/>
        <v>0</v>
      </c>
      <c r="BF160" s="29">
        <f t="shared" si="63"/>
        <v>4.0971122656789346E-3</v>
      </c>
      <c r="BH160" s="29"/>
    </row>
    <row r="161" spans="1:60" x14ac:dyDescent="0.25">
      <c r="A161" s="1">
        <v>46255</v>
      </c>
      <c r="B161" s="33">
        <v>19.670000000000002</v>
      </c>
      <c r="C161" s="33">
        <v>24.2</v>
      </c>
      <c r="D161" s="15">
        <v>5.08517681947289E-4</v>
      </c>
      <c r="E161" s="15">
        <v>4.13308540704658E-4</v>
      </c>
      <c r="F161" s="33">
        <v>0</v>
      </c>
      <c r="G161" s="33">
        <v>0.48133999999999999</v>
      </c>
      <c r="H161" s="33">
        <v>0</v>
      </c>
      <c r="I161" s="33">
        <v>0.59673499999999902</v>
      </c>
      <c r="J161" s="33">
        <v>0.48133999999999999</v>
      </c>
      <c r="K161" s="33">
        <v>0.59673499999999902</v>
      </c>
      <c r="L161" s="33">
        <v>20.151340000000001</v>
      </c>
      <c r="M161" s="33">
        <v>24.796734999999899</v>
      </c>
      <c r="N161" s="34">
        <v>1.2302999491611499</v>
      </c>
      <c r="O161" s="34">
        <v>1.23151696447737</v>
      </c>
      <c r="P161" s="34">
        <v>1.2302173152689899</v>
      </c>
      <c r="Q161" s="34">
        <v>1.23118632948425</v>
      </c>
      <c r="R161" s="33">
        <v>24.22393869127</v>
      </c>
      <c r="S161" s="33">
        <v>24.198065019039699</v>
      </c>
      <c r="T161" s="33">
        <v>24.222612924153999</v>
      </c>
      <c r="U161" s="15">
        <v>9.8871318059448599E-4</v>
      </c>
      <c r="V161" s="15">
        <v>-7.9961087720648402E-5</v>
      </c>
      <c r="W161" s="15">
        <v>9.3398205641258899E-4</v>
      </c>
      <c r="X161" s="34">
        <v>1.2305253645663199</v>
      </c>
      <c r="Y161" s="34">
        <v>1.23013967146909</v>
      </c>
      <c r="Z161" s="34">
        <v>1.2304449186005399</v>
      </c>
      <c r="AA161" s="34">
        <v>1.23033319359025</v>
      </c>
      <c r="AB161" s="33">
        <v>24.788962767262099</v>
      </c>
      <c r="AC161" s="33">
        <v>24.794805022239501</v>
      </c>
      <c r="AD161" s="33">
        <v>24.793771937194901</v>
      </c>
      <c r="AE161" s="15">
        <v>-3.1348687833455502E-4</v>
      </c>
      <c r="AF161" s="15">
        <v>-7.7834959774316203E-5</v>
      </c>
      <c r="AG161" s="15">
        <v>-1.1950121067948701E-4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0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1.4351010197194789E-3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0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2.6620112459594556E-3</v>
      </c>
      <c r="BE161" s="29">
        <f t="shared" si="62"/>
        <v>0</v>
      </c>
      <c r="BF161" s="29">
        <f t="shared" si="63"/>
        <v>4.0971122656789346E-3</v>
      </c>
      <c r="BH161" s="29"/>
    </row>
    <row r="162" spans="1:60" x14ac:dyDescent="0.25">
      <c r="A162" s="1">
        <v>46258</v>
      </c>
      <c r="B162" s="33">
        <v>19.61</v>
      </c>
      <c r="C162" s="33">
        <v>24.19</v>
      </c>
      <c r="D162" s="15">
        <v>-3.0549921927129401E-3</v>
      </c>
      <c r="E162" s="15">
        <v>-4.13308540704703E-4</v>
      </c>
      <c r="F162" s="33">
        <v>6.9409999999999999E-2</v>
      </c>
      <c r="G162" s="33">
        <v>0.55074999999999996</v>
      </c>
      <c r="H162" s="33">
        <v>0</v>
      </c>
      <c r="I162" s="33">
        <v>0.59673499999999902</v>
      </c>
      <c r="J162" s="33">
        <v>0.55074999999999996</v>
      </c>
      <c r="K162" s="33">
        <v>0.59673499999999902</v>
      </c>
      <c r="L162" s="33">
        <v>20.16075</v>
      </c>
      <c r="M162" s="33">
        <v>24.786735</v>
      </c>
      <c r="N162" s="34">
        <v>1.2335543090259999</v>
      </c>
      <c r="O162" s="34">
        <v>1.23151696447737</v>
      </c>
      <c r="P162" s="34">
        <v>1.23060940604939</v>
      </c>
      <c r="Q162" s="34">
        <v>1.2311744073653601</v>
      </c>
      <c r="R162" s="33">
        <v>24.150047673401399</v>
      </c>
      <c r="S162" s="33">
        <v>24.124561552425</v>
      </c>
      <c r="T162" s="33">
        <v>24.1435639211862</v>
      </c>
      <c r="U162" s="15">
        <v>-1.65297047141373E-3</v>
      </c>
      <c r="V162" s="15">
        <v>-2.7088515547789098E-3</v>
      </c>
      <c r="W162" s="15">
        <v>-1.9214843406420801E-3</v>
      </c>
      <c r="X162" s="34">
        <v>1.22945500539414</v>
      </c>
      <c r="Y162" s="34">
        <v>1.23013967146909</v>
      </c>
      <c r="Z162" s="34">
        <v>1.2304029093617801</v>
      </c>
      <c r="AA162" s="34">
        <v>1.23032080883658</v>
      </c>
      <c r="AB162" s="33">
        <v>24.8005383815706</v>
      </c>
      <c r="AC162" s="33">
        <v>24.806692392675799</v>
      </c>
      <c r="AD162" s="33">
        <v>24.804439932674601</v>
      </c>
      <c r="AE162" s="15">
        <v>5.5673082974075404E-4</v>
      </c>
      <c r="AF162" s="15">
        <v>8.0484027027123402E-4</v>
      </c>
      <c r="AG162" s="15">
        <v>7.1403565053366905E-4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1.4351010197194789E-3</v>
      </c>
      <c r="AT162" s="12"/>
      <c r="AU162">
        <f t="shared" si="50"/>
        <v>0</v>
      </c>
      <c r="AV162">
        <f t="shared" si="51"/>
        <v>0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2.6620112459594556E-3</v>
      </c>
      <c r="BE162" s="29">
        <f t="shared" si="62"/>
        <v>0</v>
      </c>
      <c r="BF162" s="29">
        <f t="shared" si="63"/>
        <v>4.0971122656789346E-3</v>
      </c>
      <c r="BH162" s="29"/>
    </row>
    <row r="163" spans="1:60" x14ac:dyDescent="0.25">
      <c r="A163" s="1">
        <v>46259</v>
      </c>
      <c r="B163" s="33">
        <v>19.61</v>
      </c>
      <c r="C163" s="33">
        <v>24.2</v>
      </c>
      <c r="D163" s="15">
        <v>0</v>
      </c>
      <c r="E163" s="15">
        <v>4.13308540704658E-4</v>
      </c>
      <c r="F163" s="33">
        <v>0</v>
      </c>
      <c r="G163" s="33">
        <v>0.55074999999999996</v>
      </c>
      <c r="H163" s="33">
        <v>0</v>
      </c>
      <c r="I163" s="33">
        <v>0.59673499999999902</v>
      </c>
      <c r="J163" s="33">
        <v>0.55074999999999996</v>
      </c>
      <c r="K163" s="33">
        <v>0.59673499999999902</v>
      </c>
      <c r="L163" s="33">
        <v>20.16075</v>
      </c>
      <c r="M163" s="33">
        <v>24.796734999999899</v>
      </c>
      <c r="N163" s="34">
        <v>1.2340642529321699</v>
      </c>
      <c r="O163" s="34">
        <v>1.23151696447737</v>
      </c>
      <c r="P163" s="34">
        <v>1.2310015747234699</v>
      </c>
      <c r="Q163" s="34">
        <v>1.2311369359895099</v>
      </c>
      <c r="R163" s="33">
        <v>24.150047673401399</v>
      </c>
      <c r="S163" s="33">
        <v>24.1322504526287</v>
      </c>
      <c r="T163" s="33">
        <v>24.143330128434801</v>
      </c>
      <c r="U163" s="15">
        <v>-2.06627901211852E-3</v>
      </c>
      <c r="V163" s="15">
        <v>-2.8034941932302002E-3</v>
      </c>
      <c r="W163" s="15">
        <v>-2.34447636818129E-3</v>
      </c>
      <c r="X163" s="34">
        <v>1.2299510186872999</v>
      </c>
      <c r="Y163" s="34">
        <v>1.23013967146909</v>
      </c>
      <c r="Z163" s="34">
        <v>1.230360802973</v>
      </c>
      <c r="AA163" s="34">
        <v>1.23028340246366</v>
      </c>
      <c r="AB163" s="33">
        <v>24.8005383815706</v>
      </c>
      <c r="AC163" s="33">
        <v>24.805845454915499</v>
      </c>
      <c r="AD163" s="33">
        <v>24.804190246752199</v>
      </c>
      <c r="AE163" s="15">
        <v>1.53370591516993E-4</v>
      </c>
      <c r="AF163" s="15">
        <v>3.67337946309416E-4</v>
      </c>
      <c r="AG163" s="15">
        <v>3.0060918304546699E-4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1.4351010197194789E-3</v>
      </c>
      <c r="AT163" s="12"/>
      <c r="AU163">
        <f t="shared" si="50"/>
        <v>0</v>
      </c>
      <c r="AV163">
        <f t="shared" si="51"/>
        <v>0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2.6620112459594556E-3</v>
      </c>
      <c r="BE163" s="29">
        <f t="shared" si="62"/>
        <v>0</v>
      </c>
      <c r="BF163" s="29">
        <f t="shared" si="63"/>
        <v>4.0971122656789346E-3</v>
      </c>
      <c r="BH163" s="29"/>
    </row>
    <row r="164" spans="1:60" x14ac:dyDescent="0.25">
      <c r="A164" s="1">
        <v>46260</v>
      </c>
      <c r="B164" s="33">
        <v>19.61</v>
      </c>
      <c r="C164" s="33">
        <v>24.21</v>
      </c>
      <c r="D164" s="15">
        <v>0</v>
      </c>
      <c r="E164" s="15">
        <v>4.13137787326395E-4</v>
      </c>
      <c r="F164" s="33">
        <v>0</v>
      </c>
      <c r="G164" s="33">
        <v>0.55074999999999996</v>
      </c>
      <c r="H164" s="33">
        <v>0</v>
      </c>
      <c r="I164" s="33">
        <v>0.59673499999999902</v>
      </c>
      <c r="J164" s="33">
        <v>0.55074999999999996</v>
      </c>
      <c r="K164" s="33">
        <v>0.59673499999999902</v>
      </c>
      <c r="L164" s="33">
        <v>20.16075</v>
      </c>
      <c r="M164" s="33">
        <v>24.806735</v>
      </c>
      <c r="N164" s="34">
        <v>1.2345741968383399</v>
      </c>
      <c r="O164" s="34">
        <v>1.23151696447737</v>
      </c>
      <c r="P164" s="34">
        <v>1.2314447377881601</v>
      </c>
      <c r="Q164" s="34">
        <v>1.2311249618089699</v>
      </c>
      <c r="R164" s="33">
        <v>24.150047673401399</v>
      </c>
      <c r="S164" s="33">
        <v>24.139940880327298</v>
      </c>
      <c r="T164" s="33">
        <v>24.142595314754299</v>
      </c>
      <c r="U164" s="15">
        <v>-2.4794167994449398E-3</v>
      </c>
      <c r="V164" s="15">
        <v>-2.8980043172465901E-3</v>
      </c>
      <c r="W164" s="15">
        <v>-2.78805009201552E-3</v>
      </c>
      <c r="X164" s="34">
        <v>1.2304470319804499</v>
      </c>
      <c r="Y164" s="34">
        <v>1.23013967146909</v>
      </c>
      <c r="Z164" s="34">
        <v>1.23036829791355</v>
      </c>
      <c r="AA164" s="34">
        <v>1.2302707967554001</v>
      </c>
      <c r="AB164" s="33">
        <v>24.8005383815706</v>
      </c>
      <c r="AC164" s="33">
        <v>24.8049965585381</v>
      </c>
      <c r="AD164" s="33">
        <v>24.803436106219301</v>
      </c>
      <c r="AE164" s="15">
        <v>-2.4982701282303998E-4</v>
      </c>
      <c r="AF164" s="15">
        <v>-7.0081870073629798E-5</v>
      </c>
      <c r="AG164" s="15">
        <v>-1.3299263888551799E-4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1.4351010197194789E-3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2.6620112459594556E-3</v>
      </c>
      <c r="BE164" s="29">
        <f t="shared" si="62"/>
        <v>0</v>
      </c>
      <c r="BF164" s="29">
        <f t="shared" si="63"/>
        <v>4.0971122656789346E-3</v>
      </c>
      <c r="BH164" s="29"/>
    </row>
    <row r="165" spans="1:60" x14ac:dyDescent="0.25">
      <c r="A165" s="1">
        <v>46261</v>
      </c>
      <c r="B165" s="33">
        <v>19.62</v>
      </c>
      <c r="C165" s="33">
        <v>24.21</v>
      </c>
      <c r="D165" s="15">
        <v>5.0981392896222097E-4</v>
      </c>
      <c r="E165" s="15">
        <v>0</v>
      </c>
      <c r="F165" s="33">
        <v>0</v>
      </c>
      <c r="G165" s="33">
        <v>0.55074999999999996</v>
      </c>
      <c r="H165" s="33">
        <v>0</v>
      </c>
      <c r="I165" s="33">
        <v>0.59673499999999902</v>
      </c>
      <c r="J165" s="33">
        <v>0.55074999999999996</v>
      </c>
      <c r="K165" s="33">
        <v>0.59673499999999902</v>
      </c>
      <c r="L165" s="33">
        <v>20.170750000000002</v>
      </c>
      <c r="M165" s="33">
        <v>24.806735</v>
      </c>
      <c r="N165" s="34">
        <v>1.23394495412844</v>
      </c>
      <c r="O165" s="34">
        <v>1.23151696447737</v>
      </c>
      <c r="P165" s="34">
        <v>1.2317740600849101</v>
      </c>
      <c r="Q165" s="34">
        <v>1.2311444940640901</v>
      </c>
      <c r="R165" s="33">
        <v>24.1623628430461</v>
      </c>
      <c r="S165" s="33">
        <v>24.160945755403699</v>
      </c>
      <c r="T165" s="33">
        <v>24.154671750692</v>
      </c>
      <c r="U165" s="15">
        <v>-1.9696028704828498E-3</v>
      </c>
      <c r="V165" s="15">
        <v>-2.0282531443956398E-3</v>
      </c>
      <c r="W165" s="15">
        <v>-2.2879623262643E-3</v>
      </c>
      <c r="X165" s="34">
        <v>1.2298370164718699</v>
      </c>
      <c r="Y165" s="34">
        <v>1.23013967146909</v>
      </c>
      <c r="Z165" s="34">
        <v>1.2302650928239101</v>
      </c>
      <c r="AA165" s="34">
        <v>1.2302889454765</v>
      </c>
      <c r="AB165" s="33">
        <v>24.812839778285301</v>
      </c>
      <c r="AC165" s="33">
        <v>24.817451345139801</v>
      </c>
      <c r="AD165" s="33">
        <v>24.815484673654002</v>
      </c>
      <c r="AE165" s="15">
        <v>2.4606330640270001E-4</v>
      </c>
      <c r="AF165" s="15">
        <v>4.31900091292655E-4</v>
      </c>
      <c r="AG165" s="15">
        <v>3.5265144535280899E-4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1.4351010197194789E-3</v>
      </c>
      <c r="AT165" s="12"/>
      <c r="AU165">
        <f t="shared" si="50"/>
        <v>0</v>
      </c>
      <c r="AV165">
        <f t="shared" si="51"/>
        <v>0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2.6620112459594556E-3</v>
      </c>
      <c r="BE165" s="29">
        <f t="shared" si="62"/>
        <v>0</v>
      </c>
      <c r="BF165" s="29">
        <f t="shared" si="63"/>
        <v>4.0971122656789346E-3</v>
      </c>
      <c r="BH165" s="29"/>
    </row>
    <row r="166" spans="1:60" x14ac:dyDescent="0.25">
      <c r="A166" s="1">
        <v>46262</v>
      </c>
      <c r="B166" s="33">
        <v>19.62</v>
      </c>
      <c r="C166" s="33">
        <v>24.22</v>
      </c>
      <c r="D166" s="15">
        <v>0</v>
      </c>
      <c r="E166" s="15">
        <v>4.12967174978938E-4</v>
      </c>
      <c r="F166" s="33">
        <v>0</v>
      </c>
      <c r="G166" s="33">
        <v>0.55074999999999996</v>
      </c>
      <c r="H166" s="33">
        <v>0</v>
      </c>
      <c r="I166" s="33">
        <v>0.59673499999999902</v>
      </c>
      <c r="J166" s="33">
        <v>0.55074999999999996</v>
      </c>
      <c r="K166" s="33">
        <v>0.59673499999999902</v>
      </c>
      <c r="L166" s="33">
        <v>20.170750000000002</v>
      </c>
      <c r="M166" s="33">
        <v>24.816734999999898</v>
      </c>
      <c r="N166" s="34">
        <v>1.23445463812436</v>
      </c>
      <c r="O166" s="34">
        <v>1.23151696447737</v>
      </c>
      <c r="P166" s="34">
        <v>1.2322795442432299</v>
      </c>
      <c r="Q166" s="34">
        <v>1.2311640133237001</v>
      </c>
      <c r="R166" s="33">
        <v>24.1623628430461</v>
      </c>
      <c r="S166" s="33">
        <v>24.167407058866001</v>
      </c>
      <c r="T166" s="33">
        <v>24.155054973537499</v>
      </c>
      <c r="U166" s="15">
        <v>-2.3825700454617898E-3</v>
      </c>
      <c r="V166" s="15">
        <v>-2.1738284831308899E-3</v>
      </c>
      <c r="W166" s="15">
        <v>-2.6850642554024002E-3</v>
      </c>
      <c r="X166" s="34">
        <v>1.23033278385781</v>
      </c>
      <c r="Y166" s="34">
        <v>1.23013967146909</v>
      </c>
      <c r="Z166" s="34">
        <v>1.23033368762856</v>
      </c>
      <c r="AA166" s="34">
        <v>1.2303069962228199</v>
      </c>
      <c r="AB166" s="33">
        <v>24.812839778285301</v>
      </c>
      <c r="AC166" s="33">
        <v>24.815369621077899</v>
      </c>
      <c r="AD166" s="33">
        <v>24.815850746970099</v>
      </c>
      <c r="AE166" s="15">
        <v>-1.56971795147657E-4</v>
      </c>
      <c r="AF166" s="15">
        <v>-5.5019988889355002E-5</v>
      </c>
      <c r="AG166" s="15">
        <v>-3.5631954960842802E-5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1.4351010197194789E-3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2.6620112459594556E-3</v>
      </c>
      <c r="BE166" s="29">
        <f t="shared" si="62"/>
        <v>0</v>
      </c>
      <c r="BF166" s="29">
        <f t="shared" si="63"/>
        <v>4.0971122656789346E-3</v>
      </c>
      <c r="BH166" s="29"/>
    </row>
    <row r="167" spans="1:60" x14ac:dyDescent="0.25">
      <c r="A167" s="1">
        <v>46265</v>
      </c>
      <c r="B167" s="33">
        <v>19.62</v>
      </c>
      <c r="C167" s="33">
        <v>24.2</v>
      </c>
      <c r="D167" s="15">
        <v>0</v>
      </c>
      <c r="E167" s="15">
        <v>-8.26104962305503E-4</v>
      </c>
      <c r="F167" s="33">
        <v>0</v>
      </c>
      <c r="G167" s="33">
        <v>0.55074999999999996</v>
      </c>
      <c r="H167" s="33">
        <v>0</v>
      </c>
      <c r="I167" s="33">
        <v>0.59673499999999902</v>
      </c>
      <c r="J167" s="33">
        <v>0.55074999999999996</v>
      </c>
      <c r="K167" s="33">
        <v>0.59673499999999902</v>
      </c>
      <c r="L167" s="33">
        <v>20.170750000000002</v>
      </c>
      <c r="M167" s="33">
        <v>24.796734999999899</v>
      </c>
      <c r="N167" s="34">
        <v>1.23343527013251</v>
      </c>
      <c r="O167" s="34">
        <v>1.23151696447737</v>
      </c>
      <c r="P167" s="34">
        <v>1.23256963614198</v>
      </c>
      <c r="Q167" s="34">
        <v>1.2313169185224699</v>
      </c>
      <c r="R167" s="33">
        <v>24.1623628430461</v>
      </c>
      <c r="S167" s="33">
        <v>24.1773246580522</v>
      </c>
      <c r="T167" s="33">
        <v>24.155437941411002</v>
      </c>
      <c r="U167" s="15">
        <v>-1.55646508315637E-3</v>
      </c>
      <c r="V167" s="15">
        <v>-9.37436857808632E-4</v>
      </c>
      <c r="W167" s="15">
        <v>-1.84310485442614E-3</v>
      </c>
      <c r="X167" s="34">
        <v>1.2293412490859199</v>
      </c>
      <c r="Y167" s="34">
        <v>1.23013967146909</v>
      </c>
      <c r="Z167" s="34">
        <v>1.2301923739424001</v>
      </c>
      <c r="AA167" s="34">
        <v>1.23024399401476</v>
      </c>
      <c r="AB167" s="33">
        <v>24.812839778285301</v>
      </c>
      <c r="AC167" s="33">
        <v>24.816753229733798</v>
      </c>
      <c r="AD167" s="33">
        <v>24.816214844061498</v>
      </c>
      <c r="AE167" s="15">
        <v>6.49260910742585E-4</v>
      </c>
      <c r="AF167" s="15">
        <v>8.0696727984334198E-4</v>
      </c>
      <c r="AG167" s="15">
        <v>7.8527260015109001E-4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1.4351010197194789E-3</v>
      </c>
      <c r="AT167" s="12"/>
      <c r="AU167">
        <f t="shared" si="50"/>
        <v>0</v>
      </c>
      <c r="AV167">
        <f t="shared" si="51"/>
        <v>0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2.6620112459594556E-3</v>
      </c>
      <c r="BE167" s="29">
        <f t="shared" si="62"/>
        <v>0</v>
      </c>
      <c r="BF167" s="29">
        <f t="shared" si="63"/>
        <v>4.0971122656789346E-3</v>
      </c>
      <c r="BH167" s="29"/>
    </row>
    <row r="168" spans="1:60" x14ac:dyDescent="0.25">
      <c r="A168" s="1">
        <v>46266</v>
      </c>
      <c r="B168" s="33">
        <v>19.600000000000001</v>
      </c>
      <c r="C168" s="33">
        <v>24.12</v>
      </c>
      <c r="D168" s="15">
        <v>-1.01988790074541E-3</v>
      </c>
      <c r="E168" s="15">
        <v>-3.3112613036559201E-3</v>
      </c>
      <c r="F168" s="33">
        <v>0</v>
      </c>
      <c r="G168" s="33">
        <v>0.55074999999999996</v>
      </c>
      <c r="H168" s="33">
        <v>8.4963999999999998E-2</v>
      </c>
      <c r="I168" s="33">
        <v>0.68169899999999894</v>
      </c>
      <c r="J168" s="33">
        <v>0.55074999999999996</v>
      </c>
      <c r="K168" s="33">
        <v>0.68169899999999894</v>
      </c>
      <c r="L168" s="33">
        <v>20.150749999999999</v>
      </c>
      <c r="M168" s="33">
        <v>24.801698999999999</v>
      </c>
      <c r="N168" s="34">
        <v>1.23061224489795</v>
      </c>
      <c r="O168" s="34">
        <v>1.23151696447737</v>
      </c>
      <c r="P168" s="34">
        <v>1.23252653493203</v>
      </c>
      <c r="Q168" s="34">
        <v>1.23135415665932</v>
      </c>
      <c r="R168" s="33">
        <v>24.137732503756599</v>
      </c>
      <c r="S168" s="33">
        <v>24.158364868382801</v>
      </c>
      <c r="T168" s="33">
        <v>24.133811603040598</v>
      </c>
      <c r="U168" s="15">
        <v>7.3490831975413901E-4</v>
      </c>
      <c r="V168" s="15">
        <v>1.58931962849349E-3</v>
      </c>
      <c r="W168" s="15">
        <v>5.7245647375576405E-4</v>
      </c>
      <c r="X168" s="34">
        <v>1.2308077366847301</v>
      </c>
      <c r="Y168" s="34">
        <v>1.23013967146909</v>
      </c>
      <c r="Z168" s="34">
        <v>1.23014803522392</v>
      </c>
      <c r="AA168" s="34">
        <v>1.2302791901502701</v>
      </c>
      <c r="AB168" s="33">
        <v>24.788236984855899</v>
      </c>
      <c r="AC168" s="33">
        <v>24.7892989792199</v>
      </c>
      <c r="AD168" s="33">
        <v>24.790339162393</v>
      </c>
      <c r="AE168" s="15">
        <v>-5.4293336772488201E-4</v>
      </c>
      <c r="AF168" s="15">
        <v>-5.00091611129384E-4</v>
      </c>
      <c r="AG168" s="15">
        <v>-4.5813151572490199E-4</v>
      </c>
      <c r="AI168" s="12"/>
      <c r="AJ168">
        <f t="shared" si="46"/>
        <v>0</v>
      </c>
      <c r="AK168">
        <f t="shared" si="47"/>
        <v>0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1.4351010197194789E-3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2.6620112459594556E-3</v>
      </c>
      <c r="BE168" s="29">
        <f t="shared" si="62"/>
        <v>0</v>
      </c>
      <c r="BF168" s="29">
        <f t="shared" si="63"/>
        <v>4.0971122656789346E-3</v>
      </c>
      <c r="BH168" s="29"/>
    </row>
    <row r="169" spans="1:60" x14ac:dyDescent="0.25">
      <c r="A169" s="1">
        <v>46267</v>
      </c>
      <c r="B169" s="33">
        <v>19.61</v>
      </c>
      <c r="C169" s="33">
        <v>24.12</v>
      </c>
      <c r="D169" s="15">
        <v>5.1007397178320501E-4</v>
      </c>
      <c r="E169" s="15">
        <v>0</v>
      </c>
      <c r="F169" s="33">
        <v>0</v>
      </c>
      <c r="G169" s="33">
        <v>0.55074999999999996</v>
      </c>
      <c r="H169" s="33">
        <v>0</v>
      </c>
      <c r="I169" s="33">
        <v>0.68169899999999894</v>
      </c>
      <c r="J169" s="33">
        <v>0.55074999999999996</v>
      </c>
      <c r="K169" s="33">
        <v>0.68169899999999894</v>
      </c>
      <c r="L169" s="33">
        <v>20.16075</v>
      </c>
      <c r="M169" s="33">
        <v>24.801698999999999</v>
      </c>
      <c r="N169" s="34">
        <v>1.22998470168281</v>
      </c>
      <c r="O169" s="34">
        <v>1.23151696447737</v>
      </c>
      <c r="P169" s="34">
        <v>1.2325341607462901</v>
      </c>
      <c r="Q169" s="34">
        <v>1.23136587264005</v>
      </c>
      <c r="R169" s="33">
        <v>24.150047673401399</v>
      </c>
      <c r="S169" s="33">
        <v>24.169845350017098</v>
      </c>
      <c r="T169" s="33">
        <v>24.146855012089301</v>
      </c>
      <c r="U169" s="15">
        <v>1.24498229153733E-3</v>
      </c>
      <c r="V169" s="15">
        <v>2.06442440884327E-3</v>
      </c>
      <c r="W169" s="15">
        <v>1.1127725166166799E-3</v>
      </c>
      <c r="X169" s="34">
        <v>1.2301972396860199</v>
      </c>
      <c r="Y169" s="34">
        <v>1.23013967146909</v>
      </c>
      <c r="Z169" s="34">
        <v>1.2301534264817899</v>
      </c>
      <c r="AA169" s="34">
        <v>1.23028958218379</v>
      </c>
      <c r="AB169" s="33">
        <v>24.8005383815706</v>
      </c>
      <c r="AC169" s="33">
        <v>24.800707001140701</v>
      </c>
      <c r="AD169" s="33">
        <v>24.803351182822102</v>
      </c>
      <c r="AE169" s="15">
        <v>-4.67970192820919E-5</v>
      </c>
      <c r="AF169" s="15">
        <v>-3.9998013779712701E-5</v>
      </c>
      <c r="AG169" s="15">
        <v>6.6613492645374494E-5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1.4351010197194789E-3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2.6620112459594556E-3</v>
      </c>
      <c r="BE169" s="29">
        <f t="shared" si="62"/>
        <v>0</v>
      </c>
      <c r="BF169" s="29">
        <f t="shared" si="63"/>
        <v>4.0971122656789346E-3</v>
      </c>
      <c r="BH169" s="29"/>
    </row>
    <row r="170" spans="1:60" x14ac:dyDescent="0.25">
      <c r="A170" s="1">
        <v>46268</v>
      </c>
      <c r="B170" s="33">
        <v>19.62</v>
      </c>
      <c r="C170" s="33">
        <v>24.13</v>
      </c>
      <c r="D170" s="15">
        <v>5.0981392896222097E-4</v>
      </c>
      <c r="E170" s="15">
        <v>4.1450777795553099E-4</v>
      </c>
      <c r="F170" s="33">
        <v>0</v>
      </c>
      <c r="G170" s="33">
        <v>0.55074999999999996</v>
      </c>
      <c r="H170" s="33">
        <v>0</v>
      </c>
      <c r="I170" s="33">
        <v>0.68169899999999894</v>
      </c>
      <c r="J170" s="33">
        <v>0.55074999999999996</v>
      </c>
      <c r="K170" s="33">
        <v>0.68169899999999894</v>
      </c>
      <c r="L170" s="33">
        <v>20.170750000000002</v>
      </c>
      <c r="M170" s="33">
        <v>24.811698999999901</v>
      </c>
      <c r="N170" s="34">
        <v>1.22986748216106</v>
      </c>
      <c r="O170" s="34">
        <v>1.23151696447737</v>
      </c>
      <c r="P170" s="34">
        <v>1.2324791999084801</v>
      </c>
      <c r="Q170" s="34">
        <v>1.2313403884402501</v>
      </c>
      <c r="R170" s="33">
        <v>24.1623628430461</v>
      </c>
      <c r="S170" s="33">
        <v>24.182320233842301</v>
      </c>
      <c r="T170" s="33">
        <v>24.1593984211978</v>
      </c>
      <c r="U170" s="15">
        <v>1.3402884425440999E-3</v>
      </c>
      <c r="V170" s="15">
        <v>2.1659176807401698E-3</v>
      </c>
      <c r="W170" s="15">
        <v>1.2175933348106301E-3</v>
      </c>
      <c r="X170" s="34">
        <v>1.23008311540225</v>
      </c>
      <c r="Y170" s="34">
        <v>1.23013967146909</v>
      </c>
      <c r="Z170" s="34">
        <v>1.2300977561816799</v>
      </c>
      <c r="AA170" s="34">
        <v>1.23026367329154</v>
      </c>
      <c r="AB170" s="33">
        <v>24.812839778285301</v>
      </c>
      <c r="AC170" s="33">
        <v>24.813117227207599</v>
      </c>
      <c r="AD170" s="33">
        <v>24.8158635898337</v>
      </c>
      <c r="AE170" s="15">
        <v>4.5976378364671301E-5</v>
      </c>
      <c r="AF170" s="15">
        <v>5.71579832784131E-5</v>
      </c>
      <c r="AG170" s="15">
        <v>1.6783374504712799E-4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1.4351010197194789E-3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2.6620112459594556E-3</v>
      </c>
      <c r="BE170" s="29">
        <f t="shared" si="62"/>
        <v>0</v>
      </c>
      <c r="BF170" s="29">
        <f t="shared" si="63"/>
        <v>4.0971122656789346E-3</v>
      </c>
      <c r="BH170" s="29"/>
    </row>
    <row r="171" spans="1:60" x14ac:dyDescent="0.25">
      <c r="A171" s="1">
        <v>46269</v>
      </c>
      <c r="B171" s="33">
        <v>19.63</v>
      </c>
      <c r="C171" s="33">
        <v>24.13</v>
      </c>
      <c r="D171" s="15">
        <v>5.0955415115258205E-4</v>
      </c>
      <c r="E171" s="15">
        <v>0</v>
      </c>
      <c r="F171" s="33">
        <v>0</v>
      </c>
      <c r="G171" s="33">
        <v>0.55074999999999996</v>
      </c>
      <c r="H171" s="33">
        <v>0</v>
      </c>
      <c r="I171" s="33">
        <v>0.68169899999999894</v>
      </c>
      <c r="J171" s="33">
        <v>0.55074999999999996</v>
      </c>
      <c r="K171" s="33">
        <v>0.68169899999999894</v>
      </c>
      <c r="L171" s="33">
        <v>20.18075</v>
      </c>
      <c r="M171" s="33">
        <v>24.811698999999901</v>
      </c>
      <c r="N171" s="34">
        <v>1.2292409577177701</v>
      </c>
      <c r="O171" s="34">
        <v>1.23151696447737</v>
      </c>
      <c r="P171" s="34">
        <v>1.23237330076414</v>
      </c>
      <c r="Q171" s="34">
        <v>1.2312953080165701</v>
      </c>
      <c r="R171" s="33">
        <v>24.174678012690901</v>
      </c>
      <c r="S171" s="33">
        <v>24.193566694203501</v>
      </c>
      <c r="T171" s="33">
        <v>24.171211825082199</v>
      </c>
      <c r="U171" s="15">
        <v>1.8498425936966001E-3</v>
      </c>
      <c r="V171" s="15">
        <v>2.6308791017300901E-3</v>
      </c>
      <c r="W171" s="15">
        <v>1.7064513922393301E-3</v>
      </c>
      <c r="X171" s="34">
        <v>1.22947358249817</v>
      </c>
      <c r="Y171" s="34">
        <v>1.23013967146909</v>
      </c>
      <c r="Z171" s="34">
        <v>1.2299925779748699</v>
      </c>
      <c r="AA171" s="34">
        <v>1.2302187482877001</v>
      </c>
      <c r="AB171" s="33">
        <v>24.825141174999999</v>
      </c>
      <c r="AC171" s="33">
        <v>24.8242952930635</v>
      </c>
      <c r="AD171" s="33">
        <v>24.8276436247784</v>
      </c>
      <c r="AE171" s="15">
        <v>5.4162091225870698E-4</v>
      </c>
      <c r="AF171" s="15">
        <v>5.07546731494462E-4</v>
      </c>
      <c r="AG171" s="15">
        <v>6.42418875177777E-4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1.4351010197194789E-3</v>
      </c>
      <c r="AT171" s="12"/>
      <c r="AU171">
        <f t="shared" si="50"/>
        <v>0</v>
      </c>
      <c r="AV171">
        <f t="shared" si="51"/>
        <v>0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2.6620112459594556E-3</v>
      </c>
      <c r="BE171" s="29">
        <f t="shared" si="62"/>
        <v>0</v>
      </c>
      <c r="BF171" s="29">
        <f t="shared" si="63"/>
        <v>4.0971122656789346E-3</v>
      </c>
      <c r="BH171" s="29"/>
    </row>
    <row r="172" spans="1:60" x14ac:dyDescent="0.25">
      <c r="A172" s="1">
        <v>46273</v>
      </c>
      <c r="B172" s="33">
        <v>19.62</v>
      </c>
      <c r="C172" s="33">
        <v>24.14</v>
      </c>
      <c r="D172" s="15">
        <v>-5.0955415115256297E-4</v>
      </c>
      <c r="E172" s="15">
        <v>4.1433603244518202E-4</v>
      </c>
      <c r="F172" s="33">
        <v>0</v>
      </c>
      <c r="G172" s="33">
        <v>0.55074999999999996</v>
      </c>
      <c r="H172" s="33">
        <v>0</v>
      </c>
      <c r="I172" s="33">
        <v>0.68169899999999894</v>
      </c>
      <c r="J172" s="33">
        <v>0.55074999999999996</v>
      </c>
      <c r="K172" s="33">
        <v>0.68169899999999894</v>
      </c>
      <c r="L172" s="33">
        <v>20.170750000000002</v>
      </c>
      <c r="M172" s="33">
        <v>24.821698999999999</v>
      </c>
      <c r="N172" s="34">
        <v>1.23037716615698</v>
      </c>
      <c r="O172" s="34">
        <v>1.23151696447737</v>
      </c>
      <c r="P172" s="34">
        <v>1.23205558647724</v>
      </c>
      <c r="Q172" s="34">
        <v>1.2313324962633201</v>
      </c>
      <c r="R172" s="33">
        <v>24.1623628430461</v>
      </c>
      <c r="S172" s="33">
        <v>24.179164160992499</v>
      </c>
      <c r="T172" s="33">
        <v>24.158013943285098</v>
      </c>
      <c r="U172" s="15">
        <v>9.2595241009886802E-4</v>
      </c>
      <c r="V172" s="15">
        <v>1.62106154976115E-3</v>
      </c>
      <c r="W172" s="15">
        <v>7.45949684043652E-4</v>
      </c>
      <c r="X172" s="34">
        <v>1.2305788827881901</v>
      </c>
      <c r="Y172" s="34">
        <v>1.23013967146909</v>
      </c>
      <c r="Z172" s="34">
        <v>1.23010496571427</v>
      </c>
      <c r="AA172" s="34">
        <v>1.2302539375380199</v>
      </c>
      <c r="AB172" s="33">
        <v>24.812839778285301</v>
      </c>
      <c r="AC172" s="33">
        <v>24.809872792186599</v>
      </c>
      <c r="AD172" s="33">
        <v>24.8144348170242</v>
      </c>
      <c r="AE172" s="15">
        <v>-3.5697810544129701E-4</v>
      </c>
      <c r="AF172" s="15">
        <v>-4.7655988356425799E-4</v>
      </c>
      <c r="AG172" s="15">
        <v>-2.9269737463369198E-4</v>
      </c>
      <c r="AI172" s="12"/>
      <c r="AJ172">
        <f t="shared" si="46"/>
        <v>0</v>
      </c>
      <c r="AK172">
        <f t="shared" si="47"/>
        <v>0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1.4351010197194789E-3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2.6620112459594556E-3</v>
      </c>
      <c r="BE172" s="29">
        <f t="shared" si="62"/>
        <v>0</v>
      </c>
      <c r="BF172" s="29">
        <f t="shared" si="63"/>
        <v>4.0971122656789346E-3</v>
      </c>
      <c r="BH172" s="29"/>
    </row>
    <row r="173" spans="1:60" x14ac:dyDescent="0.25">
      <c r="A173" s="1">
        <v>46274</v>
      </c>
      <c r="B173" s="33">
        <v>19.63</v>
      </c>
      <c r="C173" s="33">
        <v>24.13</v>
      </c>
      <c r="D173" s="15">
        <v>5.0955415115258205E-4</v>
      </c>
      <c r="E173" s="15">
        <v>-4.1433603244512901E-4</v>
      </c>
      <c r="F173" s="33">
        <v>0</v>
      </c>
      <c r="G173" s="33">
        <v>0.55074999999999996</v>
      </c>
      <c r="H173" s="33">
        <v>0</v>
      </c>
      <c r="I173" s="33">
        <v>0.68169899999999894</v>
      </c>
      <c r="J173" s="33">
        <v>0.55074999999999996</v>
      </c>
      <c r="K173" s="33">
        <v>0.68169899999999894</v>
      </c>
      <c r="L173" s="33">
        <v>20.18075</v>
      </c>
      <c r="M173" s="33">
        <v>24.811698999999901</v>
      </c>
      <c r="N173" s="34">
        <v>1.2292409577177701</v>
      </c>
      <c r="O173" s="34">
        <v>1.23151696447737</v>
      </c>
      <c r="P173" s="34">
        <v>1.2315732569558</v>
      </c>
      <c r="Q173" s="34">
        <v>1.2312874158396301</v>
      </c>
      <c r="R173" s="33">
        <v>24.174678012690901</v>
      </c>
      <c r="S173" s="33">
        <v>24.185251162548301</v>
      </c>
      <c r="T173" s="33">
        <v>24.171056901648999</v>
      </c>
      <c r="U173" s="15">
        <v>1.8498425936966001E-3</v>
      </c>
      <c r="V173" s="15">
        <v>2.2871116387978901E-3</v>
      </c>
      <c r="W173" s="15">
        <v>1.7000419523311801E-3</v>
      </c>
      <c r="X173" s="34">
        <v>1.22947358249817</v>
      </c>
      <c r="Y173" s="34">
        <v>1.23013967146909</v>
      </c>
      <c r="Z173" s="34">
        <v>1.2300572220953601</v>
      </c>
      <c r="AA173" s="34">
        <v>1.23020901253418</v>
      </c>
      <c r="AB173" s="33">
        <v>24.825141174999999</v>
      </c>
      <c r="AC173" s="33">
        <v>24.824440786838299</v>
      </c>
      <c r="AD173" s="33">
        <v>24.827447149970499</v>
      </c>
      <c r="AE173" s="15">
        <v>5.4162091225870698E-4</v>
      </c>
      <c r="AF173" s="15">
        <v>5.1340765712122095E-4</v>
      </c>
      <c r="AG173" s="15">
        <v>6.3450529351715898E-4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1.4351010197194789E-3</v>
      </c>
      <c r="AT173" s="12"/>
      <c r="AU173">
        <f t="shared" si="50"/>
        <v>0</v>
      </c>
      <c r="AV173">
        <f t="shared" si="51"/>
        <v>0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2.6620112459594556E-3</v>
      </c>
      <c r="BE173" s="29">
        <f t="shared" si="62"/>
        <v>0</v>
      </c>
      <c r="BF173" s="29">
        <f t="shared" si="63"/>
        <v>4.0971122656789346E-3</v>
      </c>
      <c r="BH173" s="29"/>
    </row>
    <row r="174" spans="1:60" x14ac:dyDescent="0.25">
      <c r="A174" s="1">
        <v>46275</v>
      </c>
      <c r="B174" s="33">
        <v>19.61</v>
      </c>
      <c r="C174" s="33">
        <v>24.12</v>
      </c>
      <c r="D174" s="15">
        <v>-1.0193680801147899E-3</v>
      </c>
      <c r="E174" s="15">
        <v>-4.1450777795555397E-4</v>
      </c>
      <c r="F174" s="33">
        <v>0</v>
      </c>
      <c r="G174" s="33">
        <v>0.55074999999999996</v>
      </c>
      <c r="H174" s="33">
        <v>0</v>
      </c>
      <c r="I174" s="33">
        <v>0.68169899999999894</v>
      </c>
      <c r="J174" s="33">
        <v>0.55074999999999996</v>
      </c>
      <c r="K174" s="33">
        <v>0.68169899999999894</v>
      </c>
      <c r="L174" s="33">
        <v>20.16075</v>
      </c>
      <c r="M174" s="33">
        <v>24.801698999999999</v>
      </c>
      <c r="N174" s="34">
        <v>1.22998470168281</v>
      </c>
      <c r="O174" s="34">
        <v>1.23151696447737</v>
      </c>
      <c r="P174" s="34">
        <v>1.23111430744025</v>
      </c>
      <c r="Q174" s="34">
        <v>1.2312795226141999</v>
      </c>
      <c r="R174" s="33">
        <v>24.150047673401399</v>
      </c>
      <c r="S174" s="33">
        <v>24.151151568903298</v>
      </c>
      <c r="T174" s="33">
        <v>24.145546224615298</v>
      </c>
      <c r="U174" s="15">
        <v>1.24498229153733E-3</v>
      </c>
      <c r="V174" s="15">
        <v>1.2906911153106001E-3</v>
      </c>
      <c r="W174" s="15">
        <v>1.05856989090964E-3</v>
      </c>
      <c r="X174" s="34">
        <v>1.2301972396860199</v>
      </c>
      <c r="Y174" s="34">
        <v>1.23013967146909</v>
      </c>
      <c r="Z174" s="34">
        <v>1.2300322428659101</v>
      </c>
      <c r="AA174" s="34">
        <v>1.2302002703897299</v>
      </c>
      <c r="AB174" s="33">
        <v>24.8005383815706</v>
      </c>
      <c r="AC174" s="33">
        <v>24.798876140358999</v>
      </c>
      <c r="AD174" s="33">
        <v>24.8019363494485</v>
      </c>
      <c r="AE174" s="15">
        <v>-4.67970192820919E-5</v>
      </c>
      <c r="AF174" s="15">
        <v>-1.13823665793205E-4</v>
      </c>
      <c r="AG174" s="15">
        <v>9.5698408764864806E-6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1.4351010197194789E-3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2.6620112459594556E-3</v>
      </c>
      <c r="BE174" s="29">
        <f t="shared" si="62"/>
        <v>0</v>
      </c>
      <c r="BF174" s="29">
        <f t="shared" si="63"/>
        <v>4.0971122656789346E-3</v>
      </c>
      <c r="BH174" s="29"/>
    </row>
    <row r="175" spans="1:60" x14ac:dyDescent="0.25">
      <c r="A175" s="1">
        <v>46276</v>
      </c>
      <c r="B175" s="33">
        <v>19.61</v>
      </c>
      <c r="C175" s="33">
        <v>24.12</v>
      </c>
      <c r="D175" s="15">
        <v>0</v>
      </c>
      <c r="E175" s="15">
        <v>0</v>
      </c>
      <c r="F175" s="33">
        <v>0</v>
      </c>
      <c r="G175" s="33">
        <v>0.55074999999999996</v>
      </c>
      <c r="H175" s="33">
        <v>0</v>
      </c>
      <c r="I175" s="33">
        <v>0.68169899999999894</v>
      </c>
      <c r="J175" s="33">
        <v>0.55074999999999996</v>
      </c>
      <c r="K175" s="33">
        <v>0.68169899999999894</v>
      </c>
      <c r="L175" s="33">
        <v>20.16075</v>
      </c>
      <c r="M175" s="33">
        <v>24.801698999999999</v>
      </c>
      <c r="N175" s="34">
        <v>1.22998470168281</v>
      </c>
      <c r="O175" s="34">
        <v>1.23151696447737</v>
      </c>
      <c r="P175" s="34">
        <v>1.2307182821956799</v>
      </c>
      <c r="Q175" s="34">
        <v>1.2312461711403</v>
      </c>
      <c r="R175" s="33">
        <v>24.150047673401399</v>
      </c>
      <c r="S175" s="33">
        <v>24.142151568903301</v>
      </c>
      <c r="T175" s="33">
        <v>24.1453914384646</v>
      </c>
      <c r="U175" s="15">
        <v>1.24498229153733E-3</v>
      </c>
      <c r="V175" s="15">
        <v>9.1796862505085799E-4</v>
      </c>
      <c r="W175" s="15">
        <v>1.05215932370162E-3</v>
      </c>
      <c r="X175" s="34">
        <v>1.2301972396860199</v>
      </c>
      <c r="Y175" s="34">
        <v>1.23013967146909</v>
      </c>
      <c r="Z175" s="34">
        <v>1.23006826518733</v>
      </c>
      <c r="AA175" s="34">
        <v>1.23016667900562</v>
      </c>
      <c r="AB175" s="33">
        <v>24.8005383815706</v>
      </c>
      <c r="AC175" s="33">
        <v>24.798372540359001</v>
      </c>
      <c r="AD175" s="33">
        <v>24.801760101259799</v>
      </c>
      <c r="AE175" s="15">
        <v>-4.67970192820919E-5</v>
      </c>
      <c r="AF175" s="15">
        <v>-1.3413124387103299E-4</v>
      </c>
      <c r="AG175" s="15">
        <v>2.46358866844646E-6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1.4351010197194789E-3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2.6620112459594556E-3</v>
      </c>
      <c r="BE175" s="29">
        <f t="shared" si="62"/>
        <v>0</v>
      </c>
      <c r="BF175" s="29">
        <f t="shared" si="63"/>
        <v>4.0971122656789346E-3</v>
      </c>
      <c r="BH175" s="29"/>
    </row>
    <row r="176" spans="1:60" x14ac:dyDescent="0.25">
      <c r="A176" s="1">
        <v>46279</v>
      </c>
      <c r="B176" s="33">
        <v>19.62</v>
      </c>
      <c r="C176" s="33">
        <v>24.12</v>
      </c>
      <c r="D176" s="15">
        <v>5.0981392896222097E-4</v>
      </c>
      <c r="E176" s="15">
        <v>0</v>
      </c>
      <c r="F176" s="33">
        <v>0</v>
      </c>
      <c r="G176" s="33">
        <v>0.55074999999999996</v>
      </c>
      <c r="H176" s="33">
        <v>0</v>
      </c>
      <c r="I176" s="33">
        <v>0.68169899999999894</v>
      </c>
      <c r="J176" s="33">
        <v>0.55074999999999996</v>
      </c>
      <c r="K176" s="33">
        <v>0.68169899999999894</v>
      </c>
      <c r="L176" s="33">
        <v>20.170750000000002</v>
      </c>
      <c r="M176" s="33">
        <v>24.801698999999999</v>
      </c>
      <c r="N176" s="34">
        <v>1.22935779816513</v>
      </c>
      <c r="O176" s="34">
        <v>1.23151696447737</v>
      </c>
      <c r="P176" s="34">
        <v>1.2302085981997599</v>
      </c>
      <c r="Q176" s="34">
        <v>1.23124407122149</v>
      </c>
      <c r="R176" s="33">
        <v>24.1623628430461</v>
      </c>
      <c r="S176" s="33">
        <v>24.146692696679398</v>
      </c>
      <c r="T176" s="33">
        <v>24.1570498777727</v>
      </c>
      <c r="U176" s="15">
        <v>1.7547962204997099E-3</v>
      </c>
      <c r="V176" s="15">
        <v>1.1060504836476199E-3</v>
      </c>
      <c r="W176" s="15">
        <v>1.53488604379443E-3</v>
      </c>
      <c r="X176" s="34">
        <v>1.22958734801631</v>
      </c>
      <c r="Y176" s="34">
        <v>1.23013967146909</v>
      </c>
      <c r="Z176" s="34">
        <v>1.22999372160318</v>
      </c>
      <c r="AA176" s="34">
        <v>1.23016370461587</v>
      </c>
      <c r="AB176" s="33">
        <v>24.812839778285301</v>
      </c>
      <c r="AC176" s="33">
        <v>24.811399460027399</v>
      </c>
      <c r="AD176" s="33">
        <v>24.813384540552601</v>
      </c>
      <c r="AE176" s="15">
        <v>4.4909329994355601E-4</v>
      </c>
      <c r="AF176" s="15">
        <v>3.9104431902641098E-4</v>
      </c>
      <c r="AG176" s="15">
        <v>4.7104791264575697E-4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1.4351010197194789E-3</v>
      </c>
      <c r="AT176" s="12"/>
      <c r="AU176">
        <f t="shared" si="50"/>
        <v>0</v>
      </c>
      <c r="AV176">
        <f t="shared" si="51"/>
        <v>0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2.6620112459594556E-3</v>
      </c>
      <c r="BE176" s="29">
        <f t="shared" si="62"/>
        <v>0</v>
      </c>
      <c r="BF176" s="29">
        <f t="shared" si="63"/>
        <v>4.0971122656789346E-3</v>
      </c>
      <c r="BH176" s="29"/>
    </row>
    <row r="177" spans="1:100" x14ac:dyDescent="0.25">
      <c r="A177">
        <v>46280</v>
      </c>
      <c r="B177" s="33">
        <v>19.62</v>
      </c>
      <c r="C177" s="33">
        <v>24.11</v>
      </c>
      <c r="D177" s="15">
        <v>0</v>
      </c>
      <c r="E177" s="15">
        <v>-4.1467966590509299E-4</v>
      </c>
      <c r="F177" s="33">
        <v>0</v>
      </c>
      <c r="G177" s="33">
        <v>0.55074999999999996</v>
      </c>
      <c r="H177" s="33">
        <v>0</v>
      </c>
      <c r="I177" s="33">
        <v>0.68169899999999894</v>
      </c>
      <c r="J177" s="33">
        <v>0.55074999999999996</v>
      </c>
      <c r="K177" s="33">
        <v>0.68169899999999894</v>
      </c>
      <c r="L177" s="33">
        <v>20.170750000000002</v>
      </c>
      <c r="M177" s="33">
        <v>24.791698999999898</v>
      </c>
      <c r="N177" s="34">
        <v>1.22884811416921</v>
      </c>
      <c r="O177" s="34">
        <v>1.23151696447737</v>
      </c>
      <c r="P177" s="34">
        <v>1.2297498826034301</v>
      </c>
      <c r="Q177" s="34">
        <v>1.2311597593726999</v>
      </c>
      <c r="R177" s="33">
        <v>24.1623628430461</v>
      </c>
      <c r="S177" s="33">
        <v>24.1366926966794</v>
      </c>
      <c r="T177" s="33">
        <v>24.157008677365798</v>
      </c>
      <c r="U177" s="15">
        <v>2.1694758864046499E-3</v>
      </c>
      <c r="V177" s="15">
        <v>1.1065089816905301E-3</v>
      </c>
      <c r="W177" s="15">
        <v>1.94786018513175E-3</v>
      </c>
      <c r="X177" s="34">
        <v>1.2290915806303599</v>
      </c>
      <c r="Y177" s="34">
        <v>1.23013967146909</v>
      </c>
      <c r="Z177" s="34">
        <v>1.2299687547576199</v>
      </c>
      <c r="AA177" s="34">
        <v>1.2300805643500099</v>
      </c>
      <c r="AB177" s="33">
        <v>24.812839778285301</v>
      </c>
      <c r="AC177" s="33">
        <v>24.8098958600274</v>
      </c>
      <c r="AD177" s="33">
        <v>24.813324544880601</v>
      </c>
      <c r="AE177" s="15">
        <v>8.5237279031166204E-4</v>
      </c>
      <c r="AF177" s="15">
        <v>7.3372079648386605E-4</v>
      </c>
      <c r="AG177" s="15">
        <v>8.7190952469110299E-4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25">
      <c r="A178">
        <v>46281</v>
      </c>
      <c r="B178" s="33">
        <v>19.61</v>
      </c>
      <c r="C178" s="33">
        <v>24.12</v>
      </c>
      <c r="D178" s="15">
        <v>-5.0981392896224601E-4</v>
      </c>
      <c r="E178" s="15">
        <v>4.14679665905059E-4</v>
      </c>
      <c r="F178" s="33">
        <v>0</v>
      </c>
      <c r="G178" s="33">
        <v>0.55074999999999996</v>
      </c>
      <c r="H178" s="33">
        <v>0</v>
      </c>
      <c r="I178" s="33">
        <v>0.68169899999999894</v>
      </c>
      <c r="J178" s="33">
        <v>0.55074999999999996</v>
      </c>
      <c r="K178" s="33">
        <v>0.68169899999999894</v>
      </c>
      <c r="L178" s="33">
        <v>20.16075</v>
      </c>
      <c r="M178" s="33">
        <v>24.801698999999999</v>
      </c>
      <c r="N178" s="34">
        <v>1.22998470168281</v>
      </c>
      <c r="O178" s="34">
        <v>1.23151696447737</v>
      </c>
      <c r="P178" s="34">
        <v>1.22968712828192</v>
      </c>
      <c r="Q178" s="34">
        <v>1.23110683160697</v>
      </c>
      <c r="R178" s="33">
        <v>24.150047673401399</v>
      </c>
      <c r="S178" s="33">
        <v>24.115395197853299</v>
      </c>
      <c r="T178" s="33">
        <v>24.1430428812988</v>
      </c>
      <c r="U178" s="15">
        <v>1.24498229153733E-3</v>
      </c>
      <c r="V178" s="15">
        <v>-1.9093042118666499E-4</v>
      </c>
      <c r="W178" s="15">
        <v>9.5488728741723202E-4</v>
      </c>
      <c r="X178" s="34">
        <v>1.2301972396860199</v>
      </c>
      <c r="Y178" s="34">
        <v>1.23013967146909</v>
      </c>
      <c r="Z178" s="34">
        <v>1.22990770505775</v>
      </c>
      <c r="AA178" s="34">
        <v>1.23002787014084</v>
      </c>
      <c r="AB178" s="33">
        <v>24.8005383815706</v>
      </c>
      <c r="AC178" s="33">
        <v>24.797092572479801</v>
      </c>
      <c r="AD178" s="33">
        <v>24.799346737719599</v>
      </c>
      <c r="AE178" s="15">
        <v>-4.67970192820919E-5</v>
      </c>
      <c r="AF178" s="15">
        <v>-1.8574757115446999E-4</v>
      </c>
      <c r="AG178" s="15">
        <v>-9.4847285865259695E-5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25">
      <c r="A179">
        <v>46282</v>
      </c>
      <c r="B179" s="33">
        <v>19.62</v>
      </c>
      <c r="C179" s="33">
        <v>24.14</v>
      </c>
      <c r="D179" s="15">
        <v>5.0981392896222097E-4</v>
      </c>
      <c r="E179" s="15">
        <v>8.2884381040069003E-4</v>
      </c>
      <c r="F179" s="33">
        <v>0</v>
      </c>
      <c r="G179" s="33">
        <v>0.55074999999999996</v>
      </c>
      <c r="H179" s="33">
        <v>0</v>
      </c>
      <c r="I179" s="33">
        <v>0.68169899999999894</v>
      </c>
      <c r="J179" s="33">
        <v>0.55074999999999996</v>
      </c>
      <c r="K179" s="33">
        <v>0.68169899999999894</v>
      </c>
      <c r="L179" s="33">
        <v>20.170750000000002</v>
      </c>
      <c r="M179" s="33">
        <v>24.821698999999999</v>
      </c>
      <c r="N179" s="34">
        <v>1.23037716615698</v>
      </c>
      <c r="O179" s="34">
        <v>1.23151696447737</v>
      </c>
      <c r="P179" s="34">
        <v>1.2297263747293301</v>
      </c>
      <c r="Q179" s="34">
        <v>1.23113026773781</v>
      </c>
      <c r="R179" s="33">
        <v>24.1623628430461</v>
      </c>
      <c r="S179" s="33">
        <v>24.126461456891199</v>
      </c>
      <c r="T179" s="33">
        <v>24.154316036128801</v>
      </c>
      <c r="U179" s="15">
        <v>9.2595241009886802E-4</v>
      </c>
      <c r="V179" s="15">
        <v>-5.6099175514904903E-4</v>
      </c>
      <c r="W179" s="15">
        <v>5.9286631319096204E-4</v>
      </c>
      <c r="X179" s="34">
        <v>1.2305788827881901</v>
      </c>
      <c r="Y179" s="34">
        <v>1.23013967146909</v>
      </c>
      <c r="Z179" s="34">
        <v>1.2299458693679699</v>
      </c>
      <c r="AA179" s="34">
        <v>1.2300496479248799</v>
      </c>
      <c r="AB179" s="33">
        <v>24.812839778285301</v>
      </c>
      <c r="AC179" s="33">
        <v>24.808160841793701</v>
      </c>
      <c r="AD179" s="33">
        <v>24.810584661643301</v>
      </c>
      <c r="AE179" s="15">
        <v>-3.5697810544129701E-4</v>
      </c>
      <c r="AF179" s="15">
        <v>-5.4556505237797405E-4</v>
      </c>
      <c r="AG179" s="15">
        <v>-4.4786730419959998E-4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25">
      <c r="A180">
        <v>46283</v>
      </c>
      <c r="B180" s="33">
        <v>19.62</v>
      </c>
      <c r="C180" s="33">
        <v>24.13</v>
      </c>
      <c r="D180" s="15">
        <v>0</v>
      </c>
      <c r="E180" s="15">
        <v>-4.1433603244512901E-4</v>
      </c>
      <c r="F180" s="33">
        <v>0</v>
      </c>
      <c r="G180" s="33">
        <v>0.55074999999999996</v>
      </c>
      <c r="H180" s="33">
        <v>0</v>
      </c>
      <c r="I180" s="33">
        <v>0.68169899999999894</v>
      </c>
      <c r="J180" s="33">
        <v>0.55074999999999996</v>
      </c>
      <c r="K180" s="33">
        <v>0.68169899999999894</v>
      </c>
      <c r="L180" s="33">
        <v>20.170750000000002</v>
      </c>
      <c r="M180" s="33">
        <v>24.811698999999901</v>
      </c>
      <c r="N180" s="34">
        <v>1.22986748216106</v>
      </c>
      <c r="O180" s="34">
        <v>1.23151696447737</v>
      </c>
      <c r="P180" s="34">
        <v>1.2297263747293301</v>
      </c>
      <c r="Q180" s="34">
        <v>1.23110278731891</v>
      </c>
      <c r="R180" s="33">
        <v>24.1623628430461</v>
      </c>
      <c r="S180" s="33">
        <v>24.1272314721896</v>
      </c>
      <c r="T180" s="33">
        <v>24.154775853015899</v>
      </c>
      <c r="U180" s="15">
        <v>1.3402884425440999E-3</v>
      </c>
      <c r="V180" s="15">
        <v>-1.14740432841425E-4</v>
      </c>
      <c r="W180" s="15">
        <v>1.0262387989873399E-3</v>
      </c>
      <c r="X180" s="34">
        <v>1.23008311540225</v>
      </c>
      <c r="Y180" s="34">
        <v>1.23013967146909</v>
      </c>
      <c r="Z180" s="34">
        <v>1.2299458693679699</v>
      </c>
      <c r="AA180" s="34">
        <v>1.2300218127748299</v>
      </c>
      <c r="AB180" s="33">
        <v>24.812839778285301</v>
      </c>
      <c r="AC180" s="33">
        <v>24.808930644554</v>
      </c>
      <c r="AD180" s="33">
        <v>24.811023935880801</v>
      </c>
      <c r="AE180" s="15">
        <v>4.5976378364671301E-5</v>
      </c>
      <c r="AF180" s="15">
        <v>-1.11580827113194E-4</v>
      </c>
      <c r="AG180" s="15">
        <v>-2.7207862819017401E-5</v>
      </c>
    </row>
    <row r="181" spans="1:100" x14ac:dyDescent="0.25">
      <c r="A181">
        <v>46286</v>
      </c>
      <c r="B181" s="33">
        <v>19.55</v>
      </c>
      <c r="C181" s="33">
        <v>24.14</v>
      </c>
      <c r="D181" s="15">
        <v>-3.5741677058422801E-3</v>
      </c>
      <c r="E181" s="15">
        <v>4.1433603244518202E-4</v>
      </c>
      <c r="F181" s="33">
        <v>6.9699999999999998E-2</v>
      </c>
      <c r="G181" s="33">
        <v>0.62044999999999995</v>
      </c>
      <c r="H181" s="33">
        <v>0</v>
      </c>
      <c r="I181" s="33">
        <v>0.68169899999999894</v>
      </c>
      <c r="J181" s="33">
        <v>0.62044999999999995</v>
      </c>
      <c r="K181" s="33">
        <v>0.68169899999999894</v>
      </c>
      <c r="L181" s="33">
        <v>20.170449999999999</v>
      </c>
      <c r="M181" s="33">
        <v>24.821698999999999</v>
      </c>
      <c r="N181" s="34">
        <v>1.2347826086956499</v>
      </c>
      <c r="O181" s="34">
        <v>1.23151696447737</v>
      </c>
      <c r="P181" s="34">
        <v>1.2302805398271199</v>
      </c>
      <c r="Q181" s="34">
        <v>1.2313269202956301</v>
      </c>
      <c r="R181" s="33">
        <v>24.076156655532699</v>
      </c>
      <c r="S181" s="33">
        <v>24.041150625958501</v>
      </c>
      <c r="T181" s="33">
        <v>24.0680594920847</v>
      </c>
      <c r="U181" s="15">
        <v>-2.6482152957432799E-3</v>
      </c>
      <c r="V181" s="15">
        <v>-4.1032441711286701E-3</v>
      </c>
      <c r="W181" s="15">
        <v>-2.9845864809996299E-3</v>
      </c>
      <c r="X181" s="34">
        <v>1.23059718548668</v>
      </c>
      <c r="Y181" s="34">
        <v>1.23013967146909</v>
      </c>
      <c r="Z181" s="34">
        <v>1.2300582296668201</v>
      </c>
      <c r="AA181" s="34">
        <v>1.23002540382084</v>
      </c>
      <c r="AB181" s="33">
        <v>24.812470736383801</v>
      </c>
      <c r="AC181" s="33">
        <v>24.808561660793199</v>
      </c>
      <c r="AD181" s="33">
        <v>24.810093473483999</v>
      </c>
      <c r="AE181" s="15">
        <v>-3.7185123762400698E-4</v>
      </c>
      <c r="AF181" s="15">
        <v>-5.2940844310185597E-4</v>
      </c>
      <c r="AG181" s="15">
        <v>-4.6766502473794002E-4</v>
      </c>
    </row>
    <row r="182" spans="1:100" x14ac:dyDescent="0.25">
      <c r="A182">
        <v>46287</v>
      </c>
      <c r="B182" s="33">
        <v>19.559999999999999</v>
      </c>
      <c r="C182" s="33">
        <v>24.13</v>
      </c>
      <c r="D182" s="15">
        <v>5.1137817529635203E-4</v>
      </c>
      <c r="E182" s="15">
        <v>-4.1433603244512901E-4</v>
      </c>
      <c r="F182" s="33">
        <v>0</v>
      </c>
      <c r="G182" s="33">
        <v>0.62044999999999995</v>
      </c>
      <c r="H182" s="33">
        <v>0</v>
      </c>
      <c r="I182" s="33">
        <v>0.68169899999999894</v>
      </c>
      <c r="J182" s="33">
        <v>0.62044999999999995</v>
      </c>
      <c r="K182" s="33">
        <v>0.68169899999999894</v>
      </c>
      <c r="L182" s="33">
        <v>20.18045</v>
      </c>
      <c r="M182" s="33">
        <v>24.811698999999901</v>
      </c>
      <c r="N182" s="34">
        <v>1.2336400817995901</v>
      </c>
      <c r="O182" s="34">
        <v>1.23151696447737</v>
      </c>
      <c r="P182" s="34">
        <v>1.2306068313913801</v>
      </c>
      <c r="Q182" s="34">
        <v>1.23133120893431</v>
      </c>
      <c r="R182" s="33">
        <v>24.0884718251775</v>
      </c>
      <c r="S182" s="33">
        <v>24.0642873590185</v>
      </c>
      <c r="T182" s="33">
        <v>24.084754560982599</v>
      </c>
      <c r="U182" s="15">
        <v>-1.72250108800184E-3</v>
      </c>
      <c r="V182" s="15">
        <v>-2.72699049223212E-3</v>
      </c>
      <c r="W182" s="15">
        <v>-1.87683014092813E-3</v>
      </c>
      <c r="X182" s="34">
        <v>1.2294918596958899</v>
      </c>
      <c r="Y182" s="34">
        <v>1.23013967146909</v>
      </c>
      <c r="Z182" s="34">
        <v>1.22994952735759</v>
      </c>
      <c r="AA182" s="34">
        <v>1.2300272465359301</v>
      </c>
      <c r="AB182" s="33">
        <v>24.824772133098499</v>
      </c>
      <c r="AC182" s="33">
        <v>24.823128600879802</v>
      </c>
      <c r="AD182" s="33">
        <v>24.822466160536401</v>
      </c>
      <c r="AE182" s="15">
        <v>5.26755150090929E-4</v>
      </c>
      <c r="AF182" s="15">
        <v>4.60547628927748E-4</v>
      </c>
      <c r="AG182" s="15">
        <v>4.3386085654943001E-4</v>
      </c>
    </row>
    <row r="183" spans="1:100" x14ac:dyDescent="0.25">
      <c r="A183">
        <v>46288</v>
      </c>
      <c r="B183" s="33">
        <v>19.55</v>
      </c>
      <c r="C183" s="33">
        <v>24.12</v>
      </c>
      <c r="D183" s="15">
        <v>-5.1137817529634704E-4</v>
      </c>
      <c r="E183" s="15">
        <v>-4.1450777795555397E-4</v>
      </c>
      <c r="F183" s="33">
        <v>0</v>
      </c>
      <c r="G183" s="33">
        <v>0.62044999999999995</v>
      </c>
      <c r="H183" s="33">
        <v>0</v>
      </c>
      <c r="I183" s="33">
        <v>0.68169899999999894</v>
      </c>
      <c r="J183" s="33">
        <v>0.62044999999999995</v>
      </c>
      <c r="K183" s="33">
        <v>0.68169899999999894</v>
      </c>
      <c r="L183" s="33">
        <v>20.170449999999999</v>
      </c>
      <c r="M183" s="33">
        <v>24.801698999999999</v>
      </c>
      <c r="N183" s="34">
        <v>1.23375959079283</v>
      </c>
      <c r="O183" s="34">
        <v>1.23151696447737</v>
      </c>
      <c r="P183" s="34">
        <v>1.23105869469889</v>
      </c>
      <c r="Q183" s="34">
        <v>1.23131597582734</v>
      </c>
      <c r="R183" s="33">
        <v>24.076156655532699</v>
      </c>
      <c r="S183" s="33">
        <v>24.0583635537016</v>
      </c>
      <c r="T183" s="33">
        <v>24.072525134665799</v>
      </c>
      <c r="U183" s="15">
        <v>-1.81937148534253E-3</v>
      </c>
      <c r="V183" s="15">
        <v>-2.55867884996444E-3</v>
      </c>
      <c r="W183" s="15">
        <v>-1.97021760360686E-3</v>
      </c>
      <c r="X183" s="34">
        <v>1.2296056359674601</v>
      </c>
      <c r="Y183" s="34">
        <v>1.23013967146909</v>
      </c>
      <c r="Z183" s="34">
        <v>1.2299627327045199</v>
      </c>
      <c r="AA183" s="34">
        <v>1.23000997739994</v>
      </c>
      <c r="AB183" s="33">
        <v>24.812470736383801</v>
      </c>
      <c r="AC183" s="33">
        <v>24.808635444090001</v>
      </c>
      <c r="AD183" s="33">
        <v>24.810203074890701</v>
      </c>
      <c r="AE183" s="15">
        <v>4.3422016776085097E-4</v>
      </c>
      <c r="AF183" s="15">
        <v>2.79637064048935E-4</v>
      </c>
      <c r="AG183" s="15">
        <v>3.4282398450309203E-4</v>
      </c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2026-09-28T01:08:25Z</dcterms:created>
  <dcterms:modified xsi:type="dcterms:W3CDTF">2026-09-28T01:47:50Z</dcterms:modified>
</cp:coreProperties>
</file>