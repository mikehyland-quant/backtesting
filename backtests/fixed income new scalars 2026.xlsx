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E3224C25-10D1-4C61-B5F0-23CFB13023D2}" xr6:coauthVersionLast="47" xr6:coauthVersionMax="47" xr10:uidLastSave="{00000000-0000-0000-0000-000000000000}"/>
  <bookViews>
    <workbookView xWindow="-120" yWindow="-120" windowWidth="29040" windowHeight="15720" activeTab="7" xr2:uid="{325810CA-51C8-491C-B2F6-F5168A39934B}"/>
  </bookViews>
  <sheets>
    <sheet name="test prices" sheetId="1" r:id="rId1"/>
    <sheet name="cwb icvt" sheetId="3" r:id="rId2"/>
    <sheet name="bwx igov" sheetId="4" r:id="rId3"/>
    <sheet name="vwob emb" sheetId="5" r:id="rId4"/>
    <sheet name="cmf vtec" sheetId="6" r:id="rId5"/>
    <sheet name="pffd pff" sheetId="7" r:id="rId6"/>
    <sheet name="bndx iagg" sheetId="8" r:id="rId7"/>
    <sheet name="faln angl" sheetId="2" r:id="rId8"/>
  </sheets>
  <calcPr calcId="0"/>
</workbook>
</file>

<file path=xl/calcChain.xml><?xml version="1.0" encoding="utf-8"?>
<calcChain xmlns="http://schemas.openxmlformats.org/spreadsheetml/2006/main">
  <c r="S5" i="3" l="1"/>
  <c r="S4" i="3"/>
  <c r="S6" i="3" s="1"/>
  <c r="S2" i="3"/>
  <c r="S5" i="4"/>
  <c r="S4" i="4"/>
  <c r="S6" i="4" s="1"/>
  <c r="S2" i="4"/>
  <c r="S5" i="5"/>
  <c r="S4" i="5"/>
  <c r="S6" i="5" s="1"/>
  <c r="S2" i="5"/>
  <c r="S5" i="6"/>
  <c r="S4" i="6"/>
  <c r="S6" i="6" s="1"/>
  <c r="S2" i="6"/>
  <c r="S5" i="7"/>
  <c r="S4" i="7"/>
  <c r="S6" i="7" s="1"/>
  <c r="S2" i="7"/>
  <c r="S5" i="8"/>
  <c r="S4" i="8"/>
  <c r="S6" i="8" s="1"/>
  <c r="S2" i="8"/>
  <c r="S5" i="2"/>
  <c r="S4" i="2"/>
  <c r="S6" i="2" s="1"/>
  <c r="S2" i="2"/>
  <c r="F1" i="2"/>
  <c r="G3" i="8"/>
  <c r="F3" i="8"/>
  <c r="M1" i="8"/>
  <c r="L1" i="8"/>
  <c r="O1" i="8" s="1"/>
  <c r="I1" i="8"/>
  <c r="H1" i="8"/>
  <c r="G1" i="8"/>
  <c r="F1" i="8"/>
  <c r="G3" i="7"/>
  <c r="F3" i="7"/>
  <c r="M1" i="7"/>
  <c r="L1" i="7"/>
  <c r="O1" i="7" s="1"/>
  <c r="I1" i="7"/>
  <c r="H1" i="7"/>
  <c r="G1" i="7"/>
  <c r="F1" i="7"/>
  <c r="G3" i="6"/>
  <c r="F3" i="6"/>
  <c r="M1" i="6"/>
  <c r="N1" i="6" s="1"/>
  <c r="L1" i="6"/>
  <c r="O1" i="6" s="1"/>
  <c r="I1" i="6"/>
  <c r="H1" i="6"/>
  <c r="G1" i="6"/>
  <c r="F1" i="6"/>
  <c r="G3" i="5"/>
  <c r="F3" i="5"/>
  <c r="M1" i="5"/>
  <c r="L1" i="5"/>
  <c r="O1" i="5" s="1"/>
  <c r="I1" i="5"/>
  <c r="H1" i="5"/>
  <c r="G1" i="5"/>
  <c r="F1" i="5"/>
  <c r="G3" i="2"/>
  <c r="F3" i="2"/>
  <c r="M1" i="2"/>
  <c r="L1" i="2"/>
  <c r="O1" i="2" s="1"/>
  <c r="I1" i="2"/>
  <c r="H1" i="2"/>
  <c r="G1" i="2"/>
  <c r="G3" i="4"/>
  <c r="F3" i="4"/>
  <c r="M1" i="4"/>
  <c r="N1" i="4" s="1"/>
  <c r="L1" i="4"/>
  <c r="O1" i="4" s="1"/>
  <c r="I1" i="4"/>
  <c r="H1" i="4"/>
  <c r="G1" i="4"/>
  <c r="F1" i="4"/>
  <c r="I1" i="3"/>
  <c r="H1" i="3"/>
  <c r="G3" i="3"/>
  <c r="F3" i="3"/>
  <c r="M1" i="3"/>
  <c r="L1" i="3"/>
  <c r="O1" i="3" s="1"/>
  <c r="G1" i="3"/>
  <c r="F1" i="3"/>
  <c r="N1" i="2" l="1"/>
  <c r="N1" i="8"/>
  <c r="N1" i="7"/>
  <c r="N1" i="5"/>
  <c r="G4" i="8"/>
  <c r="I3" i="8"/>
  <c r="F4" i="8"/>
  <c r="H3" i="8"/>
  <c r="G4" i="7"/>
  <c r="I3" i="7"/>
  <c r="H3" i="7"/>
  <c r="F4" i="7"/>
  <c r="I3" i="6"/>
  <c r="G4" i="6"/>
  <c r="F4" i="6"/>
  <c r="H3" i="6"/>
  <c r="I3" i="5"/>
  <c r="G4" i="5"/>
  <c r="F4" i="5"/>
  <c r="H3" i="5"/>
  <c r="I3" i="2"/>
  <c r="G4" i="2"/>
  <c r="H3" i="2"/>
  <c r="F4" i="2"/>
  <c r="I3" i="4"/>
  <c r="G4" i="4"/>
  <c r="F4" i="4"/>
  <c r="H3" i="4"/>
  <c r="N1" i="3"/>
  <c r="I3" i="3"/>
  <c r="G4" i="3"/>
  <c r="H3" i="3"/>
  <c r="F4" i="3"/>
  <c r="G5" i="8" l="1"/>
  <c r="I4" i="8"/>
  <c r="H4" i="8"/>
  <c r="F5" i="8"/>
  <c r="J3" i="8"/>
  <c r="G5" i="7"/>
  <c r="I4" i="7"/>
  <c r="F5" i="7"/>
  <c r="H4" i="7"/>
  <c r="J3" i="7"/>
  <c r="I4" i="6"/>
  <c r="G5" i="6"/>
  <c r="H4" i="6"/>
  <c r="F5" i="6"/>
  <c r="J3" i="6"/>
  <c r="G5" i="5"/>
  <c r="I4" i="5"/>
  <c r="H4" i="5"/>
  <c r="F5" i="5"/>
  <c r="J3" i="5"/>
  <c r="I4" i="2"/>
  <c r="G5" i="2"/>
  <c r="H4" i="2"/>
  <c r="F5" i="2"/>
  <c r="J3" i="2"/>
  <c r="I4" i="4"/>
  <c r="G5" i="4"/>
  <c r="F5" i="4"/>
  <c r="H4" i="4"/>
  <c r="J3" i="4"/>
  <c r="G5" i="3"/>
  <c r="I4" i="3"/>
  <c r="H4" i="3"/>
  <c r="F5" i="3"/>
  <c r="J3" i="3"/>
  <c r="J4" i="3" l="1"/>
  <c r="G6" i="8"/>
  <c r="I5" i="8"/>
  <c r="H5" i="8"/>
  <c r="F6" i="8"/>
  <c r="J4" i="8"/>
  <c r="G6" i="7"/>
  <c r="I5" i="7"/>
  <c r="H5" i="7"/>
  <c r="F6" i="7"/>
  <c r="J4" i="7"/>
  <c r="G6" i="6"/>
  <c r="I5" i="6"/>
  <c r="H5" i="6"/>
  <c r="F6" i="6"/>
  <c r="J4" i="6"/>
  <c r="I5" i="5"/>
  <c r="G6" i="5"/>
  <c r="H5" i="5"/>
  <c r="F6" i="5"/>
  <c r="J4" i="5"/>
  <c r="I5" i="2"/>
  <c r="G6" i="2"/>
  <c r="H5" i="2"/>
  <c r="F6" i="2"/>
  <c r="J4" i="2"/>
  <c r="I5" i="4"/>
  <c r="G6" i="4"/>
  <c r="H5" i="4"/>
  <c r="F6" i="4"/>
  <c r="J4" i="4"/>
  <c r="I5" i="3"/>
  <c r="G6" i="3"/>
  <c r="F6" i="3"/>
  <c r="H5" i="3"/>
  <c r="J5" i="3" l="1"/>
  <c r="J5" i="6"/>
  <c r="G7" i="8"/>
  <c r="I6" i="8"/>
  <c r="H6" i="8"/>
  <c r="F7" i="8"/>
  <c r="J5" i="8"/>
  <c r="I6" i="7"/>
  <c r="G7" i="7"/>
  <c r="F7" i="7"/>
  <c r="H6" i="7"/>
  <c r="J5" i="7"/>
  <c r="I6" i="6"/>
  <c r="G7" i="6"/>
  <c r="H6" i="6"/>
  <c r="F7" i="6"/>
  <c r="G7" i="5"/>
  <c r="I6" i="5"/>
  <c r="H6" i="5"/>
  <c r="F7" i="5"/>
  <c r="J5" i="5"/>
  <c r="G7" i="2"/>
  <c r="I6" i="2"/>
  <c r="H6" i="2"/>
  <c r="F7" i="2"/>
  <c r="J5" i="2"/>
  <c r="I6" i="4"/>
  <c r="G7" i="4"/>
  <c r="H6" i="4"/>
  <c r="F7" i="4"/>
  <c r="J5" i="4"/>
  <c r="G7" i="3"/>
  <c r="I6" i="3"/>
  <c r="F7" i="3"/>
  <c r="H6" i="3"/>
  <c r="J6" i="3" l="1"/>
  <c r="J6" i="8"/>
  <c r="J6" i="2"/>
  <c r="I7" i="8"/>
  <c r="G8" i="8"/>
  <c r="F8" i="8"/>
  <c r="H7" i="8"/>
  <c r="I7" i="7"/>
  <c r="G8" i="7"/>
  <c r="F8" i="7"/>
  <c r="H7" i="7"/>
  <c r="J6" i="7"/>
  <c r="I7" i="6"/>
  <c r="G8" i="6"/>
  <c r="H7" i="6"/>
  <c r="F8" i="6"/>
  <c r="J6" i="6"/>
  <c r="I7" i="5"/>
  <c r="G8" i="5"/>
  <c r="H7" i="5"/>
  <c r="F8" i="5"/>
  <c r="J6" i="5"/>
  <c r="G8" i="2"/>
  <c r="I7" i="2"/>
  <c r="H7" i="2"/>
  <c r="F8" i="2"/>
  <c r="I7" i="4"/>
  <c r="G8" i="4"/>
  <c r="H7" i="4"/>
  <c r="F8" i="4"/>
  <c r="J6" i="4"/>
  <c r="I7" i="3"/>
  <c r="G8" i="3"/>
  <c r="F8" i="3"/>
  <c r="H7" i="3"/>
  <c r="J7" i="3" l="1"/>
  <c r="J7" i="2"/>
  <c r="G9" i="8"/>
  <c r="I8" i="8"/>
  <c r="F9" i="8"/>
  <c r="H8" i="8"/>
  <c r="J7" i="8"/>
  <c r="G9" i="7"/>
  <c r="I8" i="7"/>
  <c r="H8" i="7"/>
  <c r="F9" i="7"/>
  <c r="J7" i="7"/>
  <c r="I8" i="6"/>
  <c r="G9" i="6"/>
  <c r="F9" i="6"/>
  <c r="H8" i="6"/>
  <c r="J7" i="6"/>
  <c r="I8" i="5"/>
  <c r="G9" i="5"/>
  <c r="H8" i="5"/>
  <c r="F9" i="5"/>
  <c r="J7" i="5"/>
  <c r="I8" i="2"/>
  <c r="G9" i="2"/>
  <c r="H8" i="2"/>
  <c r="F9" i="2"/>
  <c r="I8" i="4"/>
  <c r="G9" i="4"/>
  <c r="H8" i="4"/>
  <c r="F9" i="4"/>
  <c r="J7" i="4"/>
  <c r="I8" i="3"/>
  <c r="G9" i="3"/>
  <c r="F9" i="3"/>
  <c r="H8" i="3"/>
  <c r="J8" i="3" l="1"/>
  <c r="G10" i="8"/>
  <c r="I9" i="8"/>
  <c r="F10" i="8"/>
  <c r="H9" i="8"/>
  <c r="J8" i="8"/>
  <c r="I9" i="7"/>
  <c r="G10" i="7"/>
  <c r="F10" i="7"/>
  <c r="H9" i="7"/>
  <c r="J8" i="7"/>
  <c r="I9" i="6"/>
  <c r="G10" i="6"/>
  <c r="H9" i="6"/>
  <c r="F10" i="6"/>
  <c r="J8" i="6"/>
  <c r="G10" i="5"/>
  <c r="I9" i="5"/>
  <c r="H9" i="5"/>
  <c r="F10" i="5"/>
  <c r="J8" i="5"/>
  <c r="I9" i="2"/>
  <c r="G10" i="2"/>
  <c r="F10" i="2"/>
  <c r="H9" i="2"/>
  <c r="J8" i="2"/>
  <c r="G10" i="4"/>
  <c r="I9" i="4"/>
  <c r="F10" i="4"/>
  <c r="H9" i="4"/>
  <c r="J8" i="4"/>
  <c r="G10" i="3"/>
  <c r="I9" i="3"/>
  <c r="F10" i="3"/>
  <c r="H9" i="3"/>
  <c r="J9" i="3" l="1"/>
  <c r="J9" i="4"/>
  <c r="G11" i="8"/>
  <c r="I10" i="8"/>
  <c r="F11" i="8"/>
  <c r="H10" i="8"/>
  <c r="J9" i="8"/>
  <c r="I10" i="7"/>
  <c r="G11" i="7"/>
  <c r="H10" i="7"/>
  <c r="F11" i="7"/>
  <c r="J9" i="7"/>
  <c r="G11" i="6"/>
  <c r="I10" i="6"/>
  <c r="H10" i="6"/>
  <c r="F11" i="6"/>
  <c r="J9" i="6"/>
  <c r="G11" i="5"/>
  <c r="I10" i="5"/>
  <c r="F11" i="5"/>
  <c r="H10" i="5"/>
  <c r="J9" i="5"/>
  <c r="I10" i="2"/>
  <c r="G11" i="2"/>
  <c r="H10" i="2"/>
  <c r="F11" i="2"/>
  <c r="J9" i="2"/>
  <c r="G11" i="4"/>
  <c r="I10" i="4"/>
  <c r="F11" i="4"/>
  <c r="H10" i="4"/>
  <c r="G11" i="3"/>
  <c r="I10" i="3"/>
  <c r="F11" i="3"/>
  <c r="H10" i="3"/>
  <c r="J10" i="3" l="1"/>
  <c r="J10" i="6"/>
  <c r="G12" i="8"/>
  <c r="I11" i="8"/>
  <c r="F12" i="8"/>
  <c r="H11" i="8"/>
  <c r="J10" i="8"/>
  <c r="G12" i="7"/>
  <c r="I11" i="7"/>
  <c r="H11" i="7"/>
  <c r="F12" i="7"/>
  <c r="J10" i="7"/>
  <c r="I11" i="6"/>
  <c r="G12" i="6"/>
  <c r="H11" i="6"/>
  <c r="F12" i="6"/>
  <c r="I11" i="5"/>
  <c r="G12" i="5"/>
  <c r="F12" i="5"/>
  <c r="H11" i="5"/>
  <c r="J10" i="5"/>
  <c r="I11" i="2"/>
  <c r="G12" i="2"/>
  <c r="H11" i="2"/>
  <c r="F12" i="2"/>
  <c r="J10" i="2"/>
  <c r="I11" i="4"/>
  <c r="G12" i="4"/>
  <c r="F12" i="4"/>
  <c r="H11" i="4"/>
  <c r="J10" i="4"/>
  <c r="G12" i="3"/>
  <c r="I11" i="3"/>
  <c r="H11" i="3"/>
  <c r="F12" i="3"/>
  <c r="J11" i="3" l="1"/>
  <c r="G13" i="8"/>
  <c r="I12" i="8"/>
  <c r="F13" i="8"/>
  <c r="H12" i="8"/>
  <c r="J11" i="8"/>
  <c r="I12" i="7"/>
  <c r="G13" i="7"/>
  <c r="F13" i="7"/>
  <c r="H12" i="7"/>
  <c r="J11" i="7"/>
  <c r="G13" i="6"/>
  <c r="I12" i="6"/>
  <c r="F13" i="6"/>
  <c r="H12" i="6"/>
  <c r="J11" i="6"/>
  <c r="G13" i="5"/>
  <c r="I12" i="5"/>
  <c r="H12" i="5"/>
  <c r="F13" i="5"/>
  <c r="J11" i="5"/>
  <c r="G13" i="2"/>
  <c r="I12" i="2"/>
  <c r="F13" i="2"/>
  <c r="H12" i="2"/>
  <c r="J11" i="2"/>
  <c r="I12" i="4"/>
  <c r="G13" i="4"/>
  <c r="H12" i="4"/>
  <c r="F13" i="4"/>
  <c r="J11" i="4"/>
  <c r="I12" i="3"/>
  <c r="G13" i="3"/>
  <c r="F13" i="3"/>
  <c r="H12" i="3"/>
  <c r="J12" i="3" l="1"/>
  <c r="J12" i="6"/>
  <c r="I13" i="8"/>
  <c r="G14" i="8"/>
  <c r="F14" i="8"/>
  <c r="H13" i="8"/>
  <c r="J12" i="8"/>
  <c r="I13" i="7"/>
  <c r="G14" i="7"/>
  <c r="F14" i="7"/>
  <c r="H13" i="7"/>
  <c r="J12" i="7"/>
  <c r="I13" i="6"/>
  <c r="G14" i="6"/>
  <c r="F14" i="6"/>
  <c r="H13" i="6"/>
  <c r="I13" i="5"/>
  <c r="G14" i="5"/>
  <c r="H13" i="5"/>
  <c r="F14" i="5"/>
  <c r="J12" i="5"/>
  <c r="G14" i="2"/>
  <c r="I13" i="2"/>
  <c r="H13" i="2"/>
  <c r="F14" i="2"/>
  <c r="J12" i="2"/>
  <c r="G14" i="4"/>
  <c r="I13" i="4"/>
  <c r="F14" i="4"/>
  <c r="H13" i="4"/>
  <c r="J12" i="4"/>
  <c r="I13" i="3"/>
  <c r="G14" i="3"/>
  <c r="H13" i="3"/>
  <c r="F14" i="3"/>
  <c r="J13" i="3" l="1"/>
  <c r="G15" i="8"/>
  <c r="I14" i="8"/>
  <c r="F15" i="8"/>
  <c r="H14" i="8"/>
  <c r="J13" i="8"/>
  <c r="G15" i="7"/>
  <c r="I14" i="7"/>
  <c r="F15" i="7"/>
  <c r="H14" i="7"/>
  <c r="J13" i="7"/>
  <c r="G15" i="6"/>
  <c r="I14" i="6"/>
  <c r="H14" i="6"/>
  <c r="F15" i="6"/>
  <c r="J13" i="6"/>
  <c r="I14" i="5"/>
  <c r="G15" i="5"/>
  <c r="F15" i="5"/>
  <c r="H14" i="5"/>
  <c r="J13" i="5"/>
  <c r="G15" i="2"/>
  <c r="I14" i="2"/>
  <c r="H14" i="2"/>
  <c r="F15" i="2"/>
  <c r="J13" i="2"/>
  <c r="I14" i="4"/>
  <c r="G15" i="4"/>
  <c r="H14" i="4"/>
  <c r="F15" i="4"/>
  <c r="J13" i="4"/>
  <c r="I14" i="3"/>
  <c r="G15" i="3"/>
  <c r="H14" i="3"/>
  <c r="F15" i="3"/>
  <c r="J14" i="3" l="1"/>
  <c r="G16" i="8"/>
  <c r="I15" i="8"/>
  <c r="F16" i="8"/>
  <c r="H15" i="8"/>
  <c r="J14" i="8"/>
  <c r="G16" i="7"/>
  <c r="I15" i="7"/>
  <c r="F16" i="7"/>
  <c r="H15" i="7"/>
  <c r="J14" i="7"/>
  <c r="G16" i="6"/>
  <c r="I15" i="6"/>
  <c r="H15" i="6"/>
  <c r="F16" i="6"/>
  <c r="J14" i="6"/>
  <c r="I15" i="5"/>
  <c r="G16" i="5"/>
  <c r="H15" i="5"/>
  <c r="F16" i="5"/>
  <c r="J14" i="5"/>
  <c r="I15" i="2"/>
  <c r="G16" i="2"/>
  <c r="H15" i="2"/>
  <c r="F16" i="2"/>
  <c r="J14" i="2"/>
  <c r="I15" i="4"/>
  <c r="G16" i="4"/>
  <c r="F16" i="4"/>
  <c r="H15" i="4"/>
  <c r="J14" i="4"/>
  <c r="I15" i="3"/>
  <c r="G16" i="3"/>
  <c r="H15" i="3"/>
  <c r="F16" i="3"/>
  <c r="J15" i="3" l="1"/>
  <c r="J15" i="8"/>
  <c r="G17" i="8"/>
  <c r="I16" i="8"/>
  <c r="H16" i="8"/>
  <c r="F17" i="8"/>
  <c r="G17" i="7"/>
  <c r="I16" i="7"/>
  <c r="H16" i="7"/>
  <c r="F17" i="7"/>
  <c r="J15" i="7"/>
  <c r="G17" i="6"/>
  <c r="I16" i="6"/>
  <c r="F17" i="6"/>
  <c r="H16" i="6"/>
  <c r="J15" i="6"/>
  <c r="I16" i="5"/>
  <c r="G17" i="5"/>
  <c r="H16" i="5"/>
  <c r="F17" i="5"/>
  <c r="J15" i="5"/>
  <c r="G17" i="2"/>
  <c r="I16" i="2"/>
  <c r="F17" i="2"/>
  <c r="H16" i="2"/>
  <c r="J15" i="2"/>
  <c r="I16" i="4"/>
  <c r="G17" i="4"/>
  <c r="F17" i="4"/>
  <c r="H16" i="4"/>
  <c r="J15" i="4"/>
  <c r="I16" i="3"/>
  <c r="G17" i="3"/>
  <c r="F17" i="3"/>
  <c r="H16" i="3"/>
  <c r="J16" i="3" l="1"/>
  <c r="J16" i="4"/>
  <c r="I17" i="8"/>
  <c r="G18" i="8"/>
  <c r="H17" i="8"/>
  <c r="F18" i="8"/>
  <c r="J16" i="8"/>
  <c r="G18" i="7"/>
  <c r="I17" i="7"/>
  <c r="H17" i="7"/>
  <c r="F18" i="7"/>
  <c r="J16" i="7"/>
  <c r="I17" i="6"/>
  <c r="G18" i="6"/>
  <c r="H17" i="6"/>
  <c r="F18" i="6"/>
  <c r="J16" i="6"/>
  <c r="I17" i="5"/>
  <c r="G18" i="5"/>
  <c r="H17" i="5"/>
  <c r="F18" i="5"/>
  <c r="J16" i="5"/>
  <c r="G18" i="2"/>
  <c r="I17" i="2"/>
  <c r="F18" i="2"/>
  <c r="H17" i="2"/>
  <c r="J16" i="2"/>
  <c r="G18" i="4"/>
  <c r="I17" i="4"/>
  <c r="H17" i="4"/>
  <c r="F18" i="4"/>
  <c r="I17" i="3"/>
  <c r="G18" i="3"/>
  <c r="H17" i="3"/>
  <c r="F18" i="3"/>
  <c r="J17" i="3" l="1"/>
  <c r="J17" i="7"/>
  <c r="I18" i="8"/>
  <c r="G19" i="8"/>
  <c r="F19" i="8"/>
  <c r="H18" i="8"/>
  <c r="J17" i="8"/>
  <c r="I18" i="7"/>
  <c r="G19" i="7"/>
  <c r="H18" i="7"/>
  <c r="F19" i="7"/>
  <c r="I18" i="6"/>
  <c r="G19" i="6"/>
  <c r="H18" i="6"/>
  <c r="F19" i="6"/>
  <c r="J17" i="6"/>
  <c r="G19" i="5"/>
  <c r="I18" i="5"/>
  <c r="H18" i="5"/>
  <c r="F19" i="5"/>
  <c r="J17" i="5"/>
  <c r="I18" i="2"/>
  <c r="G19" i="2"/>
  <c r="F19" i="2"/>
  <c r="H18" i="2"/>
  <c r="J17" i="2"/>
  <c r="I18" i="4"/>
  <c r="G19" i="4"/>
  <c r="H18" i="4"/>
  <c r="F19" i="4"/>
  <c r="J17" i="4"/>
  <c r="I18" i="3"/>
  <c r="G19" i="3"/>
  <c r="F19" i="3"/>
  <c r="H18" i="3"/>
  <c r="J18" i="3" l="1"/>
  <c r="I19" i="8"/>
  <c r="G20" i="8"/>
  <c r="H19" i="8"/>
  <c r="F20" i="8"/>
  <c r="J18" i="8"/>
  <c r="G20" i="7"/>
  <c r="I19" i="7"/>
  <c r="F20" i="7"/>
  <c r="H19" i="7"/>
  <c r="J18" i="7"/>
  <c r="G20" i="6"/>
  <c r="I19" i="6"/>
  <c r="F20" i="6"/>
  <c r="H19" i="6"/>
  <c r="J18" i="6"/>
  <c r="I19" i="5"/>
  <c r="G20" i="5"/>
  <c r="F20" i="5"/>
  <c r="H19" i="5"/>
  <c r="J18" i="5"/>
  <c r="I19" i="2"/>
  <c r="G20" i="2"/>
  <c r="F20" i="2"/>
  <c r="H19" i="2"/>
  <c r="J18" i="2"/>
  <c r="G20" i="4"/>
  <c r="I19" i="4"/>
  <c r="F20" i="4"/>
  <c r="H19" i="4"/>
  <c r="J18" i="4"/>
  <c r="G20" i="3"/>
  <c r="I19" i="3"/>
  <c r="F20" i="3"/>
  <c r="H19" i="3"/>
  <c r="J19" i="3" l="1"/>
  <c r="G21" i="8"/>
  <c r="I20" i="8"/>
  <c r="H20" i="8"/>
  <c r="F21" i="8"/>
  <c r="J19" i="8"/>
  <c r="I20" i="7"/>
  <c r="G21" i="7"/>
  <c r="H20" i="7"/>
  <c r="F21" i="7"/>
  <c r="J19" i="7"/>
  <c r="G21" i="6"/>
  <c r="I20" i="6"/>
  <c r="H20" i="6"/>
  <c r="F21" i="6"/>
  <c r="J19" i="6"/>
  <c r="I20" i="5"/>
  <c r="G21" i="5"/>
  <c r="F21" i="5"/>
  <c r="H20" i="5"/>
  <c r="J19" i="5"/>
  <c r="G21" i="2"/>
  <c r="I20" i="2"/>
  <c r="F21" i="2"/>
  <c r="H20" i="2"/>
  <c r="J19" i="2"/>
  <c r="G21" i="4"/>
  <c r="I20" i="4"/>
  <c r="H20" i="4"/>
  <c r="F21" i="4"/>
  <c r="J19" i="4"/>
  <c r="I20" i="3"/>
  <c r="J20" i="3" s="1"/>
  <c r="G21" i="3"/>
  <c r="H20" i="3"/>
  <c r="F21" i="3"/>
  <c r="G22" i="8" l="1"/>
  <c r="I21" i="8"/>
  <c r="H21" i="8"/>
  <c r="F22" i="8"/>
  <c r="J20" i="8"/>
  <c r="G22" i="7"/>
  <c r="I21" i="7"/>
  <c r="F22" i="7"/>
  <c r="H21" i="7"/>
  <c r="J20" i="7"/>
  <c r="G22" i="6"/>
  <c r="I21" i="6"/>
  <c r="H21" i="6"/>
  <c r="F22" i="6"/>
  <c r="J20" i="6"/>
  <c r="I21" i="5"/>
  <c r="G22" i="5"/>
  <c r="H21" i="5"/>
  <c r="F22" i="5"/>
  <c r="J20" i="5"/>
  <c r="G22" i="2"/>
  <c r="I21" i="2"/>
  <c r="F22" i="2"/>
  <c r="H21" i="2"/>
  <c r="J20" i="2"/>
  <c r="G22" i="4"/>
  <c r="I21" i="4"/>
  <c r="F22" i="4"/>
  <c r="H21" i="4"/>
  <c r="J20" i="4"/>
  <c r="G22" i="3"/>
  <c r="I22" i="3" s="1"/>
  <c r="I21" i="3"/>
  <c r="J21" i="3" s="1"/>
  <c r="F22" i="3"/>
  <c r="H22" i="3" s="1"/>
  <c r="H21" i="3"/>
  <c r="J22" i="3" l="1"/>
  <c r="K22" i="3" s="1"/>
  <c r="J21" i="6"/>
  <c r="I22" i="8"/>
  <c r="G23" i="8"/>
  <c r="F23" i="8"/>
  <c r="H22" i="8"/>
  <c r="J21" i="8"/>
  <c r="I22" i="7"/>
  <c r="G23" i="7"/>
  <c r="F23" i="7"/>
  <c r="H22" i="7"/>
  <c r="J21" i="7"/>
  <c r="G23" i="6"/>
  <c r="I22" i="6"/>
  <c r="H22" i="6"/>
  <c r="F23" i="6"/>
  <c r="I22" i="5"/>
  <c r="G23" i="5"/>
  <c r="H22" i="5"/>
  <c r="F23" i="5"/>
  <c r="J21" i="5"/>
  <c r="I22" i="2"/>
  <c r="G23" i="2"/>
  <c r="F23" i="2"/>
  <c r="H22" i="2"/>
  <c r="J21" i="2"/>
  <c r="G23" i="4"/>
  <c r="I22" i="4"/>
  <c r="F23" i="4"/>
  <c r="H22" i="4"/>
  <c r="J21" i="4"/>
  <c r="G23" i="3"/>
  <c r="F23" i="3"/>
  <c r="I23" i="8" l="1"/>
  <c r="G24" i="8"/>
  <c r="H23" i="8"/>
  <c r="F24" i="8"/>
  <c r="J22" i="8"/>
  <c r="G24" i="7"/>
  <c r="I23" i="7"/>
  <c r="H23" i="7"/>
  <c r="F24" i="7"/>
  <c r="J22" i="7"/>
  <c r="I23" i="6"/>
  <c r="G24" i="6"/>
  <c r="H23" i="6"/>
  <c r="F24" i="6"/>
  <c r="J22" i="6"/>
  <c r="I23" i="5"/>
  <c r="G24" i="5"/>
  <c r="H23" i="5"/>
  <c r="F24" i="5"/>
  <c r="J22" i="5"/>
  <c r="G24" i="2"/>
  <c r="I23" i="2"/>
  <c r="F24" i="2"/>
  <c r="H23" i="2"/>
  <c r="J22" i="2"/>
  <c r="G24" i="4"/>
  <c r="I23" i="4"/>
  <c r="H23" i="4"/>
  <c r="F24" i="4"/>
  <c r="K22" i="4"/>
  <c r="L23" i="4" s="1"/>
  <c r="J22" i="4"/>
  <c r="I23" i="3"/>
  <c r="G24" i="3"/>
  <c r="F24" i="3"/>
  <c r="H23" i="3"/>
  <c r="L23" i="3" s="1"/>
  <c r="J23" i="3" l="1"/>
  <c r="M23" i="3"/>
  <c r="M23" i="8"/>
  <c r="J23" i="8"/>
  <c r="G25" i="8"/>
  <c r="I24" i="8"/>
  <c r="H24" i="8"/>
  <c r="F25" i="8"/>
  <c r="K23" i="8"/>
  <c r="L24" i="8" s="1"/>
  <c r="K22" i="8"/>
  <c r="L23" i="8" s="1"/>
  <c r="G25" i="7"/>
  <c r="I24" i="7"/>
  <c r="J23" i="7"/>
  <c r="M23" i="7"/>
  <c r="H24" i="7"/>
  <c r="F25" i="7"/>
  <c r="K23" i="7"/>
  <c r="L24" i="7" s="1"/>
  <c r="K22" i="7"/>
  <c r="L23" i="7" s="1"/>
  <c r="J23" i="6"/>
  <c r="M23" i="6"/>
  <c r="G25" i="6"/>
  <c r="I24" i="6"/>
  <c r="H24" i="6"/>
  <c r="F25" i="6"/>
  <c r="K23" i="6"/>
  <c r="L24" i="6" s="1"/>
  <c r="K22" i="6"/>
  <c r="L23" i="6" s="1"/>
  <c r="M23" i="5"/>
  <c r="J23" i="5"/>
  <c r="I24" i="5"/>
  <c r="G25" i="5"/>
  <c r="F25" i="5"/>
  <c r="H24" i="5"/>
  <c r="K23" i="5"/>
  <c r="L24" i="5" s="1"/>
  <c r="K22" i="5"/>
  <c r="L23" i="5" s="1"/>
  <c r="G25" i="2"/>
  <c r="I24" i="2"/>
  <c r="M23" i="2"/>
  <c r="J23" i="2"/>
  <c r="F25" i="2"/>
  <c r="H24" i="2"/>
  <c r="K23" i="2"/>
  <c r="L24" i="2" s="1"/>
  <c r="K22" i="2"/>
  <c r="L23" i="2" s="1"/>
  <c r="I24" i="4"/>
  <c r="G25" i="4"/>
  <c r="J23" i="4"/>
  <c r="M23" i="4"/>
  <c r="N23" i="4" s="1"/>
  <c r="O23" i="4" s="1"/>
  <c r="H24" i="4"/>
  <c r="F25" i="4"/>
  <c r="K23" i="4"/>
  <c r="L24" i="4" s="1"/>
  <c r="I24" i="3"/>
  <c r="G25" i="3"/>
  <c r="F25" i="3"/>
  <c r="H24" i="3"/>
  <c r="N23" i="3"/>
  <c r="O23" i="3" s="1"/>
  <c r="J24" i="3" l="1"/>
  <c r="M24" i="3"/>
  <c r="N23" i="6"/>
  <c r="O23" i="6" s="1"/>
  <c r="G26" i="8"/>
  <c r="I25" i="8"/>
  <c r="J24" i="8"/>
  <c r="M24" i="8"/>
  <c r="N24" i="8" s="1"/>
  <c r="O24" i="8" s="1"/>
  <c r="F26" i="8"/>
  <c r="H25" i="8"/>
  <c r="N23" i="8"/>
  <c r="O23" i="8" s="1"/>
  <c r="G26" i="7"/>
  <c r="I25" i="7"/>
  <c r="J24" i="7"/>
  <c r="M24" i="7"/>
  <c r="N24" i="7" s="1"/>
  <c r="O24" i="7" s="1"/>
  <c r="K24" i="7"/>
  <c r="H25" i="7"/>
  <c r="F26" i="7"/>
  <c r="N23" i="7"/>
  <c r="O23" i="7" s="1"/>
  <c r="G26" i="6"/>
  <c r="I25" i="6"/>
  <c r="J24" i="6"/>
  <c r="M24" i="6"/>
  <c r="N24" i="6" s="1"/>
  <c r="O24" i="6" s="1"/>
  <c r="H25" i="6"/>
  <c r="F26" i="6"/>
  <c r="M24" i="5"/>
  <c r="N24" i="5" s="1"/>
  <c r="O24" i="5" s="1"/>
  <c r="J24" i="5"/>
  <c r="I25" i="5"/>
  <c r="G26" i="5"/>
  <c r="F26" i="5"/>
  <c r="H25" i="5"/>
  <c r="N23" i="5"/>
  <c r="O23" i="5" s="1"/>
  <c r="G26" i="2"/>
  <c r="I25" i="2"/>
  <c r="J24" i="2"/>
  <c r="M24" i="2"/>
  <c r="N24" i="2" s="1"/>
  <c r="O24" i="2" s="1"/>
  <c r="K24" i="2"/>
  <c r="F26" i="2"/>
  <c r="H25" i="2"/>
  <c r="N23" i="2"/>
  <c r="O23" i="2" s="1"/>
  <c r="J24" i="4"/>
  <c r="M24" i="4"/>
  <c r="N24" i="4" s="1"/>
  <c r="O24" i="4" s="1"/>
  <c r="G26" i="4"/>
  <c r="I25" i="4"/>
  <c r="K24" i="4"/>
  <c r="H25" i="4"/>
  <c r="F26" i="4"/>
  <c r="G26" i="3"/>
  <c r="I25" i="3"/>
  <c r="H25" i="3"/>
  <c r="F26" i="3"/>
  <c r="K23" i="3"/>
  <c r="L24" i="3" s="1"/>
  <c r="N24" i="3" s="1"/>
  <c r="O24" i="3" s="1"/>
  <c r="M25" i="3" l="1"/>
  <c r="J25" i="3"/>
  <c r="L25" i="2"/>
  <c r="L25" i="7"/>
  <c r="G27" i="8"/>
  <c r="I26" i="8"/>
  <c r="M25" i="8"/>
  <c r="J25" i="8"/>
  <c r="K25" i="8" s="1"/>
  <c r="H26" i="8"/>
  <c r="F27" i="8"/>
  <c r="K24" i="8"/>
  <c r="L25" i="8" s="1"/>
  <c r="G27" i="7"/>
  <c r="I26" i="7"/>
  <c r="M25" i="7"/>
  <c r="N25" i="7" s="1"/>
  <c r="O25" i="7" s="1"/>
  <c r="J25" i="7"/>
  <c r="K25" i="7"/>
  <c r="F27" i="7"/>
  <c r="H26" i="7"/>
  <c r="I26" i="6"/>
  <c r="G27" i="6"/>
  <c r="M25" i="6"/>
  <c r="J25" i="6"/>
  <c r="K25" i="6" s="1"/>
  <c r="H26" i="6"/>
  <c r="F27" i="6"/>
  <c r="K24" i="6"/>
  <c r="L25" i="6" s="1"/>
  <c r="M25" i="5"/>
  <c r="J25" i="5"/>
  <c r="K25" i="5" s="1"/>
  <c r="G27" i="5"/>
  <c r="I26" i="5"/>
  <c r="F27" i="5"/>
  <c r="H26" i="5"/>
  <c r="K24" i="5"/>
  <c r="L25" i="5" s="1"/>
  <c r="G27" i="2"/>
  <c r="I26" i="2"/>
  <c r="M25" i="2"/>
  <c r="J25" i="2"/>
  <c r="K25" i="2"/>
  <c r="F27" i="2"/>
  <c r="H26" i="2"/>
  <c r="G27" i="4"/>
  <c r="I26" i="4"/>
  <c r="M25" i="4"/>
  <c r="J25" i="4"/>
  <c r="H26" i="4"/>
  <c r="F27" i="4"/>
  <c r="L25" i="4"/>
  <c r="G27" i="3"/>
  <c r="I26" i="3"/>
  <c r="F27" i="3"/>
  <c r="H26" i="3"/>
  <c r="K24" i="3"/>
  <c r="L25" i="3" s="1"/>
  <c r="N25" i="3" l="1"/>
  <c r="O25" i="3" s="1"/>
  <c r="J26" i="3"/>
  <c r="M26" i="3"/>
  <c r="N25" i="2"/>
  <c r="O25" i="2" s="1"/>
  <c r="L26" i="7"/>
  <c r="L26" i="6"/>
  <c r="L26" i="5"/>
  <c r="N25" i="5"/>
  <c r="O25" i="5" s="1"/>
  <c r="I27" i="8"/>
  <c r="G28" i="8"/>
  <c r="M26" i="8"/>
  <c r="J26" i="8"/>
  <c r="K26" i="8"/>
  <c r="H27" i="8"/>
  <c r="F28" i="8"/>
  <c r="N25" i="8"/>
  <c r="O25" i="8" s="1"/>
  <c r="L26" i="8"/>
  <c r="I27" i="7"/>
  <c r="G28" i="7"/>
  <c r="M26" i="7"/>
  <c r="N26" i="7" s="1"/>
  <c r="O26" i="7" s="1"/>
  <c r="J26" i="7"/>
  <c r="K26" i="7"/>
  <c r="H27" i="7"/>
  <c r="F28" i="7"/>
  <c r="M26" i="6"/>
  <c r="J26" i="6"/>
  <c r="I27" i="6"/>
  <c r="G28" i="6"/>
  <c r="K26" i="6"/>
  <c r="H27" i="6"/>
  <c r="F28" i="6"/>
  <c r="N25" i="6"/>
  <c r="O25" i="6" s="1"/>
  <c r="G28" i="5"/>
  <c r="I27" i="5"/>
  <c r="M26" i="5"/>
  <c r="J26" i="5"/>
  <c r="F28" i="5"/>
  <c r="H27" i="5"/>
  <c r="G28" i="2"/>
  <c r="I27" i="2"/>
  <c r="M26" i="2"/>
  <c r="J26" i="2"/>
  <c r="K26" i="2"/>
  <c r="H27" i="2"/>
  <c r="F28" i="2"/>
  <c r="L26" i="2"/>
  <c r="I27" i="4"/>
  <c r="G28" i="4"/>
  <c r="M26" i="4"/>
  <c r="J26" i="4"/>
  <c r="K26" i="4"/>
  <c r="H27" i="4"/>
  <c r="F28" i="4"/>
  <c r="N25" i="4"/>
  <c r="O25" i="4" s="1"/>
  <c r="K25" i="4"/>
  <c r="L26" i="4" s="1"/>
  <c r="G28" i="3"/>
  <c r="I27" i="3"/>
  <c r="H27" i="3"/>
  <c r="F28" i="3"/>
  <c r="K25" i="3"/>
  <c r="L26" i="3" s="1"/>
  <c r="N26" i="3" l="1"/>
  <c r="O26" i="3" s="1"/>
  <c r="J27" i="3"/>
  <c r="M27" i="3"/>
  <c r="N26" i="5"/>
  <c r="O26" i="5" s="1"/>
  <c r="N26" i="6"/>
  <c r="O26" i="6" s="1"/>
  <c r="M27" i="8"/>
  <c r="J27" i="8"/>
  <c r="G29" i="8"/>
  <c r="I28" i="8"/>
  <c r="K27" i="8"/>
  <c r="H28" i="8"/>
  <c r="F29" i="8"/>
  <c r="N26" i="8"/>
  <c r="O26" i="8" s="1"/>
  <c r="L27" i="8"/>
  <c r="M27" i="7"/>
  <c r="J27" i="7"/>
  <c r="G29" i="7"/>
  <c r="I28" i="7"/>
  <c r="K27" i="7"/>
  <c r="L28" i="7" s="1"/>
  <c r="H28" i="7"/>
  <c r="F29" i="7"/>
  <c r="L27" i="7"/>
  <c r="M27" i="6"/>
  <c r="J27" i="6"/>
  <c r="I28" i="6"/>
  <c r="G29" i="6"/>
  <c r="H28" i="6"/>
  <c r="F29" i="6"/>
  <c r="L27" i="6"/>
  <c r="I28" i="5"/>
  <c r="G29" i="5"/>
  <c r="M27" i="5"/>
  <c r="J27" i="5"/>
  <c r="K27" i="5" s="1"/>
  <c r="F29" i="5"/>
  <c r="H28" i="5"/>
  <c r="K26" i="5"/>
  <c r="L27" i="5" s="1"/>
  <c r="I28" i="2"/>
  <c r="G29" i="2"/>
  <c r="J27" i="2"/>
  <c r="M27" i="2"/>
  <c r="K27" i="2"/>
  <c r="H28" i="2"/>
  <c r="F29" i="2"/>
  <c r="N26" i="2"/>
  <c r="O26" i="2" s="1"/>
  <c r="L27" i="2"/>
  <c r="J27" i="4"/>
  <c r="M27" i="4"/>
  <c r="I28" i="4"/>
  <c r="G29" i="4"/>
  <c r="K27" i="4"/>
  <c r="H28" i="4"/>
  <c r="F29" i="4"/>
  <c r="N26" i="4"/>
  <c r="O26" i="4" s="1"/>
  <c r="L27" i="4"/>
  <c r="I28" i="3"/>
  <c r="G29" i="3"/>
  <c r="F29" i="3"/>
  <c r="H28" i="3"/>
  <c r="K26" i="3"/>
  <c r="L27" i="3" s="1"/>
  <c r="N27" i="3" s="1"/>
  <c r="O27" i="3" s="1"/>
  <c r="J28" i="3" l="1"/>
  <c r="M28" i="3"/>
  <c r="L28" i="2"/>
  <c r="G30" i="8"/>
  <c r="I29" i="8"/>
  <c r="J28" i="8"/>
  <c r="M28" i="8"/>
  <c r="H29" i="8"/>
  <c r="F30" i="8"/>
  <c r="N27" i="8"/>
  <c r="O27" i="8" s="1"/>
  <c r="L28" i="8"/>
  <c r="I29" i="7"/>
  <c r="G30" i="7"/>
  <c r="J28" i="7"/>
  <c r="M28" i="7"/>
  <c r="N28" i="7" s="1"/>
  <c r="O28" i="7" s="1"/>
  <c r="F30" i="7"/>
  <c r="H29" i="7"/>
  <c r="N27" i="7"/>
  <c r="O27" i="7" s="1"/>
  <c r="J28" i="6"/>
  <c r="M28" i="6"/>
  <c r="I29" i="6"/>
  <c r="G30" i="6"/>
  <c r="H29" i="6"/>
  <c r="F30" i="6"/>
  <c r="N27" i="6"/>
  <c r="O27" i="6" s="1"/>
  <c r="K27" i="6"/>
  <c r="L28" i="6" s="1"/>
  <c r="J28" i="5"/>
  <c r="M28" i="5"/>
  <c r="G30" i="5"/>
  <c r="I29" i="5"/>
  <c r="K28" i="5"/>
  <c r="F30" i="5"/>
  <c r="H29" i="5"/>
  <c r="N27" i="5"/>
  <c r="O27" i="5" s="1"/>
  <c r="L28" i="5"/>
  <c r="M28" i="2"/>
  <c r="J28" i="2"/>
  <c r="I29" i="2"/>
  <c r="G30" i="2"/>
  <c r="K28" i="2"/>
  <c r="F30" i="2"/>
  <c r="H29" i="2"/>
  <c r="N27" i="2"/>
  <c r="O27" i="2" s="1"/>
  <c r="M28" i="4"/>
  <c r="J28" i="4"/>
  <c r="I29" i="4"/>
  <c r="G30" i="4"/>
  <c r="F30" i="4"/>
  <c r="H29" i="4"/>
  <c r="N27" i="4"/>
  <c r="O27" i="4" s="1"/>
  <c r="L28" i="4"/>
  <c r="G30" i="3"/>
  <c r="I29" i="3"/>
  <c r="F30" i="3"/>
  <c r="H29" i="3"/>
  <c r="K27" i="3"/>
  <c r="L28" i="3" s="1"/>
  <c r="N28" i="3" l="1"/>
  <c r="O28" i="3" s="1"/>
  <c r="M29" i="3"/>
  <c r="J29" i="3"/>
  <c r="N28" i="2"/>
  <c r="O28" i="2" s="1"/>
  <c r="G31" i="8"/>
  <c r="I30" i="8"/>
  <c r="J29" i="8"/>
  <c r="K29" i="8" s="1"/>
  <c r="M29" i="8"/>
  <c r="H30" i="8"/>
  <c r="F31" i="8"/>
  <c r="N28" i="8"/>
  <c r="O28" i="8" s="1"/>
  <c r="K28" i="8"/>
  <c r="L29" i="8" s="1"/>
  <c r="J29" i="7"/>
  <c r="M29" i="7"/>
  <c r="G31" i="7"/>
  <c r="I30" i="7"/>
  <c r="K29" i="7"/>
  <c r="F31" i="7"/>
  <c r="H30" i="7"/>
  <c r="K28" i="7"/>
  <c r="L29" i="7" s="1"/>
  <c r="J29" i="6"/>
  <c r="M29" i="6"/>
  <c r="I30" i="6"/>
  <c r="G31" i="6"/>
  <c r="H30" i="6"/>
  <c r="F31" i="6"/>
  <c r="N28" i="6"/>
  <c r="O28" i="6" s="1"/>
  <c r="K28" i="6"/>
  <c r="L29" i="6" s="1"/>
  <c r="G31" i="5"/>
  <c r="I30" i="5"/>
  <c r="M29" i="5"/>
  <c r="J29" i="5"/>
  <c r="H30" i="5"/>
  <c r="F31" i="5"/>
  <c r="N28" i="5"/>
  <c r="O28" i="5" s="1"/>
  <c r="L29" i="5"/>
  <c r="J29" i="2"/>
  <c r="M29" i="2"/>
  <c r="G31" i="2"/>
  <c r="I30" i="2"/>
  <c r="F31" i="2"/>
  <c r="H30" i="2"/>
  <c r="L29" i="2"/>
  <c r="K29" i="4"/>
  <c r="L30" i="4" s="1"/>
  <c r="J29" i="4"/>
  <c r="M29" i="4"/>
  <c r="I30" i="4"/>
  <c r="G31" i="4"/>
  <c r="H30" i="4"/>
  <c r="F31" i="4"/>
  <c r="N28" i="4"/>
  <c r="O28" i="4" s="1"/>
  <c r="K28" i="4"/>
  <c r="L29" i="4" s="1"/>
  <c r="I30" i="3"/>
  <c r="G31" i="3"/>
  <c r="F31" i="3"/>
  <c r="H30" i="3"/>
  <c r="K28" i="3"/>
  <c r="L29" i="3" s="1"/>
  <c r="N29" i="3" s="1"/>
  <c r="O29" i="3" s="1"/>
  <c r="M30" i="3" l="1"/>
  <c r="J30" i="3"/>
  <c r="N29" i="6"/>
  <c r="O29" i="6" s="1"/>
  <c r="G32" i="8"/>
  <c r="I31" i="8"/>
  <c r="M30" i="8"/>
  <c r="J30" i="8"/>
  <c r="K30" i="8"/>
  <c r="F32" i="8"/>
  <c r="H31" i="8"/>
  <c r="N29" i="8"/>
  <c r="O29" i="8" s="1"/>
  <c r="L30" i="8"/>
  <c r="G32" i="7"/>
  <c r="I31" i="7"/>
  <c r="M30" i="7"/>
  <c r="J30" i="7"/>
  <c r="H31" i="7"/>
  <c r="F32" i="7"/>
  <c r="N29" i="7"/>
  <c r="O29" i="7" s="1"/>
  <c r="L30" i="7"/>
  <c r="J30" i="6"/>
  <c r="M30" i="6"/>
  <c r="I31" i="6"/>
  <c r="G32" i="6"/>
  <c r="H31" i="6"/>
  <c r="F32" i="6"/>
  <c r="K29" i="6"/>
  <c r="L30" i="6" s="1"/>
  <c r="I31" i="5"/>
  <c r="G32" i="5"/>
  <c r="J30" i="5"/>
  <c r="M30" i="5"/>
  <c r="K30" i="5"/>
  <c r="H31" i="5"/>
  <c r="F32" i="5"/>
  <c r="N29" i="5"/>
  <c r="O29" i="5" s="1"/>
  <c r="K29" i="5"/>
  <c r="L30" i="5" s="1"/>
  <c r="I31" i="2"/>
  <c r="G32" i="2"/>
  <c r="M30" i="2"/>
  <c r="J30" i="2"/>
  <c r="F32" i="2"/>
  <c r="H31" i="2"/>
  <c r="N29" i="2"/>
  <c r="O29" i="2" s="1"/>
  <c r="K29" i="2"/>
  <c r="L30" i="2" s="1"/>
  <c r="M30" i="4"/>
  <c r="N30" i="4" s="1"/>
  <c r="O30" i="4" s="1"/>
  <c r="J30" i="4"/>
  <c r="G32" i="4"/>
  <c r="I31" i="4"/>
  <c r="F32" i="4"/>
  <c r="H31" i="4"/>
  <c r="N29" i="4"/>
  <c r="O29" i="4" s="1"/>
  <c r="G32" i="3"/>
  <c r="I31" i="3"/>
  <c r="H31" i="3"/>
  <c r="F32" i="3"/>
  <c r="K29" i="3"/>
  <c r="L30" i="3" s="1"/>
  <c r="N30" i="3" s="1"/>
  <c r="O30" i="3" s="1"/>
  <c r="J31" i="3" l="1"/>
  <c r="K31" i="3" s="1"/>
  <c r="M31" i="3"/>
  <c r="N30" i="2"/>
  <c r="O30" i="2" s="1"/>
  <c r="N30" i="5"/>
  <c r="O30" i="5" s="1"/>
  <c r="I32" i="8"/>
  <c r="G33" i="8"/>
  <c r="M31" i="8"/>
  <c r="J31" i="8"/>
  <c r="K31" i="8"/>
  <c r="H32" i="8"/>
  <c r="F33" i="8"/>
  <c r="N30" i="8"/>
  <c r="O30" i="8" s="1"/>
  <c r="L31" i="8"/>
  <c r="G33" i="7"/>
  <c r="I32" i="7"/>
  <c r="J31" i="7"/>
  <c r="M31" i="7"/>
  <c r="K31" i="7"/>
  <c r="F33" i="7"/>
  <c r="H32" i="7"/>
  <c r="N30" i="7"/>
  <c r="O30" i="7" s="1"/>
  <c r="K30" i="7"/>
  <c r="L31" i="7" s="1"/>
  <c r="J31" i="6"/>
  <c r="M31" i="6"/>
  <c r="I32" i="6"/>
  <c r="G33" i="6"/>
  <c r="F33" i="6"/>
  <c r="H32" i="6"/>
  <c r="N30" i="6"/>
  <c r="O30" i="6" s="1"/>
  <c r="K30" i="6"/>
  <c r="L31" i="6" s="1"/>
  <c r="J31" i="5"/>
  <c r="M31" i="5"/>
  <c r="G33" i="5"/>
  <c r="I32" i="5"/>
  <c r="K31" i="5"/>
  <c r="H32" i="5"/>
  <c r="F33" i="5"/>
  <c r="L31" i="5"/>
  <c r="M31" i="2"/>
  <c r="J31" i="2"/>
  <c r="G33" i="2"/>
  <c r="I32" i="2"/>
  <c r="K31" i="2"/>
  <c r="F33" i="2"/>
  <c r="H32" i="2"/>
  <c r="K30" i="2"/>
  <c r="L31" i="2" s="1"/>
  <c r="G33" i="4"/>
  <c r="I32" i="4"/>
  <c r="J31" i="4"/>
  <c r="M31" i="4"/>
  <c r="F33" i="4"/>
  <c r="H32" i="4"/>
  <c r="K30" i="4"/>
  <c r="L31" i="4" s="1"/>
  <c r="I32" i="3"/>
  <c r="G33" i="3"/>
  <c r="F33" i="3"/>
  <c r="H32" i="3"/>
  <c r="K30" i="3"/>
  <c r="L31" i="3" s="1"/>
  <c r="N31" i="3" s="1"/>
  <c r="O31" i="3" s="1"/>
  <c r="L32" i="3" l="1"/>
  <c r="J32" i="3"/>
  <c r="M32" i="3"/>
  <c r="L32" i="2"/>
  <c r="L32" i="8"/>
  <c r="L32" i="5"/>
  <c r="J32" i="8"/>
  <c r="M32" i="8"/>
  <c r="N32" i="8" s="1"/>
  <c r="O32" i="8" s="1"/>
  <c r="I33" i="8"/>
  <c r="G34" i="8"/>
  <c r="K32" i="8"/>
  <c r="H33" i="8"/>
  <c r="F34" i="8"/>
  <c r="N31" i="8"/>
  <c r="O31" i="8" s="1"/>
  <c r="G34" i="7"/>
  <c r="I33" i="7"/>
  <c r="J32" i="7"/>
  <c r="M32" i="7"/>
  <c r="K32" i="7"/>
  <c r="H33" i="7"/>
  <c r="F34" i="7"/>
  <c r="N31" i="7"/>
  <c r="O31" i="7" s="1"/>
  <c r="L32" i="7"/>
  <c r="M32" i="6"/>
  <c r="J32" i="6"/>
  <c r="K32" i="6" s="1"/>
  <c r="G34" i="6"/>
  <c r="I33" i="6"/>
  <c r="H33" i="6"/>
  <c r="F34" i="6"/>
  <c r="N31" i="6"/>
  <c r="O31" i="6" s="1"/>
  <c r="K31" i="6"/>
  <c r="L32" i="6" s="1"/>
  <c r="G34" i="5"/>
  <c r="I33" i="5"/>
  <c r="M32" i="5"/>
  <c r="N32" i="5" s="1"/>
  <c r="O32" i="5" s="1"/>
  <c r="J32" i="5"/>
  <c r="F34" i="5"/>
  <c r="H33" i="5"/>
  <c r="N31" i="5"/>
  <c r="O31" i="5" s="1"/>
  <c r="I33" i="2"/>
  <c r="G34" i="2"/>
  <c r="J32" i="2"/>
  <c r="M32" i="2"/>
  <c r="F34" i="2"/>
  <c r="H33" i="2"/>
  <c r="N31" i="2"/>
  <c r="O31" i="2" s="1"/>
  <c r="G34" i="4"/>
  <c r="I33" i="4"/>
  <c r="J32" i="4"/>
  <c r="M32" i="4"/>
  <c r="K32" i="4"/>
  <c r="H33" i="4"/>
  <c r="F34" i="4"/>
  <c r="N31" i="4"/>
  <c r="O31" i="4" s="1"/>
  <c r="K31" i="4"/>
  <c r="L32" i="4" s="1"/>
  <c r="G34" i="3"/>
  <c r="I33" i="3"/>
  <c r="F34" i="3"/>
  <c r="H33" i="3"/>
  <c r="N32" i="3" l="1"/>
  <c r="O32" i="3" s="1"/>
  <c r="J33" i="3"/>
  <c r="M33" i="3"/>
  <c r="N32" i="2"/>
  <c r="O32" i="2" s="1"/>
  <c r="L33" i="6"/>
  <c r="J33" i="8"/>
  <c r="M33" i="8"/>
  <c r="G35" i="8"/>
  <c r="I34" i="8"/>
  <c r="F35" i="8"/>
  <c r="H34" i="8"/>
  <c r="L33" i="8"/>
  <c r="I34" i="7"/>
  <c r="G35" i="7"/>
  <c r="J33" i="7"/>
  <c r="K33" i="7" s="1"/>
  <c r="M33" i="7"/>
  <c r="F35" i="7"/>
  <c r="H34" i="7"/>
  <c r="N32" i="7"/>
  <c r="O32" i="7" s="1"/>
  <c r="L33" i="7"/>
  <c r="G35" i="6"/>
  <c r="I34" i="6"/>
  <c r="J33" i="6"/>
  <c r="M33" i="6"/>
  <c r="F35" i="6"/>
  <c r="H34" i="6"/>
  <c r="N32" i="6"/>
  <c r="O32" i="6" s="1"/>
  <c r="I34" i="5"/>
  <c r="G35" i="5"/>
  <c r="M33" i="5"/>
  <c r="J33" i="5"/>
  <c r="K33" i="5"/>
  <c r="H34" i="5"/>
  <c r="F35" i="5"/>
  <c r="K32" i="5"/>
  <c r="L33" i="5" s="1"/>
  <c r="M33" i="2"/>
  <c r="J33" i="2"/>
  <c r="K33" i="2" s="1"/>
  <c r="I34" i="2"/>
  <c r="G35" i="2"/>
  <c r="F35" i="2"/>
  <c r="H34" i="2"/>
  <c r="K32" i="2"/>
  <c r="L33" i="2" s="1"/>
  <c r="I34" i="4"/>
  <c r="G35" i="4"/>
  <c r="M33" i="4"/>
  <c r="J33" i="4"/>
  <c r="K33" i="4" s="1"/>
  <c r="F35" i="4"/>
  <c r="H34" i="4"/>
  <c r="N32" i="4"/>
  <c r="O32" i="4" s="1"/>
  <c r="L33" i="4"/>
  <c r="G35" i="3"/>
  <c r="I34" i="3"/>
  <c r="H34" i="3"/>
  <c r="F35" i="3"/>
  <c r="K32" i="3"/>
  <c r="L33" i="3" s="1"/>
  <c r="N33" i="3" l="1"/>
  <c r="O33" i="3" s="1"/>
  <c r="M34" i="3"/>
  <c r="J34" i="3"/>
  <c r="N33" i="6"/>
  <c r="O33" i="6" s="1"/>
  <c r="L34" i="2"/>
  <c r="L34" i="5"/>
  <c r="I35" i="8"/>
  <c r="G36" i="8"/>
  <c r="M34" i="8"/>
  <c r="J34" i="8"/>
  <c r="F36" i="8"/>
  <c r="H35" i="8"/>
  <c r="N33" i="8"/>
  <c r="O33" i="8" s="1"/>
  <c r="K33" i="8"/>
  <c r="L34" i="8" s="1"/>
  <c r="M34" i="7"/>
  <c r="J34" i="7"/>
  <c r="I35" i="7"/>
  <c r="G36" i="7"/>
  <c r="K34" i="7"/>
  <c r="F36" i="7"/>
  <c r="H35" i="7"/>
  <c r="N33" i="7"/>
  <c r="O33" i="7" s="1"/>
  <c r="L34" i="7"/>
  <c r="G36" i="6"/>
  <c r="I35" i="6"/>
  <c r="M34" i="6"/>
  <c r="J34" i="6"/>
  <c r="K34" i="6"/>
  <c r="F36" i="6"/>
  <c r="H35" i="6"/>
  <c r="K33" i="6"/>
  <c r="L34" i="6" s="1"/>
  <c r="J34" i="5"/>
  <c r="M34" i="5"/>
  <c r="G36" i="5"/>
  <c r="I35" i="5"/>
  <c r="K34" i="5"/>
  <c r="H35" i="5"/>
  <c r="F36" i="5"/>
  <c r="N33" i="5"/>
  <c r="O33" i="5" s="1"/>
  <c r="M34" i="2"/>
  <c r="J34" i="2"/>
  <c r="G36" i="2"/>
  <c r="I35" i="2"/>
  <c r="F36" i="2"/>
  <c r="H35" i="2"/>
  <c r="N33" i="2"/>
  <c r="O33" i="2" s="1"/>
  <c r="M34" i="4"/>
  <c r="J34" i="4"/>
  <c r="I35" i="4"/>
  <c r="G36" i="4"/>
  <c r="K34" i="4"/>
  <c r="H35" i="4"/>
  <c r="F36" i="4"/>
  <c r="N33" i="4"/>
  <c r="O33" i="4" s="1"/>
  <c r="L34" i="4"/>
  <c r="G36" i="3"/>
  <c r="I35" i="3"/>
  <c r="H35" i="3"/>
  <c r="F36" i="3"/>
  <c r="K33" i="3"/>
  <c r="L34" i="3" s="1"/>
  <c r="N34" i="3" l="1"/>
  <c r="O34" i="3" s="1"/>
  <c r="J35" i="3"/>
  <c r="K35" i="3" s="1"/>
  <c r="L36" i="3" s="1"/>
  <c r="M35" i="3"/>
  <c r="N34" i="5"/>
  <c r="O34" i="5" s="1"/>
  <c r="N34" i="2"/>
  <c r="O34" i="2" s="1"/>
  <c r="L35" i="7"/>
  <c r="M35" i="8"/>
  <c r="J35" i="8"/>
  <c r="I36" i="8"/>
  <c r="G37" i="8"/>
  <c r="K35" i="8"/>
  <c r="F37" i="8"/>
  <c r="H36" i="8"/>
  <c r="N34" i="8"/>
  <c r="O34" i="8" s="1"/>
  <c r="K34" i="8"/>
  <c r="L35" i="8" s="1"/>
  <c r="J35" i="7"/>
  <c r="M35" i="7"/>
  <c r="N35" i="7" s="1"/>
  <c r="O35" i="7" s="1"/>
  <c r="G37" i="7"/>
  <c r="I36" i="7"/>
  <c r="F37" i="7"/>
  <c r="H36" i="7"/>
  <c r="N34" i="7"/>
  <c r="O34" i="7" s="1"/>
  <c r="I36" i="6"/>
  <c r="G37" i="6"/>
  <c r="M35" i="6"/>
  <c r="J35" i="6"/>
  <c r="K35" i="6"/>
  <c r="H36" i="6"/>
  <c r="F37" i="6"/>
  <c r="N34" i="6"/>
  <c r="O34" i="6" s="1"/>
  <c r="L35" i="6"/>
  <c r="I36" i="5"/>
  <c r="G37" i="5"/>
  <c r="M35" i="5"/>
  <c r="J35" i="5"/>
  <c r="K35" i="5" s="1"/>
  <c r="F37" i="5"/>
  <c r="H36" i="5"/>
  <c r="L35" i="5"/>
  <c r="I36" i="2"/>
  <c r="G37" i="2"/>
  <c r="M35" i="2"/>
  <c r="J35" i="2"/>
  <c r="H36" i="2"/>
  <c r="F37" i="2"/>
  <c r="K34" i="2"/>
  <c r="L35" i="2" s="1"/>
  <c r="M35" i="4"/>
  <c r="J35" i="4"/>
  <c r="G37" i="4"/>
  <c r="I36" i="4"/>
  <c r="H36" i="4"/>
  <c r="F37" i="4"/>
  <c r="N34" i="4"/>
  <c r="O34" i="4" s="1"/>
  <c r="L35" i="4"/>
  <c r="I36" i="3"/>
  <c r="G37" i="3"/>
  <c r="H36" i="3"/>
  <c r="F37" i="3"/>
  <c r="K34" i="3"/>
  <c r="L35" i="3" s="1"/>
  <c r="N35" i="3" l="1"/>
  <c r="O35" i="3" s="1"/>
  <c r="J36" i="3"/>
  <c r="K36" i="3" s="1"/>
  <c r="L37" i="3" s="1"/>
  <c r="M36" i="3"/>
  <c r="N36" i="3" s="1"/>
  <c r="O36" i="3" s="1"/>
  <c r="N35" i="6"/>
  <c r="O35" i="6" s="1"/>
  <c r="L36" i="5"/>
  <c r="N35" i="5"/>
  <c r="O35" i="5" s="1"/>
  <c r="J36" i="8"/>
  <c r="M36" i="8"/>
  <c r="I37" i="8"/>
  <c r="G38" i="8"/>
  <c r="F38" i="8"/>
  <c r="H37" i="8"/>
  <c r="L36" i="8"/>
  <c r="N35" i="8"/>
  <c r="O35" i="8" s="1"/>
  <c r="I37" i="7"/>
  <c r="G38" i="7"/>
  <c r="M36" i="7"/>
  <c r="J36" i="7"/>
  <c r="H37" i="7"/>
  <c r="F38" i="7"/>
  <c r="K35" i="7"/>
  <c r="L36" i="7" s="1"/>
  <c r="M36" i="6"/>
  <c r="J36" i="6"/>
  <c r="G38" i="6"/>
  <c r="I37" i="6"/>
  <c r="K36" i="6"/>
  <c r="H37" i="6"/>
  <c r="F38" i="6"/>
  <c r="L36" i="6"/>
  <c r="J36" i="5"/>
  <c r="K36" i="5" s="1"/>
  <c r="M36" i="5"/>
  <c r="N36" i="5" s="1"/>
  <c r="O36" i="5" s="1"/>
  <c r="G38" i="5"/>
  <c r="I37" i="5"/>
  <c r="H37" i="5"/>
  <c r="F38" i="5"/>
  <c r="J36" i="2"/>
  <c r="M36" i="2"/>
  <c r="I37" i="2"/>
  <c r="G38" i="2"/>
  <c r="K36" i="2"/>
  <c r="H37" i="2"/>
  <c r="F38" i="2"/>
  <c r="N35" i="2"/>
  <c r="O35" i="2" s="1"/>
  <c r="K35" i="2"/>
  <c r="L36" i="2" s="1"/>
  <c r="I37" i="4"/>
  <c r="G38" i="4"/>
  <c r="M36" i="4"/>
  <c r="J36" i="4"/>
  <c r="F38" i="4"/>
  <c r="H37" i="4"/>
  <c r="N35" i="4"/>
  <c r="O35" i="4" s="1"/>
  <c r="K35" i="4"/>
  <c r="L36" i="4" s="1"/>
  <c r="G38" i="3"/>
  <c r="I37" i="3"/>
  <c r="H37" i="3"/>
  <c r="F38" i="3"/>
  <c r="M37" i="3" l="1"/>
  <c r="N37" i="3" s="1"/>
  <c r="O37" i="3" s="1"/>
  <c r="J37" i="3"/>
  <c r="K37" i="3" s="1"/>
  <c r="L38" i="3" s="1"/>
  <c r="L37" i="6"/>
  <c r="L37" i="5"/>
  <c r="J37" i="8"/>
  <c r="M37" i="8"/>
  <c r="G39" i="8"/>
  <c r="I38" i="8"/>
  <c r="H38" i="8"/>
  <c r="F39" i="8"/>
  <c r="N36" i="8"/>
  <c r="O36" i="8" s="1"/>
  <c r="K36" i="8"/>
  <c r="L37" i="8" s="1"/>
  <c r="M37" i="7"/>
  <c r="J37" i="7"/>
  <c r="I38" i="7"/>
  <c r="G39" i="7"/>
  <c r="K37" i="7"/>
  <c r="F39" i="7"/>
  <c r="H38" i="7"/>
  <c r="N36" i="7"/>
  <c r="O36" i="7" s="1"/>
  <c r="K36" i="7"/>
  <c r="L37" i="7" s="1"/>
  <c r="G39" i="6"/>
  <c r="I38" i="6"/>
  <c r="M37" i="6"/>
  <c r="J37" i="6"/>
  <c r="F39" i="6"/>
  <c r="H38" i="6"/>
  <c r="N36" i="6"/>
  <c r="O36" i="6" s="1"/>
  <c r="I38" i="5"/>
  <c r="G39" i="5"/>
  <c r="M37" i="5"/>
  <c r="J37" i="5"/>
  <c r="K37" i="5" s="1"/>
  <c r="F39" i="5"/>
  <c r="H38" i="5"/>
  <c r="M37" i="2"/>
  <c r="J37" i="2"/>
  <c r="G39" i="2"/>
  <c r="I38" i="2"/>
  <c r="H38" i="2"/>
  <c r="F39" i="2"/>
  <c r="L37" i="2"/>
  <c r="N36" i="2"/>
  <c r="O36" i="2" s="1"/>
  <c r="J37" i="4"/>
  <c r="M37" i="4"/>
  <c r="G39" i="4"/>
  <c r="I38" i="4"/>
  <c r="H38" i="4"/>
  <c r="F39" i="4"/>
  <c r="N36" i="4"/>
  <c r="O36" i="4" s="1"/>
  <c r="K36" i="4"/>
  <c r="L37" i="4" s="1"/>
  <c r="I38" i="3"/>
  <c r="G39" i="3"/>
  <c r="F39" i="3"/>
  <c r="H38" i="3"/>
  <c r="J38" i="3" l="1"/>
  <c r="K38" i="3" s="1"/>
  <c r="L39" i="3" s="1"/>
  <c r="M38" i="3"/>
  <c r="N38" i="3" s="1"/>
  <c r="O38" i="3" s="1"/>
  <c r="N37" i="5"/>
  <c r="O37" i="5" s="1"/>
  <c r="N37" i="6"/>
  <c r="O37" i="6" s="1"/>
  <c r="N37" i="4"/>
  <c r="O37" i="4" s="1"/>
  <c r="L38" i="5"/>
  <c r="G40" i="8"/>
  <c r="I39" i="8"/>
  <c r="M38" i="8"/>
  <c r="J38" i="8"/>
  <c r="H39" i="8"/>
  <c r="F40" i="8"/>
  <c r="N37" i="8"/>
  <c r="O37" i="8" s="1"/>
  <c r="K37" i="8"/>
  <c r="L38" i="8" s="1"/>
  <c r="J38" i="7"/>
  <c r="M38" i="7"/>
  <c r="G40" i="7"/>
  <c r="I39" i="7"/>
  <c r="F40" i="7"/>
  <c r="H39" i="7"/>
  <c r="N37" i="7"/>
  <c r="O37" i="7" s="1"/>
  <c r="L38" i="7"/>
  <c r="I39" i="6"/>
  <c r="G40" i="6"/>
  <c r="J38" i="6"/>
  <c r="M38" i="6"/>
  <c r="K38" i="6"/>
  <c r="H39" i="6"/>
  <c r="F40" i="6"/>
  <c r="K37" i="6"/>
  <c r="L38" i="6" s="1"/>
  <c r="M38" i="5"/>
  <c r="J38" i="5"/>
  <c r="G40" i="5"/>
  <c r="I39" i="5"/>
  <c r="K38" i="5"/>
  <c r="F40" i="5"/>
  <c r="H39" i="5"/>
  <c r="G40" i="2"/>
  <c r="I39" i="2"/>
  <c r="J38" i="2"/>
  <c r="M38" i="2"/>
  <c r="F40" i="2"/>
  <c r="H39" i="2"/>
  <c r="N37" i="2"/>
  <c r="O37" i="2" s="1"/>
  <c r="K37" i="2"/>
  <c r="L38" i="2" s="1"/>
  <c r="G40" i="4"/>
  <c r="I39" i="4"/>
  <c r="J38" i="4"/>
  <c r="M38" i="4"/>
  <c r="H39" i="4"/>
  <c r="F40" i="4"/>
  <c r="K37" i="4"/>
  <c r="L38" i="4" s="1"/>
  <c r="G40" i="3"/>
  <c r="I39" i="3"/>
  <c r="F40" i="3"/>
  <c r="H39" i="3"/>
  <c r="M39" i="3" l="1"/>
  <c r="N39" i="3" s="1"/>
  <c r="O39" i="3" s="1"/>
  <c r="J39" i="3"/>
  <c r="K39" i="3" s="1"/>
  <c r="L40" i="3" s="1"/>
  <c r="N38" i="5"/>
  <c r="O38" i="5" s="1"/>
  <c r="L39" i="6"/>
  <c r="I40" i="8"/>
  <c r="G41" i="8"/>
  <c r="J39" i="8"/>
  <c r="M39" i="8"/>
  <c r="K39" i="8"/>
  <c r="H40" i="8"/>
  <c r="F41" i="8"/>
  <c r="N38" i="8"/>
  <c r="O38" i="8" s="1"/>
  <c r="K38" i="8"/>
  <c r="L39" i="8" s="1"/>
  <c r="I40" i="7"/>
  <c r="G41" i="7"/>
  <c r="J39" i="7"/>
  <c r="M39" i="7"/>
  <c r="F41" i="7"/>
  <c r="H40" i="7"/>
  <c r="N38" i="7"/>
  <c r="O38" i="7" s="1"/>
  <c r="K38" i="7"/>
  <c r="L39" i="7" s="1"/>
  <c r="J39" i="6"/>
  <c r="M39" i="6"/>
  <c r="G41" i="6"/>
  <c r="I40" i="6"/>
  <c r="K39" i="6"/>
  <c r="F41" i="6"/>
  <c r="H40" i="6"/>
  <c r="N38" i="6"/>
  <c r="O38" i="6" s="1"/>
  <c r="G41" i="5"/>
  <c r="I40" i="5"/>
  <c r="J39" i="5"/>
  <c r="M39" i="5"/>
  <c r="F41" i="5"/>
  <c r="H40" i="5"/>
  <c r="L39" i="5"/>
  <c r="G41" i="2"/>
  <c r="I40" i="2"/>
  <c r="J39" i="2"/>
  <c r="M39" i="2"/>
  <c r="K39" i="2"/>
  <c r="L40" i="2" s="1"/>
  <c r="H40" i="2"/>
  <c r="F41" i="2"/>
  <c r="N38" i="2"/>
  <c r="O38" i="2" s="1"/>
  <c r="K38" i="2"/>
  <c r="L39" i="2" s="1"/>
  <c r="I40" i="4"/>
  <c r="G41" i="4"/>
  <c r="M39" i="4"/>
  <c r="J39" i="4"/>
  <c r="K39" i="4"/>
  <c r="H40" i="4"/>
  <c r="F41" i="4"/>
  <c r="N38" i="4"/>
  <c r="O38" i="4" s="1"/>
  <c r="K38" i="4"/>
  <c r="L39" i="4" s="1"/>
  <c r="I40" i="3"/>
  <c r="G41" i="3"/>
  <c r="H40" i="3"/>
  <c r="F41" i="3"/>
  <c r="J40" i="3" l="1"/>
  <c r="M40" i="3"/>
  <c r="N40" i="3" s="1"/>
  <c r="O40" i="3" s="1"/>
  <c r="N39" i="6"/>
  <c r="O39" i="6" s="1"/>
  <c r="L40" i="6"/>
  <c r="M40" i="8"/>
  <c r="J40" i="8"/>
  <c r="I41" i="8"/>
  <c r="G42" i="8"/>
  <c r="K40" i="8"/>
  <c r="F42" i="8"/>
  <c r="H41" i="8"/>
  <c r="N39" i="8"/>
  <c r="O39" i="8" s="1"/>
  <c r="L40" i="8"/>
  <c r="J40" i="7"/>
  <c r="M40" i="7"/>
  <c r="G42" i="7"/>
  <c r="I41" i="7"/>
  <c r="K40" i="7"/>
  <c r="F42" i="7"/>
  <c r="H41" i="7"/>
  <c r="N39" i="7"/>
  <c r="O39" i="7" s="1"/>
  <c r="K39" i="7"/>
  <c r="L40" i="7" s="1"/>
  <c r="G42" i="6"/>
  <c r="I41" i="6"/>
  <c r="M40" i="6"/>
  <c r="N40" i="6" s="1"/>
  <c r="O40" i="6" s="1"/>
  <c r="J40" i="6"/>
  <c r="H41" i="6"/>
  <c r="F42" i="6"/>
  <c r="G42" i="5"/>
  <c r="I41" i="5"/>
  <c r="J40" i="5"/>
  <c r="M40" i="5"/>
  <c r="K40" i="5"/>
  <c r="F42" i="5"/>
  <c r="H41" i="5"/>
  <c r="N39" i="5"/>
  <c r="O39" i="5" s="1"/>
  <c r="K39" i="5"/>
  <c r="L40" i="5" s="1"/>
  <c r="G42" i="2"/>
  <c r="I41" i="2"/>
  <c r="M40" i="2"/>
  <c r="N40" i="2" s="1"/>
  <c r="O40" i="2" s="1"/>
  <c r="J40" i="2"/>
  <c r="K40" i="2"/>
  <c r="F42" i="2"/>
  <c r="H41" i="2"/>
  <c r="N39" i="2"/>
  <c r="O39" i="2" s="1"/>
  <c r="M40" i="4"/>
  <c r="J40" i="4"/>
  <c r="I41" i="4"/>
  <c r="G42" i="4"/>
  <c r="K40" i="4"/>
  <c r="F42" i="4"/>
  <c r="H41" i="4"/>
  <c r="N39" i="4"/>
  <c r="O39" i="4" s="1"/>
  <c r="L40" i="4"/>
  <c r="I41" i="3"/>
  <c r="G42" i="3"/>
  <c r="H41" i="3"/>
  <c r="F42" i="3"/>
  <c r="M41" i="3" l="1"/>
  <c r="J41" i="3"/>
  <c r="K41" i="3" s="1"/>
  <c r="L42" i="3" s="1"/>
  <c r="L41" i="4"/>
  <c r="J41" i="8"/>
  <c r="M41" i="8"/>
  <c r="G43" i="8"/>
  <c r="I42" i="8"/>
  <c r="H42" i="8"/>
  <c r="F43" i="8"/>
  <c r="N40" i="8"/>
  <c r="O40" i="8" s="1"/>
  <c r="L41" i="8"/>
  <c r="G43" i="7"/>
  <c r="I42" i="7"/>
  <c r="M41" i="7"/>
  <c r="J41" i="7"/>
  <c r="K41" i="7" s="1"/>
  <c r="F43" i="7"/>
  <c r="H42" i="7"/>
  <c r="N40" i="7"/>
  <c r="O40" i="7" s="1"/>
  <c r="L41" i="7"/>
  <c r="G43" i="6"/>
  <c r="I42" i="6"/>
  <c r="J41" i="6"/>
  <c r="M41" i="6"/>
  <c r="K41" i="6"/>
  <c r="H42" i="6"/>
  <c r="F43" i="6"/>
  <c r="K40" i="6"/>
  <c r="L41" i="6" s="1"/>
  <c r="I42" i="5"/>
  <c r="G43" i="5"/>
  <c r="M41" i="5"/>
  <c r="J41" i="5"/>
  <c r="K41" i="5"/>
  <c r="H42" i="5"/>
  <c r="F43" i="5"/>
  <c r="N40" i="5"/>
  <c r="O40" i="5" s="1"/>
  <c r="L41" i="5"/>
  <c r="I42" i="2"/>
  <c r="G43" i="2"/>
  <c r="M41" i="2"/>
  <c r="J41" i="2"/>
  <c r="K41" i="2"/>
  <c r="H42" i="2"/>
  <c r="F43" i="2"/>
  <c r="L41" i="2"/>
  <c r="J41" i="4"/>
  <c r="M41" i="4"/>
  <c r="N41" i="4" s="1"/>
  <c r="O41" i="4" s="1"/>
  <c r="G43" i="4"/>
  <c r="I42" i="4"/>
  <c r="H42" i="4"/>
  <c r="F43" i="4"/>
  <c r="N40" i="4"/>
  <c r="O40" i="4" s="1"/>
  <c r="I42" i="3"/>
  <c r="G43" i="3"/>
  <c r="F43" i="3"/>
  <c r="H42" i="3"/>
  <c r="K40" i="3"/>
  <c r="L41" i="3" s="1"/>
  <c r="N41" i="3" s="1"/>
  <c r="O41" i="3" s="1"/>
  <c r="J42" i="3" l="1"/>
  <c r="K42" i="3" s="1"/>
  <c r="L43" i="3" s="1"/>
  <c r="M42" i="3"/>
  <c r="N42" i="3" s="1"/>
  <c r="O42" i="3" s="1"/>
  <c r="L42" i="5"/>
  <c r="L42" i="7"/>
  <c r="L42" i="2"/>
  <c r="N41" i="2"/>
  <c r="O41" i="2" s="1"/>
  <c r="I43" i="8"/>
  <c r="G44" i="8"/>
  <c r="J42" i="8"/>
  <c r="M42" i="8"/>
  <c r="H43" i="8"/>
  <c r="F44" i="8"/>
  <c r="N41" i="8"/>
  <c r="O41" i="8" s="1"/>
  <c r="K41" i="8"/>
  <c r="L42" i="8" s="1"/>
  <c r="I43" i="7"/>
  <c r="G44" i="7"/>
  <c r="J42" i="7"/>
  <c r="M42" i="7"/>
  <c r="K42" i="7"/>
  <c r="F44" i="7"/>
  <c r="H43" i="7"/>
  <c r="N41" i="7"/>
  <c r="O41" i="7" s="1"/>
  <c r="G44" i="6"/>
  <c r="I43" i="6"/>
  <c r="M42" i="6"/>
  <c r="J42" i="6"/>
  <c r="K42" i="6"/>
  <c r="H43" i="6"/>
  <c r="F44" i="6"/>
  <c r="N41" i="6"/>
  <c r="O41" i="6" s="1"/>
  <c r="L42" i="6"/>
  <c r="M42" i="5"/>
  <c r="N42" i="5" s="1"/>
  <c r="O42" i="5" s="1"/>
  <c r="J42" i="5"/>
  <c r="K42" i="5" s="1"/>
  <c r="I43" i="5"/>
  <c r="G44" i="5"/>
  <c r="F44" i="5"/>
  <c r="H43" i="5"/>
  <c r="N41" i="5"/>
  <c r="O41" i="5" s="1"/>
  <c r="J42" i="2"/>
  <c r="K42" i="2" s="1"/>
  <c r="M42" i="2"/>
  <c r="G44" i="2"/>
  <c r="I43" i="2"/>
  <c r="F44" i="2"/>
  <c r="H43" i="2"/>
  <c r="I43" i="4"/>
  <c r="G44" i="4"/>
  <c r="M42" i="4"/>
  <c r="J42" i="4"/>
  <c r="H43" i="4"/>
  <c r="F44" i="4"/>
  <c r="K41" i="4"/>
  <c r="L42" i="4" s="1"/>
  <c r="I43" i="3"/>
  <c r="G44" i="3"/>
  <c r="H43" i="3"/>
  <c r="F44" i="3"/>
  <c r="J43" i="3" l="1"/>
  <c r="K43" i="3" s="1"/>
  <c r="L44" i="3" s="1"/>
  <c r="M43" i="3"/>
  <c r="N43" i="3" s="1"/>
  <c r="O43" i="3" s="1"/>
  <c r="N42" i="7"/>
  <c r="O42" i="7" s="1"/>
  <c r="N42" i="2"/>
  <c r="O42" i="2" s="1"/>
  <c r="L43" i="2"/>
  <c r="M43" i="8"/>
  <c r="J43" i="8"/>
  <c r="I44" i="8"/>
  <c r="G45" i="8"/>
  <c r="K43" i="8"/>
  <c r="H44" i="8"/>
  <c r="F45" i="8"/>
  <c r="N42" i="8"/>
  <c r="O42" i="8" s="1"/>
  <c r="K42" i="8"/>
  <c r="L43" i="8" s="1"/>
  <c r="J43" i="7"/>
  <c r="K43" i="7" s="1"/>
  <c r="M43" i="7"/>
  <c r="G45" i="7"/>
  <c r="I44" i="7"/>
  <c r="F45" i="7"/>
  <c r="H44" i="7"/>
  <c r="L43" i="7"/>
  <c r="I44" i="6"/>
  <c r="G45" i="6"/>
  <c r="M43" i="6"/>
  <c r="J43" i="6"/>
  <c r="K43" i="6"/>
  <c r="F45" i="6"/>
  <c r="H44" i="6"/>
  <c r="N42" i="6"/>
  <c r="O42" i="6" s="1"/>
  <c r="L43" i="6"/>
  <c r="M43" i="5"/>
  <c r="J43" i="5"/>
  <c r="G45" i="5"/>
  <c r="I44" i="5"/>
  <c r="F45" i="5"/>
  <c r="H44" i="5"/>
  <c r="L43" i="5"/>
  <c r="G45" i="2"/>
  <c r="I44" i="2"/>
  <c r="J43" i="2"/>
  <c r="M43" i="2"/>
  <c r="H44" i="2"/>
  <c r="F45" i="2"/>
  <c r="J43" i="4"/>
  <c r="M43" i="4"/>
  <c r="I44" i="4"/>
  <c r="G45" i="4"/>
  <c r="K43" i="4"/>
  <c r="H44" i="4"/>
  <c r="F45" i="4"/>
  <c r="N42" i="4"/>
  <c r="O42" i="4" s="1"/>
  <c r="K42" i="4"/>
  <c r="L43" i="4" s="1"/>
  <c r="G45" i="3"/>
  <c r="I44" i="3"/>
  <c r="F45" i="3"/>
  <c r="H44" i="3"/>
  <c r="M44" i="3" l="1"/>
  <c r="N44" i="3" s="1"/>
  <c r="O44" i="3" s="1"/>
  <c r="J44" i="3"/>
  <c r="N43" i="2"/>
  <c r="O43" i="2" s="1"/>
  <c r="M44" i="8"/>
  <c r="J44" i="8"/>
  <c r="K44" i="8" s="1"/>
  <c r="I45" i="8"/>
  <c r="G46" i="8"/>
  <c r="F46" i="8"/>
  <c r="H45" i="8"/>
  <c r="N43" i="8"/>
  <c r="O43" i="8" s="1"/>
  <c r="L44" i="8"/>
  <c r="G46" i="7"/>
  <c r="I45" i="7"/>
  <c r="M44" i="7"/>
  <c r="J44" i="7"/>
  <c r="H45" i="7"/>
  <c r="F46" i="7"/>
  <c r="N43" i="7"/>
  <c r="O43" i="7" s="1"/>
  <c r="L44" i="7"/>
  <c r="M44" i="6"/>
  <c r="J44" i="6"/>
  <c r="I45" i="6"/>
  <c r="G46" i="6"/>
  <c r="K44" i="6"/>
  <c r="F46" i="6"/>
  <c r="H45" i="6"/>
  <c r="N43" i="6"/>
  <c r="O43" i="6" s="1"/>
  <c r="L44" i="6"/>
  <c r="G46" i="5"/>
  <c r="I45" i="5"/>
  <c r="J44" i="5"/>
  <c r="M44" i="5"/>
  <c r="H45" i="5"/>
  <c r="F46" i="5"/>
  <c r="N43" i="5"/>
  <c r="O43" i="5" s="1"/>
  <c r="K43" i="5"/>
  <c r="L44" i="5" s="1"/>
  <c r="I45" i="2"/>
  <c r="G46" i="2"/>
  <c r="M44" i="2"/>
  <c r="J44" i="2"/>
  <c r="K44" i="2"/>
  <c r="F46" i="2"/>
  <c r="H45" i="2"/>
  <c r="K43" i="2"/>
  <c r="L44" i="2" s="1"/>
  <c r="M44" i="4"/>
  <c r="J44" i="4"/>
  <c r="G46" i="4"/>
  <c r="I45" i="4"/>
  <c r="H45" i="4"/>
  <c r="F46" i="4"/>
  <c r="N43" i="4"/>
  <c r="O43" i="4" s="1"/>
  <c r="L44" i="4"/>
  <c r="I45" i="3"/>
  <c r="G46" i="3"/>
  <c r="H45" i="3"/>
  <c r="F46" i="3"/>
  <c r="J45" i="3" l="1"/>
  <c r="M45" i="3"/>
  <c r="L45" i="8"/>
  <c r="N44" i="8"/>
  <c r="O44" i="8" s="1"/>
  <c r="M45" i="8"/>
  <c r="N45" i="8" s="1"/>
  <c r="O45" i="8" s="1"/>
  <c r="J45" i="8"/>
  <c r="I46" i="8"/>
  <c r="G47" i="8"/>
  <c r="F47" i="8"/>
  <c r="H46" i="8"/>
  <c r="I46" i="7"/>
  <c r="G47" i="7"/>
  <c r="J45" i="7"/>
  <c r="M45" i="7"/>
  <c r="K45" i="7"/>
  <c r="L46" i="7" s="1"/>
  <c r="F47" i="7"/>
  <c r="H46" i="7"/>
  <c r="N44" i="7"/>
  <c r="O44" i="7" s="1"/>
  <c r="K44" i="7"/>
  <c r="L45" i="7" s="1"/>
  <c r="M45" i="6"/>
  <c r="J45" i="6"/>
  <c r="I46" i="6"/>
  <c r="G47" i="6"/>
  <c r="H46" i="6"/>
  <c r="F47" i="6"/>
  <c r="N44" i="6"/>
  <c r="O44" i="6" s="1"/>
  <c r="L45" i="6"/>
  <c r="I46" i="5"/>
  <c r="G47" i="5"/>
  <c r="J45" i="5"/>
  <c r="M45" i="5"/>
  <c r="K45" i="5"/>
  <c r="F47" i="5"/>
  <c r="H46" i="5"/>
  <c r="N44" i="5"/>
  <c r="O44" i="5" s="1"/>
  <c r="K44" i="5"/>
  <c r="L45" i="5" s="1"/>
  <c r="J45" i="2"/>
  <c r="M45" i="2"/>
  <c r="I46" i="2"/>
  <c r="G47" i="2"/>
  <c r="K45" i="2"/>
  <c r="F47" i="2"/>
  <c r="H46" i="2"/>
  <c r="N44" i="2"/>
  <c r="O44" i="2" s="1"/>
  <c r="L45" i="2"/>
  <c r="I46" i="4"/>
  <c r="G47" i="4"/>
  <c r="M45" i="4"/>
  <c r="J45" i="4"/>
  <c r="H46" i="4"/>
  <c r="F47" i="4"/>
  <c r="N44" i="4"/>
  <c r="O44" i="4" s="1"/>
  <c r="K44" i="4"/>
  <c r="L45" i="4" s="1"/>
  <c r="G47" i="3"/>
  <c r="I46" i="3"/>
  <c r="F47" i="3"/>
  <c r="H46" i="3"/>
  <c r="K44" i="3"/>
  <c r="L45" i="3" s="1"/>
  <c r="N45" i="3" s="1"/>
  <c r="O45" i="3" s="1"/>
  <c r="M46" i="3" l="1"/>
  <c r="J46" i="3"/>
  <c r="K46" i="3" s="1"/>
  <c r="L47" i="3" s="1"/>
  <c r="N45" i="4"/>
  <c r="O45" i="4" s="1"/>
  <c r="J46" i="8"/>
  <c r="M46" i="8"/>
  <c r="I47" i="8"/>
  <c r="G48" i="8"/>
  <c r="H47" i="8"/>
  <c r="F48" i="8"/>
  <c r="K45" i="8"/>
  <c r="L46" i="8" s="1"/>
  <c r="M46" i="7"/>
  <c r="N46" i="7" s="1"/>
  <c r="O46" i="7" s="1"/>
  <c r="J46" i="7"/>
  <c r="I47" i="7"/>
  <c r="G48" i="7"/>
  <c r="K46" i="7"/>
  <c r="H47" i="7"/>
  <c r="F48" i="7"/>
  <c r="N45" i="7"/>
  <c r="O45" i="7" s="1"/>
  <c r="M46" i="6"/>
  <c r="J46" i="6"/>
  <c r="I47" i="6"/>
  <c r="G48" i="6"/>
  <c r="F48" i="6"/>
  <c r="H47" i="6"/>
  <c r="N45" i="6"/>
  <c r="O45" i="6" s="1"/>
  <c r="K45" i="6"/>
  <c r="L46" i="6" s="1"/>
  <c r="M46" i="5"/>
  <c r="J46" i="5"/>
  <c r="G48" i="5"/>
  <c r="I47" i="5"/>
  <c r="K46" i="5"/>
  <c r="F48" i="5"/>
  <c r="H47" i="5"/>
  <c r="N45" i="5"/>
  <c r="O45" i="5" s="1"/>
  <c r="L46" i="5"/>
  <c r="J46" i="2"/>
  <c r="M46" i="2"/>
  <c r="G48" i="2"/>
  <c r="I47" i="2"/>
  <c r="H47" i="2"/>
  <c r="F48" i="2"/>
  <c r="N45" i="2"/>
  <c r="O45" i="2" s="1"/>
  <c r="L46" i="2"/>
  <c r="J46" i="4"/>
  <c r="K46" i="4" s="1"/>
  <c r="M46" i="4"/>
  <c r="I47" i="4"/>
  <c r="G48" i="4"/>
  <c r="F48" i="4"/>
  <c r="H47" i="4"/>
  <c r="K45" i="4"/>
  <c r="L46" i="4" s="1"/>
  <c r="G48" i="3"/>
  <c r="I47" i="3"/>
  <c r="H47" i="3"/>
  <c r="F48" i="3"/>
  <c r="K45" i="3"/>
  <c r="L46" i="3" s="1"/>
  <c r="N46" i="3" l="1"/>
  <c r="O46" i="3" s="1"/>
  <c r="J47" i="3"/>
  <c r="M47" i="3"/>
  <c r="N47" i="3" s="1"/>
  <c r="O47" i="3" s="1"/>
  <c r="L47" i="4"/>
  <c r="J47" i="8"/>
  <c r="M47" i="8"/>
  <c r="G49" i="8"/>
  <c r="I48" i="8"/>
  <c r="H48" i="8"/>
  <c r="F49" i="8"/>
  <c r="N46" i="8"/>
  <c r="O46" i="8" s="1"/>
  <c r="K46" i="8"/>
  <c r="L47" i="8" s="1"/>
  <c r="J47" i="7"/>
  <c r="M47" i="7"/>
  <c r="G49" i="7"/>
  <c r="I48" i="7"/>
  <c r="F49" i="7"/>
  <c r="H48" i="7"/>
  <c r="L47" i="7"/>
  <c r="J47" i="6"/>
  <c r="M47" i="6"/>
  <c r="I48" i="6"/>
  <c r="G49" i="6"/>
  <c r="F49" i="6"/>
  <c r="H48" i="6"/>
  <c r="N46" i="6"/>
  <c r="O46" i="6" s="1"/>
  <c r="K46" i="6"/>
  <c r="L47" i="6" s="1"/>
  <c r="G49" i="5"/>
  <c r="I48" i="5"/>
  <c r="M47" i="5"/>
  <c r="J47" i="5"/>
  <c r="K47" i="5" s="1"/>
  <c r="L48" i="5" s="1"/>
  <c r="H48" i="5"/>
  <c r="F49" i="5"/>
  <c r="N46" i="5"/>
  <c r="O46" i="5" s="1"/>
  <c r="L47" i="5"/>
  <c r="G49" i="2"/>
  <c r="I48" i="2"/>
  <c r="J47" i="2"/>
  <c r="M47" i="2"/>
  <c r="F49" i="2"/>
  <c r="H48" i="2"/>
  <c r="N46" i="2"/>
  <c r="O46" i="2" s="1"/>
  <c r="K46" i="2"/>
  <c r="L47" i="2" s="1"/>
  <c r="J47" i="4"/>
  <c r="M47" i="4"/>
  <c r="I48" i="4"/>
  <c r="G49" i="4"/>
  <c r="F49" i="4"/>
  <c r="H48" i="4"/>
  <c r="N46" i="4"/>
  <c r="O46" i="4" s="1"/>
  <c r="I48" i="3"/>
  <c r="G49" i="3"/>
  <c r="F49" i="3"/>
  <c r="H48" i="3"/>
  <c r="M48" i="3" l="1"/>
  <c r="J48" i="3"/>
  <c r="K48" i="3" s="1"/>
  <c r="L49" i="3" s="1"/>
  <c r="N47" i="4"/>
  <c r="O47" i="4" s="1"/>
  <c r="N47" i="2"/>
  <c r="O47" i="2" s="1"/>
  <c r="N47" i="5"/>
  <c r="O47" i="5" s="1"/>
  <c r="I49" i="8"/>
  <c r="G50" i="8"/>
  <c r="J48" i="8"/>
  <c r="M48" i="8"/>
  <c r="F50" i="8"/>
  <c r="H49" i="8"/>
  <c r="N47" i="8"/>
  <c r="O47" i="8" s="1"/>
  <c r="K47" i="8"/>
  <c r="L48" i="8" s="1"/>
  <c r="I49" i="7"/>
  <c r="G50" i="7"/>
  <c r="J48" i="7"/>
  <c r="M48" i="7"/>
  <c r="H49" i="7"/>
  <c r="F50" i="7"/>
  <c r="N47" i="7"/>
  <c r="O47" i="7" s="1"/>
  <c r="K47" i="7"/>
  <c r="L48" i="7" s="1"/>
  <c r="J48" i="6"/>
  <c r="M48" i="6"/>
  <c r="G50" i="6"/>
  <c r="I49" i="6"/>
  <c r="F50" i="6"/>
  <c r="H49" i="6"/>
  <c r="N47" i="6"/>
  <c r="O47" i="6" s="1"/>
  <c r="K47" i="6"/>
  <c r="L48" i="6" s="1"/>
  <c r="I49" i="5"/>
  <c r="G50" i="5"/>
  <c r="M48" i="5"/>
  <c r="N48" i="5" s="1"/>
  <c r="O48" i="5" s="1"/>
  <c r="J48" i="5"/>
  <c r="K48" i="5" s="1"/>
  <c r="H49" i="5"/>
  <c r="F50" i="5"/>
  <c r="I49" i="2"/>
  <c r="G50" i="2"/>
  <c r="J48" i="2"/>
  <c r="M48" i="2"/>
  <c r="K48" i="2"/>
  <c r="H49" i="2"/>
  <c r="F50" i="2"/>
  <c r="K47" i="2"/>
  <c r="L48" i="2" s="1"/>
  <c r="J48" i="4"/>
  <c r="M48" i="4"/>
  <c r="I49" i="4"/>
  <c r="G50" i="4"/>
  <c r="H49" i="4"/>
  <c r="F50" i="4"/>
  <c r="K47" i="4"/>
  <c r="L48" i="4" s="1"/>
  <c r="I49" i="3"/>
  <c r="G50" i="3"/>
  <c r="H49" i="3"/>
  <c r="F50" i="3"/>
  <c r="K47" i="3"/>
  <c r="L48" i="3" s="1"/>
  <c r="N48" i="3" l="1"/>
  <c r="O48" i="3" s="1"/>
  <c r="J49" i="3"/>
  <c r="M49" i="3"/>
  <c r="N49" i="3" s="1"/>
  <c r="O49" i="3" s="1"/>
  <c r="J49" i="8"/>
  <c r="M49" i="8"/>
  <c r="G51" i="8"/>
  <c r="I50" i="8"/>
  <c r="K49" i="8"/>
  <c r="H50" i="8"/>
  <c r="F51" i="8"/>
  <c r="N48" i="8"/>
  <c r="O48" i="8" s="1"/>
  <c r="K48" i="8"/>
  <c r="L49" i="8" s="1"/>
  <c r="J49" i="7"/>
  <c r="M49" i="7"/>
  <c r="G51" i="7"/>
  <c r="I50" i="7"/>
  <c r="K49" i="7"/>
  <c r="L50" i="7" s="1"/>
  <c r="F51" i="7"/>
  <c r="H50" i="7"/>
  <c r="N48" i="7"/>
  <c r="O48" i="7" s="1"/>
  <c r="K48" i="7"/>
  <c r="L49" i="7" s="1"/>
  <c r="G51" i="6"/>
  <c r="I50" i="6"/>
  <c r="J49" i="6"/>
  <c r="M49" i="6"/>
  <c r="H50" i="6"/>
  <c r="F51" i="6"/>
  <c r="N48" i="6"/>
  <c r="O48" i="6" s="1"/>
  <c r="K48" i="6"/>
  <c r="L49" i="6" s="1"/>
  <c r="M49" i="5"/>
  <c r="J49" i="5"/>
  <c r="G51" i="5"/>
  <c r="I50" i="5"/>
  <c r="K49" i="5"/>
  <c r="F51" i="5"/>
  <c r="H50" i="5"/>
  <c r="L49" i="5"/>
  <c r="J49" i="2"/>
  <c r="M49" i="2"/>
  <c r="G51" i="2"/>
  <c r="I50" i="2"/>
  <c r="K49" i="2"/>
  <c r="L50" i="2" s="1"/>
  <c r="H50" i="2"/>
  <c r="F51" i="2"/>
  <c r="N48" i="2"/>
  <c r="O48" i="2" s="1"/>
  <c r="L49" i="2"/>
  <c r="M49" i="4"/>
  <c r="J49" i="4"/>
  <c r="I50" i="4"/>
  <c r="G51" i="4"/>
  <c r="H50" i="4"/>
  <c r="F51" i="4"/>
  <c r="N48" i="4"/>
  <c r="O48" i="4" s="1"/>
  <c r="K48" i="4"/>
  <c r="L49" i="4" s="1"/>
  <c r="G51" i="3"/>
  <c r="I50" i="3"/>
  <c r="H50" i="3"/>
  <c r="F51" i="3"/>
  <c r="M50" i="3" l="1"/>
  <c r="J50" i="3"/>
  <c r="N49" i="4"/>
  <c r="O49" i="4" s="1"/>
  <c r="N49" i="2"/>
  <c r="O49" i="2" s="1"/>
  <c r="L50" i="5"/>
  <c r="G52" i="8"/>
  <c r="I51" i="8"/>
  <c r="M50" i="8"/>
  <c r="J50" i="8"/>
  <c r="H51" i="8"/>
  <c r="F52" i="8"/>
  <c r="N49" i="8"/>
  <c r="O49" i="8" s="1"/>
  <c r="L50" i="8"/>
  <c r="G52" i="7"/>
  <c r="I51" i="7"/>
  <c r="M50" i="7"/>
  <c r="N50" i="7" s="1"/>
  <c r="O50" i="7" s="1"/>
  <c r="J50" i="7"/>
  <c r="K50" i="7" s="1"/>
  <c r="H51" i="7"/>
  <c r="F52" i="7"/>
  <c r="N49" i="7"/>
  <c r="O49" i="7" s="1"/>
  <c r="I51" i="6"/>
  <c r="G52" i="6"/>
  <c r="J50" i="6"/>
  <c r="M50" i="6"/>
  <c r="K50" i="6"/>
  <c r="H51" i="6"/>
  <c r="F52" i="6"/>
  <c r="N49" i="6"/>
  <c r="O49" i="6" s="1"/>
  <c r="K49" i="6"/>
  <c r="L50" i="6" s="1"/>
  <c r="I51" i="5"/>
  <c r="G52" i="5"/>
  <c r="M50" i="5"/>
  <c r="J50" i="5"/>
  <c r="H51" i="5"/>
  <c r="F52" i="5"/>
  <c r="N49" i="5"/>
  <c r="O49" i="5" s="1"/>
  <c r="I51" i="2"/>
  <c r="G52" i="2"/>
  <c r="J50" i="2"/>
  <c r="K50" i="2" s="1"/>
  <c r="M50" i="2"/>
  <c r="N50" i="2" s="1"/>
  <c r="O50" i="2" s="1"/>
  <c r="F52" i="2"/>
  <c r="H51" i="2"/>
  <c r="M50" i="4"/>
  <c r="J50" i="4"/>
  <c r="I51" i="4"/>
  <c r="G52" i="4"/>
  <c r="F52" i="4"/>
  <c r="H51" i="4"/>
  <c r="K49" i="4"/>
  <c r="L50" i="4" s="1"/>
  <c r="I51" i="3"/>
  <c r="G52" i="3"/>
  <c r="H51" i="3"/>
  <c r="F52" i="3"/>
  <c r="K49" i="3"/>
  <c r="L50" i="3" s="1"/>
  <c r="N50" i="3" s="1"/>
  <c r="O50" i="3" s="1"/>
  <c r="M51" i="3" l="1"/>
  <c r="J51" i="3"/>
  <c r="L51" i="2"/>
  <c r="L51" i="7"/>
  <c r="L51" i="6"/>
  <c r="N50" i="5"/>
  <c r="O50" i="5" s="1"/>
  <c r="I52" i="8"/>
  <c r="G53" i="8"/>
  <c r="J51" i="8"/>
  <c r="K51" i="8" s="1"/>
  <c r="M51" i="8"/>
  <c r="F53" i="8"/>
  <c r="H52" i="8"/>
  <c r="N50" i="8"/>
  <c r="O50" i="8" s="1"/>
  <c r="K50" i="8"/>
  <c r="L51" i="8" s="1"/>
  <c r="I52" i="7"/>
  <c r="G53" i="7"/>
  <c r="J51" i="7"/>
  <c r="K51" i="7" s="1"/>
  <c r="M51" i="7"/>
  <c r="H52" i="7"/>
  <c r="F53" i="7"/>
  <c r="J51" i="6"/>
  <c r="M51" i="6"/>
  <c r="G53" i="6"/>
  <c r="I52" i="6"/>
  <c r="K51" i="6"/>
  <c r="H52" i="6"/>
  <c r="F53" i="6"/>
  <c r="N50" i="6"/>
  <c r="O50" i="6" s="1"/>
  <c r="M51" i="5"/>
  <c r="J51" i="5"/>
  <c r="I52" i="5"/>
  <c r="G53" i="5"/>
  <c r="K51" i="5"/>
  <c r="H52" i="5"/>
  <c r="F53" i="5"/>
  <c r="K50" i="5"/>
  <c r="L51" i="5" s="1"/>
  <c r="J51" i="2"/>
  <c r="M51" i="2"/>
  <c r="I52" i="2"/>
  <c r="G53" i="2"/>
  <c r="K51" i="2"/>
  <c r="F53" i="2"/>
  <c r="H52" i="2"/>
  <c r="M51" i="4"/>
  <c r="J51" i="4"/>
  <c r="G53" i="4"/>
  <c r="I52" i="4"/>
  <c r="H52" i="4"/>
  <c r="F53" i="4"/>
  <c r="N50" i="4"/>
  <c r="O50" i="4" s="1"/>
  <c r="K50" i="4"/>
  <c r="L51" i="4" s="1"/>
  <c r="G53" i="3"/>
  <c r="I52" i="3"/>
  <c r="H52" i="3"/>
  <c r="F53" i="3"/>
  <c r="K50" i="3"/>
  <c r="L51" i="3" s="1"/>
  <c r="N51" i="3" l="1"/>
  <c r="O51" i="3" s="1"/>
  <c r="M52" i="3"/>
  <c r="J52" i="3"/>
  <c r="N51" i="7"/>
  <c r="O51" i="7" s="1"/>
  <c r="N51" i="6"/>
  <c r="O51" i="6" s="1"/>
  <c r="L52" i="8"/>
  <c r="N51" i="2"/>
  <c r="O51" i="2" s="1"/>
  <c r="L52" i="6"/>
  <c r="J52" i="8"/>
  <c r="K52" i="8" s="1"/>
  <c r="M52" i="8"/>
  <c r="N52" i="8" s="1"/>
  <c r="O52" i="8" s="1"/>
  <c r="G54" i="8"/>
  <c r="I53" i="8"/>
  <c r="H53" i="8"/>
  <c r="F54" i="8"/>
  <c r="N51" i="8"/>
  <c r="O51" i="8" s="1"/>
  <c r="J52" i="7"/>
  <c r="M52" i="7"/>
  <c r="I53" i="7"/>
  <c r="G54" i="7"/>
  <c r="K52" i="7"/>
  <c r="H53" i="7"/>
  <c r="F54" i="7"/>
  <c r="L52" i="7"/>
  <c r="I53" i="6"/>
  <c r="G54" i="6"/>
  <c r="J52" i="6"/>
  <c r="M52" i="6"/>
  <c r="H53" i="6"/>
  <c r="F54" i="6"/>
  <c r="M52" i="5"/>
  <c r="J52" i="5"/>
  <c r="I53" i="5"/>
  <c r="G54" i="5"/>
  <c r="F54" i="5"/>
  <c r="H53" i="5"/>
  <c r="N51" i="5"/>
  <c r="O51" i="5" s="1"/>
  <c r="L52" i="5"/>
  <c r="J52" i="2"/>
  <c r="M52" i="2"/>
  <c r="G54" i="2"/>
  <c r="I53" i="2"/>
  <c r="H53" i="2"/>
  <c r="F54" i="2"/>
  <c r="L52" i="2"/>
  <c r="I53" i="4"/>
  <c r="G54" i="4"/>
  <c r="J52" i="4"/>
  <c r="M52" i="4"/>
  <c r="H53" i="4"/>
  <c r="F54" i="4"/>
  <c r="N51" i="4"/>
  <c r="O51" i="4" s="1"/>
  <c r="K51" i="4"/>
  <c r="L52" i="4" s="1"/>
  <c r="G54" i="3"/>
  <c r="I53" i="3"/>
  <c r="H53" i="3"/>
  <c r="F54" i="3"/>
  <c r="K51" i="3"/>
  <c r="L52" i="3" s="1"/>
  <c r="N52" i="3" l="1"/>
  <c r="O52" i="3" s="1"/>
  <c r="M53" i="3"/>
  <c r="J53" i="3"/>
  <c r="N52" i="4"/>
  <c r="O52" i="4" s="1"/>
  <c r="N52" i="2"/>
  <c r="O52" i="2" s="1"/>
  <c r="L53" i="7"/>
  <c r="N52" i="6"/>
  <c r="O52" i="6" s="1"/>
  <c r="I54" i="8"/>
  <c r="G55" i="8"/>
  <c r="M53" i="8"/>
  <c r="J53" i="8"/>
  <c r="F55" i="8"/>
  <c r="H54" i="8"/>
  <c r="L53" i="8"/>
  <c r="J53" i="7"/>
  <c r="M53" i="7"/>
  <c r="G55" i="7"/>
  <c r="I54" i="7"/>
  <c r="F55" i="7"/>
  <c r="H54" i="7"/>
  <c r="N52" i="7"/>
  <c r="O52" i="7" s="1"/>
  <c r="M53" i="6"/>
  <c r="J53" i="6"/>
  <c r="I54" i="6"/>
  <c r="G55" i="6"/>
  <c r="K53" i="6"/>
  <c r="H54" i="6"/>
  <c r="F55" i="6"/>
  <c r="K52" i="6"/>
  <c r="L53" i="6" s="1"/>
  <c r="J53" i="5"/>
  <c r="M53" i="5"/>
  <c r="G55" i="5"/>
  <c r="I54" i="5"/>
  <c r="H54" i="5"/>
  <c r="F55" i="5"/>
  <c r="N52" i="5"/>
  <c r="O52" i="5" s="1"/>
  <c r="K52" i="5"/>
  <c r="L53" i="5" s="1"/>
  <c r="I54" i="2"/>
  <c r="G55" i="2"/>
  <c r="M53" i="2"/>
  <c r="J53" i="2"/>
  <c r="F55" i="2"/>
  <c r="H54" i="2"/>
  <c r="K52" i="2"/>
  <c r="L53" i="2" s="1"/>
  <c r="M53" i="4"/>
  <c r="J53" i="4"/>
  <c r="G55" i="4"/>
  <c r="I54" i="4"/>
  <c r="K53" i="4"/>
  <c r="H54" i="4"/>
  <c r="F55" i="4"/>
  <c r="K52" i="4"/>
  <c r="L53" i="4" s="1"/>
  <c r="I54" i="3"/>
  <c r="G55" i="3"/>
  <c r="H54" i="3"/>
  <c r="F55" i="3"/>
  <c r="K52" i="3"/>
  <c r="L53" i="3" s="1"/>
  <c r="N53" i="3" s="1"/>
  <c r="O53" i="3" s="1"/>
  <c r="M54" i="3" l="1"/>
  <c r="J54" i="3"/>
  <c r="N53" i="8"/>
  <c r="O53" i="8" s="1"/>
  <c r="N53" i="7"/>
  <c r="O53" i="7" s="1"/>
  <c r="L54" i="6"/>
  <c r="M54" i="8"/>
  <c r="J54" i="8"/>
  <c r="G56" i="8"/>
  <c r="I55" i="8"/>
  <c r="K54" i="8"/>
  <c r="H55" i="8"/>
  <c r="F56" i="8"/>
  <c r="K53" i="8"/>
  <c r="L54" i="8" s="1"/>
  <c r="G56" i="7"/>
  <c r="I55" i="7"/>
  <c r="M54" i="7"/>
  <c r="J54" i="7"/>
  <c r="H55" i="7"/>
  <c r="F56" i="7"/>
  <c r="K53" i="7"/>
  <c r="L54" i="7" s="1"/>
  <c r="M54" i="6"/>
  <c r="N54" i="6" s="1"/>
  <c r="O54" i="6" s="1"/>
  <c r="J54" i="6"/>
  <c r="I55" i="6"/>
  <c r="G56" i="6"/>
  <c r="H55" i="6"/>
  <c r="F56" i="6"/>
  <c r="N53" i="6"/>
  <c r="O53" i="6" s="1"/>
  <c r="I55" i="5"/>
  <c r="G56" i="5"/>
  <c r="M54" i="5"/>
  <c r="J54" i="5"/>
  <c r="H55" i="5"/>
  <c r="F56" i="5"/>
  <c r="N53" i="5"/>
  <c r="O53" i="5" s="1"/>
  <c r="K53" i="5"/>
  <c r="L54" i="5" s="1"/>
  <c r="J54" i="2"/>
  <c r="M54" i="2"/>
  <c r="I55" i="2"/>
  <c r="G56" i="2"/>
  <c r="K54" i="2"/>
  <c r="F56" i="2"/>
  <c r="H55" i="2"/>
  <c r="N53" i="2"/>
  <c r="O53" i="2" s="1"/>
  <c r="K53" i="2"/>
  <c r="L54" i="2" s="1"/>
  <c r="I55" i="4"/>
  <c r="G56" i="4"/>
  <c r="J54" i="4"/>
  <c r="K54" i="4" s="1"/>
  <c r="L55" i="4" s="1"/>
  <c r="M54" i="4"/>
  <c r="F56" i="4"/>
  <c r="H55" i="4"/>
  <c r="N53" i="4"/>
  <c r="O53" i="4" s="1"/>
  <c r="L54" i="4"/>
  <c r="G56" i="3"/>
  <c r="I55" i="3"/>
  <c r="H55" i="3"/>
  <c r="F56" i="3"/>
  <c r="K53" i="3"/>
  <c r="L54" i="3" s="1"/>
  <c r="N54" i="3" l="1"/>
  <c r="O54" i="3" s="1"/>
  <c r="M55" i="3"/>
  <c r="J55" i="3"/>
  <c r="K55" i="3" s="1"/>
  <c r="L56" i="3" s="1"/>
  <c r="N54" i="4"/>
  <c r="O54" i="4" s="1"/>
  <c r="L55" i="8"/>
  <c r="G57" i="8"/>
  <c r="I56" i="8"/>
  <c r="M55" i="8"/>
  <c r="N55" i="8" s="1"/>
  <c r="O55" i="8" s="1"/>
  <c r="J55" i="8"/>
  <c r="F57" i="8"/>
  <c r="H56" i="8"/>
  <c r="N54" i="8"/>
  <c r="O54" i="8" s="1"/>
  <c r="I56" i="7"/>
  <c r="G57" i="7"/>
  <c r="M55" i="7"/>
  <c r="J55" i="7"/>
  <c r="K55" i="7"/>
  <c r="H56" i="7"/>
  <c r="F57" i="7"/>
  <c r="N54" i="7"/>
  <c r="O54" i="7" s="1"/>
  <c r="K54" i="7"/>
  <c r="L55" i="7" s="1"/>
  <c r="J55" i="6"/>
  <c r="M55" i="6"/>
  <c r="I56" i="6"/>
  <c r="G57" i="6"/>
  <c r="F57" i="6"/>
  <c r="H56" i="6"/>
  <c r="K54" i="6"/>
  <c r="L55" i="6" s="1"/>
  <c r="M55" i="5"/>
  <c r="J55" i="5"/>
  <c r="I56" i="5"/>
  <c r="G57" i="5"/>
  <c r="K55" i="5"/>
  <c r="F57" i="5"/>
  <c r="H56" i="5"/>
  <c r="N54" i="5"/>
  <c r="O54" i="5" s="1"/>
  <c r="K54" i="5"/>
  <c r="L55" i="5" s="1"/>
  <c r="M55" i="2"/>
  <c r="J55" i="2"/>
  <c r="I56" i="2"/>
  <c r="G57" i="2"/>
  <c r="H56" i="2"/>
  <c r="F57" i="2"/>
  <c r="N54" i="2"/>
  <c r="O54" i="2" s="1"/>
  <c r="L55" i="2"/>
  <c r="J55" i="4"/>
  <c r="M55" i="4"/>
  <c r="N55" i="4" s="1"/>
  <c r="O55" i="4" s="1"/>
  <c r="G57" i="4"/>
  <c r="I56" i="4"/>
  <c r="K55" i="4"/>
  <c r="H56" i="4"/>
  <c r="F57" i="4"/>
  <c r="G57" i="3"/>
  <c r="I56" i="3"/>
  <c r="H56" i="3"/>
  <c r="F57" i="3"/>
  <c r="K54" i="3"/>
  <c r="L55" i="3" s="1"/>
  <c r="N55" i="3" l="1"/>
  <c r="O55" i="3" s="1"/>
  <c r="M56" i="3"/>
  <c r="N56" i="3" s="1"/>
  <c r="O56" i="3" s="1"/>
  <c r="J56" i="3"/>
  <c r="K56" i="3" s="1"/>
  <c r="L57" i="3" s="1"/>
  <c r="L56" i="7"/>
  <c r="N55" i="7"/>
  <c r="O55" i="7" s="1"/>
  <c r="G58" i="8"/>
  <c r="I57" i="8"/>
  <c r="M56" i="8"/>
  <c r="J56" i="8"/>
  <c r="H57" i="8"/>
  <c r="F58" i="8"/>
  <c r="K55" i="8"/>
  <c r="L56" i="8" s="1"/>
  <c r="M56" i="7"/>
  <c r="N56" i="7" s="1"/>
  <c r="O56" i="7" s="1"/>
  <c r="J56" i="7"/>
  <c r="K56" i="7" s="1"/>
  <c r="I57" i="7"/>
  <c r="G58" i="7"/>
  <c r="H57" i="7"/>
  <c r="F58" i="7"/>
  <c r="J56" i="6"/>
  <c r="M56" i="6"/>
  <c r="I57" i="6"/>
  <c r="G58" i="6"/>
  <c r="H57" i="6"/>
  <c r="F58" i="6"/>
  <c r="N55" i="6"/>
  <c r="O55" i="6" s="1"/>
  <c r="K55" i="6"/>
  <c r="L56" i="6" s="1"/>
  <c r="M56" i="5"/>
  <c r="J56" i="5"/>
  <c r="I57" i="5"/>
  <c r="G58" i="5"/>
  <c r="H57" i="5"/>
  <c r="F58" i="5"/>
  <c r="N55" i="5"/>
  <c r="O55" i="5" s="1"/>
  <c r="L56" i="5"/>
  <c r="J56" i="2"/>
  <c r="M56" i="2"/>
  <c r="I57" i="2"/>
  <c r="G58" i="2"/>
  <c r="H57" i="2"/>
  <c r="F58" i="2"/>
  <c r="N55" i="2"/>
  <c r="O55" i="2" s="1"/>
  <c r="K55" i="2"/>
  <c r="L56" i="2" s="1"/>
  <c r="G58" i="4"/>
  <c r="I57" i="4"/>
  <c r="M56" i="4"/>
  <c r="J56" i="4"/>
  <c r="H57" i="4"/>
  <c r="F58" i="4"/>
  <c r="L56" i="4"/>
  <c r="G58" i="3"/>
  <c r="I57" i="3"/>
  <c r="F58" i="3"/>
  <c r="H57" i="3"/>
  <c r="M57" i="3" l="1"/>
  <c r="N57" i="3" s="1"/>
  <c r="O57" i="3" s="1"/>
  <c r="J57" i="3"/>
  <c r="N56" i="8"/>
  <c r="O56" i="8" s="1"/>
  <c r="N56" i="2"/>
  <c r="O56" i="2" s="1"/>
  <c r="I58" i="8"/>
  <c r="G59" i="8"/>
  <c r="J57" i="8"/>
  <c r="M57" i="8"/>
  <c r="K57" i="8"/>
  <c r="F59" i="8"/>
  <c r="H58" i="8"/>
  <c r="K56" i="8"/>
  <c r="L57" i="8" s="1"/>
  <c r="J57" i="7"/>
  <c r="M57" i="7"/>
  <c r="G59" i="7"/>
  <c r="I58" i="7"/>
  <c r="H58" i="7"/>
  <c r="F59" i="7"/>
  <c r="L57" i="7"/>
  <c r="M57" i="6"/>
  <c r="J57" i="6"/>
  <c r="K57" i="6" s="1"/>
  <c r="G59" i="6"/>
  <c r="I58" i="6"/>
  <c r="F59" i="6"/>
  <c r="H58" i="6"/>
  <c r="N56" i="6"/>
  <c r="O56" i="6" s="1"/>
  <c r="K56" i="6"/>
  <c r="L57" i="6" s="1"/>
  <c r="J57" i="5"/>
  <c r="M57" i="5"/>
  <c r="G59" i="5"/>
  <c r="I58" i="5"/>
  <c r="H58" i="5"/>
  <c r="F59" i="5"/>
  <c r="N56" i="5"/>
  <c r="O56" i="5" s="1"/>
  <c r="K56" i="5"/>
  <c r="L57" i="5" s="1"/>
  <c r="M57" i="2"/>
  <c r="J57" i="2"/>
  <c r="G59" i="2"/>
  <c r="I58" i="2"/>
  <c r="F59" i="2"/>
  <c r="H58" i="2"/>
  <c r="K56" i="2"/>
  <c r="L57" i="2" s="1"/>
  <c r="G59" i="4"/>
  <c r="I58" i="4"/>
  <c r="J57" i="4"/>
  <c r="M57" i="4"/>
  <c r="K57" i="4"/>
  <c r="F59" i="4"/>
  <c r="H58" i="4"/>
  <c r="N56" i="4"/>
  <c r="O56" i="4" s="1"/>
  <c r="K56" i="4"/>
  <c r="L57" i="4" s="1"/>
  <c r="G59" i="3"/>
  <c r="I58" i="3"/>
  <c r="H58" i="3"/>
  <c r="F59" i="3"/>
  <c r="M58" i="3" l="1"/>
  <c r="J58" i="3"/>
  <c r="K58" i="3" s="1"/>
  <c r="L59" i="3" s="1"/>
  <c r="N57" i="7"/>
  <c r="O57" i="7" s="1"/>
  <c r="L58" i="6"/>
  <c r="N57" i="6"/>
  <c r="O57" i="6" s="1"/>
  <c r="N57" i="5"/>
  <c r="O57" i="5" s="1"/>
  <c r="M58" i="8"/>
  <c r="J58" i="8"/>
  <c r="K58" i="8" s="1"/>
  <c r="I59" i="8"/>
  <c r="G60" i="8"/>
  <c r="H59" i="8"/>
  <c r="F60" i="8"/>
  <c r="N57" i="8"/>
  <c r="O57" i="8" s="1"/>
  <c r="L58" i="8"/>
  <c r="I59" i="7"/>
  <c r="G60" i="7"/>
  <c r="J58" i="7"/>
  <c r="M58" i="7"/>
  <c r="H59" i="7"/>
  <c r="F60" i="7"/>
  <c r="K57" i="7"/>
  <c r="L58" i="7" s="1"/>
  <c r="G60" i="6"/>
  <c r="I59" i="6"/>
  <c r="J58" i="6"/>
  <c r="K58" i="6" s="1"/>
  <c r="L59" i="6" s="1"/>
  <c r="M58" i="6"/>
  <c r="N58" i="6" s="1"/>
  <c r="O58" i="6" s="1"/>
  <c r="H59" i="6"/>
  <c r="F60" i="6"/>
  <c r="G60" i="5"/>
  <c r="I59" i="5"/>
  <c r="J58" i="5"/>
  <c r="M58" i="5"/>
  <c r="F60" i="5"/>
  <c r="H59" i="5"/>
  <c r="K57" i="5"/>
  <c r="L58" i="5" s="1"/>
  <c r="I59" i="2"/>
  <c r="G60" i="2"/>
  <c r="M58" i="2"/>
  <c r="J58" i="2"/>
  <c r="H59" i="2"/>
  <c r="F60" i="2"/>
  <c r="N57" i="2"/>
  <c r="O57" i="2" s="1"/>
  <c r="K57" i="2"/>
  <c r="L58" i="2" s="1"/>
  <c r="I59" i="4"/>
  <c r="G60" i="4"/>
  <c r="J58" i="4"/>
  <c r="M58" i="4"/>
  <c r="K58" i="4"/>
  <c r="F60" i="4"/>
  <c r="H59" i="4"/>
  <c r="N57" i="4"/>
  <c r="O57" i="4" s="1"/>
  <c r="L58" i="4"/>
  <c r="I59" i="3"/>
  <c r="G60" i="3"/>
  <c r="F60" i="3"/>
  <c r="H59" i="3"/>
  <c r="K57" i="3"/>
  <c r="L58" i="3" s="1"/>
  <c r="N58" i="3" s="1"/>
  <c r="O58" i="3" s="1"/>
  <c r="M59" i="3" l="1"/>
  <c r="N59" i="3" s="1"/>
  <c r="O59" i="3" s="1"/>
  <c r="J59" i="3"/>
  <c r="K59" i="3" s="1"/>
  <c r="L60" i="3" s="1"/>
  <c r="J59" i="8"/>
  <c r="M59" i="8"/>
  <c r="I60" i="8"/>
  <c r="G61" i="8"/>
  <c r="H60" i="8"/>
  <c r="F61" i="8"/>
  <c r="N58" i="8"/>
  <c r="O58" i="8" s="1"/>
  <c r="L59" i="8"/>
  <c r="M59" i="7"/>
  <c r="J59" i="7"/>
  <c r="G61" i="7"/>
  <c r="I60" i="7"/>
  <c r="K59" i="7"/>
  <c r="F61" i="7"/>
  <c r="H60" i="7"/>
  <c r="N58" i="7"/>
  <c r="O58" i="7" s="1"/>
  <c r="K58" i="7"/>
  <c r="L59" i="7" s="1"/>
  <c r="I60" i="6"/>
  <c r="G61" i="6"/>
  <c r="J59" i="6"/>
  <c r="M59" i="6"/>
  <c r="N59" i="6" s="1"/>
  <c r="O59" i="6" s="1"/>
  <c r="H60" i="6"/>
  <c r="F61" i="6"/>
  <c r="I60" i="5"/>
  <c r="G61" i="5"/>
  <c r="J59" i="5"/>
  <c r="M59" i="5"/>
  <c r="K59" i="5"/>
  <c r="H60" i="5"/>
  <c r="F61" i="5"/>
  <c r="N58" i="5"/>
  <c r="O58" i="5" s="1"/>
  <c r="K58" i="5"/>
  <c r="L59" i="5" s="1"/>
  <c r="M59" i="2"/>
  <c r="J59" i="2"/>
  <c r="I60" i="2"/>
  <c r="G61" i="2"/>
  <c r="K59" i="2"/>
  <c r="F61" i="2"/>
  <c r="H60" i="2"/>
  <c r="N58" i="2"/>
  <c r="O58" i="2" s="1"/>
  <c r="K58" i="2"/>
  <c r="L59" i="2" s="1"/>
  <c r="J59" i="4"/>
  <c r="M59" i="4"/>
  <c r="I60" i="4"/>
  <c r="G61" i="4"/>
  <c r="K59" i="4"/>
  <c r="F61" i="4"/>
  <c r="H60" i="4"/>
  <c r="N58" i="4"/>
  <c r="O58" i="4" s="1"/>
  <c r="L59" i="4"/>
  <c r="G61" i="3"/>
  <c r="I60" i="3"/>
  <c r="F61" i="3"/>
  <c r="H60" i="3"/>
  <c r="M60" i="3" l="1"/>
  <c r="N60" i="3" s="1"/>
  <c r="O60" i="3" s="1"/>
  <c r="J60" i="3"/>
  <c r="K60" i="3" s="1"/>
  <c r="L61" i="3" s="1"/>
  <c r="J60" i="8"/>
  <c r="M60" i="8"/>
  <c r="I61" i="8"/>
  <c r="G62" i="8"/>
  <c r="H61" i="8"/>
  <c r="F62" i="8"/>
  <c r="N59" i="8"/>
  <c r="O59" i="8" s="1"/>
  <c r="K59" i="8"/>
  <c r="L60" i="8" s="1"/>
  <c r="G62" i="7"/>
  <c r="I61" i="7"/>
  <c r="J60" i="7"/>
  <c r="M60" i="7"/>
  <c r="F62" i="7"/>
  <c r="H61" i="7"/>
  <c r="N59" i="7"/>
  <c r="O59" i="7" s="1"/>
  <c r="L60" i="7"/>
  <c r="J60" i="6"/>
  <c r="M60" i="6"/>
  <c r="G62" i="6"/>
  <c r="I61" i="6"/>
  <c r="H61" i="6"/>
  <c r="F62" i="6"/>
  <c r="K59" i="6"/>
  <c r="L60" i="6" s="1"/>
  <c r="M60" i="5"/>
  <c r="J60" i="5"/>
  <c r="G62" i="5"/>
  <c r="I61" i="5"/>
  <c r="K60" i="5"/>
  <c r="H61" i="5"/>
  <c r="F62" i="5"/>
  <c r="N59" i="5"/>
  <c r="O59" i="5" s="1"/>
  <c r="L60" i="5"/>
  <c r="M60" i="2"/>
  <c r="J60" i="2"/>
  <c r="I61" i="2"/>
  <c r="G62" i="2"/>
  <c r="H61" i="2"/>
  <c r="F62" i="2"/>
  <c r="N59" i="2"/>
  <c r="O59" i="2" s="1"/>
  <c r="L60" i="2"/>
  <c r="M60" i="4"/>
  <c r="J60" i="4"/>
  <c r="I61" i="4"/>
  <c r="G62" i="4"/>
  <c r="H61" i="4"/>
  <c r="F62" i="4"/>
  <c r="N59" i="4"/>
  <c r="O59" i="4" s="1"/>
  <c r="L60" i="4"/>
  <c r="I61" i="3"/>
  <c r="G62" i="3"/>
  <c r="F62" i="3"/>
  <c r="H61" i="3"/>
  <c r="M61" i="3" l="1"/>
  <c r="N61" i="3" s="1"/>
  <c r="O61" i="3" s="1"/>
  <c r="J61" i="3"/>
  <c r="K61" i="3" s="1"/>
  <c r="L62" i="3" s="1"/>
  <c r="J61" i="8"/>
  <c r="M61" i="8"/>
  <c r="G63" i="8"/>
  <c r="I62" i="8"/>
  <c r="F63" i="8"/>
  <c r="H62" i="8"/>
  <c r="N60" i="8"/>
  <c r="O60" i="8" s="1"/>
  <c r="K60" i="8"/>
  <c r="L61" i="8" s="1"/>
  <c r="G63" i="7"/>
  <c r="I62" i="7"/>
  <c r="J61" i="7"/>
  <c r="K61" i="7" s="1"/>
  <c r="M61" i="7"/>
  <c r="H62" i="7"/>
  <c r="F63" i="7"/>
  <c r="N60" i="7"/>
  <c r="O60" i="7" s="1"/>
  <c r="K60" i="7"/>
  <c r="L61" i="7" s="1"/>
  <c r="I62" i="6"/>
  <c r="G63" i="6"/>
  <c r="M61" i="6"/>
  <c r="J61" i="6"/>
  <c r="K61" i="6" s="1"/>
  <c r="L62" i="6" s="1"/>
  <c r="H62" i="6"/>
  <c r="F63" i="6"/>
  <c r="N60" i="6"/>
  <c r="O60" i="6" s="1"/>
  <c r="K60" i="6"/>
  <c r="L61" i="6" s="1"/>
  <c r="I62" i="5"/>
  <c r="G63" i="5"/>
  <c r="M61" i="5"/>
  <c r="J61" i="5"/>
  <c r="F63" i="5"/>
  <c r="H62" i="5"/>
  <c r="N60" i="5"/>
  <c r="O60" i="5" s="1"/>
  <c r="L61" i="5"/>
  <c r="M61" i="2"/>
  <c r="J61" i="2"/>
  <c r="G63" i="2"/>
  <c r="I62" i="2"/>
  <c r="F63" i="2"/>
  <c r="H62" i="2"/>
  <c r="N60" i="2"/>
  <c r="O60" i="2" s="1"/>
  <c r="K60" i="2"/>
  <c r="L61" i="2" s="1"/>
  <c r="M61" i="4"/>
  <c r="J61" i="4"/>
  <c r="I62" i="4"/>
  <c r="G63" i="4"/>
  <c r="F63" i="4"/>
  <c r="H62" i="4"/>
  <c r="N60" i="4"/>
  <c r="O60" i="4" s="1"/>
  <c r="K60" i="4"/>
  <c r="L61" i="4" s="1"/>
  <c r="I62" i="3"/>
  <c r="G63" i="3"/>
  <c r="H62" i="3"/>
  <c r="F63" i="3"/>
  <c r="M62" i="3" l="1"/>
  <c r="N62" i="3" s="1"/>
  <c r="O62" i="3" s="1"/>
  <c r="J62" i="3"/>
  <c r="N61" i="6"/>
  <c r="O61" i="6" s="1"/>
  <c r="G64" i="8"/>
  <c r="I63" i="8"/>
  <c r="J62" i="8"/>
  <c r="M62" i="8"/>
  <c r="F64" i="8"/>
  <c r="H63" i="8"/>
  <c r="N61" i="8"/>
  <c r="O61" i="8" s="1"/>
  <c r="K61" i="8"/>
  <c r="L62" i="8" s="1"/>
  <c r="G64" i="7"/>
  <c r="I63" i="7"/>
  <c r="M62" i="7"/>
  <c r="J62" i="7"/>
  <c r="H63" i="7"/>
  <c r="F64" i="7"/>
  <c r="N61" i="7"/>
  <c r="O61" i="7" s="1"/>
  <c r="L62" i="7"/>
  <c r="J62" i="6"/>
  <c r="M62" i="6"/>
  <c r="N62" i="6" s="1"/>
  <c r="O62" i="6" s="1"/>
  <c r="I63" i="6"/>
  <c r="G64" i="6"/>
  <c r="K62" i="6"/>
  <c r="H63" i="6"/>
  <c r="F64" i="6"/>
  <c r="M62" i="5"/>
  <c r="J62" i="5"/>
  <c r="K62" i="5" s="1"/>
  <c r="I63" i="5"/>
  <c r="G64" i="5"/>
  <c r="F64" i="5"/>
  <c r="H63" i="5"/>
  <c r="N61" i="5"/>
  <c r="O61" i="5" s="1"/>
  <c r="K61" i="5"/>
  <c r="L62" i="5" s="1"/>
  <c r="I63" i="2"/>
  <c r="G64" i="2"/>
  <c r="J62" i="2"/>
  <c r="M62" i="2"/>
  <c r="F64" i="2"/>
  <c r="H63" i="2"/>
  <c r="N61" i="2"/>
  <c r="O61" i="2" s="1"/>
  <c r="K61" i="2"/>
  <c r="L62" i="2" s="1"/>
  <c r="J62" i="4"/>
  <c r="K62" i="4" s="1"/>
  <c r="M62" i="4"/>
  <c r="G64" i="4"/>
  <c r="I63" i="4"/>
  <c r="H63" i="4"/>
  <c r="F64" i="4"/>
  <c r="N61" i="4"/>
  <c r="O61" i="4" s="1"/>
  <c r="K61" i="4"/>
  <c r="L62" i="4" s="1"/>
  <c r="I63" i="3"/>
  <c r="G64" i="3"/>
  <c r="F64" i="3"/>
  <c r="H63" i="3"/>
  <c r="M63" i="3" l="1"/>
  <c r="J63" i="3"/>
  <c r="L63" i="6"/>
  <c r="L63" i="4"/>
  <c r="N62" i="4"/>
  <c r="O62" i="4" s="1"/>
  <c r="N62" i="8"/>
  <c r="O62" i="8" s="1"/>
  <c r="I64" i="8"/>
  <c r="G65" i="8"/>
  <c r="M63" i="8"/>
  <c r="J63" i="8"/>
  <c r="K63" i="8"/>
  <c r="H64" i="8"/>
  <c r="F65" i="8"/>
  <c r="K62" i="8"/>
  <c r="L63" i="8" s="1"/>
  <c r="I64" i="7"/>
  <c r="G65" i="7"/>
  <c r="J63" i="7"/>
  <c r="M63" i="7"/>
  <c r="K63" i="7"/>
  <c r="F65" i="7"/>
  <c r="H64" i="7"/>
  <c r="N62" i="7"/>
  <c r="O62" i="7" s="1"/>
  <c r="K62" i="7"/>
  <c r="L63" i="7" s="1"/>
  <c r="J63" i="6"/>
  <c r="M63" i="6"/>
  <c r="G65" i="6"/>
  <c r="I64" i="6"/>
  <c r="H64" i="6"/>
  <c r="F65" i="6"/>
  <c r="J63" i="5"/>
  <c r="M63" i="5"/>
  <c r="G65" i="5"/>
  <c r="I64" i="5"/>
  <c r="F65" i="5"/>
  <c r="H64" i="5"/>
  <c r="L63" i="5"/>
  <c r="N62" i="5"/>
  <c r="O62" i="5" s="1"/>
  <c r="J63" i="2"/>
  <c r="M63" i="2"/>
  <c r="I64" i="2"/>
  <c r="G65" i="2"/>
  <c r="K63" i="2"/>
  <c r="H64" i="2"/>
  <c r="F65" i="2"/>
  <c r="N62" i="2"/>
  <c r="O62" i="2" s="1"/>
  <c r="K62" i="2"/>
  <c r="L63" i="2" s="1"/>
  <c r="G65" i="4"/>
  <c r="I64" i="4"/>
  <c r="J63" i="4"/>
  <c r="M63" i="4"/>
  <c r="H64" i="4"/>
  <c r="F65" i="4"/>
  <c r="G65" i="3"/>
  <c r="I64" i="3"/>
  <c r="H64" i="3"/>
  <c r="F65" i="3"/>
  <c r="K62" i="3"/>
  <c r="L63" i="3" s="1"/>
  <c r="N63" i="3" s="1"/>
  <c r="O63" i="3" s="1"/>
  <c r="K63" i="3"/>
  <c r="L64" i="3" s="1"/>
  <c r="M64" i="3" l="1"/>
  <c r="N64" i="3" s="1"/>
  <c r="O64" i="3" s="1"/>
  <c r="J64" i="3"/>
  <c r="N63" i="6"/>
  <c r="O63" i="6" s="1"/>
  <c r="N63" i="4"/>
  <c r="O63" i="4" s="1"/>
  <c r="L64" i="2"/>
  <c r="L64" i="7"/>
  <c r="M64" i="8"/>
  <c r="J64" i="8"/>
  <c r="I65" i="8"/>
  <c r="G66" i="8"/>
  <c r="K64" i="8"/>
  <c r="F66" i="8"/>
  <c r="H65" i="8"/>
  <c r="N63" i="8"/>
  <c r="O63" i="8" s="1"/>
  <c r="L64" i="8"/>
  <c r="J64" i="7"/>
  <c r="M64" i="7"/>
  <c r="I65" i="7"/>
  <c r="G66" i="7"/>
  <c r="K64" i="7"/>
  <c r="H65" i="7"/>
  <c r="F66" i="7"/>
  <c r="N63" i="7"/>
  <c r="O63" i="7" s="1"/>
  <c r="G66" i="6"/>
  <c r="I65" i="6"/>
  <c r="M64" i="6"/>
  <c r="J64" i="6"/>
  <c r="H65" i="6"/>
  <c r="F66" i="6"/>
  <c r="K63" i="6"/>
  <c r="L64" i="6" s="1"/>
  <c r="I65" i="5"/>
  <c r="G66" i="5"/>
  <c r="M64" i="5"/>
  <c r="J64" i="5"/>
  <c r="H65" i="5"/>
  <c r="F66" i="5"/>
  <c r="N63" i="5"/>
  <c r="O63" i="5" s="1"/>
  <c r="K63" i="5"/>
  <c r="L64" i="5" s="1"/>
  <c r="M64" i="2"/>
  <c r="J64" i="2"/>
  <c r="K64" i="2" s="1"/>
  <c r="G66" i="2"/>
  <c r="I65" i="2"/>
  <c r="H65" i="2"/>
  <c r="F66" i="2"/>
  <c r="N63" i="2"/>
  <c r="O63" i="2" s="1"/>
  <c r="G66" i="4"/>
  <c r="I65" i="4"/>
  <c r="J64" i="4"/>
  <c r="M64" i="4"/>
  <c r="K64" i="4"/>
  <c r="F66" i="4"/>
  <c r="H65" i="4"/>
  <c r="K63" i="4"/>
  <c r="L64" i="4" s="1"/>
  <c r="I65" i="3"/>
  <c r="G66" i="3"/>
  <c r="F66" i="3"/>
  <c r="H65" i="3"/>
  <c r="M65" i="3" l="1"/>
  <c r="J65" i="3"/>
  <c r="K65" i="3" s="1"/>
  <c r="L66" i="3" s="1"/>
  <c r="L65" i="2"/>
  <c r="L65" i="8"/>
  <c r="N64" i="2"/>
  <c r="O64" i="2" s="1"/>
  <c r="N64" i="7"/>
  <c r="O64" i="7" s="1"/>
  <c r="L65" i="7"/>
  <c r="J65" i="8"/>
  <c r="K65" i="8" s="1"/>
  <c r="M65" i="8"/>
  <c r="G67" i="8"/>
  <c r="I66" i="8"/>
  <c r="H66" i="8"/>
  <c r="F67" i="8"/>
  <c r="N64" i="8"/>
  <c r="O64" i="8" s="1"/>
  <c r="J65" i="7"/>
  <c r="M65" i="7"/>
  <c r="I66" i="7"/>
  <c r="G67" i="7"/>
  <c r="F67" i="7"/>
  <c r="H66" i="7"/>
  <c r="G67" i="6"/>
  <c r="I66" i="6"/>
  <c r="J65" i="6"/>
  <c r="M65" i="6"/>
  <c r="K65" i="6"/>
  <c r="F67" i="6"/>
  <c r="H66" i="6"/>
  <c r="N64" i="6"/>
  <c r="O64" i="6" s="1"/>
  <c r="K64" i="6"/>
  <c r="L65" i="6" s="1"/>
  <c r="M65" i="5"/>
  <c r="J65" i="5"/>
  <c r="K65" i="5" s="1"/>
  <c r="G67" i="5"/>
  <c r="I66" i="5"/>
  <c r="F67" i="5"/>
  <c r="H66" i="5"/>
  <c r="N64" i="5"/>
  <c r="O64" i="5" s="1"/>
  <c r="K64" i="5"/>
  <c r="L65" i="5" s="1"/>
  <c r="I66" i="2"/>
  <c r="G67" i="2"/>
  <c r="J65" i="2"/>
  <c r="M65" i="2"/>
  <c r="H66" i="2"/>
  <c r="F67" i="2"/>
  <c r="I66" i="4"/>
  <c r="G67" i="4"/>
  <c r="J65" i="4"/>
  <c r="M65" i="4"/>
  <c r="K65" i="4"/>
  <c r="L66" i="4" s="1"/>
  <c r="H66" i="4"/>
  <c r="F67" i="4"/>
  <c r="N64" i="4"/>
  <c r="O64" i="4" s="1"/>
  <c r="L65" i="4"/>
  <c r="G67" i="3"/>
  <c r="I66" i="3"/>
  <c r="H66" i="3"/>
  <c r="F67" i="3"/>
  <c r="K64" i="3"/>
  <c r="L65" i="3" s="1"/>
  <c r="N65" i="3" l="1"/>
  <c r="O65" i="3" s="1"/>
  <c r="M66" i="3"/>
  <c r="N66" i="3" s="1"/>
  <c r="O66" i="3" s="1"/>
  <c r="J66" i="3"/>
  <c r="N65" i="2"/>
  <c r="O65" i="2" s="1"/>
  <c r="L66" i="8"/>
  <c r="N65" i="4"/>
  <c r="O65" i="4" s="1"/>
  <c r="N65" i="8"/>
  <c r="O65" i="8" s="1"/>
  <c r="N65" i="7"/>
  <c r="O65" i="7" s="1"/>
  <c r="L66" i="6"/>
  <c r="I67" i="8"/>
  <c r="G68" i="8"/>
  <c r="J66" i="8"/>
  <c r="K66" i="8" s="1"/>
  <c r="L67" i="8" s="1"/>
  <c r="M66" i="8"/>
  <c r="N66" i="8" s="1"/>
  <c r="O66" i="8" s="1"/>
  <c r="H67" i="8"/>
  <c r="F68" i="8"/>
  <c r="M66" i="7"/>
  <c r="J66" i="7"/>
  <c r="G68" i="7"/>
  <c r="I67" i="7"/>
  <c r="F68" i="7"/>
  <c r="H67" i="7"/>
  <c r="K65" i="7"/>
  <c r="L66" i="7" s="1"/>
  <c r="G68" i="6"/>
  <c r="I67" i="6"/>
  <c r="J66" i="6"/>
  <c r="M66" i="6"/>
  <c r="K66" i="6"/>
  <c r="H67" i="6"/>
  <c r="F68" i="6"/>
  <c r="N65" i="6"/>
  <c r="O65" i="6" s="1"/>
  <c r="G68" i="5"/>
  <c r="I67" i="5"/>
  <c r="J66" i="5"/>
  <c r="M66" i="5"/>
  <c r="F68" i="5"/>
  <c r="H67" i="5"/>
  <c r="N65" i="5"/>
  <c r="O65" i="5" s="1"/>
  <c r="L66" i="5"/>
  <c r="J66" i="2"/>
  <c r="M66" i="2"/>
  <c r="G68" i="2"/>
  <c r="I67" i="2"/>
  <c r="K66" i="2"/>
  <c r="H67" i="2"/>
  <c r="F68" i="2"/>
  <c r="K65" i="2"/>
  <c r="L66" i="2" s="1"/>
  <c r="J66" i="4"/>
  <c r="M66" i="4"/>
  <c r="N66" i="4" s="1"/>
  <c r="O66" i="4" s="1"/>
  <c r="I67" i="4"/>
  <c r="G68" i="4"/>
  <c r="K66" i="4"/>
  <c r="L67" i="4" s="1"/>
  <c r="H67" i="4"/>
  <c r="F68" i="4"/>
  <c r="I67" i="3"/>
  <c r="G68" i="3"/>
  <c r="F68" i="3"/>
  <c r="H67" i="3"/>
  <c r="M67" i="3" l="1"/>
  <c r="J67" i="3"/>
  <c r="K67" i="3" s="1"/>
  <c r="L68" i="3" s="1"/>
  <c r="N66" i="6"/>
  <c r="O66" i="6" s="1"/>
  <c r="L67" i="2"/>
  <c r="N66" i="5"/>
  <c r="O66" i="5" s="1"/>
  <c r="J67" i="8"/>
  <c r="K67" i="8" s="1"/>
  <c r="M67" i="8"/>
  <c r="N67" i="8" s="1"/>
  <c r="O67" i="8" s="1"/>
  <c r="I68" i="8"/>
  <c r="G69" i="8"/>
  <c r="F69" i="8"/>
  <c r="H68" i="8"/>
  <c r="I68" i="7"/>
  <c r="G69" i="7"/>
  <c r="M67" i="7"/>
  <c r="J67" i="7"/>
  <c r="F69" i="7"/>
  <c r="H68" i="7"/>
  <c r="N66" i="7"/>
  <c r="O66" i="7" s="1"/>
  <c r="K66" i="7"/>
  <c r="L67" i="7" s="1"/>
  <c r="I68" i="6"/>
  <c r="G69" i="6"/>
  <c r="M67" i="6"/>
  <c r="J67" i="6"/>
  <c r="H68" i="6"/>
  <c r="F69" i="6"/>
  <c r="L67" i="6"/>
  <c r="G69" i="5"/>
  <c r="I68" i="5"/>
  <c r="M67" i="5"/>
  <c r="J67" i="5"/>
  <c r="K67" i="5"/>
  <c r="H68" i="5"/>
  <c r="F69" i="5"/>
  <c r="K66" i="5"/>
  <c r="L67" i="5" s="1"/>
  <c r="I68" i="2"/>
  <c r="G69" i="2"/>
  <c r="J67" i="2"/>
  <c r="M67" i="2"/>
  <c r="H68" i="2"/>
  <c r="F69" i="2"/>
  <c r="N66" i="2"/>
  <c r="O66" i="2" s="1"/>
  <c r="M67" i="4"/>
  <c r="N67" i="4" s="1"/>
  <c r="O67" i="4" s="1"/>
  <c r="J67" i="4"/>
  <c r="I68" i="4"/>
  <c r="G69" i="4"/>
  <c r="H68" i="4"/>
  <c r="F69" i="4"/>
  <c r="I68" i="3"/>
  <c r="G69" i="3"/>
  <c r="F69" i="3"/>
  <c r="H68" i="3"/>
  <c r="K66" i="3"/>
  <c r="L67" i="3" s="1"/>
  <c r="N67" i="3" s="1"/>
  <c r="O67" i="3" s="1"/>
  <c r="M68" i="3" l="1"/>
  <c r="N68" i="3" s="1"/>
  <c r="O68" i="3" s="1"/>
  <c r="J68" i="3"/>
  <c r="L68" i="8"/>
  <c r="N67" i="2"/>
  <c r="O67" i="2" s="1"/>
  <c r="M68" i="8"/>
  <c r="N68" i="8" s="1"/>
  <c r="O68" i="8" s="1"/>
  <c r="J68" i="8"/>
  <c r="G70" i="8"/>
  <c r="I69" i="8"/>
  <c r="F70" i="8"/>
  <c r="H69" i="8"/>
  <c r="M68" i="7"/>
  <c r="J68" i="7"/>
  <c r="K68" i="7" s="1"/>
  <c r="G70" i="7"/>
  <c r="I69" i="7"/>
  <c r="H69" i="7"/>
  <c r="F70" i="7"/>
  <c r="N67" i="7"/>
  <c r="O67" i="7" s="1"/>
  <c r="K67" i="7"/>
  <c r="L68" i="7" s="1"/>
  <c r="J68" i="6"/>
  <c r="K68" i="6" s="1"/>
  <c r="M68" i="6"/>
  <c r="G70" i="6"/>
  <c r="I69" i="6"/>
  <c r="H69" i="6"/>
  <c r="F70" i="6"/>
  <c r="N67" i="6"/>
  <c r="O67" i="6" s="1"/>
  <c r="K67" i="6"/>
  <c r="L68" i="6" s="1"/>
  <c r="I69" i="5"/>
  <c r="G70" i="5"/>
  <c r="J68" i="5"/>
  <c r="K68" i="5" s="1"/>
  <c r="M68" i="5"/>
  <c r="F70" i="5"/>
  <c r="H69" i="5"/>
  <c r="N67" i="5"/>
  <c r="O67" i="5" s="1"/>
  <c r="L68" i="5"/>
  <c r="M68" i="2"/>
  <c r="J68" i="2"/>
  <c r="K68" i="2" s="1"/>
  <c r="I69" i="2"/>
  <c r="G70" i="2"/>
  <c r="F70" i="2"/>
  <c r="H69" i="2"/>
  <c r="K67" i="2"/>
  <c r="L68" i="2" s="1"/>
  <c r="M68" i="4"/>
  <c r="J68" i="4"/>
  <c r="G70" i="4"/>
  <c r="I69" i="4"/>
  <c r="H69" i="4"/>
  <c r="F70" i="4"/>
  <c r="K67" i="4"/>
  <c r="L68" i="4" s="1"/>
  <c r="G70" i="3"/>
  <c r="I69" i="3"/>
  <c r="F70" i="3"/>
  <c r="H69" i="3"/>
  <c r="M69" i="3" l="1"/>
  <c r="J69" i="3"/>
  <c r="L69" i="6"/>
  <c r="L69" i="5"/>
  <c r="G71" i="8"/>
  <c r="I70" i="8"/>
  <c r="J69" i="8"/>
  <c r="M69" i="8"/>
  <c r="H70" i="8"/>
  <c r="F71" i="8"/>
  <c r="K68" i="8"/>
  <c r="L69" i="8" s="1"/>
  <c r="G71" i="7"/>
  <c r="I70" i="7"/>
  <c r="M69" i="7"/>
  <c r="J69" i="7"/>
  <c r="F71" i="7"/>
  <c r="H70" i="7"/>
  <c r="N68" i="7"/>
  <c r="O68" i="7" s="1"/>
  <c r="L69" i="7"/>
  <c r="G71" i="6"/>
  <c r="I70" i="6"/>
  <c r="J69" i="6"/>
  <c r="K69" i="6" s="1"/>
  <c r="M69" i="6"/>
  <c r="H70" i="6"/>
  <c r="F71" i="6"/>
  <c r="N68" i="6"/>
  <c r="O68" i="6" s="1"/>
  <c r="J69" i="5"/>
  <c r="M69" i="5"/>
  <c r="I70" i="5"/>
  <c r="G71" i="5"/>
  <c r="K69" i="5"/>
  <c r="H70" i="5"/>
  <c r="F71" i="5"/>
  <c r="N68" i="5"/>
  <c r="O68" i="5" s="1"/>
  <c r="J69" i="2"/>
  <c r="M69" i="2"/>
  <c r="I70" i="2"/>
  <c r="G71" i="2"/>
  <c r="H70" i="2"/>
  <c r="F71" i="2"/>
  <c r="L69" i="2"/>
  <c r="N68" i="2"/>
  <c r="O68" i="2" s="1"/>
  <c r="G71" i="4"/>
  <c r="I70" i="4"/>
  <c r="M69" i="4"/>
  <c r="J69" i="4"/>
  <c r="H70" i="4"/>
  <c r="F71" i="4"/>
  <c r="N68" i="4"/>
  <c r="O68" i="4" s="1"/>
  <c r="K68" i="4"/>
  <c r="L69" i="4" s="1"/>
  <c r="G71" i="3"/>
  <c r="I70" i="3"/>
  <c r="H70" i="3"/>
  <c r="F71" i="3"/>
  <c r="K68" i="3"/>
  <c r="L69" i="3" s="1"/>
  <c r="N69" i="3" s="1"/>
  <c r="O69" i="3" s="1"/>
  <c r="K69" i="3"/>
  <c r="L70" i="3" s="1"/>
  <c r="M70" i="3" l="1"/>
  <c r="N70" i="3" s="1"/>
  <c r="O70" i="3" s="1"/>
  <c r="J70" i="3"/>
  <c r="N69" i="6"/>
  <c r="O69" i="6" s="1"/>
  <c r="L70" i="6"/>
  <c r="N69" i="5"/>
  <c r="O69" i="5" s="1"/>
  <c r="N69" i="4"/>
  <c r="O69" i="4" s="1"/>
  <c r="G72" i="8"/>
  <c r="I71" i="8"/>
  <c r="M70" i="8"/>
  <c r="J70" i="8"/>
  <c r="K70" i="8"/>
  <c r="F72" i="8"/>
  <c r="H71" i="8"/>
  <c r="N69" i="8"/>
  <c r="O69" i="8" s="1"/>
  <c r="K69" i="8"/>
  <c r="L70" i="8" s="1"/>
  <c r="I71" i="7"/>
  <c r="G72" i="7"/>
  <c r="M70" i="7"/>
  <c r="J70" i="7"/>
  <c r="K70" i="7" s="1"/>
  <c r="F72" i="7"/>
  <c r="H71" i="7"/>
  <c r="N69" i="7"/>
  <c r="O69" i="7" s="1"/>
  <c r="K69" i="7"/>
  <c r="L70" i="7" s="1"/>
  <c r="G72" i="6"/>
  <c r="I71" i="6"/>
  <c r="J70" i="6"/>
  <c r="M70" i="6"/>
  <c r="K70" i="6"/>
  <c r="H71" i="6"/>
  <c r="F72" i="6"/>
  <c r="J70" i="5"/>
  <c r="M70" i="5"/>
  <c r="I71" i="5"/>
  <c r="G72" i="5"/>
  <c r="H71" i="5"/>
  <c r="F72" i="5"/>
  <c r="L70" i="5"/>
  <c r="M70" i="2"/>
  <c r="J70" i="2"/>
  <c r="K70" i="2" s="1"/>
  <c r="I71" i="2"/>
  <c r="G72" i="2"/>
  <c r="F72" i="2"/>
  <c r="H71" i="2"/>
  <c r="N69" i="2"/>
  <c r="O69" i="2" s="1"/>
  <c r="K69" i="2"/>
  <c r="L70" i="2" s="1"/>
  <c r="I71" i="4"/>
  <c r="G72" i="4"/>
  <c r="M70" i="4"/>
  <c r="J70" i="4"/>
  <c r="K70" i="4"/>
  <c r="H71" i="4"/>
  <c r="F72" i="4"/>
  <c r="K69" i="4"/>
  <c r="L70" i="4" s="1"/>
  <c r="I71" i="3"/>
  <c r="G72" i="3"/>
  <c r="H71" i="3"/>
  <c r="F72" i="3"/>
  <c r="M71" i="3" l="1"/>
  <c r="J71" i="3"/>
  <c r="N70" i="6"/>
  <c r="O70" i="6" s="1"/>
  <c r="L71" i="8"/>
  <c r="L71" i="2"/>
  <c r="G73" i="8"/>
  <c r="I72" i="8"/>
  <c r="M71" i="8"/>
  <c r="J71" i="8"/>
  <c r="K71" i="8"/>
  <c r="F73" i="8"/>
  <c r="H72" i="8"/>
  <c r="N70" i="8"/>
  <c r="O70" i="8" s="1"/>
  <c r="M71" i="7"/>
  <c r="J71" i="7"/>
  <c r="G73" i="7"/>
  <c r="I72" i="7"/>
  <c r="K71" i="7"/>
  <c r="F73" i="7"/>
  <c r="H72" i="7"/>
  <c r="N70" i="7"/>
  <c r="O70" i="7" s="1"/>
  <c r="L71" i="7"/>
  <c r="G73" i="6"/>
  <c r="I72" i="6"/>
  <c r="J71" i="6"/>
  <c r="M71" i="6"/>
  <c r="K71" i="6"/>
  <c r="F73" i="6"/>
  <c r="H72" i="6"/>
  <c r="L71" i="6"/>
  <c r="J71" i="5"/>
  <c r="K71" i="5" s="1"/>
  <c r="M71" i="5"/>
  <c r="G73" i="5"/>
  <c r="I72" i="5"/>
  <c r="F73" i="5"/>
  <c r="H72" i="5"/>
  <c r="N70" i="5"/>
  <c r="O70" i="5" s="1"/>
  <c r="K70" i="5"/>
  <c r="L71" i="5" s="1"/>
  <c r="J71" i="2"/>
  <c r="M71" i="2"/>
  <c r="N71" i="2" s="1"/>
  <c r="O71" i="2" s="1"/>
  <c r="G73" i="2"/>
  <c r="I72" i="2"/>
  <c r="H72" i="2"/>
  <c r="F73" i="2"/>
  <c r="N70" i="2"/>
  <c r="O70" i="2" s="1"/>
  <c r="M71" i="4"/>
  <c r="J71" i="4"/>
  <c r="I72" i="4"/>
  <c r="G73" i="4"/>
  <c r="K71" i="4"/>
  <c r="F73" i="4"/>
  <c r="H72" i="4"/>
  <c r="N70" i="4"/>
  <c r="O70" i="4" s="1"/>
  <c r="L71" i="4"/>
  <c r="I72" i="3"/>
  <c r="G73" i="3"/>
  <c r="F73" i="3"/>
  <c r="H72" i="3"/>
  <c r="K71" i="3"/>
  <c r="L72" i="3" s="1"/>
  <c r="K70" i="3"/>
  <c r="L71" i="3" s="1"/>
  <c r="N71" i="3" s="1"/>
  <c r="O71" i="3" s="1"/>
  <c r="J72" i="3" l="1"/>
  <c r="M72" i="3"/>
  <c r="N72" i="3" s="1"/>
  <c r="O72" i="3" s="1"/>
  <c r="L72" i="8"/>
  <c r="L72" i="5"/>
  <c r="N71" i="8"/>
  <c r="O71" i="8" s="1"/>
  <c r="N71" i="5"/>
  <c r="O71" i="5" s="1"/>
  <c r="I73" i="8"/>
  <c r="G74" i="8"/>
  <c r="J72" i="8"/>
  <c r="M72" i="8"/>
  <c r="N72" i="8" s="1"/>
  <c r="O72" i="8" s="1"/>
  <c r="K72" i="8"/>
  <c r="H73" i="8"/>
  <c r="F74" i="8"/>
  <c r="I73" i="7"/>
  <c r="G74" i="7"/>
  <c r="J72" i="7"/>
  <c r="M72" i="7"/>
  <c r="H73" i="7"/>
  <c r="F74" i="7"/>
  <c r="N71" i="7"/>
  <c r="O71" i="7" s="1"/>
  <c r="L72" i="7"/>
  <c r="I73" i="6"/>
  <c r="G74" i="6"/>
  <c r="M72" i="6"/>
  <c r="J72" i="6"/>
  <c r="F74" i="6"/>
  <c r="H73" i="6"/>
  <c r="L72" i="6"/>
  <c r="N71" i="6"/>
  <c r="O71" i="6" s="1"/>
  <c r="G74" i="5"/>
  <c r="I73" i="5"/>
  <c r="J72" i="5"/>
  <c r="M72" i="5"/>
  <c r="H73" i="5"/>
  <c r="F74" i="5"/>
  <c r="I73" i="2"/>
  <c r="G74" i="2"/>
  <c r="M72" i="2"/>
  <c r="J72" i="2"/>
  <c r="H73" i="2"/>
  <c r="F74" i="2"/>
  <c r="K71" i="2"/>
  <c r="L72" i="2" s="1"/>
  <c r="M72" i="4"/>
  <c r="J72" i="4"/>
  <c r="I73" i="4"/>
  <c r="G74" i="4"/>
  <c r="H73" i="4"/>
  <c r="F74" i="4"/>
  <c r="L72" i="4"/>
  <c r="N71" i="4"/>
  <c r="O71" i="4" s="1"/>
  <c r="G74" i="3"/>
  <c r="I73" i="3"/>
  <c r="H73" i="3"/>
  <c r="F74" i="3"/>
  <c r="M73" i="3" l="1"/>
  <c r="J73" i="3"/>
  <c r="N72" i="5"/>
  <c r="O72" i="5" s="1"/>
  <c r="N72" i="4"/>
  <c r="O72" i="4" s="1"/>
  <c r="J73" i="8"/>
  <c r="M73" i="8"/>
  <c r="I74" i="8"/>
  <c r="G75" i="8"/>
  <c r="K73" i="8"/>
  <c r="F75" i="8"/>
  <c r="H74" i="8"/>
  <c r="L73" i="8"/>
  <c r="M73" i="7"/>
  <c r="J73" i="7"/>
  <c r="I74" i="7"/>
  <c r="G75" i="7"/>
  <c r="K73" i="7"/>
  <c r="H74" i="7"/>
  <c r="F75" i="7"/>
  <c r="N72" i="7"/>
  <c r="O72" i="7" s="1"/>
  <c r="K72" i="7"/>
  <c r="L73" i="7" s="1"/>
  <c r="J73" i="6"/>
  <c r="M73" i="6"/>
  <c r="G75" i="6"/>
  <c r="I74" i="6"/>
  <c r="K73" i="6"/>
  <c r="F75" i="6"/>
  <c r="H74" i="6"/>
  <c r="N72" i="6"/>
  <c r="O72" i="6" s="1"/>
  <c r="K72" i="6"/>
  <c r="L73" i="6" s="1"/>
  <c r="G75" i="5"/>
  <c r="I74" i="5"/>
  <c r="M73" i="5"/>
  <c r="J73" i="5"/>
  <c r="K73" i="5"/>
  <c r="H74" i="5"/>
  <c r="F75" i="5"/>
  <c r="K72" i="5"/>
  <c r="L73" i="5" s="1"/>
  <c r="M73" i="2"/>
  <c r="J73" i="2"/>
  <c r="I74" i="2"/>
  <c r="G75" i="2"/>
  <c r="K73" i="2"/>
  <c r="H74" i="2"/>
  <c r="F75" i="2"/>
  <c r="N72" i="2"/>
  <c r="O72" i="2" s="1"/>
  <c r="K72" i="2"/>
  <c r="L73" i="2" s="1"/>
  <c r="J73" i="4"/>
  <c r="M73" i="4"/>
  <c r="G75" i="4"/>
  <c r="I74" i="4"/>
  <c r="H74" i="4"/>
  <c r="F75" i="4"/>
  <c r="K72" i="4"/>
  <c r="L73" i="4" s="1"/>
  <c r="I74" i="3"/>
  <c r="G75" i="3"/>
  <c r="F75" i="3"/>
  <c r="H74" i="3"/>
  <c r="K72" i="3"/>
  <c r="L73" i="3" s="1"/>
  <c r="N73" i="3" s="1"/>
  <c r="O73" i="3" s="1"/>
  <c r="J74" i="3" l="1"/>
  <c r="K74" i="3" s="1"/>
  <c r="L75" i="3" s="1"/>
  <c r="M74" i="3"/>
  <c r="L74" i="7"/>
  <c r="L74" i="5"/>
  <c r="M74" i="8"/>
  <c r="J74" i="8"/>
  <c r="K74" i="8" s="1"/>
  <c r="G76" i="8"/>
  <c r="I75" i="8"/>
  <c r="F76" i="8"/>
  <c r="H75" i="8"/>
  <c r="L74" i="8"/>
  <c r="N73" i="8"/>
  <c r="O73" i="8" s="1"/>
  <c r="M74" i="7"/>
  <c r="J74" i="7"/>
  <c r="G76" i="7"/>
  <c r="I75" i="7"/>
  <c r="F76" i="7"/>
  <c r="H75" i="7"/>
  <c r="N73" i="7"/>
  <c r="O73" i="7" s="1"/>
  <c r="G76" i="6"/>
  <c r="I75" i="6"/>
  <c r="M74" i="6"/>
  <c r="J74" i="6"/>
  <c r="F76" i="6"/>
  <c r="H75" i="6"/>
  <c r="L74" i="6"/>
  <c r="N73" i="6"/>
  <c r="O73" i="6" s="1"/>
  <c r="G76" i="5"/>
  <c r="I75" i="5"/>
  <c r="J74" i="5"/>
  <c r="M74" i="5"/>
  <c r="K74" i="5"/>
  <c r="F76" i="5"/>
  <c r="H75" i="5"/>
  <c r="N73" i="5"/>
  <c r="O73" i="5" s="1"/>
  <c r="J74" i="2"/>
  <c r="M74" i="2"/>
  <c r="I75" i="2"/>
  <c r="G76" i="2"/>
  <c r="H75" i="2"/>
  <c r="F76" i="2"/>
  <c r="L74" i="2"/>
  <c r="N73" i="2"/>
  <c r="O73" i="2" s="1"/>
  <c r="G76" i="4"/>
  <c r="I75" i="4"/>
  <c r="M74" i="4"/>
  <c r="J74" i="4"/>
  <c r="F76" i="4"/>
  <c r="H75" i="4"/>
  <c r="N73" i="4"/>
  <c r="O73" i="4" s="1"/>
  <c r="K73" i="4"/>
  <c r="L74" i="4" s="1"/>
  <c r="I75" i="3"/>
  <c r="G76" i="3"/>
  <c r="H75" i="3"/>
  <c r="F76" i="3"/>
  <c r="K73" i="3"/>
  <c r="L74" i="3" s="1"/>
  <c r="N74" i="3" l="1"/>
  <c r="O74" i="3" s="1"/>
  <c r="M75" i="3"/>
  <c r="N75" i="3" s="1"/>
  <c r="O75" i="3" s="1"/>
  <c r="J75" i="3"/>
  <c r="L75" i="8"/>
  <c r="N74" i="7"/>
  <c r="O74" i="7" s="1"/>
  <c r="N74" i="4"/>
  <c r="O74" i="4" s="1"/>
  <c r="N74" i="8"/>
  <c r="O74" i="8" s="1"/>
  <c r="N74" i="5"/>
  <c r="O74" i="5" s="1"/>
  <c r="L75" i="5"/>
  <c r="I76" i="8"/>
  <c r="G77" i="8"/>
  <c r="J75" i="8"/>
  <c r="K75" i="8" s="1"/>
  <c r="M75" i="8"/>
  <c r="N75" i="8" s="1"/>
  <c r="O75" i="8" s="1"/>
  <c r="F77" i="8"/>
  <c r="H76" i="8"/>
  <c r="I76" i="7"/>
  <c r="G77" i="7"/>
  <c r="M75" i="7"/>
  <c r="J75" i="7"/>
  <c r="F77" i="7"/>
  <c r="H76" i="7"/>
  <c r="K74" i="7"/>
  <c r="L75" i="7" s="1"/>
  <c r="G77" i="6"/>
  <c r="I76" i="6"/>
  <c r="M75" i="6"/>
  <c r="J75" i="6"/>
  <c r="K75" i="6"/>
  <c r="F77" i="6"/>
  <c r="H76" i="6"/>
  <c r="N74" i="6"/>
  <c r="O74" i="6" s="1"/>
  <c r="K74" i="6"/>
  <c r="L75" i="6" s="1"/>
  <c r="I76" i="5"/>
  <c r="G77" i="5"/>
  <c r="M75" i="5"/>
  <c r="J75" i="5"/>
  <c r="K75" i="5"/>
  <c r="H76" i="5"/>
  <c r="F77" i="5"/>
  <c r="M75" i="2"/>
  <c r="J75" i="2"/>
  <c r="G77" i="2"/>
  <c r="I76" i="2"/>
  <c r="H76" i="2"/>
  <c r="F77" i="2"/>
  <c r="N74" i="2"/>
  <c r="O74" i="2" s="1"/>
  <c r="K74" i="2"/>
  <c r="L75" i="2" s="1"/>
  <c r="I76" i="4"/>
  <c r="G77" i="4"/>
  <c r="J75" i="4"/>
  <c r="M75" i="4"/>
  <c r="K75" i="4"/>
  <c r="L76" i="4" s="1"/>
  <c r="H76" i="4"/>
  <c r="F77" i="4"/>
  <c r="K74" i="4"/>
  <c r="L75" i="4" s="1"/>
  <c r="I76" i="3"/>
  <c r="G77" i="3"/>
  <c r="H76" i="3"/>
  <c r="F77" i="3"/>
  <c r="M76" i="3" l="1"/>
  <c r="J76" i="3"/>
  <c r="L76" i="8"/>
  <c r="L76" i="6"/>
  <c r="N75" i="5"/>
  <c r="O75" i="5" s="1"/>
  <c r="L76" i="5"/>
  <c r="M76" i="8"/>
  <c r="N76" i="8" s="1"/>
  <c r="O76" i="8" s="1"/>
  <c r="J76" i="8"/>
  <c r="K76" i="8" s="1"/>
  <c r="G78" i="8"/>
  <c r="I77" i="8"/>
  <c r="H77" i="8"/>
  <c r="F78" i="8"/>
  <c r="J76" i="7"/>
  <c r="M76" i="7"/>
  <c r="I77" i="7"/>
  <c r="G78" i="7"/>
  <c r="K76" i="7"/>
  <c r="H77" i="7"/>
  <c r="F78" i="7"/>
  <c r="N75" i="7"/>
  <c r="O75" i="7" s="1"/>
  <c r="K75" i="7"/>
  <c r="L76" i="7" s="1"/>
  <c r="G78" i="6"/>
  <c r="I77" i="6"/>
  <c r="J76" i="6"/>
  <c r="K76" i="6" s="1"/>
  <c r="M76" i="6"/>
  <c r="H77" i="6"/>
  <c r="F78" i="6"/>
  <c r="N75" i="6"/>
  <c r="O75" i="6" s="1"/>
  <c r="J76" i="5"/>
  <c r="K76" i="5" s="1"/>
  <c r="M76" i="5"/>
  <c r="I77" i="5"/>
  <c r="G78" i="5"/>
  <c r="H77" i="5"/>
  <c r="F78" i="5"/>
  <c r="G78" i="2"/>
  <c r="I77" i="2"/>
  <c r="M76" i="2"/>
  <c r="J76" i="2"/>
  <c r="F78" i="2"/>
  <c r="H77" i="2"/>
  <c r="N75" i="2"/>
  <c r="O75" i="2" s="1"/>
  <c r="K75" i="2"/>
  <c r="L76" i="2" s="1"/>
  <c r="J76" i="4"/>
  <c r="M76" i="4"/>
  <c r="N76" i="4" s="1"/>
  <c r="O76" i="4" s="1"/>
  <c r="I77" i="4"/>
  <c r="G78" i="4"/>
  <c r="K76" i="4"/>
  <c r="L77" i="4" s="1"/>
  <c r="F78" i="4"/>
  <c r="H77" i="4"/>
  <c r="N75" i="4"/>
  <c r="O75" i="4" s="1"/>
  <c r="G78" i="3"/>
  <c r="I77" i="3"/>
  <c r="H77" i="3"/>
  <c r="F78" i="3"/>
  <c r="K75" i="3"/>
  <c r="L76" i="3" s="1"/>
  <c r="N76" i="3" l="1"/>
  <c r="O76" i="3" s="1"/>
  <c r="J77" i="3"/>
  <c r="M77" i="3"/>
  <c r="L77" i="5"/>
  <c r="L77" i="8"/>
  <c r="N76" i="6"/>
  <c r="O76" i="6" s="1"/>
  <c r="N76" i="5"/>
  <c r="O76" i="5" s="1"/>
  <c r="G79" i="8"/>
  <c r="I78" i="8"/>
  <c r="J77" i="8"/>
  <c r="M77" i="8"/>
  <c r="N77" i="8" s="1"/>
  <c r="O77" i="8" s="1"/>
  <c r="H78" i="8"/>
  <c r="F79" i="8"/>
  <c r="J77" i="7"/>
  <c r="M77" i="7"/>
  <c r="I78" i="7"/>
  <c r="G79" i="7"/>
  <c r="F79" i="7"/>
  <c r="H78" i="7"/>
  <c r="N76" i="7"/>
  <c r="O76" i="7" s="1"/>
  <c r="L77" i="7"/>
  <c r="G79" i="6"/>
  <c r="I78" i="6"/>
  <c r="J77" i="6"/>
  <c r="M77" i="6"/>
  <c r="H78" i="6"/>
  <c r="F79" i="6"/>
  <c r="L77" i="6"/>
  <c r="M77" i="5"/>
  <c r="N77" i="5" s="1"/>
  <c r="O77" i="5" s="1"/>
  <c r="J77" i="5"/>
  <c r="G79" i="5"/>
  <c r="I78" i="5"/>
  <c r="F79" i="5"/>
  <c r="H78" i="5"/>
  <c r="G79" i="2"/>
  <c r="I78" i="2"/>
  <c r="J77" i="2"/>
  <c r="M77" i="2"/>
  <c r="K77" i="2"/>
  <c r="F79" i="2"/>
  <c r="H78" i="2"/>
  <c r="N76" i="2"/>
  <c r="O76" i="2" s="1"/>
  <c r="K76" i="2"/>
  <c r="L77" i="2" s="1"/>
  <c r="J77" i="4"/>
  <c r="K77" i="4" s="1"/>
  <c r="M77" i="4"/>
  <c r="N77" i="4" s="1"/>
  <c r="O77" i="4" s="1"/>
  <c r="G79" i="4"/>
  <c r="I78" i="4"/>
  <c r="F79" i="4"/>
  <c r="H78" i="4"/>
  <c r="I78" i="3"/>
  <c r="G79" i="3"/>
  <c r="H78" i="3"/>
  <c r="F79" i="3"/>
  <c r="K76" i="3"/>
  <c r="L77" i="3" s="1"/>
  <c r="N77" i="3" l="1"/>
  <c r="O77" i="3" s="1"/>
  <c r="M78" i="3"/>
  <c r="J78" i="3"/>
  <c r="L78" i="4"/>
  <c r="L78" i="2"/>
  <c r="N77" i="2"/>
  <c r="O77" i="2" s="1"/>
  <c r="N77" i="6"/>
  <c r="O77" i="6" s="1"/>
  <c r="I79" i="8"/>
  <c r="G80" i="8"/>
  <c r="M78" i="8"/>
  <c r="J78" i="8"/>
  <c r="K78" i="8" s="1"/>
  <c r="H79" i="8"/>
  <c r="F80" i="8"/>
  <c r="K77" i="8"/>
  <c r="L78" i="8" s="1"/>
  <c r="M78" i="7"/>
  <c r="J78" i="7"/>
  <c r="G80" i="7"/>
  <c r="I79" i="7"/>
  <c r="H79" i="7"/>
  <c r="F80" i="7"/>
  <c r="N77" i="7"/>
  <c r="O77" i="7" s="1"/>
  <c r="K77" i="7"/>
  <c r="L78" i="7" s="1"/>
  <c r="I79" i="6"/>
  <c r="G80" i="6"/>
  <c r="M78" i="6"/>
  <c r="J78" i="6"/>
  <c r="K78" i="6"/>
  <c r="H79" i="6"/>
  <c r="F80" i="6"/>
  <c r="K77" i="6"/>
  <c r="L78" i="6" s="1"/>
  <c r="I79" i="5"/>
  <c r="G80" i="5"/>
  <c r="M78" i="5"/>
  <c r="J78" i="5"/>
  <c r="H79" i="5"/>
  <c r="F80" i="5"/>
  <c r="K77" i="5"/>
  <c r="L78" i="5" s="1"/>
  <c r="G80" i="2"/>
  <c r="I79" i="2"/>
  <c r="M78" i="2"/>
  <c r="J78" i="2"/>
  <c r="K78" i="2"/>
  <c r="F80" i="2"/>
  <c r="H79" i="2"/>
  <c r="G80" i="4"/>
  <c r="I79" i="4"/>
  <c r="J78" i="4"/>
  <c r="M78" i="4"/>
  <c r="H79" i="4"/>
  <c r="F80" i="4"/>
  <c r="I79" i="3"/>
  <c r="G80" i="3"/>
  <c r="H79" i="3"/>
  <c r="F80" i="3"/>
  <c r="K77" i="3"/>
  <c r="L78" i="3" s="1"/>
  <c r="N78" i="3" l="1"/>
  <c r="O78" i="3" s="1"/>
  <c r="J79" i="3"/>
  <c r="K79" i="3" s="1"/>
  <c r="L80" i="3" s="1"/>
  <c r="M79" i="3"/>
  <c r="N78" i="4"/>
  <c r="O78" i="4" s="1"/>
  <c r="N78" i="2"/>
  <c r="O78" i="2" s="1"/>
  <c r="L79" i="8"/>
  <c r="N78" i="7"/>
  <c r="O78" i="7" s="1"/>
  <c r="J79" i="8"/>
  <c r="K79" i="8" s="1"/>
  <c r="M79" i="8"/>
  <c r="N79" i="8" s="1"/>
  <c r="O79" i="8" s="1"/>
  <c r="G81" i="8"/>
  <c r="I80" i="8"/>
  <c r="H80" i="8"/>
  <c r="F81" i="8"/>
  <c r="N78" i="8"/>
  <c r="O78" i="8" s="1"/>
  <c r="I80" i="7"/>
  <c r="G81" i="7"/>
  <c r="J79" i="7"/>
  <c r="M79" i="7"/>
  <c r="F81" i="7"/>
  <c r="H80" i="7"/>
  <c r="K78" i="7"/>
  <c r="L79" i="7" s="1"/>
  <c r="J79" i="6"/>
  <c r="K79" i="6" s="1"/>
  <c r="M79" i="6"/>
  <c r="I80" i="6"/>
  <c r="G81" i="6"/>
  <c r="H80" i="6"/>
  <c r="F81" i="6"/>
  <c r="N78" i="6"/>
  <c r="O78" i="6" s="1"/>
  <c r="L79" i="6"/>
  <c r="J79" i="5"/>
  <c r="K79" i="5" s="1"/>
  <c r="M79" i="5"/>
  <c r="G81" i="5"/>
  <c r="I80" i="5"/>
  <c r="F81" i="5"/>
  <c r="H80" i="5"/>
  <c r="N78" i="5"/>
  <c r="O78" i="5" s="1"/>
  <c r="K78" i="5"/>
  <c r="L79" i="5" s="1"/>
  <c r="I80" i="2"/>
  <c r="G81" i="2"/>
  <c r="J79" i="2"/>
  <c r="M79" i="2"/>
  <c r="K79" i="2"/>
  <c r="F81" i="2"/>
  <c r="H80" i="2"/>
  <c r="L79" i="2"/>
  <c r="G81" i="4"/>
  <c r="I80" i="4"/>
  <c r="J79" i="4"/>
  <c r="M79" i="4"/>
  <c r="K79" i="4"/>
  <c r="F81" i="4"/>
  <c r="H80" i="4"/>
  <c r="K78" i="4"/>
  <c r="L79" i="4" s="1"/>
  <c r="G81" i="3"/>
  <c r="I80" i="3"/>
  <c r="H80" i="3"/>
  <c r="F81" i="3"/>
  <c r="K78" i="3"/>
  <c r="L79" i="3" s="1"/>
  <c r="N79" i="3" l="1"/>
  <c r="O79" i="3" s="1"/>
  <c r="M80" i="3"/>
  <c r="N80" i="3" s="1"/>
  <c r="O80" i="3" s="1"/>
  <c r="J80" i="3"/>
  <c r="L80" i="2"/>
  <c r="I81" i="8"/>
  <c r="G82" i="8"/>
  <c r="M80" i="8"/>
  <c r="J80" i="8"/>
  <c r="H81" i="8"/>
  <c r="F82" i="8"/>
  <c r="L80" i="8"/>
  <c r="M80" i="7"/>
  <c r="J80" i="7"/>
  <c r="K80" i="7" s="1"/>
  <c r="I81" i="7"/>
  <c r="G82" i="7"/>
  <c r="F82" i="7"/>
  <c r="H81" i="7"/>
  <c r="N79" i="7"/>
  <c r="O79" i="7" s="1"/>
  <c r="K79" i="7"/>
  <c r="L80" i="7" s="1"/>
  <c r="M80" i="6"/>
  <c r="J80" i="6"/>
  <c r="K80" i="6" s="1"/>
  <c r="G82" i="6"/>
  <c r="I81" i="6"/>
  <c r="H81" i="6"/>
  <c r="F82" i="6"/>
  <c r="N79" i="6"/>
  <c r="O79" i="6" s="1"/>
  <c r="L80" i="6"/>
  <c r="I81" i="5"/>
  <c r="G82" i="5"/>
  <c r="M80" i="5"/>
  <c r="J80" i="5"/>
  <c r="K80" i="5" s="1"/>
  <c r="H81" i="5"/>
  <c r="F82" i="5"/>
  <c r="N79" i="5"/>
  <c r="O79" i="5" s="1"/>
  <c r="L80" i="5"/>
  <c r="M80" i="2"/>
  <c r="J80" i="2"/>
  <c r="G82" i="2"/>
  <c r="I81" i="2"/>
  <c r="K80" i="2"/>
  <c r="H81" i="2"/>
  <c r="F82" i="2"/>
  <c r="N79" i="2"/>
  <c r="O79" i="2" s="1"/>
  <c r="I81" i="4"/>
  <c r="G82" i="4"/>
  <c r="J80" i="4"/>
  <c r="M80" i="4"/>
  <c r="K80" i="4"/>
  <c r="F82" i="4"/>
  <c r="H81" i="4"/>
  <c r="N79" i="4"/>
  <c r="O79" i="4" s="1"/>
  <c r="L80" i="4"/>
  <c r="I81" i="3"/>
  <c r="G82" i="3"/>
  <c r="F82" i="3"/>
  <c r="H81" i="3"/>
  <c r="K80" i="3"/>
  <c r="L81" i="3" s="1"/>
  <c r="J81" i="3" l="1"/>
  <c r="M81" i="3"/>
  <c r="N81" i="3" s="1"/>
  <c r="O81" i="3" s="1"/>
  <c r="N80" i="2"/>
  <c r="O80" i="2" s="1"/>
  <c r="L81" i="6"/>
  <c r="L81" i="5"/>
  <c r="N80" i="5"/>
  <c r="O80" i="5" s="1"/>
  <c r="M81" i="8"/>
  <c r="J81" i="8"/>
  <c r="K81" i="8" s="1"/>
  <c r="G83" i="8"/>
  <c r="I82" i="8"/>
  <c r="F83" i="8"/>
  <c r="H82" i="8"/>
  <c r="N80" i="8"/>
  <c r="O80" i="8" s="1"/>
  <c r="K80" i="8"/>
  <c r="L81" i="8" s="1"/>
  <c r="M81" i="7"/>
  <c r="J81" i="7"/>
  <c r="K81" i="7" s="1"/>
  <c r="I82" i="7"/>
  <c r="G83" i="7"/>
  <c r="H82" i="7"/>
  <c r="F83" i="7"/>
  <c r="N80" i="7"/>
  <c r="O80" i="7" s="1"/>
  <c r="L81" i="7"/>
  <c r="G83" i="6"/>
  <c r="I82" i="6"/>
  <c r="M81" i="6"/>
  <c r="J81" i="6"/>
  <c r="F83" i="6"/>
  <c r="H82" i="6"/>
  <c r="N80" i="6"/>
  <c r="O80" i="6" s="1"/>
  <c r="J81" i="5"/>
  <c r="M81" i="5"/>
  <c r="N81" i="5" s="1"/>
  <c r="O81" i="5" s="1"/>
  <c r="I82" i="5"/>
  <c r="G83" i="5"/>
  <c r="K81" i="5"/>
  <c r="H82" i="5"/>
  <c r="F83" i="5"/>
  <c r="I82" i="2"/>
  <c r="G83" i="2"/>
  <c r="J81" i="2"/>
  <c r="M81" i="2"/>
  <c r="H82" i="2"/>
  <c r="F83" i="2"/>
  <c r="L81" i="2"/>
  <c r="J81" i="4"/>
  <c r="M81" i="4"/>
  <c r="G83" i="4"/>
  <c r="I82" i="4"/>
  <c r="K81" i="4"/>
  <c r="F83" i="4"/>
  <c r="H82" i="4"/>
  <c r="N80" i="4"/>
  <c r="O80" i="4" s="1"/>
  <c r="L81" i="4"/>
  <c r="I82" i="3"/>
  <c r="G83" i="3"/>
  <c r="H82" i="3"/>
  <c r="F83" i="3"/>
  <c r="M82" i="3" l="1"/>
  <c r="J82" i="3"/>
  <c r="N81" i="6"/>
  <c r="O81" i="6" s="1"/>
  <c r="L82" i="7"/>
  <c r="G84" i="8"/>
  <c r="I83" i="8"/>
  <c r="M82" i="8"/>
  <c r="J82" i="8"/>
  <c r="K82" i="8" s="1"/>
  <c r="L83" i="8" s="1"/>
  <c r="H83" i="8"/>
  <c r="F84" i="8"/>
  <c r="L82" i="8"/>
  <c r="N81" i="8"/>
  <c r="O81" i="8" s="1"/>
  <c r="M82" i="7"/>
  <c r="J82" i="7"/>
  <c r="I83" i="7"/>
  <c r="G84" i="7"/>
  <c r="H83" i="7"/>
  <c r="F84" i="7"/>
  <c r="N81" i="7"/>
  <c r="O81" i="7" s="1"/>
  <c r="I83" i="6"/>
  <c r="G84" i="6"/>
  <c r="M82" i="6"/>
  <c r="J82" i="6"/>
  <c r="K82" i="6"/>
  <c r="H83" i="6"/>
  <c r="F84" i="6"/>
  <c r="K81" i="6"/>
  <c r="L82" i="6" s="1"/>
  <c r="J82" i="5"/>
  <c r="M82" i="5"/>
  <c r="I83" i="5"/>
  <c r="G84" i="5"/>
  <c r="H83" i="5"/>
  <c r="F84" i="5"/>
  <c r="L82" i="5"/>
  <c r="J82" i="2"/>
  <c r="M82" i="2"/>
  <c r="G84" i="2"/>
  <c r="I83" i="2"/>
  <c r="K82" i="2"/>
  <c r="H83" i="2"/>
  <c r="F84" i="2"/>
  <c r="N81" i="2"/>
  <c r="O81" i="2" s="1"/>
  <c r="K81" i="2"/>
  <c r="L82" i="2" s="1"/>
  <c r="I83" i="4"/>
  <c r="G84" i="4"/>
  <c r="J82" i="4"/>
  <c r="M82" i="4"/>
  <c r="H83" i="4"/>
  <c r="F84" i="4"/>
  <c r="N81" i="4"/>
  <c r="O81" i="4" s="1"/>
  <c r="L82" i="4"/>
  <c r="G84" i="3"/>
  <c r="I83" i="3"/>
  <c r="F84" i="3"/>
  <c r="H83" i="3"/>
  <c r="K81" i="3"/>
  <c r="L82" i="3" s="1"/>
  <c r="N82" i="3" s="1"/>
  <c r="O82" i="3" s="1"/>
  <c r="J83" i="3" l="1"/>
  <c r="M83" i="3"/>
  <c r="N82" i="7"/>
  <c r="O82" i="7" s="1"/>
  <c r="G85" i="8"/>
  <c r="I84" i="8"/>
  <c r="J83" i="8"/>
  <c r="M83" i="8"/>
  <c r="N83" i="8" s="1"/>
  <c r="O83" i="8" s="1"/>
  <c r="K83" i="8"/>
  <c r="F85" i="8"/>
  <c r="H84" i="8"/>
  <c r="N82" i="8"/>
  <c r="O82" i="8" s="1"/>
  <c r="M83" i="7"/>
  <c r="J83" i="7"/>
  <c r="G85" i="7"/>
  <c r="I84" i="7"/>
  <c r="H84" i="7"/>
  <c r="F85" i="7"/>
  <c r="K82" i="7"/>
  <c r="L83" i="7" s="1"/>
  <c r="M83" i="6"/>
  <c r="J83" i="6"/>
  <c r="K83" i="6" s="1"/>
  <c r="I84" i="6"/>
  <c r="G85" i="6"/>
  <c r="F85" i="6"/>
  <c r="H84" i="6"/>
  <c r="N82" i="6"/>
  <c r="O82" i="6" s="1"/>
  <c r="L83" i="6"/>
  <c r="M83" i="5"/>
  <c r="J83" i="5"/>
  <c r="I84" i="5"/>
  <c r="G85" i="5"/>
  <c r="H84" i="5"/>
  <c r="F85" i="5"/>
  <c r="N82" i="5"/>
  <c r="O82" i="5" s="1"/>
  <c r="K82" i="5"/>
  <c r="L83" i="5" s="1"/>
  <c r="G85" i="2"/>
  <c r="I84" i="2"/>
  <c r="M83" i="2"/>
  <c r="J83" i="2"/>
  <c r="H84" i="2"/>
  <c r="F85" i="2"/>
  <c r="N82" i="2"/>
  <c r="O82" i="2" s="1"/>
  <c r="L83" i="2"/>
  <c r="J83" i="4"/>
  <c r="M83" i="4"/>
  <c r="I84" i="4"/>
  <c r="G85" i="4"/>
  <c r="H84" i="4"/>
  <c r="F85" i="4"/>
  <c r="N82" i="4"/>
  <c r="O82" i="4" s="1"/>
  <c r="K82" i="4"/>
  <c r="L83" i="4" s="1"/>
  <c r="G85" i="3"/>
  <c r="I84" i="3"/>
  <c r="H84" i="3"/>
  <c r="F85" i="3"/>
  <c r="K82" i="3"/>
  <c r="L83" i="3" s="1"/>
  <c r="N83" i="3" l="1"/>
  <c r="O83" i="3" s="1"/>
  <c r="J84" i="3"/>
  <c r="M84" i="3"/>
  <c r="N83" i="4"/>
  <c r="O83" i="4" s="1"/>
  <c r="L84" i="6"/>
  <c r="N83" i="6"/>
  <c r="O83" i="6" s="1"/>
  <c r="G86" i="8"/>
  <c r="I85" i="8"/>
  <c r="M84" i="8"/>
  <c r="J84" i="8"/>
  <c r="K84" i="8" s="1"/>
  <c r="L85" i="8" s="1"/>
  <c r="H85" i="8"/>
  <c r="F86" i="8"/>
  <c r="L84" i="8"/>
  <c r="G86" i="7"/>
  <c r="I85" i="7"/>
  <c r="M84" i="7"/>
  <c r="J84" i="7"/>
  <c r="F86" i="7"/>
  <c r="H85" i="7"/>
  <c r="N83" i="7"/>
  <c r="O83" i="7" s="1"/>
  <c r="K83" i="7"/>
  <c r="L84" i="7" s="1"/>
  <c r="M84" i="6"/>
  <c r="N84" i="6" s="1"/>
  <c r="O84" i="6" s="1"/>
  <c r="J84" i="6"/>
  <c r="I85" i="6"/>
  <c r="G86" i="6"/>
  <c r="F86" i="6"/>
  <c r="H85" i="6"/>
  <c r="J84" i="5"/>
  <c r="M84" i="5"/>
  <c r="G86" i="5"/>
  <c r="I85" i="5"/>
  <c r="F86" i="5"/>
  <c r="H85" i="5"/>
  <c r="N83" i="5"/>
  <c r="O83" i="5" s="1"/>
  <c r="K83" i="5"/>
  <c r="L84" i="5" s="1"/>
  <c r="G86" i="2"/>
  <c r="I85" i="2"/>
  <c r="M84" i="2"/>
  <c r="J84" i="2"/>
  <c r="K84" i="2"/>
  <c r="L85" i="2" s="1"/>
  <c r="F86" i="2"/>
  <c r="H85" i="2"/>
  <c r="N83" i="2"/>
  <c r="O83" i="2" s="1"/>
  <c r="K83" i="2"/>
  <c r="L84" i="2" s="1"/>
  <c r="M84" i="4"/>
  <c r="J84" i="4"/>
  <c r="I85" i="4"/>
  <c r="G86" i="4"/>
  <c r="H85" i="4"/>
  <c r="F86" i="4"/>
  <c r="K83" i="4"/>
  <c r="L84" i="4" s="1"/>
  <c r="G86" i="3"/>
  <c r="I85" i="3"/>
  <c r="H85" i="3"/>
  <c r="F86" i="3"/>
  <c r="K83" i="3"/>
  <c r="L84" i="3" s="1"/>
  <c r="N84" i="3" l="1"/>
  <c r="O84" i="3" s="1"/>
  <c r="J85" i="3"/>
  <c r="M85" i="3"/>
  <c r="G87" i="8"/>
  <c r="I86" i="8"/>
  <c r="J85" i="8"/>
  <c r="M85" i="8"/>
  <c r="N85" i="8" s="1"/>
  <c r="O85" i="8" s="1"/>
  <c r="K85" i="8"/>
  <c r="H86" i="8"/>
  <c r="F87" i="8"/>
  <c r="N84" i="8"/>
  <c r="O84" i="8" s="1"/>
  <c r="I86" i="7"/>
  <c r="G87" i="7"/>
  <c r="M85" i="7"/>
  <c r="J85" i="7"/>
  <c r="K85" i="7"/>
  <c r="F87" i="7"/>
  <c r="H86" i="7"/>
  <c r="N84" i="7"/>
  <c r="O84" i="7" s="1"/>
  <c r="K84" i="7"/>
  <c r="L85" i="7" s="1"/>
  <c r="J85" i="6"/>
  <c r="M85" i="6"/>
  <c r="I86" i="6"/>
  <c r="G87" i="6"/>
  <c r="F87" i="6"/>
  <c r="H86" i="6"/>
  <c r="K84" i="6"/>
  <c r="L85" i="6" s="1"/>
  <c r="G87" i="5"/>
  <c r="I86" i="5"/>
  <c r="M85" i="5"/>
  <c r="J85" i="5"/>
  <c r="K85" i="5" s="1"/>
  <c r="H86" i="5"/>
  <c r="F87" i="5"/>
  <c r="N84" i="5"/>
  <c r="O84" i="5" s="1"/>
  <c r="K84" i="5"/>
  <c r="L85" i="5" s="1"/>
  <c r="I86" i="2"/>
  <c r="G87" i="2"/>
  <c r="J85" i="2"/>
  <c r="M85" i="2"/>
  <c r="N85" i="2" s="1"/>
  <c r="O85" i="2" s="1"/>
  <c r="K85" i="2"/>
  <c r="H86" i="2"/>
  <c r="F87" i="2"/>
  <c r="N84" i="2"/>
  <c r="O84" i="2" s="1"/>
  <c r="J85" i="4"/>
  <c r="M85" i="4"/>
  <c r="G87" i="4"/>
  <c r="I86" i="4"/>
  <c r="F87" i="4"/>
  <c r="H86" i="4"/>
  <c r="N84" i="4"/>
  <c r="O84" i="4" s="1"/>
  <c r="K84" i="4"/>
  <c r="L85" i="4" s="1"/>
  <c r="I86" i="3"/>
  <c r="G87" i="3"/>
  <c r="H86" i="3"/>
  <c r="F87" i="3"/>
  <c r="K84" i="3"/>
  <c r="L85" i="3" s="1"/>
  <c r="N85" i="3" l="1"/>
  <c r="O85" i="3" s="1"/>
  <c r="M86" i="3"/>
  <c r="J86" i="3"/>
  <c r="L86" i="5"/>
  <c r="L86" i="8"/>
  <c r="L86" i="2"/>
  <c r="N85" i="5"/>
  <c r="O85" i="5" s="1"/>
  <c r="I87" i="8"/>
  <c r="G88" i="8"/>
  <c r="J86" i="8"/>
  <c r="M86" i="8"/>
  <c r="N86" i="8" s="1"/>
  <c r="O86" i="8" s="1"/>
  <c r="H87" i="8"/>
  <c r="F88" i="8"/>
  <c r="J86" i="7"/>
  <c r="M86" i="7"/>
  <c r="I87" i="7"/>
  <c r="G88" i="7"/>
  <c r="K86" i="7"/>
  <c r="F88" i="7"/>
  <c r="H87" i="7"/>
  <c r="N85" i="7"/>
  <c r="O85" i="7" s="1"/>
  <c r="L86" i="7"/>
  <c r="J86" i="6"/>
  <c r="M86" i="6"/>
  <c r="I87" i="6"/>
  <c r="G88" i="6"/>
  <c r="H87" i="6"/>
  <c r="F88" i="6"/>
  <c r="N85" i="6"/>
  <c r="O85" i="6" s="1"/>
  <c r="K85" i="6"/>
  <c r="L86" i="6" s="1"/>
  <c r="G88" i="5"/>
  <c r="I87" i="5"/>
  <c r="M86" i="5"/>
  <c r="J86" i="5"/>
  <c r="K86" i="5"/>
  <c r="F88" i="5"/>
  <c r="H87" i="5"/>
  <c r="J86" i="2"/>
  <c r="M86" i="2"/>
  <c r="G88" i="2"/>
  <c r="I87" i="2"/>
  <c r="K86" i="2"/>
  <c r="F88" i="2"/>
  <c r="H87" i="2"/>
  <c r="I87" i="4"/>
  <c r="G88" i="4"/>
  <c r="M86" i="4"/>
  <c r="J86" i="4"/>
  <c r="H87" i="4"/>
  <c r="F88" i="4"/>
  <c r="N85" i="4"/>
  <c r="O85" i="4" s="1"/>
  <c r="K85" i="4"/>
  <c r="L86" i="4" s="1"/>
  <c r="G88" i="3"/>
  <c r="I87" i="3"/>
  <c r="H87" i="3"/>
  <c r="F88" i="3"/>
  <c r="K85" i="3"/>
  <c r="L86" i="3" s="1"/>
  <c r="N86" i="3" l="1"/>
  <c r="O86" i="3" s="1"/>
  <c r="J87" i="3"/>
  <c r="M87" i="3"/>
  <c r="N86" i="5"/>
  <c r="O86" i="5" s="1"/>
  <c r="N86" i="2"/>
  <c r="O86" i="2" s="1"/>
  <c r="L87" i="2"/>
  <c r="J87" i="8"/>
  <c r="M87" i="8"/>
  <c r="G89" i="8"/>
  <c r="I88" i="8"/>
  <c r="K87" i="8"/>
  <c r="H88" i="8"/>
  <c r="F89" i="8"/>
  <c r="K86" i="8"/>
  <c r="L87" i="8" s="1"/>
  <c r="J87" i="7"/>
  <c r="M87" i="7"/>
  <c r="I88" i="7"/>
  <c r="G89" i="7"/>
  <c r="F89" i="7"/>
  <c r="H88" i="7"/>
  <c r="N86" i="7"/>
  <c r="O86" i="7" s="1"/>
  <c r="L87" i="7"/>
  <c r="M87" i="6"/>
  <c r="J87" i="6"/>
  <c r="K87" i="6" s="1"/>
  <c r="G89" i="6"/>
  <c r="I88" i="6"/>
  <c r="F89" i="6"/>
  <c r="H88" i="6"/>
  <c r="N86" i="6"/>
  <c r="O86" i="6" s="1"/>
  <c r="K86" i="6"/>
  <c r="L87" i="6" s="1"/>
  <c r="G89" i="5"/>
  <c r="I88" i="5"/>
  <c r="M87" i="5"/>
  <c r="J87" i="5"/>
  <c r="F89" i="5"/>
  <c r="H88" i="5"/>
  <c r="L87" i="5"/>
  <c r="G89" i="2"/>
  <c r="I88" i="2"/>
  <c r="M87" i="2"/>
  <c r="J87" i="2"/>
  <c r="H88" i="2"/>
  <c r="F89" i="2"/>
  <c r="M87" i="4"/>
  <c r="J87" i="4"/>
  <c r="G89" i="4"/>
  <c r="I88" i="4"/>
  <c r="K87" i="4"/>
  <c r="F89" i="4"/>
  <c r="H88" i="4"/>
  <c r="N86" i="4"/>
  <c r="O86" i="4" s="1"/>
  <c r="K86" i="4"/>
  <c r="L87" i="4" s="1"/>
  <c r="I88" i="3"/>
  <c r="G89" i="3"/>
  <c r="F89" i="3"/>
  <c r="H88" i="3"/>
  <c r="K86" i="3"/>
  <c r="L87" i="3" s="1"/>
  <c r="N87" i="3" s="1"/>
  <c r="O87" i="3" s="1"/>
  <c r="M88" i="3" l="1"/>
  <c r="J88" i="3"/>
  <c r="L88" i="8"/>
  <c r="L88" i="6"/>
  <c r="N87" i="2"/>
  <c r="O87" i="2" s="1"/>
  <c r="N87" i="7"/>
  <c r="O87" i="7" s="1"/>
  <c r="I89" i="8"/>
  <c r="G90" i="8"/>
  <c r="J88" i="8"/>
  <c r="M88" i="8"/>
  <c r="N88" i="8" s="1"/>
  <c r="O88" i="8" s="1"/>
  <c r="F90" i="8"/>
  <c r="H89" i="8"/>
  <c r="N87" i="8"/>
  <c r="O87" i="8" s="1"/>
  <c r="J88" i="7"/>
  <c r="M88" i="7"/>
  <c r="G90" i="7"/>
  <c r="I89" i="7"/>
  <c r="F90" i="7"/>
  <c r="H89" i="7"/>
  <c r="K87" i="7"/>
  <c r="L88" i="7" s="1"/>
  <c r="I89" i="6"/>
  <c r="G90" i="6"/>
  <c r="M88" i="6"/>
  <c r="N88" i="6" s="1"/>
  <c r="O88" i="6" s="1"/>
  <c r="J88" i="6"/>
  <c r="H89" i="6"/>
  <c r="F90" i="6"/>
  <c r="N87" i="6"/>
  <c r="O87" i="6" s="1"/>
  <c r="G90" i="5"/>
  <c r="I89" i="5"/>
  <c r="J88" i="5"/>
  <c r="M88" i="5"/>
  <c r="K88" i="5"/>
  <c r="H89" i="5"/>
  <c r="F90" i="5"/>
  <c r="N87" i="5"/>
  <c r="O87" i="5" s="1"/>
  <c r="K87" i="5"/>
  <c r="L88" i="5" s="1"/>
  <c r="I89" i="2"/>
  <c r="G90" i="2"/>
  <c r="M88" i="2"/>
  <c r="J88" i="2"/>
  <c r="K88" i="2"/>
  <c r="F90" i="2"/>
  <c r="H89" i="2"/>
  <c r="K87" i="2"/>
  <c r="L88" i="2" s="1"/>
  <c r="G90" i="4"/>
  <c r="I89" i="4"/>
  <c r="J88" i="4"/>
  <c r="M88" i="4"/>
  <c r="F90" i="4"/>
  <c r="H89" i="4"/>
  <c r="N87" i="4"/>
  <c r="O87" i="4" s="1"/>
  <c r="L88" i="4"/>
  <c r="G90" i="3"/>
  <c r="I89" i="3"/>
  <c r="H89" i="3"/>
  <c r="F90" i="3"/>
  <c r="K87" i="3"/>
  <c r="L88" i="3" s="1"/>
  <c r="N88" i="3" l="1"/>
  <c r="O88" i="3" s="1"/>
  <c r="J89" i="3"/>
  <c r="M89" i="3"/>
  <c r="L89" i="5"/>
  <c r="N88" i="5"/>
  <c r="O88" i="5" s="1"/>
  <c r="J89" i="8"/>
  <c r="M89" i="8"/>
  <c r="G91" i="8"/>
  <c r="I90" i="8"/>
  <c r="K89" i="8"/>
  <c r="H90" i="8"/>
  <c r="F91" i="8"/>
  <c r="K88" i="8"/>
  <c r="L89" i="8" s="1"/>
  <c r="G91" i="7"/>
  <c r="I90" i="7"/>
  <c r="M89" i="7"/>
  <c r="J89" i="7"/>
  <c r="H90" i="7"/>
  <c r="F91" i="7"/>
  <c r="N88" i="7"/>
  <c r="O88" i="7" s="1"/>
  <c r="K88" i="7"/>
  <c r="L89" i="7" s="1"/>
  <c r="J89" i="6"/>
  <c r="M89" i="6"/>
  <c r="I90" i="6"/>
  <c r="G91" i="6"/>
  <c r="K89" i="6"/>
  <c r="F91" i="6"/>
  <c r="H90" i="6"/>
  <c r="K88" i="6"/>
  <c r="L89" i="6" s="1"/>
  <c r="I90" i="5"/>
  <c r="G91" i="5"/>
  <c r="M89" i="5"/>
  <c r="N89" i="5" s="1"/>
  <c r="O89" i="5" s="1"/>
  <c r="J89" i="5"/>
  <c r="K89" i="5"/>
  <c r="F91" i="5"/>
  <c r="H90" i="5"/>
  <c r="J89" i="2"/>
  <c r="K89" i="2" s="1"/>
  <c r="M89" i="2"/>
  <c r="I90" i="2"/>
  <c r="G91" i="2"/>
  <c r="H90" i="2"/>
  <c r="F91" i="2"/>
  <c r="L89" i="2"/>
  <c r="N88" i="2"/>
  <c r="O88" i="2" s="1"/>
  <c r="I90" i="4"/>
  <c r="G91" i="4"/>
  <c r="J89" i="4"/>
  <c r="M89" i="4"/>
  <c r="K89" i="4"/>
  <c r="H90" i="4"/>
  <c r="F91" i="4"/>
  <c r="N88" i="4"/>
  <c r="O88" i="4" s="1"/>
  <c r="K88" i="4"/>
  <c r="L89" i="4" s="1"/>
  <c r="I90" i="3"/>
  <c r="G91" i="3"/>
  <c r="H90" i="3"/>
  <c r="F91" i="3"/>
  <c r="K88" i="3"/>
  <c r="L89" i="3" s="1"/>
  <c r="N89" i="3" s="1"/>
  <c r="O89" i="3" s="1"/>
  <c r="M90" i="3" l="1"/>
  <c r="J90" i="3"/>
  <c r="L90" i="2"/>
  <c r="L90" i="6"/>
  <c r="I91" i="8"/>
  <c r="G92" i="8"/>
  <c r="M90" i="8"/>
  <c r="J90" i="8"/>
  <c r="F92" i="8"/>
  <c r="H91" i="8"/>
  <c r="L90" i="8"/>
  <c r="N89" i="8"/>
  <c r="O89" i="8" s="1"/>
  <c r="I91" i="7"/>
  <c r="G92" i="7"/>
  <c r="M90" i="7"/>
  <c r="J90" i="7"/>
  <c r="K90" i="7"/>
  <c r="F92" i="7"/>
  <c r="H91" i="7"/>
  <c r="N89" i="7"/>
  <c r="O89" i="7" s="1"/>
  <c r="K89" i="7"/>
  <c r="L90" i="7" s="1"/>
  <c r="M90" i="6"/>
  <c r="N90" i="6" s="1"/>
  <c r="O90" i="6" s="1"/>
  <c r="J90" i="6"/>
  <c r="G92" i="6"/>
  <c r="I91" i="6"/>
  <c r="H91" i="6"/>
  <c r="F92" i="6"/>
  <c r="N89" i="6"/>
  <c r="O89" i="6" s="1"/>
  <c r="J90" i="5"/>
  <c r="M90" i="5"/>
  <c r="G92" i="5"/>
  <c r="I91" i="5"/>
  <c r="K90" i="5"/>
  <c r="F92" i="5"/>
  <c r="H91" i="5"/>
  <c r="L90" i="5"/>
  <c r="M90" i="2"/>
  <c r="J90" i="2"/>
  <c r="G92" i="2"/>
  <c r="I91" i="2"/>
  <c r="H91" i="2"/>
  <c r="F92" i="2"/>
  <c r="N89" i="2"/>
  <c r="O89" i="2" s="1"/>
  <c r="M90" i="4"/>
  <c r="J90" i="4"/>
  <c r="G92" i="4"/>
  <c r="I91" i="4"/>
  <c r="K90" i="4"/>
  <c r="L91" i="4" s="1"/>
  <c r="H91" i="4"/>
  <c r="F92" i="4"/>
  <c r="N89" i="4"/>
  <c r="O89" i="4" s="1"/>
  <c r="L90" i="4"/>
  <c r="I91" i="3"/>
  <c r="G92" i="3"/>
  <c r="H91" i="3"/>
  <c r="F92" i="3"/>
  <c r="K89" i="3"/>
  <c r="L90" i="3" s="1"/>
  <c r="N90" i="3" s="1"/>
  <c r="O90" i="3" s="1"/>
  <c r="M91" i="3" l="1"/>
  <c r="J91" i="3"/>
  <c r="N90" i="8"/>
  <c r="O90" i="8" s="1"/>
  <c r="N90" i="2"/>
  <c r="O90" i="2" s="1"/>
  <c r="L91" i="5"/>
  <c r="M91" i="8"/>
  <c r="J91" i="8"/>
  <c r="I92" i="8"/>
  <c r="G93" i="8"/>
  <c r="K91" i="8"/>
  <c r="F93" i="8"/>
  <c r="H92" i="8"/>
  <c r="K90" i="8"/>
  <c r="L91" i="8" s="1"/>
  <c r="M91" i="7"/>
  <c r="J91" i="7"/>
  <c r="G93" i="7"/>
  <c r="I92" i="7"/>
  <c r="K91" i="7"/>
  <c r="F93" i="7"/>
  <c r="H92" i="7"/>
  <c r="L91" i="7"/>
  <c r="N90" i="7"/>
  <c r="O90" i="7" s="1"/>
  <c r="G93" i="6"/>
  <c r="I92" i="6"/>
  <c r="J91" i="6"/>
  <c r="M91" i="6"/>
  <c r="H92" i="6"/>
  <c r="F93" i="6"/>
  <c r="K90" i="6"/>
  <c r="L91" i="6" s="1"/>
  <c r="G93" i="5"/>
  <c r="I92" i="5"/>
  <c r="M91" i="5"/>
  <c r="J91" i="5"/>
  <c r="K91" i="5" s="1"/>
  <c r="H92" i="5"/>
  <c r="F93" i="5"/>
  <c r="N90" i="5"/>
  <c r="O90" i="5" s="1"/>
  <c r="I92" i="2"/>
  <c r="G93" i="2"/>
  <c r="M91" i="2"/>
  <c r="J91" i="2"/>
  <c r="H92" i="2"/>
  <c r="F93" i="2"/>
  <c r="K90" i="2"/>
  <c r="L91" i="2" s="1"/>
  <c r="G93" i="4"/>
  <c r="I92" i="4"/>
  <c r="J91" i="4"/>
  <c r="M91" i="4"/>
  <c r="N91" i="4" s="1"/>
  <c r="O91" i="4" s="1"/>
  <c r="F93" i="4"/>
  <c r="H92" i="4"/>
  <c r="N90" i="4"/>
  <c r="O90" i="4" s="1"/>
  <c r="G93" i="3"/>
  <c r="I92" i="3"/>
  <c r="F93" i="3"/>
  <c r="H92" i="3"/>
  <c r="K90" i="3"/>
  <c r="L91" i="3" s="1"/>
  <c r="N91" i="3" l="1"/>
  <c r="O91" i="3" s="1"/>
  <c r="J92" i="3"/>
  <c r="M92" i="3"/>
  <c r="L92" i="5"/>
  <c r="N91" i="5"/>
  <c r="O91" i="5" s="1"/>
  <c r="M92" i="8"/>
  <c r="J92" i="8"/>
  <c r="K92" i="8" s="1"/>
  <c r="I93" i="8"/>
  <c r="G94" i="8"/>
  <c r="F94" i="8"/>
  <c r="H93" i="8"/>
  <c r="N91" i="8"/>
  <c r="O91" i="8" s="1"/>
  <c r="L92" i="8"/>
  <c r="I93" i="7"/>
  <c r="G94" i="7"/>
  <c r="M92" i="7"/>
  <c r="J92" i="7"/>
  <c r="H93" i="7"/>
  <c r="F94" i="7"/>
  <c r="N91" i="7"/>
  <c r="O91" i="7" s="1"/>
  <c r="L92" i="7"/>
  <c r="I93" i="6"/>
  <c r="G94" i="6"/>
  <c r="M92" i="6"/>
  <c r="J92" i="6"/>
  <c r="K92" i="6"/>
  <c r="F94" i="6"/>
  <c r="H93" i="6"/>
  <c r="N91" i="6"/>
  <c r="O91" i="6" s="1"/>
  <c r="K91" i="6"/>
  <c r="L92" i="6" s="1"/>
  <c r="G94" i="5"/>
  <c r="I93" i="5"/>
  <c r="J92" i="5"/>
  <c r="M92" i="5"/>
  <c r="K92" i="5"/>
  <c r="H93" i="5"/>
  <c r="F94" i="5"/>
  <c r="M92" i="2"/>
  <c r="J92" i="2"/>
  <c r="K92" i="2" s="1"/>
  <c r="I93" i="2"/>
  <c r="G94" i="2"/>
  <c r="H93" i="2"/>
  <c r="F94" i="2"/>
  <c r="N91" i="2"/>
  <c r="O91" i="2" s="1"/>
  <c r="K91" i="2"/>
  <c r="L92" i="2" s="1"/>
  <c r="G94" i="4"/>
  <c r="I93" i="4"/>
  <c r="J92" i="4"/>
  <c r="M92" i="4"/>
  <c r="K92" i="4"/>
  <c r="H93" i="4"/>
  <c r="F94" i="4"/>
  <c r="K91" i="4"/>
  <c r="L92" i="4" s="1"/>
  <c r="G94" i="3"/>
  <c r="I93" i="3"/>
  <c r="H93" i="3"/>
  <c r="F94" i="3"/>
  <c r="K91" i="3"/>
  <c r="L92" i="3" s="1"/>
  <c r="N92" i="3" s="1"/>
  <c r="O92" i="3" s="1"/>
  <c r="M93" i="3" l="1"/>
  <c r="J93" i="3"/>
  <c r="K93" i="3" s="1"/>
  <c r="L94" i="3" s="1"/>
  <c r="L93" i="8"/>
  <c r="N92" i="8"/>
  <c r="O92" i="8" s="1"/>
  <c r="N92" i="5"/>
  <c r="O92" i="5" s="1"/>
  <c r="M93" i="8"/>
  <c r="N93" i="8" s="1"/>
  <c r="O93" i="8" s="1"/>
  <c r="J93" i="8"/>
  <c r="G95" i="8"/>
  <c r="I94" i="8"/>
  <c r="F95" i="8"/>
  <c r="H94" i="8"/>
  <c r="J93" i="7"/>
  <c r="K93" i="7" s="1"/>
  <c r="M93" i="7"/>
  <c r="I94" i="7"/>
  <c r="G95" i="7"/>
  <c r="H94" i="7"/>
  <c r="F95" i="7"/>
  <c r="N92" i="7"/>
  <c r="O92" i="7" s="1"/>
  <c r="K92" i="7"/>
  <c r="L93" i="7" s="1"/>
  <c r="M93" i="6"/>
  <c r="J93" i="6"/>
  <c r="K93" i="6" s="1"/>
  <c r="I94" i="6"/>
  <c r="G95" i="6"/>
  <c r="H94" i="6"/>
  <c r="F95" i="6"/>
  <c r="N92" i="6"/>
  <c r="O92" i="6" s="1"/>
  <c r="L93" i="6"/>
  <c r="G95" i="5"/>
  <c r="I94" i="5"/>
  <c r="J93" i="5"/>
  <c r="M93" i="5"/>
  <c r="K93" i="5"/>
  <c r="H94" i="5"/>
  <c r="F95" i="5"/>
  <c r="L93" i="5"/>
  <c r="M93" i="2"/>
  <c r="J93" i="2"/>
  <c r="I94" i="2"/>
  <c r="G95" i="2"/>
  <c r="H94" i="2"/>
  <c r="F95" i="2"/>
  <c r="N92" i="2"/>
  <c r="O92" i="2" s="1"/>
  <c r="L93" i="2"/>
  <c r="I94" i="4"/>
  <c r="G95" i="4"/>
  <c r="J93" i="4"/>
  <c r="M93" i="4"/>
  <c r="K93" i="4"/>
  <c r="H94" i="4"/>
  <c r="F95" i="4"/>
  <c r="N92" i="4"/>
  <c r="O92" i="4" s="1"/>
  <c r="L93" i="4"/>
  <c r="I94" i="3"/>
  <c r="G95" i="3"/>
  <c r="H94" i="3"/>
  <c r="F95" i="3"/>
  <c r="K92" i="3"/>
  <c r="L93" i="3" s="1"/>
  <c r="N93" i="3" s="1"/>
  <c r="O93" i="3" s="1"/>
  <c r="J94" i="3" l="1"/>
  <c r="M94" i="3"/>
  <c r="N94" i="3" s="1"/>
  <c r="O94" i="3" s="1"/>
  <c r="L94" i="6"/>
  <c r="N93" i="4"/>
  <c r="O93" i="4" s="1"/>
  <c r="L94" i="4"/>
  <c r="N93" i="2"/>
  <c r="O93" i="2" s="1"/>
  <c r="N93" i="6"/>
  <c r="O93" i="6" s="1"/>
  <c r="I95" i="8"/>
  <c r="G96" i="8"/>
  <c r="J94" i="8"/>
  <c r="M94" i="8"/>
  <c r="F96" i="8"/>
  <c r="H95" i="8"/>
  <c r="K93" i="8"/>
  <c r="L94" i="8" s="1"/>
  <c r="M94" i="7"/>
  <c r="J94" i="7"/>
  <c r="I95" i="7"/>
  <c r="G96" i="7"/>
  <c r="F96" i="7"/>
  <c r="H95" i="7"/>
  <c r="N93" i="7"/>
  <c r="O93" i="7" s="1"/>
  <c r="L94" i="7"/>
  <c r="M94" i="6"/>
  <c r="N94" i="6" s="1"/>
  <c r="O94" i="6" s="1"/>
  <c r="J94" i="6"/>
  <c r="I95" i="6"/>
  <c r="G96" i="6"/>
  <c r="F96" i="6"/>
  <c r="H95" i="6"/>
  <c r="G96" i="5"/>
  <c r="I95" i="5"/>
  <c r="J94" i="5"/>
  <c r="M94" i="5"/>
  <c r="K94" i="5"/>
  <c r="F96" i="5"/>
  <c r="H95" i="5"/>
  <c r="N93" i="5"/>
  <c r="O93" i="5" s="1"/>
  <c r="L94" i="5"/>
  <c r="M94" i="2"/>
  <c r="J94" i="2"/>
  <c r="G96" i="2"/>
  <c r="I95" i="2"/>
  <c r="H95" i="2"/>
  <c r="F96" i="2"/>
  <c r="K93" i="2"/>
  <c r="L94" i="2" s="1"/>
  <c r="J94" i="4"/>
  <c r="M94" i="4"/>
  <c r="G96" i="4"/>
  <c r="I95" i="4"/>
  <c r="K94" i="4"/>
  <c r="F96" i="4"/>
  <c r="H95" i="4"/>
  <c r="G96" i="3"/>
  <c r="I95" i="3"/>
  <c r="H95" i="3"/>
  <c r="F96" i="3"/>
  <c r="M95" i="3" l="1"/>
  <c r="J95" i="3"/>
  <c r="K95" i="3" s="1"/>
  <c r="L96" i="3" s="1"/>
  <c r="N94" i="4"/>
  <c r="O94" i="4" s="1"/>
  <c r="M95" i="8"/>
  <c r="J95" i="8"/>
  <c r="G97" i="8"/>
  <c r="I96" i="8"/>
  <c r="K95" i="8"/>
  <c r="F97" i="8"/>
  <c r="H96" i="8"/>
  <c r="N94" i="8"/>
  <c r="O94" i="8" s="1"/>
  <c r="K94" i="8"/>
  <c r="L95" i="8" s="1"/>
  <c r="M95" i="7"/>
  <c r="J95" i="7"/>
  <c r="I96" i="7"/>
  <c r="G97" i="7"/>
  <c r="F97" i="7"/>
  <c r="H96" i="7"/>
  <c r="N94" i="7"/>
  <c r="O94" i="7" s="1"/>
  <c r="K94" i="7"/>
  <c r="L95" i="7" s="1"/>
  <c r="J95" i="6"/>
  <c r="K95" i="6" s="1"/>
  <c r="M95" i="6"/>
  <c r="I96" i="6"/>
  <c r="G97" i="6"/>
  <c r="F97" i="6"/>
  <c r="H96" i="6"/>
  <c r="K94" i="6"/>
  <c r="L95" i="6" s="1"/>
  <c r="G97" i="5"/>
  <c r="I96" i="5"/>
  <c r="M95" i="5"/>
  <c r="J95" i="5"/>
  <c r="K95" i="5"/>
  <c r="H96" i="5"/>
  <c r="F97" i="5"/>
  <c r="L95" i="5"/>
  <c r="N94" i="5"/>
  <c r="O94" i="5" s="1"/>
  <c r="G97" i="2"/>
  <c r="I96" i="2"/>
  <c r="J95" i="2"/>
  <c r="M95" i="2"/>
  <c r="F97" i="2"/>
  <c r="H96" i="2"/>
  <c r="N94" i="2"/>
  <c r="O94" i="2" s="1"/>
  <c r="K94" i="2"/>
  <c r="L95" i="2" s="1"/>
  <c r="G97" i="4"/>
  <c r="I96" i="4"/>
  <c r="M95" i="4"/>
  <c r="J95" i="4"/>
  <c r="K95" i="4" s="1"/>
  <c r="L96" i="4" s="1"/>
  <c r="H96" i="4"/>
  <c r="F97" i="4"/>
  <c r="L95" i="4"/>
  <c r="G97" i="3"/>
  <c r="I96" i="3"/>
  <c r="H96" i="3"/>
  <c r="F97" i="3"/>
  <c r="K94" i="3"/>
  <c r="L95" i="3" s="1"/>
  <c r="N95" i="3" s="1"/>
  <c r="O95" i="3" s="1"/>
  <c r="J96" i="3" l="1"/>
  <c r="M96" i="3"/>
  <c r="N96" i="3" s="1"/>
  <c r="O96" i="3" s="1"/>
  <c r="L96" i="6"/>
  <c r="N95" i="4"/>
  <c r="O95" i="4" s="1"/>
  <c r="I97" i="8"/>
  <c r="G98" i="8"/>
  <c r="J96" i="8"/>
  <c r="K96" i="8" s="1"/>
  <c r="M96" i="8"/>
  <c r="F98" i="8"/>
  <c r="H97" i="8"/>
  <c r="N95" i="8"/>
  <c r="O95" i="8" s="1"/>
  <c r="L96" i="8"/>
  <c r="J96" i="7"/>
  <c r="M96" i="7"/>
  <c r="G98" i="7"/>
  <c r="I97" i="7"/>
  <c r="H97" i="7"/>
  <c r="F98" i="7"/>
  <c r="N95" i="7"/>
  <c r="O95" i="7" s="1"/>
  <c r="K95" i="7"/>
  <c r="L96" i="7" s="1"/>
  <c r="M96" i="6"/>
  <c r="N96" i="6" s="1"/>
  <c r="O96" i="6" s="1"/>
  <c r="J96" i="6"/>
  <c r="G98" i="6"/>
  <c r="I97" i="6"/>
  <c r="F98" i="6"/>
  <c r="H97" i="6"/>
  <c r="N95" i="6"/>
  <c r="O95" i="6" s="1"/>
  <c r="G98" i="5"/>
  <c r="I97" i="5"/>
  <c r="J96" i="5"/>
  <c r="M96" i="5"/>
  <c r="H97" i="5"/>
  <c r="F98" i="5"/>
  <c r="L96" i="5"/>
  <c r="N95" i="5"/>
  <c r="O95" i="5" s="1"/>
  <c r="I97" i="2"/>
  <c r="G98" i="2"/>
  <c r="M96" i="2"/>
  <c r="J96" i="2"/>
  <c r="K96" i="2" s="1"/>
  <c r="F98" i="2"/>
  <c r="H97" i="2"/>
  <c r="N95" i="2"/>
  <c r="O95" i="2" s="1"/>
  <c r="K95" i="2"/>
  <c r="L96" i="2" s="1"/>
  <c r="G98" i="4"/>
  <c r="I97" i="4"/>
  <c r="M96" i="4"/>
  <c r="N96" i="4" s="1"/>
  <c r="O96" i="4" s="1"/>
  <c r="J96" i="4"/>
  <c r="K96" i="4"/>
  <c r="F98" i="4"/>
  <c r="H97" i="4"/>
  <c r="G98" i="3"/>
  <c r="I97" i="3"/>
  <c r="H97" i="3"/>
  <c r="F98" i="3"/>
  <c r="J97" i="3" l="1"/>
  <c r="M97" i="3"/>
  <c r="L97" i="8"/>
  <c r="N96" i="5"/>
  <c r="O96" i="5" s="1"/>
  <c r="J97" i="8"/>
  <c r="M97" i="8"/>
  <c r="N97" i="8" s="1"/>
  <c r="O97" i="8" s="1"/>
  <c r="G99" i="8"/>
  <c r="I98" i="8"/>
  <c r="K97" i="8"/>
  <c r="F99" i="8"/>
  <c r="H98" i="8"/>
  <c r="N96" i="8"/>
  <c r="O96" i="8" s="1"/>
  <c r="I98" i="7"/>
  <c r="G99" i="7"/>
  <c r="J97" i="7"/>
  <c r="M97" i="7"/>
  <c r="H98" i="7"/>
  <c r="F99" i="7"/>
  <c r="N96" i="7"/>
  <c r="O96" i="7" s="1"/>
  <c r="K96" i="7"/>
  <c r="L97" i="7" s="1"/>
  <c r="G99" i="6"/>
  <c r="I98" i="6"/>
  <c r="J97" i="6"/>
  <c r="M97" i="6"/>
  <c r="H98" i="6"/>
  <c r="F99" i="6"/>
  <c r="K96" i="6"/>
  <c r="L97" i="6" s="1"/>
  <c r="G99" i="5"/>
  <c r="I98" i="5"/>
  <c r="M97" i="5"/>
  <c r="J97" i="5"/>
  <c r="F99" i="5"/>
  <c r="H98" i="5"/>
  <c r="K96" i="5"/>
  <c r="L97" i="5" s="1"/>
  <c r="M97" i="2"/>
  <c r="J97" i="2"/>
  <c r="I98" i="2"/>
  <c r="G99" i="2"/>
  <c r="K97" i="2"/>
  <c r="F99" i="2"/>
  <c r="H98" i="2"/>
  <c r="N96" i="2"/>
  <c r="O96" i="2" s="1"/>
  <c r="L97" i="2"/>
  <c r="G99" i="4"/>
  <c r="I98" i="4"/>
  <c r="J97" i="4"/>
  <c r="M97" i="4"/>
  <c r="K97" i="4"/>
  <c r="H98" i="4"/>
  <c r="F99" i="4"/>
  <c r="L97" i="4"/>
  <c r="G99" i="3"/>
  <c r="I98" i="3"/>
  <c r="F99" i="3"/>
  <c r="H98" i="3"/>
  <c r="K96" i="3"/>
  <c r="L97" i="3" s="1"/>
  <c r="N97" i="3" l="1"/>
  <c r="O97" i="3" s="1"/>
  <c r="M98" i="3"/>
  <c r="J98" i="3"/>
  <c r="K98" i="3" s="1"/>
  <c r="L99" i="3" s="1"/>
  <c r="G100" i="8"/>
  <c r="I99" i="8"/>
  <c r="M98" i="8"/>
  <c r="J98" i="8"/>
  <c r="F100" i="8"/>
  <c r="H99" i="8"/>
  <c r="L98" i="8"/>
  <c r="J98" i="7"/>
  <c r="M98" i="7"/>
  <c r="G100" i="7"/>
  <c r="I99" i="7"/>
  <c r="K98" i="7"/>
  <c r="F100" i="7"/>
  <c r="H99" i="7"/>
  <c r="N97" i="7"/>
  <c r="O97" i="7" s="1"/>
  <c r="K97" i="7"/>
  <c r="L98" i="7" s="1"/>
  <c r="I99" i="6"/>
  <c r="G100" i="6"/>
  <c r="J98" i="6"/>
  <c r="M98" i="6"/>
  <c r="K98" i="6"/>
  <c r="F100" i="6"/>
  <c r="H99" i="6"/>
  <c r="N97" i="6"/>
  <c r="O97" i="6" s="1"/>
  <c r="K97" i="6"/>
  <c r="L98" i="6" s="1"/>
  <c r="I99" i="5"/>
  <c r="G100" i="5"/>
  <c r="J98" i="5"/>
  <c r="M98" i="5"/>
  <c r="K98" i="5"/>
  <c r="H99" i="5"/>
  <c r="F100" i="5"/>
  <c r="N97" i="5"/>
  <c r="O97" i="5" s="1"/>
  <c r="K97" i="5"/>
  <c r="L98" i="5" s="1"/>
  <c r="J98" i="2"/>
  <c r="M98" i="2"/>
  <c r="I99" i="2"/>
  <c r="G100" i="2"/>
  <c r="H99" i="2"/>
  <c r="F100" i="2"/>
  <c r="N97" i="2"/>
  <c r="O97" i="2" s="1"/>
  <c r="L98" i="2"/>
  <c r="G100" i="4"/>
  <c r="I99" i="4"/>
  <c r="J98" i="4"/>
  <c r="M98" i="4"/>
  <c r="K98" i="4"/>
  <c r="F100" i="4"/>
  <c r="H99" i="4"/>
  <c r="N97" i="4"/>
  <c r="O97" i="4" s="1"/>
  <c r="L98" i="4"/>
  <c r="I99" i="3"/>
  <c r="G100" i="3"/>
  <c r="H99" i="3"/>
  <c r="F100" i="3"/>
  <c r="K97" i="3"/>
  <c r="L98" i="3" s="1"/>
  <c r="N98" i="3" l="1"/>
  <c r="O98" i="3" s="1"/>
  <c r="J99" i="3"/>
  <c r="M99" i="3"/>
  <c r="N99" i="3" s="1"/>
  <c r="O99" i="3" s="1"/>
  <c r="I100" i="8"/>
  <c r="G101" i="8"/>
  <c r="J99" i="8"/>
  <c r="M99" i="8"/>
  <c r="H100" i="8"/>
  <c r="F101" i="8"/>
  <c r="N98" i="8"/>
  <c r="O98" i="8" s="1"/>
  <c r="K98" i="8"/>
  <c r="L99" i="8" s="1"/>
  <c r="I100" i="7"/>
  <c r="G101" i="7"/>
  <c r="J99" i="7"/>
  <c r="M99" i="7"/>
  <c r="F101" i="7"/>
  <c r="H100" i="7"/>
  <c r="N98" i="7"/>
  <c r="O98" i="7" s="1"/>
  <c r="L99" i="7"/>
  <c r="M99" i="6"/>
  <c r="J99" i="6"/>
  <c r="G101" i="6"/>
  <c r="I100" i="6"/>
  <c r="K99" i="6"/>
  <c r="H100" i="6"/>
  <c r="F101" i="6"/>
  <c r="N98" i="6"/>
  <c r="O98" i="6" s="1"/>
  <c r="L99" i="6"/>
  <c r="J99" i="5"/>
  <c r="M99" i="5"/>
  <c r="I100" i="5"/>
  <c r="G101" i="5"/>
  <c r="K99" i="5"/>
  <c r="F101" i="5"/>
  <c r="H100" i="5"/>
  <c r="N98" i="5"/>
  <c r="O98" i="5" s="1"/>
  <c r="L99" i="5"/>
  <c r="J99" i="2"/>
  <c r="M99" i="2"/>
  <c r="G101" i="2"/>
  <c r="I100" i="2"/>
  <c r="H100" i="2"/>
  <c r="F101" i="2"/>
  <c r="N98" i="2"/>
  <c r="O98" i="2" s="1"/>
  <c r="K98" i="2"/>
  <c r="L99" i="2" s="1"/>
  <c r="G101" i="4"/>
  <c r="I100" i="4"/>
  <c r="J99" i="4"/>
  <c r="M99" i="4"/>
  <c r="K99" i="4"/>
  <c r="F101" i="4"/>
  <c r="H100" i="4"/>
  <c r="N98" i="4"/>
  <c r="O98" i="4" s="1"/>
  <c r="L99" i="4"/>
  <c r="I100" i="3"/>
  <c r="G101" i="3"/>
  <c r="H100" i="3"/>
  <c r="F101" i="3"/>
  <c r="J100" i="3" l="1"/>
  <c r="K100" i="3" s="1"/>
  <c r="M100" i="3"/>
  <c r="L100" i="4"/>
  <c r="M100" i="8"/>
  <c r="J100" i="8"/>
  <c r="G102" i="8"/>
  <c r="I101" i="8"/>
  <c r="K100" i="8"/>
  <c r="F102" i="8"/>
  <c r="H101" i="8"/>
  <c r="N99" i="8"/>
  <c r="O99" i="8" s="1"/>
  <c r="K99" i="8"/>
  <c r="L100" i="8" s="1"/>
  <c r="J100" i="7"/>
  <c r="M100" i="7"/>
  <c r="I101" i="7"/>
  <c r="G102" i="7"/>
  <c r="K100" i="7"/>
  <c r="F102" i="7"/>
  <c r="H101" i="7"/>
  <c r="N99" i="7"/>
  <c r="O99" i="7" s="1"/>
  <c r="K99" i="7"/>
  <c r="L100" i="7" s="1"/>
  <c r="I101" i="6"/>
  <c r="G102" i="6"/>
  <c r="M100" i="6"/>
  <c r="J100" i="6"/>
  <c r="F102" i="6"/>
  <c r="H101" i="6"/>
  <c r="N99" i="6"/>
  <c r="O99" i="6" s="1"/>
  <c r="L100" i="6"/>
  <c r="J100" i="5"/>
  <c r="M100" i="5"/>
  <c r="I101" i="5"/>
  <c r="G102" i="5"/>
  <c r="F102" i="5"/>
  <c r="H101" i="5"/>
  <c r="N99" i="5"/>
  <c r="O99" i="5" s="1"/>
  <c r="L100" i="5"/>
  <c r="G102" i="2"/>
  <c r="I101" i="2"/>
  <c r="J100" i="2"/>
  <c r="M100" i="2"/>
  <c r="H101" i="2"/>
  <c r="F102" i="2"/>
  <c r="N99" i="2"/>
  <c r="O99" i="2" s="1"/>
  <c r="K99" i="2"/>
  <c r="L100" i="2" s="1"/>
  <c r="G102" i="4"/>
  <c r="I101" i="4"/>
  <c r="M100" i="4"/>
  <c r="N100" i="4" s="1"/>
  <c r="O100" i="4" s="1"/>
  <c r="J100" i="4"/>
  <c r="K100" i="4"/>
  <c r="F102" i="4"/>
  <c r="H101" i="4"/>
  <c r="N99" i="4"/>
  <c r="O99" i="4" s="1"/>
  <c r="G102" i="3"/>
  <c r="I101" i="3"/>
  <c r="H101" i="3"/>
  <c r="F102" i="3"/>
  <c r="K99" i="3"/>
  <c r="L100" i="3" s="1"/>
  <c r="L101" i="3" l="1"/>
  <c r="N100" i="3"/>
  <c r="O100" i="3" s="1"/>
  <c r="J101" i="3"/>
  <c r="M101" i="3"/>
  <c r="N101" i="3" s="1"/>
  <c r="O101" i="3" s="1"/>
  <c r="I102" i="8"/>
  <c r="G103" i="8"/>
  <c r="J101" i="8"/>
  <c r="M101" i="8"/>
  <c r="F103" i="8"/>
  <c r="H102" i="8"/>
  <c r="N100" i="8"/>
  <c r="O100" i="8" s="1"/>
  <c r="L101" i="8"/>
  <c r="J101" i="7"/>
  <c r="M101" i="7"/>
  <c r="I102" i="7"/>
  <c r="G103" i="7"/>
  <c r="H102" i="7"/>
  <c r="F103" i="7"/>
  <c r="L101" i="7"/>
  <c r="N100" i="7"/>
  <c r="O100" i="7" s="1"/>
  <c r="M101" i="6"/>
  <c r="J101" i="6"/>
  <c r="K101" i="6" s="1"/>
  <c r="G103" i="6"/>
  <c r="I102" i="6"/>
  <c r="F103" i="6"/>
  <c r="H102" i="6"/>
  <c r="N100" i="6"/>
  <c r="O100" i="6" s="1"/>
  <c r="K100" i="6"/>
  <c r="L101" i="6" s="1"/>
  <c r="M101" i="5"/>
  <c r="J101" i="5"/>
  <c r="K101" i="5" s="1"/>
  <c r="I102" i="5"/>
  <c r="G103" i="5"/>
  <c r="H102" i="5"/>
  <c r="F103" i="5"/>
  <c r="N100" i="5"/>
  <c r="O100" i="5" s="1"/>
  <c r="K100" i="5"/>
  <c r="L101" i="5" s="1"/>
  <c r="G103" i="2"/>
  <c r="I102" i="2"/>
  <c r="J101" i="2"/>
  <c r="M101" i="2"/>
  <c r="K101" i="2"/>
  <c r="L102" i="2" s="1"/>
  <c r="F103" i="2"/>
  <c r="H102" i="2"/>
  <c r="N100" i="2"/>
  <c r="O100" i="2" s="1"/>
  <c r="K100" i="2"/>
  <c r="L101" i="2" s="1"/>
  <c r="G103" i="4"/>
  <c r="I102" i="4"/>
  <c r="M101" i="4"/>
  <c r="J101" i="4"/>
  <c r="K101" i="4"/>
  <c r="L102" i="4" s="1"/>
  <c r="F103" i="4"/>
  <c r="H102" i="4"/>
  <c r="L101" i="4"/>
  <c r="I102" i="3"/>
  <c r="G103" i="3"/>
  <c r="H102" i="3"/>
  <c r="F103" i="3"/>
  <c r="M102" i="3" l="1"/>
  <c r="J102" i="3"/>
  <c r="L102" i="5"/>
  <c r="L102" i="6"/>
  <c r="J102" i="8"/>
  <c r="M102" i="8"/>
  <c r="G104" i="8"/>
  <c r="I103" i="8"/>
  <c r="K102" i="8"/>
  <c r="F104" i="8"/>
  <c r="H103" i="8"/>
  <c r="N101" i="8"/>
  <c r="O101" i="8" s="1"/>
  <c r="K101" i="8"/>
  <c r="L102" i="8" s="1"/>
  <c r="J102" i="7"/>
  <c r="M102" i="7"/>
  <c r="G104" i="7"/>
  <c r="I103" i="7"/>
  <c r="F104" i="7"/>
  <c r="H103" i="7"/>
  <c r="N101" i="7"/>
  <c r="O101" i="7" s="1"/>
  <c r="K101" i="7"/>
  <c r="L102" i="7" s="1"/>
  <c r="G104" i="6"/>
  <c r="I103" i="6"/>
  <c r="M102" i="6"/>
  <c r="J102" i="6"/>
  <c r="H103" i="6"/>
  <c r="F104" i="6"/>
  <c r="N101" i="6"/>
  <c r="O101" i="6" s="1"/>
  <c r="J102" i="5"/>
  <c r="M102" i="5"/>
  <c r="I103" i="5"/>
  <c r="G104" i="5"/>
  <c r="H103" i="5"/>
  <c r="F104" i="5"/>
  <c r="N101" i="5"/>
  <c r="O101" i="5" s="1"/>
  <c r="G104" i="2"/>
  <c r="I103" i="2"/>
  <c r="J102" i="2"/>
  <c r="M102" i="2"/>
  <c r="N102" i="2" s="1"/>
  <c r="O102" i="2" s="1"/>
  <c r="K102" i="2"/>
  <c r="F104" i="2"/>
  <c r="H103" i="2"/>
  <c r="N101" i="2"/>
  <c r="O101" i="2" s="1"/>
  <c r="I103" i="4"/>
  <c r="G104" i="4"/>
  <c r="J102" i="4"/>
  <c r="M102" i="4"/>
  <c r="N102" i="4" s="1"/>
  <c r="O102" i="4" s="1"/>
  <c r="K102" i="4"/>
  <c r="H103" i="4"/>
  <c r="F104" i="4"/>
  <c r="N101" i="4"/>
  <c r="O101" i="4" s="1"/>
  <c r="G104" i="3"/>
  <c r="I103" i="3"/>
  <c r="H103" i="3"/>
  <c r="F104" i="3"/>
  <c r="K101" i="3"/>
  <c r="L102" i="3" s="1"/>
  <c r="N102" i="3" l="1"/>
  <c r="O102" i="3" s="1"/>
  <c r="J103" i="3"/>
  <c r="M103" i="3"/>
  <c r="L103" i="4"/>
  <c r="N102" i="5"/>
  <c r="O102" i="5" s="1"/>
  <c r="N102" i="6"/>
  <c r="O102" i="6" s="1"/>
  <c r="G105" i="8"/>
  <c r="I104" i="8"/>
  <c r="M103" i="8"/>
  <c r="J103" i="8"/>
  <c r="F105" i="8"/>
  <c r="H104" i="8"/>
  <c r="N102" i="8"/>
  <c r="O102" i="8" s="1"/>
  <c r="L103" i="8"/>
  <c r="I104" i="7"/>
  <c r="G105" i="7"/>
  <c r="J103" i="7"/>
  <c r="K103" i="7" s="1"/>
  <c r="M103" i="7"/>
  <c r="H104" i="7"/>
  <c r="F105" i="7"/>
  <c r="N102" i="7"/>
  <c r="O102" i="7" s="1"/>
  <c r="K102" i="7"/>
  <c r="L103" i="7" s="1"/>
  <c r="I104" i="6"/>
  <c r="G105" i="6"/>
  <c r="M103" i="6"/>
  <c r="J103" i="6"/>
  <c r="H104" i="6"/>
  <c r="F105" i="6"/>
  <c r="K102" i="6"/>
  <c r="L103" i="6" s="1"/>
  <c r="J103" i="5"/>
  <c r="K103" i="5" s="1"/>
  <c r="M103" i="5"/>
  <c r="I104" i="5"/>
  <c r="G105" i="5"/>
  <c r="H104" i="5"/>
  <c r="F105" i="5"/>
  <c r="K102" i="5"/>
  <c r="L103" i="5" s="1"/>
  <c r="I104" i="2"/>
  <c r="G105" i="2"/>
  <c r="M103" i="2"/>
  <c r="J103" i="2"/>
  <c r="K103" i="2"/>
  <c r="H104" i="2"/>
  <c r="F105" i="2"/>
  <c r="L103" i="2"/>
  <c r="J103" i="4"/>
  <c r="M103" i="4"/>
  <c r="G105" i="4"/>
  <c r="I104" i="4"/>
  <c r="K103" i="4"/>
  <c r="F105" i="4"/>
  <c r="H104" i="4"/>
  <c r="I104" i="3"/>
  <c r="G105" i="3"/>
  <c r="H104" i="3"/>
  <c r="F105" i="3"/>
  <c r="K102" i="3"/>
  <c r="L103" i="3" s="1"/>
  <c r="N103" i="3" s="1"/>
  <c r="O103" i="3" s="1"/>
  <c r="J104" i="3" l="1"/>
  <c r="K104" i="3" s="1"/>
  <c r="L105" i="3" s="1"/>
  <c r="M104" i="3"/>
  <c r="N103" i="4"/>
  <c r="O103" i="4" s="1"/>
  <c r="L104" i="5"/>
  <c r="L104" i="7"/>
  <c r="N103" i="5"/>
  <c r="O103" i="5" s="1"/>
  <c r="I105" i="8"/>
  <c r="G106" i="8"/>
  <c r="M104" i="8"/>
  <c r="J104" i="8"/>
  <c r="K104" i="8"/>
  <c r="H105" i="8"/>
  <c r="F106" i="8"/>
  <c r="N103" i="8"/>
  <c r="O103" i="8" s="1"/>
  <c r="K103" i="8"/>
  <c r="L104" i="8" s="1"/>
  <c r="M104" i="7"/>
  <c r="N104" i="7" s="1"/>
  <c r="O104" i="7" s="1"/>
  <c r="J104" i="7"/>
  <c r="K104" i="7" s="1"/>
  <c r="I105" i="7"/>
  <c r="G106" i="7"/>
  <c r="H105" i="7"/>
  <c r="F106" i="7"/>
  <c r="N103" i="7"/>
  <c r="O103" i="7" s="1"/>
  <c r="M104" i="6"/>
  <c r="J104" i="6"/>
  <c r="G106" i="6"/>
  <c r="I105" i="6"/>
  <c r="K104" i="6"/>
  <c r="H105" i="6"/>
  <c r="F106" i="6"/>
  <c r="N103" i="6"/>
  <c r="O103" i="6" s="1"/>
  <c r="K103" i="6"/>
  <c r="L104" i="6" s="1"/>
  <c r="J104" i="5"/>
  <c r="M104" i="5"/>
  <c r="N104" i="5" s="1"/>
  <c r="O104" i="5" s="1"/>
  <c r="I105" i="5"/>
  <c r="G106" i="5"/>
  <c r="H105" i="5"/>
  <c r="F106" i="5"/>
  <c r="J104" i="2"/>
  <c r="M104" i="2"/>
  <c r="I105" i="2"/>
  <c r="G106" i="2"/>
  <c r="K104" i="2"/>
  <c r="H105" i="2"/>
  <c r="F106" i="2"/>
  <c r="N103" i="2"/>
  <c r="O103" i="2" s="1"/>
  <c r="L104" i="2"/>
  <c r="I105" i="4"/>
  <c r="G106" i="4"/>
  <c r="J104" i="4"/>
  <c r="M104" i="4"/>
  <c r="H105" i="4"/>
  <c r="F106" i="4"/>
  <c r="L104" i="4"/>
  <c r="G106" i="3"/>
  <c r="I105" i="3"/>
  <c r="H105" i="3"/>
  <c r="F106" i="3"/>
  <c r="K103" i="3"/>
  <c r="L104" i="3" s="1"/>
  <c r="N104" i="3" l="1"/>
  <c r="O104" i="3" s="1"/>
  <c r="M105" i="3"/>
  <c r="N105" i="3" s="1"/>
  <c r="O105" i="3" s="1"/>
  <c r="J105" i="3"/>
  <c r="L105" i="7"/>
  <c r="L105" i="2"/>
  <c r="M105" i="8"/>
  <c r="J105" i="8"/>
  <c r="I106" i="8"/>
  <c r="G107" i="8"/>
  <c r="K105" i="8"/>
  <c r="L106" i="8" s="1"/>
  <c r="F107" i="8"/>
  <c r="H106" i="8"/>
  <c r="N104" i="8"/>
  <c r="O104" i="8" s="1"/>
  <c r="L105" i="8"/>
  <c r="M105" i="7"/>
  <c r="J105" i="7"/>
  <c r="I106" i="7"/>
  <c r="G107" i="7"/>
  <c r="H106" i="7"/>
  <c r="F107" i="7"/>
  <c r="G107" i="6"/>
  <c r="I106" i="6"/>
  <c r="M105" i="6"/>
  <c r="J105" i="6"/>
  <c r="K105" i="6" s="1"/>
  <c r="L106" i="6" s="1"/>
  <c r="F107" i="6"/>
  <c r="H106" i="6"/>
  <c r="N104" i="6"/>
  <c r="O104" i="6" s="1"/>
  <c r="L105" i="6"/>
  <c r="J105" i="5"/>
  <c r="K105" i="5" s="1"/>
  <c r="M105" i="5"/>
  <c r="G107" i="5"/>
  <c r="I106" i="5"/>
  <c r="H106" i="5"/>
  <c r="F107" i="5"/>
  <c r="K104" i="5"/>
  <c r="L105" i="5" s="1"/>
  <c r="M105" i="2"/>
  <c r="J105" i="2"/>
  <c r="I106" i="2"/>
  <c r="G107" i="2"/>
  <c r="H106" i="2"/>
  <c r="F107" i="2"/>
  <c r="N104" i="2"/>
  <c r="O104" i="2" s="1"/>
  <c r="J105" i="4"/>
  <c r="M105" i="4"/>
  <c r="I106" i="4"/>
  <c r="G107" i="4"/>
  <c r="F107" i="4"/>
  <c r="H106" i="4"/>
  <c r="N104" i="4"/>
  <c r="O104" i="4" s="1"/>
  <c r="K104" i="4"/>
  <c r="L105" i="4" s="1"/>
  <c r="I106" i="3"/>
  <c r="G107" i="3"/>
  <c r="F107" i="3"/>
  <c r="H106" i="3"/>
  <c r="M106" i="3" l="1"/>
  <c r="J106" i="3"/>
  <c r="L106" i="5"/>
  <c r="N105" i="7"/>
  <c r="O105" i="7" s="1"/>
  <c r="N105" i="2"/>
  <c r="O105" i="2" s="1"/>
  <c r="J106" i="8"/>
  <c r="M106" i="8"/>
  <c r="N106" i="8" s="1"/>
  <c r="O106" i="8" s="1"/>
  <c r="I107" i="8"/>
  <c r="G108" i="8"/>
  <c r="H107" i="8"/>
  <c r="F108" i="8"/>
  <c r="N105" i="8"/>
  <c r="O105" i="8" s="1"/>
  <c r="M106" i="7"/>
  <c r="J106" i="7"/>
  <c r="I107" i="7"/>
  <c r="G108" i="7"/>
  <c r="H107" i="7"/>
  <c r="F108" i="7"/>
  <c r="K105" i="7"/>
  <c r="L106" i="7" s="1"/>
  <c r="I107" i="6"/>
  <c r="G108" i="6"/>
  <c r="J106" i="6"/>
  <c r="M106" i="6"/>
  <c r="N106" i="6" s="1"/>
  <c r="O106" i="6" s="1"/>
  <c r="H107" i="6"/>
  <c r="F108" i="6"/>
  <c r="N105" i="6"/>
  <c r="O105" i="6" s="1"/>
  <c r="G108" i="5"/>
  <c r="I107" i="5"/>
  <c r="J106" i="5"/>
  <c r="M106" i="5"/>
  <c r="H107" i="5"/>
  <c r="F108" i="5"/>
  <c r="N105" i="5"/>
  <c r="O105" i="5" s="1"/>
  <c r="J106" i="2"/>
  <c r="M106" i="2"/>
  <c r="I107" i="2"/>
  <c r="G108" i="2"/>
  <c r="H107" i="2"/>
  <c r="F108" i="2"/>
  <c r="K105" i="2"/>
  <c r="L106" i="2" s="1"/>
  <c r="J106" i="4"/>
  <c r="M106" i="4"/>
  <c r="G108" i="4"/>
  <c r="I107" i="4"/>
  <c r="F108" i="4"/>
  <c r="H107" i="4"/>
  <c r="N105" i="4"/>
  <c r="O105" i="4" s="1"/>
  <c r="K105" i="4"/>
  <c r="L106" i="4" s="1"/>
  <c r="K106" i="3"/>
  <c r="L107" i="3" s="1"/>
  <c r="I107" i="3"/>
  <c r="G108" i="3"/>
  <c r="H107" i="3"/>
  <c r="F108" i="3"/>
  <c r="K105" i="3"/>
  <c r="L106" i="3" s="1"/>
  <c r="N106" i="3" s="1"/>
  <c r="O106" i="3" s="1"/>
  <c r="J107" i="3" l="1"/>
  <c r="M107" i="3"/>
  <c r="N107" i="3" s="1"/>
  <c r="O107" i="3" s="1"/>
  <c r="N106" i="5"/>
  <c r="O106" i="5" s="1"/>
  <c r="J107" i="8"/>
  <c r="M107" i="8"/>
  <c r="G109" i="8"/>
  <c r="I108" i="8"/>
  <c r="H108" i="8"/>
  <c r="F109" i="8"/>
  <c r="K106" i="8"/>
  <c r="L107" i="8" s="1"/>
  <c r="M107" i="7"/>
  <c r="J107" i="7"/>
  <c r="G109" i="7"/>
  <c r="I108" i="7"/>
  <c r="F109" i="7"/>
  <c r="H108" i="7"/>
  <c r="N106" i="7"/>
  <c r="O106" i="7" s="1"/>
  <c r="K106" i="7"/>
  <c r="L107" i="7" s="1"/>
  <c r="J107" i="6"/>
  <c r="M107" i="6"/>
  <c r="G109" i="6"/>
  <c r="I108" i="6"/>
  <c r="K107" i="6"/>
  <c r="F109" i="6"/>
  <c r="H108" i="6"/>
  <c r="K106" i="6"/>
  <c r="L107" i="6" s="1"/>
  <c r="I108" i="5"/>
  <c r="G109" i="5"/>
  <c r="J107" i="5"/>
  <c r="K107" i="5" s="1"/>
  <c r="M107" i="5"/>
  <c r="F109" i="5"/>
  <c r="H108" i="5"/>
  <c r="K106" i="5"/>
  <c r="L107" i="5" s="1"/>
  <c r="M107" i="2"/>
  <c r="J107" i="2"/>
  <c r="I108" i="2"/>
  <c r="G109" i="2"/>
  <c r="F109" i="2"/>
  <c r="H108" i="2"/>
  <c r="N106" i="2"/>
  <c r="O106" i="2" s="1"/>
  <c r="K106" i="2"/>
  <c r="L107" i="2" s="1"/>
  <c r="G109" i="4"/>
  <c r="I108" i="4"/>
  <c r="J107" i="4"/>
  <c r="M107" i="4"/>
  <c r="F109" i="4"/>
  <c r="H108" i="4"/>
  <c r="N106" i="4"/>
  <c r="O106" i="4" s="1"/>
  <c r="K106" i="4"/>
  <c r="L107" i="4" s="1"/>
  <c r="I108" i="3"/>
  <c r="G109" i="3"/>
  <c r="F109" i="3"/>
  <c r="H108" i="3"/>
  <c r="J108" i="3" l="1"/>
  <c r="K108" i="3" s="1"/>
  <c r="L109" i="3" s="1"/>
  <c r="M108" i="3"/>
  <c r="N107" i="8"/>
  <c r="O107" i="8" s="1"/>
  <c r="G110" i="8"/>
  <c r="I109" i="8"/>
  <c r="M108" i="8"/>
  <c r="J108" i="8"/>
  <c r="H109" i="8"/>
  <c r="F110" i="8"/>
  <c r="K107" i="8"/>
  <c r="L108" i="8" s="1"/>
  <c r="G110" i="7"/>
  <c r="I109" i="7"/>
  <c r="M108" i="7"/>
  <c r="J108" i="7"/>
  <c r="F110" i="7"/>
  <c r="H109" i="7"/>
  <c r="N107" i="7"/>
  <c r="O107" i="7" s="1"/>
  <c r="K107" i="7"/>
  <c r="L108" i="7" s="1"/>
  <c r="G110" i="6"/>
  <c r="I109" i="6"/>
  <c r="M108" i="6"/>
  <c r="J108" i="6"/>
  <c r="F110" i="6"/>
  <c r="H109" i="6"/>
  <c r="N107" i="6"/>
  <c r="O107" i="6" s="1"/>
  <c r="L108" i="6"/>
  <c r="J108" i="5"/>
  <c r="M108" i="5"/>
  <c r="I109" i="5"/>
  <c r="G110" i="5"/>
  <c r="K108" i="5"/>
  <c r="H109" i="5"/>
  <c r="F110" i="5"/>
  <c r="N107" i="5"/>
  <c r="O107" i="5" s="1"/>
  <c r="L108" i="5"/>
  <c r="J108" i="2"/>
  <c r="M108" i="2"/>
  <c r="I109" i="2"/>
  <c r="G110" i="2"/>
  <c r="F110" i="2"/>
  <c r="H109" i="2"/>
  <c r="N107" i="2"/>
  <c r="O107" i="2" s="1"/>
  <c r="K107" i="2"/>
  <c r="L108" i="2" s="1"/>
  <c r="G110" i="4"/>
  <c r="I109" i="4"/>
  <c r="J108" i="4"/>
  <c r="M108" i="4"/>
  <c r="K108" i="4"/>
  <c r="H109" i="4"/>
  <c r="F110" i="4"/>
  <c r="N107" i="4"/>
  <c r="O107" i="4" s="1"/>
  <c r="K107" i="4"/>
  <c r="L108" i="4" s="1"/>
  <c r="I109" i="3"/>
  <c r="G110" i="3"/>
  <c r="H109" i="3"/>
  <c r="F110" i="3"/>
  <c r="K107" i="3"/>
  <c r="L108" i="3" s="1"/>
  <c r="N108" i="3" s="1"/>
  <c r="O108" i="3" s="1"/>
  <c r="M109" i="3" l="1"/>
  <c r="N109" i="3" s="1"/>
  <c r="O109" i="3" s="1"/>
  <c r="J109" i="3"/>
  <c r="N108" i="5"/>
  <c r="O108" i="5" s="1"/>
  <c r="G111" i="8"/>
  <c r="I110" i="8"/>
  <c r="J109" i="8"/>
  <c r="M109" i="8"/>
  <c r="K109" i="8"/>
  <c r="F111" i="8"/>
  <c r="H110" i="8"/>
  <c r="N108" i="8"/>
  <c r="O108" i="8" s="1"/>
  <c r="K108" i="8"/>
  <c r="L109" i="8" s="1"/>
  <c r="G111" i="7"/>
  <c r="I110" i="7"/>
  <c r="M109" i="7"/>
  <c r="J109" i="7"/>
  <c r="K109" i="7"/>
  <c r="H110" i="7"/>
  <c r="F111" i="7"/>
  <c r="N108" i="7"/>
  <c r="O108" i="7" s="1"/>
  <c r="K108" i="7"/>
  <c r="L109" i="7" s="1"/>
  <c r="I110" i="6"/>
  <c r="G111" i="6"/>
  <c r="J109" i="6"/>
  <c r="M109" i="6"/>
  <c r="K109" i="6"/>
  <c r="F111" i="6"/>
  <c r="H110" i="6"/>
  <c r="N108" i="6"/>
  <c r="O108" i="6" s="1"/>
  <c r="K108" i="6"/>
  <c r="L109" i="6" s="1"/>
  <c r="M109" i="5"/>
  <c r="J109" i="5"/>
  <c r="G111" i="5"/>
  <c r="I110" i="5"/>
  <c r="F111" i="5"/>
  <c r="H110" i="5"/>
  <c r="L109" i="5"/>
  <c r="J109" i="2"/>
  <c r="M109" i="2"/>
  <c r="I110" i="2"/>
  <c r="G111" i="2"/>
  <c r="H110" i="2"/>
  <c r="F111" i="2"/>
  <c r="N108" i="2"/>
  <c r="O108" i="2" s="1"/>
  <c r="K108" i="2"/>
  <c r="L109" i="2" s="1"/>
  <c r="I110" i="4"/>
  <c r="G111" i="4"/>
  <c r="J109" i="4"/>
  <c r="M109" i="4"/>
  <c r="K109" i="4"/>
  <c r="F111" i="4"/>
  <c r="H110" i="4"/>
  <c r="N108" i="4"/>
  <c r="O108" i="4" s="1"/>
  <c r="L109" i="4"/>
  <c r="G111" i="3"/>
  <c r="I110" i="3"/>
  <c r="F111" i="3"/>
  <c r="H110" i="3"/>
  <c r="J110" i="3" l="1"/>
  <c r="M110" i="3"/>
  <c r="N109" i="5"/>
  <c r="O109" i="5" s="1"/>
  <c r="G112" i="8"/>
  <c r="I111" i="8"/>
  <c r="J110" i="8"/>
  <c r="M110" i="8"/>
  <c r="K110" i="8"/>
  <c r="F112" i="8"/>
  <c r="H111" i="8"/>
  <c r="N109" i="8"/>
  <c r="O109" i="8" s="1"/>
  <c r="L110" i="8"/>
  <c r="I111" i="7"/>
  <c r="G112" i="7"/>
  <c r="J110" i="7"/>
  <c r="M110" i="7"/>
  <c r="K110" i="7"/>
  <c r="F112" i="7"/>
  <c r="H111" i="7"/>
  <c r="L110" i="7"/>
  <c r="N109" i="7"/>
  <c r="O109" i="7" s="1"/>
  <c r="M110" i="6"/>
  <c r="J110" i="6"/>
  <c r="G112" i="6"/>
  <c r="I111" i="6"/>
  <c r="K110" i="6"/>
  <c r="L111" i="6" s="1"/>
  <c r="H111" i="6"/>
  <c r="F112" i="6"/>
  <c r="N109" i="6"/>
  <c r="O109" i="6" s="1"/>
  <c r="L110" i="6"/>
  <c r="G112" i="5"/>
  <c r="I111" i="5"/>
  <c r="M110" i="5"/>
  <c r="J110" i="5"/>
  <c r="H111" i="5"/>
  <c r="F112" i="5"/>
  <c r="K109" i="5"/>
  <c r="L110" i="5" s="1"/>
  <c r="M110" i="2"/>
  <c r="J110" i="2"/>
  <c r="I111" i="2"/>
  <c r="G112" i="2"/>
  <c r="H111" i="2"/>
  <c r="F112" i="2"/>
  <c r="N109" i="2"/>
  <c r="O109" i="2" s="1"/>
  <c r="K109" i="2"/>
  <c r="L110" i="2" s="1"/>
  <c r="M110" i="4"/>
  <c r="J110" i="4"/>
  <c r="I111" i="4"/>
  <c r="G112" i="4"/>
  <c r="K110" i="4"/>
  <c r="H111" i="4"/>
  <c r="F112" i="4"/>
  <c r="L110" i="4"/>
  <c r="N109" i="4"/>
  <c r="O109" i="4" s="1"/>
  <c r="G112" i="3"/>
  <c r="I111" i="3"/>
  <c r="F112" i="3"/>
  <c r="H111" i="3"/>
  <c r="K109" i="3"/>
  <c r="L110" i="3" s="1"/>
  <c r="N110" i="3" s="1"/>
  <c r="O110" i="3" s="1"/>
  <c r="K110" i="3"/>
  <c r="L111" i="3" s="1"/>
  <c r="M111" i="3" l="1"/>
  <c r="N111" i="3" s="1"/>
  <c r="O111" i="3" s="1"/>
  <c r="J111" i="3"/>
  <c r="L111" i="8"/>
  <c r="N110" i="8"/>
  <c r="O110" i="8" s="1"/>
  <c r="N110" i="6"/>
  <c r="O110" i="6" s="1"/>
  <c r="G113" i="8"/>
  <c r="I112" i="8"/>
  <c r="M111" i="8"/>
  <c r="N111" i="8" s="1"/>
  <c r="O111" i="8" s="1"/>
  <c r="J111" i="8"/>
  <c r="K111" i="8"/>
  <c r="H112" i="8"/>
  <c r="F113" i="8"/>
  <c r="J111" i="7"/>
  <c r="M111" i="7"/>
  <c r="I112" i="7"/>
  <c r="G113" i="7"/>
  <c r="K111" i="7"/>
  <c r="F113" i="7"/>
  <c r="H112" i="7"/>
  <c r="N110" i="7"/>
  <c r="O110" i="7" s="1"/>
  <c r="L111" i="7"/>
  <c r="I112" i="6"/>
  <c r="G113" i="6"/>
  <c r="M111" i="6"/>
  <c r="N111" i="6" s="1"/>
  <c r="O111" i="6" s="1"/>
  <c r="J111" i="6"/>
  <c r="H112" i="6"/>
  <c r="F113" i="6"/>
  <c r="G113" i="5"/>
  <c r="I112" i="5"/>
  <c r="J111" i="5"/>
  <c r="M111" i="5"/>
  <c r="K111" i="5"/>
  <c r="H112" i="5"/>
  <c r="F113" i="5"/>
  <c r="N110" i="5"/>
  <c r="O110" i="5" s="1"/>
  <c r="K110" i="5"/>
  <c r="L111" i="5" s="1"/>
  <c r="M111" i="2"/>
  <c r="J111" i="2"/>
  <c r="I112" i="2"/>
  <c r="G113" i="2"/>
  <c r="F113" i="2"/>
  <c r="H112" i="2"/>
  <c r="N110" i="2"/>
  <c r="O110" i="2" s="1"/>
  <c r="K110" i="2"/>
  <c r="L111" i="2" s="1"/>
  <c r="J111" i="4"/>
  <c r="M111" i="4"/>
  <c r="G113" i="4"/>
  <c r="I112" i="4"/>
  <c r="F113" i="4"/>
  <c r="H112" i="4"/>
  <c r="N110" i="4"/>
  <c r="O110" i="4" s="1"/>
  <c r="L111" i="4"/>
  <c r="G113" i="3"/>
  <c r="I112" i="3"/>
  <c r="F113" i="3"/>
  <c r="H112" i="3"/>
  <c r="J112" i="3" l="1"/>
  <c r="K112" i="3" s="1"/>
  <c r="L113" i="3" s="1"/>
  <c r="M112" i="3"/>
  <c r="L112" i="8"/>
  <c r="L112" i="5"/>
  <c r="G114" i="8"/>
  <c r="I113" i="8"/>
  <c r="M112" i="8"/>
  <c r="N112" i="8" s="1"/>
  <c r="O112" i="8" s="1"/>
  <c r="J112" i="8"/>
  <c r="K112" i="8"/>
  <c r="H113" i="8"/>
  <c r="F114" i="8"/>
  <c r="M112" i="7"/>
  <c r="J112" i="7"/>
  <c r="I113" i="7"/>
  <c r="G114" i="7"/>
  <c r="H113" i="7"/>
  <c r="F114" i="7"/>
  <c r="N111" i="7"/>
  <c r="O111" i="7" s="1"/>
  <c r="L112" i="7"/>
  <c r="M112" i="6"/>
  <c r="J112" i="6"/>
  <c r="G114" i="6"/>
  <c r="I113" i="6"/>
  <c r="K112" i="6"/>
  <c r="H113" i="6"/>
  <c r="F114" i="6"/>
  <c r="K111" i="6"/>
  <c r="L112" i="6" s="1"/>
  <c r="I113" i="5"/>
  <c r="G114" i="5"/>
  <c r="J112" i="5"/>
  <c r="M112" i="5"/>
  <c r="K112" i="5"/>
  <c r="H113" i="5"/>
  <c r="F114" i="5"/>
  <c r="N111" i="5"/>
  <c r="O111" i="5" s="1"/>
  <c r="J112" i="2"/>
  <c r="M112" i="2"/>
  <c r="G114" i="2"/>
  <c r="I113" i="2"/>
  <c r="H113" i="2"/>
  <c r="F114" i="2"/>
  <c r="N111" i="2"/>
  <c r="O111" i="2" s="1"/>
  <c r="K111" i="2"/>
  <c r="L112" i="2" s="1"/>
  <c r="G114" i="4"/>
  <c r="I113" i="4"/>
  <c r="J112" i="4"/>
  <c r="K112" i="4" s="1"/>
  <c r="L113" i="4" s="1"/>
  <c r="M112" i="4"/>
  <c r="F114" i="4"/>
  <c r="H113" i="4"/>
  <c r="N111" i="4"/>
  <c r="O111" i="4" s="1"/>
  <c r="K111" i="4"/>
  <c r="L112" i="4" s="1"/>
  <c r="K111" i="3"/>
  <c r="L112" i="3" s="1"/>
  <c r="G114" i="3"/>
  <c r="I113" i="3"/>
  <c r="F114" i="3"/>
  <c r="H113" i="3"/>
  <c r="N112" i="3" l="1"/>
  <c r="O112" i="3" s="1"/>
  <c r="M113" i="3"/>
  <c r="N113" i="3" s="1"/>
  <c r="O113" i="3" s="1"/>
  <c r="J113" i="3"/>
  <c r="N112" i="5"/>
  <c r="O112" i="5" s="1"/>
  <c r="G115" i="8"/>
  <c r="I114" i="8"/>
  <c r="J113" i="8"/>
  <c r="M113" i="8"/>
  <c r="K113" i="8"/>
  <c r="F115" i="8"/>
  <c r="H114" i="8"/>
  <c r="L113" i="8"/>
  <c r="M113" i="7"/>
  <c r="J113" i="7"/>
  <c r="I114" i="7"/>
  <c r="G115" i="7"/>
  <c r="H114" i="7"/>
  <c r="F115" i="7"/>
  <c r="N112" i="7"/>
  <c r="O112" i="7" s="1"/>
  <c r="K112" i="7"/>
  <c r="L113" i="7" s="1"/>
  <c r="G115" i="6"/>
  <c r="I114" i="6"/>
  <c r="M113" i="6"/>
  <c r="J113" i="6"/>
  <c r="K113" i="6" s="1"/>
  <c r="L114" i="6" s="1"/>
  <c r="F115" i="6"/>
  <c r="H114" i="6"/>
  <c r="N112" i="6"/>
  <c r="O112" i="6" s="1"/>
  <c r="L113" i="6"/>
  <c r="J113" i="5"/>
  <c r="M113" i="5"/>
  <c r="I114" i="5"/>
  <c r="G115" i="5"/>
  <c r="K113" i="5"/>
  <c r="H114" i="5"/>
  <c r="F115" i="5"/>
  <c r="L113" i="5"/>
  <c r="G115" i="2"/>
  <c r="I114" i="2"/>
  <c r="M113" i="2"/>
  <c r="J113" i="2"/>
  <c r="K113" i="2" s="1"/>
  <c r="F115" i="2"/>
  <c r="H114" i="2"/>
  <c r="N112" i="2"/>
  <c r="O112" i="2" s="1"/>
  <c r="K112" i="2"/>
  <c r="L113" i="2" s="1"/>
  <c r="I114" i="4"/>
  <c r="G115" i="4"/>
  <c r="J113" i="4"/>
  <c r="K113" i="4" s="1"/>
  <c r="M113" i="4"/>
  <c r="N113" i="4" s="1"/>
  <c r="O113" i="4" s="1"/>
  <c r="H114" i="4"/>
  <c r="F115" i="4"/>
  <c r="N112" i="4"/>
  <c r="O112" i="4" s="1"/>
  <c r="I114" i="3"/>
  <c r="G115" i="3"/>
  <c r="F115" i="3"/>
  <c r="H114" i="3"/>
  <c r="J114" i="3" l="1"/>
  <c r="M114" i="3"/>
  <c r="L114" i="2"/>
  <c r="N113" i="2"/>
  <c r="O113" i="2" s="1"/>
  <c r="N113" i="6"/>
  <c r="O113" i="6" s="1"/>
  <c r="G116" i="8"/>
  <c r="I115" i="8"/>
  <c r="M114" i="8"/>
  <c r="J114" i="8"/>
  <c r="K114" i="8" s="1"/>
  <c r="H115" i="8"/>
  <c r="F116" i="8"/>
  <c r="N113" i="8"/>
  <c r="O113" i="8" s="1"/>
  <c r="L114" i="8"/>
  <c r="J114" i="7"/>
  <c r="M114" i="7"/>
  <c r="G116" i="7"/>
  <c r="I115" i="7"/>
  <c r="H115" i="7"/>
  <c r="F116" i="7"/>
  <c r="N113" i="7"/>
  <c r="O113" i="7" s="1"/>
  <c r="K113" i="7"/>
  <c r="L114" i="7" s="1"/>
  <c r="G116" i="6"/>
  <c r="I115" i="6"/>
  <c r="M114" i="6"/>
  <c r="N114" i="6" s="1"/>
  <c r="O114" i="6" s="1"/>
  <c r="J114" i="6"/>
  <c r="K114" i="6"/>
  <c r="L115" i="6" s="1"/>
  <c r="F116" i="6"/>
  <c r="H115" i="6"/>
  <c r="J114" i="5"/>
  <c r="M114" i="5"/>
  <c r="G116" i="5"/>
  <c r="I115" i="5"/>
  <c r="F116" i="5"/>
  <c r="H115" i="5"/>
  <c r="N113" i="5"/>
  <c r="O113" i="5" s="1"/>
  <c r="L114" i="5"/>
  <c r="G116" i="2"/>
  <c r="I115" i="2"/>
  <c r="M114" i="2"/>
  <c r="J114" i="2"/>
  <c r="K114" i="2"/>
  <c r="L115" i="2" s="1"/>
  <c r="H115" i="2"/>
  <c r="F116" i="2"/>
  <c r="J114" i="4"/>
  <c r="M114" i="4"/>
  <c r="G116" i="4"/>
  <c r="I115" i="4"/>
  <c r="K114" i="4"/>
  <c r="H115" i="4"/>
  <c r="F116" i="4"/>
  <c r="L114" i="4"/>
  <c r="I115" i="3"/>
  <c r="G116" i="3"/>
  <c r="H115" i="3"/>
  <c r="F116" i="3"/>
  <c r="K113" i="3"/>
  <c r="L114" i="3" s="1"/>
  <c r="N114" i="3" l="1"/>
  <c r="O114" i="3" s="1"/>
  <c r="M115" i="3"/>
  <c r="J115" i="3"/>
  <c r="K115" i="3" s="1"/>
  <c r="L116" i="3" s="1"/>
  <c r="N114" i="2"/>
  <c r="O114" i="2" s="1"/>
  <c r="G117" i="8"/>
  <c r="I116" i="8"/>
  <c r="M115" i="8"/>
  <c r="J115" i="8"/>
  <c r="H116" i="8"/>
  <c r="F117" i="8"/>
  <c r="N114" i="8"/>
  <c r="O114" i="8" s="1"/>
  <c r="L115" i="8"/>
  <c r="G117" i="7"/>
  <c r="I116" i="7"/>
  <c r="M115" i="7"/>
  <c r="J115" i="7"/>
  <c r="K115" i="7" s="1"/>
  <c r="L116" i="7" s="1"/>
  <c r="F117" i="7"/>
  <c r="H116" i="7"/>
  <c r="N114" i="7"/>
  <c r="O114" i="7" s="1"/>
  <c r="K114" i="7"/>
  <c r="L115" i="7" s="1"/>
  <c r="I116" i="6"/>
  <c r="G117" i="6"/>
  <c r="M115" i="6"/>
  <c r="N115" i="6" s="1"/>
  <c r="O115" i="6" s="1"/>
  <c r="J115" i="6"/>
  <c r="K115" i="6"/>
  <c r="H116" i="6"/>
  <c r="F117" i="6"/>
  <c r="G117" i="5"/>
  <c r="I116" i="5"/>
  <c r="J115" i="5"/>
  <c r="K115" i="5" s="1"/>
  <c r="M115" i="5"/>
  <c r="H116" i="5"/>
  <c r="F117" i="5"/>
  <c r="N114" i="5"/>
  <c r="O114" i="5" s="1"/>
  <c r="K114" i="5"/>
  <c r="L115" i="5" s="1"/>
  <c r="I116" i="2"/>
  <c r="G117" i="2"/>
  <c r="M115" i="2"/>
  <c r="N115" i="2" s="1"/>
  <c r="O115" i="2" s="1"/>
  <c r="J115" i="2"/>
  <c r="K115" i="2"/>
  <c r="F117" i="2"/>
  <c r="H116" i="2"/>
  <c r="G117" i="4"/>
  <c r="I116" i="4"/>
  <c r="J115" i="4"/>
  <c r="M115" i="4"/>
  <c r="H116" i="4"/>
  <c r="F117" i="4"/>
  <c r="L115" i="4"/>
  <c r="N114" i="4"/>
  <c r="O114" i="4" s="1"/>
  <c r="I116" i="3"/>
  <c r="G117" i="3"/>
  <c r="H116" i="3"/>
  <c r="F117" i="3"/>
  <c r="K114" i="3"/>
  <c r="L115" i="3" s="1"/>
  <c r="N115" i="3" l="1"/>
  <c r="O115" i="3" s="1"/>
  <c r="J116" i="3"/>
  <c r="K116" i="3" s="1"/>
  <c r="L117" i="3" s="1"/>
  <c r="M116" i="3"/>
  <c r="N116" i="3" s="1"/>
  <c r="O116" i="3" s="1"/>
  <c r="L116" i="2"/>
  <c r="L116" i="6"/>
  <c r="L116" i="5"/>
  <c r="G118" i="8"/>
  <c r="I117" i="8"/>
  <c r="M116" i="8"/>
  <c r="J116" i="8"/>
  <c r="K116" i="8"/>
  <c r="H117" i="8"/>
  <c r="F118" i="8"/>
  <c r="N115" i="8"/>
  <c r="O115" i="8" s="1"/>
  <c r="K115" i="8"/>
  <c r="L116" i="8" s="1"/>
  <c r="G118" i="7"/>
  <c r="I117" i="7"/>
  <c r="M116" i="7"/>
  <c r="N116" i="7" s="1"/>
  <c r="O116" i="7" s="1"/>
  <c r="J116" i="7"/>
  <c r="K116" i="7"/>
  <c r="F118" i="7"/>
  <c r="H117" i="7"/>
  <c r="N115" i="7"/>
  <c r="O115" i="7" s="1"/>
  <c r="J116" i="6"/>
  <c r="K116" i="6" s="1"/>
  <c r="M116" i="6"/>
  <c r="N116" i="6" s="1"/>
  <c r="O116" i="6" s="1"/>
  <c r="I117" i="6"/>
  <c r="G118" i="6"/>
  <c r="F118" i="6"/>
  <c r="H117" i="6"/>
  <c r="I117" i="5"/>
  <c r="G118" i="5"/>
  <c r="J116" i="5"/>
  <c r="K116" i="5" s="1"/>
  <c r="M116" i="5"/>
  <c r="F118" i="5"/>
  <c r="H117" i="5"/>
  <c r="N115" i="5"/>
  <c r="O115" i="5" s="1"/>
  <c r="J116" i="2"/>
  <c r="K116" i="2" s="1"/>
  <c r="M116" i="2"/>
  <c r="I117" i="2"/>
  <c r="G118" i="2"/>
  <c r="F118" i="2"/>
  <c r="H117" i="2"/>
  <c r="G118" i="4"/>
  <c r="I117" i="4"/>
  <c r="J116" i="4"/>
  <c r="M116" i="4"/>
  <c r="H117" i="4"/>
  <c r="F118" i="4"/>
  <c r="N115" i="4"/>
  <c r="O115" i="4" s="1"/>
  <c r="K115" i="4"/>
  <c r="L116" i="4" s="1"/>
  <c r="I117" i="3"/>
  <c r="G118" i="3"/>
  <c r="H117" i="3"/>
  <c r="F118" i="3"/>
  <c r="M117" i="3" l="1"/>
  <c r="N117" i="3" s="1"/>
  <c r="O117" i="3" s="1"/>
  <c r="J117" i="3"/>
  <c r="K117" i="3" s="1"/>
  <c r="L118" i="3" s="1"/>
  <c r="N116" i="2"/>
  <c r="O116" i="2" s="1"/>
  <c r="N116" i="5"/>
  <c r="O116" i="5" s="1"/>
  <c r="L117" i="6"/>
  <c r="L117" i="5"/>
  <c r="G119" i="8"/>
  <c r="I118" i="8"/>
  <c r="M117" i="8"/>
  <c r="J117" i="8"/>
  <c r="K117" i="8" s="1"/>
  <c r="H118" i="8"/>
  <c r="F119" i="8"/>
  <c r="L117" i="8"/>
  <c r="N116" i="8"/>
  <c r="O116" i="8" s="1"/>
  <c r="I118" i="7"/>
  <c r="G119" i="7"/>
  <c r="M117" i="7"/>
  <c r="J117" i="7"/>
  <c r="K117" i="7"/>
  <c r="H118" i="7"/>
  <c r="F119" i="7"/>
  <c r="L117" i="7"/>
  <c r="M117" i="6"/>
  <c r="J117" i="6"/>
  <c r="G119" i="6"/>
  <c r="I118" i="6"/>
  <c r="H118" i="6"/>
  <c r="F119" i="6"/>
  <c r="J117" i="5"/>
  <c r="M117" i="5"/>
  <c r="G119" i="5"/>
  <c r="I118" i="5"/>
  <c r="H118" i="5"/>
  <c r="F119" i="5"/>
  <c r="M117" i="2"/>
  <c r="J117" i="2"/>
  <c r="G119" i="2"/>
  <c r="I118" i="2"/>
  <c r="F119" i="2"/>
  <c r="H118" i="2"/>
  <c r="L117" i="2"/>
  <c r="I118" i="4"/>
  <c r="G119" i="4"/>
  <c r="J117" i="4"/>
  <c r="M117" i="4"/>
  <c r="K117" i="4"/>
  <c r="F119" i="4"/>
  <c r="H118" i="4"/>
  <c r="N116" i="4"/>
  <c r="O116" i="4" s="1"/>
  <c r="K116" i="4"/>
  <c r="L117" i="4" s="1"/>
  <c r="G119" i="3"/>
  <c r="I118" i="3"/>
  <c r="H118" i="3"/>
  <c r="F119" i="3"/>
  <c r="J118" i="3" l="1"/>
  <c r="K118" i="3" s="1"/>
  <c r="L119" i="3" s="1"/>
  <c r="M118" i="3"/>
  <c r="N118" i="3" s="1"/>
  <c r="O118" i="3" s="1"/>
  <c r="N117" i="6"/>
  <c r="O117" i="6" s="1"/>
  <c r="N117" i="5"/>
  <c r="O117" i="5" s="1"/>
  <c r="G120" i="8"/>
  <c r="I119" i="8"/>
  <c r="J118" i="8"/>
  <c r="M118" i="8"/>
  <c r="K118" i="8"/>
  <c r="H119" i="8"/>
  <c r="F120" i="8"/>
  <c r="N117" i="8"/>
  <c r="O117" i="8" s="1"/>
  <c r="L118" i="8"/>
  <c r="M118" i="7"/>
  <c r="J118" i="7"/>
  <c r="K118" i="7" s="1"/>
  <c r="I119" i="7"/>
  <c r="G120" i="7"/>
  <c r="F120" i="7"/>
  <c r="H119" i="7"/>
  <c r="N117" i="7"/>
  <c r="O117" i="7" s="1"/>
  <c r="L118" i="7"/>
  <c r="I119" i="6"/>
  <c r="G120" i="6"/>
  <c r="J118" i="6"/>
  <c r="M118" i="6"/>
  <c r="F120" i="6"/>
  <c r="H119" i="6"/>
  <c r="K117" i="6"/>
  <c r="L118" i="6" s="1"/>
  <c r="I119" i="5"/>
  <c r="G120" i="5"/>
  <c r="J118" i="5"/>
  <c r="K118" i="5" s="1"/>
  <c r="M118" i="5"/>
  <c r="H119" i="5"/>
  <c r="F120" i="5"/>
  <c r="K117" i="5"/>
  <c r="L118" i="5" s="1"/>
  <c r="I119" i="2"/>
  <c r="G120" i="2"/>
  <c r="J118" i="2"/>
  <c r="M118" i="2"/>
  <c r="H119" i="2"/>
  <c r="F120" i="2"/>
  <c r="N117" i="2"/>
  <c r="O117" i="2" s="1"/>
  <c r="K117" i="2"/>
  <c r="L118" i="2" s="1"/>
  <c r="M118" i="4"/>
  <c r="J118" i="4"/>
  <c r="G120" i="4"/>
  <c r="I119" i="4"/>
  <c r="K118" i="4"/>
  <c r="F120" i="4"/>
  <c r="H119" i="4"/>
  <c r="N117" i="4"/>
  <c r="O117" i="4" s="1"/>
  <c r="L118" i="4"/>
  <c r="G120" i="3"/>
  <c r="I119" i="3"/>
  <c r="F120" i="3"/>
  <c r="H119" i="3"/>
  <c r="M119" i="3" l="1"/>
  <c r="N119" i="3" s="1"/>
  <c r="O119" i="3" s="1"/>
  <c r="J119" i="3"/>
  <c r="L119" i="8"/>
  <c r="N118" i="4"/>
  <c r="O118" i="4" s="1"/>
  <c r="L119" i="5"/>
  <c r="G121" i="8"/>
  <c r="I120" i="8"/>
  <c r="J119" i="8"/>
  <c r="M119" i="8"/>
  <c r="N119" i="8" s="1"/>
  <c r="O119" i="8" s="1"/>
  <c r="K119" i="8"/>
  <c r="F121" i="8"/>
  <c r="H120" i="8"/>
  <c r="N118" i="8"/>
  <c r="O118" i="8" s="1"/>
  <c r="J119" i="7"/>
  <c r="M119" i="7"/>
  <c r="I120" i="7"/>
  <c r="G121" i="7"/>
  <c r="H120" i="7"/>
  <c r="F121" i="7"/>
  <c r="N118" i="7"/>
  <c r="O118" i="7" s="1"/>
  <c r="L119" i="7"/>
  <c r="J119" i="6"/>
  <c r="K119" i="6" s="1"/>
  <c r="M119" i="6"/>
  <c r="I120" i="6"/>
  <c r="G121" i="6"/>
  <c r="H120" i="6"/>
  <c r="F121" i="6"/>
  <c r="N118" i="6"/>
  <c r="O118" i="6" s="1"/>
  <c r="K118" i="6"/>
  <c r="L119" i="6" s="1"/>
  <c r="J119" i="5"/>
  <c r="M119" i="5"/>
  <c r="I120" i="5"/>
  <c r="G121" i="5"/>
  <c r="K119" i="5"/>
  <c r="F121" i="5"/>
  <c r="H120" i="5"/>
  <c r="N118" i="5"/>
  <c r="O118" i="5" s="1"/>
  <c r="J119" i="2"/>
  <c r="M119" i="2"/>
  <c r="G121" i="2"/>
  <c r="I120" i="2"/>
  <c r="K119" i="2"/>
  <c r="F121" i="2"/>
  <c r="H120" i="2"/>
  <c r="N118" i="2"/>
  <c r="O118" i="2" s="1"/>
  <c r="K118" i="2"/>
  <c r="L119" i="2" s="1"/>
  <c r="I120" i="4"/>
  <c r="G121" i="4"/>
  <c r="J119" i="4"/>
  <c r="M119" i="4"/>
  <c r="F121" i="4"/>
  <c r="H120" i="4"/>
  <c r="L119" i="4"/>
  <c r="I120" i="3"/>
  <c r="G121" i="3"/>
  <c r="F121" i="3"/>
  <c r="H120" i="3"/>
  <c r="J120" i="3" l="1"/>
  <c r="K120" i="3" s="1"/>
  <c r="L121" i="3" s="1"/>
  <c r="M120" i="3"/>
  <c r="L120" i="8"/>
  <c r="N119" i="5"/>
  <c r="O119" i="5" s="1"/>
  <c r="L120" i="5"/>
  <c r="I121" i="8"/>
  <c r="G122" i="8"/>
  <c r="J120" i="8"/>
  <c r="K120" i="8" s="1"/>
  <c r="M120" i="8"/>
  <c r="N120" i="8" s="1"/>
  <c r="O120" i="8" s="1"/>
  <c r="H121" i="8"/>
  <c r="F122" i="8"/>
  <c r="J120" i="7"/>
  <c r="M120" i="7"/>
  <c r="G122" i="7"/>
  <c r="I121" i="7"/>
  <c r="H121" i="7"/>
  <c r="F122" i="7"/>
  <c r="N119" i="7"/>
  <c r="O119" i="7" s="1"/>
  <c r="K119" i="7"/>
  <c r="L120" i="7" s="1"/>
  <c r="M120" i="6"/>
  <c r="J120" i="6"/>
  <c r="G122" i="6"/>
  <c r="I121" i="6"/>
  <c r="F122" i="6"/>
  <c r="H121" i="6"/>
  <c r="N119" i="6"/>
  <c r="O119" i="6" s="1"/>
  <c r="L120" i="6"/>
  <c r="J120" i="5"/>
  <c r="K120" i="5" s="1"/>
  <c r="M120" i="5"/>
  <c r="I121" i="5"/>
  <c r="G122" i="5"/>
  <c r="F122" i="5"/>
  <c r="H121" i="5"/>
  <c r="I121" i="2"/>
  <c r="G122" i="2"/>
  <c r="J120" i="2"/>
  <c r="K120" i="2" s="1"/>
  <c r="M120" i="2"/>
  <c r="H121" i="2"/>
  <c r="F122" i="2"/>
  <c r="L120" i="2"/>
  <c r="N119" i="2"/>
  <c r="O119" i="2" s="1"/>
  <c r="M120" i="4"/>
  <c r="J120" i="4"/>
  <c r="G122" i="4"/>
  <c r="I121" i="4"/>
  <c r="K120" i="4"/>
  <c r="F122" i="4"/>
  <c r="H121" i="4"/>
  <c r="N119" i="4"/>
  <c r="O119" i="4" s="1"/>
  <c r="K119" i="4"/>
  <c r="L120" i="4" s="1"/>
  <c r="K119" i="3"/>
  <c r="L120" i="3" s="1"/>
  <c r="I121" i="3"/>
  <c r="G122" i="3"/>
  <c r="H121" i="3"/>
  <c r="F122" i="3"/>
  <c r="N120" i="3" l="1"/>
  <c r="O120" i="3" s="1"/>
  <c r="J121" i="3"/>
  <c r="M121" i="3"/>
  <c r="N121" i="3" s="1"/>
  <c r="O121" i="3" s="1"/>
  <c r="L121" i="2"/>
  <c r="L121" i="5"/>
  <c r="N120" i="5"/>
  <c r="O120" i="5" s="1"/>
  <c r="J121" i="8"/>
  <c r="M121" i="8"/>
  <c r="I122" i="8"/>
  <c r="G123" i="8"/>
  <c r="K121" i="8"/>
  <c r="F123" i="8"/>
  <c r="H122" i="8"/>
  <c r="L121" i="8"/>
  <c r="I122" i="7"/>
  <c r="G123" i="7"/>
  <c r="J121" i="7"/>
  <c r="M121" i="7"/>
  <c r="H122" i="7"/>
  <c r="F123" i="7"/>
  <c r="N120" i="7"/>
  <c r="O120" i="7" s="1"/>
  <c r="K120" i="7"/>
  <c r="L121" i="7" s="1"/>
  <c r="I122" i="6"/>
  <c r="G123" i="6"/>
  <c r="J121" i="6"/>
  <c r="M121" i="6"/>
  <c r="F123" i="6"/>
  <c r="H122" i="6"/>
  <c r="N120" i="6"/>
  <c r="O120" i="6" s="1"/>
  <c r="K120" i="6"/>
  <c r="L121" i="6" s="1"/>
  <c r="J121" i="5"/>
  <c r="M121" i="5"/>
  <c r="I122" i="5"/>
  <c r="G123" i="5"/>
  <c r="H122" i="5"/>
  <c r="F123" i="5"/>
  <c r="J121" i="2"/>
  <c r="M121" i="2"/>
  <c r="G123" i="2"/>
  <c r="I122" i="2"/>
  <c r="K121" i="2"/>
  <c r="F123" i="2"/>
  <c r="H122" i="2"/>
  <c r="N120" i="2"/>
  <c r="O120" i="2" s="1"/>
  <c r="I122" i="4"/>
  <c r="G123" i="4"/>
  <c r="J121" i="4"/>
  <c r="M121" i="4"/>
  <c r="H122" i="4"/>
  <c r="F123" i="4"/>
  <c r="N120" i="4"/>
  <c r="O120" i="4" s="1"/>
  <c r="L121" i="4"/>
  <c r="I122" i="3"/>
  <c r="G123" i="3"/>
  <c r="H122" i="3"/>
  <c r="F123" i="3"/>
  <c r="M122" i="3" l="1"/>
  <c r="J122" i="3"/>
  <c r="K122" i="3" s="1"/>
  <c r="L123" i="3" s="1"/>
  <c r="N121" i="5"/>
  <c r="O121" i="5" s="1"/>
  <c r="N121" i="2"/>
  <c r="O121" i="2" s="1"/>
  <c r="M122" i="8"/>
  <c r="J122" i="8"/>
  <c r="K122" i="8" s="1"/>
  <c r="I123" i="8"/>
  <c r="G124" i="8"/>
  <c r="F124" i="8"/>
  <c r="H123" i="8"/>
  <c r="N121" i="8"/>
  <c r="O121" i="8" s="1"/>
  <c r="L122" i="8"/>
  <c r="J122" i="7"/>
  <c r="M122" i="7"/>
  <c r="G124" i="7"/>
  <c r="I123" i="7"/>
  <c r="K122" i="7"/>
  <c r="L123" i="7" s="1"/>
  <c r="F124" i="7"/>
  <c r="H123" i="7"/>
  <c r="N121" i="7"/>
  <c r="O121" i="7" s="1"/>
  <c r="K121" i="7"/>
  <c r="L122" i="7" s="1"/>
  <c r="M122" i="6"/>
  <c r="J122" i="6"/>
  <c r="I123" i="6"/>
  <c r="G124" i="6"/>
  <c r="K122" i="6"/>
  <c r="F124" i="6"/>
  <c r="H123" i="6"/>
  <c r="N121" i="6"/>
  <c r="O121" i="6" s="1"/>
  <c r="K121" i="6"/>
  <c r="L122" i="6" s="1"/>
  <c r="J122" i="5"/>
  <c r="M122" i="5"/>
  <c r="I123" i="5"/>
  <c r="G124" i="5"/>
  <c r="H123" i="5"/>
  <c r="F124" i="5"/>
  <c r="K121" i="5"/>
  <c r="L122" i="5" s="1"/>
  <c r="G124" i="2"/>
  <c r="I123" i="2"/>
  <c r="M122" i="2"/>
  <c r="J122" i="2"/>
  <c r="F124" i="2"/>
  <c r="H123" i="2"/>
  <c r="L122" i="2"/>
  <c r="J122" i="4"/>
  <c r="K122" i="4" s="1"/>
  <c r="M122" i="4"/>
  <c r="G124" i="4"/>
  <c r="I123" i="4"/>
  <c r="F124" i="4"/>
  <c r="H123" i="4"/>
  <c r="N121" i="4"/>
  <c r="O121" i="4" s="1"/>
  <c r="K121" i="4"/>
  <c r="L122" i="4" s="1"/>
  <c r="I123" i="3"/>
  <c r="G124" i="3"/>
  <c r="F124" i="3"/>
  <c r="H123" i="3"/>
  <c r="K121" i="3"/>
  <c r="L122" i="3" s="1"/>
  <c r="N122" i="3" l="1"/>
  <c r="O122" i="3" s="1"/>
  <c r="J123" i="3"/>
  <c r="M123" i="3"/>
  <c r="N123" i="3" s="1"/>
  <c r="O123" i="3" s="1"/>
  <c r="L123" i="8"/>
  <c r="N122" i="8"/>
  <c r="O122" i="8" s="1"/>
  <c r="L123" i="6"/>
  <c r="M123" i="8"/>
  <c r="N123" i="8" s="1"/>
  <c r="O123" i="8" s="1"/>
  <c r="J123" i="8"/>
  <c r="I124" i="8"/>
  <c r="G125" i="8"/>
  <c r="H124" i="8"/>
  <c r="F125" i="8"/>
  <c r="I124" i="7"/>
  <c r="G125" i="7"/>
  <c r="J123" i="7"/>
  <c r="M123" i="7"/>
  <c r="N123" i="7" s="1"/>
  <c r="O123" i="7" s="1"/>
  <c r="H124" i="7"/>
  <c r="F125" i="7"/>
  <c r="N122" i="7"/>
  <c r="O122" i="7" s="1"/>
  <c r="J123" i="6"/>
  <c r="M123" i="6"/>
  <c r="N123" i="6" s="1"/>
  <c r="O123" i="6" s="1"/>
  <c r="G125" i="6"/>
  <c r="I124" i="6"/>
  <c r="F125" i="6"/>
  <c r="H124" i="6"/>
  <c r="N122" i="6"/>
  <c r="O122" i="6" s="1"/>
  <c r="M123" i="5"/>
  <c r="J123" i="5"/>
  <c r="I124" i="5"/>
  <c r="G125" i="5"/>
  <c r="H124" i="5"/>
  <c r="F125" i="5"/>
  <c r="N122" i="5"/>
  <c r="O122" i="5" s="1"/>
  <c r="K122" i="5"/>
  <c r="L123" i="5" s="1"/>
  <c r="I124" i="2"/>
  <c r="G125" i="2"/>
  <c r="M123" i="2"/>
  <c r="J123" i="2"/>
  <c r="K123" i="2"/>
  <c r="H124" i="2"/>
  <c r="F125" i="2"/>
  <c r="N122" i="2"/>
  <c r="O122" i="2" s="1"/>
  <c r="K122" i="2"/>
  <c r="L123" i="2" s="1"/>
  <c r="G125" i="4"/>
  <c r="I124" i="4"/>
  <c r="J123" i="4"/>
  <c r="M123" i="4"/>
  <c r="F125" i="4"/>
  <c r="H124" i="4"/>
  <c r="L123" i="4"/>
  <c r="N122" i="4"/>
  <c r="O122" i="4" s="1"/>
  <c r="G125" i="3"/>
  <c r="I124" i="3"/>
  <c r="H124" i="3"/>
  <c r="F125" i="3"/>
  <c r="J124" i="3" l="1"/>
  <c r="K124" i="3" s="1"/>
  <c r="M124" i="3"/>
  <c r="N123" i="2"/>
  <c r="O123" i="2" s="1"/>
  <c r="N123" i="5"/>
  <c r="O123" i="5" s="1"/>
  <c r="M124" i="8"/>
  <c r="J124" i="8"/>
  <c r="G126" i="8"/>
  <c r="I125" i="8"/>
  <c r="F126" i="8"/>
  <c r="H125" i="8"/>
  <c r="K123" i="8"/>
  <c r="L124" i="8" s="1"/>
  <c r="M124" i="7"/>
  <c r="J124" i="7"/>
  <c r="I125" i="7"/>
  <c r="G126" i="7"/>
  <c r="K124" i="7"/>
  <c r="L125" i="7" s="1"/>
  <c r="H125" i="7"/>
  <c r="F126" i="7"/>
  <c r="K123" i="7"/>
  <c r="L124" i="7" s="1"/>
  <c r="G126" i="6"/>
  <c r="I125" i="6"/>
  <c r="M124" i="6"/>
  <c r="J124" i="6"/>
  <c r="F126" i="6"/>
  <c r="H125" i="6"/>
  <c r="K123" i="6"/>
  <c r="L124" i="6" s="1"/>
  <c r="J124" i="5"/>
  <c r="M124" i="5"/>
  <c r="G126" i="5"/>
  <c r="I125" i="5"/>
  <c r="H125" i="5"/>
  <c r="F126" i="5"/>
  <c r="K123" i="5"/>
  <c r="L124" i="5" s="1"/>
  <c r="M124" i="2"/>
  <c r="J124" i="2"/>
  <c r="I125" i="2"/>
  <c r="G126" i="2"/>
  <c r="K124" i="2"/>
  <c r="H125" i="2"/>
  <c r="F126" i="2"/>
  <c r="L124" i="2"/>
  <c r="I125" i="4"/>
  <c r="G126" i="4"/>
  <c r="M124" i="4"/>
  <c r="J124" i="4"/>
  <c r="K124" i="4"/>
  <c r="H125" i="4"/>
  <c r="F126" i="4"/>
  <c r="N123" i="4"/>
  <c r="O123" i="4" s="1"/>
  <c r="K123" i="4"/>
  <c r="L124" i="4" s="1"/>
  <c r="I125" i="3"/>
  <c r="G126" i="3"/>
  <c r="H125" i="3"/>
  <c r="F126" i="3"/>
  <c r="K123" i="3"/>
  <c r="L124" i="3" s="1"/>
  <c r="N124" i="3" s="1"/>
  <c r="O124" i="3" s="1"/>
  <c r="L125" i="3" l="1"/>
  <c r="M125" i="3"/>
  <c r="N125" i="3" s="1"/>
  <c r="O125" i="3" s="1"/>
  <c r="J125" i="3"/>
  <c r="I126" i="8"/>
  <c r="G127" i="8"/>
  <c r="J125" i="8"/>
  <c r="M125" i="8"/>
  <c r="H126" i="8"/>
  <c r="F127" i="8"/>
  <c r="N124" i="8"/>
  <c r="O124" i="8" s="1"/>
  <c r="K124" i="8"/>
  <c r="L125" i="8" s="1"/>
  <c r="M125" i="7"/>
  <c r="N125" i="7" s="1"/>
  <c r="O125" i="7" s="1"/>
  <c r="J125" i="7"/>
  <c r="I126" i="7"/>
  <c r="G127" i="7"/>
  <c r="F127" i="7"/>
  <c r="H126" i="7"/>
  <c r="N124" i="7"/>
  <c r="O124" i="7" s="1"/>
  <c r="I126" i="6"/>
  <c r="G127" i="6"/>
  <c r="J125" i="6"/>
  <c r="M125" i="6"/>
  <c r="K125" i="6"/>
  <c r="H126" i="6"/>
  <c r="F127" i="6"/>
  <c r="N124" i="6"/>
  <c r="O124" i="6" s="1"/>
  <c r="K124" i="6"/>
  <c r="L125" i="6" s="1"/>
  <c r="G127" i="5"/>
  <c r="I126" i="5"/>
  <c r="J125" i="5"/>
  <c r="M125" i="5"/>
  <c r="F127" i="5"/>
  <c r="H126" i="5"/>
  <c r="N124" i="5"/>
  <c r="O124" i="5" s="1"/>
  <c r="K124" i="5"/>
  <c r="L125" i="5" s="1"/>
  <c r="J125" i="2"/>
  <c r="K125" i="2" s="1"/>
  <c r="M125" i="2"/>
  <c r="G127" i="2"/>
  <c r="I126" i="2"/>
  <c r="F127" i="2"/>
  <c r="H126" i="2"/>
  <c r="N124" i="2"/>
  <c r="O124" i="2" s="1"/>
  <c r="L125" i="2"/>
  <c r="J125" i="4"/>
  <c r="M125" i="4"/>
  <c r="G127" i="4"/>
  <c r="I126" i="4"/>
  <c r="K125" i="4"/>
  <c r="F127" i="4"/>
  <c r="H126" i="4"/>
  <c r="L125" i="4"/>
  <c r="N124" i="4"/>
  <c r="O124" i="4" s="1"/>
  <c r="G127" i="3"/>
  <c r="I126" i="3"/>
  <c r="H126" i="3"/>
  <c r="F127" i="3"/>
  <c r="J126" i="3" l="1"/>
  <c r="K126" i="3" s="1"/>
  <c r="L127" i="3" s="1"/>
  <c r="M126" i="3"/>
  <c r="L126" i="2"/>
  <c r="N125" i="5"/>
  <c r="O125" i="5" s="1"/>
  <c r="J126" i="8"/>
  <c r="M126" i="8"/>
  <c r="G128" i="8"/>
  <c r="I127" i="8"/>
  <c r="K126" i="8"/>
  <c r="H127" i="8"/>
  <c r="F128" i="8"/>
  <c r="N125" i="8"/>
  <c r="O125" i="8" s="1"/>
  <c r="K125" i="8"/>
  <c r="L126" i="8" s="1"/>
  <c r="J126" i="7"/>
  <c r="M126" i="7"/>
  <c r="G128" i="7"/>
  <c r="I127" i="7"/>
  <c r="H127" i="7"/>
  <c r="F128" i="7"/>
  <c r="K125" i="7"/>
  <c r="L126" i="7" s="1"/>
  <c r="J126" i="6"/>
  <c r="M126" i="6"/>
  <c r="G128" i="6"/>
  <c r="I127" i="6"/>
  <c r="K126" i="6"/>
  <c r="F128" i="6"/>
  <c r="H127" i="6"/>
  <c r="N125" i="6"/>
  <c r="O125" i="6" s="1"/>
  <c r="L126" i="6"/>
  <c r="G128" i="5"/>
  <c r="I127" i="5"/>
  <c r="J126" i="5"/>
  <c r="M126" i="5"/>
  <c r="K126" i="5"/>
  <c r="H127" i="5"/>
  <c r="F128" i="5"/>
  <c r="K125" i="5"/>
  <c r="L126" i="5" s="1"/>
  <c r="I127" i="2"/>
  <c r="G128" i="2"/>
  <c r="M126" i="2"/>
  <c r="J126" i="2"/>
  <c r="K126" i="2" s="1"/>
  <c r="H127" i="2"/>
  <c r="F128" i="2"/>
  <c r="N125" i="2"/>
  <c r="O125" i="2" s="1"/>
  <c r="G128" i="4"/>
  <c r="I127" i="4"/>
  <c r="M126" i="4"/>
  <c r="J126" i="4"/>
  <c r="H127" i="4"/>
  <c r="F128" i="4"/>
  <c r="N125" i="4"/>
  <c r="O125" i="4" s="1"/>
  <c r="L126" i="4"/>
  <c r="I127" i="3"/>
  <c r="G128" i="3"/>
  <c r="F128" i="3"/>
  <c r="H127" i="3"/>
  <c r="K125" i="3"/>
  <c r="L126" i="3" s="1"/>
  <c r="N126" i="3" s="1"/>
  <c r="O126" i="3" s="1"/>
  <c r="M127" i="3" l="1"/>
  <c r="N127" i="3" s="1"/>
  <c r="O127" i="3" s="1"/>
  <c r="J127" i="3"/>
  <c r="N126" i="2"/>
  <c r="O126" i="2" s="1"/>
  <c r="L127" i="2"/>
  <c r="L127" i="5"/>
  <c r="G129" i="8"/>
  <c r="I128" i="8"/>
  <c r="M127" i="8"/>
  <c r="J127" i="8"/>
  <c r="K127" i="8" s="1"/>
  <c r="F129" i="8"/>
  <c r="H128" i="8"/>
  <c r="N126" i="8"/>
  <c r="O126" i="8" s="1"/>
  <c r="L127" i="8"/>
  <c r="G129" i="7"/>
  <c r="I128" i="7"/>
  <c r="M127" i="7"/>
  <c r="J127" i="7"/>
  <c r="F129" i="7"/>
  <c r="H128" i="7"/>
  <c r="N126" i="7"/>
  <c r="O126" i="7" s="1"/>
  <c r="K126" i="7"/>
  <c r="L127" i="7" s="1"/>
  <c r="G129" i="6"/>
  <c r="I128" i="6"/>
  <c r="J127" i="6"/>
  <c r="M127" i="6"/>
  <c r="F129" i="6"/>
  <c r="H128" i="6"/>
  <c r="L127" i="6"/>
  <c r="N126" i="6"/>
  <c r="O126" i="6" s="1"/>
  <c r="I128" i="5"/>
  <c r="G129" i="5"/>
  <c r="J127" i="5"/>
  <c r="M127" i="5"/>
  <c r="K127" i="5"/>
  <c r="H128" i="5"/>
  <c r="F129" i="5"/>
  <c r="N126" i="5"/>
  <c r="O126" i="5" s="1"/>
  <c r="M127" i="2"/>
  <c r="J127" i="2"/>
  <c r="I128" i="2"/>
  <c r="G129" i="2"/>
  <c r="K127" i="2"/>
  <c r="F129" i="2"/>
  <c r="H128" i="2"/>
  <c r="I128" i="4"/>
  <c r="G129" i="4"/>
  <c r="J127" i="4"/>
  <c r="M127" i="4"/>
  <c r="K127" i="4"/>
  <c r="H128" i="4"/>
  <c r="F129" i="4"/>
  <c r="N126" i="4"/>
  <c r="O126" i="4" s="1"/>
  <c r="K126" i="4"/>
  <c r="L127" i="4" s="1"/>
  <c r="I128" i="3"/>
  <c r="G129" i="3"/>
  <c r="H128" i="3"/>
  <c r="F129" i="3"/>
  <c r="J128" i="3" l="1"/>
  <c r="K128" i="3" s="1"/>
  <c r="M128" i="3"/>
  <c r="N127" i="2"/>
  <c r="O127" i="2" s="1"/>
  <c r="L128" i="8"/>
  <c r="N127" i="8"/>
  <c r="O127" i="8" s="1"/>
  <c r="N127" i="7"/>
  <c r="O127" i="7" s="1"/>
  <c r="N127" i="5"/>
  <c r="O127" i="5" s="1"/>
  <c r="L128" i="5"/>
  <c r="I129" i="8"/>
  <c r="G130" i="8"/>
  <c r="M128" i="8"/>
  <c r="J128" i="8"/>
  <c r="K128" i="8"/>
  <c r="H129" i="8"/>
  <c r="F130" i="8"/>
  <c r="G130" i="7"/>
  <c r="I129" i="7"/>
  <c r="M128" i="7"/>
  <c r="J128" i="7"/>
  <c r="K128" i="7"/>
  <c r="F130" i="7"/>
  <c r="H129" i="7"/>
  <c r="K127" i="7"/>
  <c r="L128" i="7" s="1"/>
  <c r="G130" i="6"/>
  <c r="I129" i="6"/>
  <c r="J128" i="6"/>
  <c r="M128" i="6"/>
  <c r="H129" i="6"/>
  <c r="F130" i="6"/>
  <c r="N127" i="6"/>
  <c r="O127" i="6" s="1"/>
  <c r="K127" i="6"/>
  <c r="L128" i="6" s="1"/>
  <c r="J128" i="5"/>
  <c r="M128" i="5"/>
  <c r="I129" i="5"/>
  <c r="G130" i="5"/>
  <c r="K128" i="5"/>
  <c r="H129" i="5"/>
  <c r="F130" i="5"/>
  <c r="J128" i="2"/>
  <c r="M128" i="2"/>
  <c r="G130" i="2"/>
  <c r="I129" i="2"/>
  <c r="H129" i="2"/>
  <c r="F130" i="2"/>
  <c r="L128" i="2"/>
  <c r="M128" i="4"/>
  <c r="J128" i="4"/>
  <c r="I129" i="4"/>
  <c r="G130" i="4"/>
  <c r="K128" i="4"/>
  <c r="H129" i="4"/>
  <c r="F130" i="4"/>
  <c r="N127" i="4"/>
  <c r="O127" i="4" s="1"/>
  <c r="L128" i="4"/>
  <c r="I129" i="3"/>
  <c r="G130" i="3"/>
  <c r="H129" i="3"/>
  <c r="F130" i="3"/>
  <c r="K127" i="3"/>
  <c r="L128" i="3" s="1"/>
  <c r="N128" i="3" s="1"/>
  <c r="O128" i="3" s="1"/>
  <c r="L129" i="3" l="1"/>
  <c r="M129" i="3"/>
  <c r="N129" i="3" s="1"/>
  <c r="O129" i="3" s="1"/>
  <c r="J129" i="3"/>
  <c r="N128" i="8"/>
  <c r="O128" i="8" s="1"/>
  <c r="L129" i="8"/>
  <c r="N128" i="5"/>
  <c r="O128" i="5" s="1"/>
  <c r="M129" i="8"/>
  <c r="N129" i="8" s="1"/>
  <c r="O129" i="8" s="1"/>
  <c r="J129" i="8"/>
  <c r="K129" i="8" s="1"/>
  <c r="G131" i="8"/>
  <c r="I130" i="8"/>
  <c r="H130" i="8"/>
  <c r="F131" i="8"/>
  <c r="I130" i="7"/>
  <c r="G131" i="7"/>
  <c r="J129" i="7"/>
  <c r="M129" i="7"/>
  <c r="K129" i="7"/>
  <c r="F131" i="7"/>
  <c r="H130" i="7"/>
  <c r="N128" i="7"/>
  <c r="O128" i="7" s="1"/>
  <c r="L129" i="7"/>
  <c r="G131" i="6"/>
  <c r="I130" i="6"/>
  <c r="M129" i="6"/>
  <c r="J129" i="6"/>
  <c r="K129" i="6"/>
  <c r="H130" i="6"/>
  <c r="F131" i="6"/>
  <c r="N128" i="6"/>
  <c r="O128" i="6" s="1"/>
  <c r="K128" i="6"/>
  <c r="L129" i="6" s="1"/>
  <c r="M129" i="5"/>
  <c r="J129" i="5"/>
  <c r="K129" i="5" s="1"/>
  <c r="I130" i="5"/>
  <c r="G131" i="5"/>
  <c r="F131" i="5"/>
  <c r="H130" i="5"/>
  <c r="L129" i="5"/>
  <c r="G131" i="2"/>
  <c r="I130" i="2"/>
  <c r="M129" i="2"/>
  <c r="J129" i="2"/>
  <c r="F131" i="2"/>
  <c r="H130" i="2"/>
  <c r="N128" i="2"/>
  <c r="O128" i="2" s="1"/>
  <c r="K128" i="2"/>
  <c r="L129" i="2" s="1"/>
  <c r="J129" i="4"/>
  <c r="M129" i="4"/>
  <c r="I130" i="4"/>
  <c r="G131" i="4"/>
  <c r="H130" i="4"/>
  <c r="F131" i="4"/>
  <c r="N128" i="4"/>
  <c r="O128" i="4" s="1"/>
  <c r="L129" i="4"/>
  <c r="G131" i="3"/>
  <c r="I130" i="3"/>
  <c r="F131" i="3"/>
  <c r="H130" i="3"/>
  <c r="J130" i="3" l="1"/>
  <c r="M130" i="3"/>
  <c r="I131" i="8"/>
  <c r="G132" i="8"/>
  <c r="J130" i="8"/>
  <c r="M130" i="8"/>
  <c r="F132" i="8"/>
  <c r="H131" i="8"/>
  <c r="L130" i="8"/>
  <c r="J130" i="7"/>
  <c r="M130" i="7"/>
  <c r="I131" i="7"/>
  <c r="G132" i="7"/>
  <c r="K130" i="7"/>
  <c r="F132" i="7"/>
  <c r="H131" i="7"/>
  <c r="N129" i="7"/>
  <c r="O129" i="7" s="1"/>
  <c r="L130" i="7"/>
  <c r="I131" i="6"/>
  <c r="G132" i="6"/>
  <c r="M130" i="6"/>
  <c r="J130" i="6"/>
  <c r="K130" i="6"/>
  <c r="F132" i="6"/>
  <c r="H131" i="6"/>
  <c r="N129" i="6"/>
  <c r="O129" i="6" s="1"/>
  <c r="L130" i="6"/>
  <c r="J130" i="5"/>
  <c r="M130" i="5"/>
  <c r="G132" i="5"/>
  <c r="I131" i="5"/>
  <c r="H131" i="5"/>
  <c r="F132" i="5"/>
  <c r="L130" i="5"/>
  <c r="N129" i="5"/>
  <c r="O129" i="5" s="1"/>
  <c r="G132" i="2"/>
  <c r="I131" i="2"/>
  <c r="J130" i="2"/>
  <c r="M130" i="2"/>
  <c r="K130" i="2"/>
  <c r="F132" i="2"/>
  <c r="H131" i="2"/>
  <c r="N129" i="2"/>
  <c r="O129" i="2" s="1"/>
  <c r="K129" i="2"/>
  <c r="L130" i="2" s="1"/>
  <c r="J130" i="4"/>
  <c r="M130" i="4"/>
  <c r="I131" i="4"/>
  <c r="G132" i="4"/>
  <c r="H131" i="4"/>
  <c r="F132" i="4"/>
  <c r="N129" i="4"/>
  <c r="O129" i="4" s="1"/>
  <c r="K129" i="4"/>
  <c r="L130" i="4" s="1"/>
  <c r="I131" i="3"/>
  <c r="G132" i="3"/>
  <c r="H131" i="3"/>
  <c r="F132" i="3"/>
  <c r="K129" i="3"/>
  <c r="L130" i="3" s="1"/>
  <c r="N130" i="3" l="1"/>
  <c r="O130" i="3" s="1"/>
  <c r="M131" i="3"/>
  <c r="J131" i="3"/>
  <c r="M131" i="8"/>
  <c r="J131" i="8"/>
  <c r="G133" i="8"/>
  <c r="I132" i="8"/>
  <c r="K131" i="8"/>
  <c r="F133" i="8"/>
  <c r="H132" i="8"/>
  <c r="N130" i="8"/>
  <c r="O130" i="8" s="1"/>
  <c r="K130" i="8"/>
  <c r="L131" i="8" s="1"/>
  <c r="J131" i="7"/>
  <c r="M131" i="7"/>
  <c r="G133" i="7"/>
  <c r="I132" i="7"/>
  <c r="H132" i="7"/>
  <c r="F133" i="7"/>
  <c r="N130" i="7"/>
  <c r="O130" i="7" s="1"/>
  <c r="L131" i="7"/>
  <c r="M131" i="6"/>
  <c r="J131" i="6"/>
  <c r="G133" i="6"/>
  <c r="I132" i="6"/>
  <c r="K131" i="6"/>
  <c r="H132" i="6"/>
  <c r="F133" i="6"/>
  <c r="N130" i="6"/>
  <c r="O130" i="6" s="1"/>
  <c r="L131" i="6"/>
  <c r="G133" i="5"/>
  <c r="I132" i="5"/>
  <c r="J131" i="5"/>
  <c r="M131" i="5"/>
  <c r="H132" i="5"/>
  <c r="F133" i="5"/>
  <c r="N130" i="5"/>
  <c r="O130" i="5" s="1"/>
  <c r="K130" i="5"/>
  <c r="L131" i="5" s="1"/>
  <c r="G133" i="2"/>
  <c r="I132" i="2"/>
  <c r="J131" i="2"/>
  <c r="M131" i="2"/>
  <c r="K131" i="2"/>
  <c r="F133" i="2"/>
  <c r="H132" i="2"/>
  <c r="N130" i="2"/>
  <c r="O130" i="2" s="1"/>
  <c r="L131" i="2"/>
  <c r="M131" i="4"/>
  <c r="J131" i="4"/>
  <c r="I132" i="4"/>
  <c r="G133" i="4"/>
  <c r="H132" i="4"/>
  <c r="F133" i="4"/>
  <c r="N130" i="4"/>
  <c r="O130" i="4" s="1"/>
  <c r="K130" i="4"/>
  <c r="L131" i="4" s="1"/>
  <c r="I132" i="3"/>
  <c r="G133" i="3"/>
  <c r="H132" i="3"/>
  <c r="F133" i="3"/>
  <c r="K130" i="3"/>
  <c r="L131" i="3" s="1"/>
  <c r="N131" i="3" l="1"/>
  <c r="O131" i="3" s="1"/>
  <c r="J132" i="3"/>
  <c r="M132" i="3"/>
  <c r="I133" i="8"/>
  <c r="G134" i="8"/>
  <c r="J132" i="8"/>
  <c r="M132" i="8"/>
  <c r="H133" i="8"/>
  <c r="F134" i="8"/>
  <c r="N131" i="8"/>
  <c r="O131" i="8" s="1"/>
  <c r="L132" i="8"/>
  <c r="G134" i="7"/>
  <c r="I133" i="7"/>
  <c r="M132" i="7"/>
  <c r="J132" i="7"/>
  <c r="K132" i="7" s="1"/>
  <c r="L133" i="7" s="1"/>
  <c r="F134" i="7"/>
  <c r="H133" i="7"/>
  <c r="N131" i="7"/>
  <c r="O131" i="7" s="1"/>
  <c r="K131" i="7"/>
  <c r="L132" i="7" s="1"/>
  <c r="I133" i="6"/>
  <c r="G134" i="6"/>
  <c r="M132" i="6"/>
  <c r="J132" i="6"/>
  <c r="F134" i="6"/>
  <c r="H133" i="6"/>
  <c r="N131" i="6"/>
  <c r="O131" i="6" s="1"/>
  <c r="L132" i="6"/>
  <c r="I133" i="5"/>
  <c r="G134" i="5"/>
  <c r="J132" i="5"/>
  <c r="K132" i="5" s="1"/>
  <c r="M132" i="5"/>
  <c r="H133" i="5"/>
  <c r="F134" i="5"/>
  <c r="N131" i="5"/>
  <c r="O131" i="5" s="1"/>
  <c r="K131" i="5"/>
  <c r="L132" i="5" s="1"/>
  <c r="I133" i="2"/>
  <c r="G134" i="2"/>
  <c r="J132" i="2"/>
  <c r="M132" i="2"/>
  <c r="K132" i="2"/>
  <c r="F134" i="2"/>
  <c r="H133" i="2"/>
  <c r="N131" i="2"/>
  <c r="O131" i="2" s="1"/>
  <c r="L132" i="2"/>
  <c r="M132" i="4"/>
  <c r="J132" i="4"/>
  <c r="G134" i="4"/>
  <c r="I133" i="4"/>
  <c r="F134" i="4"/>
  <c r="H133" i="4"/>
  <c r="N131" i="4"/>
  <c r="O131" i="4" s="1"/>
  <c r="K131" i="4"/>
  <c r="L132" i="4" s="1"/>
  <c r="I133" i="3"/>
  <c r="G134" i="3"/>
  <c r="H133" i="3"/>
  <c r="F134" i="3"/>
  <c r="K131" i="3"/>
  <c r="L132" i="3" s="1"/>
  <c r="N132" i="3" l="1"/>
  <c r="O132" i="3" s="1"/>
  <c r="J133" i="3"/>
  <c r="M133" i="3"/>
  <c r="L133" i="5"/>
  <c r="M133" i="8"/>
  <c r="J133" i="8"/>
  <c r="I134" i="8"/>
  <c r="G135" i="8"/>
  <c r="K133" i="8"/>
  <c r="H134" i="8"/>
  <c r="F135" i="8"/>
  <c r="N132" i="8"/>
  <c r="O132" i="8" s="1"/>
  <c r="K132" i="8"/>
  <c r="L133" i="8" s="1"/>
  <c r="I134" i="7"/>
  <c r="G135" i="7"/>
  <c r="M133" i="7"/>
  <c r="N133" i="7" s="1"/>
  <c r="O133" i="7" s="1"/>
  <c r="J133" i="7"/>
  <c r="K133" i="7"/>
  <c r="H134" i="7"/>
  <c r="F135" i="7"/>
  <c r="N132" i="7"/>
  <c r="O132" i="7" s="1"/>
  <c r="J133" i="6"/>
  <c r="M133" i="6"/>
  <c r="G135" i="6"/>
  <c r="I134" i="6"/>
  <c r="K133" i="6"/>
  <c r="F135" i="6"/>
  <c r="H134" i="6"/>
  <c r="N132" i="6"/>
  <c r="O132" i="6" s="1"/>
  <c r="K132" i="6"/>
  <c r="L133" i="6" s="1"/>
  <c r="J133" i="5"/>
  <c r="M133" i="5"/>
  <c r="I134" i="5"/>
  <c r="G135" i="5"/>
  <c r="K133" i="5"/>
  <c r="H134" i="5"/>
  <c r="F135" i="5"/>
  <c r="N132" i="5"/>
  <c r="O132" i="5" s="1"/>
  <c r="J133" i="2"/>
  <c r="M133" i="2"/>
  <c r="I134" i="2"/>
  <c r="G135" i="2"/>
  <c r="K133" i="2"/>
  <c r="F135" i="2"/>
  <c r="H134" i="2"/>
  <c r="N132" i="2"/>
  <c r="O132" i="2" s="1"/>
  <c r="L133" i="2"/>
  <c r="G135" i="4"/>
  <c r="I134" i="4"/>
  <c r="J133" i="4"/>
  <c r="M133" i="4"/>
  <c r="H134" i="4"/>
  <c r="F135" i="4"/>
  <c r="N132" i="4"/>
  <c r="O132" i="4" s="1"/>
  <c r="K132" i="4"/>
  <c r="L133" i="4" s="1"/>
  <c r="G135" i="3"/>
  <c r="I134" i="3"/>
  <c r="H134" i="3"/>
  <c r="F135" i="3"/>
  <c r="K132" i="3"/>
  <c r="L133" i="3" s="1"/>
  <c r="N133" i="3" l="1"/>
  <c r="O133" i="3" s="1"/>
  <c r="J134" i="3"/>
  <c r="M134" i="3"/>
  <c r="N133" i="5"/>
  <c r="O133" i="5" s="1"/>
  <c r="N133" i="4"/>
  <c r="O133" i="4" s="1"/>
  <c r="L134" i="7"/>
  <c r="M134" i="8"/>
  <c r="J134" i="8"/>
  <c r="I135" i="8"/>
  <c r="G136" i="8"/>
  <c r="F136" i="8"/>
  <c r="H135" i="8"/>
  <c r="N133" i="8"/>
  <c r="O133" i="8" s="1"/>
  <c r="L134" i="8"/>
  <c r="M134" i="7"/>
  <c r="N134" i="7" s="1"/>
  <c r="O134" i="7" s="1"/>
  <c r="J134" i="7"/>
  <c r="I135" i="7"/>
  <c r="G136" i="7"/>
  <c r="H135" i="7"/>
  <c r="F136" i="7"/>
  <c r="I135" i="6"/>
  <c r="G136" i="6"/>
  <c r="M134" i="6"/>
  <c r="J134" i="6"/>
  <c r="H135" i="6"/>
  <c r="F136" i="6"/>
  <c r="N133" i="6"/>
  <c r="O133" i="6" s="1"/>
  <c r="L134" i="6"/>
  <c r="J134" i="5"/>
  <c r="M134" i="5"/>
  <c r="I135" i="5"/>
  <c r="G136" i="5"/>
  <c r="F136" i="5"/>
  <c r="H135" i="5"/>
  <c r="L134" i="5"/>
  <c r="M134" i="2"/>
  <c r="J134" i="2"/>
  <c r="G136" i="2"/>
  <c r="I135" i="2"/>
  <c r="F136" i="2"/>
  <c r="H135" i="2"/>
  <c r="N133" i="2"/>
  <c r="O133" i="2" s="1"/>
  <c r="L134" i="2"/>
  <c r="I135" i="4"/>
  <c r="G136" i="4"/>
  <c r="M134" i="4"/>
  <c r="J134" i="4"/>
  <c r="K134" i="4"/>
  <c r="H135" i="4"/>
  <c r="F136" i="4"/>
  <c r="K133" i="4"/>
  <c r="L134" i="4" s="1"/>
  <c r="G136" i="3"/>
  <c r="I135" i="3"/>
  <c r="F136" i="3"/>
  <c r="H135" i="3"/>
  <c r="K133" i="3"/>
  <c r="L134" i="3" s="1"/>
  <c r="N134" i="3" l="1"/>
  <c r="O134" i="3" s="1"/>
  <c r="J135" i="3"/>
  <c r="M135" i="3"/>
  <c r="N134" i="2"/>
  <c r="O134" i="2" s="1"/>
  <c r="M135" i="8"/>
  <c r="J135" i="8"/>
  <c r="I136" i="8"/>
  <c r="G137" i="8"/>
  <c r="F137" i="8"/>
  <c r="H136" i="8"/>
  <c r="N134" i="8"/>
  <c r="O134" i="8" s="1"/>
  <c r="K134" i="8"/>
  <c r="L135" i="8" s="1"/>
  <c r="J135" i="7"/>
  <c r="M135" i="7"/>
  <c r="G137" i="7"/>
  <c r="I136" i="7"/>
  <c r="H136" i="7"/>
  <c r="F137" i="7"/>
  <c r="K134" i="7"/>
  <c r="L135" i="7" s="1"/>
  <c r="J135" i="6"/>
  <c r="M135" i="6"/>
  <c r="G137" i="6"/>
  <c r="I136" i="6"/>
  <c r="K135" i="6"/>
  <c r="H136" i="6"/>
  <c r="F137" i="6"/>
  <c r="N134" i="6"/>
  <c r="O134" i="6" s="1"/>
  <c r="K134" i="6"/>
  <c r="L135" i="6" s="1"/>
  <c r="J135" i="5"/>
  <c r="M135" i="5"/>
  <c r="I136" i="5"/>
  <c r="G137" i="5"/>
  <c r="H136" i="5"/>
  <c r="F137" i="5"/>
  <c r="N134" i="5"/>
  <c r="O134" i="5" s="1"/>
  <c r="K134" i="5"/>
  <c r="L135" i="5" s="1"/>
  <c r="G137" i="2"/>
  <c r="I136" i="2"/>
  <c r="J135" i="2"/>
  <c r="M135" i="2"/>
  <c r="F137" i="2"/>
  <c r="H136" i="2"/>
  <c r="K134" i="2"/>
  <c r="L135" i="2" s="1"/>
  <c r="M135" i="4"/>
  <c r="J135" i="4"/>
  <c r="G137" i="4"/>
  <c r="I136" i="4"/>
  <c r="K135" i="4"/>
  <c r="H136" i="4"/>
  <c r="F137" i="4"/>
  <c r="L135" i="4"/>
  <c r="N134" i="4"/>
  <c r="O134" i="4" s="1"/>
  <c r="G137" i="3"/>
  <c r="I136" i="3"/>
  <c r="H136" i="3"/>
  <c r="F137" i="3"/>
  <c r="K134" i="3"/>
  <c r="L135" i="3" s="1"/>
  <c r="N135" i="3" l="1"/>
  <c r="O135" i="3" s="1"/>
  <c r="M136" i="3"/>
  <c r="J136" i="3"/>
  <c r="N135" i="8"/>
  <c r="O135" i="8" s="1"/>
  <c r="J136" i="8"/>
  <c r="M136" i="8"/>
  <c r="G138" i="8"/>
  <c r="I137" i="8"/>
  <c r="H137" i="8"/>
  <c r="F138" i="8"/>
  <c r="K135" i="8"/>
  <c r="L136" i="8" s="1"/>
  <c r="G138" i="7"/>
  <c r="I137" i="7"/>
  <c r="M136" i="7"/>
  <c r="J136" i="7"/>
  <c r="H137" i="7"/>
  <c r="F138" i="7"/>
  <c r="N135" i="7"/>
  <c r="O135" i="7" s="1"/>
  <c r="K135" i="7"/>
  <c r="L136" i="7" s="1"/>
  <c r="I137" i="6"/>
  <c r="G138" i="6"/>
  <c r="J136" i="6"/>
  <c r="M136" i="6"/>
  <c r="H137" i="6"/>
  <c r="F138" i="6"/>
  <c r="N135" i="6"/>
  <c r="O135" i="6" s="1"/>
  <c r="L136" i="6"/>
  <c r="J136" i="5"/>
  <c r="M136" i="5"/>
  <c r="G138" i="5"/>
  <c r="I137" i="5"/>
  <c r="F138" i="5"/>
  <c r="H137" i="5"/>
  <c r="N135" i="5"/>
  <c r="O135" i="5" s="1"/>
  <c r="K135" i="5"/>
  <c r="L136" i="5" s="1"/>
  <c r="I137" i="2"/>
  <c r="G138" i="2"/>
  <c r="J136" i="2"/>
  <c r="M136" i="2"/>
  <c r="K136" i="2"/>
  <c r="H137" i="2"/>
  <c r="F138" i="2"/>
  <c r="N135" i="2"/>
  <c r="O135" i="2" s="1"/>
  <c r="K135" i="2"/>
  <c r="L136" i="2" s="1"/>
  <c r="I137" i="4"/>
  <c r="G138" i="4"/>
  <c r="J136" i="4"/>
  <c r="K136" i="4" s="1"/>
  <c r="M136" i="4"/>
  <c r="F138" i="4"/>
  <c r="H137" i="4"/>
  <c r="N135" i="4"/>
  <c r="O135" i="4" s="1"/>
  <c r="L136" i="4"/>
  <c r="G138" i="3"/>
  <c r="I137" i="3"/>
  <c r="H137" i="3"/>
  <c r="F138" i="3"/>
  <c r="K135" i="3"/>
  <c r="L136" i="3" s="1"/>
  <c r="N136" i="3" l="1"/>
  <c r="O136" i="3" s="1"/>
  <c r="J137" i="3"/>
  <c r="K137" i="3" s="1"/>
  <c r="L138" i="3" s="1"/>
  <c r="M137" i="3"/>
  <c r="N136" i="4"/>
  <c r="O136" i="4" s="1"/>
  <c r="L137" i="4"/>
  <c r="N136" i="6"/>
  <c r="O136" i="6" s="1"/>
  <c r="N136" i="5"/>
  <c r="O136" i="5" s="1"/>
  <c r="I138" i="8"/>
  <c r="G139" i="8"/>
  <c r="M137" i="8"/>
  <c r="J137" i="8"/>
  <c r="F139" i="8"/>
  <c r="H138" i="8"/>
  <c r="N136" i="8"/>
  <c r="O136" i="8" s="1"/>
  <c r="K136" i="8"/>
  <c r="L137" i="8" s="1"/>
  <c r="I138" i="7"/>
  <c r="G139" i="7"/>
  <c r="J137" i="7"/>
  <c r="M137" i="7"/>
  <c r="K137" i="7"/>
  <c r="F139" i="7"/>
  <c r="H138" i="7"/>
  <c r="N136" i="7"/>
  <c r="O136" i="7" s="1"/>
  <c r="K136" i="7"/>
  <c r="L137" i="7" s="1"/>
  <c r="M137" i="6"/>
  <c r="J137" i="6"/>
  <c r="I138" i="6"/>
  <c r="G139" i="6"/>
  <c r="K137" i="6"/>
  <c r="F139" i="6"/>
  <c r="H138" i="6"/>
  <c r="K136" i="6"/>
  <c r="L137" i="6" s="1"/>
  <c r="G139" i="5"/>
  <c r="I138" i="5"/>
  <c r="M137" i="5"/>
  <c r="J137" i="5"/>
  <c r="F139" i="5"/>
  <c r="H138" i="5"/>
  <c r="K136" i="5"/>
  <c r="L137" i="5" s="1"/>
  <c r="J137" i="2"/>
  <c r="M137" i="2"/>
  <c r="G139" i="2"/>
  <c r="I138" i="2"/>
  <c r="K137" i="2"/>
  <c r="H138" i="2"/>
  <c r="F139" i="2"/>
  <c r="N136" i="2"/>
  <c r="O136" i="2" s="1"/>
  <c r="L137" i="2"/>
  <c r="M137" i="4"/>
  <c r="J137" i="4"/>
  <c r="G139" i="4"/>
  <c r="I138" i="4"/>
  <c r="K137" i="4"/>
  <c r="H138" i="4"/>
  <c r="F139" i="4"/>
  <c r="G139" i="3"/>
  <c r="I138" i="3"/>
  <c r="F139" i="3"/>
  <c r="H138" i="3"/>
  <c r="K136" i="3"/>
  <c r="L137" i="3" s="1"/>
  <c r="N137" i="3" l="1"/>
  <c r="O137" i="3" s="1"/>
  <c r="M138" i="3"/>
  <c r="N138" i="3" s="1"/>
  <c r="O138" i="3" s="1"/>
  <c r="J138" i="3"/>
  <c r="N137" i="4"/>
  <c r="O137" i="4" s="1"/>
  <c r="L138" i="4"/>
  <c r="M138" i="8"/>
  <c r="J138" i="8"/>
  <c r="G140" i="8"/>
  <c r="I139" i="8"/>
  <c r="K138" i="8"/>
  <c r="F140" i="8"/>
  <c r="H139" i="8"/>
  <c r="N137" i="8"/>
  <c r="O137" i="8" s="1"/>
  <c r="K137" i="8"/>
  <c r="L138" i="8" s="1"/>
  <c r="M138" i="7"/>
  <c r="J138" i="7"/>
  <c r="I139" i="7"/>
  <c r="G140" i="7"/>
  <c r="K138" i="7"/>
  <c r="F140" i="7"/>
  <c r="H139" i="7"/>
  <c r="N137" i="7"/>
  <c r="O137" i="7" s="1"/>
  <c r="L138" i="7"/>
  <c r="J138" i="6"/>
  <c r="M138" i="6"/>
  <c r="G140" i="6"/>
  <c r="I139" i="6"/>
  <c r="F140" i="6"/>
  <c r="H139" i="6"/>
  <c r="N137" i="6"/>
  <c r="O137" i="6" s="1"/>
  <c r="L138" i="6"/>
  <c r="I139" i="5"/>
  <c r="G140" i="5"/>
  <c r="M138" i="5"/>
  <c r="J138" i="5"/>
  <c r="K138" i="5"/>
  <c r="F140" i="5"/>
  <c r="H139" i="5"/>
  <c r="N137" i="5"/>
  <c r="O137" i="5" s="1"/>
  <c r="K137" i="5"/>
  <c r="L138" i="5" s="1"/>
  <c r="I139" i="2"/>
  <c r="G140" i="2"/>
  <c r="J138" i="2"/>
  <c r="M138" i="2"/>
  <c r="H139" i="2"/>
  <c r="F140" i="2"/>
  <c r="L138" i="2"/>
  <c r="N137" i="2"/>
  <c r="O137" i="2" s="1"/>
  <c r="G140" i="4"/>
  <c r="I139" i="4"/>
  <c r="M138" i="4"/>
  <c r="J138" i="4"/>
  <c r="H139" i="4"/>
  <c r="F140" i="4"/>
  <c r="G140" i="3"/>
  <c r="I139" i="3"/>
  <c r="F140" i="3"/>
  <c r="H139" i="3"/>
  <c r="J139" i="3" l="1"/>
  <c r="M139" i="3"/>
  <c r="N138" i="4"/>
  <c r="O138" i="4" s="1"/>
  <c r="L139" i="5"/>
  <c r="I140" i="8"/>
  <c r="G141" i="8"/>
  <c r="J139" i="8"/>
  <c r="M139" i="8"/>
  <c r="F141" i="8"/>
  <c r="H140" i="8"/>
  <c r="N138" i="8"/>
  <c r="O138" i="8" s="1"/>
  <c r="L139" i="8"/>
  <c r="J139" i="7"/>
  <c r="M139" i="7"/>
  <c r="G141" i="7"/>
  <c r="I140" i="7"/>
  <c r="F141" i="7"/>
  <c r="H140" i="7"/>
  <c r="L139" i="7"/>
  <c r="N138" i="7"/>
  <c r="O138" i="7" s="1"/>
  <c r="I140" i="6"/>
  <c r="G141" i="6"/>
  <c r="J139" i="6"/>
  <c r="M139" i="6"/>
  <c r="F141" i="6"/>
  <c r="H140" i="6"/>
  <c r="N138" i="6"/>
  <c r="O138" i="6" s="1"/>
  <c r="K138" i="6"/>
  <c r="L139" i="6" s="1"/>
  <c r="M139" i="5"/>
  <c r="J139" i="5"/>
  <c r="I140" i="5"/>
  <c r="G141" i="5"/>
  <c r="K139" i="5"/>
  <c r="F141" i="5"/>
  <c r="H140" i="5"/>
  <c r="N138" i="5"/>
  <c r="O138" i="5" s="1"/>
  <c r="M139" i="2"/>
  <c r="J139" i="2"/>
  <c r="K139" i="2" s="1"/>
  <c r="I140" i="2"/>
  <c r="G141" i="2"/>
  <c r="H140" i="2"/>
  <c r="F141" i="2"/>
  <c r="N138" i="2"/>
  <c r="O138" i="2" s="1"/>
  <c r="K138" i="2"/>
  <c r="L139" i="2" s="1"/>
  <c r="I140" i="4"/>
  <c r="G141" i="4"/>
  <c r="M139" i="4"/>
  <c r="J139" i="4"/>
  <c r="F141" i="4"/>
  <c r="H140" i="4"/>
  <c r="K138" i="4"/>
  <c r="L139" i="4" s="1"/>
  <c r="I140" i="3"/>
  <c r="G141" i="3"/>
  <c r="H140" i="3"/>
  <c r="F141" i="3"/>
  <c r="K139" i="3"/>
  <c r="L140" i="3" s="1"/>
  <c r="K138" i="3"/>
  <c r="L139" i="3" s="1"/>
  <c r="N139" i="3" s="1"/>
  <c r="O139" i="3" s="1"/>
  <c r="M140" i="3" l="1"/>
  <c r="N140" i="3" s="1"/>
  <c r="O140" i="3" s="1"/>
  <c r="J140" i="3"/>
  <c r="N139" i="5"/>
  <c r="O139" i="5" s="1"/>
  <c r="M140" i="8"/>
  <c r="J140" i="8"/>
  <c r="G142" i="8"/>
  <c r="I141" i="8"/>
  <c r="K140" i="8"/>
  <c r="F142" i="8"/>
  <c r="H141" i="8"/>
  <c r="N139" i="8"/>
  <c r="O139" i="8" s="1"/>
  <c r="K139" i="8"/>
  <c r="L140" i="8" s="1"/>
  <c r="I141" i="7"/>
  <c r="G142" i="7"/>
  <c r="J140" i="7"/>
  <c r="M140" i="7"/>
  <c r="F142" i="7"/>
  <c r="H141" i="7"/>
  <c r="N139" i="7"/>
  <c r="O139" i="7" s="1"/>
  <c r="K139" i="7"/>
  <c r="L140" i="7" s="1"/>
  <c r="M140" i="6"/>
  <c r="J140" i="6"/>
  <c r="I141" i="6"/>
  <c r="G142" i="6"/>
  <c r="K140" i="6"/>
  <c r="F142" i="6"/>
  <c r="H141" i="6"/>
  <c r="N139" i="6"/>
  <c r="O139" i="6" s="1"/>
  <c r="K139" i="6"/>
  <c r="L140" i="6" s="1"/>
  <c r="J140" i="5"/>
  <c r="M140" i="5"/>
  <c r="G142" i="5"/>
  <c r="I141" i="5"/>
  <c r="H141" i="5"/>
  <c r="F142" i="5"/>
  <c r="L140" i="5"/>
  <c r="M140" i="2"/>
  <c r="J140" i="2"/>
  <c r="G142" i="2"/>
  <c r="I141" i="2"/>
  <c r="F142" i="2"/>
  <c r="H141" i="2"/>
  <c r="N139" i="2"/>
  <c r="O139" i="2" s="1"/>
  <c r="L140" i="2"/>
  <c r="M140" i="4"/>
  <c r="J140" i="4"/>
  <c r="G142" i="4"/>
  <c r="I141" i="4"/>
  <c r="K140" i="4"/>
  <c r="H141" i="4"/>
  <c r="F142" i="4"/>
  <c r="N139" i="4"/>
  <c r="O139" i="4" s="1"/>
  <c r="K139" i="4"/>
  <c r="L140" i="4" s="1"/>
  <c r="G142" i="3"/>
  <c r="I141" i="3"/>
  <c r="F142" i="3"/>
  <c r="H141" i="3"/>
  <c r="K140" i="3"/>
  <c r="L141" i="3" s="1"/>
  <c r="J141" i="3" l="1"/>
  <c r="K141" i="3" s="1"/>
  <c r="L142" i="3" s="1"/>
  <c r="M141" i="3"/>
  <c r="N141" i="3" s="1"/>
  <c r="O141" i="3" s="1"/>
  <c r="L141" i="8"/>
  <c r="G143" i="8"/>
  <c r="I142" i="8"/>
  <c r="M141" i="8"/>
  <c r="N141" i="8" s="1"/>
  <c r="O141" i="8" s="1"/>
  <c r="J141" i="8"/>
  <c r="K141" i="8" s="1"/>
  <c r="H142" i="8"/>
  <c r="F143" i="8"/>
  <c r="N140" i="8"/>
  <c r="O140" i="8" s="1"/>
  <c r="J141" i="7"/>
  <c r="M141" i="7"/>
  <c r="G143" i="7"/>
  <c r="I142" i="7"/>
  <c r="K141" i="7"/>
  <c r="F143" i="7"/>
  <c r="H142" i="7"/>
  <c r="N140" i="7"/>
  <c r="O140" i="7" s="1"/>
  <c r="K140" i="7"/>
  <c r="L141" i="7" s="1"/>
  <c r="M141" i="6"/>
  <c r="J141" i="6"/>
  <c r="G143" i="6"/>
  <c r="I142" i="6"/>
  <c r="H142" i="6"/>
  <c r="F143" i="6"/>
  <c r="N140" i="6"/>
  <c r="O140" i="6" s="1"/>
  <c r="L141" i="6"/>
  <c r="G143" i="5"/>
  <c r="I142" i="5"/>
  <c r="M141" i="5"/>
  <c r="J141" i="5"/>
  <c r="H142" i="5"/>
  <c r="F143" i="5"/>
  <c r="N140" i="5"/>
  <c r="O140" i="5" s="1"/>
  <c r="K140" i="5"/>
  <c r="L141" i="5" s="1"/>
  <c r="G143" i="2"/>
  <c r="I142" i="2"/>
  <c r="J141" i="2"/>
  <c r="M141" i="2"/>
  <c r="H142" i="2"/>
  <c r="F143" i="2"/>
  <c r="N140" i="2"/>
  <c r="O140" i="2" s="1"/>
  <c r="K140" i="2"/>
  <c r="L141" i="2" s="1"/>
  <c r="G143" i="4"/>
  <c r="I142" i="4"/>
  <c r="J141" i="4"/>
  <c r="M141" i="4"/>
  <c r="F143" i="4"/>
  <c r="H142" i="4"/>
  <c r="N140" i="4"/>
  <c r="O140" i="4" s="1"/>
  <c r="L141" i="4"/>
  <c r="G143" i="3"/>
  <c r="I142" i="3"/>
  <c r="H142" i="3"/>
  <c r="F143" i="3"/>
  <c r="M142" i="3" l="1"/>
  <c r="N142" i="3" s="1"/>
  <c r="O142" i="3" s="1"/>
  <c r="J142" i="3"/>
  <c r="K142" i="3" s="1"/>
  <c r="L143" i="3" s="1"/>
  <c r="L142" i="8"/>
  <c r="I143" i="8"/>
  <c r="G144" i="8"/>
  <c r="M142" i="8"/>
  <c r="N142" i="8" s="1"/>
  <c r="O142" i="8" s="1"/>
  <c r="J142" i="8"/>
  <c r="K142" i="8"/>
  <c r="H143" i="8"/>
  <c r="F144" i="8"/>
  <c r="I143" i="7"/>
  <c r="G144" i="7"/>
  <c r="J142" i="7"/>
  <c r="K142" i="7" s="1"/>
  <c r="M142" i="7"/>
  <c r="F144" i="7"/>
  <c r="H143" i="7"/>
  <c r="N141" i="7"/>
  <c r="O141" i="7" s="1"/>
  <c r="L142" i="7"/>
  <c r="G144" i="6"/>
  <c r="I143" i="6"/>
  <c r="J142" i="6"/>
  <c r="M142" i="6"/>
  <c r="F144" i="6"/>
  <c r="H143" i="6"/>
  <c r="N141" i="6"/>
  <c r="O141" i="6" s="1"/>
  <c r="K141" i="6"/>
  <c r="L142" i="6" s="1"/>
  <c r="I143" i="5"/>
  <c r="G144" i="5"/>
  <c r="J142" i="5"/>
  <c r="K142" i="5" s="1"/>
  <c r="M142" i="5"/>
  <c r="F144" i="5"/>
  <c r="H143" i="5"/>
  <c r="N141" i="5"/>
  <c r="O141" i="5" s="1"/>
  <c r="K141" i="5"/>
  <c r="L142" i="5" s="1"/>
  <c r="I143" i="2"/>
  <c r="G144" i="2"/>
  <c r="J142" i="2"/>
  <c r="M142" i="2"/>
  <c r="K142" i="2"/>
  <c r="H143" i="2"/>
  <c r="F144" i="2"/>
  <c r="N141" i="2"/>
  <c r="O141" i="2" s="1"/>
  <c r="K141" i="2"/>
  <c r="L142" i="2" s="1"/>
  <c r="G144" i="4"/>
  <c r="I143" i="4"/>
  <c r="M142" i="4"/>
  <c r="J142" i="4"/>
  <c r="H143" i="4"/>
  <c r="F144" i="4"/>
  <c r="N141" i="4"/>
  <c r="O141" i="4" s="1"/>
  <c r="K141" i="4"/>
  <c r="L142" i="4" s="1"/>
  <c r="G144" i="3"/>
  <c r="I143" i="3"/>
  <c r="H143" i="3"/>
  <c r="F144" i="3"/>
  <c r="J143" i="3" l="1"/>
  <c r="M143" i="3"/>
  <c r="N143" i="3" s="1"/>
  <c r="O143" i="3" s="1"/>
  <c r="L143" i="7"/>
  <c r="N142" i="4"/>
  <c r="O142" i="4" s="1"/>
  <c r="N142" i="7"/>
  <c r="O142" i="7" s="1"/>
  <c r="J143" i="8"/>
  <c r="M143" i="8"/>
  <c r="I144" i="8"/>
  <c r="G145" i="8"/>
  <c r="K143" i="8"/>
  <c r="H144" i="8"/>
  <c r="F145" i="8"/>
  <c r="L143" i="8"/>
  <c r="M143" i="7"/>
  <c r="N143" i="7" s="1"/>
  <c r="O143" i="7" s="1"/>
  <c r="J143" i="7"/>
  <c r="G145" i="7"/>
  <c r="I144" i="7"/>
  <c r="F145" i="7"/>
  <c r="H144" i="7"/>
  <c r="G145" i="6"/>
  <c r="I144" i="6"/>
  <c r="J143" i="6"/>
  <c r="M143" i="6"/>
  <c r="K143" i="6"/>
  <c r="H144" i="6"/>
  <c r="F145" i="6"/>
  <c r="N142" i="6"/>
  <c r="O142" i="6" s="1"/>
  <c r="K142" i="6"/>
  <c r="L143" i="6" s="1"/>
  <c r="M143" i="5"/>
  <c r="J143" i="5"/>
  <c r="I144" i="5"/>
  <c r="G145" i="5"/>
  <c r="K143" i="5"/>
  <c r="H144" i="5"/>
  <c r="F145" i="5"/>
  <c r="N142" i="5"/>
  <c r="O142" i="5" s="1"/>
  <c r="L143" i="5"/>
  <c r="M143" i="2"/>
  <c r="J143" i="2"/>
  <c r="K143" i="2" s="1"/>
  <c r="G145" i="2"/>
  <c r="I144" i="2"/>
  <c r="H144" i="2"/>
  <c r="F145" i="2"/>
  <c r="N142" i="2"/>
  <c r="O142" i="2" s="1"/>
  <c r="L143" i="2"/>
  <c r="G145" i="4"/>
  <c r="I144" i="4"/>
  <c r="J143" i="4"/>
  <c r="M143" i="4"/>
  <c r="K143" i="4"/>
  <c r="F145" i="4"/>
  <c r="H144" i="4"/>
  <c r="K142" i="4"/>
  <c r="L143" i="4" s="1"/>
  <c r="I144" i="3"/>
  <c r="G145" i="3"/>
  <c r="H144" i="3"/>
  <c r="F145" i="3"/>
  <c r="M144" i="3" l="1"/>
  <c r="J144" i="3"/>
  <c r="K144" i="3" s="1"/>
  <c r="L145" i="3" s="1"/>
  <c r="L144" i="4"/>
  <c r="L144" i="2"/>
  <c r="L144" i="6"/>
  <c r="M144" i="8"/>
  <c r="J144" i="8"/>
  <c r="K144" i="8" s="1"/>
  <c r="G146" i="8"/>
  <c r="I145" i="8"/>
  <c r="F146" i="8"/>
  <c r="H145" i="8"/>
  <c r="N143" i="8"/>
  <c r="O143" i="8" s="1"/>
  <c r="L144" i="8"/>
  <c r="G146" i="7"/>
  <c r="I145" i="7"/>
  <c r="M144" i="7"/>
  <c r="J144" i="7"/>
  <c r="H145" i="7"/>
  <c r="F146" i="7"/>
  <c r="K143" i="7"/>
  <c r="L144" i="7" s="1"/>
  <c r="G146" i="6"/>
  <c r="I145" i="6"/>
  <c r="M144" i="6"/>
  <c r="N144" i="6" s="1"/>
  <c r="O144" i="6" s="1"/>
  <c r="J144" i="6"/>
  <c r="K144" i="6"/>
  <c r="H145" i="6"/>
  <c r="F146" i="6"/>
  <c r="N143" i="6"/>
  <c r="O143" i="6" s="1"/>
  <c r="J144" i="5"/>
  <c r="M144" i="5"/>
  <c r="I145" i="5"/>
  <c r="G146" i="5"/>
  <c r="H145" i="5"/>
  <c r="F146" i="5"/>
  <c r="N143" i="5"/>
  <c r="O143" i="5" s="1"/>
  <c r="L144" i="5"/>
  <c r="I145" i="2"/>
  <c r="G146" i="2"/>
  <c r="J144" i="2"/>
  <c r="M144" i="2"/>
  <c r="H145" i="2"/>
  <c r="F146" i="2"/>
  <c r="N143" i="2"/>
  <c r="O143" i="2" s="1"/>
  <c r="I145" i="4"/>
  <c r="G146" i="4"/>
  <c r="M144" i="4"/>
  <c r="J144" i="4"/>
  <c r="K144" i="4"/>
  <c r="H145" i="4"/>
  <c r="F146" i="4"/>
  <c r="N143" i="4"/>
  <c r="O143" i="4" s="1"/>
  <c r="I145" i="3"/>
  <c r="G146" i="3"/>
  <c r="H145" i="3"/>
  <c r="F146" i="3"/>
  <c r="K143" i="3"/>
  <c r="L144" i="3" s="1"/>
  <c r="N144" i="3" s="1"/>
  <c r="O144" i="3" s="1"/>
  <c r="J145" i="3" l="1"/>
  <c r="M145" i="3"/>
  <c r="N145" i="3" s="1"/>
  <c r="O145" i="3" s="1"/>
  <c r="L145" i="8"/>
  <c r="L145" i="4"/>
  <c r="N144" i="4"/>
  <c r="O144" i="4" s="1"/>
  <c r="N144" i="2"/>
  <c r="O144" i="2" s="1"/>
  <c r="L145" i="6"/>
  <c r="G147" i="8"/>
  <c r="I146" i="8"/>
  <c r="J145" i="8"/>
  <c r="M145" i="8"/>
  <c r="N145" i="8" s="1"/>
  <c r="O145" i="8" s="1"/>
  <c r="H146" i="8"/>
  <c r="F147" i="8"/>
  <c r="N144" i="8"/>
  <c r="O144" i="8" s="1"/>
  <c r="I146" i="7"/>
  <c r="G147" i="7"/>
  <c r="J145" i="7"/>
  <c r="M145" i="7"/>
  <c r="K145" i="7"/>
  <c r="H146" i="7"/>
  <c r="F147" i="7"/>
  <c r="N144" i="7"/>
  <c r="O144" i="7" s="1"/>
  <c r="K144" i="7"/>
  <c r="L145" i="7" s="1"/>
  <c r="I146" i="6"/>
  <c r="G147" i="6"/>
  <c r="J145" i="6"/>
  <c r="K145" i="6" s="1"/>
  <c r="M145" i="6"/>
  <c r="N145" i="6" s="1"/>
  <c r="O145" i="6" s="1"/>
  <c r="H146" i="6"/>
  <c r="F147" i="6"/>
  <c r="M145" i="5"/>
  <c r="J145" i="5"/>
  <c r="I146" i="5"/>
  <c r="G147" i="5"/>
  <c r="F147" i="5"/>
  <c r="H146" i="5"/>
  <c r="N144" i="5"/>
  <c r="O144" i="5" s="1"/>
  <c r="K144" i="5"/>
  <c r="L145" i="5" s="1"/>
  <c r="J145" i="2"/>
  <c r="M145" i="2"/>
  <c r="I146" i="2"/>
  <c r="G147" i="2"/>
  <c r="K145" i="2"/>
  <c r="F147" i="2"/>
  <c r="H146" i="2"/>
  <c r="K144" i="2"/>
  <c r="L145" i="2" s="1"/>
  <c r="J145" i="4"/>
  <c r="M145" i="4"/>
  <c r="G147" i="4"/>
  <c r="I146" i="4"/>
  <c r="K145" i="4"/>
  <c r="F147" i="4"/>
  <c r="H146" i="4"/>
  <c r="G147" i="3"/>
  <c r="I146" i="3"/>
  <c r="F147" i="3"/>
  <c r="H146" i="3"/>
  <c r="M146" i="3" l="1"/>
  <c r="J146" i="3"/>
  <c r="N145" i="4"/>
  <c r="O145" i="4" s="1"/>
  <c r="L146" i="7"/>
  <c r="L146" i="6"/>
  <c r="N145" i="5"/>
  <c r="O145" i="5" s="1"/>
  <c r="I147" i="8"/>
  <c r="G148" i="8"/>
  <c r="J146" i="8"/>
  <c r="K146" i="8" s="1"/>
  <c r="M146" i="8"/>
  <c r="F148" i="8"/>
  <c r="H147" i="8"/>
  <c r="K145" i="8"/>
  <c r="L146" i="8" s="1"/>
  <c r="J146" i="7"/>
  <c r="M146" i="7"/>
  <c r="N146" i="7" s="1"/>
  <c r="O146" i="7" s="1"/>
  <c r="G148" i="7"/>
  <c r="I147" i="7"/>
  <c r="F148" i="7"/>
  <c r="H147" i="7"/>
  <c r="N145" i="7"/>
  <c r="O145" i="7" s="1"/>
  <c r="M146" i="6"/>
  <c r="J146" i="6"/>
  <c r="G148" i="6"/>
  <c r="I147" i="6"/>
  <c r="K146" i="6"/>
  <c r="H147" i="6"/>
  <c r="F148" i="6"/>
  <c r="J146" i="5"/>
  <c r="M146" i="5"/>
  <c r="I147" i="5"/>
  <c r="G148" i="5"/>
  <c r="H147" i="5"/>
  <c r="F148" i="5"/>
  <c r="K145" i="5"/>
  <c r="L146" i="5" s="1"/>
  <c r="J146" i="2"/>
  <c r="K146" i="2" s="1"/>
  <c r="M146" i="2"/>
  <c r="I147" i="2"/>
  <c r="G148" i="2"/>
  <c r="H147" i="2"/>
  <c r="F148" i="2"/>
  <c r="N145" i="2"/>
  <c r="O145" i="2" s="1"/>
  <c r="L146" i="2"/>
  <c r="G148" i="4"/>
  <c r="I147" i="4"/>
  <c r="M146" i="4"/>
  <c r="J146" i="4"/>
  <c r="H147" i="4"/>
  <c r="F148" i="4"/>
  <c r="L146" i="4"/>
  <c r="I147" i="3"/>
  <c r="G148" i="3"/>
  <c r="H147" i="3"/>
  <c r="F148" i="3"/>
  <c r="K145" i="3"/>
  <c r="L146" i="3" s="1"/>
  <c r="N146" i="3" l="1"/>
  <c r="O146" i="3" s="1"/>
  <c r="J147" i="3"/>
  <c r="M147" i="3"/>
  <c r="L147" i="2"/>
  <c r="N146" i="6"/>
  <c r="O146" i="6" s="1"/>
  <c r="J147" i="8"/>
  <c r="M147" i="8"/>
  <c r="G149" i="8"/>
  <c r="I148" i="8"/>
  <c r="K147" i="8"/>
  <c r="H148" i="8"/>
  <c r="F149" i="8"/>
  <c r="N146" i="8"/>
  <c r="O146" i="8" s="1"/>
  <c r="L147" i="8"/>
  <c r="G149" i="7"/>
  <c r="I148" i="7"/>
  <c r="M147" i="7"/>
  <c r="J147" i="7"/>
  <c r="K147" i="7" s="1"/>
  <c r="L148" i="7" s="1"/>
  <c r="H148" i="7"/>
  <c r="F149" i="7"/>
  <c r="K146" i="7"/>
  <c r="L147" i="7" s="1"/>
  <c r="G149" i="6"/>
  <c r="I148" i="6"/>
  <c r="J147" i="6"/>
  <c r="M147" i="6"/>
  <c r="H148" i="6"/>
  <c r="F149" i="6"/>
  <c r="L147" i="6"/>
  <c r="M147" i="5"/>
  <c r="J147" i="5"/>
  <c r="G149" i="5"/>
  <c r="I148" i="5"/>
  <c r="F149" i="5"/>
  <c r="H148" i="5"/>
  <c r="N146" i="5"/>
  <c r="O146" i="5" s="1"/>
  <c r="K146" i="5"/>
  <c r="L147" i="5" s="1"/>
  <c r="M147" i="2"/>
  <c r="N147" i="2" s="1"/>
  <c r="O147" i="2" s="1"/>
  <c r="J147" i="2"/>
  <c r="K147" i="2" s="1"/>
  <c r="I148" i="2"/>
  <c r="G149" i="2"/>
  <c r="H148" i="2"/>
  <c r="F149" i="2"/>
  <c r="N146" i="2"/>
  <c r="O146" i="2" s="1"/>
  <c r="G149" i="4"/>
  <c r="I148" i="4"/>
  <c r="J147" i="4"/>
  <c r="M147" i="4"/>
  <c r="K147" i="4"/>
  <c r="F149" i="4"/>
  <c r="H148" i="4"/>
  <c r="N146" i="4"/>
  <c r="O146" i="4" s="1"/>
  <c r="K146" i="4"/>
  <c r="L147" i="4" s="1"/>
  <c r="G149" i="3"/>
  <c r="I148" i="3"/>
  <c r="H148" i="3"/>
  <c r="F149" i="3"/>
  <c r="K147" i="3"/>
  <c r="K146" i="3"/>
  <c r="L147" i="3" s="1"/>
  <c r="N147" i="3" s="1"/>
  <c r="O147" i="3" s="1"/>
  <c r="L148" i="3" l="1"/>
  <c r="M148" i="3"/>
  <c r="N148" i="3" s="1"/>
  <c r="O148" i="3" s="1"/>
  <c r="J148" i="3"/>
  <c r="K148" i="3" s="1"/>
  <c r="L149" i="3" s="1"/>
  <c r="L148" i="2"/>
  <c r="N147" i="6"/>
  <c r="O147" i="6" s="1"/>
  <c r="G150" i="8"/>
  <c r="I149" i="8"/>
  <c r="J148" i="8"/>
  <c r="M148" i="8"/>
  <c r="F150" i="8"/>
  <c r="H149" i="8"/>
  <c r="N147" i="8"/>
  <c r="O147" i="8" s="1"/>
  <c r="L148" i="8"/>
  <c r="I149" i="7"/>
  <c r="G150" i="7"/>
  <c r="J148" i="7"/>
  <c r="M148" i="7"/>
  <c r="N148" i="7" s="1"/>
  <c r="O148" i="7" s="1"/>
  <c r="K148" i="7"/>
  <c r="F150" i="7"/>
  <c r="H149" i="7"/>
  <c r="N147" i="7"/>
  <c r="O147" i="7" s="1"/>
  <c r="I149" i="6"/>
  <c r="G150" i="6"/>
  <c r="J148" i="6"/>
  <c r="M148" i="6"/>
  <c r="K148" i="6"/>
  <c r="F150" i="6"/>
  <c r="H149" i="6"/>
  <c r="K147" i="6"/>
  <c r="L148" i="6" s="1"/>
  <c r="I149" i="5"/>
  <c r="G150" i="5"/>
  <c r="J148" i="5"/>
  <c r="K148" i="5" s="1"/>
  <c r="M148" i="5"/>
  <c r="F150" i="5"/>
  <c r="H149" i="5"/>
  <c r="N147" i="5"/>
  <c r="O147" i="5" s="1"/>
  <c r="K147" i="5"/>
  <c r="L148" i="5" s="1"/>
  <c r="M148" i="2"/>
  <c r="J148" i="2"/>
  <c r="G150" i="2"/>
  <c r="I149" i="2"/>
  <c r="H149" i="2"/>
  <c r="F150" i="2"/>
  <c r="I149" i="4"/>
  <c r="G150" i="4"/>
  <c r="J148" i="4"/>
  <c r="M148" i="4"/>
  <c r="K148" i="4"/>
  <c r="H149" i="4"/>
  <c r="F150" i="4"/>
  <c r="N147" i="4"/>
  <c r="O147" i="4" s="1"/>
  <c r="L148" i="4"/>
  <c r="I149" i="3"/>
  <c r="G150" i="3"/>
  <c r="F150" i="3"/>
  <c r="H149" i="3"/>
  <c r="J149" i="3" l="1"/>
  <c r="M149" i="3"/>
  <c r="N149" i="3" s="1"/>
  <c r="O149" i="3" s="1"/>
  <c r="N148" i="2"/>
  <c r="O148" i="2" s="1"/>
  <c r="L149" i="7"/>
  <c r="L149" i="5"/>
  <c r="I150" i="8"/>
  <c r="G151" i="8"/>
  <c r="M149" i="8"/>
  <c r="J149" i="8"/>
  <c r="K149" i="8"/>
  <c r="H150" i="8"/>
  <c r="F151" i="8"/>
  <c r="N148" i="8"/>
  <c r="O148" i="8" s="1"/>
  <c r="K148" i="8"/>
  <c r="L149" i="8" s="1"/>
  <c r="J149" i="7"/>
  <c r="M149" i="7"/>
  <c r="N149" i="7" s="1"/>
  <c r="O149" i="7" s="1"/>
  <c r="I150" i="7"/>
  <c r="G151" i="7"/>
  <c r="K149" i="7"/>
  <c r="F151" i="7"/>
  <c r="H150" i="7"/>
  <c r="J149" i="6"/>
  <c r="K149" i="6" s="1"/>
  <c r="M149" i="6"/>
  <c r="G151" i="6"/>
  <c r="I150" i="6"/>
  <c r="F151" i="6"/>
  <c r="H150" i="6"/>
  <c r="N148" i="6"/>
  <c r="O148" i="6" s="1"/>
  <c r="L149" i="6"/>
  <c r="M149" i="5"/>
  <c r="J149" i="5"/>
  <c r="K149" i="5" s="1"/>
  <c r="I150" i="5"/>
  <c r="G151" i="5"/>
  <c r="H150" i="5"/>
  <c r="F151" i="5"/>
  <c r="N148" i="5"/>
  <c r="O148" i="5" s="1"/>
  <c r="I150" i="2"/>
  <c r="G151" i="2"/>
  <c r="M149" i="2"/>
  <c r="J149" i="2"/>
  <c r="H150" i="2"/>
  <c r="F151" i="2"/>
  <c r="K148" i="2"/>
  <c r="L149" i="2" s="1"/>
  <c r="J149" i="4"/>
  <c r="M149" i="4"/>
  <c r="I150" i="4"/>
  <c r="G151" i="4"/>
  <c r="K149" i="4"/>
  <c r="H150" i="4"/>
  <c r="F151" i="4"/>
  <c r="N148" i="4"/>
  <c r="O148" i="4" s="1"/>
  <c r="L149" i="4"/>
  <c r="I150" i="3"/>
  <c r="G151" i="3"/>
  <c r="H150" i="3"/>
  <c r="F151" i="3"/>
  <c r="J150" i="3" l="1"/>
  <c r="M150" i="3"/>
  <c r="N149" i="8"/>
  <c r="O149" i="8" s="1"/>
  <c r="N149" i="5"/>
  <c r="O149" i="5" s="1"/>
  <c r="L150" i="5"/>
  <c r="M150" i="8"/>
  <c r="J150" i="8"/>
  <c r="K150" i="8" s="1"/>
  <c r="I151" i="8"/>
  <c r="G152" i="8"/>
  <c r="H151" i="8"/>
  <c r="F152" i="8"/>
  <c r="L150" i="8"/>
  <c r="M150" i="7"/>
  <c r="J150" i="7"/>
  <c r="G152" i="7"/>
  <c r="I151" i="7"/>
  <c r="H151" i="7"/>
  <c r="F152" i="7"/>
  <c r="L150" i="7"/>
  <c r="G152" i="6"/>
  <c r="I151" i="6"/>
  <c r="J150" i="6"/>
  <c r="M150" i="6"/>
  <c r="F152" i="6"/>
  <c r="H151" i="6"/>
  <c r="N149" i="6"/>
  <c r="O149" i="6" s="1"/>
  <c r="L150" i="6"/>
  <c r="M150" i="5"/>
  <c r="J150" i="5"/>
  <c r="I151" i="5"/>
  <c r="G152" i="5"/>
  <c r="H151" i="5"/>
  <c r="F152" i="5"/>
  <c r="M150" i="2"/>
  <c r="J150" i="2"/>
  <c r="G152" i="2"/>
  <c r="I151" i="2"/>
  <c r="K150" i="2"/>
  <c r="F152" i="2"/>
  <c r="H151" i="2"/>
  <c r="N149" i="2"/>
  <c r="O149" i="2" s="1"/>
  <c r="K149" i="2"/>
  <c r="L150" i="2" s="1"/>
  <c r="J150" i="4"/>
  <c r="K150" i="4" s="1"/>
  <c r="M150" i="4"/>
  <c r="I151" i="4"/>
  <c r="G152" i="4"/>
  <c r="H151" i="4"/>
  <c r="F152" i="4"/>
  <c r="L150" i="4"/>
  <c r="N149" i="4"/>
  <c r="O149" i="4" s="1"/>
  <c r="I151" i="3"/>
  <c r="G152" i="3"/>
  <c r="H151" i="3"/>
  <c r="F152" i="3"/>
  <c r="K149" i="3"/>
  <c r="L150" i="3" s="1"/>
  <c r="N150" i="3" l="1"/>
  <c r="O150" i="3" s="1"/>
  <c r="J151" i="3"/>
  <c r="K151" i="3" s="1"/>
  <c r="M151" i="3"/>
  <c r="L151" i="4"/>
  <c r="N150" i="5"/>
  <c r="O150" i="5" s="1"/>
  <c r="N150" i="2"/>
  <c r="O150" i="2" s="1"/>
  <c r="L151" i="2"/>
  <c r="J151" i="8"/>
  <c r="M151" i="8"/>
  <c r="G153" i="8"/>
  <c r="I152" i="8"/>
  <c r="H152" i="8"/>
  <c r="F153" i="8"/>
  <c r="N150" i="8"/>
  <c r="O150" i="8" s="1"/>
  <c r="L151" i="8"/>
  <c r="I152" i="7"/>
  <c r="G153" i="7"/>
  <c r="J151" i="7"/>
  <c r="M151" i="7"/>
  <c r="F153" i="7"/>
  <c r="H152" i="7"/>
  <c r="N150" i="7"/>
  <c r="O150" i="7" s="1"/>
  <c r="K150" i="7"/>
  <c r="L151" i="7" s="1"/>
  <c r="I152" i="6"/>
  <c r="G153" i="6"/>
  <c r="M151" i="6"/>
  <c r="J151" i="6"/>
  <c r="K151" i="6"/>
  <c r="H152" i="6"/>
  <c r="F153" i="6"/>
  <c r="N150" i="6"/>
  <c r="O150" i="6" s="1"/>
  <c r="K150" i="6"/>
  <c r="L151" i="6" s="1"/>
  <c r="M151" i="5"/>
  <c r="J151" i="5"/>
  <c r="I152" i="5"/>
  <c r="G153" i="5"/>
  <c r="H152" i="5"/>
  <c r="F153" i="5"/>
  <c r="K150" i="5"/>
  <c r="L151" i="5" s="1"/>
  <c r="I152" i="2"/>
  <c r="G153" i="2"/>
  <c r="J151" i="2"/>
  <c r="M151" i="2"/>
  <c r="H152" i="2"/>
  <c r="F153" i="2"/>
  <c r="M151" i="4"/>
  <c r="N151" i="4" s="1"/>
  <c r="O151" i="4" s="1"/>
  <c r="J151" i="4"/>
  <c r="G153" i="4"/>
  <c r="I152" i="4"/>
  <c r="F153" i="4"/>
  <c r="H152" i="4"/>
  <c r="N150" i="4"/>
  <c r="O150" i="4" s="1"/>
  <c r="I152" i="3"/>
  <c r="G153" i="3"/>
  <c r="H152" i="3"/>
  <c r="F153" i="3"/>
  <c r="K150" i="3"/>
  <c r="L151" i="3" s="1"/>
  <c r="N151" i="3" l="1"/>
  <c r="O151" i="3" s="1"/>
  <c r="L152" i="3"/>
  <c r="J152" i="3"/>
  <c r="M152" i="3"/>
  <c r="N151" i="2"/>
  <c r="O151" i="2" s="1"/>
  <c r="I153" i="8"/>
  <c r="G154" i="8"/>
  <c r="J152" i="8"/>
  <c r="M152" i="8"/>
  <c r="F154" i="8"/>
  <c r="H153" i="8"/>
  <c r="N151" i="8"/>
  <c r="O151" i="8" s="1"/>
  <c r="K151" i="8"/>
  <c r="L152" i="8" s="1"/>
  <c r="J152" i="7"/>
  <c r="M152" i="7"/>
  <c r="I153" i="7"/>
  <c r="G154" i="7"/>
  <c r="K152" i="7"/>
  <c r="H153" i="7"/>
  <c r="F154" i="7"/>
  <c r="N151" i="7"/>
  <c r="O151" i="7" s="1"/>
  <c r="K151" i="7"/>
  <c r="L152" i="7" s="1"/>
  <c r="M152" i="6"/>
  <c r="J152" i="6"/>
  <c r="I153" i="6"/>
  <c r="G154" i="6"/>
  <c r="K152" i="6"/>
  <c r="H153" i="6"/>
  <c r="F154" i="6"/>
  <c r="N151" i="6"/>
  <c r="O151" i="6" s="1"/>
  <c r="L152" i="6"/>
  <c r="M152" i="5"/>
  <c r="J152" i="5"/>
  <c r="I153" i="5"/>
  <c r="G154" i="5"/>
  <c r="F154" i="5"/>
  <c r="H153" i="5"/>
  <c r="N151" i="5"/>
  <c r="O151" i="5" s="1"/>
  <c r="K151" i="5"/>
  <c r="L152" i="5" s="1"/>
  <c r="M152" i="2"/>
  <c r="J152" i="2"/>
  <c r="I153" i="2"/>
  <c r="G154" i="2"/>
  <c r="K152" i="2"/>
  <c r="F154" i="2"/>
  <c r="H153" i="2"/>
  <c r="K151" i="2"/>
  <c r="L152" i="2" s="1"/>
  <c r="G154" i="4"/>
  <c r="I153" i="4"/>
  <c r="M152" i="4"/>
  <c r="J152" i="4"/>
  <c r="F154" i="4"/>
  <c r="H153" i="4"/>
  <c r="K151" i="4"/>
  <c r="L152" i="4" s="1"/>
  <c r="G154" i="3"/>
  <c r="I153" i="3"/>
  <c r="H153" i="3"/>
  <c r="F154" i="3"/>
  <c r="N152" i="3" l="1"/>
  <c r="O152" i="3" s="1"/>
  <c r="M153" i="3"/>
  <c r="J153" i="3"/>
  <c r="K153" i="3" s="1"/>
  <c r="L154" i="3" s="1"/>
  <c r="L153" i="6"/>
  <c r="J153" i="8"/>
  <c r="M153" i="8"/>
  <c r="I154" i="8"/>
  <c r="G155" i="8"/>
  <c r="K153" i="8"/>
  <c r="H154" i="8"/>
  <c r="F155" i="8"/>
  <c r="N152" i="8"/>
  <c r="O152" i="8" s="1"/>
  <c r="K152" i="8"/>
  <c r="L153" i="8" s="1"/>
  <c r="M153" i="7"/>
  <c r="J153" i="7"/>
  <c r="G155" i="7"/>
  <c r="I154" i="7"/>
  <c r="H154" i="7"/>
  <c r="F155" i="7"/>
  <c r="N152" i="7"/>
  <c r="O152" i="7" s="1"/>
  <c r="L153" i="7"/>
  <c r="M153" i="6"/>
  <c r="J153" i="6"/>
  <c r="I154" i="6"/>
  <c r="G155" i="6"/>
  <c r="H154" i="6"/>
  <c r="F155" i="6"/>
  <c r="N152" i="6"/>
  <c r="O152" i="6" s="1"/>
  <c r="J153" i="5"/>
  <c r="M153" i="5"/>
  <c r="G155" i="5"/>
  <c r="I154" i="5"/>
  <c r="F155" i="5"/>
  <c r="H154" i="5"/>
  <c r="N152" i="5"/>
  <c r="O152" i="5" s="1"/>
  <c r="K152" i="5"/>
  <c r="L153" i="5" s="1"/>
  <c r="J153" i="2"/>
  <c r="K153" i="2" s="1"/>
  <c r="M153" i="2"/>
  <c r="I154" i="2"/>
  <c r="G155" i="2"/>
  <c r="H154" i="2"/>
  <c r="F155" i="2"/>
  <c r="N152" i="2"/>
  <c r="O152" i="2" s="1"/>
  <c r="L153" i="2"/>
  <c r="I154" i="4"/>
  <c r="G155" i="4"/>
  <c r="M153" i="4"/>
  <c r="J153" i="4"/>
  <c r="K153" i="4"/>
  <c r="F155" i="4"/>
  <c r="H154" i="4"/>
  <c r="N152" i="4"/>
  <c r="O152" i="4" s="1"/>
  <c r="K152" i="4"/>
  <c r="L153" i="4" s="1"/>
  <c r="G155" i="3"/>
  <c r="I154" i="3"/>
  <c r="F155" i="3"/>
  <c r="H154" i="3"/>
  <c r="K152" i="3"/>
  <c r="L153" i="3" s="1"/>
  <c r="N153" i="3" l="1"/>
  <c r="O153" i="3" s="1"/>
  <c r="J154" i="3"/>
  <c r="K154" i="3" s="1"/>
  <c r="L155" i="3" s="1"/>
  <c r="M154" i="3"/>
  <c r="N154" i="3" s="1"/>
  <c r="O154" i="3" s="1"/>
  <c r="N153" i="6"/>
  <c r="O153" i="6" s="1"/>
  <c r="L154" i="8"/>
  <c r="L154" i="2"/>
  <c r="M154" i="8"/>
  <c r="N154" i="8" s="1"/>
  <c r="O154" i="8" s="1"/>
  <c r="J154" i="8"/>
  <c r="G156" i="8"/>
  <c r="I155" i="8"/>
  <c r="F156" i="8"/>
  <c r="H155" i="8"/>
  <c r="N153" i="8"/>
  <c r="O153" i="8" s="1"/>
  <c r="I155" i="7"/>
  <c r="G156" i="7"/>
  <c r="M154" i="7"/>
  <c r="J154" i="7"/>
  <c r="H155" i="7"/>
  <c r="F156" i="7"/>
  <c r="N153" i="7"/>
  <c r="O153" i="7" s="1"/>
  <c r="K153" i="7"/>
  <c r="L154" i="7" s="1"/>
  <c r="M154" i="6"/>
  <c r="J154" i="6"/>
  <c r="I155" i="6"/>
  <c r="G156" i="6"/>
  <c r="F156" i="6"/>
  <c r="H155" i="6"/>
  <c r="K153" i="6"/>
  <c r="L154" i="6" s="1"/>
  <c r="I155" i="5"/>
  <c r="G156" i="5"/>
  <c r="M154" i="5"/>
  <c r="J154" i="5"/>
  <c r="K154" i="5" s="1"/>
  <c r="H155" i="5"/>
  <c r="F156" i="5"/>
  <c r="N153" i="5"/>
  <c r="O153" i="5" s="1"/>
  <c r="K153" i="5"/>
  <c r="L154" i="5" s="1"/>
  <c r="J154" i="2"/>
  <c r="M154" i="2"/>
  <c r="G156" i="2"/>
  <c r="I155" i="2"/>
  <c r="H155" i="2"/>
  <c r="F156" i="2"/>
  <c r="N153" i="2"/>
  <c r="O153" i="2" s="1"/>
  <c r="M154" i="4"/>
  <c r="J154" i="4"/>
  <c r="G156" i="4"/>
  <c r="I155" i="4"/>
  <c r="K154" i="4"/>
  <c r="H155" i="4"/>
  <c r="F156" i="4"/>
  <c r="L154" i="4"/>
  <c r="N153" i="4"/>
  <c r="O153" i="4" s="1"/>
  <c r="G156" i="3"/>
  <c r="I155" i="3"/>
  <c r="F156" i="3"/>
  <c r="H155" i="3"/>
  <c r="J155" i="3" l="1"/>
  <c r="K155" i="3" s="1"/>
  <c r="L156" i="3" s="1"/>
  <c r="M155" i="3"/>
  <c r="N155" i="3" s="1"/>
  <c r="O155" i="3" s="1"/>
  <c r="L155" i="4"/>
  <c r="L155" i="5"/>
  <c r="N154" i="2"/>
  <c r="O154" i="2" s="1"/>
  <c r="I156" i="8"/>
  <c r="G157" i="8"/>
  <c r="M155" i="8"/>
  <c r="J155" i="8"/>
  <c r="H156" i="8"/>
  <c r="F157" i="8"/>
  <c r="K154" i="8"/>
  <c r="L155" i="8" s="1"/>
  <c r="J155" i="7"/>
  <c r="M155" i="7"/>
  <c r="I156" i="7"/>
  <c r="G157" i="7"/>
  <c r="K155" i="7"/>
  <c r="F157" i="7"/>
  <c r="H156" i="7"/>
  <c r="N154" i="7"/>
  <c r="O154" i="7" s="1"/>
  <c r="K154" i="7"/>
  <c r="L155" i="7" s="1"/>
  <c r="M155" i="6"/>
  <c r="J155" i="6"/>
  <c r="I156" i="6"/>
  <c r="G157" i="6"/>
  <c r="H156" i="6"/>
  <c r="F157" i="6"/>
  <c r="N154" i="6"/>
  <c r="O154" i="6" s="1"/>
  <c r="K154" i="6"/>
  <c r="L155" i="6" s="1"/>
  <c r="M155" i="5"/>
  <c r="J155" i="5"/>
  <c r="I156" i="5"/>
  <c r="G157" i="5"/>
  <c r="H156" i="5"/>
  <c r="F157" i="5"/>
  <c r="N154" i="5"/>
  <c r="O154" i="5" s="1"/>
  <c r="I156" i="2"/>
  <c r="G157" i="2"/>
  <c r="J155" i="2"/>
  <c r="K155" i="2" s="1"/>
  <c r="M155" i="2"/>
  <c r="H156" i="2"/>
  <c r="F157" i="2"/>
  <c r="K154" i="2"/>
  <c r="L155" i="2" s="1"/>
  <c r="G157" i="4"/>
  <c r="I156" i="4"/>
  <c r="J155" i="4"/>
  <c r="K155" i="4" s="1"/>
  <c r="M155" i="4"/>
  <c r="N155" i="4" s="1"/>
  <c r="O155" i="4" s="1"/>
  <c r="H156" i="4"/>
  <c r="F157" i="4"/>
  <c r="N154" i="4"/>
  <c r="O154" i="4" s="1"/>
  <c r="I156" i="3"/>
  <c r="G157" i="3"/>
  <c r="H156" i="3"/>
  <c r="F157" i="3"/>
  <c r="J156" i="3" l="1"/>
  <c r="M156" i="3"/>
  <c r="N156" i="3" s="1"/>
  <c r="O156" i="3" s="1"/>
  <c r="L156" i="4"/>
  <c r="N155" i="5"/>
  <c r="O155" i="5" s="1"/>
  <c r="L156" i="2"/>
  <c r="J156" i="8"/>
  <c r="M156" i="8"/>
  <c r="I157" i="8"/>
  <c r="G158" i="8"/>
  <c r="K156" i="8"/>
  <c r="F158" i="8"/>
  <c r="H157" i="8"/>
  <c r="N155" i="8"/>
  <c r="O155" i="8" s="1"/>
  <c r="K155" i="8"/>
  <c r="L156" i="8" s="1"/>
  <c r="M156" i="7"/>
  <c r="J156" i="7"/>
  <c r="G158" i="7"/>
  <c r="I157" i="7"/>
  <c r="F158" i="7"/>
  <c r="H157" i="7"/>
  <c r="N155" i="7"/>
  <c r="O155" i="7" s="1"/>
  <c r="L156" i="7"/>
  <c r="M156" i="6"/>
  <c r="J156" i="6"/>
  <c r="G158" i="6"/>
  <c r="I157" i="6"/>
  <c r="F158" i="6"/>
  <c r="H157" i="6"/>
  <c r="N155" i="6"/>
  <c r="O155" i="6" s="1"/>
  <c r="K155" i="6"/>
  <c r="L156" i="6" s="1"/>
  <c r="M156" i="5"/>
  <c r="J156" i="5"/>
  <c r="G158" i="5"/>
  <c r="I157" i="5"/>
  <c r="F158" i="5"/>
  <c r="H157" i="5"/>
  <c r="K155" i="5"/>
  <c r="L156" i="5" s="1"/>
  <c r="J156" i="2"/>
  <c r="M156" i="2"/>
  <c r="I157" i="2"/>
  <c r="G158" i="2"/>
  <c r="K156" i="2"/>
  <c r="H157" i="2"/>
  <c r="F158" i="2"/>
  <c r="N155" i="2"/>
  <c r="O155" i="2" s="1"/>
  <c r="I157" i="4"/>
  <c r="G158" i="4"/>
  <c r="M156" i="4"/>
  <c r="N156" i="4" s="1"/>
  <c r="O156" i="4" s="1"/>
  <c r="J156" i="4"/>
  <c r="K156" i="4"/>
  <c r="F158" i="4"/>
  <c r="H157" i="4"/>
  <c r="I157" i="3"/>
  <c r="G158" i="3"/>
  <c r="F158" i="3"/>
  <c r="H157" i="3"/>
  <c r="J157" i="3" l="1"/>
  <c r="M157" i="3"/>
  <c r="L157" i="4"/>
  <c r="N156" i="2"/>
  <c r="O156" i="2" s="1"/>
  <c r="L157" i="2"/>
  <c r="J157" i="8"/>
  <c r="M157" i="8"/>
  <c r="I158" i="8"/>
  <c r="G159" i="8"/>
  <c r="F159" i="8"/>
  <c r="H158" i="8"/>
  <c r="N156" i="8"/>
  <c r="O156" i="8" s="1"/>
  <c r="L157" i="8"/>
  <c r="I158" i="7"/>
  <c r="G159" i="7"/>
  <c r="J157" i="7"/>
  <c r="K157" i="7" s="1"/>
  <c r="L158" i="7" s="1"/>
  <c r="M157" i="7"/>
  <c r="F159" i="7"/>
  <c r="H158" i="7"/>
  <c r="N156" i="7"/>
  <c r="O156" i="7" s="1"/>
  <c r="K156" i="7"/>
  <c r="L157" i="7" s="1"/>
  <c r="I158" i="6"/>
  <c r="G159" i="6"/>
  <c r="M157" i="6"/>
  <c r="J157" i="6"/>
  <c r="H158" i="6"/>
  <c r="F159" i="6"/>
  <c r="N156" i="6"/>
  <c r="O156" i="6" s="1"/>
  <c r="K156" i="6"/>
  <c r="L157" i="6" s="1"/>
  <c r="G159" i="5"/>
  <c r="I158" i="5"/>
  <c r="M157" i="5"/>
  <c r="J157" i="5"/>
  <c r="H158" i="5"/>
  <c r="F159" i="5"/>
  <c r="N156" i="5"/>
  <c r="O156" i="5" s="1"/>
  <c r="K156" i="5"/>
  <c r="L157" i="5" s="1"/>
  <c r="J157" i="2"/>
  <c r="M157" i="2"/>
  <c r="I158" i="2"/>
  <c r="G159" i="2"/>
  <c r="H158" i="2"/>
  <c r="F159" i="2"/>
  <c r="J157" i="4"/>
  <c r="M157" i="4"/>
  <c r="I158" i="4"/>
  <c r="G159" i="4"/>
  <c r="K157" i="4"/>
  <c r="F159" i="4"/>
  <c r="H158" i="4"/>
  <c r="G159" i="3"/>
  <c r="I158" i="3"/>
  <c r="F159" i="3"/>
  <c r="H158" i="3"/>
  <c r="K157" i="3"/>
  <c r="L158" i="3" s="1"/>
  <c r="K156" i="3"/>
  <c r="L157" i="3" s="1"/>
  <c r="N157" i="3" s="1"/>
  <c r="O157" i="3" s="1"/>
  <c r="J158" i="3" l="1"/>
  <c r="M158" i="3"/>
  <c r="N158" i="3" s="1"/>
  <c r="O158" i="3" s="1"/>
  <c r="N157" i="4"/>
  <c r="O157" i="4" s="1"/>
  <c r="N157" i="2"/>
  <c r="O157" i="2" s="1"/>
  <c r="J158" i="8"/>
  <c r="M158" i="8"/>
  <c r="I159" i="8"/>
  <c r="G160" i="8"/>
  <c r="H159" i="8"/>
  <c r="F160" i="8"/>
  <c r="N157" i="8"/>
  <c r="O157" i="8" s="1"/>
  <c r="K157" i="8"/>
  <c r="L158" i="8" s="1"/>
  <c r="J158" i="7"/>
  <c r="M158" i="7"/>
  <c r="N158" i="7" s="1"/>
  <c r="O158" i="7" s="1"/>
  <c r="G160" i="7"/>
  <c r="I159" i="7"/>
  <c r="K158" i="7"/>
  <c r="L159" i="7" s="1"/>
  <c r="H159" i="7"/>
  <c r="F160" i="7"/>
  <c r="N157" i="7"/>
  <c r="O157" i="7" s="1"/>
  <c r="M158" i="6"/>
  <c r="J158" i="6"/>
  <c r="K158" i="6" s="1"/>
  <c r="G160" i="6"/>
  <c r="I159" i="6"/>
  <c r="F160" i="6"/>
  <c r="H159" i="6"/>
  <c r="N157" i="6"/>
  <c r="O157" i="6" s="1"/>
  <c r="K157" i="6"/>
  <c r="L158" i="6" s="1"/>
  <c r="G160" i="5"/>
  <c r="I159" i="5"/>
  <c r="J158" i="5"/>
  <c r="M158" i="5"/>
  <c r="K158" i="5"/>
  <c r="F160" i="5"/>
  <c r="H159" i="5"/>
  <c r="N157" i="5"/>
  <c r="O157" i="5" s="1"/>
  <c r="K157" i="5"/>
  <c r="L158" i="5" s="1"/>
  <c r="J158" i="2"/>
  <c r="M158" i="2"/>
  <c r="I159" i="2"/>
  <c r="G160" i="2"/>
  <c r="H159" i="2"/>
  <c r="F160" i="2"/>
  <c r="K157" i="2"/>
  <c r="L158" i="2" s="1"/>
  <c r="K158" i="4"/>
  <c r="M158" i="4"/>
  <c r="J158" i="4"/>
  <c r="I159" i="4"/>
  <c r="G160" i="4"/>
  <c r="H159" i="4"/>
  <c r="F160" i="4"/>
  <c r="L158" i="4"/>
  <c r="I159" i="3"/>
  <c r="G160" i="3"/>
  <c r="F160" i="3"/>
  <c r="H159" i="3"/>
  <c r="J159" i="3" l="1"/>
  <c r="M159" i="3"/>
  <c r="L159" i="4"/>
  <c r="L159" i="5"/>
  <c r="J159" i="8"/>
  <c r="K159" i="8" s="1"/>
  <c r="M159" i="8"/>
  <c r="I160" i="8"/>
  <c r="G161" i="8"/>
  <c r="H160" i="8"/>
  <c r="F161" i="8"/>
  <c r="N158" i="8"/>
  <c r="O158" i="8" s="1"/>
  <c r="K158" i="8"/>
  <c r="L159" i="8" s="1"/>
  <c r="G161" i="7"/>
  <c r="I160" i="7"/>
  <c r="M159" i="7"/>
  <c r="N159" i="7" s="1"/>
  <c r="O159" i="7" s="1"/>
  <c r="J159" i="7"/>
  <c r="H160" i="7"/>
  <c r="F161" i="7"/>
  <c r="G161" i="6"/>
  <c r="I160" i="6"/>
  <c r="J159" i="6"/>
  <c r="M159" i="6"/>
  <c r="H160" i="6"/>
  <c r="F161" i="6"/>
  <c r="N158" i="6"/>
  <c r="O158" i="6" s="1"/>
  <c r="L159" i="6"/>
  <c r="I160" i="5"/>
  <c r="G161" i="5"/>
  <c r="J159" i="5"/>
  <c r="K159" i="5" s="1"/>
  <c r="M159" i="5"/>
  <c r="H160" i="5"/>
  <c r="F161" i="5"/>
  <c r="N158" i="5"/>
  <c r="O158" i="5" s="1"/>
  <c r="M159" i="2"/>
  <c r="J159" i="2"/>
  <c r="G161" i="2"/>
  <c r="I160" i="2"/>
  <c r="F161" i="2"/>
  <c r="H160" i="2"/>
  <c r="N158" i="2"/>
  <c r="O158" i="2" s="1"/>
  <c r="K158" i="2"/>
  <c r="L159" i="2" s="1"/>
  <c r="J159" i="4"/>
  <c r="M159" i="4"/>
  <c r="G161" i="4"/>
  <c r="I160" i="4"/>
  <c r="H160" i="4"/>
  <c r="F161" i="4"/>
  <c r="N158" i="4"/>
  <c r="O158" i="4" s="1"/>
  <c r="G161" i="3"/>
  <c r="I160" i="3"/>
  <c r="F161" i="3"/>
  <c r="H160" i="3"/>
  <c r="K158" i="3"/>
  <c r="L159" i="3" s="1"/>
  <c r="N159" i="3" l="1"/>
  <c r="O159" i="3" s="1"/>
  <c r="J160" i="3"/>
  <c r="M160" i="3"/>
  <c r="N159" i="4"/>
  <c r="O159" i="4" s="1"/>
  <c r="N159" i="5"/>
  <c r="O159" i="5" s="1"/>
  <c r="L160" i="5"/>
  <c r="J160" i="8"/>
  <c r="K160" i="8" s="1"/>
  <c r="M160" i="8"/>
  <c r="I161" i="8"/>
  <c r="G162" i="8"/>
  <c r="H161" i="8"/>
  <c r="F162" i="8"/>
  <c r="N159" i="8"/>
  <c r="O159" i="8" s="1"/>
  <c r="L160" i="8"/>
  <c r="I161" i="7"/>
  <c r="G162" i="7"/>
  <c r="M160" i="7"/>
  <c r="J160" i="7"/>
  <c r="K160" i="7" s="1"/>
  <c r="H161" i="7"/>
  <c r="F162" i="7"/>
  <c r="K159" i="7"/>
  <c r="L160" i="7" s="1"/>
  <c r="I161" i="6"/>
  <c r="G162" i="6"/>
  <c r="J160" i="6"/>
  <c r="M160" i="6"/>
  <c r="K160" i="6"/>
  <c r="H161" i="6"/>
  <c r="F162" i="6"/>
  <c r="N159" i="6"/>
  <c r="O159" i="6" s="1"/>
  <c r="K159" i="6"/>
  <c r="L160" i="6" s="1"/>
  <c r="J160" i="5"/>
  <c r="K160" i="5" s="1"/>
  <c r="M160" i="5"/>
  <c r="I161" i="5"/>
  <c r="G162" i="5"/>
  <c r="H161" i="5"/>
  <c r="F162" i="5"/>
  <c r="K159" i="2"/>
  <c r="L160" i="2" s="1"/>
  <c r="I161" i="2"/>
  <c r="G162" i="2"/>
  <c r="M160" i="2"/>
  <c r="J160" i="2"/>
  <c r="K160" i="2" s="1"/>
  <c r="H161" i="2"/>
  <c r="F162" i="2"/>
  <c r="N159" i="2"/>
  <c r="O159" i="2" s="1"/>
  <c r="I161" i="4"/>
  <c r="G162" i="4"/>
  <c r="M160" i="4"/>
  <c r="J160" i="4"/>
  <c r="H161" i="4"/>
  <c r="F162" i="4"/>
  <c r="K159" i="4"/>
  <c r="L160" i="4" s="1"/>
  <c r="I161" i="3"/>
  <c r="G162" i="3"/>
  <c r="H161" i="3"/>
  <c r="F162" i="3"/>
  <c r="K159" i="3"/>
  <c r="L160" i="3" s="1"/>
  <c r="N160" i="3" l="1"/>
  <c r="O160" i="3" s="1"/>
  <c r="J161" i="3"/>
  <c r="M161" i="3"/>
  <c r="N160" i="2"/>
  <c r="O160" i="2" s="1"/>
  <c r="L161" i="2"/>
  <c r="L161" i="8"/>
  <c r="L161" i="7"/>
  <c r="L161" i="6"/>
  <c r="N160" i="5"/>
  <c r="O160" i="5" s="1"/>
  <c r="L161" i="5"/>
  <c r="J161" i="8"/>
  <c r="K161" i="8" s="1"/>
  <c r="M161" i="8"/>
  <c r="N161" i="8" s="1"/>
  <c r="O161" i="8" s="1"/>
  <c r="I162" i="8"/>
  <c r="G163" i="8"/>
  <c r="F163" i="8"/>
  <c r="H162" i="8"/>
  <c r="N160" i="8"/>
  <c r="O160" i="8" s="1"/>
  <c r="J161" i="7"/>
  <c r="M161" i="7"/>
  <c r="N161" i="7" s="1"/>
  <c r="O161" i="7" s="1"/>
  <c r="G163" i="7"/>
  <c r="I162" i="7"/>
  <c r="H162" i="7"/>
  <c r="F163" i="7"/>
  <c r="N160" i="7"/>
  <c r="O160" i="7" s="1"/>
  <c r="J161" i="6"/>
  <c r="M161" i="6"/>
  <c r="I162" i="6"/>
  <c r="G163" i="6"/>
  <c r="H162" i="6"/>
  <c r="F163" i="6"/>
  <c r="N160" i="6"/>
  <c r="O160" i="6" s="1"/>
  <c r="J161" i="5"/>
  <c r="K161" i="5" s="1"/>
  <c r="M161" i="5"/>
  <c r="I162" i="5"/>
  <c r="G163" i="5"/>
  <c r="F163" i="5"/>
  <c r="H162" i="5"/>
  <c r="M161" i="2"/>
  <c r="N161" i="2" s="1"/>
  <c r="O161" i="2" s="1"/>
  <c r="J161" i="2"/>
  <c r="G163" i="2"/>
  <c r="I162" i="2"/>
  <c r="K161" i="2"/>
  <c r="F163" i="2"/>
  <c r="H162" i="2"/>
  <c r="J161" i="4"/>
  <c r="M161" i="4"/>
  <c r="I162" i="4"/>
  <c r="G163" i="4"/>
  <c r="F163" i="4"/>
  <c r="H162" i="4"/>
  <c r="N160" i="4"/>
  <c r="O160" i="4" s="1"/>
  <c r="K160" i="4"/>
  <c r="L161" i="4" s="1"/>
  <c r="G163" i="3"/>
  <c r="I162" i="3"/>
  <c r="H162" i="3"/>
  <c r="F163" i="3"/>
  <c r="K160" i="3"/>
  <c r="L161" i="3" s="1"/>
  <c r="K161" i="3"/>
  <c r="L162" i="3" s="1"/>
  <c r="N161" i="3" l="1"/>
  <c r="O161" i="3" s="1"/>
  <c r="J162" i="3"/>
  <c r="K162" i="3" s="1"/>
  <c r="L163" i="3" s="1"/>
  <c r="M162" i="3"/>
  <c r="N162" i="3" s="1"/>
  <c r="O162" i="3" s="1"/>
  <c r="N161" i="6"/>
  <c r="O161" i="6" s="1"/>
  <c r="L162" i="5"/>
  <c r="N161" i="5"/>
  <c r="O161" i="5" s="1"/>
  <c r="J162" i="8"/>
  <c r="K162" i="8" s="1"/>
  <c r="M162" i="8"/>
  <c r="I163" i="8"/>
  <c r="G164" i="8"/>
  <c r="H163" i="8"/>
  <c r="F164" i="8"/>
  <c r="L162" i="8"/>
  <c r="K161" i="7"/>
  <c r="L162" i="7" s="1"/>
  <c r="I163" i="7"/>
  <c r="G164" i="7"/>
  <c r="J162" i="7"/>
  <c r="K162" i="7" s="1"/>
  <c r="M162" i="7"/>
  <c r="H163" i="7"/>
  <c r="F164" i="7"/>
  <c r="K161" i="6"/>
  <c r="L162" i="6" s="1"/>
  <c r="J162" i="6"/>
  <c r="K162" i="6" s="1"/>
  <c r="M162" i="6"/>
  <c r="N162" i="6" s="1"/>
  <c r="O162" i="6" s="1"/>
  <c r="I163" i="6"/>
  <c r="G164" i="6"/>
  <c r="H163" i="6"/>
  <c r="F164" i="6"/>
  <c r="M162" i="5"/>
  <c r="J162" i="5"/>
  <c r="K162" i="5" s="1"/>
  <c r="I163" i="5"/>
  <c r="G164" i="5"/>
  <c r="H163" i="5"/>
  <c r="F164" i="5"/>
  <c r="I163" i="2"/>
  <c r="G164" i="2"/>
  <c r="J162" i="2"/>
  <c r="M162" i="2"/>
  <c r="F164" i="2"/>
  <c r="H163" i="2"/>
  <c r="L162" i="2"/>
  <c r="K161" i="4"/>
  <c r="L162" i="4" s="1"/>
  <c r="M162" i="4"/>
  <c r="N162" i="4" s="1"/>
  <c r="O162" i="4" s="1"/>
  <c r="J162" i="4"/>
  <c r="K162" i="4" s="1"/>
  <c r="G164" i="4"/>
  <c r="I163" i="4"/>
  <c r="H163" i="4"/>
  <c r="F164" i="4"/>
  <c r="N161" i="4"/>
  <c r="O161" i="4" s="1"/>
  <c r="G164" i="3"/>
  <c r="I163" i="3"/>
  <c r="F164" i="3"/>
  <c r="H163" i="3"/>
  <c r="J163" i="3" l="1"/>
  <c r="M163" i="3"/>
  <c r="N163" i="3" s="1"/>
  <c r="O163" i="3" s="1"/>
  <c r="L163" i="8"/>
  <c r="L163" i="7"/>
  <c r="L163" i="4"/>
  <c r="N162" i="8"/>
  <c r="O162" i="8" s="1"/>
  <c r="N162" i="7"/>
  <c r="O162" i="7" s="1"/>
  <c r="L163" i="6"/>
  <c r="N162" i="5"/>
  <c r="O162" i="5" s="1"/>
  <c r="L163" i="5"/>
  <c r="J163" i="8"/>
  <c r="M163" i="8"/>
  <c r="N163" i="8" s="1"/>
  <c r="O163" i="8" s="1"/>
  <c r="G165" i="8"/>
  <c r="I164" i="8"/>
  <c r="H164" i="8"/>
  <c r="F165" i="8"/>
  <c r="J163" i="7"/>
  <c r="M163" i="7"/>
  <c r="N163" i="7" s="1"/>
  <c r="O163" i="7" s="1"/>
  <c r="I164" i="7"/>
  <c r="G165" i="7"/>
  <c r="H164" i="7"/>
  <c r="F165" i="7"/>
  <c r="J163" i="6"/>
  <c r="M163" i="6"/>
  <c r="G165" i="6"/>
  <c r="I164" i="6"/>
  <c r="H164" i="6"/>
  <c r="F165" i="6"/>
  <c r="J163" i="5"/>
  <c r="M163" i="5"/>
  <c r="I164" i="5"/>
  <c r="G165" i="5"/>
  <c r="H164" i="5"/>
  <c r="F165" i="5"/>
  <c r="J163" i="2"/>
  <c r="M163" i="2"/>
  <c r="G165" i="2"/>
  <c r="I164" i="2"/>
  <c r="K162" i="2"/>
  <c r="L163" i="2" s="1"/>
  <c r="K163" i="2"/>
  <c r="H164" i="2"/>
  <c r="F165" i="2"/>
  <c r="N162" i="2"/>
  <c r="O162" i="2" s="1"/>
  <c r="I164" i="4"/>
  <c r="G165" i="4"/>
  <c r="J163" i="4"/>
  <c r="M163" i="4"/>
  <c r="N163" i="4" s="1"/>
  <c r="O163" i="4" s="1"/>
  <c r="H164" i="4"/>
  <c r="F165" i="4"/>
  <c r="I164" i="3"/>
  <c r="G165" i="3"/>
  <c r="H164" i="3"/>
  <c r="F165" i="3"/>
  <c r="J164" i="3" l="1"/>
  <c r="K164" i="3" s="1"/>
  <c r="L165" i="3" s="1"/>
  <c r="M164" i="3"/>
  <c r="N163" i="6"/>
  <c r="O163" i="6" s="1"/>
  <c r="N163" i="5"/>
  <c r="O163" i="5" s="1"/>
  <c r="K163" i="8"/>
  <c r="L164" i="8" s="1"/>
  <c r="I165" i="8"/>
  <c r="G166" i="8"/>
  <c r="J164" i="8"/>
  <c r="K164" i="8" s="1"/>
  <c r="M164" i="8"/>
  <c r="F166" i="8"/>
  <c r="H165" i="8"/>
  <c r="K163" i="7"/>
  <c r="L164" i="7" s="1"/>
  <c r="J164" i="7"/>
  <c r="K164" i="7" s="1"/>
  <c r="M164" i="7"/>
  <c r="I165" i="7"/>
  <c r="G166" i="7"/>
  <c r="H165" i="7"/>
  <c r="F166" i="7"/>
  <c r="K163" i="6"/>
  <c r="L164" i="6" s="1"/>
  <c r="I165" i="6"/>
  <c r="G166" i="6"/>
  <c r="J164" i="6"/>
  <c r="K164" i="6" s="1"/>
  <c r="M164" i="6"/>
  <c r="N164" i="6" s="1"/>
  <c r="O164" i="6" s="1"/>
  <c r="H165" i="6"/>
  <c r="F166" i="6"/>
  <c r="K163" i="5"/>
  <c r="L164" i="5" s="1"/>
  <c r="J164" i="5"/>
  <c r="K164" i="5" s="1"/>
  <c r="M164" i="5"/>
  <c r="I165" i="5"/>
  <c r="G166" i="5"/>
  <c r="H165" i="5"/>
  <c r="F166" i="5"/>
  <c r="I165" i="2"/>
  <c r="G166" i="2"/>
  <c r="J164" i="2"/>
  <c r="M164" i="2"/>
  <c r="H165" i="2"/>
  <c r="F166" i="2"/>
  <c r="N163" i="2"/>
  <c r="O163" i="2" s="1"/>
  <c r="L164" i="2"/>
  <c r="J164" i="4"/>
  <c r="K164" i="4" s="1"/>
  <c r="L165" i="4" s="1"/>
  <c r="M164" i="4"/>
  <c r="G166" i="4"/>
  <c r="I165" i="4"/>
  <c r="K163" i="4"/>
  <c r="L164" i="4" s="1"/>
  <c r="F166" i="4"/>
  <c r="H165" i="4"/>
  <c r="I165" i="3"/>
  <c r="G166" i="3"/>
  <c r="H165" i="3"/>
  <c r="F166" i="3"/>
  <c r="K163" i="3"/>
  <c r="L164" i="3" s="1"/>
  <c r="N164" i="3" s="1"/>
  <c r="O164" i="3" s="1"/>
  <c r="J165" i="3" l="1"/>
  <c r="M165" i="3"/>
  <c r="N165" i="3" s="1"/>
  <c r="O165" i="3" s="1"/>
  <c r="N164" i="5"/>
  <c r="O164" i="5" s="1"/>
  <c r="L165" i="6"/>
  <c r="L165" i="8"/>
  <c r="N164" i="7"/>
  <c r="O164" i="7" s="1"/>
  <c r="N164" i="8"/>
  <c r="O164" i="8" s="1"/>
  <c r="L165" i="5"/>
  <c r="J165" i="8"/>
  <c r="M165" i="8"/>
  <c r="N165" i="8" s="1"/>
  <c r="O165" i="8" s="1"/>
  <c r="I166" i="8"/>
  <c r="G167" i="8"/>
  <c r="F167" i="8"/>
  <c r="H166" i="8"/>
  <c r="J165" i="7"/>
  <c r="M165" i="7"/>
  <c r="G167" i="7"/>
  <c r="I166" i="7"/>
  <c r="H166" i="7"/>
  <c r="F167" i="7"/>
  <c r="L165" i="7"/>
  <c r="J165" i="6"/>
  <c r="M165" i="6"/>
  <c r="N165" i="6" s="1"/>
  <c r="O165" i="6" s="1"/>
  <c r="I166" i="6"/>
  <c r="G167" i="6"/>
  <c r="F167" i="6"/>
  <c r="H166" i="6"/>
  <c r="J165" i="5"/>
  <c r="M165" i="5"/>
  <c r="G167" i="5"/>
  <c r="I166" i="5"/>
  <c r="H166" i="5"/>
  <c r="F167" i="5"/>
  <c r="J165" i="2"/>
  <c r="M165" i="2"/>
  <c r="I166" i="2"/>
  <c r="G167" i="2"/>
  <c r="K164" i="2"/>
  <c r="L165" i="2" s="1"/>
  <c r="K165" i="2"/>
  <c r="F167" i="2"/>
  <c r="H166" i="2"/>
  <c r="N164" i="2"/>
  <c r="O164" i="2" s="1"/>
  <c r="I166" i="4"/>
  <c r="G167" i="4"/>
  <c r="J165" i="4"/>
  <c r="M165" i="4"/>
  <c r="N165" i="4" s="1"/>
  <c r="O165" i="4" s="1"/>
  <c r="F167" i="4"/>
  <c r="H166" i="4"/>
  <c r="N164" i="4"/>
  <c r="O164" i="4" s="1"/>
  <c r="I166" i="3"/>
  <c r="G167" i="3"/>
  <c r="H166" i="3"/>
  <c r="F167" i="3"/>
  <c r="J166" i="3" l="1"/>
  <c r="K166" i="3" s="1"/>
  <c r="L167" i="3" s="1"/>
  <c r="M166" i="3"/>
  <c r="N165" i="5"/>
  <c r="O165" i="5" s="1"/>
  <c r="K165" i="8"/>
  <c r="L166" i="8" s="1"/>
  <c r="J166" i="8"/>
  <c r="K166" i="8" s="1"/>
  <c r="M166" i="8"/>
  <c r="G168" i="8"/>
  <c r="I167" i="8"/>
  <c r="H167" i="8"/>
  <c r="F168" i="8"/>
  <c r="K165" i="7"/>
  <c r="L166" i="7" s="1"/>
  <c r="G168" i="7"/>
  <c r="I167" i="7"/>
  <c r="J166" i="7"/>
  <c r="K166" i="7" s="1"/>
  <c r="M166" i="7"/>
  <c r="H167" i="7"/>
  <c r="F168" i="7"/>
  <c r="N165" i="7"/>
  <c r="O165" i="7" s="1"/>
  <c r="K165" i="6"/>
  <c r="L166" i="6" s="1"/>
  <c r="J166" i="6"/>
  <c r="K166" i="6" s="1"/>
  <c r="M166" i="6"/>
  <c r="N166" i="6" s="1"/>
  <c r="O166" i="6" s="1"/>
  <c r="I167" i="6"/>
  <c r="G168" i="6"/>
  <c r="H167" i="6"/>
  <c r="F168" i="6"/>
  <c r="K165" i="5"/>
  <c r="L166" i="5" s="1"/>
  <c r="I167" i="5"/>
  <c r="G168" i="5"/>
  <c r="J166" i="5"/>
  <c r="K166" i="5" s="1"/>
  <c r="M166" i="5"/>
  <c r="H167" i="5"/>
  <c r="F168" i="5"/>
  <c r="J166" i="2"/>
  <c r="M166" i="2"/>
  <c r="I167" i="2"/>
  <c r="G168" i="2"/>
  <c r="H167" i="2"/>
  <c r="F168" i="2"/>
  <c r="N165" i="2"/>
  <c r="O165" i="2" s="1"/>
  <c r="L166" i="2"/>
  <c r="M166" i="4"/>
  <c r="J166" i="4"/>
  <c r="I167" i="4"/>
  <c r="G168" i="4"/>
  <c r="K165" i="4"/>
  <c r="L166" i="4" s="1"/>
  <c r="K166" i="4"/>
  <c r="H167" i="4"/>
  <c r="F168" i="4"/>
  <c r="I167" i="3"/>
  <c r="G168" i="3"/>
  <c r="F168" i="3"/>
  <c r="H167" i="3"/>
  <c r="K165" i="3"/>
  <c r="L166" i="3" s="1"/>
  <c r="N166" i="3" l="1"/>
  <c r="O166" i="3" s="1"/>
  <c r="J167" i="3"/>
  <c r="K167" i="3" s="1"/>
  <c r="L168" i="3" s="1"/>
  <c r="M167" i="3"/>
  <c r="N167" i="3" s="1"/>
  <c r="O167" i="3" s="1"/>
  <c r="N166" i="8"/>
  <c r="O166" i="8" s="1"/>
  <c r="L167" i="8"/>
  <c r="N166" i="7"/>
  <c r="O166" i="7" s="1"/>
  <c r="L167" i="7"/>
  <c r="L167" i="6"/>
  <c r="L167" i="5"/>
  <c r="N166" i="5"/>
  <c r="O166" i="5" s="1"/>
  <c r="G169" i="8"/>
  <c r="I168" i="8"/>
  <c r="J167" i="8"/>
  <c r="M167" i="8"/>
  <c r="N167" i="8" s="1"/>
  <c r="O167" i="8" s="1"/>
  <c r="H168" i="8"/>
  <c r="F169" i="8"/>
  <c r="I168" i="7"/>
  <c r="G169" i="7"/>
  <c r="J167" i="7"/>
  <c r="M167" i="7"/>
  <c r="H168" i="7"/>
  <c r="F169" i="7"/>
  <c r="J167" i="6"/>
  <c r="M167" i="6"/>
  <c r="I168" i="6"/>
  <c r="G169" i="6"/>
  <c r="H168" i="6"/>
  <c r="F169" i="6"/>
  <c r="J167" i="5"/>
  <c r="M167" i="5"/>
  <c r="I168" i="5"/>
  <c r="G169" i="5"/>
  <c r="F169" i="5"/>
  <c r="H168" i="5"/>
  <c r="K166" i="2"/>
  <c r="L167" i="2" s="1"/>
  <c r="J167" i="2"/>
  <c r="K167" i="2" s="1"/>
  <c r="M167" i="2"/>
  <c r="I168" i="2"/>
  <c r="G169" i="2"/>
  <c r="F169" i="2"/>
  <c r="H168" i="2"/>
  <c r="N166" i="2"/>
  <c r="O166" i="2" s="1"/>
  <c r="J167" i="4"/>
  <c r="M167" i="4"/>
  <c r="G169" i="4"/>
  <c r="I168" i="4"/>
  <c r="H168" i="4"/>
  <c r="F169" i="4"/>
  <c r="N166" i="4"/>
  <c r="O166" i="4" s="1"/>
  <c r="L167" i="4"/>
  <c r="G169" i="3"/>
  <c r="I168" i="3"/>
  <c r="F169" i="3"/>
  <c r="H168" i="3"/>
  <c r="J168" i="3" l="1"/>
  <c r="M168" i="3"/>
  <c r="N168" i="3" s="1"/>
  <c r="O168" i="3" s="1"/>
  <c r="N167" i="6"/>
  <c r="O167" i="6" s="1"/>
  <c r="N167" i="7"/>
  <c r="O167" i="7" s="1"/>
  <c r="N167" i="4"/>
  <c r="O167" i="4" s="1"/>
  <c r="N167" i="2"/>
  <c r="O167" i="2" s="1"/>
  <c r="L168" i="2"/>
  <c r="N167" i="5"/>
  <c r="O167" i="5" s="1"/>
  <c r="I169" i="8"/>
  <c r="G170" i="8"/>
  <c r="J168" i="8"/>
  <c r="M168" i="8"/>
  <c r="K167" i="8"/>
  <c r="L168" i="8" s="1"/>
  <c r="K168" i="8"/>
  <c r="H169" i="8"/>
  <c r="F170" i="8"/>
  <c r="J168" i="7"/>
  <c r="K168" i="7" s="1"/>
  <c r="M168" i="7"/>
  <c r="I169" i="7"/>
  <c r="G170" i="7"/>
  <c r="K167" i="7"/>
  <c r="L168" i="7" s="1"/>
  <c r="H169" i="7"/>
  <c r="F170" i="7"/>
  <c r="K167" i="6"/>
  <c r="L168" i="6" s="1"/>
  <c r="M168" i="6"/>
  <c r="J168" i="6"/>
  <c r="K168" i="6" s="1"/>
  <c r="G170" i="6"/>
  <c r="I169" i="6"/>
  <c r="H169" i="6"/>
  <c r="F170" i="6"/>
  <c r="K167" i="5"/>
  <c r="L168" i="5" s="1"/>
  <c r="J168" i="5"/>
  <c r="K168" i="5" s="1"/>
  <c r="M168" i="5"/>
  <c r="G170" i="5"/>
  <c r="I169" i="5"/>
  <c r="H169" i="5"/>
  <c r="F170" i="5"/>
  <c r="J168" i="2"/>
  <c r="M168" i="2"/>
  <c r="I169" i="2"/>
  <c r="G170" i="2"/>
  <c r="F170" i="2"/>
  <c r="H169" i="2"/>
  <c r="K167" i="4"/>
  <c r="L168" i="4" s="1"/>
  <c r="I169" i="4"/>
  <c r="G170" i="4"/>
  <c r="M168" i="4"/>
  <c r="N168" i="4" s="1"/>
  <c r="O168" i="4" s="1"/>
  <c r="J168" i="4"/>
  <c r="K168" i="4" s="1"/>
  <c r="H169" i="4"/>
  <c r="F170" i="4"/>
  <c r="G170" i="3"/>
  <c r="I169" i="3"/>
  <c r="F170" i="3"/>
  <c r="H169" i="3"/>
  <c r="J169" i="3" l="1"/>
  <c r="K169" i="3" s="1"/>
  <c r="L170" i="3" s="1"/>
  <c r="M169" i="3"/>
  <c r="L169" i="6"/>
  <c r="L169" i="7"/>
  <c r="L169" i="4"/>
  <c r="L169" i="8"/>
  <c r="N168" i="2"/>
  <c r="O168" i="2" s="1"/>
  <c r="N168" i="6"/>
  <c r="O168" i="6" s="1"/>
  <c r="N168" i="5"/>
  <c r="O168" i="5" s="1"/>
  <c r="L169" i="5"/>
  <c r="J169" i="8"/>
  <c r="M169" i="8"/>
  <c r="N169" i="8" s="1"/>
  <c r="O169" i="8" s="1"/>
  <c r="I170" i="8"/>
  <c r="G171" i="8"/>
  <c r="F171" i="8"/>
  <c r="H170" i="8"/>
  <c r="N168" i="8"/>
  <c r="O168" i="8" s="1"/>
  <c r="J169" i="7"/>
  <c r="M169" i="7"/>
  <c r="N169" i="7" s="1"/>
  <c r="O169" i="7" s="1"/>
  <c r="I170" i="7"/>
  <c r="G171" i="7"/>
  <c r="H170" i="7"/>
  <c r="F171" i="7"/>
  <c r="N168" i="7"/>
  <c r="O168" i="7" s="1"/>
  <c r="G171" i="6"/>
  <c r="I170" i="6"/>
  <c r="J169" i="6"/>
  <c r="M169" i="6"/>
  <c r="H170" i="6"/>
  <c r="F171" i="6"/>
  <c r="I170" i="5"/>
  <c r="G171" i="5"/>
  <c r="J169" i="5"/>
  <c r="M169" i="5"/>
  <c r="H170" i="5"/>
  <c r="F171" i="5"/>
  <c r="K168" i="2"/>
  <c r="L169" i="2" s="1"/>
  <c r="J169" i="2"/>
  <c r="K169" i="2" s="1"/>
  <c r="M169" i="2"/>
  <c r="I170" i="2"/>
  <c r="G171" i="2"/>
  <c r="H170" i="2"/>
  <c r="F171" i="2"/>
  <c r="J169" i="4"/>
  <c r="M169" i="4"/>
  <c r="N169" i="4" s="1"/>
  <c r="O169" i="4" s="1"/>
  <c r="I170" i="4"/>
  <c r="G171" i="4"/>
  <c r="H170" i="4"/>
  <c r="F171" i="4"/>
  <c r="I170" i="3"/>
  <c r="G171" i="3"/>
  <c r="F171" i="3"/>
  <c r="H170" i="3"/>
  <c r="K168" i="3"/>
  <c r="L169" i="3" s="1"/>
  <c r="N169" i="3" s="1"/>
  <c r="O169" i="3" s="1"/>
  <c r="J170" i="3" l="1"/>
  <c r="M170" i="3"/>
  <c r="N170" i="3" s="1"/>
  <c r="O170" i="3" s="1"/>
  <c r="N169" i="6"/>
  <c r="O169" i="6" s="1"/>
  <c r="L170" i="2"/>
  <c r="N169" i="2"/>
  <c r="O169" i="2" s="1"/>
  <c r="N169" i="5"/>
  <c r="O169" i="5" s="1"/>
  <c r="K169" i="8"/>
  <c r="L170" i="8" s="1"/>
  <c r="J170" i="8"/>
  <c r="K170" i="8" s="1"/>
  <c r="M170" i="8"/>
  <c r="G172" i="8"/>
  <c r="I171" i="8"/>
  <c r="H171" i="8"/>
  <c r="F172" i="8"/>
  <c r="K169" i="7"/>
  <c r="L170" i="7" s="1"/>
  <c r="J170" i="7"/>
  <c r="K170" i="7" s="1"/>
  <c r="M170" i="7"/>
  <c r="G172" i="7"/>
  <c r="I171" i="7"/>
  <c r="H171" i="7"/>
  <c r="F172" i="7"/>
  <c r="I171" i="6"/>
  <c r="G172" i="6"/>
  <c r="J170" i="6"/>
  <c r="K170" i="6" s="1"/>
  <c r="M170" i="6"/>
  <c r="K169" i="6"/>
  <c r="L170" i="6" s="1"/>
  <c r="H171" i="6"/>
  <c r="F172" i="6"/>
  <c r="J170" i="5"/>
  <c r="K170" i="5" s="1"/>
  <c r="M170" i="5"/>
  <c r="I171" i="5"/>
  <c r="G172" i="5"/>
  <c r="K169" i="5"/>
  <c r="L170" i="5" s="1"/>
  <c r="H171" i="5"/>
  <c r="F172" i="5"/>
  <c r="J170" i="2"/>
  <c r="M170" i="2"/>
  <c r="N170" i="2" s="1"/>
  <c r="O170" i="2" s="1"/>
  <c r="I171" i="2"/>
  <c r="G172" i="2"/>
  <c r="F172" i="2"/>
  <c r="H171" i="2"/>
  <c r="K169" i="4"/>
  <c r="L170" i="4" s="1"/>
  <c r="M170" i="4"/>
  <c r="J170" i="4"/>
  <c r="K170" i="4" s="1"/>
  <c r="I171" i="4"/>
  <c r="G172" i="4"/>
  <c r="H171" i="4"/>
  <c r="F172" i="4"/>
  <c r="I171" i="3"/>
  <c r="G172" i="3"/>
  <c r="F172" i="3"/>
  <c r="H171" i="3"/>
  <c r="J171" i="3" l="1"/>
  <c r="K171" i="3" s="1"/>
  <c r="L172" i="3" s="1"/>
  <c r="M171" i="3"/>
  <c r="L171" i="4"/>
  <c r="L171" i="8"/>
  <c r="N170" i="8"/>
  <c r="O170" i="8" s="1"/>
  <c r="L171" i="7"/>
  <c r="N170" i="4"/>
  <c r="O170" i="4" s="1"/>
  <c r="N170" i="7"/>
  <c r="O170" i="7" s="1"/>
  <c r="L171" i="6"/>
  <c r="I172" i="8"/>
  <c r="G173" i="8"/>
  <c r="J171" i="8"/>
  <c r="M171" i="8"/>
  <c r="N171" i="8" s="1"/>
  <c r="O171" i="8" s="1"/>
  <c r="H172" i="8"/>
  <c r="F173" i="8"/>
  <c r="I172" i="7"/>
  <c r="G173" i="7"/>
  <c r="J171" i="7"/>
  <c r="M171" i="7"/>
  <c r="N171" i="7" s="1"/>
  <c r="O171" i="7" s="1"/>
  <c r="H172" i="7"/>
  <c r="F173" i="7"/>
  <c r="J171" i="6"/>
  <c r="M171" i="6"/>
  <c r="I172" i="6"/>
  <c r="G173" i="6"/>
  <c r="H172" i="6"/>
  <c r="F173" i="6"/>
  <c r="N170" i="6"/>
  <c r="O170" i="6" s="1"/>
  <c r="J171" i="5"/>
  <c r="M171" i="5"/>
  <c r="I172" i="5"/>
  <c r="G173" i="5"/>
  <c r="H172" i="5"/>
  <c r="F173" i="5"/>
  <c r="N170" i="5"/>
  <c r="O170" i="5" s="1"/>
  <c r="L171" i="5"/>
  <c r="K170" i="2"/>
  <c r="L171" i="2" s="1"/>
  <c r="J171" i="2"/>
  <c r="K171" i="2" s="1"/>
  <c r="M171" i="2"/>
  <c r="N171" i="2" s="1"/>
  <c r="O171" i="2" s="1"/>
  <c r="I172" i="2"/>
  <c r="G173" i="2"/>
  <c r="H172" i="2"/>
  <c r="F173" i="2"/>
  <c r="J171" i="4"/>
  <c r="M171" i="4"/>
  <c r="I172" i="4"/>
  <c r="G173" i="4"/>
  <c r="H172" i="4"/>
  <c r="F173" i="4"/>
  <c r="G173" i="3"/>
  <c r="I172" i="3"/>
  <c r="F173" i="3"/>
  <c r="H172" i="3"/>
  <c r="K170" i="3"/>
  <c r="L171" i="3" s="1"/>
  <c r="N171" i="3" l="1"/>
  <c r="O171" i="3" s="1"/>
  <c r="J172" i="3"/>
  <c r="M172" i="3"/>
  <c r="N172" i="3" s="1"/>
  <c r="O172" i="3" s="1"/>
  <c r="N171" i="4"/>
  <c r="O171" i="4" s="1"/>
  <c r="N171" i="6"/>
  <c r="O171" i="6" s="1"/>
  <c r="J172" i="8"/>
  <c r="M172" i="8"/>
  <c r="I173" i="8"/>
  <c r="G174" i="8"/>
  <c r="K171" i="8"/>
  <c r="L172" i="8" s="1"/>
  <c r="K172" i="8"/>
  <c r="H173" i="8"/>
  <c r="F174" i="8"/>
  <c r="J172" i="7"/>
  <c r="M172" i="7"/>
  <c r="I173" i="7"/>
  <c r="G174" i="7"/>
  <c r="K171" i="7"/>
  <c r="L172" i="7" s="1"/>
  <c r="K172" i="7"/>
  <c r="H173" i="7"/>
  <c r="F174" i="7"/>
  <c r="K171" i="6"/>
  <c r="L172" i="6" s="1"/>
  <c r="J172" i="6"/>
  <c r="K172" i="6" s="1"/>
  <c r="M172" i="6"/>
  <c r="I173" i="6"/>
  <c r="G174" i="6"/>
  <c r="H173" i="6"/>
  <c r="F174" i="6"/>
  <c r="K171" i="5"/>
  <c r="L172" i="5" s="1"/>
  <c r="J172" i="5"/>
  <c r="K172" i="5" s="1"/>
  <c r="M172" i="5"/>
  <c r="I173" i="5"/>
  <c r="G174" i="5"/>
  <c r="H173" i="5"/>
  <c r="F174" i="5"/>
  <c r="N171" i="5"/>
  <c r="O171" i="5" s="1"/>
  <c r="J172" i="2"/>
  <c r="M172" i="2"/>
  <c r="G174" i="2"/>
  <c r="I173" i="2"/>
  <c r="H173" i="2"/>
  <c r="F174" i="2"/>
  <c r="L172" i="2"/>
  <c r="K171" i="4"/>
  <c r="L172" i="4" s="1"/>
  <c r="J172" i="4"/>
  <c r="K172" i="4" s="1"/>
  <c r="L173" i="4" s="1"/>
  <c r="M172" i="4"/>
  <c r="I173" i="4"/>
  <c r="G174" i="4"/>
  <c r="H173" i="4"/>
  <c r="F174" i="4"/>
  <c r="I173" i="3"/>
  <c r="G174" i="3"/>
  <c r="H173" i="3"/>
  <c r="F174" i="3"/>
  <c r="J173" i="3" l="1"/>
  <c r="K173" i="3" s="1"/>
  <c r="L174" i="3" s="1"/>
  <c r="M173" i="3"/>
  <c r="N172" i="4"/>
  <c r="O172" i="4" s="1"/>
  <c r="L173" i="5"/>
  <c r="L173" i="8"/>
  <c r="L173" i="7"/>
  <c r="N172" i="5"/>
  <c r="O172" i="5" s="1"/>
  <c r="J173" i="8"/>
  <c r="M173" i="8"/>
  <c r="N173" i="8" s="1"/>
  <c r="O173" i="8" s="1"/>
  <c r="I174" i="8"/>
  <c r="G175" i="8"/>
  <c r="I175" i="8" s="1"/>
  <c r="H174" i="8"/>
  <c r="F175" i="8"/>
  <c r="H175" i="8" s="1"/>
  <c r="N172" i="8"/>
  <c r="O172" i="8" s="1"/>
  <c r="J173" i="7"/>
  <c r="M173" i="7"/>
  <c r="G175" i="7"/>
  <c r="I175" i="7" s="1"/>
  <c r="I174" i="7"/>
  <c r="H174" i="7"/>
  <c r="F175" i="7"/>
  <c r="H175" i="7" s="1"/>
  <c r="N172" i="7"/>
  <c r="O172" i="7" s="1"/>
  <c r="J173" i="6"/>
  <c r="M173" i="6"/>
  <c r="I174" i="6"/>
  <c r="G175" i="6"/>
  <c r="I175" i="6" s="1"/>
  <c r="H174" i="6"/>
  <c r="F175" i="6"/>
  <c r="H175" i="6" s="1"/>
  <c r="N172" i="6"/>
  <c r="O172" i="6" s="1"/>
  <c r="L173" i="6"/>
  <c r="J173" i="5"/>
  <c r="M173" i="5"/>
  <c r="N173" i="5" s="1"/>
  <c r="O173" i="5" s="1"/>
  <c r="I174" i="5"/>
  <c r="G175" i="5"/>
  <c r="I175" i="5" s="1"/>
  <c r="H174" i="5"/>
  <c r="F175" i="5"/>
  <c r="H175" i="5" s="1"/>
  <c r="K172" i="2"/>
  <c r="L173" i="2" s="1"/>
  <c r="I174" i="2"/>
  <c r="G175" i="2"/>
  <c r="I175" i="2" s="1"/>
  <c r="J173" i="2"/>
  <c r="K173" i="2" s="1"/>
  <c r="M173" i="2"/>
  <c r="N173" i="2" s="1"/>
  <c r="O173" i="2" s="1"/>
  <c r="H174" i="2"/>
  <c r="F175" i="2"/>
  <c r="H175" i="2" s="1"/>
  <c r="N172" i="2"/>
  <c r="O172" i="2" s="1"/>
  <c r="M173" i="4"/>
  <c r="N173" i="4" s="1"/>
  <c r="O173" i="4" s="1"/>
  <c r="J173" i="4"/>
  <c r="I174" i="4"/>
  <c r="G175" i="4"/>
  <c r="I175" i="4" s="1"/>
  <c r="H174" i="4"/>
  <c r="F175" i="4"/>
  <c r="H175" i="4" s="1"/>
  <c r="I174" i="3"/>
  <c r="G175" i="3"/>
  <c r="I175" i="3" s="1"/>
  <c r="H174" i="3"/>
  <c r="F175" i="3"/>
  <c r="H175" i="3" s="1"/>
  <c r="K172" i="3"/>
  <c r="L173" i="3" s="1"/>
  <c r="N173" i="3" l="1"/>
  <c r="O173" i="3" s="1"/>
  <c r="J174" i="3"/>
  <c r="M174" i="3"/>
  <c r="N174" i="3" s="1"/>
  <c r="O174" i="3" s="1"/>
  <c r="J175" i="3"/>
  <c r="M175" i="3"/>
  <c r="N173" i="7"/>
  <c r="O173" i="7" s="1"/>
  <c r="L174" i="2"/>
  <c r="K173" i="8"/>
  <c r="L174" i="8" s="1"/>
  <c r="J174" i="8"/>
  <c r="K174" i="8" s="1"/>
  <c r="L175" i="8" s="1"/>
  <c r="N175" i="8" s="1"/>
  <c r="O175" i="8" s="1"/>
  <c r="M174" i="8"/>
  <c r="J175" i="8"/>
  <c r="M175" i="8"/>
  <c r="K173" i="7"/>
  <c r="L174" i="7" s="1"/>
  <c r="J175" i="7"/>
  <c r="M175" i="7"/>
  <c r="J174" i="7"/>
  <c r="K174" i="7" s="1"/>
  <c r="L175" i="7" s="1"/>
  <c r="M174" i="7"/>
  <c r="K173" i="6"/>
  <c r="L174" i="6" s="1"/>
  <c r="J174" i="6"/>
  <c r="M174" i="6"/>
  <c r="J175" i="6"/>
  <c r="M175" i="6"/>
  <c r="N173" i="6"/>
  <c r="O173" i="6" s="1"/>
  <c r="K173" i="5"/>
  <c r="L174" i="5" s="1"/>
  <c r="J174" i="5"/>
  <c r="M174" i="5"/>
  <c r="J175" i="5"/>
  <c r="M175" i="5"/>
  <c r="J174" i="2"/>
  <c r="M174" i="2"/>
  <c r="J175" i="2"/>
  <c r="M175" i="2"/>
  <c r="K173" i="4"/>
  <c r="L174" i="4" s="1"/>
  <c r="J174" i="4"/>
  <c r="K174" i="4" s="1"/>
  <c r="L175" i="4" s="1"/>
  <c r="N175" i="4" s="1"/>
  <c r="O175" i="4" s="1"/>
  <c r="M174" i="4"/>
  <c r="J175" i="4"/>
  <c r="M175" i="4"/>
  <c r="N174" i="4" l="1"/>
  <c r="O174" i="4" s="1"/>
  <c r="N174" i="7"/>
  <c r="O174" i="7" s="1"/>
  <c r="K175" i="4"/>
  <c r="N174" i="8"/>
  <c r="O174" i="8" s="1"/>
  <c r="N174" i="2"/>
  <c r="O174" i="2" s="1"/>
  <c r="N174" i="6"/>
  <c r="O174" i="6" s="1"/>
  <c r="N174" i="5"/>
  <c r="O174" i="5" s="1"/>
  <c r="K175" i="8"/>
  <c r="N175" i="7"/>
  <c r="O175" i="7" s="1"/>
  <c r="K175" i="7"/>
  <c r="K175" i="6"/>
  <c r="K174" i="6"/>
  <c r="L175" i="6" s="1"/>
  <c r="N175" i="6" s="1"/>
  <c r="O175" i="6" s="1"/>
  <c r="K175" i="5"/>
  <c r="K174" i="5"/>
  <c r="L175" i="5" s="1"/>
  <c r="N175" i="5" s="1"/>
  <c r="O175" i="5" s="1"/>
  <c r="K174" i="2"/>
  <c r="L175" i="2" s="1"/>
  <c r="N175" i="2" s="1"/>
  <c r="O175" i="2" s="1"/>
  <c r="K175" i="2"/>
  <c r="K175" i="3"/>
  <c r="K174" i="3"/>
  <c r="L175" i="3" s="1"/>
  <c r="N175" i="3" s="1"/>
  <c r="O175" i="3" s="1"/>
</calcChain>
</file>

<file path=xl/sharedStrings.xml><?xml version="1.0" encoding="utf-8"?>
<sst xmlns="http://schemas.openxmlformats.org/spreadsheetml/2006/main" count="150" uniqueCount="93">
  <si>
    <t>date</t>
  </si>
  <si>
    <t>AGG</t>
  </si>
  <si>
    <t>ANGL</t>
  </si>
  <si>
    <t>BND</t>
  </si>
  <si>
    <t>BNDX</t>
  </si>
  <si>
    <t>BWX</t>
  </si>
  <si>
    <t>CMF</t>
  </si>
  <si>
    <t>CORP</t>
  </si>
  <si>
    <t>CWB</t>
  </si>
  <si>
    <t>EMB</t>
  </si>
  <si>
    <t>FALN</t>
  </si>
  <si>
    <t>FENY</t>
  </si>
  <si>
    <t>FHLC</t>
  </si>
  <si>
    <t>FIDU</t>
  </si>
  <si>
    <t>FNCL</t>
  </si>
  <si>
    <t>FREL</t>
  </si>
  <si>
    <t>FSTA</t>
  </si>
  <si>
    <t>FTEC</t>
  </si>
  <si>
    <t>FUTY</t>
  </si>
  <si>
    <t>HYG</t>
  </si>
  <si>
    <t>HYLB</t>
  </si>
  <si>
    <t>IAGG</t>
  </si>
  <si>
    <t>ICVT</t>
  </si>
  <si>
    <t>IDU</t>
  </si>
  <si>
    <t>IGLB</t>
  </si>
  <si>
    <t>IGOV</t>
  </si>
  <si>
    <t>IYE</t>
  </si>
  <si>
    <t>IYF</t>
  </si>
  <si>
    <t>IYH</t>
  </si>
  <si>
    <t>IYJ</t>
  </si>
  <si>
    <t>IYK</t>
  </si>
  <si>
    <t>IYR</t>
  </si>
  <si>
    <t>IYW</t>
  </si>
  <si>
    <t>JNK</t>
  </si>
  <si>
    <t>MBB</t>
  </si>
  <si>
    <t>MUB</t>
  </si>
  <si>
    <t>PFF</t>
  </si>
  <si>
    <t>PFFD</t>
  </si>
  <si>
    <t>SCHQ</t>
  </si>
  <si>
    <t>SCHZ</t>
  </si>
  <si>
    <t>SCYB</t>
  </si>
  <si>
    <t>SPAB</t>
  </si>
  <si>
    <t>SPBO</t>
  </si>
  <si>
    <t>SPHY</t>
  </si>
  <si>
    <t>SPLB</t>
  </si>
  <si>
    <t>SPMB</t>
  </si>
  <si>
    <t>SPTL</t>
  </si>
  <si>
    <t>TFI</t>
  </si>
  <si>
    <t>USHY</t>
  </si>
  <si>
    <t>USIG</t>
  </si>
  <si>
    <t>VCLT</t>
  </si>
  <si>
    <t>VDC</t>
  </si>
  <si>
    <t>VDE</t>
  </si>
  <si>
    <t>VFH</t>
  </si>
  <si>
    <t>VGLT</t>
  </si>
  <si>
    <t>VGT</t>
  </si>
  <si>
    <t>VHT</t>
  </si>
  <si>
    <t>VIS</t>
  </si>
  <si>
    <t>VMBS</t>
  </si>
  <si>
    <t>VNQ</t>
  </si>
  <si>
    <t>VPU</t>
  </si>
  <si>
    <t>VTC</t>
  </si>
  <si>
    <t>VTEB</t>
  </si>
  <si>
    <t>VTEC</t>
  </si>
  <si>
    <t>VWOB</t>
  </si>
  <si>
    <t>XLE</t>
  </si>
  <si>
    <t>XLF</t>
  </si>
  <si>
    <t>XLI</t>
  </si>
  <si>
    <t>XLK</t>
  </si>
  <si>
    <t>XLP</t>
  </si>
  <si>
    <t>XLRE</t>
  </si>
  <si>
    <t>XLU</t>
  </si>
  <si>
    <t>XLV</t>
  </si>
  <si>
    <t>ratio</t>
  </si>
  <si>
    <t>ratio ma</t>
  </si>
  <si>
    <t>ANGL div</t>
  </si>
  <si>
    <t>FALN div</t>
  </si>
  <si>
    <t>BNDX div</t>
  </si>
  <si>
    <t>IAGG div</t>
  </si>
  <si>
    <t>PFFD div</t>
  </si>
  <si>
    <t>PFF div</t>
  </si>
  <si>
    <t>CMF div</t>
  </si>
  <si>
    <t>VTEC div</t>
  </si>
  <si>
    <t>VWOB div</t>
  </si>
  <si>
    <t>EMB div</t>
  </si>
  <si>
    <t>BWX div</t>
  </si>
  <si>
    <t>IGOV div</t>
  </si>
  <si>
    <t>CWB div</t>
  </si>
  <si>
    <t>ICVT div</t>
  </si>
  <si>
    <t>max</t>
  </si>
  <si>
    <t>min</t>
  </si>
  <si>
    <t>max-min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</si>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</sst>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75" formatCode="_(&quot;$&quot;* #,##0.0000000_);_(&quot;$&quot;* \(#,##0.0000000\);_(&quot;$&quot;* &quot;-&quot;??_);_(@_)"/>
    <numFmt numFmtId="179" formatCode="_(* #,##0.000000_);_(* \(#,##0.000000\);_(* &quot;-&quot;??_);_(@_)"/>
    <numFmt numFmtId="180" formatCode="_(&quot;$&quot;* #,##0.00000000_);_(&quot;$&quot;* \(#,##0.000000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0" fontId="0" fillId="0" borderId="0" xfId="3" applyNumberFormat="1" applyFont="1"/>
    <xf numFmtId="0" fontId="18" fillId="0" borderId="0" xfId="0" applyFont="1" applyAlignment="1">
      <alignment horizontal="right"/>
    </xf>
    <xf numFmtId="10" fontId="18" fillId="0" borderId="0" xfId="3" applyNumberFormat="1" applyFont="1" applyAlignment="1">
      <alignment horizontal="right"/>
    </xf>
    <xf numFmtId="44" fontId="18" fillId="0" borderId="0" xfId="2" applyFont="1" applyAlignment="1">
      <alignment horizontal="right"/>
    </xf>
    <xf numFmtId="44" fontId="0" fillId="0" borderId="0" xfId="2" applyFont="1"/>
    <xf numFmtId="175" fontId="18" fillId="0" borderId="0" xfId="2" applyNumberFormat="1" applyFont="1" applyAlignment="1">
      <alignment horizontal="right"/>
    </xf>
    <xf numFmtId="175" fontId="0" fillId="0" borderId="0" xfId="2" applyNumberFormat="1" applyFont="1"/>
    <xf numFmtId="179" fontId="18" fillId="0" borderId="0" xfId="1" applyNumberFormat="1" applyFont="1" applyAlignment="1">
      <alignment horizontal="right"/>
    </xf>
    <xf numFmtId="179" fontId="0" fillId="0" borderId="0" xfId="1" applyNumberFormat="1" applyFont="1"/>
    <xf numFmtId="10" fontId="1" fillId="0" borderId="0" xfId="3" applyNumberFormat="1" applyFont="1" applyAlignment="1">
      <alignment horizontal="right"/>
    </xf>
    <xf numFmtId="180" fontId="18" fillId="0" borderId="0" xfId="2" applyNumberFormat="1" applyFont="1" applyAlignment="1">
      <alignment horizontal="right"/>
    </xf>
    <xf numFmtId="180" fontId="0" fillId="0" borderId="0" xfId="2" applyNumberFormat="1" applyFont="1"/>
    <xf numFmtId="179" fontId="0" fillId="0" borderId="0" xfId="0" applyNumberFormat="1"/>
    <xf numFmtId="179" fontId="19" fillId="0" borderId="0" xfId="0" applyNumberFormat="1" applyFont="1" applyAlignment="1">
      <alignment horizontal="right"/>
    </xf>
    <xf numFmtId="179" fontId="0" fillId="0" borderId="0" xfId="0" applyNumberFormat="1" applyFont="1" applyAlignment="1">
      <alignment horizontal="right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'cwb icvt'!$O$1</c:f>
              <c:strCache>
                <c:ptCount val="1"/>
                <c:pt idx="0">
                  <c:v>diff/CWB*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'cwb icvt'!$A$2:$A$175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'cwb icvt'!$O$2:$O$175</c:f>
              <c:numCache>
                <c:formatCode>0.00%</c:formatCode>
                <c:ptCount val="174"/>
                <c:pt idx="21">
                  <c:v>6.8884400780583098E-3</c:v>
                </c:pt>
                <c:pt idx="22">
                  <c:v>3.0336789264518082E-3</c:v>
                </c:pt>
                <c:pt idx="23">
                  <c:v>4.8410487752796197E-3</c:v>
                </c:pt>
                <c:pt idx="24">
                  <c:v>5.8275386365034005E-3</c:v>
                </c:pt>
                <c:pt idx="25">
                  <c:v>1.3161059217580899E-3</c:v>
                </c:pt>
                <c:pt idx="26">
                  <c:v>9.2665932292000099E-4</c:v>
                </c:pt>
                <c:pt idx="27">
                  <c:v>-1.0143785698722649E-3</c:v>
                </c:pt>
                <c:pt idx="28">
                  <c:v>-2.5179818699096358E-4</c:v>
                </c:pt>
                <c:pt idx="29">
                  <c:v>1.6314603544889492E-3</c:v>
                </c:pt>
                <c:pt idx="30">
                  <c:v>-7.6363500135802267E-4</c:v>
                </c:pt>
                <c:pt idx="31">
                  <c:v>4.7418041533515878E-4</c:v>
                </c:pt>
                <c:pt idx="32">
                  <c:v>1.1081359870613824E-3</c:v>
                </c:pt>
                <c:pt idx="33">
                  <c:v>2.4779080158985828E-3</c:v>
                </c:pt>
                <c:pt idx="34">
                  <c:v>1.0675760675614141E-3</c:v>
                </c:pt>
                <c:pt idx="35">
                  <c:v>-2.2764353890300563E-3</c:v>
                </c:pt>
                <c:pt idx="36">
                  <c:v>-2.1961567346187724E-3</c:v>
                </c:pt>
                <c:pt idx="37">
                  <c:v>7.647869151266801E-4</c:v>
                </c:pt>
                <c:pt idx="38">
                  <c:v>2.1401477612469611E-3</c:v>
                </c:pt>
                <c:pt idx="39">
                  <c:v>5.8202481597647866E-3</c:v>
                </c:pt>
                <c:pt idx="40">
                  <c:v>1.1909107984417204E-3</c:v>
                </c:pt>
                <c:pt idx="41">
                  <c:v>2.093372105981347E-3</c:v>
                </c:pt>
                <c:pt idx="42">
                  <c:v>1.6011298405109863E-3</c:v>
                </c:pt>
                <c:pt idx="43">
                  <c:v>8.7122221791692444E-5</c:v>
                </c:pt>
                <c:pt idx="44">
                  <c:v>2.1273510494161183E-3</c:v>
                </c:pt>
                <c:pt idx="45">
                  <c:v>3.7494136917183012E-3</c:v>
                </c:pt>
                <c:pt idx="46">
                  <c:v>4.5594433652227416E-3</c:v>
                </c:pt>
                <c:pt idx="47">
                  <c:v>-5.2870162035327994E-4</c:v>
                </c:pt>
                <c:pt idx="48">
                  <c:v>2.7097908031931462E-3</c:v>
                </c:pt>
                <c:pt idx="49">
                  <c:v>2.989887621851448E-3</c:v>
                </c:pt>
                <c:pt idx="50">
                  <c:v>1.7510659596316387E-3</c:v>
                </c:pt>
                <c:pt idx="51">
                  <c:v>2.656260245282913E-3</c:v>
                </c:pt>
                <c:pt idx="52">
                  <c:v>2.6545299849240682E-3</c:v>
                </c:pt>
                <c:pt idx="53">
                  <c:v>2.8362056615955939E-3</c:v>
                </c:pt>
                <c:pt idx="54">
                  <c:v>1.4723186498815132E-3</c:v>
                </c:pt>
                <c:pt idx="55">
                  <c:v>3.4600032051960591E-3</c:v>
                </c:pt>
                <c:pt idx="56">
                  <c:v>3.8087784827623584E-3</c:v>
                </c:pt>
                <c:pt idx="57">
                  <c:v>3.1355723878129923E-3</c:v>
                </c:pt>
                <c:pt idx="58">
                  <c:v>9.2934605221110366E-3</c:v>
                </c:pt>
                <c:pt idx="59">
                  <c:v>4.2799877775334552E-4</c:v>
                </c:pt>
                <c:pt idx="60">
                  <c:v>-7.0284520724906796E-4</c:v>
                </c:pt>
                <c:pt idx="61">
                  <c:v>-8.6436392522499226E-4</c:v>
                </c:pt>
                <c:pt idx="62">
                  <c:v>4.9469579696541008E-4</c:v>
                </c:pt>
                <c:pt idx="63">
                  <c:v>1.6805392426647516E-3</c:v>
                </c:pt>
                <c:pt idx="64">
                  <c:v>4.2779098314637225E-4</c:v>
                </c:pt>
                <c:pt idx="65">
                  <c:v>4.6966683292991101E-4</c:v>
                </c:pt>
                <c:pt idx="66">
                  <c:v>7.3670732687063372E-4</c:v>
                </c:pt>
                <c:pt idx="67">
                  <c:v>1.5483755381393946E-3</c:v>
                </c:pt>
                <c:pt idx="68">
                  <c:v>-4.151101388325874E-3</c:v>
                </c:pt>
                <c:pt idx="69">
                  <c:v>-2.7142661723317642E-3</c:v>
                </c:pt>
                <c:pt idx="70">
                  <c:v>7.429356532455975E-5</c:v>
                </c:pt>
                <c:pt idx="71">
                  <c:v>-3.1196264524901447E-3</c:v>
                </c:pt>
                <c:pt idx="72">
                  <c:v>9.9281093830579136E-4</c:v>
                </c:pt>
                <c:pt idx="73">
                  <c:v>-2.6633382940945003E-4</c:v>
                </c:pt>
                <c:pt idx="74">
                  <c:v>3.8814451316474436E-4</c:v>
                </c:pt>
                <c:pt idx="75">
                  <c:v>-1.6096032729200861E-3</c:v>
                </c:pt>
                <c:pt idx="76">
                  <c:v>-3.5425034449045162E-3</c:v>
                </c:pt>
                <c:pt idx="77">
                  <c:v>-3.0803460286831213E-4</c:v>
                </c:pt>
                <c:pt idx="78">
                  <c:v>-1.6515691816382195E-3</c:v>
                </c:pt>
                <c:pt idx="79">
                  <c:v>-2.4078911886430401E-3</c:v>
                </c:pt>
                <c:pt idx="80">
                  <c:v>1.6463049669082554E-3</c:v>
                </c:pt>
                <c:pt idx="81">
                  <c:v>2.347310360455298E-3</c:v>
                </c:pt>
                <c:pt idx="82">
                  <c:v>1.6306438550744357E-3</c:v>
                </c:pt>
                <c:pt idx="83">
                  <c:v>5.2089515796039862E-3</c:v>
                </c:pt>
                <c:pt idx="84">
                  <c:v>1.8812983497789619E-3</c:v>
                </c:pt>
                <c:pt idx="85">
                  <c:v>5.4369157062147703E-3</c:v>
                </c:pt>
                <c:pt idx="86">
                  <c:v>2.5694611605935436E-3</c:v>
                </c:pt>
                <c:pt idx="87">
                  <c:v>1.3113048017232816E-3</c:v>
                </c:pt>
                <c:pt idx="88">
                  <c:v>3.3271928961943979E-3</c:v>
                </c:pt>
                <c:pt idx="89">
                  <c:v>1.4288747264020428E-3</c:v>
                </c:pt>
                <c:pt idx="90">
                  <c:v>3.6344394563509355E-3</c:v>
                </c:pt>
                <c:pt idx="91">
                  <c:v>3.1549991807782161E-3</c:v>
                </c:pt>
                <c:pt idx="92">
                  <c:v>5.5820938668681985E-3</c:v>
                </c:pt>
                <c:pt idx="93">
                  <c:v>5.3731940746285971E-3</c:v>
                </c:pt>
                <c:pt idx="94">
                  <c:v>2.855411832003205E-3</c:v>
                </c:pt>
                <c:pt idx="95">
                  <c:v>4.2095942105147997E-3</c:v>
                </c:pt>
                <c:pt idx="96">
                  <c:v>2.8758937659511029E-3</c:v>
                </c:pt>
                <c:pt idx="97">
                  <c:v>3.0871075886134201E-3</c:v>
                </c:pt>
                <c:pt idx="98">
                  <c:v>5.1711307882567423E-3</c:v>
                </c:pt>
                <c:pt idx="99">
                  <c:v>3.4960835509104419E-3</c:v>
                </c:pt>
                <c:pt idx="100">
                  <c:v>-6.4290177801459619E-4</c:v>
                </c:pt>
                <c:pt idx="101">
                  <c:v>-2.0529856778777555E-3</c:v>
                </c:pt>
                <c:pt idx="102">
                  <c:v>1.3415133607448514E-3</c:v>
                </c:pt>
                <c:pt idx="103">
                  <c:v>-4.7263184662159081E-4</c:v>
                </c:pt>
                <c:pt idx="104">
                  <c:v>1.4355653354097974E-3</c:v>
                </c:pt>
                <c:pt idx="105">
                  <c:v>2.0865545203311287E-4</c:v>
                </c:pt>
                <c:pt idx="106">
                  <c:v>-1.4017127876219449E-3</c:v>
                </c:pt>
                <c:pt idx="107">
                  <c:v>5.0441220587414508E-4</c:v>
                </c:pt>
                <c:pt idx="108">
                  <c:v>1.2016381822677722E-3</c:v>
                </c:pt>
                <c:pt idx="109">
                  <c:v>-1.8672866990513406E-3</c:v>
                </c:pt>
                <c:pt idx="110">
                  <c:v>-1.3080423396404641E-3</c:v>
                </c:pt>
                <c:pt idx="111">
                  <c:v>3.0030920302257809E-4</c:v>
                </c:pt>
                <c:pt idx="112">
                  <c:v>1.7939377211112475E-3</c:v>
                </c:pt>
                <c:pt idx="113">
                  <c:v>1.010363367757178E-3</c:v>
                </c:pt>
                <c:pt idx="114">
                  <c:v>2.1954200063491048E-3</c:v>
                </c:pt>
                <c:pt idx="115">
                  <c:v>2.9652634936345713E-3</c:v>
                </c:pt>
                <c:pt idx="116">
                  <c:v>4.4647039010730248E-3</c:v>
                </c:pt>
                <c:pt idx="117">
                  <c:v>4.4927042015744665E-3</c:v>
                </c:pt>
                <c:pt idx="118">
                  <c:v>3.9360087829919581E-3</c:v>
                </c:pt>
                <c:pt idx="119">
                  <c:v>4.1990356543138299E-3</c:v>
                </c:pt>
                <c:pt idx="120">
                  <c:v>4.4042899352345751E-3</c:v>
                </c:pt>
                <c:pt idx="121">
                  <c:v>5.3273188318010154E-3</c:v>
                </c:pt>
                <c:pt idx="122">
                  <c:v>6.1917501378645906E-3</c:v>
                </c:pt>
                <c:pt idx="123">
                  <c:v>5.2318177366930604E-3</c:v>
                </c:pt>
                <c:pt idx="124">
                  <c:v>1.9037150388183065E-3</c:v>
                </c:pt>
                <c:pt idx="125">
                  <c:v>-8.7291142302221337E-4</c:v>
                </c:pt>
                <c:pt idx="126">
                  <c:v>-2.938999605317922E-3</c:v>
                </c:pt>
                <c:pt idx="127">
                  <c:v>-4.0050356215790492E-3</c:v>
                </c:pt>
                <c:pt idx="128">
                  <c:v>-6.3835747701311845E-4</c:v>
                </c:pt>
                <c:pt idx="129">
                  <c:v>-2.4988878577540887E-3</c:v>
                </c:pt>
                <c:pt idx="130">
                  <c:v>-2.5715429871596635E-3</c:v>
                </c:pt>
                <c:pt idx="131">
                  <c:v>-3.7131626941713466E-3</c:v>
                </c:pt>
                <c:pt idx="132">
                  <c:v>-3.2859789501624953E-3</c:v>
                </c:pt>
                <c:pt idx="133">
                  <c:v>-3.6699199051070581E-3</c:v>
                </c:pt>
                <c:pt idx="134">
                  <c:v>-2.314054821595858E-3</c:v>
                </c:pt>
                <c:pt idx="135">
                  <c:v>-1.7985659686243808E-3</c:v>
                </c:pt>
                <c:pt idx="136">
                  <c:v>2.2645874156670687E-3</c:v>
                </c:pt>
                <c:pt idx="137">
                  <c:v>-2.505360232249123E-3</c:v>
                </c:pt>
                <c:pt idx="138">
                  <c:v>4.6892105930045449E-4</c:v>
                </c:pt>
                <c:pt idx="139">
                  <c:v>-1.6502234326012115E-3</c:v>
                </c:pt>
                <c:pt idx="140">
                  <c:v>-2.7801267378427812E-3</c:v>
                </c:pt>
                <c:pt idx="141">
                  <c:v>-6.2609541281405641E-3</c:v>
                </c:pt>
                <c:pt idx="142">
                  <c:v>-6.0769187508796906E-3</c:v>
                </c:pt>
                <c:pt idx="143">
                  <c:v>-3.3039620178847351E-3</c:v>
                </c:pt>
                <c:pt idx="144">
                  <c:v>-7.6171697649861196E-3</c:v>
                </c:pt>
                <c:pt idx="145">
                  <c:v>-5.5433039181529142E-3</c:v>
                </c:pt>
                <c:pt idx="146">
                  <c:v>-7.4440472790439039E-3</c:v>
                </c:pt>
                <c:pt idx="147">
                  <c:v>-6.267255540205967E-3</c:v>
                </c:pt>
                <c:pt idx="148">
                  <c:v>-5.2439532829983522E-3</c:v>
                </c:pt>
                <c:pt idx="149">
                  <c:v>-4.2018931021602264E-3</c:v>
                </c:pt>
                <c:pt idx="150">
                  <c:v>-6.377184935863851E-3</c:v>
                </c:pt>
                <c:pt idx="151">
                  <c:v>-4.1855630512928612E-3</c:v>
                </c:pt>
                <c:pt idx="152">
                  <c:v>-4.3164413562623427E-4</c:v>
                </c:pt>
                <c:pt idx="153">
                  <c:v>-3.0088787919057484E-3</c:v>
                </c:pt>
                <c:pt idx="154">
                  <c:v>-5.0709138602334967E-4</c:v>
                </c:pt>
                <c:pt idx="155">
                  <c:v>1.4836911905232912E-3</c:v>
                </c:pt>
                <c:pt idx="156">
                  <c:v>-1.8440118884102948E-3</c:v>
                </c:pt>
                <c:pt idx="157">
                  <c:v>5.876900117266086E-4</c:v>
                </c:pt>
                <c:pt idx="158">
                  <c:v>4.3022215902099257E-4</c:v>
                </c:pt>
                <c:pt idx="159">
                  <c:v>1.6966825738392835E-3</c:v>
                </c:pt>
                <c:pt idx="160">
                  <c:v>1.9779428212477091E-3</c:v>
                </c:pt>
                <c:pt idx="161">
                  <c:v>1.9473533927697297E-3</c:v>
                </c:pt>
                <c:pt idx="162">
                  <c:v>-1.6941257121039785E-3</c:v>
                </c:pt>
                <c:pt idx="163">
                  <c:v>1.3854529779292969E-3</c:v>
                </c:pt>
                <c:pt idx="164">
                  <c:v>7.948910031913219E-5</c:v>
                </c:pt>
                <c:pt idx="165">
                  <c:v>-9.7962148268509563E-4</c:v>
                </c:pt>
                <c:pt idx="166">
                  <c:v>-1.9159717852231439E-3</c:v>
                </c:pt>
                <c:pt idx="167">
                  <c:v>-1.7064099661878948E-3</c:v>
                </c:pt>
                <c:pt idx="168">
                  <c:v>-2.3279620391276944E-3</c:v>
                </c:pt>
                <c:pt idx="169">
                  <c:v>-5.1496026765645664E-4</c:v>
                </c:pt>
                <c:pt idx="170">
                  <c:v>-5.647353793760498E-4</c:v>
                </c:pt>
                <c:pt idx="171">
                  <c:v>1.9124341138190132E-3</c:v>
                </c:pt>
                <c:pt idx="172">
                  <c:v>1.224542003762565E-3</c:v>
                </c:pt>
                <c:pt idx="173">
                  <c:v>-3.3286217074458579E-3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C-40F4-A209-1DA804C7E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'cwb icvt'!$K$1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'cwb icvt'!$K$2:$K$175</c:f>
              <c:numCache>
                <c:formatCode>_(* #,##0.000000_);_(* \(#,##0.000000\);_(* "-"??_);_(@_)</c:formatCode>
                <c:ptCount val="174"/>
                <c:pt idx="20">
                  <c:v>1.1039726384206838</c:v>
                </c:pt>
                <c:pt idx="21">
                  <c:v>1.1044165743713337</c:v>
                </c:pt>
                <c:pt idx="22">
                  <c:v>1.1046857107680299</c:v>
                </c:pt>
                <c:pt idx="23">
                  <c:v>1.1050190928456287</c:v>
                </c:pt>
                <c:pt idx="24">
                  <c:v>1.105490205982985</c:v>
                </c:pt>
                <c:pt idx="25">
                  <c:v>1.1057724579753432</c:v>
                </c:pt>
                <c:pt idx="26">
                  <c:v>1.106011917297866</c:v>
                </c:pt>
                <c:pt idx="27">
                  <c:v>1.1061460681626456</c:v>
                </c:pt>
                <c:pt idx="28">
                  <c:v>1.1064565722455955</c:v>
                </c:pt>
                <c:pt idx="29">
                  <c:v>1.1067959556590696</c:v>
                </c:pt>
                <c:pt idx="30">
                  <c:v>1.1069651523590383</c:v>
                </c:pt>
                <c:pt idx="31">
                  <c:v>1.1071307623292252</c:v>
                </c:pt>
                <c:pt idx="32">
                  <c:v>1.107374943102944</c:v>
                </c:pt>
                <c:pt idx="33">
                  <c:v>1.1077280551272475</c:v>
                </c:pt>
                <c:pt idx="34">
                  <c:v>1.1079067855053482</c:v>
                </c:pt>
                <c:pt idx="35">
                  <c:v>1.1078718586500513</c:v>
                </c:pt>
                <c:pt idx="36">
                  <c:v>1.1078282364589063</c:v>
                </c:pt>
                <c:pt idx="37">
                  <c:v>1.1079449734075184</c:v>
                </c:pt>
                <c:pt idx="38">
                  <c:v>1.1080505293737171</c:v>
                </c:pt>
                <c:pt idx="39">
                  <c:v>1.108357953408619</c:v>
                </c:pt>
                <c:pt idx="40">
                  <c:v>1.1084209359732768</c:v>
                </c:pt>
                <c:pt idx="41">
                  <c:v>1.1083791352559804</c:v>
                </c:pt>
                <c:pt idx="42">
                  <c:v>1.1084984739812307</c:v>
                </c:pt>
                <c:pt idx="43">
                  <c:v>1.1084265490140273</c:v>
                </c:pt>
                <c:pt idx="44">
                  <c:v>1.108392845368678</c:v>
                </c:pt>
                <c:pt idx="45">
                  <c:v>1.1086730213931468</c:v>
                </c:pt>
                <c:pt idx="46">
                  <c:v>1.1090195624387562</c:v>
                </c:pt>
                <c:pt idx="47">
                  <c:v>1.1091967234131641</c:v>
                </c:pt>
                <c:pt idx="48">
                  <c:v>1.1095134670084172</c:v>
                </c:pt>
                <c:pt idx="49">
                  <c:v>1.1097419207740435</c:v>
                </c:pt>
                <c:pt idx="50">
                  <c:v>1.1100286400014197</c:v>
                </c:pt>
                <c:pt idx="51">
                  <c:v>1.1103029955711312</c:v>
                </c:pt>
                <c:pt idx="52">
                  <c:v>1.1105476312909253</c:v>
                </c:pt>
                <c:pt idx="53">
                  <c:v>1.1107265541118854</c:v>
                </c:pt>
                <c:pt idx="54">
                  <c:v>1.1108991170340929</c:v>
                </c:pt>
                <c:pt idx="55">
                  <c:v>1.1113670232465229</c:v>
                </c:pt>
                <c:pt idx="56">
                  <c:v>1.1118750820287497</c:v>
                </c:pt>
                <c:pt idx="57">
                  <c:v>1.1122093799205648</c:v>
                </c:pt>
                <c:pt idx="58">
                  <c:v>1.1128208556467265</c:v>
                </c:pt>
                <c:pt idx="59">
                  <c:v>1.1127607298059552</c:v>
                </c:pt>
                <c:pt idx="60">
                  <c:v>1.1128757659257713</c:v>
                </c:pt>
                <c:pt idx="61">
                  <c:v>1.1129343940666774</c:v>
                </c:pt>
                <c:pt idx="62">
                  <c:v>1.1131009522601616</c:v>
                </c:pt>
                <c:pt idx="63">
                  <c:v>1.1134197779231789</c:v>
                </c:pt>
                <c:pt idx="64">
                  <c:v>1.1135753542965969</c:v>
                </c:pt>
                <c:pt idx="65">
                  <c:v>1.1136528390479754</c:v>
                </c:pt>
                <c:pt idx="66">
                  <c:v>1.1136901051484431</c:v>
                </c:pt>
                <c:pt idx="67">
                  <c:v>1.1140391698317047</c:v>
                </c:pt>
                <c:pt idx="68">
                  <c:v>1.1138997831214028</c:v>
                </c:pt>
                <c:pt idx="69">
                  <c:v>1.1138020618729532</c:v>
                </c:pt>
                <c:pt idx="70">
                  <c:v>1.1139120447791384</c:v>
                </c:pt>
                <c:pt idx="71">
                  <c:v>1.1137850392966144</c:v>
                </c:pt>
                <c:pt idx="72">
                  <c:v>1.1138670637516803</c:v>
                </c:pt>
                <c:pt idx="73">
                  <c:v>1.1138607152767239</c:v>
                </c:pt>
                <c:pt idx="74">
                  <c:v>1.1139572731101921</c:v>
                </c:pt>
                <c:pt idx="75">
                  <c:v>1.1138283437250833</c:v>
                </c:pt>
                <c:pt idx="76">
                  <c:v>1.1135424751715477</c:v>
                </c:pt>
                <c:pt idx="77">
                  <c:v>1.1134343761076866</c:v>
                </c:pt>
                <c:pt idx="78">
                  <c:v>1.1128868665237444</c:v>
                </c:pt>
                <c:pt idx="79">
                  <c:v>1.1127323672452987</c:v>
                </c:pt>
                <c:pt idx="80">
                  <c:v>1.1128616488857053</c:v>
                </c:pt>
                <c:pt idx="81">
                  <c:v>1.1130396511008775</c:v>
                </c:pt>
                <c:pt idx="82">
                  <c:v>1.1131081343176112</c:v>
                </c:pt>
                <c:pt idx="83">
                  <c:v>1.1133048692476439</c:v>
                </c:pt>
                <c:pt idx="84">
                  <c:v>1.1133800311974604</c:v>
                </c:pt>
                <c:pt idx="85">
                  <c:v>1.1136467822409395</c:v>
                </c:pt>
                <c:pt idx="86">
                  <c:v>1.1137485311979614</c:v>
                </c:pt>
                <c:pt idx="87">
                  <c:v>1.113738255164487</c:v>
                </c:pt>
                <c:pt idx="88">
                  <c:v>1.1141397150088932</c:v>
                </c:pt>
                <c:pt idx="89">
                  <c:v>1.1143824809323255</c:v>
                </c:pt>
                <c:pt idx="90">
                  <c:v>1.1146098722518902</c:v>
                </c:pt>
                <c:pt idx="91">
                  <c:v>1.1149943427612519</c:v>
                </c:pt>
                <c:pt idx="92">
                  <c:v>1.1153107191901031</c:v>
                </c:pt>
                <c:pt idx="93">
                  <c:v>1.1156973740334375</c:v>
                </c:pt>
                <c:pt idx="94">
                  <c:v>1.1159268787991572</c:v>
                </c:pt>
                <c:pt idx="95">
                  <c:v>1.1163498905136575</c:v>
                </c:pt>
                <c:pt idx="96">
                  <c:v>1.1168337800748576</c:v>
                </c:pt>
                <c:pt idx="97">
                  <c:v>1.1171878851026134</c:v>
                </c:pt>
                <c:pt idx="98">
                  <c:v>1.1177563624808733</c:v>
                </c:pt>
                <c:pt idx="99">
                  <c:v>1.1183292112843626</c:v>
                </c:pt>
                <c:pt idx="100">
                  <c:v>1.1184815098532472</c:v>
                </c:pt>
                <c:pt idx="101">
                  <c:v>1.1185170799916802</c:v>
                </c:pt>
                <c:pt idx="102">
                  <c:v>1.1187752281531957</c:v>
                </c:pt>
                <c:pt idx="103">
                  <c:v>1.1187422380861469</c:v>
                </c:pt>
                <c:pt idx="104">
                  <c:v>1.1189896849762193</c:v>
                </c:pt>
                <c:pt idx="105">
                  <c:v>1.1189791741611537</c:v>
                </c:pt>
                <c:pt idx="106">
                  <c:v>1.1190242957786098</c:v>
                </c:pt>
                <c:pt idx="107">
                  <c:v>1.1192432832934716</c:v>
                </c:pt>
                <c:pt idx="108">
                  <c:v>1.119400499872603</c:v>
                </c:pt>
                <c:pt idx="109">
                  <c:v>1.1194794287285497</c:v>
                </c:pt>
                <c:pt idx="110">
                  <c:v>1.1194585520108959</c:v>
                </c:pt>
                <c:pt idx="111">
                  <c:v>1.1195419655224328</c:v>
                </c:pt>
                <c:pt idx="112">
                  <c:v>1.1195585659344915</c:v>
                </c:pt>
                <c:pt idx="113">
                  <c:v>1.1195278772724788</c:v>
                </c:pt>
                <c:pt idx="114">
                  <c:v>1.1196830053552651</c:v>
                </c:pt>
                <c:pt idx="115">
                  <c:v>1.119801939473664</c:v>
                </c:pt>
                <c:pt idx="116">
                  <c:v>1.1200639959415066</c:v>
                </c:pt>
                <c:pt idx="117">
                  <c:v>1.1203047232439849</c:v>
                </c:pt>
                <c:pt idx="118">
                  <c:v>1.120392185379123</c:v>
                </c:pt>
                <c:pt idx="119">
                  <c:v>1.120563816379057</c:v>
                </c:pt>
                <c:pt idx="120">
                  <c:v>1.1209582598226218</c:v>
                </c:pt>
                <c:pt idx="121">
                  <c:v>1.1214954937494863</c:v>
                </c:pt>
                <c:pt idx="122">
                  <c:v>1.1219165901509269</c:v>
                </c:pt>
                <c:pt idx="123">
                  <c:v>1.1223935798466873</c:v>
                </c:pt>
                <c:pt idx="124">
                  <c:v>1.122602681432773</c:v>
                </c:pt>
                <c:pt idx="125">
                  <c:v>1.122722660455467</c:v>
                </c:pt>
                <c:pt idx="126">
                  <c:v>1.1228232750682596</c:v>
                </c:pt>
                <c:pt idx="127">
                  <c:v>1.1227601541963996</c:v>
                </c:pt>
                <c:pt idx="128">
                  <c:v>1.1228329153513577</c:v>
                </c:pt>
                <c:pt idx="129">
                  <c:v>1.1229687565315885</c:v>
                </c:pt>
                <c:pt idx="130">
                  <c:v>1.1230720511247643</c:v>
                </c:pt>
                <c:pt idx="131">
                  <c:v>1.1230274094330241</c:v>
                </c:pt>
                <c:pt idx="132">
                  <c:v>1.1229167499790449</c:v>
                </c:pt>
                <c:pt idx="133">
                  <c:v>1.1228220504064923</c:v>
                </c:pt>
                <c:pt idx="134">
                  <c:v>1.1227339537792447</c:v>
                </c:pt>
                <c:pt idx="135">
                  <c:v>1.122619527889378</c:v>
                </c:pt>
                <c:pt idx="136">
                  <c:v>1.1226375416085559</c:v>
                </c:pt>
                <c:pt idx="137">
                  <c:v>1.1223739825082799</c:v>
                </c:pt>
                <c:pt idx="138">
                  <c:v>1.1222832842498192</c:v>
                </c:pt>
                <c:pt idx="139">
                  <c:v>1.1220500099480089</c:v>
                </c:pt>
                <c:pt idx="140">
                  <c:v>1.1217215831678504</c:v>
                </c:pt>
                <c:pt idx="141">
                  <c:v>1.121110011863913</c:v>
                </c:pt>
                <c:pt idx="142">
                  <c:v>1.1204028920530877</c:v>
                </c:pt>
                <c:pt idx="143">
                  <c:v>1.1198486355624202</c:v>
                </c:pt>
                <c:pt idx="144">
                  <c:v>1.1191880486129269</c:v>
                </c:pt>
                <c:pt idx="145">
                  <c:v>1.1187561136323905</c:v>
                </c:pt>
                <c:pt idx="146">
                  <c:v>1.1183063666938544</c:v>
                </c:pt>
                <c:pt idx="147">
                  <c:v>1.1179549330471878</c:v>
                </c:pt>
                <c:pt idx="148">
                  <c:v>1.1174573829346239</c:v>
                </c:pt>
                <c:pt idx="149">
                  <c:v>1.1170941261672445</c:v>
                </c:pt>
                <c:pt idx="150">
                  <c:v>1.1165885869788934</c:v>
                </c:pt>
                <c:pt idx="151">
                  <c:v>1.1162392436370971</c:v>
                </c:pt>
                <c:pt idx="152">
                  <c:v>1.1160602566625202</c:v>
                </c:pt>
                <c:pt idx="153">
                  <c:v>1.1157555782214819</c:v>
                </c:pt>
                <c:pt idx="154">
                  <c:v>1.1155038786990774</c:v>
                </c:pt>
                <c:pt idx="155">
                  <c:v>1.1153260936630143</c:v>
                </c:pt>
                <c:pt idx="156">
                  <c:v>1.1147314747201156</c:v>
                </c:pt>
                <c:pt idx="157">
                  <c:v>1.1145095577759647</c:v>
                </c:pt>
                <c:pt idx="158">
                  <c:v>1.1141139956349186</c:v>
                </c:pt>
                <c:pt idx="159">
                  <c:v>1.1138926470029409</c:v>
                </c:pt>
                <c:pt idx="160">
                  <c:v>1.113750911715619</c:v>
                </c:pt>
                <c:pt idx="161">
                  <c:v>1.113811973842677</c:v>
                </c:pt>
                <c:pt idx="162">
                  <c:v>1.1136933697890932</c:v>
                </c:pt>
                <c:pt idx="163">
                  <c:v>1.1136201305956808</c:v>
                </c:pt>
                <c:pt idx="164">
                  <c:v>1.1137396352388662</c:v>
                </c:pt>
                <c:pt idx="165">
                  <c:v>1.1137228623812745</c:v>
                </c:pt>
                <c:pt idx="166">
                  <c:v>1.1137809104098546</c:v>
                </c:pt>
                <c:pt idx="167">
                  <c:v>1.1138100448419863</c:v>
                </c:pt>
                <c:pt idx="168">
                  <c:v>1.1137662802286363</c:v>
                </c:pt>
                <c:pt idx="169">
                  <c:v>1.113787819647714</c:v>
                </c:pt>
                <c:pt idx="170">
                  <c:v>1.1139472503440604</c:v>
                </c:pt>
                <c:pt idx="171">
                  <c:v>1.1141553786451044</c:v>
                </c:pt>
                <c:pt idx="172">
                  <c:v>1.1141434928046716</c:v>
                </c:pt>
                <c:pt idx="173">
                  <c:v>1.1140301310028495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F-4353-B4BD-2C111A4A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'bwx igov'!$O$1</c:f>
              <c:strCache>
                <c:ptCount val="1"/>
                <c:pt idx="0">
                  <c:v>diff/BWX*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'bwx igov'!$A$2:$A$175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'bwx igov'!$O$2:$O$175</c:f>
              <c:numCache>
                <c:formatCode>0.00%</c:formatCode>
                <c:ptCount val="174"/>
                <c:pt idx="21">
                  <c:v>2.6442980082994629E-3</c:v>
                </c:pt>
                <c:pt idx="22">
                  <c:v>2.3965127230729131E-3</c:v>
                </c:pt>
                <c:pt idx="23">
                  <c:v>1.0489298393208823E-5</c:v>
                </c:pt>
                <c:pt idx="24">
                  <c:v>2.3541505515134956E-3</c:v>
                </c:pt>
                <c:pt idx="25">
                  <c:v>3.42379505875699E-3</c:v>
                </c:pt>
                <c:pt idx="26">
                  <c:v>8.5212878257642896E-4</c:v>
                </c:pt>
                <c:pt idx="27">
                  <c:v>6.0782721787524521E-4</c:v>
                </c:pt>
                <c:pt idx="28">
                  <c:v>-2.0295259497331059E-3</c:v>
                </c:pt>
                <c:pt idx="29">
                  <c:v>-2.3260983434968876E-3</c:v>
                </c:pt>
                <c:pt idx="30">
                  <c:v>-1.1216823375790538E-3</c:v>
                </c:pt>
                <c:pt idx="31">
                  <c:v>-2.0871324377773719E-3</c:v>
                </c:pt>
                <c:pt idx="32">
                  <c:v>-1.465416082043363E-3</c:v>
                </c:pt>
                <c:pt idx="33">
                  <c:v>6.150927985897279E-4</c:v>
                </c:pt>
                <c:pt idx="34">
                  <c:v>-3.378413876531467E-3</c:v>
                </c:pt>
                <c:pt idx="35">
                  <c:v>-2.4693690281430637E-3</c:v>
                </c:pt>
                <c:pt idx="36">
                  <c:v>-3.1309408651389699E-4</c:v>
                </c:pt>
                <c:pt idx="37">
                  <c:v>-1.245442968621357E-3</c:v>
                </c:pt>
                <c:pt idx="38">
                  <c:v>1.8019521865460953E-3</c:v>
                </c:pt>
                <c:pt idx="39">
                  <c:v>1.8288117805573846E-3</c:v>
                </c:pt>
                <c:pt idx="40">
                  <c:v>3.2795949543539334E-3</c:v>
                </c:pt>
                <c:pt idx="41">
                  <c:v>1.6266032689716248E-3</c:v>
                </c:pt>
                <c:pt idx="42">
                  <c:v>1.0672562254372229E-3</c:v>
                </c:pt>
                <c:pt idx="43">
                  <c:v>1.6772603715440573E-3</c:v>
                </c:pt>
                <c:pt idx="44">
                  <c:v>-4.2399401962119092E-4</c:v>
                </c:pt>
                <c:pt idx="45">
                  <c:v>8.1600153131612424E-4</c:v>
                </c:pt>
                <c:pt idx="46">
                  <c:v>-2.065658293584881E-3</c:v>
                </c:pt>
                <c:pt idx="47">
                  <c:v>3.7107586876953741E-5</c:v>
                </c:pt>
                <c:pt idx="48">
                  <c:v>-2.1940956655664909E-3</c:v>
                </c:pt>
                <c:pt idx="49">
                  <c:v>-3.084051046154117E-5</c:v>
                </c:pt>
                <c:pt idx="50">
                  <c:v>1.5797584944127318E-3</c:v>
                </c:pt>
                <c:pt idx="51">
                  <c:v>3.554776158336125E-4</c:v>
                </c:pt>
                <c:pt idx="52">
                  <c:v>1.2389431289492679E-3</c:v>
                </c:pt>
                <c:pt idx="53">
                  <c:v>2.1463801413307618E-4</c:v>
                </c:pt>
                <c:pt idx="54">
                  <c:v>-1.2740264802529821E-3</c:v>
                </c:pt>
                <c:pt idx="55">
                  <c:v>3.2866504451141833E-4</c:v>
                </c:pt>
                <c:pt idx="56">
                  <c:v>1.1021515071070694E-3</c:v>
                </c:pt>
                <c:pt idx="57">
                  <c:v>-1.0291610704656453E-3</c:v>
                </c:pt>
                <c:pt idx="58">
                  <c:v>-1.5652419046363344E-3</c:v>
                </c:pt>
                <c:pt idx="59">
                  <c:v>-4.8680993245960643E-4</c:v>
                </c:pt>
                <c:pt idx="60">
                  <c:v>1.3522275928093126E-3</c:v>
                </c:pt>
                <c:pt idx="61">
                  <c:v>1.3504355916376339E-3</c:v>
                </c:pt>
                <c:pt idx="62">
                  <c:v>8.4920059549201273E-4</c:v>
                </c:pt>
                <c:pt idx="63">
                  <c:v>-6.7723201785955525E-4</c:v>
                </c:pt>
                <c:pt idx="64">
                  <c:v>1.3801083513340238E-3</c:v>
                </c:pt>
                <c:pt idx="65">
                  <c:v>9.040554203901299E-4</c:v>
                </c:pt>
                <c:pt idx="66">
                  <c:v>2.721250018120517E-3</c:v>
                </c:pt>
                <c:pt idx="67">
                  <c:v>2.7922526604974565E-3</c:v>
                </c:pt>
                <c:pt idx="68">
                  <c:v>2.5113312934957181E-3</c:v>
                </c:pt>
                <c:pt idx="69">
                  <c:v>1.5818520176985869E-3</c:v>
                </c:pt>
                <c:pt idx="70">
                  <c:v>2.9872632880878825E-3</c:v>
                </c:pt>
                <c:pt idx="71">
                  <c:v>3.353425916122893E-3</c:v>
                </c:pt>
                <c:pt idx="72">
                  <c:v>2.8933136277078733E-3</c:v>
                </c:pt>
                <c:pt idx="73">
                  <c:v>9.3380859852586673E-4</c:v>
                </c:pt>
                <c:pt idx="74">
                  <c:v>1.8289944586821643E-3</c:v>
                </c:pt>
                <c:pt idx="75">
                  <c:v>4.3066397772310692E-4</c:v>
                </c:pt>
                <c:pt idx="76">
                  <c:v>2.0082147219806085E-3</c:v>
                </c:pt>
                <c:pt idx="77">
                  <c:v>2.6160002692607689E-3</c:v>
                </c:pt>
                <c:pt idx="78">
                  <c:v>2.1651344285022224E-3</c:v>
                </c:pt>
                <c:pt idx="79">
                  <c:v>1.9393655535796864E-3</c:v>
                </c:pt>
                <c:pt idx="80">
                  <c:v>1.4739105702986008E-3</c:v>
                </c:pt>
                <c:pt idx="81">
                  <c:v>2.0117376395623232E-3</c:v>
                </c:pt>
                <c:pt idx="82">
                  <c:v>2.3981027251763096E-4</c:v>
                </c:pt>
                <c:pt idx="83">
                  <c:v>4.5272727852991965E-5</c:v>
                </c:pt>
                <c:pt idx="84">
                  <c:v>3.459982156928595E-3</c:v>
                </c:pt>
                <c:pt idx="85">
                  <c:v>3.3431858681381658E-3</c:v>
                </c:pt>
                <c:pt idx="86">
                  <c:v>1.5251273970735468E-3</c:v>
                </c:pt>
                <c:pt idx="87">
                  <c:v>2.8242333153763745E-3</c:v>
                </c:pt>
                <c:pt idx="88">
                  <c:v>2.3360416433711286E-3</c:v>
                </c:pt>
                <c:pt idx="89">
                  <c:v>2.6324769814146481E-4</c:v>
                </c:pt>
                <c:pt idx="90">
                  <c:v>2.2150791084894548E-3</c:v>
                </c:pt>
                <c:pt idx="91">
                  <c:v>-5.1674583869560763E-4</c:v>
                </c:pt>
                <c:pt idx="92">
                  <c:v>-2.0008787360466362E-3</c:v>
                </c:pt>
                <c:pt idx="93">
                  <c:v>3.0564768911192544E-4</c:v>
                </c:pt>
                <c:pt idx="94">
                  <c:v>1.6246899392642923E-3</c:v>
                </c:pt>
                <c:pt idx="95">
                  <c:v>1.3960625324120472E-3</c:v>
                </c:pt>
                <c:pt idx="96">
                  <c:v>1.8874478170522347E-3</c:v>
                </c:pt>
                <c:pt idx="97">
                  <c:v>2.1857154982499556E-3</c:v>
                </c:pt>
                <c:pt idx="98">
                  <c:v>3.0979416601894581E-3</c:v>
                </c:pt>
                <c:pt idx="99">
                  <c:v>2.8944044826206263E-3</c:v>
                </c:pt>
                <c:pt idx="100">
                  <c:v>5.5383466144572928E-3</c:v>
                </c:pt>
                <c:pt idx="101">
                  <c:v>3.6779096457954653E-3</c:v>
                </c:pt>
                <c:pt idx="102">
                  <c:v>2.6754214656905854E-3</c:v>
                </c:pt>
                <c:pt idx="103">
                  <c:v>3.5585491065326992E-3</c:v>
                </c:pt>
                <c:pt idx="104">
                  <c:v>6.5858541953990244E-4</c:v>
                </c:pt>
                <c:pt idx="105">
                  <c:v>9.7709099870163041E-4</c:v>
                </c:pt>
                <c:pt idx="106">
                  <c:v>5.9432327526316871E-4</c:v>
                </c:pt>
                <c:pt idx="107">
                  <c:v>1.1724344113367319E-4</c:v>
                </c:pt>
                <c:pt idx="108">
                  <c:v>-1.8452177222679873E-3</c:v>
                </c:pt>
                <c:pt idx="109">
                  <c:v>-7.5794773418490159E-4</c:v>
                </c:pt>
                <c:pt idx="110">
                  <c:v>-6.5287330899897831E-4</c:v>
                </c:pt>
                <c:pt idx="111">
                  <c:v>-8.8665311390055093E-4</c:v>
                </c:pt>
                <c:pt idx="112">
                  <c:v>-1.533834298805442E-3</c:v>
                </c:pt>
                <c:pt idx="113">
                  <c:v>-1.0284101394932251E-3</c:v>
                </c:pt>
                <c:pt idx="114">
                  <c:v>-1.9318257783482813E-3</c:v>
                </c:pt>
                <c:pt idx="115">
                  <c:v>-2.779936740612993E-3</c:v>
                </c:pt>
                <c:pt idx="116">
                  <c:v>-2.5365233966964736E-3</c:v>
                </c:pt>
                <c:pt idx="117">
                  <c:v>-2.8388737930262137E-3</c:v>
                </c:pt>
                <c:pt idx="118">
                  <c:v>-7.7743002092990556E-4</c:v>
                </c:pt>
                <c:pt idx="119">
                  <c:v>-8.6015549096111294E-4</c:v>
                </c:pt>
                <c:pt idx="120">
                  <c:v>-2.0561994243681004E-3</c:v>
                </c:pt>
                <c:pt idx="121">
                  <c:v>2.6600267735011013E-4</c:v>
                </c:pt>
                <c:pt idx="122">
                  <c:v>4.3499478921251415E-4</c:v>
                </c:pt>
                <c:pt idx="123">
                  <c:v>-5.4015539212964208E-4</c:v>
                </c:pt>
                <c:pt idx="124">
                  <c:v>-1.0203675497025301E-3</c:v>
                </c:pt>
                <c:pt idx="125">
                  <c:v>-2.1493060628768926E-3</c:v>
                </c:pt>
                <c:pt idx="126">
                  <c:v>-1.8455498764023291E-3</c:v>
                </c:pt>
                <c:pt idx="127">
                  <c:v>-1.582238267590749E-3</c:v>
                </c:pt>
                <c:pt idx="128">
                  <c:v>-1.3433600571806717E-4</c:v>
                </c:pt>
                <c:pt idx="129">
                  <c:v>-1.1414969399264887E-3</c:v>
                </c:pt>
                <c:pt idx="130">
                  <c:v>-1.0027992321289532E-3</c:v>
                </c:pt>
                <c:pt idx="131">
                  <c:v>-1.9190734570887944E-3</c:v>
                </c:pt>
                <c:pt idx="132">
                  <c:v>-8.6537918785039588E-5</c:v>
                </c:pt>
                <c:pt idx="133">
                  <c:v>-5.2082100149507564E-4</c:v>
                </c:pt>
                <c:pt idx="134">
                  <c:v>-1.0181817150506484E-3</c:v>
                </c:pt>
                <c:pt idx="135">
                  <c:v>-8.5744031204129309E-4</c:v>
                </c:pt>
                <c:pt idx="136">
                  <c:v>-9.9084286258586062E-4</c:v>
                </c:pt>
                <c:pt idx="137">
                  <c:v>-1.6848118205767665E-3</c:v>
                </c:pt>
                <c:pt idx="138">
                  <c:v>-1.9520460788724704E-3</c:v>
                </c:pt>
                <c:pt idx="139">
                  <c:v>-1.3995445571643372E-3</c:v>
                </c:pt>
                <c:pt idx="140">
                  <c:v>-3.8324876937017243E-4</c:v>
                </c:pt>
                <c:pt idx="141">
                  <c:v>9.8166286244914499E-4</c:v>
                </c:pt>
                <c:pt idx="142">
                  <c:v>1.6453098320260231E-4</c:v>
                </c:pt>
                <c:pt idx="143">
                  <c:v>-5.6388814138757224E-4</c:v>
                </c:pt>
                <c:pt idx="144">
                  <c:v>-1.5926685689901126E-3</c:v>
                </c:pt>
                <c:pt idx="145">
                  <c:v>-2.0771410819656324E-4</c:v>
                </c:pt>
                <c:pt idx="146">
                  <c:v>-1.786068594822841E-3</c:v>
                </c:pt>
                <c:pt idx="147">
                  <c:v>-1.1207224560174207E-3</c:v>
                </c:pt>
                <c:pt idx="148">
                  <c:v>-3.3937378874493128E-3</c:v>
                </c:pt>
                <c:pt idx="149">
                  <c:v>-4.6421275316556564E-3</c:v>
                </c:pt>
                <c:pt idx="150">
                  <c:v>-1.6645453937990753E-3</c:v>
                </c:pt>
                <c:pt idx="151">
                  <c:v>-2.1253995909576149E-3</c:v>
                </c:pt>
                <c:pt idx="152">
                  <c:v>-3.6731273494264066E-3</c:v>
                </c:pt>
                <c:pt idx="153">
                  <c:v>-5.2287475556535474E-4</c:v>
                </c:pt>
                <c:pt idx="154">
                  <c:v>-3.2993692687295504E-4</c:v>
                </c:pt>
                <c:pt idx="155">
                  <c:v>6.8865410757156984E-4</c:v>
                </c:pt>
                <c:pt idx="156">
                  <c:v>-5.8607421552471343E-4</c:v>
                </c:pt>
                <c:pt idx="157">
                  <c:v>-1.1549395931344318E-3</c:v>
                </c:pt>
                <c:pt idx="158">
                  <c:v>-5.0487533709556848E-4</c:v>
                </c:pt>
                <c:pt idx="159">
                  <c:v>-1.0827784448944374E-3</c:v>
                </c:pt>
                <c:pt idx="160">
                  <c:v>-1.0187594048618586E-3</c:v>
                </c:pt>
                <c:pt idx="161">
                  <c:v>1.0976683814518931E-3</c:v>
                </c:pt>
                <c:pt idx="162">
                  <c:v>6.1456158206001164E-4</c:v>
                </c:pt>
                <c:pt idx="163">
                  <c:v>-7.9001915263776456E-5</c:v>
                </c:pt>
                <c:pt idx="164">
                  <c:v>-3.4787362305724356E-4</c:v>
                </c:pt>
                <c:pt idx="165">
                  <c:v>-9.5572377117936517E-4</c:v>
                </c:pt>
                <c:pt idx="166">
                  <c:v>-2.1643196179130359E-3</c:v>
                </c:pt>
                <c:pt idx="167">
                  <c:v>-1.0591204108644087E-3</c:v>
                </c:pt>
                <c:pt idx="168">
                  <c:v>-4.5428904243915479E-3</c:v>
                </c:pt>
                <c:pt idx="169">
                  <c:v>-3.1919531137692531E-3</c:v>
                </c:pt>
                <c:pt idx="170">
                  <c:v>-5.50996514786759E-3</c:v>
                </c:pt>
                <c:pt idx="171">
                  <c:v>-7.7551550306452378E-3</c:v>
                </c:pt>
                <c:pt idx="172">
                  <c:v>-6.1512073104454286E-3</c:v>
                </c:pt>
                <c:pt idx="173">
                  <c:v>-6.1381736283453083E-3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9-4726-9BFA-54E8C18E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'bwx igov'!$K$1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'bwx igov'!$K$2:$K$175</c:f>
              <c:numCache>
                <c:formatCode>_(* #,##0.000000_);_(* \(#,##0.000000\);_(* "-"??_);_(@_)</c:formatCode>
                <c:ptCount val="174"/>
                <c:pt idx="20">
                  <c:v>1.8589034606456125</c:v>
                </c:pt>
                <c:pt idx="21">
                  <c:v>1.8594434315044093</c:v>
                </c:pt>
                <c:pt idx="22">
                  <c:v>1.8599115437442992</c:v>
                </c:pt>
                <c:pt idx="23">
                  <c:v>1.860200226225355</c:v>
                </c:pt>
                <c:pt idx="24">
                  <c:v>1.8608456781750899</c:v>
                </c:pt>
                <c:pt idx="25">
                  <c:v>1.8614195613321467</c:v>
                </c:pt>
                <c:pt idx="26">
                  <c:v>1.8616776909952424</c:v>
                </c:pt>
                <c:pt idx="27">
                  <c:v>1.8618042717945247</c:v>
                </c:pt>
                <c:pt idx="28">
                  <c:v>1.8617368063801045</c:v>
                </c:pt>
                <c:pt idx="29">
                  <c:v>1.86159636486587</c:v>
                </c:pt>
                <c:pt idx="30">
                  <c:v>1.8616666741667127</c:v>
                </c:pt>
                <c:pt idx="31">
                  <c:v>1.8613179339437766</c:v>
                </c:pt>
                <c:pt idx="32">
                  <c:v>1.8609902819204744</c:v>
                </c:pt>
                <c:pt idx="33">
                  <c:v>1.8609091405210532</c:v>
                </c:pt>
                <c:pt idx="34">
                  <c:v>1.8605748804592053</c:v>
                </c:pt>
                <c:pt idx="35">
                  <c:v>1.8604102897322687</c:v>
                </c:pt>
                <c:pt idx="36">
                  <c:v>1.8602810203236495</c:v>
                </c:pt>
                <c:pt idx="37">
                  <c:v>1.8602475182051244</c:v>
                </c:pt>
                <c:pt idx="38">
                  <c:v>1.8602565540808809</c:v>
                </c:pt>
                <c:pt idx="39">
                  <c:v>1.8605979786103757</c:v>
                </c:pt>
                <c:pt idx="40">
                  <c:v>1.8610530126337235</c:v>
                </c:pt>
                <c:pt idx="41">
                  <c:v>1.8610660752429027</c:v>
                </c:pt>
                <c:pt idx="42">
                  <c:v>1.8610237101554934</c:v>
                </c:pt>
                <c:pt idx="43">
                  <c:v>1.8612344140836723</c:v>
                </c:pt>
                <c:pt idx="44">
                  <c:v>1.8610277062941296</c:v>
                </c:pt>
                <c:pt idx="45">
                  <c:v>1.860794180061087</c:v>
                </c:pt>
                <c:pt idx="46">
                  <c:v>1.8604914142917661</c:v>
                </c:pt>
                <c:pt idx="47">
                  <c:v>1.8603789734553569</c:v>
                </c:pt>
                <c:pt idx="48">
                  <c:v>1.8602925450704464</c:v>
                </c:pt>
                <c:pt idx="49">
                  <c:v>1.8604339925314464</c:v>
                </c:pt>
                <c:pt idx="50">
                  <c:v>1.8606272317229831</c:v>
                </c:pt>
                <c:pt idx="51">
                  <c:v>1.8608026074126098</c:v>
                </c:pt>
                <c:pt idx="52">
                  <c:v>1.8610284927780008</c:v>
                </c:pt>
                <c:pt idx="53">
                  <c:v>1.8609931416078411</c:v>
                </c:pt>
                <c:pt idx="54">
                  <c:v>1.8611931399982466</c:v>
                </c:pt>
                <c:pt idx="55">
                  <c:v>1.8614843607307261</c:v>
                </c:pt>
                <c:pt idx="56">
                  <c:v>1.8616697703433409</c:v>
                </c:pt>
                <c:pt idx="57">
                  <c:v>1.8617592536374616</c:v>
                </c:pt>
                <c:pt idx="58">
                  <c:v>1.8615215313749243</c:v>
                </c:pt>
                <c:pt idx="59">
                  <c:v>1.8613693669260303</c:v>
                </c:pt>
                <c:pt idx="60">
                  <c:v>1.8612286857055949</c:v>
                </c:pt>
                <c:pt idx="61">
                  <c:v>1.8612117830865522</c:v>
                </c:pt>
                <c:pt idx="62">
                  <c:v>1.8611987838687234</c:v>
                </c:pt>
                <c:pt idx="63">
                  <c:v>1.8609884433180059</c:v>
                </c:pt>
                <c:pt idx="64">
                  <c:v>1.8611440206773746</c:v>
                </c:pt>
                <c:pt idx="65">
                  <c:v>1.8611580351906301</c:v>
                </c:pt>
                <c:pt idx="66">
                  <c:v>1.8616216500104916</c:v>
                </c:pt>
                <c:pt idx="67">
                  <c:v>1.8619346157793426</c:v>
                </c:pt>
                <c:pt idx="68">
                  <c:v>1.8624502871009931</c:v>
                </c:pt>
                <c:pt idx="69">
                  <c:v>1.8627083488583309</c:v>
                </c:pt>
                <c:pt idx="70">
                  <c:v>1.8629533348678735</c:v>
                </c:pt>
                <c:pt idx="71">
                  <c:v>1.863348933258187</c:v>
                </c:pt>
                <c:pt idx="72">
                  <c:v>1.8636305407633149</c:v>
                </c:pt>
                <c:pt idx="73">
                  <c:v>1.8638276845007558</c:v>
                </c:pt>
                <c:pt idx="74">
                  <c:v>1.8642584058978451</c:v>
                </c:pt>
                <c:pt idx="75">
                  <c:v>1.8644212271835443</c:v>
                </c:pt>
                <c:pt idx="76">
                  <c:v>1.8646526965243235</c:v>
                </c:pt>
                <c:pt idx="77">
                  <c:v>1.8651415373338671</c:v>
                </c:pt>
                <c:pt idx="78">
                  <c:v>1.8656582708065195</c:v>
                </c:pt>
                <c:pt idx="79">
                  <c:v>1.8660913278059048</c:v>
                </c:pt>
                <c:pt idx="80">
                  <c:v>1.8663390986856399</c:v>
                </c:pt>
                <c:pt idx="81">
                  <c:v>1.8666566750922253</c:v>
                </c:pt>
                <c:pt idx="82">
                  <c:v>1.8668722747570801</c:v>
                </c:pt>
                <c:pt idx="83">
                  <c:v>1.8672231983919212</c:v>
                </c:pt>
                <c:pt idx="84">
                  <c:v>1.8677295458084706</c:v>
                </c:pt>
                <c:pt idx="85">
                  <c:v>1.8682869015491772</c:v>
                </c:pt>
                <c:pt idx="86">
                  <c:v>1.8685325798272128</c:v>
                </c:pt>
                <c:pt idx="87">
                  <c:v>1.8688820790159355</c:v>
                </c:pt>
                <c:pt idx="88">
                  <c:v>1.8692139447625693</c:v>
                </c:pt>
                <c:pt idx="89">
                  <c:v>1.8694294249218366</c:v>
                </c:pt>
                <c:pt idx="90">
                  <c:v>1.8696943054148611</c:v>
                </c:pt>
                <c:pt idx="91">
                  <c:v>1.8696706823049289</c:v>
                </c:pt>
                <c:pt idx="92">
                  <c:v>1.8695301578985959</c:v>
                </c:pt>
                <c:pt idx="93">
                  <c:v>1.8697666959228123</c:v>
                </c:pt>
                <c:pt idx="94">
                  <c:v>1.8700450895255529</c:v>
                </c:pt>
                <c:pt idx="95">
                  <c:v>1.8704248152540788</c:v>
                </c:pt>
                <c:pt idx="96">
                  <c:v>1.870714303211511</c:v>
                </c:pt>
                <c:pt idx="97">
                  <c:v>1.8709779294103277</c:v>
                </c:pt>
                <c:pt idx="98">
                  <c:v>1.8713576439299657</c:v>
                </c:pt>
                <c:pt idx="99">
                  <c:v>1.8717325262145394</c:v>
                </c:pt>
                <c:pt idx="100">
                  <c:v>1.8723953787232976</c:v>
                </c:pt>
                <c:pt idx="101">
                  <c:v>1.8728547885457374</c:v>
                </c:pt>
                <c:pt idx="102">
                  <c:v>1.8733928458412854</c:v>
                </c:pt>
                <c:pt idx="103">
                  <c:v>1.8740479764973621</c:v>
                </c:pt>
                <c:pt idx="104">
                  <c:v>1.8741278984888037</c:v>
                </c:pt>
                <c:pt idx="105">
                  <c:v>1.8742271674466693</c:v>
                </c:pt>
                <c:pt idx="106">
                  <c:v>1.8744374068060239</c:v>
                </c:pt>
                <c:pt idx="107">
                  <c:v>1.874479777831412</c:v>
                </c:pt>
                <c:pt idx="108">
                  <c:v>1.8743684322887251</c:v>
                </c:pt>
                <c:pt idx="109">
                  <c:v>1.874530519686304</c:v>
                </c:pt>
                <c:pt idx="110">
                  <c:v>1.8745173361741698</c:v>
                </c:pt>
                <c:pt idx="111">
                  <c:v>1.8747236932180744</c:v>
                </c:pt>
                <c:pt idx="112">
                  <c:v>1.8750196172042415</c:v>
                </c:pt>
                <c:pt idx="113">
                  <c:v>1.875169104831595</c:v>
                </c:pt>
                <c:pt idx="114">
                  <c:v>1.8751062107192784</c:v>
                </c:pt>
                <c:pt idx="115">
                  <c:v>1.8749680979524075</c:v>
                </c:pt>
                <c:pt idx="116">
                  <c:v>1.874780950603173</c:v>
                </c:pt>
                <c:pt idx="117">
                  <c:v>1.8745137271850727</c:v>
                </c:pt>
                <c:pt idx="118">
                  <c:v>1.8743278428878611</c:v>
                </c:pt>
                <c:pt idx="119">
                  <c:v>1.8741249188688009</c:v>
                </c:pt>
                <c:pt idx="120">
                  <c:v>1.8735335445975594</c:v>
                </c:pt>
                <c:pt idx="121">
                  <c:v>1.8732710460870134</c:v>
                </c:pt>
                <c:pt idx="122">
                  <c:v>1.8730820683260987</c:v>
                </c:pt>
                <c:pt idx="123">
                  <c:v>1.8726826136594963</c:v>
                </c:pt>
                <c:pt idx="124">
                  <c:v>1.8724570932554674</c:v>
                </c:pt>
                <c:pt idx="125">
                  <c:v>1.8720807691496486</c:v>
                </c:pt>
                <c:pt idx="126">
                  <c:v>1.8717450034717544</c:v>
                </c:pt>
                <c:pt idx="127">
                  <c:v>1.8714513177018695</c:v>
                </c:pt>
                <c:pt idx="128">
                  <c:v>1.8714602656959509</c:v>
                </c:pt>
                <c:pt idx="129">
                  <c:v>1.8712790777233022</c:v>
                </c:pt>
                <c:pt idx="130">
                  <c:v>1.8710838713112008</c:v>
                </c:pt>
                <c:pt idx="131">
                  <c:v>1.8708157630300406</c:v>
                </c:pt>
                <c:pt idx="132">
                  <c:v>1.8707560474705827</c:v>
                </c:pt>
                <c:pt idx="133">
                  <c:v>1.8705905669912937</c:v>
                </c:pt>
                <c:pt idx="134">
                  <c:v>1.8704475350444696</c:v>
                </c:pt>
                <c:pt idx="135">
                  <c:v>1.8703950452372102</c:v>
                </c:pt>
                <c:pt idx="136">
                  <c:v>1.8703115242448363</c:v>
                </c:pt>
                <c:pt idx="137">
                  <c:v>1.8701966101041259</c:v>
                </c:pt>
                <c:pt idx="138">
                  <c:v>1.8698710839144126</c:v>
                </c:pt>
                <c:pt idx="139">
                  <c:v>1.8695980082401316</c:v>
                </c:pt>
                <c:pt idx="140">
                  <c:v>1.8695285153808729</c:v>
                </c:pt>
                <c:pt idx="141">
                  <c:v>1.8693951080087821</c:v>
                </c:pt>
                <c:pt idx="142">
                  <c:v>1.869175946618435</c:v>
                </c:pt>
                <c:pt idx="143">
                  <c:v>1.8689785279944844</c:v>
                </c:pt>
                <c:pt idx="144">
                  <c:v>1.868740031771845</c:v>
                </c:pt>
                <c:pt idx="145">
                  <c:v>1.8687359946833566</c:v>
                </c:pt>
                <c:pt idx="146">
                  <c:v>1.8685746223480417</c:v>
                </c:pt>
                <c:pt idx="147">
                  <c:v>1.8684594729434392</c:v>
                </c:pt>
                <c:pt idx="148">
                  <c:v>1.8680053977850384</c:v>
                </c:pt>
                <c:pt idx="149">
                  <c:v>1.8675058917335008</c:v>
                </c:pt>
                <c:pt idx="150">
                  <c:v>1.8672556308786237</c:v>
                </c:pt>
                <c:pt idx="151">
                  <c:v>1.8670453230089616</c:v>
                </c:pt>
                <c:pt idx="152">
                  <c:v>1.8665220010711074</c:v>
                </c:pt>
                <c:pt idx="153">
                  <c:v>1.8663102173412898</c:v>
                </c:pt>
                <c:pt idx="154">
                  <c:v>1.866160641681488</c:v>
                </c:pt>
                <c:pt idx="155">
                  <c:v>1.8660907438288081</c:v>
                </c:pt>
                <c:pt idx="156">
                  <c:v>1.865913508753988</c:v>
                </c:pt>
                <c:pt idx="157">
                  <c:v>1.8657434132582253</c:v>
                </c:pt>
                <c:pt idx="158">
                  <c:v>1.8656561905221689</c:v>
                </c:pt>
                <c:pt idx="159">
                  <c:v>1.8654752896320268</c:v>
                </c:pt>
                <c:pt idx="160">
                  <c:v>1.8652099562336228</c:v>
                </c:pt>
                <c:pt idx="161">
                  <c:v>1.8650046350402545</c:v>
                </c:pt>
                <c:pt idx="162">
                  <c:v>1.864827040731025</c:v>
                </c:pt>
                <c:pt idx="163">
                  <c:v>1.8646549294987853</c:v>
                </c:pt>
                <c:pt idx="164">
                  <c:v>1.8645551495285795</c:v>
                </c:pt>
                <c:pt idx="165">
                  <c:v>1.8642762136159194</c:v>
                </c:pt>
                <c:pt idx="166">
                  <c:v>1.8640183646170367</c:v>
                </c:pt>
                <c:pt idx="167">
                  <c:v>1.8637965484126777</c:v>
                </c:pt>
                <c:pt idx="168">
                  <c:v>1.8634571040967245</c:v>
                </c:pt>
                <c:pt idx="169">
                  <c:v>1.8633658619913358</c:v>
                </c:pt>
                <c:pt idx="170">
                  <c:v>1.8628009338728611</c:v>
                </c:pt>
                <c:pt idx="171">
                  <c:v>1.8620543167386063</c:v>
                </c:pt>
                <c:pt idx="172">
                  <c:v>1.8615749670807382</c:v>
                </c:pt>
                <c:pt idx="173">
                  <c:v>1.8608050797244673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C-4C36-8760-787EF4061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'vwob emb'!$O$1</c:f>
              <c:strCache>
                <c:ptCount val="1"/>
                <c:pt idx="0">
                  <c:v>diff/VWOB*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'vwob emb'!$A$2:$A$175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'vwob emb'!$O$2:$O$175</c:f>
              <c:numCache>
                <c:formatCode>0.00%</c:formatCode>
                <c:ptCount val="174"/>
                <c:pt idx="21">
                  <c:v>1.991447027696463E-4</c:v>
                </c:pt>
                <c:pt idx="22">
                  <c:v>1.3556051707024595E-3</c:v>
                </c:pt>
                <c:pt idx="23">
                  <c:v>7.9245328673564647E-5</c:v>
                </c:pt>
                <c:pt idx="24">
                  <c:v>1.1570772570716609E-3</c:v>
                </c:pt>
                <c:pt idx="25">
                  <c:v>7.7568008305400871E-4</c:v>
                </c:pt>
                <c:pt idx="26">
                  <c:v>2.5139668660918105E-4</c:v>
                </c:pt>
                <c:pt idx="27">
                  <c:v>3.5885176779185075E-4</c:v>
                </c:pt>
                <c:pt idx="28">
                  <c:v>-1.4276090427311707E-4</c:v>
                </c:pt>
                <c:pt idx="29">
                  <c:v>1.3232044018514835E-4</c:v>
                </c:pt>
                <c:pt idx="30">
                  <c:v>-1.697694490923695E-4</c:v>
                </c:pt>
                <c:pt idx="31">
                  <c:v>-2.269672378317417E-4</c:v>
                </c:pt>
                <c:pt idx="32">
                  <c:v>-2.3006581693815813E-4</c:v>
                </c:pt>
                <c:pt idx="33">
                  <c:v>2.2504802807126319E-4</c:v>
                </c:pt>
                <c:pt idx="34">
                  <c:v>-2.1184654851148424E-4</c:v>
                </c:pt>
                <c:pt idx="35">
                  <c:v>4.9179983708967114E-4</c:v>
                </c:pt>
                <c:pt idx="36">
                  <c:v>3.7378520562268388E-4</c:v>
                </c:pt>
                <c:pt idx="37">
                  <c:v>4.4340299866514919E-5</c:v>
                </c:pt>
                <c:pt idx="38">
                  <c:v>2.5930783853349569E-4</c:v>
                </c:pt>
                <c:pt idx="39">
                  <c:v>1.2957223691638482E-3</c:v>
                </c:pt>
                <c:pt idx="40">
                  <c:v>6.3984806574915432E-4</c:v>
                </c:pt>
                <c:pt idx="41">
                  <c:v>1.509603751239023E-3</c:v>
                </c:pt>
                <c:pt idx="42">
                  <c:v>-3.8726443825454226E-4</c:v>
                </c:pt>
                <c:pt idx="43">
                  <c:v>-2.0237568312842153E-4</c:v>
                </c:pt>
                <c:pt idx="44">
                  <c:v>-1.1334438942489197E-4</c:v>
                </c:pt>
                <c:pt idx="45">
                  <c:v>-3.2853749637747255E-4</c:v>
                </c:pt>
                <c:pt idx="46">
                  <c:v>-1.2857025891491645E-3</c:v>
                </c:pt>
                <c:pt idx="47">
                  <c:v>-1.6841924060449582E-3</c:v>
                </c:pt>
                <c:pt idx="48">
                  <c:v>-1.3809978878734003E-4</c:v>
                </c:pt>
                <c:pt idx="49">
                  <c:v>-7.5941973215939312E-4</c:v>
                </c:pt>
                <c:pt idx="50">
                  <c:v>-9.4479982914636655E-4</c:v>
                </c:pt>
                <c:pt idx="51">
                  <c:v>-5.9158699017645554E-4</c:v>
                </c:pt>
                <c:pt idx="52">
                  <c:v>3.0679344461030303E-4</c:v>
                </c:pt>
                <c:pt idx="53">
                  <c:v>-1.1762802748793608E-3</c:v>
                </c:pt>
                <c:pt idx="54">
                  <c:v>9.6410098996062028E-4</c:v>
                </c:pt>
                <c:pt idx="55">
                  <c:v>-2.4036470903055637E-4</c:v>
                </c:pt>
                <c:pt idx="56">
                  <c:v>1.7184869583098704E-4</c:v>
                </c:pt>
                <c:pt idx="57">
                  <c:v>1.9812314241269297E-4</c:v>
                </c:pt>
                <c:pt idx="58">
                  <c:v>-2.1907238135693703E-4</c:v>
                </c:pt>
                <c:pt idx="59">
                  <c:v>-4.6691205112393326E-4</c:v>
                </c:pt>
                <c:pt idx="60">
                  <c:v>-1.5747447134826877E-4</c:v>
                </c:pt>
                <c:pt idx="61">
                  <c:v>3.641465791732303E-4</c:v>
                </c:pt>
                <c:pt idx="62">
                  <c:v>-2.0248214743037171E-4</c:v>
                </c:pt>
                <c:pt idx="63">
                  <c:v>-4.9699122110036232E-4</c:v>
                </c:pt>
                <c:pt idx="64">
                  <c:v>-1.2767773813543121E-3</c:v>
                </c:pt>
                <c:pt idx="65">
                  <c:v>2.0048622574191594E-3</c:v>
                </c:pt>
                <c:pt idx="66">
                  <c:v>1.6193215536707544E-3</c:v>
                </c:pt>
                <c:pt idx="67">
                  <c:v>1.2501196214416933E-3</c:v>
                </c:pt>
                <c:pt idx="68">
                  <c:v>1.4261080534501832E-3</c:v>
                </c:pt>
                <c:pt idx="69">
                  <c:v>1.6584266974332272E-3</c:v>
                </c:pt>
                <c:pt idx="70">
                  <c:v>2.6914066172148285E-4</c:v>
                </c:pt>
                <c:pt idx="71">
                  <c:v>9.4250405841881269E-4</c:v>
                </c:pt>
                <c:pt idx="72">
                  <c:v>7.6366192857242675E-4</c:v>
                </c:pt>
                <c:pt idx="73">
                  <c:v>2.0352124819904334E-4</c:v>
                </c:pt>
                <c:pt idx="74">
                  <c:v>9.4754447635920472E-5</c:v>
                </c:pt>
                <c:pt idx="75">
                  <c:v>6.3021898474215857E-4</c:v>
                </c:pt>
                <c:pt idx="76">
                  <c:v>-6.7432662985378777E-4</c:v>
                </c:pt>
                <c:pt idx="77">
                  <c:v>3.6007112469194975E-4</c:v>
                </c:pt>
                <c:pt idx="78">
                  <c:v>4.9512837444990777E-4</c:v>
                </c:pt>
                <c:pt idx="79">
                  <c:v>7.925764581969047E-4</c:v>
                </c:pt>
                <c:pt idx="80">
                  <c:v>-3.9785926720846637E-4</c:v>
                </c:pt>
                <c:pt idx="81">
                  <c:v>2.1752020947799289E-5</c:v>
                </c:pt>
                <c:pt idx="82">
                  <c:v>4.1281286545604632E-4</c:v>
                </c:pt>
                <c:pt idx="83">
                  <c:v>-1.435589528648987E-4</c:v>
                </c:pt>
                <c:pt idx="84">
                  <c:v>2.0143357493303818E-4</c:v>
                </c:pt>
                <c:pt idx="85">
                  <c:v>7.2593125098587192E-4</c:v>
                </c:pt>
                <c:pt idx="86">
                  <c:v>1.6007444904603648E-4</c:v>
                </c:pt>
                <c:pt idx="87">
                  <c:v>6.8327636208020839E-4</c:v>
                </c:pt>
                <c:pt idx="88">
                  <c:v>5.7353042993135684E-4</c:v>
                </c:pt>
                <c:pt idx="89">
                  <c:v>9.3950707017418299E-4</c:v>
                </c:pt>
                <c:pt idx="90">
                  <c:v>1.4354319428414263E-3</c:v>
                </c:pt>
                <c:pt idx="91">
                  <c:v>1.1906383367379012E-3</c:v>
                </c:pt>
                <c:pt idx="92">
                  <c:v>-4.9235457074038081E-4</c:v>
                </c:pt>
                <c:pt idx="93">
                  <c:v>8.0875913273265512E-5</c:v>
                </c:pt>
                <c:pt idx="94">
                  <c:v>5.169545965782315E-4</c:v>
                </c:pt>
                <c:pt idx="95">
                  <c:v>1.0303262265591465E-3</c:v>
                </c:pt>
                <c:pt idx="96">
                  <c:v>1.1046659857917767E-3</c:v>
                </c:pt>
                <c:pt idx="97">
                  <c:v>1.5071070292031516E-3</c:v>
                </c:pt>
                <c:pt idx="98">
                  <c:v>1.3770360399805799E-3</c:v>
                </c:pt>
                <c:pt idx="99">
                  <c:v>1.0987795102617673E-3</c:v>
                </c:pt>
                <c:pt idx="100">
                  <c:v>6.6076310312577276E-4</c:v>
                </c:pt>
                <c:pt idx="101">
                  <c:v>2.6232616730414548E-4</c:v>
                </c:pt>
                <c:pt idx="102">
                  <c:v>9.5693584148724372E-4</c:v>
                </c:pt>
                <c:pt idx="103">
                  <c:v>9.404468013789227E-4</c:v>
                </c:pt>
                <c:pt idx="104">
                  <c:v>2.2571625419931423E-4</c:v>
                </c:pt>
                <c:pt idx="105">
                  <c:v>-1.2945837705994058E-4</c:v>
                </c:pt>
                <c:pt idx="106">
                  <c:v>-1.0091671840947373E-3</c:v>
                </c:pt>
                <c:pt idx="107">
                  <c:v>-4.7687840347326443E-4</c:v>
                </c:pt>
                <c:pt idx="108">
                  <c:v>1.4877026752281832E-4</c:v>
                </c:pt>
                <c:pt idx="109">
                  <c:v>2.0991652803890973E-4</c:v>
                </c:pt>
                <c:pt idx="110">
                  <c:v>3.7425500467079179E-4</c:v>
                </c:pt>
                <c:pt idx="111">
                  <c:v>-3.150195472238366E-4</c:v>
                </c:pt>
                <c:pt idx="112">
                  <c:v>4.9929657444988966E-4</c:v>
                </c:pt>
                <c:pt idx="113">
                  <c:v>-2.9346309353471539E-4</c:v>
                </c:pt>
                <c:pt idx="114">
                  <c:v>-3.6606046080798571E-4</c:v>
                </c:pt>
                <c:pt idx="115">
                  <c:v>-4.5656676533215225E-4</c:v>
                </c:pt>
                <c:pt idx="116">
                  <c:v>-1.5351160692593513E-4</c:v>
                </c:pt>
                <c:pt idx="117">
                  <c:v>3.8088246897243114E-5</c:v>
                </c:pt>
                <c:pt idx="118">
                  <c:v>1.6513811689429565E-4</c:v>
                </c:pt>
                <c:pt idx="119">
                  <c:v>8.9500569417312882E-5</c:v>
                </c:pt>
                <c:pt idx="120">
                  <c:v>6.3427483283491994E-4</c:v>
                </c:pt>
                <c:pt idx="121">
                  <c:v>-3.3305353375548401E-5</c:v>
                </c:pt>
                <c:pt idx="122">
                  <c:v>-4.0927705341783541E-4</c:v>
                </c:pt>
                <c:pt idx="123">
                  <c:v>2.5318600504340967E-4</c:v>
                </c:pt>
                <c:pt idx="124">
                  <c:v>2.1464073155194697E-4</c:v>
                </c:pt>
                <c:pt idx="125">
                  <c:v>1.0051609111302099E-3</c:v>
                </c:pt>
                <c:pt idx="126">
                  <c:v>2.1696963305968412E-3</c:v>
                </c:pt>
                <c:pt idx="127">
                  <c:v>1.3552643491574973E-3</c:v>
                </c:pt>
                <c:pt idx="128">
                  <c:v>1.8144130849273195E-3</c:v>
                </c:pt>
                <c:pt idx="129">
                  <c:v>5.611672405168393E-4</c:v>
                </c:pt>
                <c:pt idx="130">
                  <c:v>2.9188242479270132E-4</c:v>
                </c:pt>
                <c:pt idx="131">
                  <c:v>4.592716124930131E-4</c:v>
                </c:pt>
                <c:pt idx="132">
                  <c:v>7.1479241994501378E-4</c:v>
                </c:pt>
                <c:pt idx="133">
                  <c:v>-1.6530529795649908E-4</c:v>
                </c:pt>
                <c:pt idx="134">
                  <c:v>3.6157261223549971E-4</c:v>
                </c:pt>
                <c:pt idx="135">
                  <c:v>4.2388224880918841E-4</c:v>
                </c:pt>
                <c:pt idx="136">
                  <c:v>1.336159590983715E-3</c:v>
                </c:pt>
                <c:pt idx="137">
                  <c:v>9.0482555566384246E-4</c:v>
                </c:pt>
                <c:pt idx="138">
                  <c:v>9.6465926379812222E-4</c:v>
                </c:pt>
                <c:pt idx="139">
                  <c:v>9.6149582069654876E-5</c:v>
                </c:pt>
                <c:pt idx="140">
                  <c:v>8.3363353444350515E-4</c:v>
                </c:pt>
                <c:pt idx="141">
                  <c:v>1.514065092078948E-3</c:v>
                </c:pt>
                <c:pt idx="142">
                  <c:v>6.5891988685640418E-4</c:v>
                </c:pt>
                <c:pt idx="143">
                  <c:v>9.9543208604022776E-4</c:v>
                </c:pt>
                <c:pt idx="144">
                  <c:v>-3.5306879314685251E-6</c:v>
                </c:pt>
                <c:pt idx="145">
                  <c:v>4.4453834703248594E-4</c:v>
                </c:pt>
                <c:pt idx="146">
                  <c:v>5.0974606109893141E-4</c:v>
                </c:pt>
                <c:pt idx="147">
                  <c:v>-4.3092087624795733E-4</c:v>
                </c:pt>
                <c:pt idx="148">
                  <c:v>-7.529871343689206E-4</c:v>
                </c:pt>
                <c:pt idx="149">
                  <c:v>-3.576709992066143E-4</c:v>
                </c:pt>
                <c:pt idx="150">
                  <c:v>-7.9111820214010494E-4</c:v>
                </c:pt>
                <c:pt idx="151">
                  <c:v>-5.9690931639333662E-4</c:v>
                </c:pt>
                <c:pt idx="152">
                  <c:v>-2.0153237297237519E-4</c:v>
                </c:pt>
                <c:pt idx="153">
                  <c:v>-1.5721223959109138E-4</c:v>
                </c:pt>
                <c:pt idx="154">
                  <c:v>-1.1711035117795627E-3</c:v>
                </c:pt>
                <c:pt idx="155">
                  <c:v>-1.3515381993796025E-3</c:v>
                </c:pt>
                <c:pt idx="156">
                  <c:v>-8.9178012943650199E-4</c:v>
                </c:pt>
                <c:pt idx="157">
                  <c:v>-1.1110045084646913E-4</c:v>
                </c:pt>
                <c:pt idx="158">
                  <c:v>-1.2161802360742934E-3</c:v>
                </c:pt>
                <c:pt idx="159">
                  <c:v>-1.0555967162232647E-3</c:v>
                </c:pt>
                <c:pt idx="160">
                  <c:v>-8.519076708478386E-4</c:v>
                </c:pt>
                <c:pt idx="161">
                  <c:v>-4.4204299502317795E-5</c:v>
                </c:pt>
                <c:pt idx="162">
                  <c:v>3.4174694078184249E-4</c:v>
                </c:pt>
                <c:pt idx="163">
                  <c:v>-8.8277410678429377E-4</c:v>
                </c:pt>
                <c:pt idx="164">
                  <c:v>-4.4541159289192321E-4</c:v>
                </c:pt>
                <c:pt idx="165">
                  <c:v>-5.9816600598274893E-4</c:v>
                </c:pt>
                <c:pt idx="166">
                  <c:v>-4.6499050687049494E-4</c:v>
                </c:pt>
                <c:pt idx="167">
                  <c:v>-5.4818533786392585E-5</c:v>
                </c:pt>
                <c:pt idx="168">
                  <c:v>5.4861709416431127E-4</c:v>
                </c:pt>
                <c:pt idx="169">
                  <c:v>-8.5808047539198577E-7</c:v>
                </c:pt>
                <c:pt idx="170">
                  <c:v>5.0767950321292936E-4</c:v>
                </c:pt>
                <c:pt idx="171">
                  <c:v>1.1810755833127292E-3</c:v>
                </c:pt>
                <c:pt idx="172">
                  <c:v>9.3490601628944594E-5</c:v>
                </c:pt>
                <c:pt idx="173">
                  <c:v>-1.5938484505676125E-5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7-427D-B3A0-39E336EB0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'vwob emb'!$K$1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'vwob emb'!$K$2:$K$175</c:f>
              <c:numCache>
                <c:formatCode>_(* #,##0.000000_);_(* \(#,##0.000000\);_(* "-"??_);_(@_)</c:formatCode>
                <c:ptCount val="174"/>
                <c:pt idx="20">
                  <c:v>1.4279195900777595</c:v>
                </c:pt>
                <c:pt idx="21">
                  <c:v>1.4279170822485265</c:v>
                </c:pt>
                <c:pt idx="22">
                  <c:v>1.4280076163108553</c:v>
                </c:pt>
                <c:pt idx="23">
                  <c:v>1.4280465779389184</c:v>
                </c:pt>
                <c:pt idx="24">
                  <c:v>1.4281910582097883</c:v>
                </c:pt>
                <c:pt idx="25">
                  <c:v>1.4282041260686342</c:v>
                </c:pt>
                <c:pt idx="26">
                  <c:v>1.428197353662656</c:v>
                </c:pt>
                <c:pt idx="27">
                  <c:v>1.4282657695689198</c:v>
                </c:pt>
                <c:pt idx="28">
                  <c:v>1.4282699300045354</c:v>
                </c:pt>
                <c:pt idx="29">
                  <c:v>1.4282854685626467</c:v>
                </c:pt>
                <c:pt idx="30">
                  <c:v>1.4283258022745826</c:v>
                </c:pt>
                <c:pt idx="31">
                  <c:v>1.4283920531258867</c:v>
                </c:pt>
                <c:pt idx="32">
                  <c:v>1.4283666531443788</c:v>
                </c:pt>
                <c:pt idx="33">
                  <c:v>1.4284084284912058</c:v>
                </c:pt>
                <c:pt idx="34">
                  <c:v>1.4284020245304003</c:v>
                </c:pt>
                <c:pt idx="35">
                  <c:v>1.4284244627820262</c:v>
                </c:pt>
                <c:pt idx="36">
                  <c:v>1.4284374839777576</c:v>
                </c:pt>
                <c:pt idx="37">
                  <c:v>1.428442397956629</c:v>
                </c:pt>
                <c:pt idx="38">
                  <c:v>1.4285187978038347</c:v>
                </c:pt>
                <c:pt idx="39">
                  <c:v>1.4286657221812238</c:v>
                </c:pt>
                <c:pt idx="40">
                  <c:v>1.4287598625453348</c:v>
                </c:pt>
                <c:pt idx="41">
                  <c:v>1.4288955011000024</c:v>
                </c:pt>
                <c:pt idx="42">
                  <c:v>1.4288199694328965</c:v>
                </c:pt>
                <c:pt idx="43">
                  <c:v>1.4288404710214846</c:v>
                </c:pt>
                <c:pt idx="44">
                  <c:v>1.4287894501122054</c:v>
                </c:pt>
                <c:pt idx="45">
                  <c:v>1.4287405081939544</c:v>
                </c:pt>
                <c:pt idx="46">
                  <c:v>1.4286575282424345</c:v>
                </c:pt>
                <c:pt idx="47">
                  <c:v>1.4285346047061727</c:v>
                </c:pt>
                <c:pt idx="48">
                  <c:v>1.4285483774723162</c:v>
                </c:pt>
                <c:pt idx="49">
                  <c:v>1.4284986069891035</c:v>
                </c:pt>
                <c:pt idx="50">
                  <c:v>1.4284539056102927</c:v>
                </c:pt>
                <c:pt idx="51">
                  <c:v>1.4284342671978503</c:v>
                </c:pt>
                <c:pt idx="52">
                  <c:v>1.4284747208241406</c:v>
                </c:pt>
                <c:pt idx="53">
                  <c:v>1.4283800373213327</c:v>
                </c:pt>
                <c:pt idx="54">
                  <c:v>1.4284626030630121</c:v>
                </c:pt>
                <c:pt idx="55">
                  <c:v>1.4284133399955974</c:v>
                </c:pt>
                <c:pt idx="56">
                  <c:v>1.4283983612081781</c:v>
                </c:pt>
                <c:pt idx="57">
                  <c:v>1.4284073881409771</c:v>
                </c:pt>
                <c:pt idx="58">
                  <c:v>1.4283714711042568</c:v>
                </c:pt>
                <c:pt idx="59">
                  <c:v>1.4282382103885567</c:v>
                </c:pt>
                <c:pt idx="60">
                  <c:v>1.4281598827961193</c:v>
                </c:pt>
                <c:pt idx="61">
                  <c:v>1.4280480437230441</c:v>
                </c:pt>
                <c:pt idx="62">
                  <c:v>1.428018881163148</c:v>
                </c:pt>
                <c:pt idx="63">
                  <c:v>1.4279577990281542</c:v>
                </c:pt>
                <c:pt idx="64">
                  <c:v>1.4278306037700601</c:v>
                </c:pt>
                <c:pt idx="65">
                  <c:v>1.4279492621827667</c:v>
                </c:pt>
                <c:pt idx="66">
                  <c:v>1.428117162101628</c:v>
                </c:pt>
                <c:pt idx="67">
                  <c:v>1.4282997163668858</c:v>
                </c:pt>
                <c:pt idx="68">
                  <c:v>1.4283996814526936</c:v>
                </c:pt>
                <c:pt idx="69">
                  <c:v>1.4285649348513385</c:v>
                </c:pt>
                <c:pt idx="70">
                  <c:v>1.4286549577520353</c:v>
                </c:pt>
                <c:pt idx="71">
                  <c:v>1.4287745887512417</c:v>
                </c:pt>
                <c:pt idx="72">
                  <c:v>1.4288242481533466</c:v>
                </c:pt>
                <c:pt idx="73">
                  <c:v>1.4289402786563925</c:v>
                </c:pt>
                <c:pt idx="74">
                  <c:v>1.4289062055150847</c:v>
                </c:pt>
                <c:pt idx="75">
                  <c:v>1.4289905794284921</c:v>
                </c:pt>
                <c:pt idx="76">
                  <c:v>1.4289589875315818</c:v>
                </c:pt>
                <c:pt idx="77">
                  <c:v>1.4289985952526438</c:v>
                </c:pt>
                <c:pt idx="78">
                  <c:v>1.4290791787262085</c:v>
                </c:pt>
                <c:pt idx="79">
                  <c:v>1.4292045430256708</c:v>
                </c:pt>
                <c:pt idx="80">
                  <c:v>1.4292356740967749</c:v>
                </c:pt>
                <c:pt idx="81">
                  <c:v>1.4292650151232322</c:v>
                </c:pt>
                <c:pt idx="82">
                  <c:v>1.4293698223542874</c:v>
                </c:pt>
                <c:pt idx="83">
                  <c:v>1.4294625951144719</c:v>
                </c:pt>
                <c:pt idx="84">
                  <c:v>1.4296433912177924</c:v>
                </c:pt>
                <c:pt idx="85">
                  <c:v>1.4296427915465773</c:v>
                </c:pt>
                <c:pt idx="86">
                  <c:v>1.429623295027987</c:v>
                </c:pt>
                <c:pt idx="87">
                  <c:v>1.4296581772002106</c:v>
                </c:pt>
                <c:pt idx="88">
                  <c:v>1.4296652523789157</c:v>
                </c:pt>
                <c:pt idx="89">
                  <c:v>1.4296772451475401</c:v>
                </c:pt>
                <c:pt idx="90">
                  <c:v>1.429816246636038</c:v>
                </c:pt>
                <c:pt idx="91">
                  <c:v>1.4298921051273368</c:v>
                </c:pt>
                <c:pt idx="92">
                  <c:v>1.4298582252125633</c:v>
                </c:pt>
                <c:pt idx="93">
                  <c:v>1.429901166315293</c:v>
                </c:pt>
                <c:pt idx="94">
                  <c:v>1.4299794004749262</c:v>
                </c:pt>
                <c:pt idx="95">
                  <c:v>1.4300617012959993</c:v>
                </c:pt>
                <c:pt idx="96">
                  <c:v>1.4302424247354009</c:v>
                </c:pt>
                <c:pt idx="97">
                  <c:v>1.4303886466726921</c:v>
                </c:pt>
                <c:pt idx="98">
                  <c:v>1.4305212571919987</c:v>
                </c:pt>
                <c:pt idx="99">
                  <c:v>1.4306153197619103</c:v>
                </c:pt>
                <c:pt idx="100">
                  <c:v>1.4307615546032346</c:v>
                </c:pt>
                <c:pt idx="101">
                  <c:v>1.4308550605000889</c:v>
                </c:pt>
                <c:pt idx="102">
                  <c:v>1.4309735236441805</c:v>
                </c:pt>
                <c:pt idx="103">
                  <c:v>1.4311312563740812</c:v>
                </c:pt>
                <c:pt idx="104">
                  <c:v>1.4312164438283461</c:v>
                </c:pt>
                <c:pt idx="105">
                  <c:v>1.4312339411701995</c:v>
                </c:pt>
                <c:pt idx="106">
                  <c:v>1.4312298384709616</c:v>
                </c:pt>
                <c:pt idx="107">
                  <c:v>1.431227198122883</c:v>
                </c:pt>
                <c:pt idx="108">
                  <c:v>1.4312752977482228</c:v>
                </c:pt>
                <c:pt idx="109">
                  <c:v>1.4313036634031173</c:v>
                </c:pt>
                <c:pt idx="110">
                  <c:v>1.4313091577245758</c:v>
                </c:pt>
                <c:pt idx="111">
                  <c:v>1.4312761390589757</c:v>
                </c:pt>
                <c:pt idx="112">
                  <c:v>1.4314162730149049</c:v>
                </c:pt>
                <c:pt idx="113">
                  <c:v>1.4314673899581503</c:v>
                </c:pt>
                <c:pt idx="114">
                  <c:v>1.431482541260644</c:v>
                </c:pt>
                <c:pt idx="115">
                  <c:v>1.4314513526682677</c:v>
                </c:pt>
                <c:pt idx="116">
                  <c:v>1.4314308609910618</c:v>
                </c:pt>
                <c:pt idx="117">
                  <c:v>1.4313852324178584</c:v>
                </c:pt>
                <c:pt idx="118">
                  <c:v>1.4313483956823259</c:v>
                </c:pt>
                <c:pt idx="119">
                  <c:v>1.4313175665593447</c:v>
                </c:pt>
                <c:pt idx="120">
                  <c:v>1.4313508064438265</c:v>
                </c:pt>
                <c:pt idx="121">
                  <c:v>1.4313591191438884</c:v>
                </c:pt>
                <c:pt idx="122">
                  <c:v>1.4312865691293768</c:v>
                </c:pt>
                <c:pt idx="123">
                  <c:v>1.4312530527664036</c:v>
                </c:pt>
                <c:pt idx="124">
                  <c:v>1.4312583513668109</c:v>
                </c:pt>
                <c:pt idx="125">
                  <c:v>1.4313416431390622</c:v>
                </c:pt>
                <c:pt idx="126">
                  <c:v>1.4315745247893623</c:v>
                </c:pt>
                <c:pt idx="127">
                  <c:v>1.4317228933311315</c:v>
                </c:pt>
                <c:pt idx="128">
                  <c:v>1.4318669187264688</c:v>
                </c:pt>
                <c:pt idx="129">
                  <c:v>1.4319216531987009</c:v>
                </c:pt>
                <c:pt idx="130">
                  <c:v>1.4319466666987313</c:v>
                </c:pt>
                <c:pt idx="131">
                  <c:v>1.4320339692883099</c:v>
                </c:pt>
                <c:pt idx="132">
                  <c:v>1.432087309587428</c:v>
                </c:pt>
                <c:pt idx="133">
                  <c:v>1.4321300282274643</c:v>
                </c:pt>
                <c:pt idx="134">
                  <c:v>1.4322152512713187</c:v>
                </c:pt>
                <c:pt idx="135">
                  <c:v>1.4323149196706013</c:v>
                </c:pt>
                <c:pt idx="136">
                  <c:v>1.4324647753064483</c:v>
                </c:pt>
                <c:pt idx="137">
                  <c:v>1.4325785515244296</c:v>
                </c:pt>
                <c:pt idx="138">
                  <c:v>1.4326954961752087</c:v>
                </c:pt>
                <c:pt idx="139">
                  <c:v>1.43276333352869</c:v>
                </c:pt>
                <c:pt idx="140">
                  <c:v>1.432849949419732</c:v>
                </c:pt>
                <c:pt idx="141">
                  <c:v>1.4330357615552782</c:v>
                </c:pt>
                <c:pt idx="142">
                  <c:v>1.4331960975860742</c:v>
                </c:pt>
                <c:pt idx="143">
                  <c:v>1.4333447873915399</c:v>
                </c:pt>
                <c:pt idx="144">
                  <c:v>1.4334337608280254</c:v>
                </c:pt>
                <c:pt idx="145">
                  <c:v>1.4335024598673913</c:v>
                </c:pt>
                <c:pt idx="146">
                  <c:v>1.4334917579798847</c:v>
                </c:pt>
                <c:pt idx="147">
                  <c:v>1.433459725467358</c:v>
                </c:pt>
                <c:pt idx="148">
                  <c:v>1.4333627114000413</c:v>
                </c:pt>
                <c:pt idx="149">
                  <c:v>1.4333716915796806</c:v>
                </c:pt>
                <c:pt idx="150">
                  <c:v>1.4333665975387355</c:v>
                </c:pt>
                <c:pt idx="151">
                  <c:v>1.4333619319642106</c:v>
                </c:pt>
                <c:pt idx="152">
                  <c:v>1.4333627063051142</c:v>
                </c:pt>
                <c:pt idx="153">
                  <c:v>1.4334270456139087</c:v>
                </c:pt>
                <c:pt idx="154">
                  <c:v>1.4333820709611129</c:v>
                </c:pt>
                <c:pt idx="155">
                  <c:v>1.4333131938833676</c:v>
                </c:pt>
                <c:pt idx="156">
                  <c:v>1.4332035075168663</c:v>
                </c:pt>
                <c:pt idx="157">
                  <c:v>1.4331676761127814</c:v>
                </c:pt>
                <c:pt idx="158">
                  <c:v>1.4330408853235228</c:v>
                </c:pt>
                <c:pt idx="159">
                  <c:v>1.4329756314646414</c:v>
                </c:pt>
                <c:pt idx="160">
                  <c:v>1.4328654882367222</c:v>
                </c:pt>
                <c:pt idx="161">
                  <c:v>1.4327546268322819</c:v>
                </c:pt>
                <c:pt idx="162">
                  <c:v>1.4327178392835695</c:v>
                </c:pt>
                <c:pt idx="163">
                  <c:v>1.4325593555888454</c:v>
                </c:pt>
                <c:pt idx="164">
                  <c:v>1.4324884331061434</c:v>
                </c:pt>
                <c:pt idx="165">
                  <c:v>1.432366462612086</c:v>
                </c:pt>
                <c:pt idx="166">
                  <c:v>1.4322398247973225</c:v>
                </c:pt>
                <c:pt idx="167">
                  <c:v>1.4322041885500549</c:v>
                </c:pt>
                <c:pt idx="168">
                  <c:v>1.4322346671257442</c:v>
                </c:pt>
                <c:pt idx="169">
                  <c:v>1.43220383707706</c:v>
                </c:pt>
                <c:pt idx="170">
                  <c:v>1.4322384977003362</c:v>
                </c:pt>
                <c:pt idx="171">
                  <c:v>1.4323094512981656</c:v>
                </c:pt>
                <c:pt idx="172">
                  <c:v>1.4322779660800535</c:v>
                </c:pt>
                <c:pt idx="173">
                  <c:v>1.4322338547598521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F-4C8F-81A4-EB9786BD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'cmf vtec'!$O$1</c:f>
              <c:strCache>
                <c:ptCount val="1"/>
                <c:pt idx="0">
                  <c:v>diff/CMF*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'cmf vtec'!$A$2:$A$175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'cmf vtec'!$O$2:$O$175</c:f>
              <c:numCache>
                <c:formatCode>0.00%</c:formatCode>
                <c:ptCount val="174"/>
                <c:pt idx="21">
                  <c:v>2.4040310216224533E-4</c:v>
                </c:pt>
                <c:pt idx="22">
                  <c:v>4.3595417243572548E-4</c:v>
                </c:pt>
                <c:pt idx="23">
                  <c:v>2.359834339154869E-4</c:v>
                </c:pt>
                <c:pt idx="24">
                  <c:v>-4.5503836241621903E-5</c:v>
                </c:pt>
                <c:pt idx="25">
                  <c:v>5.430994250642282E-5</c:v>
                </c:pt>
                <c:pt idx="26">
                  <c:v>-8.4548285880657007E-4</c:v>
                </c:pt>
                <c:pt idx="27">
                  <c:v>-4.2953563287807724E-4</c:v>
                </c:pt>
                <c:pt idx="28">
                  <c:v>-5.1281926361371308E-4</c:v>
                </c:pt>
                <c:pt idx="29">
                  <c:v>-1.3642012117670758E-4</c:v>
                </c:pt>
                <c:pt idx="30">
                  <c:v>1.0837077196633041E-4</c:v>
                </c:pt>
                <c:pt idx="31">
                  <c:v>4.4922520743422543E-4</c:v>
                </c:pt>
                <c:pt idx="32">
                  <c:v>6.1094323664354847E-5</c:v>
                </c:pt>
                <c:pt idx="33">
                  <c:v>2.4124548321031165E-4</c:v>
                </c:pt>
                <c:pt idx="34">
                  <c:v>5.4498585630906684E-4</c:v>
                </c:pt>
                <c:pt idx="35">
                  <c:v>5.9664335097477268E-4</c:v>
                </c:pt>
                <c:pt idx="36">
                  <c:v>-4.0909095378653416E-4</c:v>
                </c:pt>
                <c:pt idx="37">
                  <c:v>-3.8239917857421635E-4</c:v>
                </c:pt>
                <c:pt idx="38">
                  <c:v>-3.5572478251677097E-4</c:v>
                </c:pt>
                <c:pt idx="39">
                  <c:v>4.0947351816580116E-4</c:v>
                </c:pt>
                <c:pt idx="40">
                  <c:v>7.5497023198370112E-4</c:v>
                </c:pt>
                <c:pt idx="41">
                  <c:v>-2.2658641781071515E-4</c:v>
                </c:pt>
                <c:pt idx="42">
                  <c:v>-2.0752088267398313E-4</c:v>
                </c:pt>
                <c:pt idx="43">
                  <c:v>5.8702618972144432E-4</c:v>
                </c:pt>
                <c:pt idx="44">
                  <c:v>-2.1859632079926638E-4</c:v>
                </c:pt>
                <c:pt idx="45">
                  <c:v>8.7450679526170235E-4</c:v>
                </c:pt>
                <c:pt idx="46">
                  <c:v>-6.3122618650121592E-5</c:v>
                </c:pt>
                <c:pt idx="47">
                  <c:v>4.5809961786622526E-4</c:v>
                </c:pt>
                <c:pt idx="48">
                  <c:v>-7.5572714089210832E-5</c:v>
                </c:pt>
                <c:pt idx="49">
                  <c:v>-5.4686991967479569E-4</c:v>
                </c:pt>
                <c:pt idx="50">
                  <c:v>-6.1059754563201184E-4</c:v>
                </c:pt>
                <c:pt idx="51">
                  <c:v>3.9386487923401428E-6</c:v>
                </c:pt>
                <c:pt idx="52">
                  <c:v>-1.2212609853703295E-5</c:v>
                </c:pt>
                <c:pt idx="53">
                  <c:v>8.0612644584268742E-4</c:v>
                </c:pt>
                <c:pt idx="54">
                  <c:v>-8.9911358616229654E-4</c:v>
                </c:pt>
                <c:pt idx="55">
                  <c:v>1.4509679792443361E-3</c:v>
                </c:pt>
                <c:pt idx="56">
                  <c:v>5.7908242304456398E-4</c:v>
                </c:pt>
                <c:pt idx="57">
                  <c:v>-5.8739212022478372E-5</c:v>
                </c:pt>
                <c:pt idx="58">
                  <c:v>1.5876126745094057E-5</c:v>
                </c:pt>
                <c:pt idx="59">
                  <c:v>-1.0354097394404942E-3</c:v>
                </c:pt>
                <c:pt idx="60">
                  <c:v>-9.1502983969325832E-4</c:v>
                </c:pt>
                <c:pt idx="61">
                  <c:v>-7.5224249651426728E-4</c:v>
                </c:pt>
                <c:pt idx="62">
                  <c:v>1.9606099089152537E-6</c:v>
                </c:pt>
                <c:pt idx="63">
                  <c:v>-3.8748726804426332E-4</c:v>
                </c:pt>
                <c:pt idx="64">
                  <c:v>4.5811141232167244E-4</c:v>
                </c:pt>
                <c:pt idx="65">
                  <c:v>-2.873361217987226E-4</c:v>
                </c:pt>
                <c:pt idx="66">
                  <c:v>9.5027214988380326E-5</c:v>
                </c:pt>
                <c:pt idx="67">
                  <c:v>3.5829351271497229E-4</c:v>
                </c:pt>
                <c:pt idx="68">
                  <c:v>2.9553406145218386E-4</c:v>
                </c:pt>
                <c:pt idx="69">
                  <c:v>2.5852056515137485E-4</c:v>
                </c:pt>
                <c:pt idx="70">
                  <c:v>9.6376431921541786E-4</c:v>
                </c:pt>
                <c:pt idx="71">
                  <c:v>1.2080593540923043E-4</c:v>
                </c:pt>
                <c:pt idx="72">
                  <c:v>-2.7968136916770562E-5</c:v>
                </c:pt>
                <c:pt idx="73">
                  <c:v>3.9133687920117865E-4</c:v>
                </c:pt>
                <c:pt idx="74">
                  <c:v>3.8222957309693085E-4</c:v>
                </c:pt>
                <c:pt idx="75">
                  <c:v>3.6880766203171289E-4</c:v>
                </c:pt>
                <c:pt idx="76">
                  <c:v>-4.7238148420664187E-4</c:v>
                </c:pt>
                <c:pt idx="77">
                  <c:v>1.7281228258140521E-4</c:v>
                </c:pt>
                <c:pt idx="78">
                  <c:v>-3.2992785320124568E-5</c:v>
                </c:pt>
                <c:pt idx="79">
                  <c:v>-2.7712181223858945E-4</c:v>
                </c:pt>
                <c:pt idx="80">
                  <c:v>3.2860621486652876E-4</c:v>
                </c:pt>
                <c:pt idx="81">
                  <c:v>3.4418669369913504E-4</c:v>
                </c:pt>
                <c:pt idx="82">
                  <c:v>4.9708539259154085E-4</c:v>
                </c:pt>
                <c:pt idx="83">
                  <c:v>-1.0306940786156395E-5</c:v>
                </c:pt>
                <c:pt idx="84">
                  <c:v>1.8471172163509635E-4</c:v>
                </c:pt>
                <c:pt idx="85">
                  <c:v>-5.0373431233832376E-4</c:v>
                </c:pt>
                <c:pt idx="86">
                  <c:v>-6.2961461572763459E-4</c:v>
                </c:pt>
                <c:pt idx="87">
                  <c:v>-1.2004201532740473E-3</c:v>
                </c:pt>
                <c:pt idx="88">
                  <c:v>-1.1134287659417504E-3</c:v>
                </c:pt>
                <c:pt idx="89">
                  <c:v>-1.6799317645432282E-4</c:v>
                </c:pt>
                <c:pt idx="90">
                  <c:v>1.8906794572772165E-4</c:v>
                </c:pt>
                <c:pt idx="91">
                  <c:v>-4.22501031029978E-4</c:v>
                </c:pt>
                <c:pt idx="92">
                  <c:v>-2.3525398862806878E-4</c:v>
                </c:pt>
                <c:pt idx="93">
                  <c:v>-9.9601659196863986E-4</c:v>
                </c:pt>
                <c:pt idx="94">
                  <c:v>-1.0838260086256553E-3</c:v>
                </c:pt>
                <c:pt idx="95">
                  <c:v>3.2830812109289204E-4</c:v>
                </c:pt>
                <c:pt idx="96">
                  <c:v>9.4914112614419044E-5</c:v>
                </c:pt>
                <c:pt idx="97">
                  <c:v>-4.2343330445070664E-5</c:v>
                </c:pt>
                <c:pt idx="98">
                  <c:v>-1.0813936553517044E-4</c:v>
                </c:pt>
                <c:pt idx="99">
                  <c:v>5.5511010055871298E-4</c:v>
                </c:pt>
                <c:pt idx="100">
                  <c:v>3.0603452391488576E-4</c:v>
                </c:pt>
                <c:pt idx="101">
                  <c:v>7.683086661215339E-4</c:v>
                </c:pt>
                <c:pt idx="102">
                  <c:v>7.4648196753082066E-4</c:v>
                </c:pt>
                <c:pt idx="103">
                  <c:v>7.7929768756494831E-4</c:v>
                </c:pt>
                <c:pt idx="104">
                  <c:v>6.0894803540080056E-4</c:v>
                </c:pt>
                <c:pt idx="105">
                  <c:v>-1.0591342639102274E-4</c:v>
                </c:pt>
                <c:pt idx="106">
                  <c:v>3.3175937243770973E-4</c:v>
                </c:pt>
                <c:pt idx="107">
                  <c:v>6.2413915868874325E-4</c:v>
                </c:pt>
                <c:pt idx="108">
                  <c:v>-3.9677825021692693E-5</c:v>
                </c:pt>
                <c:pt idx="109">
                  <c:v>8.2263899034412387E-4</c:v>
                </c:pt>
                <c:pt idx="110">
                  <c:v>1.6409927109506856E-4</c:v>
                </c:pt>
                <c:pt idx="111">
                  <c:v>5.1102625478815545E-4</c:v>
                </c:pt>
                <c:pt idx="112">
                  <c:v>3.4344107165951274E-4</c:v>
                </c:pt>
                <c:pt idx="113">
                  <c:v>1.629304538872859E-4</c:v>
                </c:pt>
                <c:pt idx="114">
                  <c:v>4.1554898946488721E-4</c:v>
                </c:pt>
                <c:pt idx="115">
                  <c:v>-2.317173699113201E-4</c:v>
                </c:pt>
                <c:pt idx="116">
                  <c:v>3.398848003722884E-4</c:v>
                </c:pt>
                <c:pt idx="117">
                  <c:v>5.9881715549668277E-4</c:v>
                </c:pt>
                <c:pt idx="118">
                  <c:v>4.9632829903907961E-4</c:v>
                </c:pt>
                <c:pt idx="119">
                  <c:v>6.3714413603787007E-4</c:v>
                </c:pt>
                <c:pt idx="120">
                  <c:v>4.3198250687194619E-4</c:v>
                </c:pt>
                <c:pt idx="121">
                  <c:v>6.1756601070733232E-4</c:v>
                </c:pt>
                <c:pt idx="122">
                  <c:v>6.6485053633731292E-4</c:v>
                </c:pt>
                <c:pt idx="123">
                  <c:v>4.8150176603306785E-5</c:v>
                </c:pt>
                <c:pt idx="124">
                  <c:v>-2.6704039155739693E-4</c:v>
                </c:pt>
                <c:pt idx="125">
                  <c:v>1.3396073509826055E-4</c:v>
                </c:pt>
                <c:pt idx="126">
                  <c:v>-1.6256145107743854E-4</c:v>
                </c:pt>
                <c:pt idx="127">
                  <c:v>2.3667507684231687E-4</c:v>
                </c:pt>
                <c:pt idx="128">
                  <c:v>9.8310051785160347E-5</c:v>
                </c:pt>
                <c:pt idx="129">
                  <c:v>6.2409453342807814E-4</c:v>
                </c:pt>
                <c:pt idx="130">
                  <c:v>-2.3654548200510643E-4</c:v>
                </c:pt>
                <c:pt idx="131">
                  <c:v>7.2379633424011694E-5</c:v>
                </c:pt>
                <c:pt idx="132">
                  <c:v>-6.5109449489197547E-5</c:v>
                </c:pt>
                <c:pt idx="133">
                  <c:v>5.8616898983943641E-4</c:v>
                </c:pt>
                <c:pt idx="134">
                  <c:v>1.1527193231376752E-4</c:v>
                </c:pt>
                <c:pt idx="135">
                  <c:v>-1.2291354076079432E-4</c:v>
                </c:pt>
                <c:pt idx="136">
                  <c:v>-4.033999692579181E-4</c:v>
                </c:pt>
                <c:pt idx="137">
                  <c:v>-1.7865128963499594E-4</c:v>
                </c:pt>
                <c:pt idx="138">
                  <c:v>-6.2949956950160381E-4</c:v>
                </c:pt>
                <c:pt idx="139">
                  <c:v>3.2832430757119251E-5</c:v>
                </c:pt>
                <c:pt idx="140">
                  <c:v>-7.684374965221453E-4</c:v>
                </c:pt>
                <c:pt idx="141">
                  <c:v>-9.420156021056527E-4</c:v>
                </c:pt>
                <c:pt idx="142">
                  <c:v>1.6361324456848031E-3</c:v>
                </c:pt>
                <c:pt idx="143">
                  <c:v>7.0886980883472445E-4</c:v>
                </c:pt>
                <c:pt idx="144">
                  <c:v>5.9399844235402742E-4</c:v>
                </c:pt>
                <c:pt idx="145">
                  <c:v>1.3508467425585276E-3</c:v>
                </c:pt>
                <c:pt idx="146">
                  <c:v>8.356447279655989E-4</c:v>
                </c:pt>
                <c:pt idx="147">
                  <c:v>2.0484208058850473E-4</c:v>
                </c:pt>
                <c:pt idx="148">
                  <c:v>2.4071478894413756E-4</c:v>
                </c:pt>
                <c:pt idx="149">
                  <c:v>5.1916798680644538E-5</c:v>
                </c:pt>
                <c:pt idx="150">
                  <c:v>3.6281119182326169E-4</c:v>
                </c:pt>
                <c:pt idx="151">
                  <c:v>3.2252950840857793E-4</c:v>
                </c:pt>
                <c:pt idx="152">
                  <c:v>3.4704054253366514E-4</c:v>
                </c:pt>
                <c:pt idx="153">
                  <c:v>3.151406200854294E-4</c:v>
                </c:pt>
                <c:pt idx="154">
                  <c:v>4.0863455857405512E-4</c:v>
                </c:pt>
                <c:pt idx="155">
                  <c:v>1.7743141962964383E-4</c:v>
                </c:pt>
                <c:pt idx="156">
                  <c:v>-2.5352894356506765E-4</c:v>
                </c:pt>
                <c:pt idx="157">
                  <c:v>2.8814765455861414E-5</c:v>
                </c:pt>
                <c:pt idx="158">
                  <c:v>-9.6899551357319163E-4</c:v>
                </c:pt>
                <c:pt idx="159">
                  <c:v>-4.4974643174501447E-4</c:v>
                </c:pt>
                <c:pt idx="160">
                  <c:v>1.7859544020548131E-4</c:v>
                </c:pt>
                <c:pt idx="161">
                  <c:v>-5.8305184628926763E-4</c:v>
                </c:pt>
                <c:pt idx="162">
                  <c:v>-7.0361769807555702E-4</c:v>
                </c:pt>
                <c:pt idx="163">
                  <c:v>-2.2170310041006404E-4</c:v>
                </c:pt>
                <c:pt idx="164">
                  <c:v>1.3461702790662673E-3</c:v>
                </c:pt>
                <c:pt idx="165">
                  <c:v>8.8658274771183745E-4</c:v>
                </c:pt>
                <c:pt idx="166">
                  <c:v>1.9761547818328241E-3</c:v>
                </c:pt>
                <c:pt idx="167">
                  <c:v>1.8518018047638594E-3</c:v>
                </c:pt>
                <c:pt idx="168">
                  <c:v>-3.5113000835303547E-5</c:v>
                </c:pt>
                <c:pt idx="169">
                  <c:v>8.6234233914437902E-4</c:v>
                </c:pt>
                <c:pt idx="170">
                  <c:v>-6.8298118392473822E-4</c:v>
                </c:pt>
                <c:pt idx="171">
                  <c:v>1.9118938110774907E-4</c:v>
                </c:pt>
                <c:pt idx="172">
                  <c:v>-3.80386115639497E-5</c:v>
                </c:pt>
                <c:pt idx="173">
                  <c:v>-1.8308830328407414E-3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D-4869-B2BC-A9D3368A2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'cmf vtec'!$K$1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'cmf vtec'!$K$2:$K$175</c:f>
              <c:numCache>
                <c:formatCode>_(* #,##0.000000_);_(* \(#,##0.000000\);_(* "-"??_);_(@_)</c:formatCode>
                <c:ptCount val="174"/>
                <c:pt idx="20">
                  <c:v>1.744174675898692</c:v>
                </c:pt>
                <c:pt idx="21">
                  <c:v>1.7441823457568315</c:v>
                </c:pt>
                <c:pt idx="22">
                  <c:v>1.7442375349826875</c:v>
                </c:pt>
                <c:pt idx="23">
                  <c:v>1.744255855075838</c:v>
                </c:pt>
                <c:pt idx="24">
                  <c:v>1.7442138559467222</c:v>
                </c:pt>
                <c:pt idx="25">
                  <c:v>1.7442884059548163</c:v>
                </c:pt>
                <c:pt idx="26">
                  <c:v>1.7442016736249364</c:v>
                </c:pt>
                <c:pt idx="27">
                  <c:v>1.7441446729651868</c:v>
                </c:pt>
                <c:pt idx="28">
                  <c:v>1.744051435453176</c:v>
                </c:pt>
                <c:pt idx="29">
                  <c:v>1.7440553130449192</c:v>
                </c:pt>
                <c:pt idx="30">
                  <c:v>1.7440592316075403</c:v>
                </c:pt>
                <c:pt idx="31">
                  <c:v>1.7439662975119776</c:v>
                </c:pt>
                <c:pt idx="32">
                  <c:v>1.7439988870780698</c:v>
                </c:pt>
                <c:pt idx="33">
                  <c:v>1.744070578104352</c:v>
                </c:pt>
                <c:pt idx="34">
                  <c:v>1.7441550227628309</c:v>
                </c:pt>
                <c:pt idx="35">
                  <c:v>1.7442457454347715</c:v>
                </c:pt>
                <c:pt idx="36">
                  <c:v>1.7442035941318366</c:v>
                </c:pt>
                <c:pt idx="37">
                  <c:v>1.7441614693585836</c:v>
                </c:pt>
                <c:pt idx="38">
                  <c:v>1.7441432933629168</c:v>
                </c:pt>
                <c:pt idx="39">
                  <c:v>1.7442013656738962</c:v>
                </c:pt>
                <c:pt idx="40">
                  <c:v>1.7442391253210512</c:v>
                </c:pt>
                <c:pt idx="41">
                  <c:v>1.7442016214972687</c:v>
                </c:pt>
                <c:pt idx="42">
                  <c:v>1.7441464681927319</c:v>
                </c:pt>
                <c:pt idx="43">
                  <c:v>1.7441725272778577</c:v>
                </c:pt>
                <c:pt idx="44">
                  <c:v>1.7441532659197327</c:v>
                </c:pt>
                <c:pt idx="45">
                  <c:v>1.744221763704823</c:v>
                </c:pt>
                <c:pt idx="46">
                  <c:v>1.7442866648974644</c:v>
                </c:pt>
                <c:pt idx="47">
                  <c:v>1.7443683271523096</c:v>
                </c:pt>
                <c:pt idx="48">
                  <c:v>1.7444176400785643</c:v>
                </c:pt>
                <c:pt idx="49">
                  <c:v>1.7444001480185061</c:v>
                </c:pt>
                <c:pt idx="50">
                  <c:v>1.7443546832137056</c:v>
                </c:pt>
                <c:pt idx="51">
                  <c:v>1.744330625545532</c:v>
                </c:pt>
                <c:pt idx="52">
                  <c:v>1.7443424494836688</c:v>
                </c:pt>
                <c:pt idx="53">
                  <c:v>1.7444088990401938</c:v>
                </c:pt>
                <c:pt idx="54">
                  <c:v>1.7442998693100644</c:v>
                </c:pt>
                <c:pt idx="55">
                  <c:v>1.7443816258753848</c:v>
                </c:pt>
                <c:pt idx="56">
                  <c:v>1.7444746046921284</c:v>
                </c:pt>
                <c:pt idx="57">
                  <c:v>1.7445163808680426</c:v>
                </c:pt>
                <c:pt idx="58">
                  <c:v>1.7445665333246425</c:v>
                </c:pt>
                <c:pt idx="59">
                  <c:v>1.7444616692392174</c:v>
                </c:pt>
                <c:pt idx="60">
                  <c:v>1.7443290316879225</c:v>
                </c:pt>
                <c:pt idx="61">
                  <c:v>1.7442876801297498</c:v>
                </c:pt>
                <c:pt idx="62">
                  <c:v>1.744310251967762</c:v>
                </c:pt>
                <c:pt idx="63">
                  <c:v>1.7442334532730286</c:v>
                </c:pt>
                <c:pt idx="64">
                  <c:v>1.7442955157201869</c:v>
                </c:pt>
                <c:pt idx="65">
                  <c:v>1.7442013045606206</c:v>
                </c:pt>
                <c:pt idx="66">
                  <c:v>1.7442140739252896</c:v>
                </c:pt>
                <c:pt idx="67">
                  <c:v>1.7442017385533224</c:v>
                </c:pt>
                <c:pt idx="68">
                  <c:v>1.7442257740070051</c:v>
                </c:pt>
                <c:pt idx="69">
                  <c:v>1.7442864250918049</c:v>
                </c:pt>
                <c:pt idx="70">
                  <c:v>1.744418049318869</c:v>
                </c:pt>
                <c:pt idx="71">
                  <c:v>1.7444314109068131</c:v>
                </c:pt>
                <c:pt idx="72">
                  <c:v>1.7444350758915195</c:v>
                </c:pt>
                <c:pt idx="73">
                  <c:v>1.744403532271884</c:v>
                </c:pt>
                <c:pt idx="74">
                  <c:v>1.7445150231513882</c:v>
                </c:pt>
                <c:pt idx="75">
                  <c:v>1.7444314042059799</c:v>
                </c:pt>
                <c:pt idx="76">
                  <c:v>1.7443421842307874</c:v>
                </c:pt>
                <c:pt idx="77">
                  <c:v>1.7443557588486267</c:v>
                </c:pt>
                <c:pt idx="78">
                  <c:v>1.744343465381744</c:v>
                </c:pt>
                <c:pt idx="79">
                  <c:v>1.7443984592624695</c:v>
                </c:pt>
                <c:pt idx="80">
                  <c:v>1.744503771496456</c:v>
                </c:pt>
                <c:pt idx="81">
                  <c:v>1.7446081381574221</c:v>
                </c:pt>
                <c:pt idx="82">
                  <c:v>1.7446673510264841</c:v>
                </c:pt>
                <c:pt idx="83">
                  <c:v>1.7447181017709739</c:v>
                </c:pt>
                <c:pt idx="84">
                  <c:v>1.7447184950275538</c:v>
                </c:pt>
                <c:pt idx="85">
                  <c:v>1.7447207602197938</c:v>
                </c:pt>
                <c:pt idx="86">
                  <c:v>1.7446835205885853</c:v>
                </c:pt>
                <c:pt idx="87">
                  <c:v>1.7445710282294165</c:v>
                </c:pt>
                <c:pt idx="88">
                  <c:v>1.744466596383679</c:v>
                </c:pt>
                <c:pt idx="89">
                  <c:v>1.7444414386666327</c:v>
                </c:pt>
                <c:pt idx="90">
                  <c:v>1.744381626192387</c:v>
                </c:pt>
                <c:pt idx="91">
                  <c:v>1.7443324180815747</c:v>
                </c:pt>
                <c:pt idx="92">
                  <c:v>1.7443093898071975</c:v>
                </c:pt>
                <c:pt idx="93">
                  <c:v>1.7441821043593646</c:v>
                </c:pt>
                <c:pt idx="94">
                  <c:v>1.7440431753364414</c:v>
                </c:pt>
                <c:pt idx="95">
                  <c:v>1.7440160425972404</c:v>
                </c:pt>
                <c:pt idx="96">
                  <c:v>1.744044752958348</c:v>
                </c:pt>
                <c:pt idx="97">
                  <c:v>1.7440111167738386</c:v>
                </c:pt>
                <c:pt idx="98">
                  <c:v>1.7439873324150708</c:v>
                </c:pt>
                <c:pt idx="99">
                  <c:v>1.7440421007970248</c:v>
                </c:pt>
                <c:pt idx="100">
                  <c:v>1.7440223087197069</c:v>
                </c:pt>
                <c:pt idx="101">
                  <c:v>1.7440352112042916</c:v>
                </c:pt>
                <c:pt idx="102">
                  <c:v>1.7440282984373667</c:v>
                </c:pt>
                <c:pt idx="103">
                  <c:v>1.7440652007780657</c:v>
                </c:pt>
                <c:pt idx="104">
                  <c:v>1.744069544488084</c:v>
                </c:pt>
                <c:pt idx="105">
                  <c:v>1.7440718046706103</c:v>
                </c:pt>
                <c:pt idx="106">
                  <c:v>1.7441232125860711</c:v>
                </c:pt>
                <c:pt idx="107">
                  <c:v>1.7442543436286335</c:v>
                </c:pt>
                <c:pt idx="108">
                  <c:v>1.7443321717660152</c:v>
                </c:pt>
                <c:pt idx="109">
                  <c:v>1.7444118512421993</c:v>
                </c:pt>
                <c:pt idx="110">
                  <c:v>1.7444081938086793</c:v>
                </c:pt>
                <c:pt idx="111">
                  <c:v>1.7444909442605776</c:v>
                </c:pt>
                <c:pt idx="112">
                  <c:v>1.7445493451194403</c:v>
                </c:pt>
                <c:pt idx="113">
                  <c:v>1.7446624229505723</c:v>
                </c:pt>
                <c:pt idx="114">
                  <c:v>1.744817208011898</c:v>
                </c:pt>
                <c:pt idx="115">
                  <c:v>1.7448070652460497</c:v>
                </c:pt>
                <c:pt idx="116">
                  <c:v>1.7448679914617895</c:v>
                </c:pt>
                <c:pt idx="117">
                  <c:v>1.7449650886644943</c:v>
                </c:pt>
                <c:pt idx="118">
                  <c:v>1.7450655208495267</c:v>
                </c:pt>
                <c:pt idx="119">
                  <c:v>1.7451266179352565</c:v>
                </c:pt>
                <c:pt idx="120">
                  <c:v>1.7451918501460291</c:v>
                </c:pt>
                <c:pt idx="121">
                  <c:v>1.7452372184031013</c:v>
                </c:pt>
                <c:pt idx="122">
                  <c:v>1.7452902403162809</c:v>
                </c:pt>
                <c:pt idx="123">
                  <c:v>1.7452895833508904</c:v>
                </c:pt>
                <c:pt idx="124">
                  <c:v>1.7452743970849647</c:v>
                </c:pt>
                <c:pt idx="125">
                  <c:v>1.7453555656459336</c:v>
                </c:pt>
                <c:pt idx="126">
                  <c:v>1.7453766367096599</c:v>
                </c:pt>
                <c:pt idx="127">
                  <c:v>1.7454055334935923</c:v>
                </c:pt>
                <c:pt idx="128">
                  <c:v>1.745475132943191</c:v>
                </c:pt>
                <c:pt idx="129">
                  <c:v>1.7455150002936546</c:v>
                </c:pt>
                <c:pt idx="130">
                  <c:v>1.7455352002262092</c:v>
                </c:pt>
                <c:pt idx="131">
                  <c:v>1.7455532956876763</c:v>
                </c:pt>
                <c:pt idx="132">
                  <c:v>1.7455707741663549</c:v>
                </c:pt>
                <c:pt idx="133">
                  <c:v>1.7456587935807382</c:v>
                </c:pt>
                <c:pt idx="134">
                  <c:v>1.7456824237500208</c:v>
                </c:pt>
                <c:pt idx="135">
                  <c:v>1.7457351713592604</c:v>
                </c:pt>
                <c:pt idx="136">
                  <c:v>1.7457167135191451</c:v>
                </c:pt>
                <c:pt idx="137">
                  <c:v>1.7456913130505343</c:v>
                </c:pt>
                <c:pt idx="138">
                  <c:v>1.7456293748956166</c:v>
                </c:pt>
                <c:pt idx="139">
                  <c:v>1.7456048403475197</c:v>
                </c:pt>
                <c:pt idx="140">
                  <c:v>1.7455239888489</c:v>
                </c:pt>
                <c:pt idx="141">
                  <c:v>1.7454044916840357</c:v>
                </c:pt>
                <c:pt idx="142">
                  <c:v>1.7454976248990319</c:v>
                </c:pt>
                <c:pt idx="143">
                  <c:v>1.7455656588548891</c:v>
                </c:pt>
                <c:pt idx="144">
                  <c:v>1.7456546089348941</c:v>
                </c:pt>
                <c:pt idx="145">
                  <c:v>1.745779835207437</c:v>
                </c:pt>
                <c:pt idx="146">
                  <c:v>1.7458881776479565</c:v>
                </c:pt>
                <c:pt idx="147">
                  <c:v>1.7459109819057292</c:v>
                </c:pt>
                <c:pt idx="148">
                  <c:v>1.7459486881105932</c:v>
                </c:pt>
                <c:pt idx="149">
                  <c:v>1.7459224309978558</c:v>
                </c:pt>
                <c:pt idx="150">
                  <c:v>1.7459951192273215</c:v>
                </c:pt>
                <c:pt idx="151">
                  <c:v>1.7460399548648557</c:v>
                </c:pt>
                <c:pt idx="152">
                  <c:v>1.7461002677570825</c:v>
                </c:pt>
                <c:pt idx="153">
                  <c:v>1.7461030958198052</c:v>
                </c:pt>
                <c:pt idx="154">
                  <c:v>1.7461509255620329</c:v>
                </c:pt>
                <c:pt idx="155">
                  <c:v>1.7462005701549015</c:v>
                </c:pt>
                <c:pt idx="156">
                  <c:v>1.7462369159511162</c:v>
                </c:pt>
                <c:pt idx="157">
                  <c:v>1.7462810356701834</c:v>
                </c:pt>
                <c:pt idx="158">
                  <c:v>1.7462808604732178</c:v>
                </c:pt>
                <c:pt idx="159">
                  <c:v>1.7462712999100283</c:v>
                </c:pt>
                <c:pt idx="160">
                  <c:v>1.746387286103402</c:v>
                </c:pt>
                <c:pt idx="161">
                  <c:v>1.746461754791119</c:v>
                </c:pt>
                <c:pt idx="162">
                  <c:v>1.7463103902305044</c:v>
                </c:pt>
                <c:pt idx="163">
                  <c:v>1.7462698038473043</c:v>
                </c:pt>
                <c:pt idx="164">
                  <c:v>1.7463707067582639</c:v>
                </c:pt>
                <c:pt idx="165">
                  <c:v>1.7463660211643135</c:v>
                </c:pt>
                <c:pt idx="166">
                  <c:v>1.7464949423545608</c:v>
                </c:pt>
                <c:pt idx="167">
                  <c:v>1.7466691071458649</c:v>
                </c:pt>
                <c:pt idx="168">
                  <c:v>1.7466829335385043</c:v>
                </c:pt>
                <c:pt idx="169">
                  <c:v>1.7467904255389055</c:v>
                </c:pt>
                <c:pt idx="170">
                  <c:v>1.7467425020064116</c:v>
                </c:pt>
                <c:pt idx="171">
                  <c:v>1.7467684123288876</c:v>
                </c:pt>
                <c:pt idx="172">
                  <c:v>1.7467712156371717</c:v>
                </c:pt>
                <c:pt idx="173">
                  <c:v>1.7466173429860716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E-4E48-983F-33FC61132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'pffd pff'!$O$1</c:f>
              <c:strCache>
                <c:ptCount val="1"/>
                <c:pt idx="0">
                  <c:v>diff/PFFD*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'pffd pff'!$A$2:$A$175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'pffd pff'!$O$2:$O$175</c:f>
              <c:numCache>
                <c:formatCode>0.00%</c:formatCode>
                <c:ptCount val="174"/>
                <c:pt idx="21">
                  <c:v>-5.0714439366901433E-4</c:v>
                </c:pt>
                <c:pt idx="22">
                  <c:v>1.7199005735617403E-3</c:v>
                </c:pt>
                <c:pt idx="23">
                  <c:v>7.4493304271117111E-5</c:v>
                </c:pt>
                <c:pt idx="24">
                  <c:v>2.1585536298603198E-3</c:v>
                </c:pt>
                <c:pt idx="25">
                  <c:v>1.6561156989610666E-3</c:v>
                </c:pt>
                <c:pt idx="26">
                  <c:v>1.4254861234798794E-3</c:v>
                </c:pt>
                <c:pt idx="27">
                  <c:v>-2.5138736487632078E-4</c:v>
                </c:pt>
                <c:pt idx="28">
                  <c:v>4.2259355460243647E-3</c:v>
                </c:pt>
                <c:pt idx="29">
                  <c:v>7.657356866371468E-4</c:v>
                </c:pt>
                <c:pt idx="30">
                  <c:v>2.5198659859344639E-3</c:v>
                </c:pt>
                <c:pt idx="31">
                  <c:v>3.4230550111492218E-4</c:v>
                </c:pt>
                <c:pt idx="32">
                  <c:v>2.7273644940964386E-3</c:v>
                </c:pt>
                <c:pt idx="33">
                  <c:v>1.7374696628309023E-3</c:v>
                </c:pt>
                <c:pt idx="34">
                  <c:v>-8.9204873658703374E-5</c:v>
                </c:pt>
                <c:pt idx="35">
                  <c:v>-1.8500518109305641E-3</c:v>
                </c:pt>
                <c:pt idx="36">
                  <c:v>7.9204650543572824E-4</c:v>
                </c:pt>
                <c:pt idx="37">
                  <c:v>1.1826683530334529E-3</c:v>
                </c:pt>
                <c:pt idx="38">
                  <c:v>-2.1397725730929387E-4</c:v>
                </c:pt>
                <c:pt idx="39">
                  <c:v>2.1775815889795537E-4</c:v>
                </c:pt>
                <c:pt idx="40">
                  <c:v>2.24296799615835E-3</c:v>
                </c:pt>
                <c:pt idx="41">
                  <c:v>2.3774970582053469E-3</c:v>
                </c:pt>
                <c:pt idx="42">
                  <c:v>3.2228032571718366E-3</c:v>
                </c:pt>
                <c:pt idx="43">
                  <c:v>3.9017165519047029E-3</c:v>
                </c:pt>
                <c:pt idx="44">
                  <c:v>4.6770448948940816E-3</c:v>
                </c:pt>
                <c:pt idx="45">
                  <c:v>3.2610641089837085E-3</c:v>
                </c:pt>
                <c:pt idx="46">
                  <c:v>4.2634981538986812E-3</c:v>
                </c:pt>
                <c:pt idx="47">
                  <c:v>6.3430157985459572E-3</c:v>
                </c:pt>
                <c:pt idx="48">
                  <c:v>5.3595986721446621E-3</c:v>
                </c:pt>
                <c:pt idx="49">
                  <c:v>3.9931715836398658E-3</c:v>
                </c:pt>
                <c:pt idx="50">
                  <c:v>4.2641518623621226E-3</c:v>
                </c:pt>
                <c:pt idx="51">
                  <c:v>2.9360107995579344E-3</c:v>
                </c:pt>
                <c:pt idx="52">
                  <c:v>4.4528291382132023E-3</c:v>
                </c:pt>
                <c:pt idx="53">
                  <c:v>5.3917309032657634E-3</c:v>
                </c:pt>
                <c:pt idx="54">
                  <c:v>2.2678033146283491E-3</c:v>
                </c:pt>
                <c:pt idx="55">
                  <c:v>-5.3748734558083772E-4</c:v>
                </c:pt>
                <c:pt idx="56">
                  <c:v>-1.0463173819209061E-4</c:v>
                </c:pt>
                <c:pt idx="57">
                  <c:v>7.5560972130833768E-4</c:v>
                </c:pt>
                <c:pt idx="58">
                  <c:v>-2.2623852354848869E-4</c:v>
                </c:pt>
                <c:pt idx="59">
                  <c:v>1.9957831182178657E-3</c:v>
                </c:pt>
                <c:pt idx="60">
                  <c:v>-4.2208341920051573E-4</c:v>
                </c:pt>
                <c:pt idx="61">
                  <c:v>1.2023058784351923E-3</c:v>
                </c:pt>
                <c:pt idx="62">
                  <c:v>1.0068051305721004E-3</c:v>
                </c:pt>
                <c:pt idx="63">
                  <c:v>4.4577201878281031E-4</c:v>
                </c:pt>
                <c:pt idx="64">
                  <c:v>-3.8139766104604649E-3</c:v>
                </c:pt>
                <c:pt idx="65">
                  <c:v>-1.8186354248087211E-3</c:v>
                </c:pt>
                <c:pt idx="66">
                  <c:v>-4.375323527146961E-3</c:v>
                </c:pt>
                <c:pt idx="67">
                  <c:v>-3.6852485108420279E-3</c:v>
                </c:pt>
                <c:pt idx="68">
                  <c:v>-2.238454730520385E-3</c:v>
                </c:pt>
                <c:pt idx="69">
                  <c:v>1.01494554976936E-3</c:v>
                </c:pt>
                <c:pt idx="70">
                  <c:v>8.5443200068734853E-4</c:v>
                </c:pt>
                <c:pt idx="71">
                  <c:v>4.6283851140628534E-3</c:v>
                </c:pt>
                <c:pt idx="72">
                  <c:v>5.9270532216529094E-3</c:v>
                </c:pt>
                <c:pt idx="73">
                  <c:v>2.5035743204667184E-3</c:v>
                </c:pt>
                <c:pt idx="74">
                  <c:v>2.4616337433096031E-3</c:v>
                </c:pt>
                <c:pt idx="75">
                  <c:v>3.0907268009446329E-3</c:v>
                </c:pt>
                <c:pt idx="76">
                  <c:v>6.5162740025896692E-4</c:v>
                </c:pt>
                <c:pt idx="77">
                  <c:v>-1.0952718043106947E-3</c:v>
                </c:pt>
                <c:pt idx="78">
                  <c:v>5.6421947665152297E-4</c:v>
                </c:pt>
                <c:pt idx="79">
                  <c:v>-2.2101140354769283E-3</c:v>
                </c:pt>
                <c:pt idx="80">
                  <c:v>-1.6956613971917678E-3</c:v>
                </c:pt>
                <c:pt idx="81">
                  <c:v>-1.6173192227544051E-3</c:v>
                </c:pt>
                <c:pt idx="82">
                  <c:v>1.1433806533418993E-3</c:v>
                </c:pt>
                <c:pt idx="83">
                  <c:v>1.0765861595312836E-3</c:v>
                </c:pt>
                <c:pt idx="84">
                  <c:v>4.9651095031711771E-3</c:v>
                </c:pt>
                <c:pt idx="85">
                  <c:v>2.8343179601511971E-3</c:v>
                </c:pt>
                <c:pt idx="86">
                  <c:v>3.8993084387046449E-3</c:v>
                </c:pt>
                <c:pt idx="87">
                  <c:v>2.4928419681825116E-3</c:v>
                </c:pt>
                <c:pt idx="88">
                  <c:v>4.9953235075881567E-3</c:v>
                </c:pt>
                <c:pt idx="89">
                  <c:v>7.8160672556561194E-5</c:v>
                </c:pt>
                <c:pt idx="90">
                  <c:v>2.8870052322951898E-3</c:v>
                </c:pt>
                <c:pt idx="91">
                  <c:v>2.2505986627866762E-3</c:v>
                </c:pt>
                <c:pt idx="92">
                  <c:v>1.4853028680639542E-3</c:v>
                </c:pt>
                <c:pt idx="93">
                  <c:v>4.0454371361090674E-4</c:v>
                </c:pt>
                <c:pt idx="94">
                  <c:v>6.3318773444078294E-4</c:v>
                </c:pt>
                <c:pt idx="95">
                  <c:v>-6.986749855605141E-4</c:v>
                </c:pt>
                <c:pt idx="96">
                  <c:v>5.7470608353171612E-6</c:v>
                </c:pt>
                <c:pt idx="97">
                  <c:v>2.8936801627924592E-3</c:v>
                </c:pt>
                <c:pt idx="98">
                  <c:v>1.5857123927710795E-3</c:v>
                </c:pt>
                <c:pt idx="99">
                  <c:v>4.0099428472457129E-4</c:v>
                </c:pt>
                <c:pt idx="100">
                  <c:v>1.0167853694004834E-3</c:v>
                </c:pt>
                <c:pt idx="101">
                  <c:v>1.5869594964713701E-3</c:v>
                </c:pt>
                <c:pt idx="102">
                  <c:v>-4.3200220073520229E-4</c:v>
                </c:pt>
                <c:pt idx="103">
                  <c:v>2.0402843390007215E-4</c:v>
                </c:pt>
                <c:pt idx="104">
                  <c:v>-8.3149924343234663E-4</c:v>
                </c:pt>
                <c:pt idx="105">
                  <c:v>-3.1946569020856693E-3</c:v>
                </c:pt>
                <c:pt idx="106">
                  <c:v>-6.0019024941597799E-3</c:v>
                </c:pt>
                <c:pt idx="107">
                  <c:v>-6.4423372897056146E-4</c:v>
                </c:pt>
                <c:pt idx="108">
                  <c:v>-1.5588295603964758E-3</c:v>
                </c:pt>
                <c:pt idx="109">
                  <c:v>-2.5117923876059943E-3</c:v>
                </c:pt>
                <c:pt idx="110">
                  <c:v>-2.8345359452592307E-3</c:v>
                </c:pt>
                <c:pt idx="111">
                  <c:v>-3.5966805177407987E-3</c:v>
                </c:pt>
                <c:pt idx="112">
                  <c:v>-1.7710906016765475E-3</c:v>
                </c:pt>
                <c:pt idx="113">
                  <c:v>-5.5588524284659819E-3</c:v>
                </c:pt>
                <c:pt idx="114">
                  <c:v>-3.2564272530261726E-3</c:v>
                </c:pt>
                <c:pt idx="115">
                  <c:v>-1.2237825327748139E-3</c:v>
                </c:pt>
                <c:pt idx="116">
                  <c:v>-5.7000468840655589E-3</c:v>
                </c:pt>
                <c:pt idx="117">
                  <c:v>-7.2806076291376982E-3</c:v>
                </c:pt>
                <c:pt idx="118">
                  <c:v>-6.7890186349099475E-3</c:v>
                </c:pt>
                <c:pt idx="119">
                  <c:v>-1.2351388788750596E-2</c:v>
                </c:pt>
                <c:pt idx="120">
                  <c:v>-1.3623999412848234E-2</c:v>
                </c:pt>
                <c:pt idx="121">
                  <c:v>-6.8347674141083685E-3</c:v>
                </c:pt>
                <c:pt idx="122">
                  <c:v>-1.0511853173133599E-2</c:v>
                </c:pt>
                <c:pt idx="123">
                  <c:v>-6.8886673203003273E-3</c:v>
                </c:pt>
                <c:pt idx="124">
                  <c:v>-4.3323923894886176E-3</c:v>
                </c:pt>
                <c:pt idx="125">
                  <c:v>-6.3761767390871664E-3</c:v>
                </c:pt>
                <c:pt idx="126">
                  <c:v>-5.9036767062266423E-3</c:v>
                </c:pt>
                <c:pt idx="127">
                  <c:v>-2.7406158508877592E-3</c:v>
                </c:pt>
                <c:pt idx="128">
                  <c:v>-4.9332254326222829E-3</c:v>
                </c:pt>
                <c:pt idx="129">
                  <c:v>-3.4083124603870993E-3</c:v>
                </c:pt>
                <c:pt idx="130">
                  <c:v>-3.7786369736382643E-3</c:v>
                </c:pt>
                <c:pt idx="131">
                  <c:v>8.2899351066727451E-4</c:v>
                </c:pt>
                <c:pt idx="132">
                  <c:v>4.5004396436434908E-4</c:v>
                </c:pt>
                <c:pt idx="133">
                  <c:v>-2.990609794766778E-3</c:v>
                </c:pt>
                <c:pt idx="134">
                  <c:v>-4.2926659897508223E-3</c:v>
                </c:pt>
                <c:pt idx="135">
                  <c:v>-1.7142442243054502E-6</c:v>
                </c:pt>
                <c:pt idx="136">
                  <c:v>-5.7878725797078003E-4</c:v>
                </c:pt>
                <c:pt idx="137">
                  <c:v>2.3210511699446428E-3</c:v>
                </c:pt>
                <c:pt idx="138">
                  <c:v>7.9632980094122298E-4</c:v>
                </c:pt>
                <c:pt idx="139">
                  <c:v>3.1715153681572687E-3</c:v>
                </c:pt>
                <c:pt idx="140">
                  <c:v>2.0294316334784428E-3</c:v>
                </c:pt>
                <c:pt idx="141">
                  <c:v>2.1706175493030585E-3</c:v>
                </c:pt>
                <c:pt idx="142">
                  <c:v>1.6094975536337208E-3</c:v>
                </c:pt>
                <c:pt idx="143">
                  <c:v>2.8519691424988679E-3</c:v>
                </c:pt>
                <c:pt idx="144">
                  <c:v>3.628287658248153E-3</c:v>
                </c:pt>
                <c:pt idx="145">
                  <c:v>2.9099657998185044E-3</c:v>
                </c:pt>
                <c:pt idx="146">
                  <c:v>3.0481242828568644E-3</c:v>
                </c:pt>
                <c:pt idx="147">
                  <c:v>5.6951220477985658E-3</c:v>
                </c:pt>
                <c:pt idx="148">
                  <c:v>4.1502422682347453E-3</c:v>
                </c:pt>
                <c:pt idx="149">
                  <c:v>2.9371452794354396E-3</c:v>
                </c:pt>
                <c:pt idx="150">
                  <c:v>2.5339750925756524E-3</c:v>
                </c:pt>
                <c:pt idx="151">
                  <c:v>2.3573289448195552E-3</c:v>
                </c:pt>
                <c:pt idx="152">
                  <c:v>3.822289252889455E-3</c:v>
                </c:pt>
                <c:pt idx="153">
                  <c:v>3.7867439567762606E-3</c:v>
                </c:pt>
                <c:pt idx="154">
                  <c:v>4.9083428393506701E-3</c:v>
                </c:pt>
                <c:pt idx="155">
                  <c:v>4.4440730942155622E-3</c:v>
                </c:pt>
                <c:pt idx="156">
                  <c:v>4.5985952258645367E-3</c:v>
                </c:pt>
                <c:pt idx="157">
                  <c:v>4.9357333457916118E-3</c:v>
                </c:pt>
                <c:pt idx="158">
                  <c:v>3.2358734074054009E-3</c:v>
                </c:pt>
                <c:pt idx="159">
                  <c:v>4.7460368587220903E-3</c:v>
                </c:pt>
                <c:pt idx="160">
                  <c:v>5.4497623424711551E-3</c:v>
                </c:pt>
                <c:pt idx="161">
                  <c:v>5.1565685288734254E-3</c:v>
                </c:pt>
                <c:pt idx="162">
                  <c:v>4.4992099121288149E-3</c:v>
                </c:pt>
                <c:pt idx="163">
                  <c:v>4.0123643497332806E-3</c:v>
                </c:pt>
                <c:pt idx="164">
                  <c:v>4.1060532320964923E-3</c:v>
                </c:pt>
                <c:pt idx="165">
                  <c:v>5.2829527993247848E-3</c:v>
                </c:pt>
                <c:pt idx="166">
                  <c:v>4.4415860679915794E-3</c:v>
                </c:pt>
                <c:pt idx="167">
                  <c:v>5.6334341933977749E-3</c:v>
                </c:pt>
                <c:pt idx="168">
                  <c:v>5.6284686891270985E-3</c:v>
                </c:pt>
                <c:pt idx="169">
                  <c:v>3.5930946253729169E-3</c:v>
                </c:pt>
                <c:pt idx="170">
                  <c:v>2.5569916708257216E-3</c:v>
                </c:pt>
                <c:pt idx="171">
                  <c:v>1.770939783022671E-3</c:v>
                </c:pt>
                <c:pt idx="172">
                  <c:v>3.1346559071691025E-3</c:v>
                </c:pt>
                <c:pt idx="173">
                  <c:v>2.7125177810989358E-3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07-4734-B1C1-C6F2C4267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'pffd pff'!$K$1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'pffd pff'!$K$2:$K$175</c:f>
              <c:numCache>
                <c:formatCode>_(* #,##0.000000_);_(* \(#,##0.000000\);_(* "-"??_);_(@_)</c:formatCode>
                <c:ptCount val="174"/>
                <c:pt idx="20">
                  <c:v>1.6304662820408287</c:v>
                </c:pt>
                <c:pt idx="21">
                  <c:v>1.6303171942085435</c:v>
                </c:pt>
                <c:pt idx="22">
                  <c:v>1.6303273548581576</c:v>
                </c:pt>
                <c:pt idx="23">
                  <c:v>1.6303077389498841</c:v>
                </c:pt>
                <c:pt idx="24">
                  <c:v>1.6306616006718879</c:v>
                </c:pt>
                <c:pt idx="25">
                  <c:v>1.6307113014736025</c:v>
                </c:pt>
                <c:pt idx="26">
                  <c:v>1.6306576680072762</c:v>
                </c:pt>
                <c:pt idx="27">
                  <c:v>1.6308332941454811</c:v>
                </c:pt>
                <c:pt idx="28">
                  <c:v>1.6312931761734066</c:v>
                </c:pt>
                <c:pt idx="29">
                  <c:v>1.6314141444111114</c:v>
                </c:pt>
                <c:pt idx="30">
                  <c:v>1.6315776613372996</c:v>
                </c:pt>
                <c:pt idx="31">
                  <c:v>1.631631321729794</c:v>
                </c:pt>
                <c:pt idx="32">
                  <c:v>1.6318941718450073</c:v>
                </c:pt>
                <c:pt idx="33">
                  <c:v>1.63215105693135</c:v>
                </c:pt>
                <c:pt idx="34">
                  <c:v>1.6322234812383922</c:v>
                </c:pt>
                <c:pt idx="35">
                  <c:v>1.6322740687656256</c:v>
                </c:pt>
                <c:pt idx="36">
                  <c:v>1.632561821005476</c:v>
                </c:pt>
                <c:pt idx="37">
                  <c:v>1.632764154757425</c:v>
                </c:pt>
                <c:pt idx="38">
                  <c:v>1.6328776921294221</c:v>
                </c:pt>
                <c:pt idx="39">
                  <c:v>1.6329482122064998</c:v>
                </c:pt>
                <c:pt idx="40">
                  <c:v>1.6331974608641016</c:v>
                </c:pt>
                <c:pt idx="41">
                  <c:v>1.6335695100048995</c:v>
                </c:pt>
                <c:pt idx="42">
                  <c:v>1.6338551602777298</c:v>
                </c:pt>
                <c:pt idx="43">
                  <c:v>1.6343442201112364</c:v>
                </c:pt>
                <c:pt idx="44">
                  <c:v>1.6347522838994777</c:v>
                </c:pt>
                <c:pt idx="45">
                  <c:v>1.6350883414470339</c:v>
                </c:pt>
                <c:pt idx="46">
                  <c:v>1.6355395254353837</c:v>
                </c:pt>
                <c:pt idx="47">
                  <c:v>1.6363228272959467</c:v>
                </c:pt>
                <c:pt idx="48">
                  <c:v>1.6366912158167206</c:v>
                </c:pt>
                <c:pt idx="49">
                  <c:v>1.6372254402715776</c:v>
                </c:pt>
                <c:pt idx="50">
                  <c:v>1.6376595267095393</c:v>
                </c:pt>
                <c:pt idx="51">
                  <c:v>1.6381761043805239</c:v>
                </c:pt>
                <c:pt idx="52">
                  <c:v>1.6386455667608986</c:v>
                </c:pt>
                <c:pt idx="53">
                  <c:v>1.6392831249729567</c:v>
                </c:pt>
                <c:pt idx="54">
                  <c:v>1.6398328867516998</c:v>
                </c:pt>
                <c:pt idx="55">
                  <c:v>1.6403202724564558</c:v>
                </c:pt>
                <c:pt idx="56">
                  <c:v>1.6406493593143285</c:v>
                </c:pt>
                <c:pt idx="57">
                  <c:v>1.6410191818000253</c:v>
                </c:pt>
                <c:pt idx="58">
                  <c:v>1.6414308387840983</c:v>
                </c:pt>
                <c:pt idx="59">
                  <c:v>1.6420045144927233</c:v>
                </c:pt>
                <c:pt idx="60">
                  <c:v>1.6422395439340753</c:v>
                </c:pt>
                <c:pt idx="61">
                  <c:v>1.6425962256925142</c:v>
                </c:pt>
                <c:pt idx="62">
                  <c:v>1.6428670165353865</c:v>
                </c:pt>
                <c:pt idx="63">
                  <c:v>1.6430354845694832</c:v>
                </c:pt>
                <c:pt idx="64">
                  <c:v>1.6427745277824219</c:v>
                </c:pt>
                <c:pt idx="65">
                  <c:v>1.6427597079790039</c:v>
                </c:pt>
                <c:pt idx="66">
                  <c:v>1.6424353362393529</c:v>
                </c:pt>
                <c:pt idx="67">
                  <c:v>1.6419587750082507</c:v>
                </c:pt>
                <c:pt idx="68">
                  <c:v>1.6416182981918852</c:v>
                </c:pt>
                <c:pt idx="69">
                  <c:v>1.6416211805272425</c:v>
                </c:pt>
                <c:pt idx="70">
                  <c:v>1.6415620313279959</c:v>
                </c:pt>
                <c:pt idx="71">
                  <c:v>1.6418966363195782</c:v>
                </c:pt>
                <c:pt idx="72">
                  <c:v>1.6422045174393716</c:v>
                </c:pt>
                <c:pt idx="73">
                  <c:v>1.6421462772291455</c:v>
                </c:pt>
                <c:pt idx="74">
                  <c:v>1.6423056743911075</c:v>
                </c:pt>
                <c:pt idx="75">
                  <c:v>1.6427271791525122</c:v>
                </c:pt>
                <c:pt idx="76">
                  <c:v>1.642909628267434</c:v>
                </c:pt>
                <c:pt idx="77">
                  <c:v>1.642870685555188</c:v>
                </c:pt>
                <c:pt idx="78">
                  <c:v>1.6430281708127068</c:v>
                </c:pt>
                <c:pt idx="79">
                  <c:v>1.6427626764351992</c:v>
                </c:pt>
                <c:pt idx="80">
                  <c:v>1.642695959213555</c:v>
                </c:pt>
                <c:pt idx="81">
                  <c:v>1.6424872180770564</c:v>
                </c:pt>
                <c:pt idx="82">
                  <c:v>1.6424929783863349</c:v>
                </c:pt>
                <c:pt idx="83">
                  <c:v>1.6425260735319374</c:v>
                </c:pt>
                <c:pt idx="84">
                  <c:v>1.6432216940163205</c:v>
                </c:pt>
                <c:pt idx="85">
                  <c:v>1.6436263033635683</c:v>
                </c:pt>
                <c:pt idx="86">
                  <c:v>1.6443494636885241</c:v>
                </c:pt>
                <c:pt idx="87">
                  <c:v>1.6449527643475061</c:v>
                </c:pt>
                <c:pt idx="88">
                  <c:v>1.6456970898944614</c:v>
                </c:pt>
                <c:pt idx="89">
                  <c:v>1.6458241532598508</c:v>
                </c:pt>
                <c:pt idx="90">
                  <c:v>1.6462017443600936</c:v>
                </c:pt>
                <c:pt idx="91">
                  <c:v>1.6462390879204445</c:v>
                </c:pt>
                <c:pt idx="92">
                  <c:v>1.6460918882450322</c:v>
                </c:pt>
                <c:pt idx="93">
                  <c:v>1.6461139835386451</c:v>
                </c:pt>
                <c:pt idx="94">
                  <c:v>1.6461623656789399</c:v>
                </c:pt>
                <c:pt idx="95">
                  <c:v>1.6460438977118188</c:v>
                </c:pt>
                <c:pt idx="96">
                  <c:v>1.6461566843334505</c:v>
                </c:pt>
                <c:pt idx="97">
                  <c:v>1.6466471813135102</c:v>
                </c:pt>
                <c:pt idx="98">
                  <c:v>1.6469202145616024</c:v>
                </c:pt>
                <c:pt idx="99">
                  <c:v>1.647329401009769</c:v>
                </c:pt>
                <c:pt idx="100">
                  <c:v>1.647780764722933</c:v>
                </c:pt>
                <c:pt idx="101">
                  <c:v>1.6482985912526344</c:v>
                </c:pt>
                <c:pt idx="102">
                  <c:v>1.6484596570750434</c:v>
                </c:pt>
                <c:pt idx="103">
                  <c:v>1.6486863933812046</c:v>
                </c:pt>
                <c:pt idx="104">
                  <c:v>1.6485180992083854</c:v>
                </c:pt>
                <c:pt idx="105">
                  <c:v>1.6482867263438035</c:v>
                </c:pt>
                <c:pt idx="106">
                  <c:v>1.6477046543863794</c:v>
                </c:pt>
                <c:pt idx="107">
                  <c:v>1.6476143834079136</c:v>
                </c:pt>
                <c:pt idx="108">
                  <c:v>1.6472081933000531</c:v>
                </c:pt>
                <c:pt idx="109">
                  <c:v>1.6470704447807278</c:v>
                </c:pt>
                <c:pt idx="110">
                  <c:v>1.6466617501906711</c:v>
                </c:pt>
                <c:pt idx="111">
                  <c:v>1.6462033776981624</c:v>
                </c:pt>
                <c:pt idx="112">
                  <c:v>1.6459335552385739</c:v>
                </c:pt>
                <c:pt idx="113">
                  <c:v>1.6454348676949486</c:v>
                </c:pt>
                <c:pt idx="114">
                  <c:v>1.6450808849962582</c:v>
                </c:pt>
                <c:pt idx="115">
                  <c:v>1.6449836565228746</c:v>
                </c:pt>
                <c:pt idx="116">
                  <c:v>1.6444613472694214</c:v>
                </c:pt>
                <c:pt idx="117">
                  <c:v>1.643539773977567</c:v>
                </c:pt>
                <c:pt idx="118">
                  <c:v>1.6426959470610361</c:v>
                </c:pt>
                <c:pt idx="119">
                  <c:v>1.6414372345911432</c:v>
                </c:pt>
                <c:pt idx="120">
                  <c:v>1.6399407302525202</c:v>
                </c:pt>
                <c:pt idx="121">
                  <c:v>1.6388575497891555</c:v>
                </c:pt>
                <c:pt idx="122">
                  <c:v>1.6375597296501727</c:v>
                </c:pt>
                <c:pt idx="123">
                  <c:v>1.6364338864370862</c:v>
                </c:pt>
                <c:pt idx="124">
                  <c:v>1.6355353214785429</c:v>
                </c:pt>
                <c:pt idx="125">
                  <c:v>1.6346280819646046</c:v>
                </c:pt>
                <c:pt idx="126">
                  <c:v>1.6339572767697998</c:v>
                </c:pt>
                <c:pt idx="127">
                  <c:v>1.6330990807740382</c:v>
                </c:pt>
                <c:pt idx="128">
                  <c:v>1.6320989108466304</c:v>
                </c:pt>
                <c:pt idx="129">
                  <c:v>1.6312721838212749</c:v>
                </c:pt>
                <c:pt idx="130">
                  <c:v>1.6304075055229148</c:v>
                </c:pt>
                <c:pt idx="131">
                  <c:v>1.629958498963429</c:v>
                </c:pt>
                <c:pt idx="132">
                  <c:v>1.6293287114424579</c:v>
                </c:pt>
                <c:pt idx="133">
                  <c:v>1.6287123100195171</c:v>
                </c:pt>
                <c:pt idx="134">
                  <c:v>1.627794518186042</c:v>
                </c:pt>
                <c:pt idx="135">
                  <c:v>1.6270307213862669</c:v>
                </c:pt>
                <c:pt idx="136">
                  <c:v>1.6265548135952284</c:v>
                </c:pt>
                <c:pt idx="137">
                  <c:v>1.6264468866507098</c:v>
                </c:pt>
                <c:pt idx="138">
                  <c:v>1.6262149027982791</c:v>
                </c:pt>
                <c:pt idx="139">
                  <c:v>1.6266632076781413</c:v>
                </c:pt>
                <c:pt idx="140">
                  <c:v>1.6272077134170402</c:v>
                </c:pt>
                <c:pt idx="141">
                  <c:v>1.6273080955294312</c:v>
                </c:pt>
                <c:pt idx="142">
                  <c:v>1.6277229517331366</c:v>
                </c:pt>
                <c:pt idx="143">
                  <c:v>1.6280272538285625</c:v>
                </c:pt>
                <c:pt idx="144">
                  <c:v>1.6282567534435295</c:v>
                </c:pt>
                <c:pt idx="145">
                  <c:v>1.6286511567287092</c:v>
                </c:pt>
                <c:pt idx="146">
                  <c:v>1.6290830428104131</c:v>
                </c:pt>
                <c:pt idx="147">
                  <c:v>1.629527124910803</c:v>
                </c:pt>
                <c:pt idx="148">
                  <c:v>1.6300894960311567</c:v>
                </c:pt>
                <c:pt idx="149">
                  <c:v>1.6305065509265204</c:v>
                </c:pt>
                <c:pt idx="150">
                  <c:v>1.6309830517005921</c:v>
                </c:pt>
                <c:pt idx="151">
                  <c:v>1.631136487325199</c:v>
                </c:pt>
                <c:pt idx="152">
                  <c:v>1.6314704428673312</c:v>
                </c:pt>
                <c:pt idx="153">
                  <c:v>1.6321300618007508</c:v>
                </c:pt>
                <c:pt idx="154">
                  <c:v>1.6330510779819143</c:v>
                </c:pt>
                <c:pt idx="155">
                  <c:v>1.6336769154114326</c:v>
                </c:pt>
                <c:pt idx="156">
                  <c:v>1.6344319412883752</c:v>
                </c:pt>
                <c:pt idx="157">
                  <c:v>1.6350403878370812</c:v>
                </c:pt>
                <c:pt idx="158">
                  <c:v>1.6356698426756773</c:v>
                </c:pt>
                <c:pt idx="159">
                  <c:v>1.6362728588598412</c:v>
                </c:pt>
                <c:pt idx="160">
                  <c:v>1.6370341462408036</c:v>
                </c:pt>
                <c:pt idx="161">
                  <c:v>1.6377709395389963</c:v>
                </c:pt>
                <c:pt idx="162">
                  <c:v>1.638531558081785</c:v>
                </c:pt>
                <c:pt idx="163">
                  <c:v>1.6391685968981515</c:v>
                </c:pt>
                <c:pt idx="164">
                  <c:v>1.6397668421677754</c:v>
                </c:pt>
                <c:pt idx="165">
                  <c:v>1.6405385785721485</c:v>
                </c:pt>
                <c:pt idx="166">
                  <c:v>1.6412490627720939</c:v>
                </c:pt>
                <c:pt idx="167">
                  <c:v>1.6418557658619428</c:v>
                </c:pt>
                <c:pt idx="168">
                  <c:v>1.6425961079804587</c:v>
                </c:pt>
                <c:pt idx="169">
                  <c:v>1.6432771482568698</c:v>
                </c:pt>
                <c:pt idx="170">
                  <c:v>1.6439191872730181</c:v>
                </c:pt>
                <c:pt idx="171">
                  <c:v>1.6445193199682664</c:v>
                </c:pt>
                <c:pt idx="172">
                  <c:v>1.6451344779371841</c:v>
                </c:pt>
                <c:pt idx="173">
                  <c:v>1.6457319044748524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01-4841-8F49-D752689A7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'bndx iagg'!$O$1</c:f>
              <c:strCache>
                <c:ptCount val="1"/>
                <c:pt idx="0">
                  <c:v>diff/BNDX*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'bndx iagg'!$A$2:$A$175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'bndx iagg'!$O$2:$O$175</c:f>
              <c:numCache>
                <c:formatCode>0.00%</c:formatCode>
                <c:ptCount val="174"/>
                <c:pt idx="21">
                  <c:v>7.8984256385684903E-4</c:v>
                </c:pt>
                <c:pt idx="22">
                  <c:v>-1.0788472828572456E-3</c:v>
                </c:pt>
                <c:pt idx="23">
                  <c:v>-6.5193729684152977E-4</c:v>
                </c:pt>
                <c:pt idx="24">
                  <c:v>-6.3924124575606266E-4</c:v>
                </c:pt>
                <c:pt idx="25">
                  <c:v>-6.4297593372850722E-4</c:v>
                </c:pt>
                <c:pt idx="26">
                  <c:v>-1.6678759890159712E-3</c:v>
                </c:pt>
                <c:pt idx="27">
                  <c:v>-4.0462359019766229E-4</c:v>
                </c:pt>
                <c:pt idx="28">
                  <c:v>-8.6032570400450888E-4</c:v>
                </c:pt>
                <c:pt idx="29">
                  <c:v>-7.1339647770547464E-5</c:v>
                </c:pt>
                <c:pt idx="30">
                  <c:v>-7.5738588304694911E-4</c:v>
                </c:pt>
                <c:pt idx="31">
                  <c:v>-1.120289208120544E-3</c:v>
                </c:pt>
                <c:pt idx="32">
                  <c:v>-8.4702124488512053E-4</c:v>
                </c:pt>
                <c:pt idx="33">
                  <c:v>-5.876571658739205E-4</c:v>
                </c:pt>
                <c:pt idx="34">
                  <c:v>-1.1711204775736459E-3</c:v>
                </c:pt>
                <c:pt idx="35">
                  <c:v>-1.487582812320623E-3</c:v>
                </c:pt>
                <c:pt idx="36">
                  <c:v>-7.6139184986783002E-4</c:v>
                </c:pt>
                <c:pt idx="37">
                  <c:v>-1.3374346819937887E-3</c:v>
                </c:pt>
                <c:pt idx="38">
                  <c:v>-6.4926270011912788E-4</c:v>
                </c:pt>
                <c:pt idx="39">
                  <c:v>-1.1063938918223473E-3</c:v>
                </c:pt>
                <c:pt idx="40">
                  <c:v>-1.2900921080090445E-4</c:v>
                </c:pt>
                <c:pt idx="41">
                  <c:v>1.1922694306444924E-3</c:v>
                </c:pt>
                <c:pt idx="42">
                  <c:v>1.3607992700790663E-3</c:v>
                </c:pt>
                <c:pt idx="43">
                  <c:v>2.787723129178393E-3</c:v>
                </c:pt>
                <c:pt idx="44">
                  <c:v>1.8227943181017433E-3</c:v>
                </c:pt>
                <c:pt idx="45">
                  <c:v>1.3764902135825563E-3</c:v>
                </c:pt>
                <c:pt idx="46">
                  <c:v>2.6700799551064892E-3</c:v>
                </c:pt>
                <c:pt idx="47">
                  <c:v>3.4156078306693989E-3</c:v>
                </c:pt>
                <c:pt idx="48">
                  <c:v>3.7089841472829677E-3</c:v>
                </c:pt>
                <c:pt idx="49">
                  <c:v>2.3272333149087845E-3</c:v>
                </c:pt>
                <c:pt idx="50">
                  <c:v>7.5642988694940116E-4</c:v>
                </c:pt>
                <c:pt idx="51">
                  <c:v>2.6146688000886855E-3</c:v>
                </c:pt>
                <c:pt idx="52">
                  <c:v>2.8052998046100433E-3</c:v>
                </c:pt>
                <c:pt idx="53">
                  <c:v>2.4443630979012428E-3</c:v>
                </c:pt>
                <c:pt idx="54">
                  <c:v>2.3042643913418911E-3</c:v>
                </c:pt>
                <c:pt idx="55">
                  <c:v>2.0179138057720507E-3</c:v>
                </c:pt>
                <c:pt idx="56">
                  <c:v>1.5880892567336291E-3</c:v>
                </c:pt>
                <c:pt idx="57">
                  <c:v>3.4587034579980319E-3</c:v>
                </c:pt>
                <c:pt idx="58">
                  <c:v>3.1878667053719121E-3</c:v>
                </c:pt>
                <c:pt idx="59">
                  <c:v>2.7716860446094877E-3</c:v>
                </c:pt>
                <c:pt idx="60">
                  <c:v>1.6353609572287342E-3</c:v>
                </c:pt>
                <c:pt idx="61">
                  <c:v>1.1771978582921976E-4</c:v>
                </c:pt>
                <c:pt idx="62">
                  <c:v>4.3301867322454406E-4</c:v>
                </c:pt>
                <c:pt idx="63">
                  <c:v>1.1568357579796228E-3</c:v>
                </c:pt>
                <c:pt idx="64">
                  <c:v>8.2804755607921777E-4</c:v>
                </c:pt>
                <c:pt idx="65">
                  <c:v>-5.8431743124226054E-4</c:v>
                </c:pt>
                <c:pt idx="66">
                  <c:v>4.3053998960215594E-4</c:v>
                </c:pt>
                <c:pt idx="67">
                  <c:v>8.5043960980058409E-4</c:v>
                </c:pt>
                <c:pt idx="68">
                  <c:v>-2.3409458610381897E-4</c:v>
                </c:pt>
                <c:pt idx="69">
                  <c:v>-1.1470914137617181E-3</c:v>
                </c:pt>
                <c:pt idx="70">
                  <c:v>-8.6935247148062689E-4</c:v>
                </c:pt>
                <c:pt idx="71">
                  <c:v>-1.3230312284844936E-4</c:v>
                </c:pt>
                <c:pt idx="72">
                  <c:v>-3.3963530917154565E-4</c:v>
                </c:pt>
                <c:pt idx="73">
                  <c:v>-2.9151720597238377E-4</c:v>
                </c:pt>
                <c:pt idx="74">
                  <c:v>-3.6866580946355186E-4</c:v>
                </c:pt>
                <c:pt idx="75">
                  <c:v>-3.3442899665444515E-5</c:v>
                </c:pt>
                <c:pt idx="76">
                  <c:v>-3.8380686469335359E-4</c:v>
                </c:pt>
                <c:pt idx="77">
                  <c:v>5.3416323081766667E-4</c:v>
                </c:pt>
                <c:pt idx="78">
                  <c:v>-1.265186085061042E-4</c:v>
                </c:pt>
                <c:pt idx="79">
                  <c:v>-2.0698613020919191E-4</c:v>
                </c:pt>
                <c:pt idx="80">
                  <c:v>1.182578186188618E-3</c:v>
                </c:pt>
                <c:pt idx="81">
                  <c:v>-3.8268296304309879E-4</c:v>
                </c:pt>
                <c:pt idx="82">
                  <c:v>-4.6745019810838674E-4</c:v>
                </c:pt>
                <c:pt idx="83">
                  <c:v>2.4634580129968326E-4</c:v>
                </c:pt>
                <c:pt idx="84">
                  <c:v>-1.6528873322815233E-4</c:v>
                </c:pt>
                <c:pt idx="85">
                  <c:v>-7.2950489554987846E-4</c:v>
                </c:pt>
                <c:pt idx="86">
                  <c:v>-6.676847359643423E-4</c:v>
                </c:pt>
                <c:pt idx="87">
                  <c:v>5.3198261160550709E-4</c:v>
                </c:pt>
                <c:pt idx="88">
                  <c:v>6.7757903707841172E-4</c:v>
                </c:pt>
                <c:pt idx="89">
                  <c:v>1.7724444596986136E-3</c:v>
                </c:pt>
                <c:pt idx="90">
                  <c:v>7.6525189985199554E-4</c:v>
                </c:pt>
                <c:pt idx="91">
                  <c:v>-9.6193504207252192E-4</c:v>
                </c:pt>
                <c:pt idx="92">
                  <c:v>2.590082447341502E-3</c:v>
                </c:pt>
                <c:pt idx="93">
                  <c:v>1.940380312099457E-3</c:v>
                </c:pt>
                <c:pt idx="94">
                  <c:v>1.9146881226622368E-3</c:v>
                </c:pt>
                <c:pt idx="95">
                  <c:v>7.2841604819790071E-4</c:v>
                </c:pt>
                <c:pt idx="96">
                  <c:v>2.3076627566186885E-4</c:v>
                </c:pt>
                <c:pt idx="97">
                  <c:v>-8.7071601776019707E-4</c:v>
                </c:pt>
                <c:pt idx="98">
                  <c:v>-1.3417275019524117E-3</c:v>
                </c:pt>
                <c:pt idx="99">
                  <c:v>-8.9534501945198405E-4</c:v>
                </c:pt>
                <c:pt idx="100">
                  <c:v>-1.1078476496363819E-3</c:v>
                </c:pt>
                <c:pt idx="101">
                  <c:v>-1.6604068923232525E-3</c:v>
                </c:pt>
                <c:pt idx="102">
                  <c:v>-2.3228394706474456E-4</c:v>
                </c:pt>
                <c:pt idx="103">
                  <c:v>-1.3139593273489153E-3</c:v>
                </c:pt>
                <c:pt idx="104">
                  <c:v>2.6053648224830451E-4</c:v>
                </c:pt>
                <c:pt idx="105">
                  <c:v>1.8618150859767775E-4</c:v>
                </c:pt>
                <c:pt idx="106">
                  <c:v>-2.2202982577058768E-5</c:v>
                </c:pt>
                <c:pt idx="107">
                  <c:v>-2.2842864809744388E-4</c:v>
                </c:pt>
                <c:pt idx="108">
                  <c:v>3.4710386527036526E-4</c:v>
                </c:pt>
                <c:pt idx="109">
                  <c:v>1.0021049530986139E-3</c:v>
                </c:pt>
                <c:pt idx="110">
                  <c:v>-1.9351630216544443E-4</c:v>
                </c:pt>
                <c:pt idx="111">
                  <c:v>-1.6058384216833805E-3</c:v>
                </c:pt>
                <c:pt idx="112">
                  <c:v>-4.1098256239564693E-4</c:v>
                </c:pt>
                <c:pt idx="113">
                  <c:v>-1.2362627419424641E-4</c:v>
                </c:pt>
                <c:pt idx="114">
                  <c:v>-2.0288857207298702E-4</c:v>
                </c:pt>
                <c:pt idx="115">
                  <c:v>1.0649833557366225E-3</c:v>
                </c:pt>
                <c:pt idx="116">
                  <c:v>1.1327046427484385E-3</c:v>
                </c:pt>
                <c:pt idx="117">
                  <c:v>-9.4091346042949903E-4</c:v>
                </c:pt>
                <c:pt idx="118">
                  <c:v>-9.9882955432355658E-4</c:v>
                </c:pt>
                <c:pt idx="119">
                  <c:v>-3.9401755781983555E-4</c:v>
                </c:pt>
                <c:pt idx="120">
                  <c:v>-8.0285546852951444E-4</c:v>
                </c:pt>
                <c:pt idx="121">
                  <c:v>-8.0256294838437488E-4</c:v>
                </c:pt>
                <c:pt idx="122">
                  <c:v>8.1255953084989759E-4</c:v>
                </c:pt>
                <c:pt idx="123">
                  <c:v>1.2883609186796145E-3</c:v>
                </c:pt>
                <c:pt idx="124">
                  <c:v>1.1961327652812066E-3</c:v>
                </c:pt>
                <c:pt idx="125">
                  <c:v>1.170694630353807E-3</c:v>
                </c:pt>
                <c:pt idx="126">
                  <c:v>1.8773884812505648E-3</c:v>
                </c:pt>
                <c:pt idx="127">
                  <c:v>3.1328074281553871E-3</c:v>
                </c:pt>
                <c:pt idx="128">
                  <c:v>8.3422297473030669E-4</c:v>
                </c:pt>
                <c:pt idx="129">
                  <c:v>1.3513624490372456E-3</c:v>
                </c:pt>
                <c:pt idx="130">
                  <c:v>1.8771474667587198E-3</c:v>
                </c:pt>
                <c:pt idx="131">
                  <c:v>2.1062432153570181E-3</c:v>
                </c:pt>
                <c:pt idx="132">
                  <c:v>1.4545783724254965E-3</c:v>
                </c:pt>
                <c:pt idx="133">
                  <c:v>1.3931217250989563E-3</c:v>
                </c:pt>
                <c:pt idx="134">
                  <c:v>1.1063035336631413E-3</c:v>
                </c:pt>
                <c:pt idx="135">
                  <c:v>2.2719723019680232E-3</c:v>
                </c:pt>
                <c:pt idx="136">
                  <c:v>1.548642844639226E-3</c:v>
                </c:pt>
                <c:pt idx="137">
                  <c:v>1.486676304967652E-3</c:v>
                </c:pt>
                <c:pt idx="138">
                  <c:v>2.5628784311549383E-3</c:v>
                </c:pt>
                <c:pt idx="139">
                  <c:v>1.0381163462127088E-3</c:v>
                </c:pt>
                <c:pt idx="140">
                  <c:v>-1.6178313530978733E-5</c:v>
                </c:pt>
                <c:pt idx="141">
                  <c:v>3.8007712446273367E-4</c:v>
                </c:pt>
                <c:pt idx="142">
                  <c:v>7.5482182079980001E-4</c:v>
                </c:pt>
                <c:pt idx="143">
                  <c:v>3.8627396055364142E-4</c:v>
                </c:pt>
                <c:pt idx="144">
                  <c:v>9.966055365075849E-4</c:v>
                </c:pt>
                <c:pt idx="145">
                  <c:v>-2.8107844568807621E-5</c:v>
                </c:pt>
                <c:pt idx="146">
                  <c:v>-1.942203870217814E-4</c:v>
                </c:pt>
                <c:pt idx="147">
                  <c:v>-2.2876631271561077E-4</c:v>
                </c:pt>
                <c:pt idx="148">
                  <c:v>9.8631965288708474E-5</c:v>
                </c:pt>
                <c:pt idx="149">
                  <c:v>1.7606308335630299E-4</c:v>
                </c:pt>
                <c:pt idx="150">
                  <c:v>8.487652667945137E-4</c:v>
                </c:pt>
                <c:pt idx="151">
                  <c:v>3.6850190149324602E-4</c:v>
                </c:pt>
                <c:pt idx="152">
                  <c:v>3.4637666895009168E-4</c:v>
                </c:pt>
                <c:pt idx="153">
                  <c:v>3.0567748972742998E-5</c:v>
                </c:pt>
                <c:pt idx="154">
                  <c:v>1.5437694662329608E-3</c:v>
                </c:pt>
                <c:pt idx="155">
                  <c:v>1.0926190836316099E-3</c:v>
                </c:pt>
                <c:pt idx="156">
                  <c:v>2.3009627498469924E-3</c:v>
                </c:pt>
                <c:pt idx="157">
                  <c:v>2.6409328994536928E-4</c:v>
                </c:pt>
                <c:pt idx="158">
                  <c:v>1.1029603782626662E-3</c:v>
                </c:pt>
                <c:pt idx="159">
                  <c:v>6.9757467394191515E-4</c:v>
                </c:pt>
                <c:pt idx="160">
                  <c:v>8.1811108018515686E-4</c:v>
                </c:pt>
                <c:pt idx="161">
                  <c:v>-6.6316240386944973E-4</c:v>
                </c:pt>
                <c:pt idx="162">
                  <c:v>-5.6724292768473646E-4</c:v>
                </c:pt>
                <c:pt idx="163">
                  <c:v>-2.9190508286818689E-4</c:v>
                </c:pt>
                <c:pt idx="164">
                  <c:v>9.6694727209932279E-4</c:v>
                </c:pt>
                <c:pt idx="165">
                  <c:v>1.5619162243691879E-3</c:v>
                </c:pt>
                <c:pt idx="166">
                  <c:v>1.965378642217987E-3</c:v>
                </c:pt>
                <c:pt idx="167">
                  <c:v>2.4280023318589148E-3</c:v>
                </c:pt>
                <c:pt idx="168">
                  <c:v>9.1864809611321037E-4</c:v>
                </c:pt>
                <c:pt idx="169">
                  <c:v>9.7011127738728616E-4</c:v>
                </c:pt>
                <c:pt idx="170">
                  <c:v>9.1760628984334806E-4</c:v>
                </c:pt>
                <c:pt idx="171">
                  <c:v>1.5834817085256499E-3</c:v>
                </c:pt>
                <c:pt idx="172">
                  <c:v>2.8875104702375302E-3</c:v>
                </c:pt>
                <c:pt idx="173">
                  <c:v>3.4693587098757837E-3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E-41AF-977C-EB026897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'bndx iagg'!$K$1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'bndx iagg'!$K$2:$K$175</c:f>
              <c:numCache>
                <c:formatCode>_(* #,##0.000000_);_(* \(#,##0.000000\);_(* "-"??_);_(@_)</c:formatCode>
                <c:ptCount val="174"/>
                <c:pt idx="20">
                  <c:v>1.0351365211533197</c:v>
                </c:pt>
                <c:pt idx="21">
                  <c:v>1.0351669677571602</c:v>
                </c:pt>
                <c:pt idx="22">
                  <c:v>1.0350940845536749</c:v>
                </c:pt>
                <c:pt idx="23">
                  <c:v>1.0350738569435192</c:v>
                </c:pt>
                <c:pt idx="24">
                  <c:v>1.0350635785851598</c:v>
                </c:pt>
                <c:pt idx="25">
                  <c:v>1.0350220475968983</c:v>
                </c:pt>
                <c:pt idx="26">
                  <c:v>1.0349371443247193</c:v>
                </c:pt>
                <c:pt idx="27">
                  <c:v>1.0349222312385522</c:v>
                </c:pt>
                <c:pt idx="28">
                  <c:v>1.0349163566913613</c:v>
                </c:pt>
                <c:pt idx="29">
                  <c:v>1.0349503125920783</c:v>
                </c:pt>
                <c:pt idx="30">
                  <c:v>1.0349178030806065</c:v>
                </c:pt>
                <c:pt idx="31">
                  <c:v>1.0348181634592311</c:v>
                </c:pt>
                <c:pt idx="32">
                  <c:v>1.0347188387981117</c:v>
                </c:pt>
                <c:pt idx="33">
                  <c:v>1.0346500843636561</c:v>
                </c:pt>
                <c:pt idx="34">
                  <c:v>1.0345572977044397</c:v>
                </c:pt>
                <c:pt idx="35">
                  <c:v>1.0344567191856546</c:v>
                </c:pt>
                <c:pt idx="36">
                  <c:v>1.034388318893992</c:v>
                </c:pt>
                <c:pt idx="37">
                  <c:v>1.0342245045411587</c:v>
                </c:pt>
                <c:pt idx="38">
                  <c:v>1.0342070662210594</c:v>
                </c:pt>
                <c:pt idx="39">
                  <c:v>1.0340792727796906</c:v>
                </c:pt>
                <c:pt idx="40">
                  <c:v>1.0339796010037372</c:v>
                </c:pt>
                <c:pt idx="41">
                  <c:v>1.0339425143655769</c:v>
                </c:pt>
                <c:pt idx="42">
                  <c:v>1.0340074804604638</c:v>
                </c:pt>
                <c:pt idx="43">
                  <c:v>1.0341310174062275</c:v>
                </c:pt>
                <c:pt idx="44">
                  <c:v>1.0342112089315862</c:v>
                </c:pt>
                <c:pt idx="45">
                  <c:v>1.0342730455778466</c:v>
                </c:pt>
                <c:pt idx="46">
                  <c:v>1.0344599894843136</c:v>
                </c:pt>
                <c:pt idx="47">
                  <c:v>1.0346337352234714</c:v>
                </c:pt>
                <c:pt idx="48">
                  <c:v>1.0348557009386856</c:v>
                </c:pt>
                <c:pt idx="49">
                  <c:v>1.034976777212637</c:v>
                </c:pt>
                <c:pt idx="50">
                  <c:v>1.0350564376498146</c:v>
                </c:pt>
                <c:pt idx="51">
                  <c:v>1.035256656229272</c:v>
                </c:pt>
                <c:pt idx="52">
                  <c:v>1.035467616780998</c:v>
                </c:pt>
                <c:pt idx="53">
                  <c:v>1.0356620116187332</c:v>
                </c:pt>
                <c:pt idx="54">
                  <c:v>1.035892514931275</c:v>
                </c:pt>
                <c:pt idx="55">
                  <c:v>1.036140742365697</c:v>
                </c:pt>
                <c:pt idx="56">
                  <c:v>1.0363465990695213</c:v>
                </c:pt>
                <c:pt idx="57">
                  <c:v>1.0366929051972089</c:v>
                </c:pt>
                <c:pt idx="58">
                  <c:v>1.0370151413395376</c:v>
                </c:pt>
                <c:pt idx="59">
                  <c:v>1.0373564711342738</c:v>
                </c:pt>
                <c:pt idx="60">
                  <c:v>1.0376118239531285</c:v>
                </c:pt>
                <c:pt idx="61">
                  <c:v>1.0377379033591729</c:v>
                </c:pt>
                <c:pt idx="62">
                  <c:v>1.0378797913924136</c:v>
                </c:pt>
                <c:pt idx="63">
                  <c:v>1.0379893134333185</c:v>
                </c:pt>
                <c:pt idx="64">
                  <c:v>1.038130953053249</c:v>
                </c:pt>
                <c:pt idx="65">
                  <c:v>1.0382254312783497</c:v>
                </c:pt>
                <c:pt idx="66">
                  <c:v>1.0383073208553391</c:v>
                </c:pt>
                <c:pt idx="67">
                  <c:v>1.0383671728255004</c:v>
                </c:pt>
                <c:pt idx="68">
                  <c:v>1.0383498188928155</c:v>
                </c:pt>
                <c:pt idx="69">
                  <c:v>1.0383445531492677</c:v>
                </c:pt>
                <c:pt idx="70">
                  <c:v>1.0384286632075936</c:v>
                </c:pt>
                <c:pt idx="71">
                  <c:v>1.0384550886290402</c:v>
                </c:pt>
                <c:pt idx="72">
                  <c:v>1.0384521651835019</c:v>
                </c:pt>
                <c:pt idx="73">
                  <c:v>1.0384597033283642</c:v>
                </c:pt>
                <c:pt idx="74">
                  <c:v>1.0384611237297476</c:v>
                </c:pt>
                <c:pt idx="75">
                  <c:v>1.038483300621754</c:v>
                </c:pt>
                <c:pt idx="76">
                  <c:v>1.0384982254845039</c:v>
                </c:pt>
                <c:pt idx="77">
                  <c:v>1.0384543224053246</c:v>
                </c:pt>
                <c:pt idx="78">
                  <c:v>1.0383705821361284</c:v>
                </c:pt>
                <c:pt idx="79">
                  <c:v>1.038283893740767</c:v>
                </c:pt>
                <c:pt idx="80">
                  <c:v>1.0383068348517011</c:v>
                </c:pt>
                <c:pt idx="81">
                  <c:v>1.0383156109077398</c:v>
                </c:pt>
                <c:pt idx="82">
                  <c:v>1.0382977602487637</c:v>
                </c:pt>
                <c:pt idx="83">
                  <c:v>1.0382714148835095</c:v>
                </c:pt>
                <c:pt idx="84">
                  <c:v>1.0382339640019624</c:v>
                </c:pt>
                <c:pt idx="85">
                  <c:v>1.0382315746120139</c:v>
                </c:pt>
                <c:pt idx="86">
                  <c:v>1.0381748713316397</c:v>
                </c:pt>
                <c:pt idx="87">
                  <c:v>1.0381517125207824</c:v>
                </c:pt>
                <c:pt idx="88">
                  <c:v>1.0381882648041092</c:v>
                </c:pt>
                <c:pt idx="89">
                  <c:v>1.0383317477596643</c:v>
                </c:pt>
                <c:pt idx="90">
                  <c:v>1.038415971127493</c:v>
                </c:pt>
                <c:pt idx="91">
                  <c:v>1.0383722614556941</c:v>
                </c:pt>
                <c:pt idx="92">
                  <c:v>1.0385202283861914</c:v>
                </c:pt>
                <c:pt idx="93">
                  <c:v>1.0386395240902562</c:v>
                </c:pt>
                <c:pt idx="94">
                  <c:v>1.0387670908957323</c:v>
                </c:pt>
                <c:pt idx="95">
                  <c:v>1.0388219584425573</c:v>
                </c:pt>
                <c:pt idx="96">
                  <c:v>1.0388708064383008</c:v>
                </c:pt>
                <c:pt idx="97">
                  <c:v>1.0388164710350469</c:v>
                </c:pt>
                <c:pt idx="98">
                  <c:v>1.0387714572248932</c:v>
                </c:pt>
                <c:pt idx="99">
                  <c:v>1.0387557444522286</c:v>
                </c:pt>
                <c:pt idx="100">
                  <c:v>1.0386604052381094</c:v>
                </c:pt>
                <c:pt idx="101">
                  <c:v>1.0386117209294532</c:v>
                </c:pt>
                <c:pt idx="102">
                  <c:v>1.0386387318309394</c:v>
                </c:pt>
                <c:pt idx="103">
                  <c:v>1.0385747549428896</c:v>
                </c:pt>
                <c:pt idx="104">
                  <c:v>1.0386120320048646</c:v>
                </c:pt>
                <c:pt idx="105">
                  <c:v>1.0386784737607315</c:v>
                </c:pt>
                <c:pt idx="106">
                  <c:v>1.0387343261989028</c:v>
                </c:pt>
                <c:pt idx="107">
                  <c:v>1.0387228205594048</c:v>
                </c:pt>
                <c:pt idx="108">
                  <c:v>1.0387342317047485</c:v>
                </c:pt>
                <c:pt idx="109">
                  <c:v>1.0387215695338039</c:v>
                </c:pt>
                <c:pt idx="110">
                  <c:v>1.0386912808775226</c:v>
                </c:pt>
                <c:pt idx="111">
                  <c:v>1.0386715922822127</c:v>
                </c:pt>
                <c:pt idx="112">
                  <c:v>1.0385307415395042</c:v>
                </c:pt>
                <c:pt idx="113">
                  <c:v>1.0384240915026155</c:v>
                </c:pt>
                <c:pt idx="114">
                  <c:v>1.0383033521161518</c:v>
                </c:pt>
                <c:pt idx="115">
                  <c:v>1.0382976212356156</c:v>
                </c:pt>
                <c:pt idx="116">
                  <c:v>1.0383182223483538</c:v>
                </c:pt>
                <c:pt idx="117">
                  <c:v>1.0382869728368529</c:v>
                </c:pt>
                <c:pt idx="118">
                  <c:v>1.0382783347726598</c:v>
                </c:pt>
                <c:pt idx="119">
                  <c:v>1.0382797265978867</c:v>
                </c:pt>
                <c:pt idx="120">
                  <c:v>1.0382717854328534</c:v>
                </c:pt>
                <c:pt idx="121">
                  <c:v>1.0382969204641053</c:v>
                </c:pt>
                <c:pt idx="122">
                  <c:v>1.0383354269852672</c:v>
                </c:pt>
                <c:pt idx="123">
                  <c:v>1.0384553857346857</c:v>
                </c:pt>
                <c:pt idx="124">
                  <c:v>1.0384979944692234</c:v>
                </c:pt>
                <c:pt idx="125">
                  <c:v>1.0385434122759809</c:v>
                </c:pt>
                <c:pt idx="126">
                  <c:v>1.0386352997617205</c:v>
                </c:pt>
                <c:pt idx="127">
                  <c:v>1.0388049044928667</c:v>
                </c:pt>
                <c:pt idx="128">
                  <c:v>1.038834311200121</c:v>
                </c:pt>
                <c:pt idx="129">
                  <c:v>1.0388574612229089</c:v>
                </c:pt>
                <c:pt idx="130">
                  <c:v>1.0389718107178028</c:v>
                </c:pt>
                <c:pt idx="131">
                  <c:v>1.0391786520945354</c:v>
                </c:pt>
                <c:pt idx="132">
                  <c:v>1.0393009272203968</c:v>
                </c:pt>
                <c:pt idx="133">
                  <c:v>1.0394182496237834</c:v>
                </c:pt>
                <c:pt idx="134">
                  <c:v>1.0395359873530241</c:v>
                </c:pt>
                <c:pt idx="135">
                  <c:v>1.0396604201739652</c:v>
                </c:pt>
                <c:pt idx="136">
                  <c:v>1.0397502590276042</c:v>
                </c:pt>
                <c:pt idx="137">
                  <c:v>1.0399479978448067</c:v>
                </c:pt>
                <c:pt idx="138">
                  <c:v>1.0402161656955813</c:v>
                </c:pt>
                <c:pt idx="139">
                  <c:v>1.0403875055066776</c:v>
                </c:pt>
                <c:pt idx="140">
                  <c:v>1.0405337322941723</c:v>
                </c:pt>
                <c:pt idx="141">
                  <c:v>1.0407082677139492</c:v>
                </c:pt>
                <c:pt idx="142">
                  <c:v>1.0408259286389909</c:v>
                </c:pt>
                <c:pt idx="143">
                  <c:v>1.0409036683801316</c:v>
                </c:pt>
                <c:pt idx="144">
                  <c:v>1.0410158445047402</c:v>
                </c:pt>
                <c:pt idx="145">
                  <c:v>1.0410794857696504</c:v>
                </c:pt>
                <c:pt idx="146">
                  <c:v>1.0410986920293275</c:v>
                </c:pt>
                <c:pt idx="147">
                  <c:v>1.0410472610081483</c:v>
                </c:pt>
                <c:pt idx="148">
                  <c:v>1.0411211831148983</c:v>
                </c:pt>
                <c:pt idx="149">
                  <c:v>1.041174499776973</c:v>
                </c:pt>
                <c:pt idx="150">
                  <c:v>1.0412370329096976</c:v>
                </c:pt>
                <c:pt idx="151">
                  <c:v>1.0412600625442552</c:v>
                </c:pt>
                <c:pt idx="152">
                  <c:v>1.0413065881367189</c:v>
                </c:pt>
                <c:pt idx="153">
                  <c:v>1.0413360690674234</c:v>
                </c:pt>
                <c:pt idx="154">
                  <c:v>1.0414548435768551</c:v>
                </c:pt>
                <c:pt idx="155">
                  <c:v>1.04148959221138</c:v>
                </c:pt>
                <c:pt idx="156">
                  <c:v>1.0416203691175245</c:v>
                </c:pt>
                <c:pt idx="157">
                  <c:v>1.0416503402658694</c:v>
                </c:pt>
                <c:pt idx="158">
                  <c:v>1.0416596393249284</c:v>
                </c:pt>
                <c:pt idx="159">
                  <c:v>1.0417141515052986</c:v>
                </c:pt>
                <c:pt idx="160">
                  <c:v>1.0418239372854792</c:v>
                </c:pt>
                <c:pt idx="161">
                  <c:v>1.0418341284582679</c:v>
                </c:pt>
                <c:pt idx="162">
                  <c:v>1.0418215953779464</c:v>
                </c:pt>
                <c:pt idx="163">
                  <c:v>1.0418360708662524</c:v>
                </c:pt>
                <c:pt idx="164">
                  <c:v>1.0418811924999494</c:v>
                </c:pt>
                <c:pt idx="165">
                  <c:v>1.0420072894922088</c:v>
                </c:pt>
                <c:pt idx="166">
                  <c:v>1.0421661865649594</c:v>
                </c:pt>
                <c:pt idx="167">
                  <c:v>1.0423579888037466</c:v>
                </c:pt>
                <c:pt idx="168">
                  <c:v>1.0424662691757551</c:v>
                </c:pt>
                <c:pt idx="169">
                  <c:v>1.0425749237427167</c:v>
                </c:pt>
                <c:pt idx="170">
                  <c:v>1.0426485929687828</c:v>
                </c:pt>
                <c:pt idx="171">
                  <c:v>1.0427825368291797</c:v>
                </c:pt>
                <c:pt idx="172">
                  <c:v>1.0429911794084907</c:v>
                </c:pt>
                <c:pt idx="173">
                  <c:v>1.0432547429787902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59-4690-A8B3-79A01530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'faln angl'!$O$1</c:f>
              <c:strCache>
                <c:ptCount val="1"/>
                <c:pt idx="0">
                  <c:v>diff/FALN*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'faln angl'!$A$2:$A$175</c:f>
              <c:numCache>
                <c:formatCode>m/d/yyyy</c:formatCode>
                <c:ptCount val="174"/>
                <c:pt idx="0">
                  <c:v>46024</c:v>
                </c:pt>
                <c:pt idx="1">
                  <c:v>46027</c:v>
                </c:pt>
                <c:pt idx="2">
                  <c:v>46028</c:v>
                </c:pt>
                <c:pt idx="3">
                  <c:v>46029</c:v>
                </c:pt>
                <c:pt idx="4">
                  <c:v>46030</c:v>
                </c:pt>
                <c:pt idx="5">
                  <c:v>46031</c:v>
                </c:pt>
                <c:pt idx="6">
                  <c:v>46034</c:v>
                </c:pt>
                <c:pt idx="7">
                  <c:v>46035</c:v>
                </c:pt>
                <c:pt idx="8">
                  <c:v>46036</c:v>
                </c:pt>
                <c:pt idx="9">
                  <c:v>46037</c:v>
                </c:pt>
                <c:pt idx="10">
                  <c:v>46038</c:v>
                </c:pt>
                <c:pt idx="11">
                  <c:v>46042</c:v>
                </c:pt>
                <c:pt idx="12">
                  <c:v>46043</c:v>
                </c:pt>
                <c:pt idx="13">
                  <c:v>46044</c:v>
                </c:pt>
                <c:pt idx="14">
                  <c:v>46045</c:v>
                </c:pt>
                <c:pt idx="15">
                  <c:v>46048</c:v>
                </c:pt>
                <c:pt idx="16">
                  <c:v>46049</c:v>
                </c:pt>
                <c:pt idx="17">
                  <c:v>46050</c:v>
                </c:pt>
                <c:pt idx="18">
                  <c:v>46051</c:v>
                </c:pt>
                <c:pt idx="19">
                  <c:v>46052</c:v>
                </c:pt>
                <c:pt idx="20">
                  <c:v>46055</c:v>
                </c:pt>
                <c:pt idx="21">
                  <c:v>46056</c:v>
                </c:pt>
                <c:pt idx="22">
                  <c:v>46057</c:v>
                </c:pt>
                <c:pt idx="23">
                  <c:v>46058</c:v>
                </c:pt>
                <c:pt idx="24">
                  <c:v>46059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46070</c:v>
                </c:pt>
                <c:pt idx="31">
                  <c:v>46071</c:v>
                </c:pt>
                <c:pt idx="32">
                  <c:v>46072</c:v>
                </c:pt>
                <c:pt idx="33">
                  <c:v>46073</c:v>
                </c:pt>
                <c:pt idx="34">
                  <c:v>46076</c:v>
                </c:pt>
                <c:pt idx="35">
                  <c:v>46077</c:v>
                </c:pt>
                <c:pt idx="36">
                  <c:v>46078</c:v>
                </c:pt>
                <c:pt idx="37">
                  <c:v>46079</c:v>
                </c:pt>
                <c:pt idx="38">
                  <c:v>46080</c:v>
                </c:pt>
                <c:pt idx="39">
                  <c:v>46083</c:v>
                </c:pt>
                <c:pt idx="40">
                  <c:v>46084</c:v>
                </c:pt>
                <c:pt idx="41">
                  <c:v>46085</c:v>
                </c:pt>
                <c:pt idx="42">
                  <c:v>46086</c:v>
                </c:pt>
                <c:pt idx="43">
                  <c:v>46087</c:v>
                </c:pt>
                <c:pt idx="44">
                  <c:v>46090</c:v>
                </c:pt>
                <c:pt idx="45">
                  <c:v>46091</c:v>
                </c:pt>
                <c:pt idx="46">
                  <c:v>46092</c:v>
                </c:pt>
                <c:pt idx="47">
                  <c:v>46093</c:v>
                </c:pt>
                <c:pt idx="48">
                  <c:v>46094</c:v>
                </c:pt>
                <c:pt idx="49">
                  <c:v>46097</c:v>
                </c:pt>
                <c:pt idx="50">
                  <c:v>46098</c:v>
                </c:pt>
                <c:pt idx="51">
                  <c:v>46099</c:v>
                </c:pt>
                <c:pt idx="52">
                  <c:v>46100</c:v>
                </c:pt>
                <c:pt idx="53">
                  <c:v>46101</c:v>
                </c:pt>
                <c:pt idx="54">
                  <c:v>46104</c:v>
                </c:pt>
                <c:pt idx="55">
                  <c:v>46105</c:v>
                </c:pt>
                <c:pt idx="56">
                  <c:v>46106</c:v>
                </c:pt>
                <c:pt idx="57">
                  <c:v>46107</c:v>
                </c:pt>
                <c:pt idx="58">
                  <c:v>46108</c:v>
                </c:pt>
                <c:pt idx="59">
                  <c:v>46111</c:v>
                </c:pt>
                <c:pt idx="60">
                  <c:v>46112</c:v>
                </c:pt>
                <c:pt idx="61">
                  <c:v>46113</c:v>
                </c:pt>
                <c:pt idx="62">
                  <c:v>46114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46125</c:v>
                </c:pt>
                <c:pt idx="69">
                  <c:v>46126</c:v>
                </c:pt>
                <c:pt idx="70">
                  <c:v>46127</c:v>
                </c:pt>
                <c:pt idx="71">
                  <c:v>46128</c:v>
                </c:pt>
                <c:pt idx="72">
                  <c:v>46129</c:v>
                </c:pt>
                <c:pt idx="73">
                  <c:v>46132</c:v>
                </c:pt>
                <c:pt idx="74">
                  <c:v>46133</c:v>
                </c:pt>
                <c:pt idx="75">
                  <c:v>46134</c:v>
                </c:pt>
                <c:pt idx="76">
                  <c:v>46135</c:v>
                </c:pt>
                <c:pt idx="77">
                  <c:v>46136</c:v>
                </c:pt>
                <c:pt idx="78">
                  <c:v>46139</c:v>
                </c:pt>
                <c:pt idx="79">
                  <c:v>46140</c:v>
                </c:pt>
                <c:pt idx="80">
                  <c:v>46141</c:v>
                </c:pt>
                <c:pt idx="81">
                  <c:v>46142</c:v>
                </c:pt>
                <c:pt idx="82">
                  <c:v>46143</c:v>
                </c:pt>
                <c:pt idx="83">
                  <c:v>46146</c:v>
                </c:pt>
                <c:pt idx="84">
                  <c:v>46147</c:v>
                </c:pt>
                <c:pt idx="85">
                  <c:v>46148</c:v>
                </c:pt>
                <c:pt idx="86">
                  <c:v>46149</c:v>
                </c:pt>
                <c:pt idx="87">
                  <c:v>46150</c:v>
                </c:pt>
                <c:pt idx="88">
                  <c:v>46153</c:v>
                </c:pt>
                <c:pt idx="89">
                  <c:v>46154</c:v>
                </c:pt>
                <c:pt idx="90">
                  <c:v>46155</c:v>
                </c:pt>
                <c:pt idx="91">
                  <c:v>46156</c:v>
                </c:pt>
                <c:pt idx="92">
                  <c:v>46157</c:v>
                </c:pt>
                <c:pt idx="93">
                  <c:v>46160</c:v>
                </c:pt>
                <c:pt idx="94">
                  <c:v>46161</c:v>
                </c:pt>
                <c:pt idx="95">
                  <c:v>46162</c:v>
                </c:pt>
                <c:pt idx="96">
                  <c:v>46163</c:v>
                </c:pt>
                <c:pt idx="97">
                  <c:v>46164</c:v>
                </c:pt>
                <c:pt idx="98">
                  <c:v>46168</c:v>
                </c:pt>
                <c:pt idx="99">
                  <c:v>46169</c:v>
                </c:pt>
                <c:pt idx="100">
                  <c:v>46170</c:v>
                </c:pt>
                <c:pt idx="101">
                  <c:v>46171</c:v>
                </c:pt>
                <c:pt idx="102">
                  <c:v>46174</c:v>
                </c:pt>
                <c:pt idx="103">
                  <c:v>46175</c:v>
                </c:pt>
                <c:pt idx="104">
                  <c:v>46176</c:v>
                </c:pt>
                <c:pt idx="105">
                  <c:v>46177</c:v>
                </c:pt>
                <c:pt idx="106">
                  <c:v>46178</c:v>
                </c:pt>
                <c:pt idx="107">
                  <c:v>46181</c:v>
                </c:pt>
                <c:pt idx="108">
                  <c:v>46182</c:v>
                </c:pt>
                <c:pt idx="109">
                  <c:v>46183</c:v>
                </c:pt>
                <c:pt idx="110">
                  <c:v>46184</c:v>
                </c:pt>
                <c:pt idx="111">
                  <c:v>46185</c:v>
                </c:pt>
                <c:pt idx="112">
                  <c:v>46188</c:v>
                </c:pt>
                <c:pt idx="113">
                  <c:v>46189</c:v>
                </c:pt>
                <c:pt idx="114">
                  <c:v>46190</c:v>
                </c:pt>
                <c:pt idx="115">
                  <c:v>46191</c:v>
                </c:pt>
                <c:pt idx="116">
                  <c:v>46195</c:v>
                </c:pt>
                <c:pt idx="117">
                  <c:v>46196</c:v>
                </c:pt>
                <c:pt idx="118">
                  <c:v>46197</c:v>
                </c:pt>
                <c:pt idx="119">
                  <c:v>46198</c:v>
                </c:pt>
                <c:pt idx="120">
                  <c:v>46199</c:v>
                </c:pt>
                <c:pt idx="121">
                  <c:v>46202</c:v>
                </c:pt>
                <c:pt idx="122">
                  <c:v>46203</c:v>
                </c:pt>
                <c:pt idx="123">
                  <c:v>46204</c:v>
                </c:pt>
                <c:pt idx="124">
                  <c:v>46205</c:v>
                </c:pt>
                <c:pt idx="125">
                  <c:v>46209</c:v>
                </c:pt>
                <c:pt idx="126">
                  <c:v>46210</c:v>
                </c:pt>
                <c:pt idx="127">
                  <c:v>46211</c:v>
                </c:pt>
                <c:pt idx="128">
                  <c:v>46212</c:v>
                </c:pt>
                <c:pt idx="129">
                  <c:v>46213</c:v>
                </c:pt>
                <c:pt idx="130">
                  <c:v>46216</c:v>
                </c:pt>
                <c:pt idx="131">
                  <c:v>46217</c:v>
                </c:pt>
                <c:pt idx="132">
                  <c:v>46218</c:v>
                </c:pt>
                <c:pt idx="133">
                  <c:v>46219</c:v>
                </c:pt>
                <c:pt idx="134">
                  <c:v>46220</c:v>
                </c:pt>
                <c:pt idx="135">
                  <c:v>46223</c:v>
                </c:pt>
                <c:pt idx="136">
                  <c:v>46224</c:v>
                </c:pt>
                <c:pt idx="137">
                  <c:v>46225</c:v>
                </c:pt>
                <c:pt idx="138">
                  <c:v>46226</c:v>
                </c:pt>
                <c:pt idx="139">
                  <c:v>46227</c:v>
                </c:pt>
                <c:pt idx="140">
                  <c:v>46230</c:v>
                </c:pt>
                <c:pt idx="141">
                  <c:v>46231</c:v>
                </c:pt>
                <c:pt idx="142">
                  <c:v>46232</c:v>
                </c:pt>
                <c:pt idx="143">
                  <c:v>46233</c:v>
                </c:pt>
                <c:pt idx="144">
                  <c:v>46234</c:v>
                </c:pt>
                <c:pt idx="145">
                  <c:v>46237</c:v>
                </c:pt>
                <c:pt idx="146">
                  <c:v>46238</c:v>
                </c:pt>
                <c:pt idx="147">
                  <c:v>46239</c:v>
                </c:pt>
                <c:pt idx="148">
                  <c:v>46240</c:v>
                </c:pt>
                <c:pt idx="149">
                  <c:v>46241</c:v>
                </c:pt>
                <c:pt idx="150">
                  <c:v>46244</c:v>
                </c:pt>
                <c:pt idx="151">
                  <c:v>46245</c:v>
                </c:pt>
                <c:pt idx="152">
                  <c:v>46246</c:v>
                </c:pt>
                <c:pt idx="153">
                  <c:v>46247</c:v>
                </c:pt>
                <c:pt idx="154">
                  <c:v>46248</c:v>
                </c:pt>
                <c:pt idx="155">
                  <c:v>46251</c:v>
                </c:pt>
                <c:pt idx="156">
                  <c:v>46252</c:v>
                </c:pt>
                <c:pt idx="157">
                  <c:v>46253</c:v>
                </c:pt>
                <c:pt idx="158">
                  <c:v>46254</c:v>
                </c:pt>
                <c:pt idx="159">
                  <c:v>46255</c:v>
                </c:pt>
                <c:pt idx="160">
                  <c:v>46258</c:v>
                </c:pt>
                <c:pt idx="161">
                  <c:v>46259</c:v>
                </c:pt>
                <c:pt idx="162">
                  <c:v>46260</c:v>
                </c:pt>
                <c:pt idx="163">
                  <c:v>46261</c:v>
                </c:pt>
                <c:pt idx="164">
                  <c:v>46262</c:v>
                </c:pt>
                <c:pt idx="165">
                  <c:v>46265</c:v>
                </c:pt>
                <c:pt idx="166">
                  <c:v>46266</c:v>
                </c:pt>
                <c:pt idx="167">
                  <c:v>46267</c:v>
                </c:pt>
                <c:pt idx="168">
                  <c:v>46268</c:v>
                </c:pt>
                <c:pt idx="169">
                  <c:v>46269</c:v>
                </c:pt>
                <c:pt idx="170">
                  <c:v>46273</c:v>
                </c:pt>
                <c:pt idx="171">
                  <c:v>46274</c:v>
                </c:pt>
                <c:pt idx="172">
                  <c:v>46275</c:v>
                </c:pt>
                <c:pt idx="173">
                  <c:v>46276</c:v>
                </c:pt>
              </c:numCache>
            </c:numRef>
          </c:cat>
          <c:val>
            <c:numRef>
              <c:f>'faln angl'!$O$2:$O$175</c:f>
              <c:numCache>
                <c:formatCode>0.00%</c:formatCode>
                <c:ptCount val="174"/>
                <c:pt idx="21">
                  <c:v>-1.1616474240365201E-3</c:v>
                </c:pt>
                <c:pt idx="22">
                  <c:v>-6.5289702458192259E-4</c:v>
                </c:pt>
                <c:pt idx="23">
                  <c:v>-4.6407744542534425E-4</c:v>
                </c:pt>
                <c:pt idx="24">
                  <c:v>8.3748226374124322E-4</c:v>
                </c:pt>
                <c:pt idx="25">
                  <c:v>3.6036431320630872E-4</c:v>
                </c:pt>
                <c:pt idx="26">
                  <c:v>6.6111373655415248E-4</c:v>
                </c:pt>
                <c:pt idx="27">
                  <c:v>1.9366081410130472E-3</c:v>
                </c:pt>
                <c:pt idx="28">
                  <c:v>2.1298219453050079E-3</c:v>
                </c:pt>
                <c:pt idx="29">
                  <c:v>2.2887138256130197E-3</c:v>
                </c:pt>
                <c:pt idx="30">
                  <c:v>1.8924716983498172E-3</c:v>
                </c:pt>
                <c:pt idx="31">
                  <c:v>9.8851193285529201E-4</c:v>
                </c:pt>
                <c:pt idx="32">
                  <c:v>1.5617307840610464E-3</c:v>
                </c:pt>
                <c:pt idx="33">
                  <c:v>1.829943471157121E-3</c:v>
                </c:pt>
                <c:pt idx="34">
                  <c:v>1.5036281240869082E-3</c:v>
                </c:pt>
                <c:pt idx="35">
                  <c:v>1.7867932450713587E-3</c:v>
                </c:pt>
                <c:pt idx="36">
                  <c:v>9.424394758485061E-4</c:v>
                </c:pt>
                <c:pt idx="37">
                  <c:v>1.0668603057759939E-4</c:v>
                </c:pt>
                <c:pt idx="38">
                  <c:v>-1.2974796230152258E-4</c:v>
                </c:pt>
                <c:pt idx="39">
                  <c:v>1.9052821811714118E-3</c:v>
                </c:pt>
                <c:pt idx="40">
                  <c:v>7.4220466747335144E-4</c:v>
                </c:pt>
                <c:pt idx="41">
                  <c:v>2.3051636290742731E-5</c:v>
                </c:pt>
                <c:pt idx="42">
                  <c:v>-1.0871223557499463E-3</c:v>
                </c:pt>
                <c:pt idx="43">
                  <c:v>4.2242644289282468E-4</c:v>
                </c:pt>
                <c:pt idx="44">
                  <c:v>-7.3509785798677927E-4</c:v>
                </c:pt>
                <c:pt idx="45">
                  <c:v>-2.483274410762736E-4</c:v>
                </c:pt>
                <c:pt idx="46">
                  <c:v>-4.5887398277229911E-5</c:v>
                </c:pt>
                <c:pt idx="47">
                  <c:v>7.9055912755847911E-4</c:v>
                </c:pt>
                <c:pt idx="48">
                  <c:v>6.529714795492623E-4</c:v>
                </c:pt>
                <c:pt idx="49">
                  <c:v>-6.5253431274790686E-4</c:v>
                </c:pt>
                <c:pt idx="50">
                  <c:v>-1.2373658775625459E-3</c:v>
                </c:pt>
                <c:pt idx="51">
                  <c:v>3.4046476917634589E-4</c:v>
                </c:pt>
                <c:pt idx="52">
                  <c:v>-9.3031020339281545E-4</c:v>
                </c:pt>
                <c:pt idx="53">
                  <c:v>-7.3431512121051009E-4</c:v>
                </c:pt>
                <c:pt idx="54">
                  <c:v>-1.5741705335314321E-3</c:v>
                </c:pt>
                <c:pt idx="55">
                  <c:v>-2.0061901007993608E-3</c:v>
                </c:pt>
                <c:pt idx="56">
                  <c:v>-1.4699203984357E-3</c:v>
                </c:pt>
                <c:pt idx="57">
                  <c:v>-1.5582286522435303E-3</c:v>
                </c:pt>
                <c:pt idx="58">
                  <c:v>-1.1337495999157112E-4</c:v>
                </c:pt>
                <c:pt idx="59">
                  <c:v>-1.2702380310450334E-3</c:v>
                </c:pt>
                <c:pt idx="60">
                  <c:v>-7.6778943175047029E-4</c:v>
                </c:pt>
                <c:pt idx="61">
                  <c:v>4.8763884916104918E-5</c:v>
                </c:pt>
                <c:pt idx="62">
                  <c:v>6.0083071270960347E-4</c:v>
                </c:pt>
                <c:pt idx="63">
                  <c:v>1.4411358239829607E-3</c:v>
                </c:pt>
                <c:pt idx="64">
                  <c:v>1.6564594941652834E-3</c:v>
                </c:pt>
                <c:pt idx="65">
                  <c:v>1.0531712447278334E-3</c:v>
                </c:pt>
                <c:pt idx="66">
                  <c:v>8.9040268925372949E-4</c:v>
                </c:pt>
                <c:pt idx="67">
                  <c:v>2.1222648274426756E-3</c:v>
                </c:pt>
                <c:pt idx="68">
                  <c:v>1.8285708922697382E-3</c:v>
                </c:pt>
                <c:pt idx="69">
                  <c:v>1.1571271222574544E-3</c:v>
                </c:pt>
                <c:pt idx="70">
                  <c:v>1.5125461909667323E-3</c:v>
                </c:pt>
                <c:pt idx="71">
                  <c:v>2.2304078704597423E-3</c:v>
                </c:pt>
                <c:pt idx="72">
                  <c:v>1.8401963748983716E-3</c:v>
                </c:pt>
                <c:pt idx="73">
                  <c:v>1.4583453082273224E-3</c:v>
                </c:pt>
                <c:pt idx="74">
                  <c:v>1.5615257845866674E-3</c:v>
                </c:pt>
                <c:pt idx="75">
                  <c:v>1.2713850283618301E-3</c:v>
                </c:pt>
                <c:pt idx="76">
                  <c:v>1.5569743236417801E-3</c:v>
                </c:pt>
                <c:pt idx="77">
                  <c:v>6.4763371841326833E-4</c:v>
                </c:pt>
                <c:pt idx="78">
                  <c:v>1.026725019341168E-4</c:v>
                </c:pt>
                <c:pt idx="79">
                  <c:v>-2.5122568217778751E-4</c:v>
                </c:pt>
                <c:pt idx="80">
                  <c:v>9.8377998887956802E-4</c:v>
                </c:pt>
                <c:pt idx="81">
                  <c:v>1.3120599180693475E-3</c:v>
                </c:pt>
                <c:pt idx="82">
                  <c:v>5.1078296330277217E-4</c:v>
                </c:pt>
                <c:pt idx="83">
                  <c:v>3.1711899236379576E-4</c:v>
                </c:pt>
                <c:pt idx="84">
                  <c:v>-2.6852320356093032E-4</c:v>
                </c:pt>
                <c:pt idx="85">
                  <c:v>-1.6739476095579953E-4</c:v>
                </c:pt>
                <c:pt idx="86">
                  <c:v>-1.6746181783039067E-3</c:v>
                </c:pt>
                <c:pt idx="87">
                  <c:v>-1.867851624125824E-3</c:v>
                </c:pt>
                <c:pt idx="88">
                  <c:v>-1.1979556324653623E-3</c:v>
                </c:pt>
                <c:pt idx="89">
                  <c:v>-1.3160220043057767E-3</c:v>
                </c:pt>
                <c:pt idx="90">
                  <c:v>-8.8516758497911871E-4</c:v>
                </c:pt>
                <c:pt idx="91">
                  <c:v>-8.4097569854023769E-4</c:v>
                </c:pt>
                <c:pt idx="92">
                  <c:v>-1.3613466552810016E-3</c:v>
                </c:pt>
                <c:pt idx="93">
                  <c:v>-1.3121058075406505E-3</c:v>
                </c:pt>
                <c:pt idx="94">
                  <c:v>-9.923658859570621E-4</c:v>
                </c:pt>
                <c:pt idx="95">
                  <c:v>-2.4251263570219976E-3</c:v>
                </c:pt>
                <c:pt idx="96">
                  <c:v>-1.3801672696572924E-3</c:v>
                </c:pt>
                <c:pt idx="97">
                  <c:v>-1.6799960696724076E-3</c:v>
                </c:pt>
                <c:pt idx="98">
                  <c:v>-3.1230414426982879E-4</c:v>
                </c:pt>
                <c:pt idx="99">
                  <c:v>-6.574799346122926E-4</c:v>
                </c:pt>
                <c:pt idx="100">
                  <c:v>-1.0221125853932657E-3</c:v>
                </c:pt>
                <c:pt idx="101">
                  <c:v>-1.1125331865170789E-3</c:v>
                </c:pt>
                <c:pt idx="102">
                  <c:v>-1.1015204087989198E-3</c:v>
                </c:pt>
                <c:pt idx="103">
                  <c:v>4.8390757432037232E-5</c:v>
                </c:pt>
                <c:pt idx="104">
                  <c:v>2.9056187559813729E-4</c:v>
                </c:pt>
                <c:pt idx="105">
                  <c:v>5.546899719715354E-4</c:v>
                </c:pt>
                <c:pt idx="106">
                  <c:v>6.2546132730153864E-4</c:v>
                </c:pt>
                <c:pt idx="107">
                  <c:v>2.136809718041377E-4</c:v>
                </c:pt>
                <c:pt idx="108">
                  <c:v>-2.9011512860335585E-4</c:v>
                </c:pt>
                <c:pt idx="109">
                  <c:v>-5.2458657977895786E-5</c:v>
                </c:pt>
                <c:pt idx="110">
                  <c:v>-5.1227213804107242E-4</c:v>
                </c:pt>
                <c:pt idx="111">
                  <c:v>-4.7707632246041362E-4</c:v>
                </c:pt>
                <c:pt idx="112">
                  <c:v>-5.6481321848429224E-4</c:v>
                </c:pt>
                <c:pt idx="113">
                  <c:v>-1.2425344505734427E-3</c:v>
                </c:pt>
                <c:pt idx="114">
                  <c:v>-1.6671278850003532E-3</c:v>
                </c:pt>
                <c:pt idx="115">
                  <c:v>-1.7781913717816722E-3</c:v>
                </c:pt>
                <c:pt idx="116">
                  <c:v>-9.9554414373841712E-4</c:v>
                </c:pt>
                <c:pt idx="117">
                  <c:v>-1.612386705934785E-3</c:v>
                </c:pt>
                <c:pt idx="118">
                  <c:v>-9.3270277714372989E-4</c:v>
                </c:pt>
                <c:pt idx="119">
                  <c:v>-6.0467844558137094E-4</c:v>
                </c:pt>
                <c:pt idx="120">
                  <c:v>-1.3563318112601368E-4</c:v>
                </c:pt>
                <c:pt idx="121">
                  <c:v>-5.4609658318430687E-4</c:v>
                </c:pt>
                <c:pt idx="122">
                  <c:v>-1.2045382201897388E-3</c:v>
                </c:pt>
                <c:pt idx="123">
                  <c:v>-5.3452302446559824E-4</c:v>
                </c:pt>
                <c:pt idx="124">
                  <c:v>-5.7919243274781249E-4</c:v>
                </c:pt>
                <c:pt idx="125">
                  <c:v>-1.2482552329554789E-3</c:v>
                </c:pt>
                <c:pt idx="126">
                  <c:v>-2.9926618681032336E-4</c:v>
                </c:pt>
                <c:pt idx="127">
                  <c:v>-1.4076644787757255E-3</c:v>
                </c:pt>
                <c:pt idx="128">
                  <c:v>-6.4927479112581615E-4</c:v>
                </c:pt>
                <c:pt idx="129">
                  <c:v>-1.4892450699397649E-3</c:v>
                </c:pt>
                <c:pt idx="130">
                  <c:v>-4.6214345305947203E-4</c:v>
                </c:pt>
                <c:pt idx="131">
                  <c:v>-5.5781425575863065E-4</c:v>
                </c:pt>
                <c:pt idx="132">
                  <c:v>-1.6429222592321041E-3</c:v>
                </c:pt>
                <c:pt idx="133">
                  <c:v>-1.1300896869899648E-3</c:v>
                </c:pt>
                <c:pt idx="134">
                  <c:v>-1.3852013839925118E-3</c:v>
                </c:pt>
                <c:pt idx="135">
                  <c:v>-1.9613229471108267E-4</c:v>
                </c:pt>
                <c:pt idx="136">
                  <c:v>-4.5444517626705379E-4</c:v>
                </c:pt>
                <c:pt idx="137">
                  <c:v>7.8251379858989932E-5</c:v>
                </c:pt>
                <c:pt idx="138">
                  <c:v>3.678160278840446E-4</c:v>
                </c:pt>
                <c:pt idx="139">
                  <c:v>1.891777306977956E-5</c:v>
                </c:pt>
                <c:pt idx="140">
                  <c:v>1.6895007090700226E-3</c:v>
                </c:pt>
                <c:pt idx="141">
                  <c:v>5.1503280220341916E-4</c:v>
                </c:pt>
                <c:pt idx="142">
                  <c:v>1.0894523855133871E-3</c:v>
                </c:pt>
                <c:pt idx="143">
                  <c:v>8.2028973582335849E-4</c:v>
                </c:pt>
                <c:pt idx="144">
                  <c:v>1.5607594124996715E-3</c:v>
                </c:pt>
                <c:pt idx="145">
                  <c:v>1.2798103550743292E-3</c:v>
                </c:pt>
                <c:pt idx="146">
                  <c:v>1.2664417548623819E-3</c:v>
                </c:pt>
                <c:pt idx="147">
                  <c:v>1.2298904320313E-3</c:v>
                </c:pt>
                <c:pt idx="148">
                  <c:v>2.2565688749455852E-3</c:v>
                </c:pt>
                <c:pt idx="149">
                  <c:v>2.3157104561544505E-3</c:v>
                </c:pt>
                <c:pt idx="150">
                  <c:v>1.429030227826867E-4</c:v>
                </c:pt>
                <c:pt idx="151">
                  <c:v>-2.4758420222224206E-4</c:v>
                </c:pt>
                <c:pt idx="152">
                  <c:v>1.3398318999965078E-3</c:v>
                </c:pt>
                <c:pt idx="153">
                  <c:v>-3.9514038746854763E-4</c:v>
                </c:pt>
                <c:pt idx="154">
                  <c:v>-3.3927769420839744E-4</c:v>
                </c:pt>
                <c:pt idx="155">
                  <c:v>2.6294010078690543E-5</c:v>
                </c:pt>
                <c:pt idx="156">
                  <c:v>1.0667975372718622E-3</c:v>
                </c:pt>
                <c:pt idx="157">
                  <c:v>3.884837823618723E-4</c:v>
                </c:pt>
                <c:pt idx="158">
                  <c:v>1.583904689986975E-4</c:v>
                </c:pt>
                <c:pt idx="159">
                  <c:v>4.4198278949982212E-4</c:v>
                </c:pt>
                <c:pt idx="160">
                  <c:v>2.8449529098237172E-4</c:v>
                </c:pt>
                <c:pt idx="161">
                  <c:v>-2.6628066442313866E-4</c:v>
                </c:pt>
                <c:pt idx="162">
                  <c:v>4.4119439710281288E-4</c:v>
                </c:pt>
                <c:pt idx="163">
                  <c:v>4.0419319232729153E-4</c:v>
                </c:pt>
                <c:pt idx="164">
                  <c:v>1.732411794746627E-4</c:v>
                </c:pt>
                <c:pt idx="165">
                  <c:v>2.2097552702268677E-4</c:v>
                </c:pt>
                <c:pt idx="166">
                  <c:v>-6.6686968322876312E-4</c:v>
                </c:pt>
                <c:pt idx="167">
                  <c:v>-4.4307187700570779E-5</c:v>
                </c:pt>
                <c:pt idx="168">
                  <c:v>5.7235194886062768E-4</c:v>
                </c:pt>
                <c:pt idx="169">
                  <c:v>6.2378082277853681E-4</c:v>
                </c:pt>
                <c:pt idx="170">
                  <c:v>2.1160844545122701E-3</c:v>
                </c:pt>
                <c:pt idx="171">
                  <c:v>2.1310438233130865E-3</c:v>
                </c:pt>
                <c:pt idx="172">
                  <c:v>2.431398040621291E-3</c:v>
                </c:pt>
                <c:pt idx="173">
                  <c:v>9.8076277213794629E-4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5-458E-A8A1-C47463090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30464"/>
        <c:axId val="1261260016"/>
      </c:lineChart>
      <c:dateAx>
        <c:axId val="1265530464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60016"/>
        <c:crosses val="autoZero"/>
        <c:auto val="1"/>
        <c:lblOffset val="100"/>
        <c:baseTimeUnit val="days"/>
      </c:dateAx>
      <c:valAx>
        <c:axId val="1261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5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'faln angl'!$K$1</c:f>
              <c:strCache>
                <c:ptCount val="1"/>
                <c:pt idx="0">
                  <c:v> ratio 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'faln angl'!$K$2:$K$175</c:f>
              <c:numCache>
                <c:formatCode>_(* #,##0.000000_);_(* \(#,##0.000000\);_(* "-"??_);_(@_)</c:formatCode>
                <c:ptCount val="174"/>
                <c:pt idx="20">
                  <c:v>1.0741462149001146</c:v>
                </c:pt>
                <c:pt idx="21">
                  <c:v>1.0740151425232272</c:v>
                </c:pt>
                <c:pt idx="22">
                  <c:v>1.0738921318453167</c:v>
                </c:pt>
                <c:pt idx="23">
                  <c:v>1.0738109095665727</c:v>
                </c:pt>
                <c:pt idx="24">
                  <c:v>1.0737996029000973</c:v>
                </c:pt>
                <c:pt idx="25">
                  <c:v>1.0737843670444351</c:v>
                </c:pt>
                <c:pt idx="26">
                  <c:v>1.0738598426036474</c:v>
                </c:pt>
                <c:pt idx="27">
                  <c:v>1.0739308991714487</c:v>
                </c:pt>
                <c:pt idx="28">
                  <c:v>1.0740381045061576</c:v>
                </c:pt>
                <c:pt idx="29">
                  <c:v>1.0741578689870026</c:v>
                </c:pt>
                <c:pt idx="30">
                  <c:v>1.0742441920621846</c:v>
                </c:pt>
                <c:pt idx="31">
                  <c:v>1.0742936498308908</c:v>
                </c:pt>
                <c:pt idx="32">
                  <c:v>1.0743925466374233</c:v>
                </c:pt>
                <c:pt idx="33">
                  <c:v>1.0744926686376908</c:v>
                </c:pt>
                <c:pt idx="34">
                  <c:v>1.0745762248253439</c:v>
                </c:pt>
                <c:pt idx="35">
                  <c:v>1.0746805301766336</c:v>
                </c:pt>
                <c:pt idx="36">
                  <c:v>1.0748044511059076</c:v>
                </c:pt>
                <c:pt idx="37">
                  <c:v>1.0748870047434085</c:v>
                </c:pt>
                <c:pt idx="38">
                  <c:v>1.0749985659520935</c:v>
                </c:pt>
                <c:pt idx="39">
                  <c:v>1.0751875007815013</c:v>
                </c:pt>
                <c:pt idx="40">
                  <c:v>1.07532373677941</c:v>
                </c:pt>
                <c:pt idx="41">
                  <c:v>1.0754462412311372</c:v>
                </c:pt>
                <c:pt idx="42">
                  <c:v>1.0754944001485158</c:v>
                </c:pt>
                <c:pt idx="43">
                  <c:v>1.0756221478832264</c:v>
                </c:pt>
                <c:pt idx="44">
                  <c:v>1.0756282105426449</c:v>
                </c:pt>
                <c:pt idx="45">
                  <c:v>1.0756869375718976</c:v>
                </c:pt>
                <c:pt idx="46">
                  <c:v>1.0757441033947672</c:v>
                </c:pt>
                <c:pt idx="47">
                  <c:v>1.0757768561146412</c:v>
                </c:pt>
                <c:pt idx="48">
                  <c:v>1.075789912462231</c:v>
                </c:pt>
                <c:pt idx="49">
                  <c:v>1.0757194950755244</c:v>
                </c:pt>
                <c:pt idx="50">
                  <c:v>1.0756293827817678</c:v>
                </c:pt>
                <c:pt idx="51">
                  <c:v>1.0756638578530906</c:v>
                </c:pt>
                <c:pt idx="52">
                  <c:v>1.0755984453278784</c:v>
                </c:pt>
                <c:pt idx="53">
                  <c:v>1.0755209449709544</c:v>
                </c:pt>
                <c:pt idx="54">
                  <c:v>1.0754069242488449</c:v>
                </c:pt>
                <c:pt idx="55">
                  <c:v>1.0752445834067403</c:v>
                </c:pt>
                <c:pt idx="56">
                  <c:v>1.0751431188031448</c:v>
                </c:pt>
                <c:pt idx="57">
                  <c:v>1.0750705529163309</c:v>
                </c:pt>
                <c:pt idx="58">
                  <c:v>1.0750806092408594</c:v>
                </c:pt>
                <c:pt idx="59">
                  <c:v>1.074914022210858</c:v>
                </c:pt>
                <c:pt idx="60">
                  <c:v>1.0748191824419364</c:v>
                </c:pt>
                <c:pt idx="61">
                  <c:v>1.0747953359444249</c:v>
                </c:pt>
                <c:pt idx="62">
                  <c:v>1.0748535362650373</c:v>
                </c:pt>
                <c:pt idx="63">
                  <c:v>1.0748762277040056</c:v>
                </c:pt>
                <c:pt idx="64">
                  <c:v>1.0749674905185118</c:v>
                </c:pt>
                <c:pt idx="65">
                  <c:v>1.0750044161598604</c:v>
                </c:pt>
                <c:pt idx="66">
                  <c:v>1.0750206174541603</c:v>
                </c:pt>
                <c:pt idx="67">
                  <c:v>1.0750559951133971</c:v>
                </c:pt>
                <c:pt idx="68">
                  <c:v>1.075083120288076</c:v>
                </c:pt>
                <c:pt idx="69">
                  <c:v>1.0751450805627862</c:v>
                </c:pt>
                <c:pt idx="70">
                  <c:v>1.0752642230968181</c:v>
                </c:pt>
                <c:pt idx="71">
                  <c:v>1.0753475683063951</c:v>
                </c:pt>
                <c:pt idx="72">
                  <c:v>1.0754807314170272</c:v>
                </c:pt>
                <c:pt idx="73">
                  <c:v>1.0755927582455598</c:v>
                </c:pt>
                <c:pt idx="74">
                  <c:v>1.0757649798695641</c:v>
                </c:pt>
                <c:pt idx="75">
                  <c:v>1.0759591417613599</c:v>
                </c:pt>
                <c:pt idx="76">
                  <c:v>1.0761576579142644</c:v>
                </c:pt>
                <c:pt idx="77">
                  <c:v>1.076326998609749</c:v>
                </c:pt>
                <c:pt idx="78">
                  <c:v>1.0764014406577584</c:v>
                </c:pt>
                <c:pt idx="79">
                  <c:v>1.0765222416581071</c:v>
                </c:pt>
                <c:pt idx="80">
                  <c:v>1.0766968710637306</c:v>
                </c:pt>
                <c:pt idx="81">
                  <c:v>1.0768587694172962</c:v>
                </c:pt>
                <c:pt idx="82">
                  <c:v>1.0769571546442192</c:v>
                </c:pt>
                <c:pt idx="83">
                  <c:v>1.0770019612447308</c:v>
                </c:pt>
                <c:pt idx="84">
                  <c:v>1.0770047634743019</c:v>
                </c:pt>
                <c:pt idx="85">
                  <c:v>1.0770410066318434</c:v>
                </c:pt>
                <c:pt idx="86">
                  <c:v>1.0770047951918627</c:v>
                </c:pt>
                <c:pt idx="87">
                  <c:v>1.0768893458986935</c:v>
                </c:pt>
                <c:pt idx="88">
                  <c:v>1.0768182193500739</c:v>
                </c:pt>
                <c:pt idx="89">
                  <c:v>1.0767719180877502</c:v>
                </c:pt>
                <c:pt idx="90">
                  <c:v>1.076724293454266</c:v>
                </c:pt>
                <c:pt idx="91">
                  <c:v>1.0766321081345962</c:v>
                </c:pt>
                <c:pt idx="92">
                  <c:v>1.0765241091151898</c:v>
                </c:pt>
                <c:pt idx="93">
                  <c:v>1.0764272312093843</c:v>
                </c:pt>
                <c:pt idx="94">
                  <c:v>1.0763315660831414</c:v>
                </c:pt>
                <c:pt idx="95">
                  <c:v>1.076160997816858</c:v>
                </c:pt>
                <c:pt idx="96">
                  <c:v>1.076013064472479</c:v>
                </c:pt>
                <c:pt idx="97">
                  <c:v>1.0758806021151486</c:v>
                </c:pt>
                <c:pt idx="98">
                  <c:v>1.0758359567325873</c:v>
                </c:pt>
                <c:pt idx="99">
                  <c:v>1.0757858364929154</c:v>
                </c:pt>
                <c:pt idx="100">
                  <c:v>1.0756410844705762</c:v>
                </c:pt>
                <c:pt idx="101">
                  <c:v>1.0754578262803343</c:v>
                </c:pt>
                <c:pt idx="102">
                  <c:v>1.0753010451305984</c:v>
                </c:pt>
                <c:pt idx="103">
                  <c:v>1.0752037652081341</c:v>
                </c:pt>
                <c:pt idx="104">
                  <c:v>1.0751439360682817</c:v>
                </c:pt>
                <c:pt idx="105">
                  <c:v>1.0750897275237155</c:v>
                </c:pt>
                <c:pt idx="106">
                  <c:v>1.0751159665431305</c:v>
                </c:pt>
                <c:pt idx="107">
                  <c:v>1.075133595959715</c:v>
                </c:pt>
                <c:pt idx="108">
                  <c:v>1.0750947161195663</c:v>
                </c:pt>
                <c:pt idx="109">
                  <c:v>1.0750765768803057</c:v>
                </c:pt>
                <c:pt idx="110">
                  <c:v>1.075011929411019</c:v>
                </c:pt>
                <c:pt idx="111">
                  <c:v>1.0749459430202035</c:v>
                </c:pt>
                <c:pt idx="112">
                  <c:v>1.0749045610565642</c:v>
                </c:pt>
                <c:pt idx="113">
                  <c:v>1.0748274290329998</c:v>
                </c:pt>
                <c:pt idx="114">
                  <c:v>1.0747112556684035</c:v>
                </c:pt>
                <c:pt idx="115">
                  <c:v>1.0746652000360577</c:v>
                </c:pt>
                <c:pt idx="116">
                  <c:v>1.0746111804240024</c:v>
                </c:pt>
                <c:pt idx="117">
                  <c:v>1.0745448366684716</c:v>
                </c:pt>
                <c:pt idx="118">
                  <c:v>1.0744447369470105</c:v>
                </c:pt>
                <c:pt idx="119">
                  <c:v>1.0743780583067859</c:v>
                </c:pt>
                <c:pt idx="120">
                  <c:v>1.0743553620439239</c:v>
                </c:pt>
                <c:pt idx="121">
                  <c:v>1.074321575153137</c:v>
                </c:pt>
                <c:pt idx="122">
                  <c:v>1.0742592914640972</c:v>
                </c:pt>
                <c:pt idx="123">
                  <c:v>1.0741758912328936</c:v>
                </c:pt>
                <c:pt idx="124">
                  <c:v>1.074077769145616</c:v>
                </c:pt>
                <c:pt idx="125">
                  <c:v>1.0739276060616976</c:v>
                </c:pt>
                <c:pt idx="126">
                  <c:v>1.0738198091252209</c:v>
                </c:pt>
                <c:pt idx="127">
                  <c:v>1.073667935763003</c:v>
                </c:pt>
                <c:pt idx="128">
                  <c:v>1.0735753931030039</c:v>
                </c:pt>
                <c:pt idx="129">
                  <c:v>1.0734223060104067</c:v>
                </c:pt>
                <c:pt idx="130">
                  <c:v>1.0733423253011871</c:v>
                </c:pt>
                <c:pt idx="131">
                  <c:v>1.0732545519500714</c:v>
                </c:pt>
                <c:pt idx="132">
                  <c:v>1.0731121758907924</c:v>
                </c:pt>
                <c:pt idx="133">
                  <c:v>1.0730287012797657</c:v>
                </c:pt>
                <c:pt idx="134">
                  <c:v>1.0729540405889253</c:v>
                </c:pt>
                <c:pt idx="135">
                  <c:v>1.0729512099021454</c:v>
                </c:pt>
                <c:pt idx="136">
                  <c:v>1.0728946243526836</c:v>
                </c:pt>
                <c:pt idx="137">
                  <c:v>1.0728996287624255</c:v>
                </c:pt>
                <c:pt idx="138">
                  <c:v>1.072887211398778</c:v>
                </c:pt>
                <c:pt idx="139">
                  <c:v>1.0728428346318764</c:v>
                </c:pt>
                <c:pt idx="140">
                  <c:v>1.0728639879503112</c:v>
                </c:pt>
                <c:pt idx="141">
                  <c:v>1.0728463823425523</c:v>
                </c:pt>
                <c:pt idx="142">
                  <c:v>1.0728957665244521</c:v>
                </c:pt>
                <c:pt idx="143">
                  <c:v>1.0729003053629906</c:v>
                </c:pt>
                <c:pt idx="144">
                  <c:v>1.072951360759391</c:v>
                </c:pt>
                <c:pt idx="145">
                  <c:v>1.0730307352129764</c:v>
                </c:pt>
                <c:pt idx="146">
                  <c:v>1.0730699077278856</c:v>
                </c:pt>
                <c:pt idx="147">
                  <c:v>1.0731739794787349</c:v>
                </c:pt>
                <c:pt idx="148">
                  <c:v>1.073305221490733</c:v>
                </c:pt>
                <c:pt idx="149">
                  <c:v>1.0734959269593916</c:v>
                </c:pt>
                <c:pt idx="150">
                  <c:v>1.0735320820520404</c:v>
                </c:pt>
                <c:pt idx="151">
                  <c:v>1.0735582166928963</c:v>
                </c:pt>
                <c:pt idx="152">
                  <c:v>1.07373348299696</c:v>
                </c:pt>
                <c:pt idx="153">
                  <c:v>1.0738039702291908</c:v>
                </c:pt>
                <c:pt idx="154">
                  <c:v>1.0738988358320132</c:v>
                </c:pt>
                <c:pt idx="155">
                  <c:v>1.0739580094964134</c:v>
                </c:pt>
                <c:pt idx="156">
                  <c:v>1.0740900141391951</c:v>
                </c:pt>
                <c:pt idx="157">
                  <c:v>1.0741664491818455</c:v>
                </c:pt>
                <c:pt idx="158">
                  <c:v>1.0742185656052117</c:v>
                </c:pt>
                <c:pt idx="159">
                  <c:v>1.0743078577896015</c:v>
                </c:pt>
                <c:pt idx="160">
                  <c:v>1.0743057622873262</c:v>
                </c:pt>
                <c:pt idx="161">
                  <c:v>1.0743359196542637</c:v>
                </c:pt>
                <c:pt idx="162">
                  <c:v>1.0743756553167403</c:v>
                </c:pt>
                <c:pt idx="163">
                  <c:v>1.0744273582534043</c:v>
                </c:pt>
                <c:pt idx="164">
                  <c:v>1.0744292906885518</c:v>
                </c:pt>
                <c:pt idx="165">
                  <c:v>1.074446399600848</c:v>
                </c:pt>
                <c:pt idx="166">
                  <c:v>1.0744134104873682</c:v>
                </c:pt>
                <c:pt idx="167">
                  <c:v>1.0744122174928894</c:v>
                </c:pt>
                <c:pt idx="168">
                  <c:v>1.0743837919399506</c:v>
                </c:pt>
                <c:pt idx="169">
                  <c:v>1.0743469562564947</c:v>
                </c:pt>
                <c:pt idx="170">
                  <c:v>1.0744955078753489</c:v>
                </c:pt>
                <c:pt idx="171">
                  <c:v>1.0746714584964807</c:v>
                </c:pt>
                <c:pt idx="172">
                  <c:v>1.0747858489133235</c:v>
                </c:pt>
                <c:pt idx="173">
                  <c:v>1.0749123864797989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A-451A-B59F-868C4401A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700704"/>
        <c:axId val="1261290736"/>
      </c:lineChart>
      <c:catAx>
        <c:axId val="13547007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290736"/>
        <c:crosses val="autoZero"/>
        <c:auto val="1"/>
        <c:lblAlgn val="ctr"/>
        <c:lblOffset val="100"/>
        <c:noMultiLvlLbl val="0"/>
      </c:catAx>
      <c:valAx>
        <c:axId val="12612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00_);_(* \(#,##0.00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70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6</xdr:row>
      <xdr:rowOff>61912</xdr:rowOff>
    </xdr:from>
    <xdr:to>
      <xdr:col>23</xdr:col>
      <xdr:colOff>180975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E3C99-FE4B-4192-AD65-13AC5A2A5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6</xdr:row>
      <xdr:rowOff>61912</xdr:rowOff>
    </xdr:from>
    <xdr:to>
      <xdr:col>15</xdr:col>
      <xdr:colOff>190500</xdr:colOff>
      <xdr:row>20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C01D4B-3EB7-483A-8DA6-A0EC0A07D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6</xdr:row>
      <xdr:rowOff>52387</xdr:rowOff>
    </xdr:from>
    <xdr:to>
      <xdr:col>23</xdr:col>
      <xdr:colOff>390525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884DD-A502-4C16-A650-83260316D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6</xdr:row>
      <xdr:rowOff>52387</xdr:rowOff>
    </xdr:from>
    <xdr:to>
      <xdr:col>15</xdr:col>
      <xdr:colOff>390525</xdr:colOff>
      <xdr:row>20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704E5-7551-4198-ADEF-2D3931505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104775</xdr:colOff>
      <xdr:row>6</xdr:row>
      <xdr:rowOff>42862</xdr:rowOff>
    </xdr:from>
    <xdr:to>
      <xdr:col>23</xdr:col>
      <xdr:colOff>438150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543CF-89C2-44F8-843F-1906B2515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6</xdr:row>
      <xdr:rowOff>42862</xdr:rowOff>
    </xdr:from>
    <xdr:to>
      <xdr:col>15</xdr:col>
      <xdr:colOff>323850</xdr:colOff>
      <xdr:row>20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4B8FE5-4CEE-497A-BFCA-E49C6D3B9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285750</xdr:colOff>
      <xdr:row>6</xdr:row>
      <xdr:rowOff>61912</xdr:rowOff>
    </xdr:from>
    <xdr:to>
      <xdr:col>23</xdr:col>
      <xdr:colOff>123825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FCEA8F-3957-44CB-9A8A-1553D7A78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6</xdr:row>
      <xdr:rowOff>61912</xdr:rowOff>
    </xdr:from>
    <xdr:to>
      <xdr:col>15</xdr:col>
      <xdr:colOff>190500</xdr:colOff>
      <xdr:row>20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5532D1-3894-4750-9986-C11155E47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6</xdr:row>
      <xdr:rowOff>33337</xdr:rowOff>
    </xdr:from>
    <xdr:to>
      <xdr:col>23</xdr:col>
      <xdr:colOff>238125</xdr:colOff>
      <xdr:row>20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7DAF2-3B6B-4B77-9F11-327C8C571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85725</xdr:colOff>
      <xdr:row>6</xdr:row>
      <xdr:rowOff>33337</xdr:rowOff>
    </xdr:from>
    <xdr:to>
      <xdr:col>15</xdr:col>
      <xdr:colOff>342900</xdr:colOff>
      <xdr:row>20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F8F6C2-959C-41A6-9EF7-5C978D9E2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6</xdr:row>
      <xdr:rowOff>42862</xdr:rowOff>
    </xdr:from>
    <xdr:to>
      <xdr:col>23</xdr:col>
      <xdr:colOff>219075</xdr:colOff>
      <xdr:row>20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F55D0B-55E6-46BA-806A-FB3730F14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6</xdr:row>
      <xdr:rowOff>42862</xdr:rowOff>
    </xdr:from>
    <xdr:to>
      <xdr:col>15</xdr:col>
      <xdr:colOff>333375</xdr:colOff>
      <xdr:row>20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3EC54-8276-4ABA-ABCA-18F092DFD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495300</xdr:colOff>
      <xdr:row>6</xdr:row>
      <xdr:rowOff>52387</xdr:rowOff>
    </xdr:from>
    <xdr:to>
      <xdr:col>23</xdr:col>
      <xdr:colOff>219075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478B5-61C0-CBBF-3D00-9A2FAC3A2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6</xdr:row>
      <xdr:rowOff>52387</xdr:rowOff>
    </xdr:from>
    <xdr:to>
      <xdr:col>15</xdr:col>
      <xdr:colOff>333375</xdr:colOff>
      <xdr:row>20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C5598D-81B6-D218-3740-A1C17805A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4EEC-6B31-4CCB-8829-265A4C477906}">
  <dimension ref="A1:BU175"/>
  <sheetViews>
    <sheetView workbookViewId="0">
      <selection activeCell="E1" sqref="E1:E1048576"/>
    </sheetView>
  </sheetViews>
  <sheetFormatPr defaultRowHeight="15" x14ac:dyDescent="0.25"/>
  <cols>
    <col min="1" max="1" width="10.42578125" bestFit="1" customWidth="1"/>
  </cols>
  <sheetData>
    <row r="1" spans="1:7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5">
      <c r="A2" s="1">
        <v>46024</v>
      </c>
      <c r="B2">
        <v>99.85</v>
      </c>
      <c r="C2">
        <v>29.4</v>
      </c>
      <c r="D2">
        <v>74.040000000000006</v>
      </c>
      <c r="E2">
        <v>48.31</v>
      </c>
      <c r="F2">
        <v>22.48</v>
      </c>
      <c r="G2">
        <v>57.5</v>
      </c>
      <c r="H2">
        <v>97.82</v>
      </c>
      <c r="I2">
        <v>90.55</v>
      </c>
      <c r="J2">
        <v>96.3</v>
      </c>
      <c r="K2">
        <v>27.33</v>
      </c>
      <c r="L2">
        <v>25.3</v>
      </c>
      <c r="M2">
        <v>74.56</v>
      </c>
      <c r="N2">
        <v>84.17</v>
      </c>
      <c r="O2">
        <v>78.010000000000005</v>
      </c>
      <c r="P2">
        <v>26.89</v>
      </c>
      <c r="Q2">
        <v>49.14</v>
      </c>
      <c r="R2">
        <v>225.48</v>
      </c>
      <c r="S2">
        <v>55.86</v>
      </c>
      <c r="T2">
        <v>80.67</v>
      </c>
      <c r="U2">
        <v>36.85</v>
      </c>
      <c r="V2">
        <v>50.05</v>
      </c>
      <c r="W2">
        <v>100.03</v>
      </c>
      <c r="X2">
        <v>109.52</v>
      </c>
      <c r="Y2">
        <v>50.39</v>
      </c>
      <c r="Z2">
        <v>41.6</v>
      </c>
      <c r="AA2">
        <v>48.55</v>
      </c>
      <c r="AB2">
        <v>129.65</v>
      </c>
      <c r="AC2">
        <v>65.36</v>
      </c>
      <c r="AD2">
        <v>150.11000000000001</v>
      </c>
      <c r="AE2">
        <v>66.709999999999994</v>
      </c>
      <c r="AF2">
        <v>93.99</v>
      </c>
      <c r="AG2">
        <v>199.89</v>
      </c>
      <c r="AH2">
        <v>97.24</v>
      </c>
      <c r="AI2">
        <v>95.14</v>
      </c>
      <c r="AJ2">
        <v>107.24</v>
      </c>
      <c r="AK2">
        <v>31.27</v>
      </c>
      <c r="AL2">
        <v>19.14</v>
      </c>
      <c r="AM2">
        <v>31.65</v>
      </c>
      <c r="AN2">
        <v>23.37</v>
      </c>
      <c r="AO2">
        <v>26.45</v>
      </c>
      <c r="AP2">
        <v>25.74</v>
      </c>
      <c r="AQ2">
        <v>29.33</v>
      </c>
      <c r="AR2">
        <v>23.69</v>
      </c>
      <c r="AS2">
        <v>22.56</v>
      </c>
      <c r="AT2">
        <v>22.39</v>
      </c>
      <c r="AU2">
        <v>26.42</v>
      </c>
      <c r="AV2">
        <v>45.75</v>
      </c>
      <c r="AW2">
        <v>37.42</v>
      </c>
      <c r="AX2">
        <v>51.76</v>
      </c>
      <c r="AY2">
        <v>75.77</v>
      </c>
      <c r="AZ2">
        <v>210.9</v>
      </c>
      <c r="BA2">
        <v>128.66</v>
      </c>
      <c r="BB2">
        <v>133.96</v>
      </c>
      <c r="BC2">
        <v>55.69</v>
      </c>
      <c r="BD2">
        <v>94.497500000000002</v>
      </c>
      <c r="BE2">
        <v>288.75</v>
      </c>
      <c r="BF2">
        <v>304.5</v>
      </c>
      <c r="BG2">
        <v>47.02</v>
      </c>
      <c r="BH2">
        <v>88.52</v>
      </c>
      <c r="BI2">
        <v>187.22</v>
      </c>
      <c r="BJ2">
        <v>77.599999999999994</v>
      </c>
      <c r="BK2">
        <v>50.37</v>
      </c>
      <c r="BL2">
        <v>100.3</v>
      </c>
      <c r="BM2">
        <v>67.45</v>
      </c>
      <c r="BN2">
        <v>45.65</v>
      </c>
      <c r="BO2">
        <v>54.93</v>
      </c>
      <c r="BP2">
        <v>157.97999999999999</v>
      </c>
      <c r="BQ2">
        <v>144.30000000000001</v>
      </c>
      <c r="BR2">
        <v>77.69</v>
      </c>
      <c r="BS2">
        <v>40.380000000000003</v>
      </c>
      <c r="BT2">
        <v>43.18</v>
      </c>
      <c r="BU2">
        <v>155.51</v>
      </c>
    </row>
    <row r="3" spans="1:73" x14ac:dyDescent="0.25">
      <c r="A3" s="1">
        <v>46027</v>
      </c>
      <c r="B3">
        <v>100.04</v>
      </c>
      <c r="C3">
        <v>29.48</v>
      </c>
      <c r="D3">
        <v>74.180000000000007</v>
      </c>
      <c r="E3">
        <v>48.38</v>
      </c>
      <c r="F3">
        <v>22.52</v>
      </c>
      <c r="G3">
        <v>57.56</v>
      </c>
      <c r="H3">
        <v>98.02</v>
      </c>
      <c r="I3">
        <v>91.53</v>
      </c>
      <c r="J3">
        <v>96.45</v>
      </c>
      <c r="K3">
        <v>27.41</v>
      </c>
      <c r="L3">
        <v>25.9</v>
      </c>
      <c r="M3">
        <v>74.42</v>
      </c>
      <c r="N3">
        <v>85.37</v>
      </c>
      <c r="O3">
        <v>79.8</v>
      </c>
      <c r="P3">
        <v>26.95</v>
      </c>
      <c r="Q3">
        <v>48.98</v>
      </c>
      <c r="R3">
        <v>225.87</v>
      </c>
      <c r="S3">
        <v>55.32</v>
      </c>
      <c r="T3">
        <v>80.88</v>
      </c>
      <c r="U3">
        <v>36.950000000000003</v>
      </c>
      <c r="V3">
        <v>50.09</v>
      </c>
      <c r="W3">
        <v>100.93</v>
      </c>
      <c r="X3">
        <v>108.41</v>
      </c>
      <c r="Y3">
        <v>50.59</v>
      </c>
      <c r="Z3">
        <v>41.73</v>
      </c>
      <c r="AA3">
        <v>49.73</v>
      </c>
      <c r="AB3">
        <v>132.78</v>
      </c>
      <c r="AC3">
        <v>65.22</v>
      </c>
      <c r="AD3">
        <v>152.43</v>
      </c>
      <c r="AE3">
        <v>66.16</v>
      </c>
      <c r="AF3">
        <v>94.13</v>
      </c>
      <c r="AG3">
        <v>200.4</v>
      </c>
      <c r="AH3">
        <v>97.5</v>
      </c>
      <c r="AI3">
        <v>95.35</v>
      </c>
      <c r="AJ3">
        <v>107.34</v>
      </c>
      <c r="AK3">
        <v>31.33</v>
      </c>
      <c r="AL3">
        <v>19.190000000000001</v>
      </c>
      <c r="AM3">
        <v>31.78</v>
      </c>
      <c r="AN3">
        <v>23.4</v>
      </c>
      <c r="AO3">
        <v>26.52</v>
      </c>
      <c r="AP3">
        <v>25.79</v>
      </c>
      <c r="AQ3">
        <v>29.38</v>
      </c>
      <c r="AR3">
        <v>23.73</v>
      </c>
      <c r="AS3">
        <v>22.65</v>
      </c>
      <c r="AT3">
        <v>22.44</v>
      </c>
      <c r="AU3">
        <v>26.53</v>
      </c>
      <c r="AV3">
        <v>45.79</v>
      </c>
      <c r="AW3">
        <v>37.51</v>
      </c>
      <c r="AX3">
        <v>51.87</v>
      </c>
      <c r="AY3">
        <v>76.069999999999993</v>
      </c>
      <c r="AZ3">
        <v>210.27</v>
      </c>
      <c r="BA3">
        <v>131.63</v>
      </c>
      <c r="BB3">
        <v>136.99</v>
      </c>
      <c r="BC3">
        <v>55.93</v>
      </c>
      <c r="BD3">
        <v>94.677499999999995</v>
      </c>
      <c r="BE3">
        <v>288.32</v>
      </c>
      <c r="BF3">
        <v>309.17</v>
      </c>
      <c r="BG3">
        <v>47.12</v>
      </c>
      <c r="BH3">
        <v>88.72</v>
      </c>
      <c r="BI3">
        <v>185.45</v>
      </c>
      <c r="BJ3">
        <v>77.790000000000006</v>
      </c>
      <c r="BK3">
        <v>50.4</v>
      </c>
      <c r="BL3">
        <v>100.41</v>
      </c>
      <c r="BM3">
        <v>67.53</v>
      </c>
      <c r="BN3">
        <v>46.89</v>
      </c>
      <c r="BO3">
        <v>56.13</v>
      </c>
      <c r="BP3">
        <v>159.85</v>
      </c>
      <c r="BQ3">
        <v>144.62</v>
      </c>
      <c r="BR3">
        <v>77.349999999999994</v>
      </c>
      <c r="BS3">
        <v>40.43</v>
      </c>
      <c r="BT3">
        <v>42.7</v>
      </c>
      <c r="BU3">
        <v>155.04</v>
      </c>
    </row>
    <row r="4" spans="1:73" x14ac:dyDescent="0.25">
      <c r="A4" s="1">
        <v>46028</v>
      </c>
      <c r="B4">
        <v>100.02</v>
      </c>
      <c r="C4">
        <v>29.53</v>
      </c>
      <c r="D4">
        <v>74.180000000000007</v>
      </c>
      <c r="E4">
        <v>48.44</v>
      </c>
      <c r="F4">
        <v>22.48</v>
      </c>
      <c r="G4">
        <v>57.62</v>
      </c>
      <c r="H4">
        <v>98.05</v>
      </c>
      <c r="I4">
        <v>92.69</v>
      </c>
      <c r="J4">
        <v>96.35</v>
      </c>
      <c r="K4">
        <v>27.45</v>
      </c>
      <c r="L4">
        <v>25.26</v>
      </c>
      <c r="M4">
        <v>75.92</v>
      </c>
      <c r="N4">
        <v>86.63</v>
      </c>
      <c r="O4">
        <v>80.180000000000007</v>
      </c>
      <c r="P4">
        <v>27.15</v>
      </c>
      <c r="Q4">
        <v>49.13</v>
      </c>
      <c r="R4">
        <v>228.55</v>
      </c>
      <c r="S4">
        <v>55.62</v>
      </c>
      <c r="T4">
        <v>80.900000000000006</v>
      </c>
      <c r="U4">
        <v>36.97</v>
      </c>
      <c r="V4">
        <v>50.16</v>
      </c>
      <c r="W4">
        <v>102.18</v>
      </c>
      <c r="X4">
        <v>108.86</v>
      </c>
      <c r="Y4">
        <v>50.6</v>
      </c>
      <c r="Z4">
        <v>41.69</v>
      </c>
      <c r="AA4">
        <v>48.44</v>
      </c>
      <c r="AB4">
        <v>133</v>
      </c>
      <c r="AC4">
        <v>66.58</v>
      </c>
      <c r="AD4">
        <v>154.69999999999999</v>
      </c>
      <c r="AE4">
        <v>65.86</v>
      </c>
      <c r="AF4">
        <v>94.79</v>
      </c>
      <c r="AG4">
        <v>202.33</v>
      </c>
      <c r="AH4">
        <v>97.54</v>
      </c>
      <c r="AI4">
        <v>95.3</v>
      </c>
      <c r="AJ4">
        <v>107.42</v>
      </c>
      <c r="AK4">
        <v>31.45</v>
      </c>
      <c r="AL4">
        <v>19.260000000000002</v>
      </c>
      <c r="AM4">
        <v>31.74</v>
      </c>
      <c r="AN4">
        <v>23.4</v>
      </c>
      <c r="AO4">
        <v>26.54</v>
      </c>
      <c r="AP4">
        <v>25.79</v>
      </c>
      <c r="AQ4">
        <v>29.4</v>
      </c>
      <c r="AR4">
        <v>23.76</v>
      </c>
      <c r="AS4">
        <v>22.66</v>
      </c>
      <c r="AT4">
        <v>22.43</v>
      </c>
      <c r="AU4">
        <v>26.5</v>
      </c>
      <c r="AV4">
        <v>45.8</v>
      </c>
      <c r="AW4">
        <v>37.54</v>
      </c>
      <c r="AX4">
        <v>51.88</v>
      </c>
      <c r="AY4">
        <v>76.09</v>
      </c>
      <c r="AZ4">
        <v>210.77</v>
      </c>
      <c r="BA4">
        <v>128.43</v>
      </c>
      <c r="BB4">
        <v>137.66999999999999</v>
      </c>
      <c r="BC4">
        <v>55.84</v>
      </c>
      <c r="BD4">
        <v>95.811300000000003</v>
      </c>
      <c r="BE4">
        <v>293.91000000000003</v>
      </c>
      <c r="BF4">
        <v>313.33999999999997</v>
      </c>
      <c r="BG4">
        <v>47.12</v>
      </c>
      <c r="BH4">
        <v>89.37</v>
      </c>
      <c r="BI4">
        <v>186.42</v>
      </c>
      <c r="BJ4">
        <v>77.83</v>
      </c>
      <c r="BK4">
        <v>50.46</v>
      </c>
      <c r="BL4">
        <v>100.48</v>
      </c>
      <c r="BM4">
        <v>67.47</v>
      </c>
      <c r="BN4">
        <v>45.64</v>
      </c>
      <c r="BO4">
        <v>56.4</v>
      </c>
      <c r="BP4">
        <v>162.02000000000001</v>
      </c>
      <c r="BQ4">
        <v>146.65</v>
      </c>
      <c r="BR4">
        <v>77.47</v>
      </c>
      <c r="BS4">
        <v>40.700000000000003</v>
      </c>
      <c r="BT4">
        <v>42.91</v>
      </c>
      <c r="BU4">
        <v>158.09</v>
      </c>
    </row>
    <row r="5" spans="1:73" x14ac:dyDescent="0.25">
      <c r="A5" s="1">
        <v>46029</v>
      </c>
      <c r="B5">
        <v>100.12</v>
      </c>
      <c r="C5">
        <v>29.52</v>
      </c>
      <c r="D5">
        <v>74.260000000000005</v>
      </c>
      <c r="E5">
        <v>48.53</v>
      </c>
      <c r="F5">
        <v>22.49</v>
      </c>
      <c r="G5">
        <v>57.72</v>
      </c>
      <c r="H5">
        <v>98.1</v>
      </c>
      <c r="I5">
        <v>92.1</v>
      </c>
      <c r="J5">
        <v>96.16</v>
      </c>
      <c r="K5">
        <v>27.46</v>
      </c>
      <c r="L5">
        <v>24.99</v>
      </c>
      <c r="M5">
        <v>76.72</v>
      </c>
      <c r="N5">
        <v>85.13</v>
      </c>
      <c r="O5">
        <v>79.11</v>
      </c>
      <c r="P5">
        <v>26.89</v>
      </c>
      <c r="Q5">
        <v>48.64</v>
      </c>
      <c r="R5">
        <v>228.42</v>
      </c>
      <c r="S5">
        <v>54.35</v>
      </c>
      <c r="T5">
        <v>80.88</v>
      </c>
      <c r="U5">
        <v>36.97</v>
      </c>
      <c r="V5">
        <v>50.22</v>
      </c>
      <c r="W5">
        <v>101.62</v>
      </c>
      <c r="X5">
        <v>106.3</v>
      </c>
      <c r="Y5">
        <v>50.69</v>
      </c>
      <c r="Z5">
        <v>41.7</v>
      </c>
      <c r="AA5">
        <v>47.87</v>
      </c>
      <c r="AB5">
        <v>130.84</v>
      </c>
      <c r="AC5">
        <v>67.33</v>
      </c>
      <c r="AD5">
        <v>152.1</v>
      </c>
      <c r="AE5">
        <v>65.23</v>
      </c>
      <c r="AF5">
        <v>93.78</v>
      </c>
      <c r="AG5">
        <v>202.65</v>
      </c>
      <c r="AH5">
        <v>97.51</v>
      </c>
      <c r="AI5">
        <v>95.33</v>
      </c>
      <c r="AJ5">
        <v>107.65</v>
      </c>
      <c r="AK5">
        <v>31.41</v>
      </c>
      <c r="AL5">
        <v>19.260000000000002</v>
      </c>
      <c r="AM5">
        <v>31.9</v>
      </c>
      <c r="AN5">
        <v>23.42</v>
      </c>
      <c r="AO5">
        <v>26.54</v>
      </c>
      <c r="AP5">
        <v>25.81</v>
      </c>
      <c r="AQ5">
        <v>29.42</v>
      </c>
      <c r="AR5">
        <v>23.75</v>
      </c>
      <c r="AS5">
        <v>22.7</v>
      </c>
      <c r="AT5">
        <v>22.46</v>
      </c>
      <c r="AU5">
        <v>26.62</v>
      </c>
      <c r="AV5">
        <v>45.93</v>
      </c>
      <c r="AW5">
        <v>37.520000000000003</v>
      </c>
      <c r="AX5">
        <v>51.91</v>
      </c>
      <c r="AY5">
        <v>76.239999999999995</v>
      </c>
      <c r="AZ5">
        <v>208.73</v>
      </c>
      <c r="BA5">
        <v>127.1</v>
      </c>
      <c r="BB5">
        <v>135.72999999999999</v>
      </c>
      <c r="BC5">
        <v>56.14</v>
      </c>
      <c r="BD5">
        <v>95.762500000000003</v>
      </c>
      <c r="BE5">
        <v>297.26</v>
      </c>
      <c r="BF5">
        <v>307.8</v>
      </c>
      <c r="BG5">
        <v>47.13</v>
      </c>
      <c r="BH5">
        <v>88.5</v>
      </c>
      <c r="BI5">
        <v>182.18</v>
      </c>
      <c r="BJ5">
        <v>77.87</v>
      </c>
      <c r="BK5">
        <v>50.55</v>
      </c>
      <c r="BL5">
        <v>100.68</v>
      </c>
      <c r="BM5">
        <v>67.37</v>
      </c>
      <c r="BN5">
        <v>45.13</v>
      </c>
      <c r="BO5">
        <v>55.61</v>
      </c>
      <c r="BP5">
        <v>158.97</v>
      </c>
      <c r="BQ5">
        <v>146.53</v>
      </c>
      <c r="BR5">
        <v>76.62</v>
      </c>
      <c r="BS5">
        <v>40.14</v>
      </c>
      <c r="BT5">
        <v>41.87</v>
      </c>
      <c r="BU5">
        <v>159.66</v>
      </c>
    </row>
    <row r="6" spans="1:73" x14ac:dyDescent="0.25">
      <c r="A6" s="1">
        <v>46030</v>
      </c>
      <c r="B6">
        <v>99.94</v>
      </c>
      <c r="C6">
        <v>29.55</v>
      </c>
      <c r="D6">
        <v>74.13</v>
      </c>
      <c r="E6">
        <v>48.53</v>
      </c>
      <c r="F6">
        <v>22.45</v>
      </c>
      <c r="G6">
        <v>57.69</v>
      </c>
      <c r="H6">
        <v>97.9</v>
      </c>
      <c r="I6">
        <v>91.83</v>
      </c>
      <c r="J6">
        <v>96.01</v>
      </c>
      <c r="K6">
        <v>27.49</v>
      </c>
      <c r="L6">
        <v>25.73</v>
      </c>
      <c r="M6">
        <v>75.989999999999995</v>
      </c>
      <c r="N6">
        <v>85.82</v>
      </c>
      <c r="O6">
        <v>79.61</v>
      </c>
      <c r="P6">
        <v>27.13</v>
      </c>
      <c r="Q6">
        <v>49.74</v>
      </c>
      <c r="R6">
        <v>224.89</v>
      </c>
      <c r="S6">
        <v>54.52</v>
      </c>
      <c r="T6">
        <v>80.94</v>
      </c>
      <c r="U6">
        <v>36.97</v>
      </c>
      <c r="V6">
        <v>50.21</v>
      </c>
      <c r="W6">
        <v>101.2</v>
      </c>
      <c r="X6">
        <v>106.66</v>
      </c>
      <c r="Y6">
        <v>50.52</v>
      </c>
      <c r="Z6">
        <v>41.57</v>
      </c>
      <c r="AA6">
        <v>49.29</v>
      </c>
      <c r="AB6">
        <v>131.79</v>
      </c>
      <c r="AC6">
        <v>66.63</v>
      </c>
      <c r="AD6">
        <v>153.18</v>
      </c>
      <c r="AE6">
        <v>66.61</v>
      </c>
      <c r="AF6">
        <v>94.58</v>
      </c>
      <c r="AG6">
        <v>199.78</v>
      </c>
      <c r="AH6">
        <v>97.59</v>
      </c>
      <c r="AI6">
        <v>95.23</v>
      </c>
      <c r="AJ6">
        <v>107.53</v>
      </c>
      <c r="AK6">
        <v>31.38</v>
      </c>
      <c r="AL6">
        <v>19.29</v>
      </c>
      <c r="AM6">
        <v>31.75</v>
      </c>
      <c r="AN6">
        <v>23.39</v>
      </c>
      <c r="AO6">
        <v>26.54</v>
      </c>
      <c r="AP6">
        <v>25.77</v>
      </c>
      <c r="AQ6">
        <v>29.36</v>
      </c>
      <c r="AR6">
        <v>23.76</v>
      </c>
      <c r="AS6">
        <v>22.61</v>
      </c>
      <c r="AT6">
        <v>22.42</v>
      </c>
      <c r="AU6">
        <v>26.51</v>
      </c>
      <c r="AV6">
        <v>45.9</v>
      </c>
      <c r="AW6">
        <v>37.54</v>
      </c>
      <c r="AX6">
        <v>51.8</v>
      </c>
      <c r="AY6">
        <v>75.95</v>
      </c>
      <c r="AZ6">
        <v>213.42</v>
      </c>
      <c r="BA6">
        <v>130.87</v>
      </c>
      <c r="BB6">
        <v>136.63</v>
      </c>
      <c r="BC6">
        <v>55.86</v>
      </c>
      <c r="BD6">
        <v>94.351299999999995</v>
      </c>
      <c r="BE6">
        <v>294.29000000000002</v>
      </c>
      <c r="BF6">
        <v>310.39</v>
      </c>
      <c r="BG6">
        <v>47.06</v>
      </c>
      <c r="BH6">
        <v>89.29</v>
      </c>
      <c r="BI6">
        <v>182.68</v>
      </c>
      <c r="BJ6">
        <v>77.69</v>
      </c>
      <c r="BK6">
        <v>50.51</v>
      </c>
      <c r="BL6">
        <v>100.67</v>
      </c>
      <c r="BM6">
        <v>67.290000000000006</v>
      </c>
      <c r="BN6">
        <v>46.55</v>
      </c>
      <c r="BO6">
        <v>55.9</v>
      </c>
      <c r="BP6">
        <v>160.16999999999999</v>
      </c>
      <c r="BQ6">
        <v>144.24</v>
      </c>
      <c r="BR6">
        <v>78.44</v>
      </c>
      <c r="BS6">
        <v>40.44</v>
      </c>
      <c r="BT6">
        <v>41.99</v>
      </c>
      <c r="BU6">
        <v>158.12</v>
      </c>
    </row>
    <row r="7" spans="1:73" x14ac:dyDescent="0.25">
      <c r="A7" s="1">
        <v>46031</v>
      </c>
      <c r="B7">
        <v>100.16</v>
      </c>
      <c r="C7">
        <v>29.57</v>
      </c>
      <c r="D7">
        <v>74.290000000000006</v>
      </c>
      <c r="E7">
        <v>48.54</v>
      </c>
      <c r="F7">
        <v>22.39</v>
      </c>
      <c r="G7">
        <v>57.78</v>
      </c>
      <c r="H7">
        <v>98.11</v>
      </c>
      <c r="I7">
        <v>92.3</v>
      </c>
      <c r="J7">
        <v>96.36</v>
      </c>
      <c r="K7">
        <v>27.52</v>
      </c>
      <c r="L7">
        <v>25.8</v>
      </c>
      <c r="M7">
        <v>75.599999999999994</v>
      </c>
      <c r="N7">
        <v>86.98</v>
      </c>
      <c r="O7">
        <v>79.34</v>
      </c>
      <c r="P7">
        <v>27.2</v>
      </c>
      <c r="Q7">
        <v>50.25</v>
      </c>
      <c r="R7">
        <v>227.18</v>
      </c>
      <c r="S7">
        <v>55.15</v>
      </c>
      <c r="T7">
        <v>81</v>
      </c>
      <c r="U7">
        <v>37.01</v>
      </c>
      <c r="V7">
        <v>50.25</v>
      </c>
      <c r="W7">
        <v>101.65</v>
      </c>
      <c r="X7">
        <v>107.99</v>
      </c>
      <c r="Y7">
        <v>50.81</v>
      </c>
      <c r="Z7">
        <v>41.55</v>
      </c>
      <c r="AA7">
        <v>49.39</v>
      </c>
      <c r="AB7">
        <v>131.56</v>
      </c>
      <c r="AC7">
        <v>66.319999999999993</v>
      </c>
      <c r="AD7">
        <v>154.65</v>
      </c>
      <c r="AE7">
        <v>67.2</v>
      </c>
      <c r="AF7">
        <v>94.74</v>
      </c>
      <c r="AG7">
        <v>201.75</v>
      </c>
      <c r="AH7">
        <v>97.69</v>
      </c>
      <c r="AI7">
        <v>95.8</v>
      </c>
      <c r="AJ7">
        <v>107.66</v>
      </c>
      <c r="AK7">
        <v>31.57</v>
      </c>
      <c r="AL7">
        <v>19.34</v>
      </c>
      <c r="AM7">
        <v>31.93</v>
      </c>
      <c r="AN7">
        <v>23.44</v>
      </c>
      <c r="AO7">
        <v>26.57</v>
      </c>
      <c r="AP7">
        <v>25.83</v>
      </c>
      <c r="AQ7">
        <v>29.43</v>
      </c>
      <c r="AR7">
        <v>23.79</v>
      </c>
      <c r="AS7">
        <v>22.76</v>
      </c>
      <c r="AT7">
        <v>22.54</v>
      </c>
      <c r="AU7">
        <v>26.64</v>
      </c>
      <c r="AV7">
        <v>45.95</v>
      </c>
      <c r="AW7">
        <v>37.590000000000003</v>
      </c>
      <c r="AX7">
        <v>51.92</v>
      </c>
      <c r="AY7">
        <v>76.44</v>
      </c>
      <c r="AZ7">
        <v>215.68</v>
      </c>
      <c r="BA7">
        <v>131.19999999999999</v>
      </c>
      <c r="BB7">
        <v>136.16</v>
      </c>
      <c r="BC7">
        <v>56.17</v>
      </c>
      <c r="BD7">
        <v>95.245000000000005</v>
      </c>
      <c r="BE7">
        <v>292.97000000000003</v>
      </c>
      <c r="BF7">
        <v>314.57</v>
      </c>
      <c r="BG7">
        <v>47.32</v>
      </c>
      <c r="BH7">
        <v>89.47</v>
      </c>
      <c r="BI7">
        <v>184.95</v>
      </c>
      <c r="BJ7">
        <v>77.88</v>
      </c>
      <c r="BK7">
        <v>50.58</v>
      </c>
      <c r="BL7">
        <v>100.7</v>
      </c>
      <c r="BM7">
        <v>67.430000000000007</v>
      </c>
      <c r="BN7">
        <v>46.67</v>
      </c>
      <c r="BO7">
        <v>55.73</v>
      </c>
      <c r="BP7">
        <v>161.93</v>
      </c>
      <c r="BQ7">
        <v>146.15</v>
      </c>
      <c r="BR7">
        <v>79.25</v>
      </c>
      <c r="BS7">
        <v>40.5</v>
      </c>
      <c r="BT7">
        <v>42.51</v>
      </c>
      <c r="BU7">
        <v>157.31</v>
      </c>
    </row>
    <row r="8" spans="1:73" x14ac:dyDescent="0.25">
      <c r="A8" s="1">
        <v>46034</v>
      </c>
      <c r="B8">
        <v>100.11</v>
      </c>
      <c r="C8">
        <v>29.55</v>
      </c>
      <c r="D8">
        <v>74.22</v>
      </c>
      <c r="E8">
        <v>48.58</v>
      </c>
      <c r="F8">
        <v>22.44</v>
      </c>
      <c r="G8">
        <v>57.78</v>
      </c>
      <c r="H8">
        <v>98.04</v>
      </c>
      <c r="I8">
        <v>93.13</v>
      </c>
      <c r="J8">
        <v>96.28</v>
      </c>
      <c r="K8">
        <v>27.54</v>
      </c>
      <c r="L8">
        <v>25.65</v>
      </c>
      <c r="M8">
        <v>75.5</v>
      </c>
      <c r="N8">
        <v>87.7</v>
      </c>
      <c r="O8">
        <v>78.680000000000007</v>
      </c>
      <c r="P8">
        <v>27.24</v>
      </c>
      <c r="Q8">
        <v>50.88</v>
      </c>
      <c r="R8">
        <v>228.24</v>
      </c>
      <c r="S8">
        <v>55.28</v>
      </c>
      <c r="T8">
        <v>81.040000000000006</v>
      </c>
      <c r="U8">
        <v>37</v>
      </c>
      <c r="V8">
        <v>50.28</v>
      </c>
      <c r="W8">
        <v>102.63</v>
      </c>
      <c r="X8">
        <v>108.07</v>
      </c>
      <c r="Y8">
        <v>50.72</v>
      </c>
      <c r="Z8">
        <v>41.69</v>
      </c>
      <c r="AA8">
        <v>49.07</v>
      </c>
      <c r="AB8">
        <v>131.07</v>
      </c>
      <c r="AC8">
        <v>66.19</v>
      </c>
      <c r="AD8">
        <v>154.74</v>
      </c>
      <c r="AE8">
        <v>67.760000000000005</v>
      </c>
      <c r="AF8">
        <v>94.89</v>
      </c>
      <c r="AG8">
        <v>202.42</v>
      </c>
      <c r="AH8">
        <v>97.68</v>
      </c>
      <c r="AI8">
        <v>95.65</v>
      </c>
      <c r="AJ8">
        <v>107.55</v>
      </c>
      <c r="AK8">
        <v>31.62</v>
      </c>
      <c r="AL8">
        <v>19.350000000000001</v>
      </c>
      <c r="AM8">
        <v>31.84</v>
      </c>
      <c r="AN8">
        <v>23.43</v>
      </c>
      <c r="AO8">
        <v>26.57</v>
      </c>
      <c r="AP8">
        <v>25.81</v>
      </c>
      <c r="AQ8">
        <v>29.4</v>
      </c>
      <c r="AR8">
        <v>23.79</v>
      </c>
      <c r="AS8">
        <v>22.7</v>
      </c>
      <c r="AT8">
        <v>22.54</v>
      </c>
      <c r="AU8">
        <v>26.58</v>
      </c>
      <c r="AV8">
        <v>45.93</v>
      </c>
      <c r="AW8">
        <v>37.590000000000003</v>
      </c>
      <c r="AX8">
        <v>51.86</v>
      </c>
      <c r="AY8">
        <v>76.319999999999993</v>
      </c>
      <c r="AZ8">
        <v>218.47</v>
      </c>
      <c r="BA8">
        <v>130.47999999999999</v>
      </c>
      <c r="BB8">
        <v>135</v>
      </c>
      <c r="BC8">
        <v>56.03</v>
      </c>
      <c r="BD8">
        <v>95.688800000000001</v>
      </c>
      <c r="BE8">
        <v>292.57</v>
      </c>
      <c r="BF8">
        <v>317.04000000000002</v>
      </c>
      <c r="BG8">
        <v>47.27</v>
      </c>
      <c r="BH8">
        <v>89.59</v>
      </c>
      <c r="BI8">
        <v>185.21</v>
      </c>
      <c r="BJ8">
        <v>77.81</v>
      </c>
      <c r="BK8">
        <v>50.56</v>
      </c>
      <c r="BL8">
        <v>100.8</v>
      </c>
      <c r="BM8">
        <v>67.39</v>
      </c>
      <c r="BN8">
        <v>46.34</v>
      </c>
      <c r="BO8">
        <v>55.29</v>
      </c>
      <c r="BP8">
        <v>163.16999999999999</v>
      </c>
      <c r="BQ8">
        <v>146.79</v>
      </c>
      <c r="BR8">
        <v>80.180000000000007</v>
      </c>
      <c r="BS8">
        <v>40.619999999999997</v>
      </c>
      <c r="BT8">
        <v>42.58</v>
      </c>
      <c r="BU8">
        <v>157.38</v>
      </c>
    </row>
    <row r="9" spans="1:73" x14ac:dyDescent="0.25">
      <c r="A9" s="1">
        <v>46035</v>
      </c>
      <c r="B9">
        <v>100.2</v>
      </c>
      <c r="C9">
        <v>29.56</v>
      </c>
      <c r="D9">
        <v>74.28</v>
      </c>
      <c r="E9">
        <v>48.54</v>
      </c>
      <c r="F9">
        <v>22.33</v>
      </c>
      <c r="G9">
        <v>57.79</v>
      </c>
      <c r="H9">
        <v>98.19</v>
      </c>
      <c r="I9">
        <v>93.34</v>
      </c>
      <c r="J9">
        <v>96.16</v>
      </c>
      <c r="K9">
        <v>27.51</v>
      </c>
      <c r="L9">
        <v>26.04</v>
      </c>
      <c r="M9">
        <v>75.209999999999994</v>
      </c>
      <c r="N9">
        <v>88.06</v>
      </c>
      <c r="O9">
        <v>77.27</v>
      </c>
      <c r="P9">
        <v>27.38</v>
      </c>
      <c r="Q9">
        <v>51.39</v>
      </c>
      <c r="R9">
        <v>228.05</v>
      </c>
      <c r="S9">
        <v>55.62</v>
      </c>
      <c r="T9">
        <v>81.040000000000006</v>
      </c>
      <c r="U9">
        <v>37.020000000000003</v>
      </c>
      <c r="V9">
        <v>50.23</v>
      </c>
      <c r="W9">
        <v>102.88</v>
      </c>
      <c r="X9">
        <v>108.72</v>
      </c>
      <c r="Y9">
        <v>50.85</v>
      </c>
      <c r="Z9">
        <v>41.54</v>
      </c>
      <c r="AA9">
        <v>49.77</v>
      </c>
      <c r="AB9">
        <v>129.16</v>
      </c>
      <c r="AC9">
        <v>65.930000000000007</v>
      </c>
      <c r="AD9">
        <v>154.24</v>
      </c>
      <c r="AE9">
        <v>68.38</v>
      </c>
      <c r="AF9">
        <v>95.43</v>
      </c>
      <c r="AG9">
        <v>201.9</v>
      </c>
      <c r="AH9">
        <v>97.71</v>
      </c>
      <c r="AI9">
        <v>95.69</v>
      </c>
      <c r="AJ9">
        <v>107.59</v>
      </c>
      <c r="AK9">
        <v>31.64</v>
      </c>
      <c r="AL9">
        <v>19.45</v>
      </c>
      <c r="AM9">
        <v>31.88</v>
      </c>
      <c r="AN9">
        <v>23.45</v>
      </c>
      <c r="AO9">
        <v>26.59</v>
      </c>
      <c r="AP9">
        <v>25.82</v>
      </c>
      <c r="AQ9">
        <v>29.46</v>
      </c>
      <c r="AR9">
        <v>23.79</v>
      </c>
      <c r="AS9">
        <v>22.78</v>
      </c>
      <c r="AT9">
        <v>22.55</v>
      </c>
      <c r="AU9">
        <v>26.62</v>
      </c>
      <c r="AV9">
        <v>45.9</v>
      </c>
      <c r="AW9">
        <v>37.6</v>
      </c>
      <c r="AX9">
        <v>51.97</v>
      </c>
      <c r="AY9">
        <v>76.510000000000005</v>
      </c>
      <c r="AZ9">
        <v>220.62</v>
      </c>
      <c r="BA9">
        <v>132.41999999999999</v>
      </c>
      <c r="BB9">
        <v>132.57</v>
      </c>
      <c r="BC9">
        <v>56.11</v>
      </c>
      <c r="BD9">
        <v>95.551299999999998</v>
      </c>
      <c r="BE9">
        <v>291.37</v>
      </c>
      <c r="BF9">
        <v>318.12</v>
      </c>
      <c r="BG9">
        <v>47.26</v>
      </c>
      <c r="BH9">
        <v>90.09</v>
      </c>
      <c r="BI9">
        <v>186.37</v>
      </c>
      <c r="BJ9">
        <v>77.97</v>
      </c>
      <c r="BK9">
        <v>50.58</v>
      </c>
      <c r="BL9">
        <v>100.82</v>
      </c>
      <c r="BM9">
        <v>67.37</v>
      </c>
      <c r="BN9">
        <v>47</v>
      </c>
      <c r="BO9">
        <v>54.23</v>
      </c>
      <c r="BP9">
        <v>164.01</v>
      </c>
      <c r="BQ9">
        <v>146.47999999999999</v>
      </c>
      <c r="BR9">
        <v>81.11</v>
      </c>
      <c r="BS9">
        <v>40.93</v>
      </c>
      <c r="BT9">
        <v>42.85</v>
      </c>
      <c r="BU9">
        <v>156.74</v>
      </c>
    </row>
    <row r="10" spans="1:73" x14ac:dyDescent="0.25">
      <c r="A10" s="1">
        <v>46036</v>
      </c>
      <c r="B10">
        <v>100.35</v>
      </c>
      <c r="C10">
        <v>29.58</v>
      </c>
      <c r="D10">
        <v>74.430000000000007</v>
      </c>
      <c r="E10">
        <v>48.61</v>
      </c>
      <c r="F10">
        <v>22.4</v>
      </c>
      <c r="G10">
        <v>57.83</v>
      </c>
      <c r="H10">
        <v>98.45</v>
      </c>
      <c r="I10">
        <v>93.42</v>
      </c>
      <c r="J10">
        <v>96.36</v>
      </c>
      <c r="K10">
        <v>27.54</v>
      </c>
      <c r="L10">
        <v>26.62</v>
      </c>
      <c r="M10">
        <v>75.69</v>
      </c>
      <c r="N10">
        <v>88.35</v>
      </c>
      <c r="O10">
        <v>77.22</v>
      </c>
      <c r="P10">
        <v>27.63</v>
      </c>
      <c r="Q10">
        <v>52.01</v>
      </c>
      <c r="R10">
        <v>225.19</v>
      </c>
      <c r="S10">
        <v>56.01</v>
      </c>
      <c r="T10">
        <v>81.040000000000006</v>
      </c>
      <c r="U10">
        <v>37.01</v>
      </c>
      <c r="V10">
        <v>50.27</v>
      </c>
      <c r="W10">
        <v>102.73</v>
      </c>
      <c r="X10">
        <v>109.47</v>
      </c>
      <c r="Y10">
        <v>51.09</v>
      </c>
      <c r="Z10">
        <v>41.65</v>
      </c>
      <c r="AA10">
        <v>50.84</v>
      </c>
      <c r="AB10">
        <v>128.99</v>
      </c>
      <c r="AC10">
        <v>66.36</v>
      </c>
      <c r="AD10">
        <v>154.65</v>
      </c>
      <c r="AE10">
        <v>69.39</v>
      </c>
      <c r="AF10">
        <v>96.35</v>
      </c>
      <c r="AG10">
        <v>199.26</v>
      </c>
      <c r="AH10">
        <v>97.74</v>
      </c>
      <c r="AI10">
        <v>95.83</v>
      </c>
      <c r="AJ10">
        <v>107.77</v>
      </c>
      <c r="AK10">
        <v>31.74</v>
      </c>
      <c r="AL10">
        <v>19.489999999999998</v>
      </c>
      <c r="AM10">
        <v>32.07</v>
      </c>
      <c r="AN10">
        <v>23.49</v>
      </c>
      <c r="AO10">
        <v>26.58</v>
      </c>
      <c r="AP10">
        <v>25.88</v>
      </c>
      <c r="AQ10">
        <v>29.52</v>
      </c>
      <c r="AR10">
        <v>23.8</v>
      </c>
      <c r="AS10">
        <v>22.88</v>
      </c>
      <c r="AT10">
        <v>22.59</v>
      </c>
      <c r="AU10">
        <v>26.77</v>
      </c>
      <c r="AV10">
        <v>45.99</v>
      </c>
      <c r="AW10">
        <v>37.6</v>
      </c>
      <c r="AX10">
        <v>52.06</v>
      </c>
      <c r="AY10">
        <v>76.86</v>
      </c>
      <c r="AZ10">
        <v>223.33</v>
      </c>
      <c r="BA10">
        <v>135.35</v>
      </c>
      <c r="BB10">
        <v>132.54</v>
      </c>
      <c r="BC10">
        <v>56.43</v>
      </c>
      <c r="BD10">
        <v>94.41</v>
      </c>
      <c r="BE10">
        <v>293.52</v>
      </c>
      <c r="BF10">
        <v>318.87</v>
      </c>
      <c r="BG10">
        <v>47.31</v>
      </c>
      <c r="BH10">
        <v>90.87</v>
      </c>
      <c r="BI10">
        <v>187.64</v>
      </c>
      <c r="BJ10">
        <v>78.13</v>
      </c>
      <c r="BK10">
        <v>50.62</v>
      </c>
      <c r="BL10">
        <v>100.92</v>
      </c>
      <c r="BM10">
        <v>67.48</v>
      </c>
      <c r="BN10">
        <v>48.06</v>
      </c>
      <c r="BO10">
        <v>54.15</v>
      </c>
      <c r="BP10">
        <v>164.27</v>
      </c>
      <c r="BQ10">
        <v>144.69999999999999</v>
      </c>
      <c r="BR10">
        <v>82.23</v>
      </c>
      <c r="BS10">
        <v>41.39</v>
      </c>
      <c r="BT10">
        <v>43.17</v>
      </c>
      <c r="BU10">
        <v>157.86000000000001</v>
      </c>
    </row>
    <row r="11" spans="1:73" x14ac:dyDescent="0.25">
      <c r="A11" s="1">
        <v>46037</v>
      </c>
      <c r="B11">
        <v>100.22</v>
      </c>
      <c r="C11">
        <v>29.57</v>
      </c>
      <c r="D11">
        <v>74.319999999999993</v>
      </c>
      <c r="E11">
        <v>48.59</v>
      </c>
      <c r="F11">
        <v>22.32</v>
      </c>
      <c r="G11">
        <v>57.87</v>
      </c>
      <c r="H11">
        <v>98.29</v>
      </c>
      <c r="I11">
        <v>93.62</v>
      </c>
      <c r="J11">
        <v>96.4</v>
      </c>
      <c r="K11">
        <v>27.53</v>
      </c>
      <c r="L11">
        <v>26.4</v>
      </c>
      <c r="M11">
        <v>75.31</v>
      </c>
      <c r="N11">
        <v>89.26</v>
      </c>
      <c r="O11">
        <v>77.650000000000006</v>
      </c>
      <c r="P11">
        <v>27.81</v>
      </c>
      <c r="Q11">
        <v>52.09</v>
      </c>
      <c r="R11">
        <v>226.38</v>
      </c>
      <c r="S11">
        <v>56.63</v>
      </c>
      <c r="T11">
        <v>81.040000000000006</v>
      </c>
      <c r="U11">
        <v>37.020000000000003</v>
      </c>
      <c r="V11">
        <v>50.25</v>
      </c>
      <c r="W11">
        <v>103.12</v>
      </c>
      <c r="X11">
        <v>110.72</v>
      </c>
      <c r="Y11">
        <v>51.04</v>
      </c>
      <c r="Z11">
        <v>41.52</v>
      </c>
      <c r="AA11">
        <v>50.43</v>
      </c>
      <c r="AB11">
        <v>129.76</v>
      </c>
      <c r="AC11">
        <v>65.95</v>
      </c>
      <c r="AD11">
        <v>155.63999999999999</v>
      </c>
      <c r="AE11">
        <v>69.650000000000006</v>
      </c>
      <c r="AF11">
        <v>97.03</v>
      </c>
      <c r="AG11">
        <v>199.9</v>
      </c>
      <c r="AH11">
        <v>97.74</v>
      </c>
      <c r="AI11">
        <v>95.66</v>
      </c>
      <c r="AJ11">
        <v>107.73</v>
      </c>
      <c r="AK11">
        <v>31.82</v>
      </c>
      <c r="AL11">
        <v>19.52</v>
      </c>
      <c r="AM11">
        <v>32.049999999999997</v>
      </c>
      <c r="AN11">
        <v>23.45</v>
      </c>
      <c r="AO11">
        <v>26.58</v>
      </c>
      <c r="AP11">
        <v>25.85</v>
      </c>
      <c r="AQ11">
        <v>29.49</v>
      </c>
      <c r="AR11">
        <v>23.8</v>
      </c>
      <c r="AS11">
        <v>22.86</v>
      </c>
      <c r="AT11">
        <v>22.54</v>
      </c>
      <c r="AU11">
        <v>26.77</v>
      </c>
      <c r="AV11">
        <v>45.98</v>
      </c>
      <c r="AW11">
        <v>37.6</v>
      </c>
      <c r="AX11">
        <v>52.01</v>
      </c>
      <c r="AY11">
        <v>76.790000000000006</v>
      </c>
      <c r="AZ11">
        <v>223.56</v>
      </c>
      <c r="BA11">
        <v>134.22999999999999</v>
      </c>
      <c r="BB11">
        <v>133.27000000000001</v>
      </c>
      <c r="BC11">
        <v>56.4</v>
      </c>
      <c r="BD11">
        <v>94.918800000000005</v>
      </c>
      <c r="BE11">
        <v>291.95999999999998</v>
      </c>
      <c r="BF11">
        <v>322.51</v>
      </c>
      <c r="BG11">
        <v>47.24</v>
      </c>
      <c r="BH11">
        <v>91.5</v>
      </c>
      <c r="BI11">
        <v>189.71</v>
      </c>
      <c r="BJ11">
        <v>78.06</v>
      </c>
      <c r="BK11">
        <v>50.61</v>
      </c>
      <c r="BL11">
        <v>100.91</v>
      </c>
      <c r="BM11">
        <v>67.5</v>
      </c>
      <c r="BN11">
        <v>47.61</v>
      </c>
      <c r="BO11">
        <v>54.37</v>
      </c>
      <c r="BP11">
        <v>165.78</v>
      </c>
      <c r="BQ11">
        <v>145.46</v>
      </c>
      <c r="BR11">
        <v>82.37</v>
      </c>
      <c r="BS11">
        <v>41.7</v>
      </c>
      <c r="BT11">
        <v>43.61</v>
      </c>
      <c r="BU11">
        <v>156.96</v>
      </c>
    </row>
    <row r="12" spans="1:73" x14ac:dyDescent="0.25">
      <c r="A12" s="1">
        <v>46038</v>
      </c>
      <c r="B12">
        <v>100.05</v>
      </c>
      <c r="C12">
        <v>29.58</v>
      </c>
      <c r="D12">
        <v>74.2</v>
      </c>
      <c r="E12">
        <v>48.54</v>
      </c>
      <c r="F12">
        <v>22.34</v>
      </c>
      <c r="G12">
        <v>57.85</v>
      </c>
      <c r="H12">
        <v>98.08</v>
      </c>
      <c r="I12">
        <v>93.89</v>
      </c>
      <c r="J12">
        <v>96.21</v>
      </c>
      <c r="K12">
        <v>27.53</v>
      </c>
      <c r="L12">
        <v>26.47</v>
      </c>
      <c r="M12">
        <v>74.760000000000005</v>
      </c>
      <c r="N12">
        <v>89.9</v>
      </c>
      <c r="O12">
        <v>77.62</v>
      </c>
      <c r="P12">
        <v>28.16</v>
      </c>
      <c r="Q12">
        <v>52.03</v>
      </c>
      <c r="R12">
        <v>226.28</v>
      </c>
      <c r="S12">
        <v>56.33</v>
      </c>
      <c r="T12">
        <v>81.09</v>
      </c>
      <c r="U12">
        <v>37.04</v>
      </c>
      <c r="V12">
        <v>50.23</v>
      </c>
      <c r="W12">
        <v>103.52</v>
      </c>
      <c r="X12">
        <v>110.09</v>
      </c>
      <c r="Y12">
        <v>50.86</v>
      </c>
      <c r="Z12">
        <v>41.51</v>
      </c>
      <c r="AA12">
        <v>50.55</v>
      </c>
      <c r="AB12">
        <v>129.84</v>
      </c>
      <c r="AC12">
        <v>65.47</v>
      </c>
      <c r="AD12">
        <v>156.38</v>
      </c>
      <c r="AE12">
        <v>69.33</v>
      </c>
      <c r="AF12">
        <v>98.31</v>
      </c>
      <c r="AG12">
        <v>199.89</v>
      </c>
      <c r="AH12">
        <v>97.82</v>
      </c>
      <c r="AI12">
        <v>95.57</v>
      </c>
      <c r="AJ12">
        <v>107.61</v>
      </c>
      <c r="AK12">
        <v>31.78</v>
      </c>
      <c r="AL12">
        <v>19.47</v>
      </c>
      <c r="AM12">
        <v>31.86</v>
      </c>
      <c r="AN12">
        <v>23.41</v>
      </c>
      <c r="AO12">
        <v>26.6</v>
      </c>
      <c r="AP12">
        <v>25.8</v>
      </c>
      <c r="AQ12">
        <v>29.42</v>
      </c>
      <c r="AR12">
        <v>23.81</v>
      </c>
      <c r="AS12">
        <v>22.78</v>
      </c>
      <c r="AT12">
        <v>22.52</v>
      </c>
      <c r="AU12">
        <v>26.6</v>
      </c>
      <c r="AV12">
        <v>45.93</v>
      </c>
      <c r="AW12">
        <v>37.61</v>
      </c>
      <c r="AX12">
        <v>51.9</v>
      </c>
      <c r="AY12">
        <v>76.510000000000005</v>
      </c>
      <c r="AZ12">
        <v>223.36</v>
      </c>
      <c r="BA12">
        <v>134.62</v>
      </c>
      <c r="BB12">
        <v>133.38</v>
      </c>
      <c r="BC12">
        <v>56.07</v>
      </c>
      <c r="BD12">
        <v>94.868799999999993</v>
      </c>
      <c r="BE12">
        <v>289.70999999999998</v>
      </c>
      <c r="BF12">
        <v>324.45</v>
      </c>
      <c r="BG12">
        <v>47.18</v>
      </c>
      <c r="BH12">
        <v>92.62</v>
      </c>
      <c r="BI12">
        <v>188.76</v>
      </c>
      <c r="BJ12">
        <v>77.91</v>
      </c>
      <c r="BK12">
        <v>50.6</v>
      </c>
      <c r="BL12">
        <v>100.9</v>
      </c>
      <c r="BM12">
        <v>67.41</v>
      </c>
      <c r="BN12">
        <v>47.69</v>
      </c>
      <c r="BO12">
        <v>54.44</v>
      </c>
      <c r="BP12">
        <v>166.9</v>
      </c>
      <c r="BQ12">
        <v>145.62</v>
      </c>
      <c r="BR12">
        <v>82.11</v>
      </c>
      <c r="BS12">
        <v>42.21</v>
      </c>
      <c r="BT12">
        <v>43.39</v>
      </c>
      <c r="BU12">
        <v>155.74</v>
      </c>
    </row>
    <row r="13" spans="1:73" x14ac:dyDescent="0.25">
      <c r="A13" s="1">
        <v>46042</v>
      </c>
      <c r="B13">
        <v>99.67</v>
      </c>
      <c r="C13">
        <v>29.49</v>
      </c>
      <c r="D13">
        <v>73.930000000000007</v>
      </c>
      <c r="E13">
        <v>48.39</v>
      </c>
      <c r="F13">
        <v>22.33</v>
      </c>
      <c r="G13">
        <v>57.6</v>
      </c>
      <c r="H13">
        <v>97.63</v>
      </c>
      <c r="I13">
        <v>93.11</v>
      </c>
      <c r="J13">
        <v>95.73</v>
      </c>
      <c r="K13">
        <v>27.45</v>
      </c>
      <c r="L13">
        <v>26.4</v>
      </c>
      <c r="M13">
        <v>74.63</v>
      </c>
      <c r="N13">
        <v>88.15</v>
      </c>
      <c r="O13">
        <v>76.02</v>
      </c>
      <c r="P13">
        <v>27.65</v>
      </c>
      <c r="Q13">
        <v>52.15</v>
      </c>
      <c r="R13">
        <v>220.45</v>
      </c>
      <c r="S13">
        <v>55.72</v>
      </c>
      <c r="T13">
        <v>80.88</v>
      </c>
      <c r="U13">
        <v>36.97</v>
      </c>
      <c r="V13">
        <v>50.12</v>
      </c>
      <c r="W13">
        <v>102.81</v>
      </c>
      <c r="X13">
        <v>108.99</v>
      </c>
      <c r="Y13">
        <v>50.34</v>
      </c>
      <c r="Z13">
        <v>41.64</v>
      </c>
      <c r="AA13">
        <v>50.42</v>
      </c>
      <c r="AB13">
        <v>126.95</v>
      </c>
      <c r="AC13">
        <v>65.36</v>
      </c>
      <c r="AD13">
        <v>152.99</v>
      </c>
      <c r="AE13">
        <v>69.59</v>
      </c>
      <c r="AF13">
        <v>96.41</v>
      </c>
      <c r="AG13">
        <v>194.71</v>
      </c>
      <c r="AH13">
        <v>97.59</v>
      </c>
      <c r="AI13">
        <v>95.16</v>
      </c>
      <c r="AJ13">
        <v>107.23</v>
      </c>
      <c r="AK13">
        <v>31.61</v>
      </c>
      <c r="AL13">
        <v>19.38</v>
      </c>
      <c r="AM13">
        <v>31.49</v>
      </c>
      <c r="AN13">
        <v>23.33</v>
      </c>
      <c r="AO13">
        <v>26.54</v>
      </c>
      <c r="AP13">
        <v>25.71</v>
      </c>
      <c r="AQ13">
        <v>29.29</v>
      </c>
      <c r="AR13">
        <v>23.77</v>
      </c>
      <c r="AS13">
        <v>22.54</v>
      </c>
      <c r="AT13">
        <v>22.42</v>
      </c>
      <c r="AU13">
        <v>26.3</v>
      </c>
      <c r="AV13">
        <v>45.79</v>
      </c>
      <c r="AW13">
        <v>37.54</v>
      </c>
      <c r="AX13">
        <v>51.67</v>
      </c>
      <c r="AY13">
        <v>75.72</v>
      </c>
      <c r="AZ13">
        <v>223.74</v>
      </c>
      <c r="BA13">
        <v>134.19999999999999</v>
      </c>
      <c r="BB13">
        <v>130.43</v>
      </c>
      <c r="BC13">
        <v>55.42</v>
      </c>
      <c r="BD13">
        <v>92.336299999999994</v>
      </c>
      <c r="BE13">
        <v>289.36</v>
      </c>
      <c r="BF13">
        <v>317.81</v>
      </c>
      <c r="BG13">
        <v>47.02</v>
      </c>
      <c r="BH13">
        <v>90.9</v>
      </c>
      <c r="BI13">
        <v>186.71</v>
      </c>
      <c r="BJ13">
        <v>77.52</v>
      </c>
      <c r="BK13">
        <v>50.43</v>
      </c>
      <c r="BL13">
        <v>100.61</v>
      </c>
      <c r="BM13">
        <v>67.099999999999994</v>
      </c>
      <c r="BN13">
        <v>47.6</v>
      </c>
      <c r="BO13">
        <v>53.2</v>
      </c>
      <c r="BP13">
        <v>163.53</v>
      </c>
      <c r="BQ13">
        <v>141.84</v>
      </c>
      <c r="BR13">
        <v>82.36</v>
      </c>
      <c r="BS13">
        <v>41.4</v>
      </c>
      <c r="BT13">
        <v>42.96</v>
      </c>
      <c r="BU13">
        <v>155.4</v>
      </c>
    </row>
    <row r="14" spans="1:73" x14ac:dyDescent="0.25">
      <c r="A14" s="1">
        <v>46043</v>
      </c>
      <c r="B14">
        <v>100</v>
      </c>
      <c r="C14">
        <v>29.61</v>
      </c>
      <c r="D14">
        <v>74.14</v>
      </c>
      <c r="E14">
        <v>48.43</v>
      </c>
      <c r="F14">
        <v>22.32</v>
      </c>
      <c r="G14">
        <v>57.76</v>
      </c>
      <c r="H14">
        <v>98.07</v>
      </c>
      <c r="I14">
        <v>93.84</v>
      </c>
      <c r="J14">
        <v>96.5</v>
      </c>
      <c r="K14">
        <v>27.57</v>
      </c>
      <c r="L14">
        <v>27.07</v>
      </c>
      <c r="M14">
        <v>75.95</v>
      </c>
      <c r="N14">
        <v>89.56</v>
      </c>
      <c r="O14">
        <v>76.489999999999995</v>
      </c>
      <c r="P14">
        <v>27.76</v>
      </c>
      <c r="Q14">
        <v>52.32</v>
      </c>
      <c r="R14">
        <v>223.26</v>
      </c>
      <c r="S14">
        <v>55.87</v>
      </c>
      <c r="T14">
        <v>81.12</v>
      </c>
      <c r="U14">
        <v>37.07</v>
      </c>
      <c r="V14">
        <v>50.17</v>
      </c>
      <c r="W14">
        <v>103.55</v>
      </c>
      <c r="X14">
        <v>109.45</v>
      </c>
      <c r="Y14">
        <v>50.81</v>
      </c>
      <c r="Z14">
        <v>41.63</v>
      </c>
      <c r="AA14">
        <v>51.63</v>
      </c>
      <c r="AB14">
        <v>127.82</v>
      </c>
      <c r="AC14">
        <v>66.53</v>
      </c>
      <c r="AD14">
        <v>155.33000000000001</v>
      </c>
      <c r="AE14">
        <v>69.650000000000006</v>
      </c>
      <c r="AF14">
        <v>96.65</v>
      </c>
      <c r="AG14">
        <v>197.17</v>
      </c>
      <c r="AH14">
        <v>97.86</v>
      </c>
      <c r="AI14">
        <v>95.45</v>
      </c>
      <c r="AJ14">
        <v>107.5</v>
      </c>
      <c r="AK14">
        <v>31.85</v>
      </c>
      <c r="AL14">
        <v>19.53</v>
      </c>
      <c r="AM14">
        <v>31.7</v>
      </c>
      <c r="AN14">
        <v>23.39</v>
      </c>
      <c r="AO14">
        <v>26.61</v>
      </c>
      <c r="AP14">
        <v>25.77</v>
      </c>
      <c r="AQ14">
        <v>29.42</v>
      </c>
      <c r="AR14">
        <v>23.83</v>
      </c>
      <c r="AS14">
        <v>22.75</v>
      </c>
      <c r="AT14">
        <v>22.48</v>
      </c>
      <c r="AU14">
        <v>26.48</v>
      </c>
      <c r="AV14">
        <v>45.9</v>
      </c>
      <c r="AW14">
        <v>37.64</v>
      </c>
      <c r="AX14">
        <v>51.9</v>
      </c>
      <c r="AY14">
        <v>76.42</v>
      </c>
      <c r="AZ14">
        <v>224.58</v>
      </c>
      <c r="BA14">
        <v>137.68</v>
      </c>
      <c r="BB14">
        <v>131.38999999999999</v>
      </c>
      <c r="BC14">
        <v>55.8</v>
      </c>
      <c r="BD14">
        <v>93.575000000000003</v>
      </c>
      <c r="BE14">
        <v>294.37</v>
      </c>
      <c r="BF14">
        <v>323.33999999999997</v>
      </c>
      <c r="BG14">
        <v>47.17</v>
      </c>
      <c r="BH14">
        <v>91.26</v>
      </c>
      <c r="BI14">
        <v>187.21</v>
      </c>
      <c r="BJ14">
        <v>77.849999999999994</v>
      </c>
      <c r="BK14">
        <v>50.51</v>
      </c>
      <c r="BL14">
        <v>100.7</v>
      </c>
      <c r="BM14">
        <v>67.55</v>
      </c>
      <c r="BN14">
        <v>48.75</v>
      </c>
      <c r="BO14">
        <v>53.46</v>
      </c>
      <c r="BP14">
        <v>166.36</v>
      </c>
      <c r="BQ14">
        <v>143.81</v>
      </c>
      <c r="BR14">
        <v>82.44</v>
      </c>
      <c r="BS14">
        <v>41.55</v>
      </c>
      <c r="BT14">
        <v>43.02</v>
      </c>
      <c r="BU14">
        <v>158.26</v>
      </c>
    </row>
    <row r="15" spans="1:73" x14ac:dyDescent="0.25">
      <c r="A15" s="1">
        <v>46044</v>
      </c>
      <c r="B15">
        <v>100.02</v>
      </c>
      <c r="C15">
        <v>29.62</v>
      </c>
      <c r="D15">
        <v>74.17</v>
      </c>
      <c r="E15">
        <v>48.47</v>
      </c>
      <c r="F15">
        <v>22.46</v>
      </c>
      <c r="G15">
        <v>57.74</v>
      </c>
      <c r="H15">
        <v>98.2</v>
      </c>
      <c r="I15">
        <v>94.22</v>
      </c>
      <c r="J15">
        <v>96.48</v>
      </c>
      <c r="K15">
        <v>27.57</v>
      </c>
      <c r="L15">
        <v>27.12</v>
      </c>
      <c r="M15">
        <v>76.08</v>
      </c>
      <c r="N15">
        <v>89.35</v>
      </c>
      <c r="O15">
        <v>77.03</v>
      </c>
      <c r="P15">
        <v>27.48</v>
      </c>
      <c r="Q15">
        <v>52.24</v>
      </c>
      <c r="R15">
        <v>224.92</v>
      </c>
      <c r="S15">
        <v>55.5</v>
      </c>
      <c r="T15">
        <v>81.180000000000007</v>
      </c>
      <c r="U15">
        <v>37.08</v>
      </c>
      <c r="V15">
        <v>50.19</v>
      </c>
      <c r="W15">
        <v>103.93</v>
      </c>
      <c r="X15">
        <v>108.88</v>
      </c>
      <c r="Y15">
        <v>50.96</v>
      </c>
      <c r="Z15">
        <v>41.86</v>
      </c>
      <c r="AA15">
        <v>51.77</v>
      </c>
      <c r="AB15">
        <v>128.41</v>
      </c>
      <c r="AC15">
        <v>66.59</v>
      </c>
      <c r="AD15">
        <v>155.44</v>
      </c>
      <c r="AE15">
        <v>69.84</v>
      </c>
      <c r="AF15">
        <v>95.76</v>
      </c>
      <c r="AG15">
        <v>198.93</v>
      </c>
      <c r="AH15">
        <v>97.92</v>
      </c>
      <c r="AI15">
        <v>95.36</v>
      </c>
      <c r="AJ15">
        <v>107.49</v>
      </c>
      <c r="AK15">
        <v>31.94</v>
      </c>
      <c r="AL15">
        <v>19.600000000000001</v>
      </c>
      <c r="AM15">
        <v>31.82</v>
      </c>
      <c r="AN15">
        <v>23.4</v>
      </c>
      <c r="AO15">
        <v>26.61</v>
      </c>
      <c r="AP15">
        <v>25.79</v>
      </c>
      <c r="AQ15">
        <v>29.47</v>
      </c>
      <c r="AR15">
        <v>23.84</v>
      </c>
      <c r="AS15">
        <v>22.84</v>
      </c>
      <c r="AT15">
        <v>22.48</v>
      </c>
      <c r="AU15">
        <v>26.56</v>
      </c>
      <c r="AV15">
        <v>45.86</v>
      </c>
      <c r="AW15">
        <v>37.64</v>
      </c>
      <c r="AX15">
        <v>51.97</v>
      </c>
      <c r="AY15">
        <v>76.680000000000007</v>
      </c>
      <c r="AZ15">
        <v>224.2</v>
      </c>
      <c r="BA15">
        <v>137.97999999999999</v>
      </c>
      <c r="BB15">
        <v>132.18</v>
      </c>
      <c r="BC15">
        <v>56</v>
      </c>
      <c r="BD15">
        <v>94.281300000000002</v>
      </c>
      <c r="BE15">
        <v>294.94</v>
      </c>
      <c r="BF15">
        <v>322.64999999999998</v>
      </c>
      <c r="BG15">
        <v>47.16</v>
      </c>
      <c r="BH15">
        <v>90.36</v>
      </c>
      <c r="BI15">
        <v>186.01</v>
      </c>
      <c r="BJ15">
        <v>77.98</v>
      </c>
      <c r="BK15">
        <v>50.48</v>
      </c>
      <c r="BL15">
        <v>100.64</v>
      </c>
      <c r="BM15">
        <v>67.569999999999993</v>
      </c>
      <c r="BN15">
        <v>48.91</v>
      </c>
      <c r="BO15">
        <v>53.81</v>
      </c>
      <c r="BP15">
        <v>165.5</v>
      </c>
      <c r="BQ15">
        <v>144.88</v>
      </c>
      <c r="BR15">
        <v>82.27</v>
      </c>
      <c r="BS15">
        <v>41.14</v>
      </c>
      <c r="BT15">
        <v>42.71</v>
      </c>
      <c r="BU15">
        <v>158.29</v>
      </c>
    </row>
    <row r="16" spans="1:73" x14ac:dyDescent="0.25">
      <c r="A16" s="1">
        <v>46045</v>
      </c>
      <c r="B16">
        <v>100.11</v>
      </c>
      <c r="C16">
        <v>29.59</v>
      </c>
      <c r="D16">
        <v>74.25</v>
      </c>
      <c r="E16">
        <v>48.45</v>
      </c>
      <c r="F16">
        <v>22.64</v>
      </c>
      <c r="G16">
        <v>57.74</v>
      </c>
      <c r="H16">
        <v>98.25</v>
      </c>
      <c r="I16">
        <v>93.89</v>
      </c>
      <c r="J16">
        <v>96.72</v>
      </c>
      <c r="K16">
        <v>27.54</v>
      </c>
      <c r="L16">
        <v>27.25</v>
      </c>
      <c r="M16">
        <v>75.540000000000006</v>
      </c>
      <c r="N16">
        <v>88.54</v>
      </c>
      <c r="O16">
        <v>75.87</v>
      </c>
      <c r="P16">
        <v>27.52</v>
      </c>
      <c r="Q16">
        <v>52.56</v>
      </c>
      <c r="R16">
        <v>225.19</v>
      </c>
      <c r="S16">
        <v>55.25</v>
      </c>
      <c r="T16">
        <v>81.14</v>
      </c>
      <c r="U16">
        <v>37.07</v>
      </c>
      <c r="V16">
        <v>50.16</v>
      </c>
      <c r="W16">
        <v>103.78</v>
      </c>
      <c r="X16">
        <v>108.5</v>
      </c>
      <c r="Y16">
        <v>51.01</v>
      </c>
      <c r="Z16">
        <v>42.14</v>
      </c>
      <c r="AA16">
        <v>52.06</v>
      </c>
      <c r="AB16">
        <v>126.73</v>
      </c>
      <c r="AC16">
        <v>66.17</v>
      </c>
      <c r="AD16">
        <v>153.94</v>
      </c>
      <c r="AE16">
        <v>70.400000000000006</v>
      </c>
      <c r="AF16">
        <v>96.04</v>
      </c>
      <c r="AG16">
        <v>199.72</v>
      </c>
      <c r="AH16">
        <v>97.87</v>
      </c>
      <c r="AI16">
        <v>95.55</v>
      </c>
      <c r="AJ16">
        <v>107.61</v>
      </c>
      <c r="AK16">
        <v>31.91</v>
      </c>
      <c r="AL16">
        <v>19.57</v>
      </c>
      <c r="AM16">
        <v>31.89</v>
      </c>
      <c r="AN16">
        <v>23.43</v>
      </c>
      <c r="AO16">
        <v>26.6</v>
      </c>
      <c r="AP16">
        <v>25.81</v>
      </c>
      <c r="AQ16">
        <v>29.49</v>
      </c>
      <c r="AR16">
        <v>23.82</v>
      </c>
      <c r="AS16">
        <v>22.86</v>
      </c>
      <c r="AT16">
        <v>22.5</v>
      </c>
      <c r="AU16">
        <v>26.62</v>
      </c>
      <c r="AV16">
        <v>45.9</v>
      </c>
      <c r="AW16">
        <v>37.630000000000003</v>
      </c>
      <c r="AX16">
        <v>52</v>
      </c>
      <c r="AY16">
        <v>76.75</v>
      </c>
      <c r="AZ16">
        <v>225.56</v>
      </c>
      <c r="BA16">
        <v>138.69</v>
      </c>
      <c r="BB16">
        <v>130.21</v>
      </c>
      <c r="BC16">
        <v>56.11</v>
      </c>
      <c r="BD16">
        <v>94.373800000000003</v>
      </c>
      <c r="BE16">
        <v>292.73</v>
      </c>
      <c r="BF16">
        <v>319.86</v>
      </c>
      <c r="BG16">
        <v>47.18</v>
      </c>
      <c r="BH16">
        <v>90.54</v>
      </c>
      <c r="BI16">
        <v>185.14</v>
      </c>
      <c r="BJ16">
        <v>78.03</v>
      </c>
      <c r="BK16">
        <v>50.52</v>
      </c>
      <c r="BL16">
        <v>100.66</v>
      </c>
      <c r="BM16">
        <v>67.72</v>
      </c>
      <c r="BN16">
        <v>49.19</v>
      </c>
      <c r="BO16">
        <v>53.07</v>
      </c>
      <c r="BP16">
        <v>164.22</v>
      </c>
      <c r="BQ16">
        <v>145.09</v>
      </c>
      <c r="BR16">
        <v>82.91</v>
      </c>
      <c r="BS16">
        <v>41.25</v>
      </c>
      <c r="BT16">
        <v>42.56</v>
      </c>
      <c r="BU16">
        <v>157.47999999999999</v>
      </c>
    </row>
    <row r="17" spans="1:73" x14ac:dyDescent="0.25">
      <c r="A17" s="1">
        <v>46048</v>
      </c>
      <c r="B17">
        <v>100.26</v>
      </c>
      <c r="C17">
        <v>29.6</v>
      </c>
      <c r="D17">
        <v>74.34</v>
      </c>
      <c r="E17">
        <v>48.53</v>
      </c>
      <c r="F17">
        <v>22.81</v>
      </c>
      <c r="G17">
        <v>57.79</v>
      </c>
      <c r="H17">
        <v>98.34</v>
      </c>
      <c r="I17">
        <v>93.7</v>
      </c>
      <c r="J17">
        <v>96.82</v>
      </c>
      <c r="K17">
        <v>27.55</v>
      </c>
      <c r="L17">
        <v>27.27</v>
      </c>
      <c r="M17">
        <v>75.83</v>
      </c>
      <c r="N17">
        <v>88.59</v>
      </c>
      <c r="O17">
        <v>76.3</v>
      </c>
      <c r="P17">
        <v>27.48</v>
      </c>
      <c r="Q17">
        <v>52.49</v>
      </c>
      <c r="R17">
        <v>226.82</v>
      </c>
      <c r="S17">
        <v>55.61</v>
      </c>
      <c r="T17">
        <v>81.180000000000007</v>
      </c>
      <c r="U17">
        <v>37.090000000000003</v>
      </c>
      <c r="V17">
        <v>50.23</v>
      </c>
      <c r="W17">
        <v>103.64</v>
      </c>
      <c r="X17">
        <v>109.26</v>
      </c>
      <c r="Y17">
        <v>51.08</v>
      </c>
      <c r="Z17">
        <v>42.41</v>
      </c>
      <c r="AA17">
        <v>52.09</v>
      </c>
      <c r="AB17">
        <v>127.49</v>
      </c>
      <c r="AC17">
        <v>66.38</v>
      </c>
      <c r="AD17">
        <v>154.13999999999999</v>
      </c>
      <c r="AE17">
        <v>70.56</v>
      </c>
      <c r="AF17">
        <v>95.94</v>
      </c>
      <c r="AG17">
        <v>201.24</v>
      </c>
      <c r="AH17">
        <v>97.92</v>
      </c>
      <c r="AI17">
        <v>95.75</v>
      </c>
      <c r="AJ17">
        <v>107.66</v>
      </c>
      <c r="AK17">
        <v>31.88</v>
      </c>
      <c r="AL17">
        <v>19.579999999999998</v>
      </c>
      <c r="AM17">
        <v>32.020000000000003</v>
      </c>
      <c r="AN17">
        <v>23.46</v>
      </c>
      <c r="AO17">
        <v>26.62</v>
      </c>
      <c r="AP17">
        <v>25.84</v>
      </c>
      <c r="AQ17">
        <v>29.51</v>
      </c>
      <c r="AR17">
        <v>23.84</v>
      </c>
      <c r="AS17">
        <v>22.89</v>
      </c>
      <c r="AT17">
        <v>22.54</v>
      </c>
      <c r="AU17">
        <v>26.74</v>
      </c>
      <c r="AV17">
        <v>45.9</v>
      </c>
      <c r="AW17">
        <v>37.67</v>
      </c>
      <c r="AX17">
        <v>52.05</v>
      </c>
      <c r="AY17">
        <v>76.84</v>
      </c>
      <c r="AZ17">
        <v>225.25</v>
      </c>
      <c r="BA17">
        <v>138.69</v>
      </c>
      <c r="BB17">
        <v>131</v>
      </c>
      <c r="BC17">
        <v>56.36</v>
      </c>
      <c r="BD17">
        <v>95.053700000000006</v>
      </c>
      <c r="BE17">
        <v>293.87</v>
      </c>
      <c r="BF17">
        <v>319.73</v>
      </c>
      <c r="BG17">
        <v>47.28</v>
      </c>
      <c r="BH17">
        <v>90.42</v>
      </c>
      <c r="BI17">
        <v>186.35</v>
      </c>
      <c r="BJ17">
        <v>78.09</v>
      </c>
      <c r="BK17">
        <v>50.54</v>
      </c>
      <c r="BL17">
        <v>100.75</v>
      </c>
      <c r="BM17">
        <v>67.77</v>
      </c>
      <c r="BN17">
        <v>49.22</v>
      </c>
      <c r="BO17">
        <v>53.41</v>
      </c>
      <c r="BP17">
        <v>164.38</v>
      </c>
      <c r="BQ17">
        <v>146.08000000000001</v>
      </c>
      <c r="BR17">
        <v>82.78</v>
      </c>
      <c r="BS17">
        <v>41.22</v>
      </c>
      <c r="BT17">
        <v>42.87</v>
      </c>
      <c r="BU17">
        <v>158.1</v>
      </c>
    </row>
    <row r="18" spans="1:73" x14ac:dyDescent="0.25">
      <c r="A18" s="1">
        <v>46049</v>
      </c>
      <c r="B18">
        <v>100.19</v>
      </c>
      <c r="C18">
        <v>29.61</v>
      </c>
      <c r="D18">
        <v>74.28</v>
      </c>
      <c r="E18">
        <v>48.52</v>
      </c>
      <c r="F18">
        <v>23.04</v>
      </c>
      <c r="G18">
        <v>57.78</v>
      </c>
      <c r="H18">
        <v>98.28</v>
      </c>
      <c r="I18">
        <v>94.91</v>
      </c>
      <c r="J18">
        <v>96.78</v>
      </c>
      <c r="K18">
        <v>27.59</v>
      </c>
      <c r="L18">
        <v>27.55</v>
      </c>
      <c r="M18">
        <v>74.7</v>
      </c>
      <c r="N18">
        <v>88.91</v>
      </c>
      <c r="O18">
        <v>75.78</v>
      </c>
      <c r="P18">
        <v>27.48</v>
      </c>
      <c r="Q18">
        <v>52.66</v>
      </c>
      <c r="R18">
        <v>229.61</v>
      </c>
      <c r="S18">
        <v>56.32</v>
      </c>
      <c r="T18">
        <v>81.17</v>
      </c>
      <c r="U18">
        <v>37.08</v>
      </c>
      <c r="V18">
        <v>50.22</v>
      </c>
      <c r="W18">
        <v>105</v>
      </c>
      <c r="X18">
        <v>110.5</v>
      </c>
      <c r="Y18">
        <v>50.93</v>
      </c>
      <c r="Z18">
        <v>42.91</v>
      </c>
      <c r="AA18">
        <v>52.57</v>
      </c>
      <c r="AB18">
        <v>126.82</v>
      </c>
      <c r="AC18">
        <v>65.42</v>
      </c>
      <c r="AD18">
        <v>154.16</v>
      </c>
      <c r="AE18">
        <v>70.78</v>
      </c>
      <c r="AF18">
        <v>96.03</v>
      </c>
      <c r="AG18">
        <v>203.7</v>
      </c>
      <c r="AH18">
        <v>97.91</v>
      </c>
      <c r="AI18">
        <v>95.74</v>
      </c>
      <c r="AJ18">
        <v>107.73</v>
      </c>
      <c r="AK18">
        <v>31.84</v>
      </c>
      <c r="AL18">
        <v>19.559999999999999</v>
      </c>
      <c r="AM18">
        <v>31.85</v>
      </c>
      <c r="AN18">
        <v>23.44</v>
      </c>
      <c r="AO18">
        <v>26.63</v>
      </c>
      <c r="AP18">
        <v>25.82</v>
      </c>
      <c r="AQ18">
        <v>29.49</v>
      </c>
      <c r="AR18">
        <v>23.85</v>
      </c>
      <c r="AS18">
        <v>22.81</v>
      </c>
      <c r="AT18">
        <v>22.55</v>
      </c>
      <c r="AU18">
        <v>26.59</v>
      </c>
      <c r="AV18">
        <v>45.95</v>
      </c>
      <c r="AW18">
        <v>37.68</v>
      </c>
      <c r="AX18">
        <v>52</v>
      </c>
      <c r="AY18">
        <v>76.61</v>
      </c>
      <c r="AZ18">
        <v>226.05</v>
      </c>
      <c r="BA18">
        <v>140.15</v>
      </c>
      <c r="BB18">
        <v>130.13</v>
      </c>
      <c r="BC18">
        <v>56.07</v>
      </c>
      <c r="BD18">
        <v>96.237499999999997</v>
      </c>
      <c r="BE18">
        <v>289.51</v>
      </c>
      <c r="BF18">
        <v>321.11</v>
      </c>
      <c r="BG18">
        <v>47.27</v>
      </c>
      <c r="BH18">
        <v>90.39</v>
      </c>
      <c r="BI18">
        <v>188.64</v>
      </c>
      <c r="BJ18">
        <v>78.010000000000005</v>
      </c>
      <c r="BK18">
        <v>50.56</v>
      </c>
      <c r="BL18">
        <v>100.79</v>
      </c>
      <c r="BM18">
        <v>67.739999999999995</v>
      </c>
      <c r="BN18">
        <v>49.67</v>
      </c>
      <c r="BO18">
        <v>53</v>
      </c>
      <c r="BP18">
        <v>165.06</v>
      </c>
      <c r="BQ18">
        <v>148.05000000000001</v>
      </c>
      <c r="BR18">
        <v>83.16</v>
      </c>
      <c r="BS18">
        <v>41.25</v>
      </c>
      <c r="BT18">
        <v>43.43</v>
      </c>
      <c r="BU18">
        <v>155.44999999999999</v>
      </c>
    </row>
    <row r="19" spans="1:73" x14ac:dyDescent="0.25">
      <c r="A19" s="1">
        <v>46050</v>
      </c>
      <c r="B19">
        <v>100.15</v>
      </c>
      <c r="C19">
        <v>29.59</v>
      </c>
      <c r="D19">
        <v>74.25</v>
      </c>
      <c r="E19">
        <v>48.51</v>
      </c>
      <c r="F19">
        <v>22.99</v>
      </c>
      <c r="G19">
        <v>57.82</v>
      </c>
      <c r="H19">
        <v>98.16</v>
      </c>
      <c r="I19">
        <v>95.73</v>
      </c>
      <c r="J19">
        <v>96.66</v>
      </c>
      <c r="K19">
        <v>27.57</v>
      </c>
      <c r="L19">
        <v>27.72</v>
      </c>
      <c r="M19">
        <v>74.040000000000006</v>
      </c>
      <c r="N19">
        <v>88.53</v>
      </c>
      <c r="O19">
        <v>75.69</v>
      </c>
      <c r="P19">
        <v>27.18</v>
      </c>
      <c r="Q19">
        <v>52.16</v>
      </c>
      <c r="R19">
        <v>231.23</v>
      </c>
      <c r="S19">
        <v>56.21</v>
      </c>
      <c r="T19">
        <v>81.040000000000006</v>
      </c>
      <c r="U19">
        <v>37.03</v>
      </c>
      <c r="V19">
        <v>50.27</v>
      </c>
      <c r="W19">
        <v>105.91</v>
      </c>
      <c r="X19">
        <v>110.31</v>
      </c>
      <c r="Y19">
        <v>50.84</v>
      </c>
      <c r="Z19">
        <v>42.73</v>
      </c>
      <c r="AA19">
        <v>52.98</v>
      </c>
      <c r="AB19">
        <v>126.73</v>
      </c>
      <c r="AC19">
        <v>64.87</v>
      </c>
      <c r="AD19">
        <v>153.47999999999999</v>
      </c>
      <c r="AE19">
        <v>70.319999999999993</v>
      </c>
      <c r="AF19">
        <v>95.08</v>
      </c>
      <c r="AG19">
        <v>204.72</v>
      </c>
      <c r="AH19">
        <v>97.75</v>
      </c>
      <c r="AI19">
        <v>95.69</v>
      </c>
      <c r="AJ19">
        <v>107.81</v>
      </c>
      <c r="AK19">
        <v>31.81</v>
      </c>
      <c r="AL19">
        <v>19.510000000000002</v>
      </c>
      <c r="AM19">
        <v>31.8</v>
      </c>
      <c r="AN19">
        <v>23.42</v>
      </c>
      <c r="AO19">
        <v>26.58</v>
      </c>
      <c r="AP19">
        <v>25.81</v>
      </c>
      <c r="AQ19">
        <v>29.46</v>
      </c>
      <c r="AR19">
        <v>23.81</v>
      </c>
      <c r="AS19">
        <v>22.77</v>
      </c>
      <c r="AT19">
        <v>22.56</v>
      </c>
      <c r="AU19">
        <v>26.54</v>
      </c>
      <c r="AV19">
        <v>45.96</v>
      </c>
      <c r="AW19">
        <v>37.619999999999997</v>
      </c>
      <c r="AX19">
        <v>51.97</v>
      </c>
      <c r="AY19">
        <v>76.459999999999994</v>
      </c>
      <c r="AZ19">
        <v>223.94</v>
      </c>
      <c r="BA19">
        <v>141.06</v>
      </c>
      <c r="BB19">
        <v>130</v>
      </c>
      <c r="BC19">
        <v>55.95</v>
      </c>
      <c r="BD19">
        <v>96.897499999999994</v>
      </c>
      <c r="BE19">
        <v>286.83999999999997</v>
      </c>
      <c r="BF19">
        <v>319.76</v>
      </c>
      <c r="BG19">
        <v>47.28</v>
      </c>
      <c r="BH19">
        <v>89.46</v>
      </c>
      <c r="BI19">
        <v>188.28</v>
      </c>
      <c r="BJ19">
        <v>77.92</v>
      </c>
      <c r="BK19">
        <v>50.57</v>
      </c>
      <c r="BL19">
        <v>100.86</v>
      </c>
      <c r="BM19">
        <v>67.67</v>
      </c>
      <c r="BN19">
        <v>50.05</v>
      </c>
      <c r="BO19">
        <v>52.99</v>
      </c>
      <c r="BP19">
        <v>164.14</v>
      </c>
      <c r="BQ19">
        <v>149.22999999999999</v>
      </c>
      <c r="BR19">
        <v>82.32</v>
      </c>
      <c r="BS19">
        <v>40.85</v>
      </c>
      <c r="BT19">
        <v>43.33</v>
      </c>
      <c r="BU19">
        <v>154.31</v>
      </c>
    </row>
    <row r="20" spans="1:73" x14ac:dyDescent="0.25">
      <c r="A20" s="1">
        <v>46051</v>
      </c>
      <c r="B20">
        <v>100.15</v>
      </c>
      <c r="C20">
        <v>29.58</v>
      </c>
      <c r="D20">
        <v>74.260000000000005</v>
      </c>
      <c r="E20">
        <v>48.67</v>
      </c>
      <c r="F20">
        <v>22.99</v>
      </c>
      <c r="G20">
        <v>57.83</v>
      </c>
      <c r="H20">
        <v>98.27</v>
      </c>
      <c r="I20">
        <v>94.82</v>
      </c>
      <c r="J20">
        <v>96.67</v>
      </c>
      <c r="K20">
        <v>27.58</v>
      </c>
      <c r="L20">
        <v>28.03</v>
      </c>
      <c r="M20">
        <v>73.84</v>
      </c>
      <c r="N20">
        <v>89.2</v>
      </c>
      <c r="O20">
        <v>76.47</v>
      </c>
      <c r="P20">
        <v>27.56</v>
      </c>
      <c r="Q20">
        <v>52.18</v>
      </c>
      <c r="R20">
        <v>226.94</v>
      </c>
      <c r="S20">
        <v>56.22</v>
      </c>
      <c r="T20">
        <v>81.03</v>
      </c>
      <c r="U20">
        <v>37.020000000000003</v>
      </c>
      <c r="V20">
        <v>50.32</v>
      </c>
      <c r="W20">
        <v>105.08</v>
      </c>
      <c r="X20">
        <v>110</v>
      </c>
      <c r="Y20">
        <v>50.82</v>
      </c>
      <c r="Z20">
        <v>42.84</v>
      </c>
      <c r="AA20">
        <v>53.46</v>
      </c>
      <c r="AB20">
        <v>127.72</v>
      </c>
      <c r="AC20">
        <v>64.680000000000007</v>
      </c>
      <c r="AD20">
        <v>154.87</v>
      </c>
      <c r="AE20">
        <v>70.3</v>
      </c>
      <c r="AF20">
        <v>96.27</v>
      </c>
      <c r="AG20">
        <v>201.89</v>
      </c>
      <c r="AH20">
        <v>97.76</v>
      </c>
      <c r="AI20">
        <v>95.79</v>
      </c>
      <c r="AJ20">
        <v>107.7</v>
      </c>
      <c r="AK20">
        <v>31.69</v>
      </c>
      <c r="AL20">
        <v>19.440000000000001</v>
      </c>
      <c r="AM20">
        <v>31.8</v>
      </c>
      <c r="AN20">
        <v>23.44</v>
      </c>
      <c r="AO20">
        <v>26.58</v>
      </c>
      <c r="AP20">
        <v>25.82</v>
      </c>
      <c r="AQ20">
        <v>29.47</v>
      </c>
      <c r="AR20">
        <v>23.79</v>
      </c>
      <c r="AS20">
        <v>22.75</v>
      </c>
      <c r="AT20">
        <v>22.57</v>
      </c>
      <c r="AU20">
        <v>26.55</v>
      </c>
      <c r="AV20">
        <v>45.95</v>
      </c>
      <c r="AW20">
        <v>37.61</v>
      </c>
      <c r="AX20">
        <v>51.98</v>
      </c>
      <c r="AY20">
        <v>76.42</v>
      </c>
      <c r="AZ20">
        <v>223.86</v>
      </c>
      <c r="BA20">
        <v>142.63999999999999</v>
      </c>
      <c r="BB20">
        <v>131.31</v>
      </c>
      <c r="BC20">
        <v>55.97</v>
      </c>
      <c r="BD20">
        <v>95.1</v>
      </c>
      <c r="BE20">
        <v>286.08</v>
      </c>
      <c r="BF20">
        <v>322.08999999999997</v>
      </c>
      <c r="BG20">
        <v>47.29</v>
      </c>
      <c r="BH20">
        <v>90.71</v>
      </c>
      <c r="BI20">
        <v>188.34</v>
      </c>
      <c r="BJ20">
        <v>77.959999999999994</v>
      </c>
      <c r="BK20">
        <v>50.52</v>
      </c>
      <c r="BL20">
        <v>100.85</v>
      </c>
      <c r="BM20">
        <v>67.73</v>
      </c>
      <c r="BN20">
        <v>50.51</v>
      </c>
      <c r="BO20">
        <v>53.55</v>
      </c>
      <c r="BP20">
        <v>165.86</v>
      </c>
      <c r="BQ20">
        <v>146.87</v>
      </c>
      <c r="BR20">
        <v>82.13</v>
      </c>
      <c r="BS20">
        <v>41.37</v>
      </c>
      <c r="BT20">
        <v>43.33</v>
      </c>
      <c r="BU20">
        <v>153.82</v>
      </c>
    </row>
    <row r="21" spans="1:73" x14ac:dyDescent="0.25">
      <c r="A21" s="1">
        <v>46052</v>
      </c>
      <c r="B21">
        <v>100.13</v>
      </c>
      <c r="C21">
        <v>29.59</v>
      </c>
      <c r="D21">
        <v>74.23</v>
      </c>
      <c r="E21">
        <v>48.57</v>
      </c>
      <c r="F21">
        <v>22.84</v>
      </c>
      <c r="G21">
        <v>57.9</v>
      </c>
      <c r="H21">
        <v>98.2</v>
      </c>
      <c r="I21">
        <v>93.4</v>
      </c>
      <c r="J21">
        <v>96.58</v>
      </c>
      <c r="K21">
        <v>27.57</v>
      </c>
      <c r="L21">
        <v>28.28</v>
      </c>
      <c r="M21">
        <v>74.13</v>
      </c>
      <c r="N21">
        <v>88.85</v>
      </c>
      <c r="O21">
        <v>76.22</v>
      </c>
      <c r="P21">
        <v>27.59</v>
      </c>
      <c r="Q21">
        <v>52.86</v>
      </c>
      <c r="R21">
        <v>222.96</v>
      </c>
      <c r="S21">
        <v>56.07</v>
      </c>
      <c r="T21">
        <v>81.12</v>
      </c>
      <c r="U21">
        <v>37.049999999999997</v>
      </c>
      <c r="V21">
        <v>50.3</v>
      </c>
      <c r="W21">
        <v>103.52</v>
      </c>
      <c r="X21">
        <v>109.81</v>
      </c>
      <c r="Y21">
        <v>50.68</v>
      </c>
      <c r="Z21">
        <v>42.41</v>
      </c>
      <c r="AA21">
        <v>53.97</v>
      </c>
      <c r="AB21">
        <v>127.7</v>
      </c>
      <c r="AC21">
        <v>64.97</v>
      </c>
      <c r="AD21">
        <v>153.88999999999999</v>
      </c>
      <c r="AE21">
        <v>71.47</v>
      </c>
      <c r="AF21">
        <v>96.21</v>
      </c>
      <c r="AG21">
        <v>198.37</v>
      </c>
      <c r="AH21">
        <v>97.82</v>
      </c>
      <c r="AI21">
        <v>95.69</v>
      </c>
      <c r="AJ21">
        <v>107.85</v>
      </c>
      <c r="AK21">
        <v>31.69</v>
      </c>
      <c r="AL21">
        <v>19.420000000000002</v>
      </c>
      <c r="AM21">
        <v>31.67</v>
      </c>
      <c r="AN21">
        <v>23.45</v>
      </c>
      <c r="AO21">
        <v>26.62</v>
      </c>
      <c r="AP21">
        <v>25.82</v>
      </c>
      <c r="AQ21">
        <v>29.45</v>
      </c>
      <c r="AR21">
        <v>23.82</v>
      </c>
      <c r="AS21">
        <v>22.7</v>
      </c>
      <c r="AT21">
        <v>22.5</v>
      </c>
      <c r="AU21">
        <v>26.44</v>
      </c>
      <c r="AV21">
        <v>46.02</v>
      </c>
      <c r="AW21">
        <v>37.64</v>
      </c>
      <c r="AX21">
        <v>51.96</v>
      </c>
      <c r="AY21">
        <v>76.209999999999994</v>
      </c>
      <c r="AZ21">
        <v>226.93</v>
      </c>
      <c r="BA21">
        <v>143.79</v>
      </c>
      <c r="BB21">
        <v>130.88999999999999</v>
      </c>
      <c r="BC21">
        <v>55.73</v>
      </c>
      <c r="BD21">
        <v>93.49</v>
      </c>
      <c r="BE21">
        <v>287.27999999999997</v>
      </c>
      <c r="BF21">
        <v>320.22000000000003</v>
      </c>
      <c r="BG21">
        <v>47.24</v>
      </c>
      <c r="BH21">
        <v>90.8</v>
      </c>
      <c r="BI21">
        <v>187.99</v>
      </c>
      <c r="BJ21">
        <v>77.97</v>
      </c>
      <c r="BK21">
        <v>50.56</v>
      </c>
      <c r="BL21">
        <v>100.96</v>
      </c>
      <c r="BM21">
        <v>67.66</v>
      </c>
      <c r="BN21">
        <v>51.05</v>
      </c>
      <c r="BO21">
        <v>53.44</v>
      </c>
      <c r="BP21">
        <v>165.44</v>
      </c>
      <c r="BQ21">
        <v>143.88</v>
      </c>
      <c r="BR21">
        <v>83.51</v>
      </c>
      <c r="BS21">
        <v>41.43</v>
      </c>
      <c r="BT21">
        <v>43.25</v>
      </c>
      <c r="BU21">
        <v>154.74</v>
      </c>
    </row>
    <row r="22" spans="1:73" x14ac:dyDescent="0.25">
      <c r="A22" s="1">
        <v>46055</v>
      </c>
      <c r="B22">
        <v>99.69</v>
      </c>
      <c r="C22">
        <v>29.46</v>
      </c>
      <c r="D22">
        <v>73.91</v>
      </c>
      <c r="E22">
        <v>48.43</v>
      </c>
      <c r="F22">
        <v>22.69</v>
      </c>
      <c r="G22">
        <v>57.75</v>
      </c>
      <c r="H22">
        <v>97.78</v>
      </c>
      <c r="I22">
        <v>93.82</v>
      </c>
      <c r="J22">
        <v>96.14</v>
      </c>
      <c r="K22">
        <v>27.45</v>
      </c>
      <c r="L22">
        <v>27.74</v>
      </c>
      <c r="M22">
        <v>74.58</v>
      </c>
      <c r="N22">
        <v>89.81</v>
      </c>
      <c r="O22">
        <v>77.010000000000005</v>
      </c>
      <c r="P22">
        <v>27.29</v>
      </c>
      <c r="Q22">
        <v>53.61</v>
      </c>
      <c r="R22">
        <v>224.76</v>
      </c>
      <c r="S22">
        <v>55.23</v>
      </c>
      <c r="T22">
        <v>80.77</v>
      </c>
      <c r="U22">
        <v>36.869999999999997</v>
      </c>
      <c r="V22">
        <v>50.18</v>
      </c>
      <c r="W22">
        <v>103.98</v>
      </c>
      <c r="X22">
        <v>108.38</v>
      </c>
      <c r="Y22">
        <v>50.42</v>
      </c>
      <c r="Z22">
        <v>42.22</v>
      </c>
      <c r="AA22">
        <v>52.98</v>
      </c>
      <c r="AB22">
        <v>128.57</v>
      </c>
      <c r="AC22">
        <v>65.27</v>
      </c>
      <c r="AD22">
        <v>156.16</v>
      </c>
      <c r="AE22">
        <v>71.91</v>
      </c>
      <c r="AF22">
        <v>95.23</v>
      </c>
      <c r="AG22">
        <v>199.62</v>
      </c>
      <c r="AH22">
        <v>97.38</v>
      </c>
      <c r="AI22">
        <v>95.23</v>
      </c>
      <c r="AJ22">
        <v>107.66</v>
      </c>
      <c r="AK22">
        <v>31.46</v>
      </c>
      <c r="AL22">
        <v>19.29</v>
      </c>
      <c r="AM22">
        <v>31.44</v>
      </c>
      <c r="AN22">
        <v>23.3</v>
      </c>
      <c r="AO22">
        <v>26.48</v>
      </c>
      <c r="AP22">
        <v>25.71</v>
      </c>
      <c r="AQ22">
        <v>29.3</v>
      </c>
      <c r="AR22">
        <v>23.7</v>
      </c>
      <c r="AS22">
        <v>22.57</v>
      </c>
      <c r="AT22">
        <v>22.42</v>
      </c>
      <c r="AU22">
        <v>26.27</v>
      </c>
      <c r="AV22">
        <v>45.87</v>
      </c>
      <c r="AW22">
        <v>37.46</v>
      </c>
      <c r="AX22">
        <v>51.7</v>
      </c>
      <c r="AY22">
        <v>75.8</v>
      </c>
      <c r="AZ22">
        <v>230.05</v>
      </c>
      <c r="BA22">
        <v>141.13</v>
      </c>
      <c r="BB22">
        <v>132.30000000000001</v>
      </c>
      <c r="BC22">
        <v>55.38</v>
      </c>
      <c r="BD22">
        <v>94.131299999999996</v>
      </c>
      <c r="BE22">
        <v>289.01</v>
      </c>
      <c r="BF22">
        <v>324.39999999999998</v>
      </c>
      <c r="BG22">
        <v>47.03</v>
      </c>
      <c r="BH22">
        <v>89.86</v>
      </c>
      <c r="BI22">
        <v>185.22</v>
      </c>
      <c r="BJ22">
        <v>77.53</v>
      </c>
      <c r="BK22">
        <v>50.48</v>
      </c>
      <c r="BL22">
        <v>100.75</v>
      </c>
      <c r="BM22">
        <v>67.290000000000006</v>
      </c>
      <c r="BN22">
        <v>50.05</v>
      </c>
      <c r="BO22">
        <v>54.03</v>
      </c>
      <c r="BP22">
        <v>167.53</v>
      </c>
      <c r="BQ22">
        <v>145.26</v>
      </c>
      <c r="BR22">
        <v>84.5</v>
      </c>
      <c r="BS22">
        <v>40.96</v>
      </c>
      <c r="BT22">
        <v>42.62</v>
      </c>
      <c r="BU22">
        <v>155.69</v>
      </c>
    </row>
    <row r="23" spans="1:73" x14ac:dyDescent="0.25">
      <c r="A23" s="1">
        <v>46056</v>
      </c>
      <c r="B23">
        <v>99.7</v>
      </c>
      <c r="C23">
        <v>29.45</v>
      </c>
      <c r="D23">
        <v>73.930000000000007</v>
      </c>
      <c r="E23">
        <v>48.41</v>
      </c>
      <c r="F23">
        <v>22.7</v>
      </c>
      <c r="G23">
        <v>57.79</v>
      </c>
      <c r="H23">
        <v>97.77</v>
      </c>
      <c r="I23">
        <v>93.85</v>
      </c>
      <c r="J23">
        <v>96.16</v>
      </c>
      <c r="K23">
        <v>27.45</v>
      </c>
      <c r="L23">
        <v>28.59</v>
      </c>
      <c r="M23">
        <v>73.89</v>
      </c>
      <c r="N23">
        <v>90.71</v>
      </c>
      <c r="O23">
        <v>76.38</v>
      </c>
      <c r="P23">
        <v>27.26</v>
      </c>
      <c r="Q23">
        <v>54.45</v>
      </c>
      <c r="R23">
        <v>219.58</v>
      </c>
      <c r="S23">
        <v>56.06</v>
      </c>
      <c r="T23">
        <v>80.72</v>
      </c>
      <c r="U23">
        <v>36.869999999999997</v>
      </c>
      <c r="V23">
        <v>50.16</v>
      </c>
      <c r="W23">
        <v>104.31</v>
      </c>
      <c r="X23">
        <v>109.89</v>
      </c>
      <c r="Y23">
        <v>50.43</v>
      </c>
      <c r="Z23">
        <v>42.38</v>
      </c>
      <c r="AA23">
        <v>54.62</v>
      </c>
      <c r="AB23">
        <v>127.68</v>
      </c>
      <c r="AC23">
        <v>64.62</v>
      </c>
      <c r="AD23">
        <v>156.35</v>
      </c>
      <c r="AE23">
        <v>72.92</v>
      </c>
      <c r="AF23">
        <v>95</v>
      </c>
      <c r="AG23">
        <v>194.92</v>
      </c>
      <c r="AH23">
        <v>97.29</v>
      </c>
      <c r="AI23">
        <v>95.25</v>
      </c>
      <c r="AJ23">
        <v>107.63</v>
      </c>
      <c r="AK23">
        <v>31.34</v>
      </c>
      <c r="AL23">
        <v>19.239999999999998</v>
      </c>
      <c r="AM23">
        <v>31.5</v>
      </c>
      <c r="AN23">
        <v>23.32</v>
      </c>
      <c r="AO23">
        <v>26.45</v>
      </c>
      <c r="AP23">
        <v>25.7</v>
      </c>
      <c r="AQ23">
        <v>29.3</v>
      </c>
      <c r="AR23">
        <v>23.69</v>
      </c>
      <c r="AS23">
        <v>22.57</v>
      </c>
      <c r="AT23">
        <v>22.43</v>
      </c>
      <c r="AU23">
        <v>26.33</v>
      </c>
      <c r="AV23">
        <v>45.92</v>
      </c>
      <c r="AW23">
        <v>37.42</v>
      </c>
      <c r="AX23">
        <v>51.73</v>
      </c>
      <c r="AY23">
        <v>75.819999999999993</v>
      </c>
      <c r="AZ23">
        <v>233.64</v>
      </c>
      <c r="BA23">
        <v>145.49</v>
      </c>
      <c r="BB23">
        <v>131.16999999999999</v>
      </c>
      <c r="BC23">
        <v>55.47</v>
      </c>
      <c r="BD23">
        <v>92.055000000000007</v>
      </c>
      <c r="BE23">
        <v>286.33999999999997</v>
      </c>
      <c r="BF23">
        <v>327.55</v>
      </c>
      <c r="BG23">
        <v>47.03</v>
      </c>
      <c r="BH23">
        <v>89.66</v>
      </c>
      <c r="BI23">
        <v>187.94</v>
      </c>
      <c r="BJ23">
        <v>77.540000000000006</v>
      </c>
      <c r="BK23">
        <v>50.5</v>
      </c>
      <c r="BL23">
        <v>100.81</v>
      </c>
      <c r="BM23">
        <v>67.28</v>
      </c>
      <c r="BN23">
        <v>51.67</v>
      </c>
      <c r="BO23">
        <v>53.53</v>
      </c>
      <c r="BP23">
        <v>168.94</v>
      </c>
      <c r="BQ23">
        <v>142.08000000000001</v>
      </c>
      <c r="BR23">
        <v>85.87</v>
      </c>
      <c r="BS23">
        <v>40.81</v>
      </c>
      <c r="BT23">
        <v>43.24</v>
      </c>
      <c r="BU23">
        <v>154.1</v>
      </c>
    </row>
    <row r="24" spans="1:73" x14ac:dyDescent="0.25">
      <c r="A24" s="1">
        <v>46057</v>
      </c>
      <c r="B24">
        <v>99.64</v>
      </c>
      <c r="C24">
        <v>29.44</v>
      </c>
      <c r="D24">
        <v>73.900000000000006</v>
      </c>
      <c r="E24">
        <v>48.48</v>
      </c>
      <c r="F24">
        <v>22.64</v>
      </c>
      <c r="G24">
        <v>57.83</v>
      </c>
      <c r="H24">
        <v>97.7</v>
      </c>
      <c r="I24">
        <v>92.81</v>
      </c>
      <c r="J24">
        <v>96.2</v>
      </c>
      <c r="K24">
        <v>27.43</v>
      </c>
      <c r="L24">
        <v>29.18</v>
      </c>
      <c r="M24">
        <v>74.510000000000005</v>
      </c>
      <c r="N24">
        <v>90.7</v>
      </c>
      <c r="O24">
        <v>76.95</v>
      </c>
      <c r="P24">
        <v>27.65</v>
      </c>
      <c r="Q24">
        <v>54.99</v>
      </c>
      <c r="R24">
        <v>215.16</v>
      </c>
      <c r="S24">
        <v>55.79</v>
      </c>
      <c r="T24">
        <v>80.62</v>
      </c>
      <c r="U24">
        <v>36.82</v>
      </c>
      <c r="V24">
        <v>50.14</v>
      </c>
      <c r="W24">
        <v>102.8</v>
      </c>
      <c r="X24">
        <v>109.42</v>
      </c>
      <c r="Y24">
        <v>50.34</v>
      </c>
      <c r="Z24">
        <v>42.27</v>
      </c>
      <c r="AA24">
        <v>55.83</v>
      </c>
      <c r="AB24">
        <v>128.71</v>
      </c>
      <c r="AC24">
        <v>65.510000000000005</v>
      </c>
      <c r="AD24">
        <v>157.31</v>
      </c>
      <c r="AE24">
        <v>73.400000000000006</v>
      </c>
      <c r="AF24">
        <v>96.36</v>
      </c>
      <c r="AG24">
        <v>190.39</v>
      </c>
      <c r="AH24">
        <v>97.11</v>
      </c>
      <c r="AI24">
        <v>95.2</v>
      </c>
      <c r="AJ24">
        <v>107.62</v>
      </c>
      <c r="AK24">
        <v>31.44</v>
      </c>
      <c r="AL24">
        <v>19.260000000000002</v>
      </c>
      <c r="AM24">
        <v>31.43</v>
      </c>
      <c r="AN24">
        <v>23.31</v>
      </c>
      <c r="AO24">
        <v>26.42</v>
      </c>
      <c r="AP24">
        <v>25.69</v>
      </c>
      <c r="AQ24">
        <v>29.29</v>
      </c>
      <c r="AR24">
        <v>23.66</v>
      </c>
      <c r="AS24">
        <v>22.55</v>
      </c>
      <c r="AT24">
        <v>22.41</v>
      </c>
      <c r="AU24">
        <v>26.28</v>
      </c>
      <c r="AV24">
        <v>46.01</v>
      </c>
      <c r="AW24">
        <v>37.380000000000003</v>
      </c>
      <c r="AX24">
        <v>51.7</v>
      </c>
      <c r="AY24">
        <v>75.69</v>
      </c>
      <c r="AZ24">
        <v>236.02</v>
      </c>
      <c r="BA24">
        <v>148.4</v>
      </c>
      <c r="BB24">
        <v>132.26</v>
      </c>
      <c r="BC24">
        <v>55.35</v>
      </c>
      <c r="BD24">
        <v>90.218800000000002</v>
      </c>
      <c r="BE24">
        <v>288.85000000000002</v>
      </c>
      <c r="BF24">
        <v>327.60000000000002</v>
      </c>
      <c r="BG24">
        <v>47.04</v>
      </c>
      <c r="BH24">
        <v>90.95</v>
      </c>
      <c r="BI24">
        <v>186.96</v>
      </c>
      <c r="BJ24">
        <v>77.5</v>
      </c>
      <c r="BK24">
        <v>50.54</v>
      </c>
      <c r="BL24">
        <v>100.9</v>
      </c>
      <c r="BM24">
        <v>67.23</v>
      </c>
      <c r="BN24">
        <v>52.83</v>
      </c>
      <c r="BO24">
        <v>53.96</v>
      </c>
      <c r="BP24">
        <v>169.39</v>
      </c>
      <c r="BQ24">
        <v>138.12</v>
      </c>
      <c r="BR24">
        <v>86.99</v>
      </c>
      <c r="BS24">
        <v>41.46</v>
      </c>
      <c r="BT24">
        <v>43.08</v>
      </c>
      <c r="BU24">
        <v>156.03</v>
      </c>
    </row>
    <row r="25" spans="1:73" x14ac:dyDescent="0.25">
      <c r="A25" s="1">
        <v>46058</v>
      </c>
      <c r="B25">
        <v>100.07</v>
      </c>
      <c r="C25">
        <v>29.41</v>
      </c>
      <c r="D25">
        <v>74.22</v>
      </c>
      <c r="E25">
        <v>48.54</v>
      </c>
      <c r="F25">
        <v>22.64</v>
      </c>
      <c r="G25">
        <v>57.92</v>
      </c>
      <c r="H25">
        <v>98.11</v>
      </c>
      <c r="I25">
        <v>91.26</v>
      </c>
      <c r="J25">
        <v>96.44</v>
      </c>
      <c r="K25">
        <v>27.4</v>
      </c>
      <c r="L25">
        <v>28.82</v>
      </c>
      <c r="M25">
        <v>73.81</v>
      </c>
      <c r="N25">
        <v>90.04</v>
      </c>
      <c r="O25">
        <v>76.05</v>
      </c>
      <c r="P25">
        <v>27.61</v>
      </c>
      <c r="Q25">
        <v>55.06</v>
      </c>
      <c r="R25">
        <v>211.33</v>
      </c>
      <c r="S25">
        <v>55.82</v>
      </c>
      <c r="T25">
        <v>80.53</v>
      </c>
      <c r="U25">
        <v>36.799999999999997</v>
      </c>
      <c r="V25">
        <v>50.22</v>
      </c>
      <c r="W25">
        <v>101.29</v>
      </c>
      <c r="X25">
        <v>109.61</v>
      </c>
      <c r="Y25">
        <v>50.68</v>
      </c>
      <c r="Z25">
        <v>42.18</v>
      </c>
      <c r="AA25">
        <v>55.19</v>
      </c>
      <c r="AB25">
        <v>126.95</v>
      </c>
      <c r="AC25">
        <v>64.680000000000007</v>
      </c>
      <c r="AD25">
        <v>156.19999999999999</v>
      </c>
      <c r="AE25">
        <v>74.48</v>
      </c>
      <c r="AF25">
        <v>96.14</v>
      </c>
      <c r="AG25">
        <v>186.75</v>
      </c>
      <c r="AH25">
        <v>97.06</v>
      </c>
      <c r="AI25">
        <v>95.49</v>
      </c>
      <c r="AJ25">
        <v>107.81</v>
      </c>
      <c r="AK25">
        <v>31.16</v>
      </c>
      <c r="AL25">
        <v>19.12</v>
      </c>
      <c r="AM25">
        <v>31.73</v>
      </c>
      <c r="AN25">
        <v>23.41</v>
      </c>
      <c r="AO25">
        <v>26.4</v>
      </c>
      <c r="AP25">
        <v>25.8</v>
      </c>
      <c r="AQ25">
        <v>29.4</v>
      </c>
      <c r="AR25">
        <v>23.64</v>
      </c>
      <c r="AS25">
        <v>22.68</v>
      </c>
      <c r="AT25">
        <v>22.51</v>
      </c>
      <c r="AU25">
        <v>26.53</v>
      </c>
      <c r="AV25">
        <v>46.05</v>
      </c>
      <c r="AW25">
        <v>37.35</v>
      </c>
      <c r="AX25">
        <v>51.89</v>
      </c>
      <c r="AY25">
        <v>76.2</v>
      </c>
      <c r="AZ25">
        <v>236.13</v>
      </c>
      <c r="BA25">
        <v>146.58000000000001</v>
      </c>
      <c r="BB25">
        <v>130.59</v>
      </c>
      <c r="BC25">
        <v>55.91</v>
      </c>
      <c r="BD25">
        <v>88.566299999999998</v>
      </c>
      <c r="BE25">
        <v>285.92</v>
      </c>
      <c r="BF25">
        <v>325.58999999999997</v>
      </c>
      <c r="BG25">
        <v>47.2</v>
      </c>
      <c r="BH25">
        <v>90.82</v>
      </c>
      <c r="BI25">
        <v>187.11</v>
      </c>
      <c r="BJ25">
        <v>77.83</v>
      </c>
      <c r="BK25">
        <v>50.62</v>
      </c>
      <c r="BL25">
        <v>101.04</v>
      </c>
      <c r="BM25">
        <v>67.48</v>
      </c>
      <c r="BN25">
        <v>52.21</v>
      </c>
      <c r="BO25">
        <v>53.29</v>
      </c>
      <c r="BP25">
        <v>168.37</v>
      </c>
      <c r="BQ25">
        <v>135.63</v>
      </c>
      <c r="BR25">
        <v>86.92</v>
      </c>
      <c r="BS25">
        <v>41.23</v>
      </c>
      <c r="BT25">
        <v>43.1</v>
      </c>
      <c r="BU25">
        <v>154.84</v>
      </c>
    </row>
    <row r="26" spans="1:73" x14ac:dyDescent="0.25">
      <c r="A26" s="1">
        <v>46059</v>
      </c>
      <c r="B26">
        <v>100.13</v>
      </c>
      <c r="C26">
        <v>29.5</v>
      </c>
      <c r="D26">
        <v>74.23</v>
      </c>
      <c r="E26">
        <v>48.55</v>
      </c>
      <c r="F26">
        <v>22.68</v>
      </c>
      <c r="G26">
        <v>57.93</v>
      </c>
      <c r="H26">
        <v>98.13</v>
      </c>
      <c r="I26">
        <v>93.95</v>
      </c>
      <c r="J26">
        <v>96.69</v>
      </c>
      <c r="K26">
        <v>27.45</v>
      </c>
      <c r="L26">
        <v>29.46</v>
      </c>
      <c r="M26">
        <v>75.19</v>
      </c>
      <c r="N26">
        <v>92.86</v>
      </c>
      <c r="O26">
        <v>77.48</v>
      </c>
      <c r="P26">
        <v>28.02</v>
      </c>
      <c r="Q26">
        <v>55.78</v>
      </c>
      <c r="R26">
        <v>220.65</v>
      </c>
      <c r="S26">
        <v>56.14</v>
      </c>
      <c r="T26">
        <v>80.81</v>
      </c>
      <c r="U26">
        <v>36.909999999999997</v>
      </c>
      <c r="V26">
        <v>50.23</v>
      </c>
      <c r="W26">
        <v>104.41</v>
      </c>
      <c r="X26">
        <v>110.24</v>
      </c>
      <c r="Y26">
        <v>50.72</v>
      </c>
      <c r="Z26">
        <v>42.36</v>
      </c>
      <c r="AA26">
        <v>56.24</v>
      </c>
      <c r="AB26">
        <v>129.63999999999999</v>
      </c>
      <c r="AC26">
        <v>65.86</v>
      </c>
      <c r="AD26">
        <v>160.21</v>
      </c>
      <c r="AE26">
        <v>75.099999999999994</v>
      </c>
      <c r="AF26">
        <v>97.66</v>
      </c>
      <c r="AG26">
        <v>193.49</v>
      </c>
      <c r="AH26">
        <v>97.4</v>
      </c>
      <c r="AI26">
        <v>95.53</v>
      </c>
      <c r="AJ26">
        <v>107.69</v>
      </c>
      <c r="AK26">
        <v>31.47</v>
      </c>
      <c r="AL26">
        <v>19.27</v>
      </c>
      <c r="AM26">
        <v>31.74</v>
      </c>
      <c r="AN26">
        <v>23.41</v>
      </c>
      <c r="AO26">
        <v>26.46</v>
      </c>
      <c r="AP26">
        <v>25.82</v>
      </c>
      <c r="AQ26">
        <v>29.42</v>
      </c>
      <c r="AR26">
        <v>23.71</v>
      </c>
      <c r="AS26">
        <v>22.7</v>
      </c>
      <c r="AT26">
        <v>22.52</v>
      </c>
      <c r="AU26">
        <v>26.54</v>
      </c>
      <c r="AV26">
        <v>46.07</v>
      </c>
      <c r="AW26">
        <v>37.47</v>
      </c>
      <c r="AX26">
        <v>51.92</v>
      </c>
      <c r="AY26">
        <v>76.27</v>
      </c>
      <c r="AZ26">
        <v>239.32</v>
      </c>
      <c r="BA26">
        <v>149.88999999999999</v>
      </c>
      <c r="BB26">
        <v>133.03</v>
      </c>
      <c r="BC26">
        <v>55.92</v>
      </c>
      <c r="BD26">
        <v>92.442499999999995</v>
      </c>
      <c r="BE26">
        <v>291.2</v>
      </c>
      <c r="BF26">
        <v>335.64</v>
      </c>
      <c r="BG26">
        <v>47.22</v>
      </c>
      <c r="BH26">
        <v>92.25</v>
      </c>
      <c r="BI26">
        <v>188.11</v>
      </c>
      <c r="BJ26">
        <v>77.849999999999994</v>
      </c>
      <c r="BK26">
        <v>50.65</v>
      </c>
      <c r="BL26">
        <v>101.03</v>
      </c>
      <c r="BM26">
        <v>67.58</v>
      </c>
      <c r="BN26">
        <v>53.25</v>
      </c>
      <c r="BO26">
        <v>54.26</v>
      </c>
      <c r="BP26">
        <v>173.18</v>
      </c>
      <c r="BQ26">
        <v>141.13</v>
      </c>
      <c r="BR26">
        <v>87.94</v>
      </c>
      <c r="BS26">
        <v>41.99</v>
      </c>
      <c r="BT26">
        <v>43.35</v>
      </c>
      <c r="BU26">
        <v>157.71</v>
      </c>
    </row>
    <row r="27" spans="1:73" x14ac:dyDescent="0.25">
      <c r="A27" s="1">
        <v>46062</v>
      </c>
      <c r="B27">
        <v>100.16</v>
      </c>
      <c r="C27">
        <v>29.55</v>
      </c>
      <c r="D27">
        <v>74.25</v>
      </c>
      <c r="E27">
        <v>48.57</v>
      </c>
      <c r="F27">
        <v>22.83</v>
      </c>
      <c r="G27">
        <v>57.96</v>
      </c>
      <c r="H27">
        <v>98.18</v>
      </c>
      <c r="I27">
        <v>95.02</v>
      </c>
      <c r="J27">
        <v>96.72</v>
      </c>
      <c r="K27">
        <v>27.51</v>
      </c>
      <c r="L27">
        <v>29.73</v>
      </c>
      <c r="M27">
        <v>74.61</v>
      </c>
      <c r="N27">
        <v>93.32</v>
      </c>
      <c r="O27">
        <v>77.09</v>
      </c>
      <c r="P27">
        <v>28.13</v>
      </c>
      <c r="Q27">
        <v>55.31</v>
      </c>
      <c r="R27">
        <v>224.13</v>
      </c>
      <c r="S27">
        <v>56.3</v>
      </c>
      <c r="T27">
        <v>80.92</v>
      </c>
      <c r="U27">
        <v>36.950000000000003</v>
      </c>
      <c r="V27">
        <v>50.25</v>
      </c>
      <c r="W27">
        <v>105.17</v>
      </c>
      <c r="X27">
        <v>110.72</v>
      </c>
      <c r="Y27">
        <v>50.67</v>
      </c>
      <c r="Z27">
        <v>42.7</v>
      </c>
      <c r="AA27">
        <v>56.69</v>
      </c>
      <c r="AB27">
        <v>129.16999999999999</v>
      </c>
      <c r="AC27">
        <v>65.25</v>
      </c>
      <c r="AD27">
        <v>160.19</v>
      </c>
      <c r="AE27">
        <v>74.59</v>
      </c>
      <c r="AF27">
        <v>98.06</v>
      </c>
      <c r="AG27">
        <v>196.32</v>
      </c>
      <c r="AH27">
        <v>97.54</v>
      </c>
      <c r="AI27">
        <v>95.55</v>
      </c>
      <c r="AJ27">
        <v>107.79</v>
      </c>
      <c r="AK27">
        <v>31.51</v>
      </c>
      <c r="AL27">
        <v>19.3</v>
      </c>
      <c r="AM27">
        <v>31.76</v>
      </c>
      <c r="AN27">
        <v>23.42</v>
      </c>
      <c r="AO27">
        <v>26.51</v>
      </c>
      <c r="AP27">
        <v>25.82</v>
      </c>
      <c r="AQ27">
        <v>29.42</v>
      </c>
      <c r="AR27">
        <v>23.75</v>
      </c>
      <c r="AS27">
        <v>22.69</v>
      </c>
      <c r="AT27">
        <v>22.53</v>
      </c>
      <c r="AU27">
        <v>26.54</v>
      </c>
      <c r="AV27">
        <v>46.1</v>
      </c>
      <c r="AW27">
        <v>37.51</v>
      </c>
      <c r="AX27">
        <v>51.92</v>
      </c>
      <c r="AY27">
        <v>76.209999999999994</v>
      </c>
      <c r="AZ27">
        <v>237.36</v>
      </c>
      <c r="BA27">
        <v>151.26</v>
      </c>
      <c r="BB27">
        <v>132.38999999999999</v>
      </c>
      <c r="BC27">
        <v>55.94</v>
      </c>
      <c r="BD27">
        <v>93.933800000000005</v>
      </c>
      <c r="BE27">
        <v>288.95</v>
      </c>
      <c r="BF27">
        <v>337.12</v>
      </c>
      <c r="BG27">
        <v>47.25</v>
      </c>
      <c r="BH27">
        <v>92.64</v>
      </c>
      <c r="BI27">
        <v>188.7</v>
      </c>
      <c r="BJ27">
        <v>77.84</v>
      </c>
      <c r="BK27">
        <v>50.67</v>
      </c>
      <c r="BL27">
        <v>101.09</v>
      </c>
      <c r="BM27">
        <v>67.62</v>
      </c>
      <c r="BN27">
        <v>53.64</v>
      </c>
      <c r="BO27">
        <v>53.94</v>
      </c>
      <c r="BP27">
        <v>173.7</v>
      </c>
      <c r="BQ27">
        <v>143.35</v>
      </c>
      <c r="BR27">
        <v>87.43</v>
      </c>
      <c r="BS27">
        <v>42.25</v>
      </c>
      <c r="BT27">
        <v>43.48</v>
      </c>
      <c r="BU27">
        <v>156.32</v>
      </c>
    </row>
    <row r="28" spans="1:73" x14ac:dyDescent="0.25">
      <c r="A28" s="1">
        <v>46063</v>
      </c>
      <c r="B28">
        <v>100.45</v>
      </c>
      <c r="C28">
        <v>29.58</v>
      </c>
      <c r="D28">
        <v>74.47</v>
      </c>
      <c r="E28">
        <v>48.68</v>
      </c>
      <c r="F28">
        <v>22.93</v>
      </c>
      <c r="G28">
        <v>58.05</v>
      </c>
      <c r="H28">
        <v>98.38</v>
      </c>
      <c r="I28">
        <v>94.59</v>
      </c>
      <c r="J28">
        <v>96.97</v>
      </c>
      <c r="K28">
        <v>27.53</v>
      </c>
      <c r="L28">
        <v>29.66</v>
      </c>
      <c r="M28">
        <v>74.23</v>
      </c>
      <c r="N28">
        <v>93.26</v>
      </c>
      <c r="O28">
        <v>76.55</v>
      </c>
      <c r="P28">
        <v>28.49</v>
      </c>
      <c r="Q28">
        <v>54.97</v>
      </c>
      <c r="R28">
        <v>223.25</v>
      </c>
      <c r="S28">
        <v>57.19</v>
      </c>
      <c r="T28">
        <v>80.84</v>
      </c>
      <c r="U28">
        <v>36.94</v>
      </c>
      <c r="V28">
        <v>50.31</v>
      </c>
      <c r="W28">
        <v>104.68</v>
      </c>
      <c r="X28">
        <v>112.4</v>
      </c>
      <c r="Y28">
        <v>50.92</v>
      </c>
      <c r="Z28">
        <v>42.79</v>
      </c>
      <c r="AA28">
        <v>56.64</v>
      </c>
      <c r="AB28">
        <v>127.7</v>
      </c>
      <c r="AC28">
        <v>64.91</v>
      </c>
      <c r="AD28">
        <v>160.9</v>
      </c>
      <c r="AE28">
        <v>74.52</v>
      </c>
      <c r="AF28">
        <v>99.32</v>
      </c>
      <c r="AG28">
        <v>195.31</v>
      </c>
      <c r="AH28">
        <v>97.49</v>
      </c>
      <c r="AI28">
        <v>95.84</v>
      </c>
      <c r="AJ28">
        <v>107.96</v>
      </c>
      <c r="AK28">
        <v>31.52</v>
      </c>
      <c r="AL28">
        <v>19.309999999999999</v>
      </c>
      <c r="AM28">
        <v>32.07</v>
      </c>
      <c r="AN28">
        <v>23.49</v>
      </c>
      <c r="AO28">
        <v>26.49</v>
      </c>
      <c r="AP28">
        <v>25.89</v>
      </c>
      <c r="AQ28">
        <v>29.49</v>
      </c>
      <c r="AR28">
        <v>23.73</v>
      </c>
      <c r="AS28">
        <v>22.8</v>
      </c>
      <c r="AT28">
        <v>22.59</v>
      </c>
      <c r="AU28">
        <v>26.82</v>
      </c>
      <c r="AV28">
        <v>46.15</v>
      </c>
      <c r="AW28">
        <v>37.49</v>
      </c>
      <c r="AX28">
        <v>52.03</v>
      </c>
      <c r="AY28">
        <v>76.569999999999993</v>
      </c>
      <c r="AZ28">
        <v>235.81</v>
      </c>
      <c r="BA28">
        <v>150.82</v>
      </c>
      <c r="BB28">
        <v>131.41999999999999</v>
      </c>
      <c r="BC28">
        <v>56.5</v>
      </c>
      <c r="BD28">
        <v>93.531300000000002</v>
      </c>
      <c r="BE28">
        <v>287.56</v>
      </c>
      <c r="BF28">
        <v>337.23</v>
      </c>
      <c r="BG28">
        <v>47.39</v>
      </c>
      <c r="BH28">
        <v>93.88</v>
      </c>
      <c r="BI28">
        <v>191.63</v>
      </c>
      <c r="BJ28">
        <v>78</v>
      </c>
      <c r="BK28">
        <v>50.74</v>
      </c>
      <c r="BL28">
        <v>101.16</v>
      </c>
      <c r="BM28">
        <v>67.83</v>
      </c>
      <c r="BN28">
        <v>53.58</v>
      </c>
      <c r="BO28">
        <v>53.55</v>
      </c>
      <c r="BP28">
        <v>173.91</v>
      </c>
      <c r="BQ28">
        <v>142.55000000000001</v>
      </c>
      <c r="BR28">
        <v>87.15</v>
      </c>
      <c r="BS28">
        <v>42.84</v>
      </c>
      <c r="BT28">
        <v>44.2</v>
      </c>
      <c r="BU28">
        <v>155.33000000000001</v>
      </c>
    </row>
    <row r="29" spans="1:73" x14ac:dyDescent="0.25">
      <c r="A29" s="1">
        <v>46064</v>
      </c>
      <c r="B29">
        <v>100.22</v>
      </c>
      <c r="C29">
        <v>29.62</v>
      </c>
      <c r="D29">
        <v>74.319999999999993</v>
      </c>
      <c r="E29">
        <v>48.69</v>
      </c>
      <c r="F29">
        <v>22.97</v>
      </c>
      <c r="G29">
        <v>58</v>
      </c>
      <c r="H29">
        <v>98.29</v>
      </c>
      <c r="I29">
        <v>94.5</v>
      </c>
      <c r="J29">
        <v>96.98</v>
      </c>
      <c r="K29">
        <v>27.53</v>
      </c>
      <c r="L29">
        <v>30.41</v>
      </c>
      <c r="M29">
        <v>74.58</v>
      </c>
      <c r="N29">
        <v>93.76</v>
      </c>
      <c r="O29">
        <v>75.37</v>
      </c>
      <c r="P29">
        <v>28.38</v>
      </c>
      <c r="Q29">
        <v>55.65</v>
      </c>
      <c r="R29">
        <v>223.29</v>
      </c>
      <c r="S29">
        <v>57.66</v>
      </c>
      <c r="T29">
        <v>80.83</v>
      </c>
      <c r="U29">
        <v>36.94</v>
      </c>
      <c r="V29">
        <v>50.38</v>
      </c>
      <c r="W29">
        <v>104.4</v>
      </c>
      <c r="X29">
        <v>113.36</v>
      </c>
      <c r="Y29">
        <v>50.82</v>
      </c>
      <c r="Z29">
        <v>42.86</v>
      </c>
      <c r="AA29">
        <v>58.07</v>
      </c>
      <c r="AB29">
        <v>125.66</v>
      </c>
      <c r="AC29">
        <v>65.23</v>
      </c>
      <c r="AD29">
        <v>161.15</v>
      </c>
      <c r="AE29">
        <v>75.56</v>
      </c>
      <c r="AF29">
        <v>98.93</v>
      </c>
      <c r="AG29">
        <v>195.5</v>
      </c>
      <c r="AH29">
        <v>97.48</v>
      </c>
      <c r="AI29">
        <v>95.69</v>
      </c>
      <c r="AJ29">
        <v>107.83</v>
      </c>
      <c r="AK29">
        <v>31.58</v>
      </c>
      <c r="AL29">
        <v>19.38</v>
      </c>
      <c r="AM29">
        <v>31.93</v>
      </c>
      <c r="AN29">
        <v>23.45</v>
      </c>
      <c r="AO29">
        <v>26.5</v>
      </c>
      <c r="AP29">
        <v>25.84</v>
      </c>
      <c r="AQ29">
        <v>29.46</v>
      </c>
      <c r="AR29">
        <v>23.74</v>
      </c>
      <c r="AS29">
        <v>22.77</v>
      </c>
      <c r="AT29">
        <v>22.55</v>
      </c>
      <c r="AU29">
        <v>26.69</v>
      </c>
      <c r="AV29">
        <v>46.09</v>
      </c>
      <c r="AW29">
        <v>37.479999999999997</v>
      </c>
      <c r="AX29">
        <v>51.98</v>
      </c>
      <c r="AY29">
        <v>76.41</v>
      </c>
      <c r="AZ29">
        <v>238.82</v>
      </c>
      <c r="BA29">
        <v>154.69</v>
      </c>
      <c r="BB29">
        <v>129.38</v>
      </c>
      <c r="BC29">
        <v>56.23</v>
      </c>
      <c r="BD29">
        <v>93.597499999999997</v>
      </c>
      <c r="BE29">
        <v>288.77999999999997</v>
      </c>
      <c r="BF29">
        <v>339.28</v>
      </c>
      <c r="BG29">
        <v>47.27</v>
      </c>
      <c r="BH29">
        <v>93.36</v>
      </c>
      <c r="BI29">
        <v>193.23</v>
      </c>
      <c r="BJ29">
        <v>77.94</v>
      </c>
      <c r="BK29">
        <v>50.65</v>
      </c>
      <c r="BL29">
        <v>101.11</v>
      </c>
      <c r="BM29">
        <v>67.83</v>
      </c>
      <c r="BN29">
        <v>54.98</v>
      </c>
      <c r="BO29">
        <v>52.74</v>
      </c>
      <c r="BP29">
        <v>174.84</v>
      </c>
      <c r="BQ29">
        <v>142.97</v>
      </c>
      <c r="BR29">
        <v>88.4</v>
      </c>
      <c r="BS29">
        <v>42.8</v>
      </c>
      <c r="BT29">
        <v>44.59</v>
      </c>
      <c r="BU29">
        <v>156.25</v>
      </c>
    </row>
    <row r="30" spans="1:73" x14ac:dyDescent="0.25">
      <c r="A30" s="1">
        <v>46065</v>
      </c>
      <c r="B30">
        <v>100.67</v>
      </c>
      <c r="C30">
        <v>29.66</v>
      </c>
      <c r="D30">
        <v>74.66</v>
      </c>
      <c r="E30">
        <v>48.8</v>
      </c>
      <c r="F30">
        <v>23.04</v>
      </c>
      <c r="G30">
        <v>58.11</v>
      </c>
      <c r="H30">
        <v>98.65</v>
      </c>
      <c r="I30">
        <v>93.91</v>
      </c>
      <c r="J30">
        <v>97.25</v>
      </c>
      <c r="K30">
        <v>27.56</v>
      </c>
      <c r="L30">
        <v>29.81</v>
      </c>
      <c r="M30">
        <v>74.25</v>
      </c>
      <c r="N30">
        <v>92.52</v>
      </c>
      <c r="O30">
        <v>73.819999999999993</v>
      </c>
      <c r="P30">
        <v>28.31</v>
      </c>
      <c r="Q30">
        <v>56.39</v>
      </c>
      <c r="R30">
        <v>217.72</v>
      </c>
      <c r="S30">
        <v>58.5</v>
      </c>
      <c r="T30">
        <v>80.790000000000006</v>
      </c>
      <c r="U30">
        <v>36.92</v>
      </c>
      <c r="V30">
        <v>50.47</v>
      </c>
      <c r="W30">
        <v>103.84</v>
      </c>
      <c r="X30">
        <v>114.77</v>
      </c>
      <c r="Y30">
        <v>51.18</v>
      </c>
      <c r="Z30">
        <v>42.88</v>
      </c>
      <c r="AA30">
        <v>56.98</v>
      </c>
      <c r="AB30">
        <v>123.32</v>
      </c>
      <c r="AC30">
        <v>65.09</v>
      </c>
      <c r="AD30">
        <v>158.85</v>
      </c>
      <c r="AE30">
        <v>75.83</v>
      </c>
      <c r="AF30">
        <v>98.87</v>
      </c>
      <c r="AG30">
        <v>190.79</v>
      </c>
      <c r="AH30">
        <v>97.37</v>
      </c>
      <c r="AI30">
        <v>96.14</v>
      </c>
      <c r="AJ30">
        <v>108.09</v>
      </c>
      <c r="AK30">
        <v>31.48</v>
      </c>
      <c r="AL30">
        <v>19.23</v>
      </c>
      <c r="AM30">
        <v>32.31</v>
      </c>
      <c r="AN30">
        <v>23.55</v>
      </c>
      <c r="AO30">
        <v>26.47</v>
      </c>
      <c r="AP30">
        <v>25.96</v>
      </c>
      <c r="AQ30">
        <v>29.55</v>
      </c>
      <c r="AR30">
        <v>23.7</v>
      </c>
      <c r="AS30">
        <v>22.92</v>
      </c>
      <c r="AT30">
        <v>22.67</v>
      </c>
      <c r="AU30">
        <v>27.01</v>
      </c>
      <c r="AV30">
        <v>46.19</v>
      </c>
      <c r="AW30">
        <v>37.450000000000003</v>
      </c>
      <c r="AX30">
        <v>52.14</v>
      </c>
      <c r="AY30">
        <v>76.98</v>
      </c>
      <c r="AZ30">
        <v>241.86</v>
      </c>
      <c r="BA30">
        <v>151.59</v>
      </c>
      <c r="BB30">
        <v>126.87</v>
      </c>
      <c r="BC30">
        <v>56.9</v>
      </c>
      <c r="BD30">
        <v>91.204999999999998</v>
      </c>
      <c r="BE30">
        <v>287.81</v>
      </c>
      <c r="BF30">
        <v>334.23</v>
      </c>
      <c r="BG30">
        <v>47.56</v>
      </c>
      <c r="BH30">
        <v>93.25</v>
      </c>
      <c r="BI30">
        <v>196.13</v>
      </c>
      <c r="BJ30">
        <v>78.22</v>
      </c>
      <c r="BK30">
        <v>50.77</v>
      </c>
      <c r="BL30">
        <v>101.29</v>
      </c>
      <c r="BM30">
        <v>68.05</v>
      </c>
      <c r="BN30">
        <v>53.98</v>
      </c>
      <c r="BO30">
        <v>51.69</v>
      </c>
      <c r="BP30">
        <v>172.75</v>
      </c>
      <c r="BQ30">
        <v>139.21</v>
      </c>
      <c r="BR30">
        <v>89.21</v>
      </c>
      <c r="BS30">
        <v>42.87</v>
      </c>
      <c r="BT30">
        <v>45.25</v>
      </c>
      <c r="BU30">
        <v>156</v>
      </c>
    </row>
    <row r="31" spans="1:73" x14ac:dyDescent="0.25">
      <c r="A31" s="1">
        <v>46066</v>
      </c>
      <c r="B31">
        <v>100.99</v>
      </c>
      <c r="C31">
        <v>29.7</v>
      </c>
      <c r="D31">
        <v>74.88</v>
      </c>
      <c r="E31">
        <v>48.81</v>
      </c>
      <c r="F31">
        <v>23.08</v>
      </c>
      <c r="G31">
        <v>58.16</v>
      </c>
      <c r="H31">
        <v>98.91</v>
      </c>
      <c r="I31">
        <v>94.51</v>
      </c>
      <c r="J31">
        <v>97.42</v>
      </c>
      <c r="K31">
        <v>27.59</v>
      </c>
      <c r="L31">
        <v>30.07</v>
      </c>
      <c r="M31">
        <v>74.959999999999994</v>
      </c>
      <c r="N31">
        <v>93.38</v>
      </c>
      <c r="O31">
        <v>73.819999999999993</v>
      </c>
      <c r="P31">
        <v>28.73</v>
      </c>
      <c r="Q31">
        <v>56.57</v>
      </c>
      <c r="R31">
        <v>217.95</v>
      </c>
      <c r="S31">
        <v>60.05</v>
      </c>
      <c r="T31">
        <v>80.849999999999994</v>
      </c>
      <c r="U31">
        <v>36.94</v>
      </c>
      <c r="V31">
        <v>50.52</v>
      </c>
      <c r="W31">
        <v>104.73</v>
      </c>
      <c r="X31">
        <v>117.77</v>
      </c>
      <c r="Y31">
        <v>51.37</v>
      </c>
      <c r="Z31">
        <v>42.94</v>
      </c>
      <c r="AA31">
        <v>57.41</v>
      </c>
      <c r="AB31">
        <v>123.83</v>
      </c>
      <c r="AC31">
        <v>65.75</v>
      </c>
      <c r="AD31">
        <v>159.55000000000001</v>
      </c>
      <c r="AE31">
        <v>75.81</v>
      </c>
      <c r="AF31">
        <v>100.22</v>
      </c>
      <c r="AG31">
        <v>190.54</v>
      </c>
      <c r="AH31">
        <v>97.48</v>
      </c>
      <c r="AI31">
        <v>96.55</v>
      </c>
      <c r="AJ31">
        <v>108.26</v>
      </c>
      <c r="AK31">
        <v>31.69</v>
      </c>
      <c r="AL31">
        <v>19.420000000000002</v>
      </c>
      <c r="AM31">
        <v>32.46</v>
      </c>
      <c r="AN31">
        <v>23.62</v>
      </c>
      <c r="AO31">
        <v>26.49</v>
      </c>
      <c r="AP31">
        <v>26.05</v>
      </c>
      <c r="AQ31">
        <v>29.63</v>
      </c>
      <c r="AR31">
        <v>23.74</v>
      </c>
      <c r="AS31">
        <v>23.01</v>
      </c>
      <c r="AT31">
        <v>22.75</v>
      </c>
      <c r="AU31">
        <v>27.14</v>
      </c>
      <c r="AV31">
        <v>46.29</v>
      </c>
      <c r="AW31">
        <v>37.49</v>
      </c>
      <c r="AX31">
        <v>52.3</v>
      </c>
      <c r="AY31">
        <v>77.27</v>
      </c>
      <c r="AZ31">
        <v>242.63</v>
      </c>
      <c r="BA31">
        <v>152.94999999999999</v>
      </c>
      <c r="BB31">
        <v>126.81</v>
      </c>
      <c r="BC31">
        <v>57.18</v>
      </c>
      <c r="BD31">
        <v>91.35</v>
      </c>
      <c r="BE31">
        <v>290.39</v>
      </c>
      <c r="BF31">
        <v>337.03</v>
      </c>
      <c r="BG31">
        <v>47.7</v>
      </c>
      <c r="BH31">
        <v>94.59</v>
      </c>
      <c r="BI31">
        <v>201.32</v>
      </c>
      <c r="BJ31">
        <v>78.42</v>
      </c>
      <c r="BK31">
        <v>50.84</v>
      </c>
      <c r="BL31">
        <v>101.41</v>
      </c>
      <c r="BM31">
        <v>68.150000000000006</v>
      </c>
      <c r="BN31">
        <v>54.35</v>
      </c>
      <c r="BO31">
        <v>51.65</v>
      </c>
      <c r="BP31">
        <v>174.17</v>
      </c>
      <c r="BQ31">
        <v>139.56</v>
      </c>
      <c r="BR31">
        <v>89.51</v>
      </c>
      <c r="BS31">
        <v>43.5</v>
      </c>
      <c r="BT31">
        <v>46.5</v>
      </c>
      <c r="BU31">
        <v>157.66999999999999</v>
      </c>
    </row>
    <row r="32" spans="1:73" x14ac:dyDescent="0.25">
      <c r="A32" s="1">
        <v>46070</v>
      </c>
      <c r="B32">
        <v>101</v>
      </c>
      <c r="C32">
        <v>29.67</v>
      </c>
      <c r="D32">
        <v>74.87</v>
      </c>
      <c r="E32">
        <v>48.9</v>
      </c>
      <c r="F32">
        <v>23.07</v>
      </c>
      <c r="G32">
        <v>58.18</v>
      </c>
      <c r="H32">
        <v>99.02</v>
      </c>
      <c r="I32">
        <v>94.78</v>
      </c>
      <c r="J32">
        <v>97.62</v>
      </c>
      <c r="K32">
        <v>27.57</v>
      </c>
      <c r="L32">
        <v>29.73</v>
      </c>
      <c r="M32">
        <v>75.010000000000005</v>
      </c>
      <c r="N32">
        <v>93.89</v>
      </c>
      <c r="O32">
        <v>74.510000000000005</v>
      </c>
      <c r="P32">
        <v>29.01</v>
      </c>
      <c r="Q32">
        <v>55.79</v>
      </c>
      <c r="R32">
        <v>218.1</v>
      </c>
      <c r="S32">
        <v>59.92</v>
      </c>
      <c r="T32">
        <v>80.81</v>
      </c>
      <c r="U32">
        <v>36.93</v>
      </c>
      <c r="V32">
        <v>50.58</v>
      </c>
      <c r="W32">
        <v>104.81</v>
      </c>
      <c r="X32">
        <v>117.41</v>
      </c>
      <c r="Y32">
        <v>51.49</v>
      </c>
      <c r="Z32">
        <v>42.97</v>
      </c>
      <c r="AA32">
        <v>56.79</v>
      </c>
      <c r="AB32">
        <v>124.84</v>
      </c>
      <c r="AC32">
        <v>65.709999999999994</v>
      </c>
      <c r="AD32">
        <v>160.22999999999999</v>
      </c>
      <c r="AE32">
        <v>75.069999999999993</v>
      </c>
      <c r="AF32">
        <v>101.21</v>
      </c>
      <c r="AG32">
        <v>190.48</v>
      </c>
      <c r="AH32">
        <v>97.39</v>
      </c>
      <c r="AI32">
        <v>96.34</v>
      </c>
      <c r="AJ32">
        <v>108.33</v>
      </c>
      <c r="AK32">
        <v>31.83</v>
      </c>
      <c r="AL32">
        <v>19.47</v>
      </c>
      <c r="AM32">
        <v>32.520000000000003</v>
      </c>
      <c r="AN32">
        <v>23.61</v>
      </c>
      <c r="AO32">
        <v>26.47</v>
      </c>
      <c r="AP32">
        <v>26.05</v>
      </c>
      <c r="AQ32">
        <v>29.68</v>
      </c>
      <c r="AR32">
        <v>23.72</v>
      </c>
      <c r="AS32">
        <v>23.06</v>
      </c>
      <c r="AT32">
        <v>22.72</v>
      </c>
      <c r="AU32">
        <v>27.2</v>
      </c>
      <c r="AV32">
        <v>46.26</v>
      </c>
      <c r="AW32">
        <v>37.44</v>
      </c>
      <c r="AX32">
        <v>52.33</v>
      </c>
      <c r="AY32">
        <v>77.44</v>
      </c>
      <c r="AZ32">
        <v>239.36</v>
      </c>
      <c r="BA32">
        <v>151.13999999999999</v>
      </c>
      <c r="BB32">
        <v>127.99</v>
      </c>
      <c r="BC32">
        <v>57.29</v>
      </c>
      <c r="BD32">
        <v>91.385000000000005</v>
      </c>
      <c r="BE32">
        <v>290.60000000000002</v>
      </c>
      <c r="BF32">
        <v>338.64</v>
      </c>
      <c r="BG32">
        <v>47.57</v>
      </c>
      <c r="BH32">
        <v>95.49</v>
      </c>
      <c r="BI32">
        <v>200.87</v>
      </c>
      <c r="BJ32">
        <v>78.510000000000005</v>
      </c>
      <c r="BK32">
        <v>50.87</v>
      </c>
      <c r="BL32">
        <v>101.47</v>
      </c>
      <c r="BM32">
        <v>68.31</v>
      </c>
      <c r="BN32">
        <v>53.75</v>
      </c>
      <c r="BO32">
        <v>52.2</v>
      </c>
      <c r="BP32">
        <v>175.08</v>
      </c>
      <c r="BQ32">
        <v>139.47999999999999</v>
      </c>
      <c r="BR32">
        <v>88.2</v>
      </c>
      <c r="BS32">
        <v>43.94</v>
      </c>
      <c r="BT32">
        <v>46.38</v>
      </c>
      <c r="BU32">
        <v>157.37</v>
      </c>
    </row>
    <row r="33" spans="1:73" x14ac:dyDescent="0.25">
      <c r="A33" s="1">
        <v>46071</v>
      </c>
      <c r="B33">
        <v>100.86</v>
      </c>
      <c r="C33">
        <v>29.71</v>
      </c>
      <c r="D33">
        <v>74.790000000000006</v>
      </c>
      <c r="E33">
        <v>48.9</v>
      </c>
      <c r="F33">
        <v>22.93</v>
      </c>
      <c r="G33">
        <v>58.16</v>
      </c>
      <c r="H33">
        <v>98.88</v>
      </c>
      <c r="I33">
        <v>94.91</v>
      </c>
      <c r="J33">
        <v>97.66</v>
      </c>
      <c r="K33">
        <v>27.63</v>
      </c>
      <c r="L33">
        <v>30.3</v>
      </c>
      <c r="M33">
        <v>75.2</v>
      </c>
      <c r="N33">
        <v>93.88</v>
      </c>
      <c r="O33">
        <v>75.09</v>
      </c>
      <c r="P33">
        <v>28.67</v>
      </c>
      <c r="Q33">
        <v>55.53</v>
      </c>
      <c r="R33">
        <v>220.1</v>
      </c>
      <c r="S33">
        <v>58.9</v>
      </c>
      <c r="T33">
        <v>80.91</v>
      </c>
      <c r="U33">
        <v>36.97</v>
      </c>
      <c r="V33">
        <v>50.56</v>
      </c>
      <c r="W33">
        <v>105.1</v>
      </c>
      <c r="X33">
        <v>115.57</v>
      </c>
      <c r="Y33">
        <v>51.41</v>
      </c>
      <c r="Z33">
        <v>42.67</v>
      </c>
      <c r="AA33">
        <v>57.9</v>
      </c>
      <c r="AB33">
        <v>125.8</v>
      </c>
      <c r="AC33">
        <v>65.84</v>
      </c>
      <c r="AD33">
        <v>160.63999999999999</v>
      </c>
      <c r="AE33">
        <v>75.11</v>
      </c>
      <c r="AF33">
        <v>100.01</v>
      </c>
      <c r="AG33">
        <v>192.48</v>
      </c>
      <c r="AH33">
        <v>97.53</v>
      </c>
      <c r="AI33">
        <v>96.26</v>
      </c>
      <c r="AJ33">
        <v>108.31</v>
      </c>
      <c r="AK33">
        <v>31.78</v>
      </c>
      <c r="AL33">
        <v>19.48</v>
      </c>
      <c r="AM33">
        <v>32.409999999999997</v>
      </c>
      <c r="AN33">
        <v>23.59</v>
      </c>
      <c r="AO33">
        <v>26.52</v>
      </c>
      <c r="AP33">
        <v>26.01</v>
      </c>
      <c r="AQ33">
        <v>29.65</v>
      </c>
      <c r="AR33">
        <v>23.75</v>
      </c>
      <c r="AS33">
        <v>23.02</v>
      </c>
      <c r="AT33">
        <v>22.69</v>
      </c>
      <c r="AU33">
        <v>27.1</v>
      </c>
      <c r="AV33">
        <v>46.24</v>
      </c>
      <c r="AW33">
        <v>37.520000000000003</v>
      </c>
      <c r="AX33">
        <v>52.3</v>
      </c>
      <c r="AY33">
        <v>77.319999999999993</v>
      </c>
      <c r="AZ33">
        <v>238.38</v>
      </c>
      <c r="BA33">
        <v>154.11000000000001</v>
      </c>
      <c r="BB33">
        <v>128.91999999999999</v>
      </c>
      <c r="BC33">
        <v>57.09</v>
      </c>
      <c r="BD33">
        <v>92.23</v>
      </c>
      <c r="BE33">
        <v>291.42</v>
      </c>
      <c r="BF33">
        <v>339.23</v>
      </c>
      <c r="BG33">
        <v>47.54</v>
      </c>
      <c r="BH33">
        <v>94.37</v>
      </c>
      <c r="BI33">
        <v>197.39</v>
      </c>
      <c r="BJ33">
        <v>78.44</v>
      </c>
      <c r="BK33">
        <v>50.86</v>
      </c>
      <c r="BL33">
        <v>101.47</v>
      </c>
      <c r="BM33">
        <v>68.34</v>
      </c>
      <c r="BN33">
        <v>54.78</v>
      </c>
      <c r="BO33">
        <v>52.59</v>
      </c>
      <c r="BP33">
        <v>175.04</v>
      </c>
      <c r="BQ33">
        <v>140.91</v>
      </c>
      <c r="BR33">
        <v>88.04</v>
      </c>
      <c r="BS33">
        <v>43.35</v>
      </c>
      <c r="BT33">
        <v>45.61</v>
      </c>
      <c r="BU33">
        <v>157.66999999999999</v>
      </c>
    </row>
    <row r="34" spans="1:73" x14ac:dyDescent="0.25">
      <c r="A34" s="1">
        <v>46072</v>
      </c>
      <c r="B34">
        <v>100.88</v>
      </c>
      <c r="C34">
        <v>29.75</v>
      </c>
      <c r="D34">
        <v>74.819999999999993</v>
      </c>
      <c r="E34">
        <v>48.93</v>
      </c>
      <c r="F34">
        <v>22.92</v>
      </c>
      <c r="G34">
        <v>58.18</v>
      </c>
      <c r="H34">
        <v>98.94</v>
      </c>
      <c r="I34">
        <v>94.98</v>
      </c>
      <c r="J34">
        <v>97.55</v>
      </c>
      <c r="K34">
        <v>27.65</v>
      </c>
      <c r="L34">
        <v>30.56</v>
      </c>
      <c r="M34">
        <v>75.06</v>
      </c>
      <c r="N34">
        <v>94.69</v>
      </c>
      <c r="O34">
        <v>74.459999999999994</v>
      </c>
      <c r="P34">
        <v>28.63</v>
      </c>
      <c r="Q34">
        <v>55.39</v>
      </c>
      <c r="R34">
        <v>219.18</v>
      </c>
      <c r="S34">
        <v>59.52</v>
      </c>
      <c r="T34">
        <v>80.94</v>
      </c>
      <c r="U34">
        <v>36.99</v>
      </c>
      <c r="V34">
        <v>50.6</v>
      </c>
      <c r="W34">
        <v>105.26</v>
      </c>
      <c r="X34">
        <v>116.75</v>
      </c>
      <c r="Y34">
        <v>51.48</v>
      </c>
      <c r="Z34">
        <v>42.67</v>
      </c>
      <c r="AA34">
        <v>58.29</v>
      </c>
      <c r="AB34">
        <v>124.76</v>
      </c>
      <c r="AC34">
        <v>65.73</v>
      </c>
      <c r="AD34">
        <v>161.1</v>
      </c>
      <c r="AE34">
        <v>75.040000000000006</v>
      </c>
      <c r="AF34">
        <v>99.83</v>
      </c>
      <c r="AG34">
        <v>191.64</v>
      </c>
      <c r="AH34">
        <v>97.55</v>
      </c>
      <c r="AI34">
        <v>96.3</v>
      </c>
      <c r="AJ34">
        <v>108.46</v>
      </c>
      <c r="AK34">
        <v>31.71</v>
      </c>
      <c r="AL34">
        <v>19.39</v>
      </c>
      <c r="AM34">
        <v>32.44</v>
      </c>
      <c r="AN34">
        <v>23.6</v>
      </c>
      <c r="AO34">
        <v>26.52</v>
      </c>
      <c r="AP34">
        <v>26.02</v>
      </c>
      <c r="AQ34">
        <v>29.67</v>
      </c>
      <c r="AR34">
        <v>23.76</v>
      </c>
      <c r="AS34">
        <v>23.06</v>
      </c>
      <c r="AT34">
        <v>22.7</v>
      </c>
      <c r="AU34">
        <v>27.13</v>
      </c>
      <c r="AV34">
        <v>46.24</v>
      </c>
      <c r="AW34">
        <v>37.520000000000003</v>
      </c>
      <c r="AX34">
        <v>52.32</v>
      </c>
      <c r="AY34">
        <v>77.39</v>
      </c>
      <c r="AZ34">
        <v>237.63</v>
      </c>
      <c r="BA34">
        <v>155.41</v>
      </c>
      <c r="BB34">
        <v>127.88</v>
      </c>
      <c r="BC34">
        <v>57.16</v>
      </c>
      <c r="BD34">
        <v>91.831299999999999</v>
      </c>
      <c r="BE34">
        <v>290.87</v>
      </c>
      <c r="BF34">
        <v>341.5</v>
      </c>
      <c r="BG34">
        <v>47.56</v>
      </c>
      <c r="BH34">
        <v>94.17</v>
      </c>
      <c r="BI34">
        <v>199.51</v>
      </c>
      <c r="BJ34">
        <v>78.489999999999995</v>
      </c>
      <c r="BK34">
        <v>50.86</v>
      </c>
      <c r="BL34">
        <v>101.46</v>
      </c>
      <c r="BM34">
        <v>68.260000000000005</v>
      </c>
      <c r="BN34">
        <v>55.18</v>
      </c>
      <c r="BO34">
        <v>52.15</v>
      </c>
      <c r="BP34">
        <v>176.34</v>
      </c>
      <c r="BQ34">
        <v>140.21</v>
      </c>
      <c r="BR34">
        <v>87.67</v>
      </c>
      <c r="BS34">
        <v>43.2</v>
      </c>
      <c r="BT34">
        <v>46.11</v>
      </c>
      <c r="BU34">
        <v>157.26</v>
      </c>
    </row>
    <row r="35" spans="1:73" x14ac:dyDescent="0.25">
      <c r="A35" s="1">
        <v>46073</v>
      </c>
      <c r="B35">
        <v>100.9</v>
      </c>
      <c r="C35">
        <v>29.75</v>
      </c>
      <c r="D35">
        <v>74.81</v>
      </c>
      <c r="E35">
        <v>48.98</v>
      </c>
      <c r="F35">
        <v>22.93</v>
      </c>
      <c r="G35">
        <v>58.22</v>
      </c>
      <c r="H35">
        <v>98.97</v>
      </c>
      <c r="I35">
        <v>94.64</v>
      </c>
      <c r="J35">
        <v>97.65</v>
      </c>
      <c r="K35">
        <v>27.64</v>
      </c>
      <c r="L35">
        <v>30.42</v>
      </c>
      <c r="M35">
        <v>74.819999999999993</v>
      </c>
      <c r="N35">
        <v>94.96</v>
      </c>
      <c r="O35">
        <v>74.87</v>
      </c>
      <c r="P35">
        <v>28.81</v>
      </c>
      <c r="Q35">
        <v>55.5</v>
      </c>
      <c r="R35">
        <v>220.32</v>
      </c>
      <c r="S35">
        <v>59.8</v>
      </c>
      <c r="T35">
        <v>81</v>
      </c>
      <c r="U35">
        <v>37.01</v>
      </c>
      <c r="V35">
        <v>50.66</v>
      </c>
      <c r="W35">
        <v>105.05</v>
      </c>
      <c r="X35">
        <v>117.14</v>
      </c>
      <c r="Y35">
        <v>51.41</v>
      </c>
      <c r="Z35">
        <v>42.77</v>
      </c>
      <c r="AA35">
        <v>58.06</v>
      </c>
      <c r="AB35">
        <v>125.34</v>
      </c>
      <c r="AC35">
        <v>65.58</v>
      </c>
      <c r="AD35">
        <v>161.91</v>
      </c>
      <c r="AE35">
        <v>75.45</v>
      </c>
      <c r="AF35">
        <v>100.54</v>
      </c>
      <c r="AG35">
        <v>192.93</v>
      </c>
      <c r="AH35">
        <v>97.62</v>
      </c>
      <c r="AI35">
        <v>96.35</v>
      </c>
      <c r="AJ35">
        <v>108.54</v>
      </c>
      <c r="AK35">
        <v>31.7</v>
      </c>
      <c r="AL35">
        <v>19.399999999999999</v>
      </c>
      <c r="AM35">
        <v>32.39</v>
      </c>
      <c r="AN35">
        <v>23.6</v>
      </c>
      <c r="AO35">
        <v>26.54</v>
      </c>
      <c r="AP35">
        <v>26.02</v>
      </c>
      <c r="AQ35">
        <v>29.65</v>
      </c>
      <c r="AR35">
        <v>23.77</v>
      </c>
      <c r="AS35">
        <v>23.02</v>
      </c>
      <c r="AT35">
        <v>22.72</v>
      </c>
      <c r="AU35">
        <v>27.07</v>
      </c>
      <c r="AV35">
        <v>46.28</v>
      </c>
      <c r="AW35">
        <v>37.549999999999997</v>
      </c>
      <c r="AX35">
        <v>52.3</v>
      </c>
      <c r="AY35">
        <v>77.3</v>
      </c>
      <c r="AZ35">
        <v>238.2</v>
      </c>
      <c r="BA35">
        <v>154.75</v>
      </c>
      <c r="BB35">
        <v>128.59</v>
      </c>
      <c r="BC35">
        <v>57.05</v>
      </c>
      <c r="BD35">
        <v>92.2</v>
      </c>
      <c r="BE35">
        <v>289.89999999999998</v>
      </c>
      <c r="BF35">
        <v>342.93</v>
      </c>
      <c r="BG35">
        <v>47.6</v>
      </c>
      <c r="BH35">
        <v>94.88</v>
      </c>
      <c r="BI35">
        <v>200.31</v>
      </c>
      <c r="BJ35">
        <v>78.45</v>
      </c>
      <c r="BK35">
        <v>50.93</v>
      </c>
      <c r="BL35">
        <v>101.55</v>
      </c>
      <c r="BM35">
        <v>68.3</v>
      </c>
      <c r="BN35">
        <v>54.88</v>
      </c>
      <c r="BO35">
        <v>52.49</v>
      </c>
      <c r="BP35">
        <v>177.23</v>
      </c>
      <c r="BQ35">
        <v>140.88</v>
      </c>
      <c r="BR35">
        <v>87.89</v>
      </c>
      <c r="BS35">
        <v>43.56</v>
      </c>
      <c r="BT35">
        <v>46.33</v>
      </c>
      <c r="BU35">
        <v>156.82</v>
      </c>
    </row>
    <row r="36" spans="1:73" x14ac:dyDescent="0.25">
      <c r="A36" s="1">
        <v>46076</v>
      </c>
      <c r="B36">
        <v>101.1</v>
      </c>
      <c r="C36">
        <v>29.7</v>
      </c>
      <c r="D36">
        <v>74.97</v>
      </c>
      <c r="E36">
        <v>49.07</v>
      </c>
      <c r="F36">
        <v>23.05</v>
      </c>
      <c r="G36">
        <v>58.24</v>
      </c>
      <c r="H36">
        <v>99.08</v>
      </c>
      <c r="I36">
        <v>94.13</v>
      </c>
      <c r="J36">
        <v>97.71</v>
      </c>
      <c r="K36">
        <v>27.6</v>
      </c>
      <c r="L36">
        <v>30.51</v>
      </c>
      <c r="M36">
        <v>75.55</v>
      </c>
      <c r="N36">
        <v>93.69</v>
      </c>
      <c r="O36">
        <v>72.319999999999993</v>
      </c>
      <c r="P36">
        <v>28.82</v>
      </c>
      <c r="Q36">
        <v>56.17</v>
      </c>
      <c r="R36">
        <v>216.95</v>
      </c>
      <c r="S36">
        <v>60.16</v>
      </c>
      <c r="T36">
        <v>80.87</v>
      </c>
      <c r="U36">
        <v>36.97</v>
      </c>
      <c r="V36">
        <v>50.72</v>
      </c>
      <c r="W36">
        <v>104.37</v>
      </c>
      <c r="X36">
        <v>117.86</v>
      </c>
      <c r="Y36">
        <v>51.38</v>
      </c>
      <c r="Z36">
        <v>42.82</v>
      </c>
      <c r="AA36">
        <v>58.29</v>
      </c>
      <c r="AB36">
        <v>121.67</v>
      </c>
      <c r="AC36">
        <v>66.2</v>
      </c>
      <c r="AD36">
        <v>158.46</v>
      </c>
      <c r="AE36">
        <v>76.540000000000006</v>
      </c>
      <c r="AF36">
        <v>100.51</v>
      </c>
      <c r="AG36">
        <v>189.8</v>
      </c>
      <c r="AH36">
        <v>97.5</v>
      </c>
      <c r="AI36">
        <v>96.56</v>
      </c>
      <c r="AJ36">
        <v>108.51</v>
      </c>
      <c r="AK36">
        <v>31.5</v>
      </c>
      <c r="AL36">
        <v>19.309999999999999</v>
      </c>
      <c r="AM36">
        <v>32.5</v>
      </c>
      <c r="AN36">
        <v>23.65</v>
      </c>
      <c r="AO36">
        <v>26.53</v>
      </c>
      <c r="AP36">
        <v>26.08</v>
      </c>
      <c r="AQ36">
        <v>29.68</v>
      </c>
      <c r="AR36">
        <v>23.74</v>
      </c>
      <c r="AS36">
        <v>23.01</v>
      </c>
      <c r="AT36">
        <v>22.77</v>
      </c>
      <c r="AU36">
        <v>27.17</v>
      </c>
      <c r="AV36">
        <v>46.34</v>
      </c>
      <c r="AW36">
        <v>37.5</v>
      </c>
      <c r="AX36">
        <v>52.37</v>
      </c>
      <c r="AY36">
        <v>77.290000000000006</v>
      </c>
      <c r="AZ36">
        <v>241.01</v>
      </c>
      <c r="BA36">
        <v>155.18</v>
      </c>
      <c r="BB36">
        <v>124.18</v>
      </c>
      <c r="BC36">
        <v>57.26</v>
      </c>
      <c r="BD36">
        <v>90.856300000000005</v>
      </c>
      <c r="BE36">
        <v>292.72000000000003</v>
      </c>
      <c r="BF36">
        <v>337.98</v>
      </c>
      <c r="BG36">
        <v>47.69</v>
      </c>
      <c r="BH36">
        <v>94.89</v>
      </c>
      <c r="BI36">
        <v>201.69</v>
      </c>
      <c r="BJ36">
        <v>78.55</v>
      </c>
      <c r="BK36">
        <v>50.96</v>
      </c>
      <c r="BL36">
        <v>101.62</v>
      </c>
      <c r="BM36">
        <v>68.37</v>
      </c>
      <c r="BN36">
        <v>55.15</v>
      </c>
      <c r="BO36">
        <v>50.73</v>
      </c>
      <c r="BP36">
        <v>174.83</v>
      </c>
      <c r="BQ36">
        <v>138.52000000000001</v>
      </c>
      <c r="BR36">
        <v>88.97</v>
      </c>
      <c r="BS36">
        <v>43.61</v>
      </c>
      <c r="BT36">
        <v>46.68</v>
      </c>
      <c r="BU36">
        <v>158.54</v>
      </c>
    </row>
    <row r="37" spans="1:73" x14ac:dyDescent="0.25">
      <c r="A37" s="1">
        <v>46077</v>
      </c>
      <c r="B37">
        <v>101.09</v>
      </c>
      <c r="C37">
        <v>29.7</v>
      </c>
      <c r="D37">
        <v>74.930000000000007</v>
      </c>
      <c r="E37">
        <v>49.09</v>
      </c>
      <c r="F37">
        <v>22.99</v>
      </c>
      <c r="G37">
        <v>58.28</v>
      </c>
      <c r="H37">
        <v>99.04</v>
      </c>
      <c r="I37">
        <v>94.91</v>
      </c>
      <c r="J37">
        <v>97.65</v>
      </c>
      <c r="K37">
        <v>27.59</v>
      </c>
      <c r="L37">
        <v>30.53</v>
      </c>
      <c r="M37">
        <v>75.36</v>
      </c>
      <c r="N37">
        <v>94.75</v>
      </c>
      <c r="O37">
        <v>72.67</v>
      </c>
      <c r="P37">
        <v>28.89</v>
      </c>
      <c r="Q37">
        <v>56.66</v>
      </c>
      <c r="R37">
        <v>219.97</v>
      </c>
      <c r="S37">
        <v>60.82</v>
      </c>
      <c r="T37">
        <v>80.81</v>
      </c>
      <c r="U37">
        <v>36.94</v>
      </c>
      <c r="V37">
        <v>50.72</v>
      </c>
      <c r="W37">
        <v>104.9</v>
      </c>
      <c r="X37">
        <v>119.03</v>
      </c>
      <c r="Y37">
        <v>51.39</v>
      </c>
      <c r="Z37">
        <v>42.74</v>
      </c>
      <c r="AA37">
        <v>58.28</v>
      </c>
      <c r="AB37">
        <v>122.35</v>
      </c>
      <c r="AC37">
        <v>66.02</v>
      </c>
      <c r="AD37">
        <v>160.38</v>
      </c>
      <c r="AE37">
        <v>76.900000000000006</v>
      </c>
      <c r="AF37">
        <v>100.76</v>
      </c>
      <c r="AG37">
        <v>192.22</v>
      </c>
      <c r="AH37">
        <v>97.39</v>
      </c>
      <c r="AI37">
        <v>96.55</v>
      </c>
      <c r="AJ37">
        <v>108.71</v>
      </c>
      <c r="AK37">
        <v>31.69</v>
      </c>
      <c r="AL37">
        <v>19.46</v>
      </c>
      <c r="AM37">
        <v>32.549999999999997</v>
      </c>
      <c r="AN37">
        <v>23.65</v>
      </c>
      <c r="AO37">
        <v>26.49</v>
      </c>
      <c r="AP37">
        <v>26.07</v>
      </c>
      <c r="AQ37">
        <v>29.68</v>
      </c>
      <c r="AR37">
        <v>23.73</v>
      </c>
      <c r="AS37">
        <v>23.01</v>
      </c>
      <c r="AT37">
        <v>22.76</v>
      </c>
      <c r="AU37">
        <v>27.21</v>
      </c>
      <c r="AV37">
        <v>46.4</v>
      </c>
      <c r="AW37">
        <v>37.450000000000003</v>
      </c>
      <c r="AX37">
        <v>52.34</v>
      </c>
      <c r="AY37">
        <v>77.3</v>
      </c>
      <c r="AZ37">
        <v>243.1</v>
      </c>
      <c r="BA37">
        <v>155.22999999999999</v>
      </c>
      <c r="BB37">
        <v>124.82</v>
      </c>
      <c r="BC37">
        <v>57.32</v>
      </c>
      <c r="BD37">
        <v>92.162499999999994</v>
      </c>
      <c r="BE37">
        <v>291.93</v>
      </c>
      <c r="BF37">
        <v>342.37</v>
      </c>
      <c r="BG37">
        <v>47.7</v>
      </c>
      <c r="BH37">
        <v>95.13</v>
      </c>
      <c r="BI37">
        <v>203.79</v>
      </c>
      <c r="BJ37">
        <v>78.489999999999995</v>
      </c>
      <c r="BK37">
        <v>51.03</v>
      </c>
      <c r="BL37">
        <v>101.7</v>
      </c>
      <c r="BM37">
        <v>68.28</v>
      </c>
      <c r="BN37">
        <v>55.1</v>
      </c>
      <c r="BO37">
        <v>50.98</v>
      </c>
      <c r="BP37">
        <v>176.98</v>
      </c>
      <c r="BQ37">
        <v>140.32</v>
      </c>
      <c r="BR37">
        <v>89.74</v>
      </c>
      <c r="BS37">
        <v>43.73</v>
      </c>
      <c r="BT37">
        <v>47.2</v>
      </c>
      <c r="BU37">
        <v>157.87</v>
      </c>
    </row>
    <row r="38" spans="1:73" x14ac:dyDescent="0.25">
      <c r="A38" s="1">
        <v>46078</v>
      </c>
      <c r="B38">
        <v>101.04</v>
      </c>
      <c r="C38">
        <v>29.71</v>
      </c>
      <c r="D38">
        <v>74.91</v>
      </c>
      <c r="E38">
        <v>49.03</v>
      </c>
      <c r="F38">
        <v>22.98</v>
      </c>
      <c r="G38">
        <v>58.33</v>
      </c>
      <c r="H38">
        <v>98.98</v>
      </c>
      <c r="I38">
        <v>95.62</v>
      </c>
      <c r="J38">
        <v>97.74</v>
      </c>
      <c r="K38">
        <v>27.62</v>
      </c>
      <c r="L38">
        <v>30.38</v>
      </c>
      <c r="M38">
        <v>75.34</v>
      </c>
      <c r="N38">
        <v>94.24</v>
      </c>
      <c r="O38">
        <v>73.89</v>
      </c>
      <c r="P38">
        <v>28.79</v>
      </c>
      <c r="Q38">
        <v>56.23</v>
      </c>
      <c r="R38">
        <v>224.1</v>
      </c>
      <c r="S38">
        <v>61.06</v>
      </c>
      <c r="T38">
        <v>80.92</v>
      </c>
      <c r="U38">
        <v>36.99</v>
      </c>
      <c r="V38">
        <v>50.69</v>
      </c>
      <c r="W38">
        <v>105.69</v>
      </c>
      <c r="X38">
        <v>119.44</v>
      </c>
      <c r="Y38">
        <v>51.37</v>
      </c>
      <c r="Z38">
        <v>42.81</v>
      </c>
      <c r="AA38">
        <v>57.93</v>
      </c>
      <c r="AB38">
        <v>124.17</v>
      </c>
      <c r="AC38">
        <v>65.94</v>
      </c>
      <c r="AD38">
        <v>159.77000000000001</v>
      </c>
      <c r="AE38">
        <v>76.510000000000005</v>
      </c>
      <c r="AF38">
        <v>100.37</v>
      </c>
      <c r="AG38">
        <v>195.98</v>
      </c>
      <c r="AH38">
        <v>97.56</v>
      </c>
      <c r="AI38">
        <v>96.52</v>
      </c>
      <c r="AJ38">
        <v>108.75</v>
      </c>
      <c r="AK38">
        <v>31.71</v>
      </c>
      <c r="AL38">
        <v>19.420000000000002</v>
      </c>
      <c r="AM38">
        <v>32.549999999999997</v>
      </c>
      <c r="AN38">
        <v>23.63</v>
      </c>
      <c r="AO38">
        <v>26.52</v>
      </c>
      <c r="AP38">
        <v>26.05</v>
      </c>
      <c r="AQ38">
        <v>29.66</v>
      </c>
      <c r="AR38">
        <v>23.75</v>
      </c>
      <c r="AS38">
        <v>23</v>
      </c>
      <c r="AT38">
        <v>22.76</v>
      </c>
      <c r="AU38">
        <v>27.2</v>
      </c>
      <c r="AV38">
        <v>46.41</v>
      </c>
      <c r="AW38">
        <v>37.520000000000003</v>
      </c>
      <c r="AX38">
        <v>52.32</v>
      </c>
      <c r="AY38">
        <v>77.28</v>
      </c>
      <c r="AZ38">
        <v>241.29</v>
      </c>
      <c r="BA38">
        <v>154.61000000000001</v>
      </c>
      <c r="BB38">
        <v>126.89</v>
      </c>
      <c r="BC38">
        <v>57.32</v>
      </c>
      <c r="BD38">
        <v>93.907499999999999</v>
      </c>
      <c r="BE38">
        <v>291.88</v>
      </c>
      <c r="BF38">
        <v>340.12</v>
      </c>
      <c r="BG38">
        <v>47.64</v>
      </c>
      <c r="BH38">
        <v>94.87</v>
      </c>
      <c r="BI38">
        <v>204.55</v>
      </c>
      <c r="BJ38">
        <v>78.489999999999995</v>
      </c>
      <c r="BK38">
        <v>51.06</v>
      </c>
      <c r="BL38">
        <v>101.69</v>
      </c>
      <c r="BM38">
        <v>68.349999999999994</v>
      </c>
      <c r="BN38">
        <v>54.87</v>
      </c>
      <c r="BO38">
        <v>51.87</v>
      </c>
      <c r="BP38">
        <v>175.6</v>
      </c>
      <c r="BQ38">
        <v>143.01</v>
      </c>
      <c r="BR38">
        <v>89.01</v>
      </c>
      <c r="BS38">
        <v>43.44</v>
      </c>
      <c r="BT38">
        <v>47.36</v>
      </c>
      <c r="BU38">
        <v>157.83000000000001</v>
      </c>
    </row>
    <row r="39" spans="1:73" x14ac:dyDescent="0.25">
      <c r="A39" s="1">
        <v>46079</v>
      </c>
      <c r="B39">
        <v>101.2</v>
      </c>
      <c r="C39">
        <v>29.71</v>
      </c>
      <c r="D39">
        <v>75.02</v>
      </c>
      <c r="E39">
        <v>49.11</v>
      </c>
      <c r="F39">
        <v>23.03</v>
      </c>
      <c r="G39">
        <v>58.37</v>
      </c>
      <c r="H39">
        <v>99.07</v>
      </c>
      <c r="I39">
        <v>95.07</v>
      </c>
      <c r="J39">
        <v>97.68</v>
      </c>
      <c r="K39">
        <v>27.64</v>
      </c>
      <c r="L39">
        <v>30.5</v>
      </c>
      <c r="M39">
        <v>75.19</v>
      </c>
      <c r="N39">
        <v>94.81</v>
      </c>
      <c r="O39">
        <v>74.78</v>
      </c>
      <c r="P39">
        <v>28.99</v>
      </c>
      <c r="Q39">
        <v>56.15</v>
      </c>
      <c r="R39">
        <v>220.79</v>
      </c>
      <c r="S39">
        <v>60.81</v>
      </c>
      <c r="T39">
        <v>80.849999999999994</v>
      </c>
      <c r="U39">
        <v>36.97</v>
      </c>
      <c r="V39">
        <v>50.74</v>
      </c>
      <c r="W39">
        <v>105.39</v>
      </c>
      <c r="X39">
        <v>119.25</v>
      </c>
      <c r="Y39">
        <v>51.41</v>
      </c>
      <c r="Z39">
        <v>42.86</v>
      </c>
      <c r="AA39">
        <v>58.16</v>
      </c>
      <c r="AB39">
        <v>125.66</v>
      </c>
      <c r="AC39">
        <v>65.77</v>
      </c>
      <c r="AD39">
        <v>160.93</v>
      </c>
      <c r="AE39">
        <v>76.72</v>
      </c>
      <c r="AF39">
        <v>101.05</v>
      </c>
      <c r="AG39">
        <v>193.2</v>
      </c>
      <c r="AH39">
        <v>97.48</v>
      </c>
      <c r="AI39">
        <v>96.75</v>
      </c>
      <c r="AJ39">
        <v>108.92</v>
      </c>
      <c r="AK39">
        <v>31.63</v>
      </c>
      <c r="AL39">
        <v>19.36</v>
      </c>
      <c r="AM39">
        <v>32.68</v>
      </c>
      <c r="AN39">
        <v>23.67</v>
      </c>
      <c r="AO39">
        <v>26.52</v>
      </c>
      <c r="AP39">
        <v>26.09</v>
      </c>
      <c r="AQ39">
        <v>29.69</v>
      </c>
      <c r="AR39">
        <v>23.74</v>
      </c>
      <c r="AS39">
        <v>23.03</v>
      </c>
      <c r="AT39">
        <v>22.79</v>
      </c>
      <c r="AU39">
        <v>27.31</v>
      </c>
      <c r="AV39">
        <v>46.45</v>
      </c>
      <c r="AW39">
        <v>37.49</v>
      </c>
      <c r="AX39">
        <v>52.35</v>
      </c>
      <c r="AY39">
        <v>77.3</v>
      </c>
      <c r="AZ39">
        <v>240.89</v>
      </c>
      <c r="BA39">
        <v>155.19999999999999</v>
      </c>
      <c r="BB39">
        <v>128.49</v>
      </c>
      <c r="BC39">
        <v>57.54</v>
      </c>
      <c r="BD39">
        <v>92.523799999999994</v>
      </c>
      <c r="BE39">
        <v>291.42</v>
      </c>
      <c r="BF39">
        <v>342.12</v>
      </c>
      <c r="BG39">
        <v>47.77</v>
      </c>
      <c r="BH39">
        <v>95.52</v>
      </c>
      <c r="BI39">
        <v>203.78</v>
      </c>
      <c r="BJ39">
        <v>78.53</v>
      </c>
      <c r="BK39">
        <v>51.13</v>
      </c>
      <c r="BL39">
        <v>101.76</v>
      </c>
      <c r="BM39">
        <v>68.33</v>
      </c>
      <c r="BN39">
        <v>55.05</v>
      </c>
      <c r="BO39">
        <v>52.5</v>
      </c>
      <c r="BP39">
        <v>176.7</v>
      </c>
      <c r="BQ39">
        <v>141.01</v>
      </c>
      <c r="BR39">
        <v>88.86</v>
      </c>
      <c r="BS39">
        <v>43.63</v>
      </c>
      <c r="BT39">
        <v>47.18</v>
      </c>
      <c r="BU39">
        <v>157.41999999999999</v>
      </c>
    </row>
    <row r="40" spans="1:73" x14ac:dyDescent="0.25">
      <c r="A40" s="1">
        <v>46080</v>
      </c>
      <c r="B40">
        <v>101.4</v>
      </c>
      <c r="C40">
        <v>29.63</v>
      </c>
      <c r="D40">
        <v>75.17</v>
      </c>
      <c r="E40">
        <v>49.2</v>
      </c>
      <c r="F40">
        <v>23.03</v>
      </c>
      <c r="G40">
        <v>58.41</v>
      </c>
      <c r="H40">
        <v>99.09</v>
      </c>
      <c r="I40">
        <v>94.38</v>
      </c>
      <c r="J40">
        <v>97.73</v>
      </c>
      <c r="K40">
        <v>27.57</v>
      </c>
      <c r="L40">
        <v>31</v>
      </c>
      <c r="M40">
        <v>76.28</v>
      </c>
      <c r="N40">
        <v>94.63</v>
      </c>
      <c r="O40">
        <v>73.11</v>
      </c>
      <c r="P40">
        <v>29.06</v>
      </c>
      <c r="Q40">
        <v>56.91</v>
      </c>
      <c r="R40">
        <v>216.55</v>
      </c>
      <c r="S40">
        <v>61.44</v>
      </c>
      <c r="T40">
        <v>80.72</v>
      </c>
      <c r="U40">
        <v>36.92</v>
      </c>
      <c r="V40">
        <v>50.86</v>
      </c>
      <c r="W40">
        <v>104.78</v>
      </c>
      <c r="X40">
        <v>120.7</v>
      </c>
      <c r="Y40">
        <v>51.39</v>
      </c>
      <c r="Z40">
        <v>42.99</v>
      </c>
      <c r="AA40">
        <v>59.06</v>
      </c>
      <c r="AB40">
        <v>122.61</v>
      </c>
      <c r="AC40">
        <v>66.84</v>
      </c>
      <c r="AD40">
        <v>160.94</v>
      </c>
      <c r="AE40">
        <v>77.64</v>
      </c>
      <c r="AF40">
        <v>101.28</v>
      </c>
      <c r="AG40">
        <v>189.58</v>
      </c>
      <c r="AH40">
        <v>97.25</v>
      </c>
      <c r="AI40">
        <v>96.91</v>
      </c>
      <c r="AJ40">
        <v>108.92</v>
      </c>
      <c r="AK40">
        <v>31.41</v>
      </c>
      <c r="AL40">
        <v>19.25</v>
      </c>
      <c r="AM40">
        <v>32.840000000000003</v>
      </c>
      <c r="AN40">
        <v>23.71</v>
      </c>
      <c r="AO40">
        <v>26.47</v>
      </c>
      <c r="AP40">
        <v>26.16</v>
      </c>
      <c r="AQ40">
        <v>29.69</v>
      </c>
      <c r="AR40">
        <v>23.7</v>
      </c>
      <c r="AS40">
        <v>23.01</v>
      </c>
      <c r="AT40">
        <v>22.82</v>
      </c>
      <c r="AU40">
        <v>27.46</v>
      </c>
      <c r="AV40">
        <v>46.5</v>
      </c>
      <c r="AW40">
        <v>37.39</v>
      </c>
      <c r="AX40">
        <v>52.37</v>
      </c>
      <c r="AY40">
        <v>77.27</v>
      </c>
      <c r="AZ40">
        <v>244.19</v>
      </c>
      <c r="BA40">
        <v>157.59</v>
      </c>
      <c r="BB40">
        <v>125.56</v>
      </c>
      <c r="BC40">
        <v>57.84</v>
      </c>
      <c r="BD40">
        <v>90.837500000000006</v>
      </c>
      <c r="BE40">
        <v>295.51</v>
      </c>
      <c r="BF40">
        <v>341.85</v>
      </c>
      <c r="BG40">
        <v>47.86</v>
      </c>
      <c r="BH40">
        <v>95.69</v>
      </c>
      <c r="BI40">
        <v>205.87</v>
      </c>
      <c r="BJ40">
        <v>78.56</v>
      </c>
      <c r="BK40">
        <v>51.15</v>
      </c>
      <c r="BL40">
        <v>101.83</v>
      </c>
      <c r="BM40">
        <v>68.349999999999994</v>
      </c>
      <c r="BN40">
        <v>55.92</v>
      </c>
      <c r="BO40">
        <v>51.43</v>
      </c>
      <c r="BP40">
        <v>177.14</v>
      </c>
      <c r="BQ40">
        <v>138.76</v>
      </c>
      <c r="BR40">
        <v>90.01</v>
      </c>
      <c r="BS40">
        <v>43.84</v>
      </c>
      <c r="BT40">
        <v>47.73</v>
      </c>
      <c r="BU40">
        <v>160.19999999999999</v>
      </c>
    </row>
    <row r="41" spans="1:73" x14ac:dyDescent="0.25">
      <c r="A41" s="1">
        <v>46083</v>
      </c>
      <c r="B41">
        <v>100.68</v>
      </c>
      <c r="C41">
        <v>29.5</v>
      </c>
      <c r="D41">
        <v>74.64</v>
      </c>
      <c r="E41">
        <v>48.93</v>
      </c>
      <c r="F41">
        <v>22.72</v>
      </c>
      <c r="G41">
        <v>58.09</v>
      </c>
      <c r="H41">
        <v>98.4</v>
      </c>
      <c r="I41">
        <v>94.74</v>
      </c>
      <c r="J41">
        <v>96.99</v>
      </c>
      <c r="K41">
        <v>27.37</v>
      </c>
      <c r="L41">
        <v>31.63</v>
      </c>
      <c r="M41">
        <v>75.56</v>
      </c>
      <c r="N41">
        <v>95.61</v>
      </c>
      <c r="O41">
        <v>73.19</v>
      </c>
      <c r="P41">
        <v>29.12</v>
      </c>
      <c r="Q41">
        <v>56.14</v>
      </c>
      <c r="R41">
        <v>218.83</v>
      </c>
      <c r="S41">
        <v>61.03</v>
      </c>
      <c r="T41">
        <v>80.28</v>
      </c>
      <c r="U41">
        <v>36.700000000000003</v>
      </c>
      <c r="V41">
        <v>50.66</v>
      </c>
      <c r="W41">
        <v>105.61</v>
      </c>
      <c r="X41">
        <v>119.96</v>
      </c>
      <c r="Y41">
        <v>50.94</v>
      </c>
      <c r="Z41">
        <v>42.49</v>
      </c>
      <c r="AA41">
        <v>60.29</v>
      </c>
      <c r="AB41">
        <v>122.54</v>
      </c>
      <c r="AC41">
        <v>66.08</v>
      </c>
      <c r="AD41">
        <v>162.04</v>
      </c>
      <c r="AE41">
        <v>76.77</v>
      </c>
      <c r="AF41">
        <v>101.54</v>
      </c>
      <c r="AG41">
        <v>191.17</v>
      </c>
      <c r="AH41">
        <v>96.68</v>
      </c>
      <c r="AI41">
        <v>96.05</v>
      </c>
      <c r="AJ41">
        <v>108.27</v>
      </c>
      <c r="AK41">
        <v>31.46</v>
      </c>
      <c r="AL41">
        <v>19.190000000000001</v>
      </c>
      <c r="AM41">
        <v>32.44</v>
      </c>
      <c r="AN41">
        <v>23.55</v>
      </c>
      <c r="AO41">
        <v>26.31</v>
      </c>
      <c r="AP41">
        <v>25.97</v>
      </c>
      <c r="AQ41">
        <v>29.45</v>
      </c>
      <c r="AR41">
        <v>23.54</v>
      </c>
      <c r="AS41">
        <v>22.79</v>
      </c>
      <c r="AT41">
        <v>22.67</v>
      </c>
      <c r="AU41">
        <v>27.12</v>
      </c>
      <c r="AV41">
        <v>46.18</v>
      </c>
      <c r="AW41">
        <v>37.21</v>
      </c>
      <c r="AX41">
        <v>52.02</v>
      </c>
      <c r="AY41">
        <v>76.61</v>
      </c>
      <c r="AZ41">
        <v>240.91</v>
      </c>
      <c r="BA41">
        <v>160.88999999999999</v>
      </c>
      <c r="BB41">
        <v>125.67</v>
      </c>
      <c r="BC41">
        <v>57.14</v>
      </c>
      <c r="BD41">
        <v>91.7363</v>
      </c>
      <c r="BE41">
        <v>292.69</v>
      </c>
      <c r="BF41">
        <v>345.06</v>
      </c>
      <c r="BG41">
        <v>47.44</v>
      </c>
      <c r="BH41">
        <v>95.93</v>
      </c>
      <c r="BI41">
        <v>204.47</v>
      </c>
      <c r="BJ41">
        <v>77.989999999999995</v>
      </c>
      <c r="BK41">
        <v>50.87</v>
      </c>
      <c r="BL41">
        <v>101.34</v>
      </c>
      <c r="BM41">
        <v>67.72</v>
      </c>
      <c r="BN41">
        <v>57.04</v>
      </c>
      <c r="BO41">
        <v>51.3</v>
      </c>
      <c r="BP41">
        <v>178.9</v>
      </c>
      <c r="BQ41">
        <v>139.54</v>
      </c>
      <c r="BR41">
        <v>88.71</v>
      </c>
      <c r="BS41">
        <v>43.92</v>
      </c>
      <c r="BT41">
        <v>47.37</v>
      </c>
      <c r="BU41">
        <v>158.53</v>
      </c>
    </row>
    <row r="42" spans="1:73" x14ac:dyDescent="0.25">
      <c r="A42" s="1">
        <v>46084</v>
      </c>
      <c r="B42">
        <v>100.57</v>
      </c>
      <c r="C42">
        <v>29.32</v>
      </c>
      <c r="D42">
        <v>74.56</v>
      </c>
      <c r="E42">
        <v>48.83</v>
      </c>
      <c r="F42">
        <v>22.49</v>
      </c>
      <c r="G42">
        <v>57.77</v>
      </c>
      <c r="H42">
        <v>98.32</v>
      </c>
      <c r="I42">
        <v>93.08</v>
      </c>
      <c r="J42">
        <v>96.55</v>
      </c>
      <c r="K42">
        <v>27.23</v>
      </c>
      <c r="L42">
        <v>31.33</v>
      </c>
      <c r="M42">
        <v>74.739999999999995</v>
      </c>
      <c r="N42">
        <v>93.78</v>
      </c>
      <c r="O42">
        <v>73.02</v>
      </c>
      <c r="P42">
        <v>28.96</v>
      </c>
      <c r="Q42">
        <v>55.62</v>
      </c>
      <c r="R42">
        <v>215.75</v>
      </c>
      <c r="S42">
        <v>60.67</v>
      </c>
      <c r="T42">
        <v>80.12</v>
      </c>
      <c r="U42">
        <v>36.630000000000003</v>
      </c>
      <c r="V42">
        <v>50.6</v>
      </c>
      <c r="W42">
        <v>103.31</v>
      </c>
      <c r="X42">
        <v>119.25</v>
      </c>
      <c r="Y42">
        <v>50.91</v>
      </c>
      <c r="Z42">
        <v>42.13</v>
      </c>
      <c r="AA42">
        <v>59.7</v>
      </c>
      <c r="AB42">
        <v>122.04</v>
      </c>
      <c r="AC42">
        <v>65.36</v>
      </c>
      <c r="AD42">
        <v>159.26</v>
      </c>
      <c r="AE42">
        <v>75.459999999999994</v>
      </c>
      <c r="AF42">
        <v>100.96</v>
      </c>
      <c r="AG42">
        <v>188.91</v>
      </c>
      <c r="AH42">
        <v>96.46</v>
      </c>
      <c r="AI42">
        <v>95.98</v>
      </c>
      <c r="AJ42">
        <v>107.76</v>
      </c>
      <c r="AK42">
        <v>31.28</v>
      </c>
      <c r="AL42">
        <v>19.04</v>
      </c>
      <c r="AM42">
        <v>32.39</v>
      </c>
      <c r="AN42">
        <v>23.53</v>
      </c>
      <c r="AO42">
        <v>26.25</v>
      </c>
      <c r="AP42">
        <v>25.93</v>
      </c>
      <c r="AQ42">
        <v>29.46</v>
      </c>
      <c r="AR42">
        <v>23.48</v>
      </c>
      <c r="AS42">
        <v>22.78</v>
      </c>
      <c r="AT42">
        <v>22.64</v>
      </c>
      <c r="AU42">
        <v>27.08</v>
      </c>
      <c r="AV42">
        <v>45.97</v>
      </c>
      <c r="AW42">
        <v>37.119999999999997</v>
      </c>
      <c r="AX42">
        <v>51.98</v>
      </c>
      <c r="AY42">
        <v>76.55</v>
      </c>
      <c r="AZ42">
        <v>238.63</v>
      </c>
      <c r="BA42">
        <v>159.38</v>
      </c>
      <c r="BB42">
        <v>125.42</v>
      </c>
      <c r="BC42">
        <v>57.03</v>
      </c>
      <c r="BD42">
        <v>90.46</v>
      </c>
      <c r="BE42">
        <v>289.44</v>
      </c>
      <c r="BF42">
        <v>337.94</v>
      </c>
      <c r="BG42">
        <v>47.39</v>
      </c>
      <c r="BH42">
        <v>95.42</v>
      </c>
      <c r="BI42">
        <v>203.22</v>
      </c>
      <c r="BJ42">
        <v>77.97</v>
      </c>
      <c r="BK42">
        <v>50.6</v>
      </c>
      <c r="BL42">
        <v>100.82</v>
      </c>
      <c r="BM42">
        <v>67.45</v>
      </c>
      <c r="BN42">
        <v>56.52</v>
      </c>
      <c r="BO42">
        <v>51.21</v>
      </c>
      <c r="BP42">
        <v>175.44</v>
      </c>
      <c r="BQ42">
        <v>137.5</v>
      </c>
      <c r="BR42">
        <v>87.74</v>
      </c>
      <c r="BS42">
        <v>43.7</v>
      </c>
      <c r="BT42">
        <v>47.07</v>
      </c>
      <c r="BU42">
        <v>156.74</v>
      </c>
    </row>
    <row r="43" spans="1:73" x14ac:dyDescent="0.25">
      <c r="A43" s="1">
        <v>46085</v>
      </c>
      <c r="B43">
        <v>100.53</v>
      </c>
      <c r="C43">
        <v>29.41</v>
      </c>
      <c r="D43">
        <v>74.510000000000005</v>
      </c>
      <c r="E43">
        <v>48.77</v>
      </c>
      <c r="F43">
        <v>22.57</v>
      </c>
      <c r="G43">
        <v>57.82</v>
      </c>
      <c r="H43">
        <v>98.32</v>
      </c>
      <c r="I43">
        <v>93.99</v>
      </c>
      <c r="J43">
        <v>96.87</v>
      </c>
      <c r="K43">
        <v>27.33</v>
      </c>
      <c r="L43">
        <v>31.22</v>
      </c>
      <c r="M43">
        <v>74.92</v>
      </c>
      <c r="N43">
        <v>94.09</v>
      </c>
      <c r="O43">
        <v>73.39</v>
      </c>
      <c r="P43">
        <v>29.01</v>
      </c>
      <c r="Q43">
        <v>55.27</v>
      </c>
      <c r="R43">
        <v>218.57</v>
      </c>
      <c r="S43">
        <v>60.9</v>
      </c>
      <c r="T43">
        <v>80.400000000000006</v>
      </c>
      <c r="U43">
        <v>36.74</v>
      </c>
      <c r="V43">
        <v>50.6</v>
      </c>
      <c r="W43">
        <v>104.42</v>
      </c>
      <c r="X43">
        <v>119.69</v>
      </c>
      <c r="Y43">
        <v>50.94</v>
      </c>
      <c r="Z43">
        <v>42.22</v>
      </c>
      <c r="AA43">
        <v>59.37</v>
      </c>
      <c r="AB43">
        <v>122.77</v>
      </c>
      <c r="AC43">
        <v>65.510000000000005</v>
      </c>
      <c r="AD43">
        <v>159.78</v>
      </c>
      <c r="AE43">
        <v>74.819999999999993</v>
      </c>
      <c r="AF43">
        <v>101.06</v>
      </c>
      <c r="AG43">
        <v>191.44</v>
      </c>
      <c r="AH43">
        <v>96.8</v>
      </c>
      <c r="AI43">
        <v>95.95</v>
      </c>
      <c r="AJ43">
        <v>107.75</v>
      </c>
      <c r="AK43">
        <v>31.42</v>
      </c>
      <c r="AL43">
        <v>19.12</v>
      </c>
      <c r="AM43">
        <v>32.28</v>
      </c>
      <c r="AN43">
        <v>23.51</v>
      </c>
      <c r="AO43">
        <v>26.33</v>
      </c>
      <c r="AP43">
        <v>25.92</v>
      </c>
      <c r="AQ43">
        <v>29.48</v>
      </c>
      <c r="AR43">
        <v>23.56</v>
      </c>
      <c r="AS43">
        <v>22.81</v>
      </c>
      <c r="AT43">
        <v>22.62</v>
      </c>
      <c r="AU43">
        <v>26.99</v>
      </c>
      <c r="AV43">
        <v>45.99</v>
      </c>
      <c r="AW43">
        <v>37.25</v>
      </c>
      <c r="AX43">
        <v>51.99</v>
      </c>
      <c r="AY43">
        <v>76.599999999999994</v>
      </c>
      <c r="AZ43">
        <v>237.13</v>
      </c>
      <c r="BA43">
        <v>158.85</v>
      </c>
      <c r="BB43">
        <v>126.04</v>
      </c>
      <c r="BC43">
        <v>56.87</v>
      </c>
      <c r="BD43">
        <v>91.641300000000001</v>
      </c>
      <c r="BE43">
        <v>290.24</v>
      </c>
      <c r="BF43">
        <v>339.34</v>
      </c>
      <c r="BG43">
        <v>47.36</v>
      </c>
      <c r="BH43">
        <v>95.54</v>
      </c>
      <c r="BI43">
        <v>204.13</v>
      </c>
      <c r="BJ43">
        <v>77.97</v>
      </c>
      <c r="BK43">
        <v>50.57</v>
      </c>
      <c r="BL43">
        <v>100.81</v>
      </c>
      <c r="BM43">
        <v>67.61</v>
      </c>
      <c r="BN43">
        <v>56.19</v>
      </c>
      <c r="BO43">
        <v>51.5</v>
      </c>
      <c r="BP43">
        <v>175.97</v>
      </c>
      <c r="BQ43">
        <v>139.84</v>
      </c>
      <c r="BR43">
        <v>87.16</v>
      </c>
      <c r="BS43">
        <v>43.76</v>
      </c>
      <c r="BT43">
        <v>47.27</v>
      </c>
      <c r="BU43">
        <v>157.05000000000001</v>
      </c>
    </row>
    <row r="44" spans="1:73" x14ac:dyDescent="0.25">
      <c r="A44" s="1">
        <v>46086</v>
      </c>
      <c r="B44">
        <v>100.24</v>
      </c>
      <c r="C44">
        <v>29.23</v>
      </c>
      <c r="D44">
        <v>74.34</v>
      </c>
      <c r="E44">
        <v>48.58</v>
      </c>
      <c r="F44">
        <v>22.4</v>
      </c>
      <c r="G44">
        <v>57.78</v>
      </c>
      <c r="H44">
        <v>98</v>
      </c>
      <c r="I44">
        <v>93.04</v>
      </c>
      <c r="J44">
        <v>96.38</v>
      </c>
      <c r="K44">
        <v>27.19</v>
      </c>
      <c r="L44">
        <v>31.38</v>
      </c>
      <c r="M44">
        <v>73.430000000000007</v>
      </c>
      <c r="N44">
        <v>92.05</v>
      </c>
      <c r="O44">
        <v>72.930000000000007</v>
      </c>
      <c r="P44">
        <v>28.75</v>
      </c>
      <c r="Q44">
        <v>54.09</v>
      </c>
      <c r="R44">
        <v>218.72</v>
      </c>
      <c r="S44">
        <v>60.43</v>
      </c>
      <c r="T44">
        <v>80.08</v>
      </c>
      <c r="U44">
        <v>36.6</v>
      </c>
      <c r="V44">
        <v>50.41</v>
      </c>
      <c r="W44">
        <v>103.31</v>
      </c>
      <c r="X44">
        <v>118.88</v>
      </c>
      <c r="Y44">
        <v>50.66</v>
      </c>
      <c r="Z44">
        <v>41.88</v>
      </c>
      <c r="AA44">
        <v>59.68</v>
      </c>
      <c r="AB44">
        <v>122</v>
      </c>
      <c r="AC44">
        <v>64.290000000000006</v>
      </c>
      <c r="AD44">
        <v>156.83000000000001</v>
      </c>
      <c r="AE44">
        <v>73.209999999999994</v>
      </c>
      <c r="AF44">
        <v>100.18</v>
      </c>
      <c r="AG44">
        <v>191.71</v>
      </c>
      <c r="AH44">
        <v>96.38</v>
      </c>
      <c r="AI44">
        <v>95.62</v>
      </c>
      <c r="AJ44">
        <v>107.62</v>
      </c>
      <c r="AK44">
        <v>31.29</v>
      </c>
      <c r="AL44">
        <v>19.02</v>
      </c>
      <c r="AM44">
        <v>32.15</v>
      </c>
      <c r="AN44">
        <v>23.45</v>
      </c>
      <c r="AO44">
        <v>26.22</v>
      </c>
      <c r="AP44">
        <v>25.85</v>
      </c>
      <c r="AQ44">
        <v>29.36</v>
      </c>
      <c r="AR44">
        <v>23.45</v>
      </c>
      <c r="AS44">
        <v>22.68</v>
      </c>
      <c r="AT44">
        <v>22.55</v>
      </c>
      <c r="AU44">
        <v>26.87</v>
      </c>
      <c r="AV44">
        <v>45.95</v>
      </c>
      <c r="AW44">
        <v>37.08</v>
      </c>
      <c r="AX44">
        <v>51.83</v>
      </c>
      <c r="AY44">
        <v>76.2</v>
      </c>
      <c r="AZ44">
        <v>232.11</v>
      </c>
      <c r="BA44">
        <v>159.56</v>
      </c>
      <c r="BB44">
        <v>125.2</v>
      </c>
      <c r="BC44">
        <v>56.63</v>
      </c>
      <c r="BD44">
        <v>91.658799999999999</v>
      </c>
      <c r="BE44">
        <v>284.57</v>
      </c>
      <c r="BF44">
        <v>331.63</v>
      </c>
      <c r="BG44">
        <v>47.24</v>
      </c>
      <c r="BH44">
        <v>94.58</v>
      </c>
      <c r="BI44">
        <v>202.48</v>
      </c>
      <c r="BJ44">
        <v>77.72</v>
      </c>
      <c r="BK44">
        <v>50.58</v>
      </c>
      <c r="BL44">
        <v>100.74</v>
      </c>
      <c r="BM44">
        <v>67.39</v>
      </c>
      <c r="BN44">
        <v>56.48</v>
      </c>
      <c r="BO44">
        <v>51.23</v>
      </c>
      <c r="BP44">
        <v>172.06</v>
      </c>
      <c r="BQ44">
        <v>140.18</v>
      </c>
      <c r="BR44">
        <v>85.41</v>
      </c>
      <c r="BS44">
        <v>43.34</v>
      </c>
      <c r="BT44">
        <v>46.9</v>
      </c>
      <c r="BU44">
        <v>153.91</v>
      </c>
    </row>
    <row r="45" spans="1:73" x14ac:dyDescent="0.25">
      <c r="A45" s="1">
        <v>46087</v>
      </c>
      <c r="B45">
        <v>100.12</v>
      </c>
      <c r="C45">
        <v>29.05</v>
      </c>
      <c r="D45">
        <v>74.239999999999995</v>
      </c>
      <c r="E45">
        <v>48.44</v>
      </c>
      <c r="F45">
        <v>22.36</v>
      </c>
      <c r="G45">
        <v>57.73</v>
      </c>
      <c r="H45">
        <v>97.8</v>
      </c>
      <c r="I45">
        <v>91.34</v>
      </c>
      <c r="J45">
        <v>95.75</v>
      </c>
      <c r="K45">
        <v>26.98</v>
      </c>
      <c r="L45">
        <v>31.37</v>
      </c>
      <c r="M45">
        <v>72.89</v>
      </c>
      <c r="N45">
        <v>90.45</v>
      </c>
      <c r="O45">
        <v>71.87</v>
      </c>
      <c r="P45">
        <v>28.4</v>
      </c>
      <c r="Q45">
        <v>54.26</v>
      </c>
      <c r="R45">
        <v>214.29</v>
      </c>
      <c r="S45">
        <v>60.18</v>
      </c>
      <c r="T45">
        <v>79.69</v>
      </c>
      <c r="U45">
        <v>36.450000000000003</v>
      </c>
      <c r="V45">
        <v>50.34</v>
      </c>
      <c r="W45">
        <v>101.28</v>
      </c>
      <c r="X45">
        <v>118.42</v>
      </c>
      <c r="Y45">
        <v>50.4</v>
      </c>
      <c r="Z45">
        <v>41.83</v>
      </c>
      <c r="AA45">
        <v>59.75</v>
      </c>
      <c r="AB45">
        <v>120.16</v>
      </c>
      <c r="AC45">
        <v>63.81</v>
      </c>
      <c r="AD45">
        <v>154.41</v>
      </c>
      <c r="AE45">
        <v>73.239999999999995</v>
      </c>
      <c r="AF45">
        <v>99.02</v>
      </c>
      <c r="AG45">
        <v>188.34</v>
      </c>
      <c r="AH45">
        <v>95.91</v>
      </c>
      <c r="AI45">
        <v>95.54</v>
      </c>
      <c r="AJ45">
        <v>107.55</v>
      </c>
      <c r="AK45">
        <v>31.12</v>
      </c>
      <c r="AL45">
        <v>18.899999999999999</v>
      </c>
      <c r="AM45">
        <v>32.049999999999997</v>
      </c>
      <c r="AN45">
        <v>23.42</v>
      </c>
      <c r="AO45">
        <v>26.08</v>
      </c>
      <c r="AP45">
        <v>25.81</v>
      </c>
      <c r="AQ45">
        <v>29.3</v>
      </c>
      <c r="AR45">
        <v>23.36</v>
      </c>
      <c r="AS45">
        <v>22.56</v>
      </c>
      <c r="AT45">
        <v>22.53</v>
      </c>
      <c r="AU45">
        <v>26.79</v>
      </c>
      <c r="AV45">
        <v>45.91</v>
      </c>
      <c r="AW45">
        <v>36.92</v>
      </c>
      <c r="AX45">
        <v>51.7</v>
      </c>
      <c r="AY45">
        <v>75.84</v>
      </c>
      <c r="AZ45">
        <v>232.79</v>
      </c>
      <c r="BA45">
        <v>159.62</v>
      </c>
      <c r="BB45">
        <v>123.43</v>
      </c>
      <c r="BC45">
        <v>56.45</v>
      </c>
      <c r="BD45">
        <v>89.878799999999998</v>
      </c>
      <c r="BE45">
        <v>282.14999999999998</v>
      </c>
      <c r="BF45">
        <v>326.26</v>
      </c>
      <c r="BG45">
        <v>47.22</v>
      </c>
      <c r="BH45">
        <v>93.55</v>
      </c>
      <c r="BI45">
        <v>201.6</v>
      </c>
      <c r="BJ45">
        <v>77.52</v>
      </c>
      <c r="BK45">
        <v>50.56</v>
      </c>
      <c r="BL45">
        <v>100.73</v>
      </c>
      <c r="BM45">
        <v>66.94</v>
      </c>
      <c r="BN45">
        <v>56.57</v>
      </c>
      <c r="BO45">
        <v>50.57</v>
      </c>
      <c r="BP45">
        <v>169.94</v>
      </c>
      <c r="BQ45">
        <v>137.29</v>
      </c>
      <c r="BR45">
        <v>85.78</v>
      </c>
      <c r="BS45">
        <v>42.89</v>
      </c>
      <c r="BT45">
        <v>46.74</v>
      </c>
      <c r="BU45">
        <v>152.69999999999999</v>
      </c>
    </row>
    <row r="46" spans="1:73" x14ac:dyDescent="0.25">
      <c r="A46" s="1">
        <v>46090</v>
      </c>
      <c r="B46">
        <v>100.44</v>
      </c>
      <c r="C46">
        <v>29.17</v>
      </c>
      <c r="D46">
        <v>74.45</v>
      </c>
      <c r="E46">
        <v>48.51</v>
      </c>
      <c r="F46">
        <v>22.41</v>
      </c>
      <c r="G46">
        <v>57.73</v>
      </c>
      <c r="H46">
        <v>98.14</v>
      </c>
      <c r="I46">
        <v>92.87</v>
      </c>
      <c r="J46">
        <v>95.96</v>
      </c>
      <c r="K46">
        <v>27.12</v>
      </c>
      <c r="L46">
        <v>31.28</v>
      </c>
      <c r="M46">
        <v>73.709999999999994</v>
      </c>
      <c r="N46">
        <v>91.28</v>
      </c>
      <c r="O46">
        <v>71.53</v>
      </c>
      <c r="P46">
        <v>28.47</v>
      </c>
      <c r="Q46">
        <v>54.41</v>
      </c>
      <c r="R46">
        <v>218.19</v>
      </c>
      <c r="S46">
        <v>60.32</v>
      </c>
      <c r="T46">
        <v>80.17</v>
      </c>
      <c r="U46">
        <v>36.630000000000003</v>
      </c>
      <c r="V46">
        <v>50.37</v>
      </c>
      <c r="W46">
        <v>103.18</v>
      </c>
      <c r="X46">
        <v>118.71</v>
      </c>
      <c r="Y46">
        <v>50.86</v>
      </c>
      <c r="Z46">
        <v>41.84</v>
      </c>
      <c r="AA46">
        <v>59.5</v>
      </c>
      <c r="AB46">
        <v>119.61</v>
      </c>
      <c r="AC46">
        <v>64.45</v>
      </c>
      <c r="AD46">
        <v>154.99</v>
      </c>
      <c r="AE46">
        <v>73.67</v>
      </c>
      <c r="AF46">
        <v>99.23</v>
      </c>
      <c r="AG46">
        <v>191.75</v>
      </c>
      <c r="AH46">
        <v>96.43</v>
      </c>
      <c r="AI46">
        <v>95.9</v>
      </c>
      <c r="AJ46">
        <v>107.68</v>
      </c>
      <c r="AK46">
        <v>31.17</v>
      </c>
      <c r="AL46">
        <v>18.91</v>
      </c>
      <c r="AM46">
        <v>32.28</v>
      </c>
      <c r="AN46">
        <v>23.49</v>
      </c>
      <c r="AO46">
        <v>26.23</v>
      </c>
      <c r="AP46">
        <v>25.89</v>
      </c>
      <c r="AQ46">
        <v>29.43</v>
      </c>
      <c r="AR46">
        <v>23.47</v>
      </c>
      <c r="AS46">
        <v>22.78</v>
      </c>
      <c r="AT46">
        <v>22.59</v>
      </c>
      <c r="AU46">
        <v>26.99</v>
      </c>
      <c r="AV46">
        <v>45.91</v>
      </c>
      <c r="AW46">
        <v>37.1</v>
      </c>
      <c r="AX46">
        <v>51.94</v>
      </c>
      <c r="AY46">
        <v>76.53</v>
      </c>
      <c r="AZ46">
        <v>233.42</v>
      </c>
      <c r="BA46">
        <v>159.08000000000001</v>
      </c>
      <c r="BB46">
        <v>122.83</v>
      </c>
      <c r="BC46">
        <v>56.86</v>
      </c>
      <c r="BD46">
        <v>91.483800000000002</v>
      </c>
      <c r="BE46">
        <v>285.32</v>
      </c>
      <c r="BF46">
        <v>329.04</v>
      </c>
      <c r="BG46">
        <v>47.35</v>
      </c>
      <c r="BH46">
        <v>93.76</v>
      </c>
      <c r="BI46">
        <v>202.12</v>
      </c>
      <c r="BJ46">
        <v>77.89</v>
      </c>
      <c r="BK46">
        <v>50.51</v>
      </c>
      <c r="BL46">
        <v>100.65</v>
      </c>
      <c r="BM46">
        <v>67.08</v>
      </c>
      <c r="BN46">
        <v>56.32</v>
      </c>
      <c r="BO46">
        <v>50.33</v>
      </c>
      <c r="BP46">
        <v>170.94</v>
      </c>
      <c r="BQ46">
        <v>139.76</v>
      </c>
      <c r="BR46">
        <v>85.97</v>
      </c>
      <c r="BS46">
        <v>42.98</v>
      </c>
      <c r="BT46">
        <v>46.85</v>
      </c>
      <c r="BU46">
        <v>154.26</v>
      </c>
    </row>
    <row r="47" spans="1:73" x14ac:dyDescent="0.25">
      <c r="A47" s="1">
        <v>46091</v>
      </c>
      <c r="B47">
        <v>100.11</v>
      </c>
      <c r="C47">
        <v>29.12</v>
      </c>
      <c r="D47">
        <v>74.22</v>
      </c>
      <c r="E47">
        <v>48.47</v>
      </c>
      <c r="F47">
        <v>22.39</v>
      </c>
      <c r="G47">
        <v>57.61</v>
      </c>
      <c r="H47">
        <v>97.76</v>
      </c>
      <c r="I47">
        <v>93.01</v>
      </c>
      <c r="J47">
        <v>95.95</v>
      </c>
      <c r="K47">
        <v>27.06</v>
      </c>
      <c r="L47">
        <v>30.89</v>
      </c>
      <c r="M47">
        <v>73.17</v>
      </c>
      <c r="N47">
        <v>90.77</v>
      </c>
      <c r="O47">
        <v>71.16</v>
      </c>
      <c r="P47">
        <v>28.42</v>
      </c>
      <c r="Q47">
        <v>54.33</v>
      </c>
      <c r="R47">
        <v>218.23</v>
      </c>
      <c r="S47">
        <v>59.95</v>
      </c>
      <c r="T47">
        <v>80.040000000000006</v>
      </c>
      <c r="U47">
        <v>36.57</v>
      </c>
      <c r="V47">
        <v>50.31</v>
      </c>
      <c r="W47">
        <v>103.5</v>
      </c>
      <c r="X47">
        <v>117.67</v>
      </c>
      <c r="Y47">
        <v>50.33</v>
      </c>
      <c r="Z47">
        <v>41.85</v>
      </c>
      <c r="AA47">
        <v>58.78</v>
      </c>
      <c r="AB47">
        <v>119</v>
      </c>
      <c r="AC47">
        <v>64.05</v>
      </c>
      <c r="AD47">
        <v>154.22</v>
      </c>
      <c r="AE47">
        <v>73.34</v>
      </c>
      <c r="AF47">
        <v>99.12</v>
      </c>
      <c r="AG47">
        <v>191.75</v>
      </c>
      <c r="AH47">
        <v>96.31</v>
      </c>
      <c r="AI47">
        <v>95.66</v>
      </c>
      <c r="AJ47">
        <v>107.47</v>
      </c>
      <c r="AK47">
        <v>31.15</v>
      </c>
      <c r="AL47">
        <v>18.920000000000002</v>
      </c>
      <c r="AM47">
        <v>32</v>
      </c>
      <c r="AN47">
        <v>23.42</v>
      </c>
      <c r="AO47">
        <v>26.19</v>
      </c>
      <c r="AP47">
        <v>25.82</v>
      </c>
      <c r="AQ47">
        <v>29.27</v>
      </c>
      <c r="AR47">
        <v>23.45</v>
      </c>
      <c r="AS47">
        <v>22.53</v>
      </c>
      <c r="AT47">
        <v>22.57</v>
      </c>
      <c r="AU47">
        <v>26.74</v>
      </c>
      <c r="AV47">
        <v>45.84</v>
      </c>
      <c r="AW47">
        <v>37.07</v>
      </c>
      <c r="AX47">
        <v>51.68</v>
      </c>
      <c r="AY47">
        <v>75.69</v>
      </c>
      <c r="AZ47">
        <v>233.16</v>
      </c>
      <c r="BA47">
        <v>157.15</v>
      </c>
      <c r="BB47">
        <v>122.22</v>
      </c>
      <c r="BC47">
        <v>56.35</v>
      </c>
      <c r="BD47">
        <v>91.498800000000003</v>
      </c>
      <c r="BE47">
        <v>283.48</v>
      </c>
      <c r="BF47">
        <v>327.19</v>
      </c>
      <c r="BG47">
        <v>47.27</v>
      </c>
      <c r="BH47">
        <v>93.62</v>
      </c>
      <c r="BI47">
        <v>200.84</v>
      </c>
      <c r="BJ47">
        <v>77.48</v>
      </c>
      <c r="BK47">
        <v>50.42</v>
      </c>
      <c r="BL47">
        <v>100.55</v>
      </c>
      <c r="BM47">
        <v>67.09</v>
      </c>
      <c r="BN47">
        <v>55.6</v>
      </c>
      <c r="BO47">
        <v>50.06</v>
      </c>
      <c r="BP47">
        <v>170.02</v>
      </c>
      <c r="BQ47">
        <v>139.76</v>
      </c>
      <c r="BR47">
        <v>85.72</v>
      </c>
      <c r="BS47">
        <v>42.92</v>
      </c>
      <c r="BT47">
        <v>46.56</v>
      </c>
      <c r="BU47">
        <v>153.15</v>
      </c>
    </row>
    <row r="48" spans="1:73" x14ac:dyDescent="0.25">
      <c r="A48" s="1">
        <v>46092</v>
      </c>
      <c r="B48">
        <v>99.66</v>
      </c>
      <c r="C48">
        <v>29.02</v>
      </c>
      <c r="D48">
        <v>73.89</v>
      </c>
      <c r="E48">
        <v>48.25</v>
      </c>
      <c r="F48">
        <v>22.28</v>
      </c>
      <c r="G48">
        <v>57.49</v>
      </c>
      <c r="H48">
        <v>97.18</v>
      </c>
      <c r="I48">
        <v>93.45</v>
      </c>
      <c r="J48">
        <v>95.64</v>
      </c>
      <c r="K48">
        <v>26.96</v>
      </c>
      <c r="L48">
        <v>31.63</v>
      </c>
      <c r="M48">
        <v>73.010000000000005</v>
      </c>
      <c r="N48">
        <v>90.7</v>
      </c>
      <c r="O48">
        <v>70.540000000000006</v>
      </c>
      <c r="P48">
        <v>28.11</v>
      </c>
      <c r="Q48">
        <v>53.71</v>
      </c>
      <c r="R48">
        <v>219.09</v>
      </c>
      <c r="S48">
        <v>59.48</v>
      </c>
      <c r="T48">
        <v>79.86</v>
      </c>
      <c r="U48">
        <v>36.5</v>
      </c>
      <c r="V48">
        <v>50.15</v>
      </c>
      <c r="W48">
        <v>104.1</v>
      </c>
      <c r="X48">
        <v>116.85</v>
      </c>
      <c r="Y48">
        <v>49.64</v>
      </c>
      <c r="Z48">
        <v>41.52</v>
      </c>
      <c r="AA48">
        <v>60.21</v>
      </c>
      <c r="AB48">
        <v>118.05</v>
      </c>
      <c r="AC48">
        <v>63.88</v>
      </c>
      <c r="AD48">
        <v>153.22</v>
      </c>
      <c r="AE48">
        <v>72.540000000000006</v>
      </c>
      <c r="AF48">
        <v>98.01</v>
      </c>
      <c r="AG48">
        <v>192.67</v>
      </c>
      <c r="AH48">
        <v>96.11</v>
      </c>
      <c r="AI48">
        <v>95.16</v>
      </c>
      <c r="AJ48">
        <v>107.24</v>
      </c>
      <c r="AK48">
        <v>31.04</v>
      </c>
      <c r="AL48">
        <v>18.829999999999998</v>
      </c>
      <c r="AM48">
        <v>31.62</v>
      </c>
      <c r="AN48">
        <v>23.3</v>
      </c>
      <c r="AO48">
        <v>26.14</v>
      </c>
      <c r="AP48">
        <v>25.7</v>
      </c>
      <c r="AQ48">
        <v>29.08</v>
      </c>
      <c r="AR48">
        <v>23.39</v>
      </c>
      <c r="AS48">
        <v>22.2</v>
      </c>
      <c r="AT48">
        <v>22.44</v>
      </c>
      <c r="AU48">
        <v>26.45</v>
      </c>
      <c r="AV48">
        <v>45.77</v>
      </c>
      <c r="AW48">
        <v>36.979999999999997</v>
      </c>
      <c r="AX48">
        <v>51.35</v>
      </c>
      <c r="AY48">
        <v>74.599999999999994</v>
      </c>
      <c r="AZ48">
        <v>230.53</v>
      </c>
      <c r="BA48">
        <v>160.91</v>
      </c>
      <c r="BB48">
        <v>121.11</v>
      </c>
      <c r="BC48">
        <v>55.7</v>
      </c>
      <c r="BD48">
        <v>91.88</v>
      </c>
      <c r="BE48">
        <v>282.75</v>
      </c>
      <c r="BF48">
        <v>326.64999999999998</v>
      </c>
      <c r="BG48">
        <v>47.04</v>
      </c>
      <c r="BH48">
        <v>92.65</v>
      </c>
      <c r="BI48">
        <v>199.3</v>
      </c>
      <c r="BJ48">
        <v>76.95</v>
      </c>
      <c r="BK48">
        <v>50.33</v>
      </c>
      <c r="BL48">
        <v>100.25</v>
      </c>
      <c r="BM48">
        <v>66.94</v>
      </c>
      <c r="BN48">
        <v>56.98</v>
      </c>
      <c r="BO48">
        <v>49.64</v>
      </c>
      <c r="BP48">
        <v>169.49</v>
      </c>
      <c r="BQ48">
        <v>140.43</v>
      </c>
      <c r="BR48">
        <v>84.59</v>
      </c>
      <c r="BS48">
        <v>42.41</v>
      </c>
      <c r="BT48">
        <v>46.17</v>
      </c>
      <c r="BU48">
        <v>152.85</v>
      </c>
    </row>
    <row r="49" spans="1:73" x14ac:dyDescent="0.25">
      <c r="A49" s="1">
        <v>46093</v>
      </c>
      <c r="B49">
        <v>99.29</v>
      </c>
      <c r="C49">
        <v>28.82</v>
      </c>
      <c r="D49">
        <v>73.62</v>
      </c>
      <c r="E49">
        <v>48.08</v>
      </c>
      <c r="F49">
        <v>22.07</v>
      </c>
      <c r="G49">
        <v>57.24</v>
      </c>
      <c r="H49">
        <v>96.76</v>
      </c>
      <c r="I49">
        <v>92.03</v>
      </c>
      <c r="J49">
        <v>94.84</v>
      </c>
      <c r="K49">
        <v>26.75</v>
      </c>
      <c r="L49">
        <v>31.88</v>
      </c>
      <c r="M49">
        <v>71.59</v>
      </c>
      <c r="N49">
        <v>88.29</v>
      </c>
      <c r="O49">
        <v>69.41</v>
      </c>
      <c r="P49">
        <v>27.92</v>
      </c>
      <c r="Q49">
        <v>53.59</v>
      </c>
      <c r="R49">
        <v>214.93</v>
      </c>
      <c r="S49">
        <v>59.89</v>
      </c>
      <c r="T49">
        <v>79.349999999999994</v>
      </c>
      <c r="U49">
        <v>36.25</v>
      </c>
      <c r="V49">
        <v>50.02</v>
      </c>
      <c r="W49">
        <v>102.03</v>
      </c>
      <c r="X49">
        <v>117.69</v>
      </c>
      <c r="Y49">
        <v>49.36</v>
      </c>
      <c r="Z49">
        <v>41.21</v>
      </c>
      <c r="AA49">
        <v>60.71</v>
      </c>
      <c r="AB49">
        <v>116.1</v>
      </c>
      <c r="AC49">
        <v>62.65</v>
      </c>
      <c r="AD49">
        <v>149.43</v>
      </c>
      <c r="AE49">
        <v>72.42</v>
      </c>
      <c r="AF49">
        <v>97.32</v>
      </c>
      <c r="AG49">
        <v>189.04</v>
      </c>
      <c r="AH49">
        <v>95.47</v>
      </c>
      <c r="AI49">
        <v>94.89</v>
      </c>
      <c r="AJ49">
        <v>106.98</v>
      </c>
      <c r="AK49">
        <v>30.85</v>
      </c>
      <c r="AL49">
        <v>18.670000000000002</v>
      </c>
      <c r="AM49">
        <v>31.55</v>
      </c>
      <c r="AN49">
        <v>23.21</v>
      </c>
      <c r="AO49">
        <v>25.98</v>
      </c>
      <c r="AP49">
        <v>25.61</v>
      </c>
      <c r="AQ49">
        <v>28.93</v>
      </c>
      <c r="AR49">
        <v>23.25</v>
      </c>
      <c r="AS49">
        <v>22.07</v>
      </c>
      <c r="AT49">
        <v>22.37</v>
      </c>
      <c r="AU49">
        <v>26.37</v>
      </c>
      <c r="AV49">
        <v>45.61</v>
      </c>
      <c r="AW49">
        <v>36.75</v>
      </c>
      <c r="AX49">
        <v>51.1</v>
      </c>
      <c r="AY49">
        <v>74.19</v>
      </c>
      <c r="AZ49">
        <v>230.13</v>
      </c>
      <c r="BA49">
        <v>162.15</v>
      </c>
      <c r="BB49">
        <v>119.13</v>
      </c>
      <c r="BC49">
        <v>55.55</v>
      </c>
      <c r="BD49">
        <v>90.082499999999996</v>
      </c>
      <c r="BE49">
        <v>277.20999999999998</v>
      </c>
      <c r="BF49">
        <v>318.17</v>
      </c>
      <c r="BG49">
        <v>46.92</v>
      </c>
      <c r="BH49">
        <v>92.01</v>
      </c>
      <c r="BI49">
        <v>200.63</v>
      </c>
      <c r="BJ49">
        <v>76.58</v>
      </c>
      <c r="BK49">
        <v>50.2</v>
      </c>
      <c r="BL49">
        <v>99.87</v>
      </c>
      <c r="BM49">
        <v>66.41</v>
      </c>
      <c r="BN49">
        <v>57.51</v>
      </c>
      <c r="BO49">
        <v>48.83</v>
      </c>
      <c r="BP49">
        <v>165.24</v>
      </c>
      <c r="BQ49">
        <v>137.84</v>
      </c>
      <c r="BR49">
        <v>84.25</v>
      </c>
      <c r="BS49">
        <v>42.14</v>
      </c>
      <c r="BT49">
        <v>46.5</v>
      </c>
      <c r="BU49">
        <v>150.16</v>
      </c>
    </row>
    <row r="50" spans="1:73" x14ac:dyDescent="0.25">
      <c r="A50" s="1">
        <v>46094</v>
      </c>
      <c r="B50">
        <v>99.21</v>
      </c>
      <c r="C50">
        <v>28.72</v>
      </c>
      <c r="D50">
        <v>73.55</v>
      </c>
      <c r="E50">
        <v>48</v>
      </c>
      <c r="F50">
        <v>21.9</v>
      </c>
      <c r="G50">
        <v>57.44</v>
      </c>
      <c r="H50">
        <v>96.44</v>
      </c>
      <c r="I50">
        <v>92.05</v>
      </c>
      <c r="J50">
        <v>94.38</v>
      </c>
      <c r="K50">
        <v>26.66</v>
      </c>
      <c r="L50">
        <v>31.99</v>
      </c>
      <c r="M50">
        <v>71.400000000000006</v>
      </c>
      <c r="N50">
        <v>87.8</v>
      </c>
      <c r="O50">
        <v>69.39</v>
      </c>
      <c r="P50">
        <v>27.95</v>
      </c>
      <c r="Q50">
        <v>53.93</v>
      </c>
      <c r="R50">
        <v>213.01</v>
      </c>
      <c r="S50">
        <v>60.44</v>
      </c>
      <c r="T50">
        <v>79.2</v>
      </c>
      <c r="U50">
        <v>36.18</v>
      </c>
      <c r="V50">
        <v>49.96</v>
      </c>
      <c r="W50">
        <v>102.4</v>
      </c>
      <c r="X50">
        <v>118.72</v>
      </c>
      <c r="Y50">
        <v>49.09</v>
      </c>
      <c r="Z50">
        <v>40.799999999999997</v>
      </c>
      <c r="AA50">
        <v>60.93</v>
      </c>
      <c r="AB50">
        <v>116.08</v>
      </c>
      <c r="AC50">
        <v>62.51</v>
      </c>
      <c r="AD50">
        <v>148.97999999999999</v>
      </c>
      <c r="AE50">
        <v>72.77</v>
      </c>
      <c r="AF50">
        <v>97.5</v>
      </c>
      <c r="AG50">
        <v>187.24</v>
      </c>
      <c r="AH50">
        <v>95.25</v>
      </c>
      <c r="AI50">
        <v>94.9</v>
      </c>
      <c r="AJ50">
        <v>107.25</v>
      </c>
      <c r="AK50">
        <v>30.67</v>
      </c>
      <c r="AL50">
        <v>18.57</v>
      </c>
      <c r="AM50">
        <v>31.4</v>
      </c>
      <c r="AN50">
        <v>23.21</v>
      </c>
      <c r="AO50">
        <v>25.91</v>
      </c>
      <c r="AP50">
        <v>25.58</v>
      </c>
      <c r="AQ50">
        <v>28.85</v>
      </c>
      <c r="AR50">
        <v>23.21</v>
      </c>
      <c r="AS50">
        <v>21.96</v>
      </c>
      <c r="AT50">
        <v>22.35</v>
      </c>
      <c r="AU50">
        <v>26.24</v>
      </c>
      <c r="AV50">
        <v>45.73</v>
      </c>
      <c r="AW50">
        <v>36.659999999999997</v>
      </c>
      <c r="AX50">
        <v>50.97</v>
      </c>
      <c r="AY50">
        <v>73.78</v>
      </c>
      <c r="AZ50">
        <v>231.38</v>
      </c>
      <c r="BA50">
        <v>162.78</v>
      </c>
      <c r="BB50">
        <v>119.23</v>
      </c>
      <c r="BC50">
        <v>55.29</v>
      </c>
      <c r="BD50">
        <v>89.305000000000007</v>
      </c>
      <c r="BE50">
        <v>276.67</v>
      </c>
      <c r="BF50">
        <v>316.58999999999997</v>
      </c>
      <c r="BG50">
        <v>46.94</v>
      </c>
      <c r="BH50">
        <v>92.16</v>
      </c>
      <c r="BI50">
        <v>202.59</v>
      </c>
      <c r="BJ50">
        <v>76.349999999999994</v>
      </c>
      <c r="BK50">
        <v>50.36</v>
      </c>
      <c r="BL50">
        <v>100.17</v>
      </c>
      <c r="BM50">
        <v>65.989999999999995</v>
      </c>
      <c r="BN50">
        <v>57.7</v>
      </c>
      <c r="BO50">
        <v>48.89</v>
      </c>
      <c r="BP50">
        <v>164.65</v>
      </c>
      <c r="BQ50">
        <v>136.80000000000001</v>
      </c>
      <c r="BR50">
        <v>84.74</v>
      </c>
      <c r="BS50">
        <v>42.25</v>
      </c>
      <c r="BT50">
        <v>46.96</v>
      </c>
      <c r="BU50">
        <v>149.79</v>
      </c>
    </row>
    <row r="51" spans="1:73" x14ac:dyDescent="0.25">
      <c r="A51" s="1">
        <v>46097</v>
      </c>
      <c r="B51">
        <v>99.6</v>
      </c>
      <c r="C51">
        <v>28.79</v>
      </c>
      <c r="D51">
        <v>73.83</v>
      </c>
      <c r="E51">
        <v>48.22</v>
      </c>
      <c r="F51">
        <v>22.09</v>
      </c>
      <c r="G51">
        <v>57.5</v>
      </c>
      <c r="H51">
        <v>96.74</v>
      </c>
      <c r="I51">
        <v>93.22</v>
      </c>
      <c r="J51">
        <v>94.75</v>
      </c>
      <c r="K51">
        <v>26.76</v>
      </c>
      <c r="L51">
        <v>32.08</v>
      </c>
      <c r="M51">
        <v>72.040000000000006</v>
      </c>
      <c r="N51">
        <v>88.66</v>
      </c>
      <c r="O51">
        <v>70</v>
      </c>
      <c r="P51">
        <v>28.18</v>
      </c>
      <c r="Q51">
        <v>53.96</v>
      </c>
      <c r="R51">
        <v>216.12</v>
      </c>
      <c r="S51">
        <v>60.76</v>
      </c>
      <c r="T51">
        <v>79.45</v>
      </c>
      <c r="U51">
        <v>36.33</v>
      </c>
      <c r="V51">
        <v>50.13</v>
      </c>
      <c r="W51">
        <v>103.76</v>
      </c>
      <c r="X51">
        <v>119.28</v>
      </c>
      <c r="Y51">
        <v>49.43</v>
      </c>
      <c r="Z51">
        <v>41.24</v>
      </c>
      <c r="AA51">
        <v>61.16</v>
      </c>
      <c r="AB51">
        <v>117.05</v>
      </c>
      <c r="AC51">
        <v>63.03</v>
      </c>
      <c r="AD51">
        <v>150.46</v>
      </c>
      <c r="AE51">
        <v>72.86</v>
      </c>
      <c r="AF51">
        <v>98.25</v>
      </c>
      <c r="AG51">
        <v>189.87</v>
      </c>
      <c r="AH51">
        <v>95.65</v>
      </c>
      <c r="AI51">
        <v>95.32</v>
      </c>
      <c r="AJ51">
        <v>107.38</v>
      </c>
      <c r="AK51">
        <v>30.75</v>
      </c>
      <c r="AL51">
        <v>18.64</v>
      </c>
      <c r="AM51">
        <v>31.63</v>
      </c>
      <c r="AN51">
        <v>23.29</v>
      </c>
      <c r="AO51">
        <v>26.02</v>
      </c>
      <c r="AP51">
        <v>25.67</v>
      </c>
      <c r="AQ51">
        <v>28.96</v>
      </c>
      <c r="AR51">
        <v>23.3</v>
      </c>
      <c r="AS51">
        <v>22.1</v>
      </c>
      <c r="AT51">
        <v>22.46</v>
      </c>
      <c r="AU51">
        <v>26.45</v>
      </c>
      <c r="AV51">
        <v>45.74</v>
      </c>
      <c r="AW51">
        <v>36.78</v>
      </c>
      <c r="AX51">
        <v>51.15</v>
      </c>
      <c r="AY51">
        <v>74.290000000000006</v>
      </c>
      <c r="AZ51">
        <v>231.66</v>
      </c>
      <c r="BA51">
        <v>163.19999999999999</v>
      </c>
      <c r="BB51">
        <v>120.18</v>
      </c>
      <c r="BC51">
        <v>55.7</v>
      </c>
      <c r="BD51">
        <v>90.618799999999993</v>
      </c>
      <c r="BE51">
        <v>278.95999999999998</v>
      </c>
      <c r="BF51">
        <v>319.58</v>
      </c>
      <c r="BG51">
        <v>47.15</v>
      </c>
      <c r="BH51">
        <v>92.93</v>
      </c>
      <c r="BI51">
        <v>203.71</v>
      </c>
      <c r="BJ51">
        <v>76.64</v>
      </c>
      <c r="BK51">
        <v>50.38</v>
      </c>
      <c r="BL51">
        <v>100.23</v>
      </c>
      <c r="BM51">
        <v>66.290000000000006</v>
      </c>
      <c r="BN51">
        <v>57.9</v>
      </c>
      <c r="BO51">
        <v>49.3</v>
      </c>
      <c r="BP51">
        <v>166.06</v>
      </c>
      <c r="BQ51">
        <v>138.78</v>
      </c>
      <c r="BR51">
        <v>84.98</v>
      </c>
      <c r="BS51">
        <v>42.58</v>
      </c>
      <c r="BT51">
        <v>47.26</v>
      </c>
      <c r="BU51">
        <v>151.01</v>
      </c>
    </row>
    <row r="52" spans="1:73" x14ac:dyDescent="0.25">
      <c r="A52" s="1">
        <v>46098</v>
      </c>
      <c r="B52">
        <v>99.8</v>
      </c>
      <c r="C52">
        <v>28.9</v>
      </c>
      <c r="D52">
        <v>73.98</v>
      </c>
      <c r="E52">
        <v>48.3</v>
      </c>
      <c r="F52">
        <v>22.16</v>
      </c>
      <c r="G52">
        <v>57.51</v>
      </c>
      <c r="H52">
        <v>97.16</v>
      </c>
      <c r="I52">
        <v>93.91</v>
      </c>
      <c r="J52">
        <v>95.1</v>
      </c>
      <c r="K52">
        <v>26.88</v>
      </c>
      <c r="L52">
        <v>32.47</v>
      </c>
      <c r="M52">
        <v>71.56</v>
      </c>
      <c r="N52">
        <v>89.06</v>
      </c>
      <c r="O52">
        <v>70.400000000000006</v>
      </c>
      <c r="P52">
        <v>28.29</v>
      </c>
      <c r="Q52">
        <v>53.76</v>
      </c>
      <c r="R52">
        <v>216.86</v>
      </c>
      <c r="S52">
        <v>60.62</v>
      </c>
      <c r="T52">
        <v>79.81</v>
      </c>
      <c r="U52">
        <v>36.47</v>
      </c>
      <c r="V52">
        <v>50.14</v>
      </c>
      <c r="W52">
        <v>104.42</v>
      </c>
      <c r="X52">
        <v>118.39</v>
      </c>
      <c r="Y52">
        <v>49.83</v>
      </c>
      <c r="Z52">
        <v>41.44</v>
      </c>
      <c r="AA52">
        <v>61.45</v>
      </c>
      <c r="AB52">
        <v>117.34</v>
      </c>
      <c r="AC52">
        <v>62.34</v>
      </c>
      <c r="AD52">
        <v>150.44</v>
      </c>
      <c r="AE52">
        <v>72.290000000000006</v>
      </c>
      <c r="AF52">
        <v>98.37</v>
      </c>
      <c r="AG52">
        <v>190.81</v>
      </c>
      <c r="AH52">
        <v>96.03</v>
      </c>
      <c r="AI52">
        <v>95.51</v>
      </c>
      <c r="AJ52">
        <v>107.22</v>
      </c>
      <c r="AK52">
        <v>30.9</v>
      </c>
      <c r="AL52">
        <v>18.72</v>
      </c>
      <c r="AM52">
        <v>31.73</v>
      </c>
      <c r="AN52">
        <v>23.34</v>
      </c>
      <c r="AO52">
        <v>26.14</v>
      </c>
      <c r="AP52">
        <v>25.72</v>
      </c>
      <c r="AQ52">
        <v>29.1</v>
      </c>
      <c r="AR52">
        <v>23.38</v>
      </c>
      <c r="AS52">
        <v>22.3</v>
      </c>
      <c r="AT52">
        <v>22.5</v>
      </c>
      <c r="AU52">
        <v>26.53</v>
      </c>
      <c r="AV52">
        <v>45.74</v>
      </c>
      <c r="AW52">
        <v>36.950000000000003</v>
      </c>
      <c r="AX52">
        <v>51.37</v>
      </c>
      <c r="AY52">
        <v>74.94</v>
      </c>
      <c r="AZ52">
        <v>230.81</v>
      </c>
      <c r="BA52">
        <v>165.13</v>
      </c>
      <c r="BB52">
        <v>120.88</v>
      </c>
      <c r="BC52">
        <v>55.88</v>
      </c>
      <c r="BD52">
        <v>90.924999999999997</v>
      </c>
      <c r="BE52">
        <v>277.13</v>
      </c>
      <c r="BF52">
        <v>321.22000000000003</v>
      </c>
      <c r="BG52">
        <v>47.19</v>
      </c>
      <c r="BH52">
        <v>93.34</v>
      </c>
      <c r="BI52">
        <v>203.11</v>
      </c>
      <c r="BJ52">
        <v>77.010000000000005</v>
      </c>
      <c r="BK52">
        <v>50.34</v>
      </c>
      <c r="BL52">
        <v>100.24</v>
      </c>
      <c r="BM52">
        <v>66.55</v>
      </c>
      <c r="BN52">
        <v>58.51</v>
      </c>
      <c r="BO52">
        <v>49.56</v>
      </c>
      <c r="BP52">
        <v>166.5</v>
      </c>
      <c r="BQ52">
        <v>139.54</v>
      </c>
      <c r="BR52">
        <v>84.7</v>
      </c>
      <c r="BS52">
        <v>42.72</v>
      </c>
      <c r="BT52">
        <v>47.13</v>
      </c>
      <c r="BU52">
        <v>149.63999999999999</v>
      </c>
    </row>
    <row r="53" spans="1:73" x14ac:dyDescent="0.25">
      <c r="A53" s="1">
        <v>46099</v>
      </c>
      <c r="B53">
        <v>99.38</v>
      </c>
      <c r="C53">
        <v>28.75</v>
      </c>
      <c r="D53">
        <v>73.680000000000007</v>
      </c>
      <c r="E53">
        <v>48.11</v>
      </c>
      <c r="F53">
        <v>21.97</v>
      </c>
      <c r="G53">
        <v>57.39</v>
      </c>
      <c r="H53">
        <v>96.76</v>
      </c>
      <c r="I53">
        <v>93.63</v>
      </c>
      <c r="J53">
        <v>94.36</v>
      </c>
      <c r="K53">
        <v>26.7</v>
      </c>
      <c r="L53">
        <v>32.5</v>
      </c>
      <c r="M53">
        <v>70.36</v>
      </c>
      <c r="N53">
        <v>88.24</v>
      </c>
      <c r="O53">
        <v>69.540000000000006</v>
      </c>
      <c r="P53">
        <v>27.86</v>
      </c>
      <c r="Q53">
        <v>52.5</v>
      </c>
      <c r="R53">
        <v>214.68</v>
      </c>
      <c r="S53">
        <v>60.2</v>
      </c>
      <c r="T53">
        <v>79.400000000000006</v>
      </c>
      <c r="U53">
        <v>36.299999999999997</v>
      </c>
      <c r="V53">
        <v>50.04</v>
      </c>
      <c r="W53">
        <v>104.23</v>
      </c>
      <c r="X53">
        <v>117.52</v>
      </c>
      <c r="Y53">
        <v>49.51</v>
      </c>
      <c r="Z53">
        <v>41.04</v>
      </c>
      <c r="AA53">
        <v>61.45</v>
      </c>
      <c r="AB53">
        <v>116.34</v>
      </c>
      <c r="AC53">
        <v>61.39</v>
      </c>
      <c r="AD53">
        <v>148.44</v>
      </c>
      <c r="AE53">
        <v>70.47</v>
      </c>
      <c r="AF53">
        <v>96.84</v>
      </c>
      <c r="AG53">
        <v>188.65</v>
      </c>
      <c r="AH53">
        <v>95.58</v>
      </c>
      <c r="AI53">
        <v>94.98</v>
      </c>
      <c r="AJ53">
        <v>106.97</v>
      </c>
      <c r="AK53">
        <v>30.67</v>
      </c>
      <c r="AL53">
        <v>18.600000000000001</v>
      </c>
      <c r="AM53">
        <v>31.54</v>
      </c>
      <c r="AN53">
        <v>23.25</v>
      </c>
      <c r="AO53">
        <v>26</v>
      </c>
      <c r="AP53">
        <v>25.63</v>
      </c>
      <c r="AQ53">
        <v>28.98</v>
      </c>
      <c r="AR53">
        <v>23.27</v>
      </c>
      <c r="AS53">
        <v>22.16</v>
      </c>
      <c r="AT53">
        <v>22.39</v>
      </c>
      <c r="AU53">
        <v>26.36</v>
      </c>
      <c r="AV53">
        <v>45.64</v>
      </c>
      <c r="AW53">
        <v>36.79</v>
      </c>
      <c r="AX53">
        <v>51.15</v>
      </c>
      <c r="AY53">
        <v>74.47</v>
      </c>
      <c r="AZ53">
        <v>225.32</v>
      </c>
      <c r="BA53">
        <v>165.23</v>
      </c>
      <c r="BB53">
        <v>119.34</v>
      </c>
      <c r="BC53">
        <v>55.55</v>
      </c>
      <c r="BD53">
        <v>89.981300000000005</v>
      </c>
      <c r="BE53">
        <v>272.57</v>
      </c>
      <c r="BF53">
        <v>318.06</v>
      </c>
      <c r="BG53">
        <v>46.95</v>
      </c>
      <c r="BH53">
        <v>91.96</v>
      </c>
      <c r="BI53">
        <v>201.48</v>
      </c>
      <c r="BJ53">
        <v>76.650000000000006</v>
      </c>
      <c r="BK53">
        <v>50.27</v>
      </c>
      <c r="BL53">
        <v>100.09</v>
      </c>
      <c r="BM53">
        <v>66.010000000000005</v>
      </c>
      <c r="BN53">
        <v>58.43</v>
      </c>
      <c r="BO53">
        <v>48.97</v>
      </c>
      <c r="BP53">
        <v>165.18</v>
      </c>
      <c r="BQ53">
        <v>137.96</v>
      </c>
      <c r="BR53">
        <v>82.64</v>
      </c>
      <c r="BS53">
        <v>42.02</v>
      </c>
      <c r="BT53">
        <v>46.73</v>
      </c>
      <c r="BU53">
        <v>147.13999999999999</v>
      </c>
    </row>
    <row r="54" spans="1:73" x14ac:dyDescent="0.25">
      <c r="A54" s="1">
        <v>46100</v>
      </c>
      <c r="B54">
        <v>99.49</v>
      </c>
      <c r="C54">
        <v>28.8</v>
      </c>
      <c r="D54">
        <v>73.760000000000005</v>
      </c>
      <c r="E54">
        <v>48.13</v>
      </c>
      <c r="F54">
        <v>22.19</v>
      </c>
      <c r="G54">
        <v>57.3</v>
      </c>
      <c r="H54">
        <v>97</v>
      </c>
      <c r="I54">
        <v>94.11</v>
      </c>
      <c r="J54">
        <v>94.63</v>
      </c>
      <c r="K54">
        <v>26.78</v>
      </c>
      <c r="L54">
        <v>33.01</v>
      </c>
      <c r="M54">
        <v>70.17</v>
      </c>
      <c r="N54">
        <v>87.7</v>
      </c>
      <c r="O54">
        <v>69.55</v>
      </c>
      <c r="P54">
        <v>27.79</v>
      </c>
      <c r="Q54">
        <v>52.12</v>
      </c>
      <c r="R54">
        <v>215.19</v>
      </c>
      <c r="S54">
        <v>59.91</v>
      </c>
      <c r="T54">
        <v>79.66</v>
      </c>
      <c r="U54">
        <v>36.4</v>
      </c>
      <c r="V54">
        <v>50.08</v>
      </c>
      <c r="W54">
        <v>104.79</v>
      </c>
      <c r="X54">
        <v>117.08</v>
      </c>
      <c r="Y54">
        <v>49.88</v>
      </c>
      <c r="Z54">
        <v>41.49</v>
      </c>
      <c r="AA54">
        <v>62.48</v>
      </c>
      <c r="AB54">
        <v>116.32</v>
      </c>
      <c r="AC54">
        <v>61.18</v>
      </c>
      <c r="AD54">
        <v>147.76</v>
      </c>
      <c r="AE54">
        <v>69.94</v>
      </c>
      <c r="AF54">
        <v>96.47</v>
      </c>
      <c r="AG54">
        <v>188.68</v>
      </c>
      <c r="AH54">
        <v>95.79</v>
      </c>
      <c r="AI54">
        <v>95.09</v>
      </c>
      <c r="AJ54">
        <v>106.85</v>
      </c>
      <c r="AK54">
        <v>30.71</v>
      </c>
      <c r="AL54">
        <v>18.59</v>
      </c>
      <c r="AM54">
        <v>31.7</v>
      </c>
      <c r="AN54">
        <v>23.26</v>
      </c>
      <c r="AO54">
        <v>26.05</v>
      </c>
      <c r="AP54">
        <v>25.65</v>
      </c>
      <c r="AQ54">
        <v>29.08</v>
      </c>
      <c r="AR54">
        <v>23.34</v>
      </c>
      <c r="AS54">
        <v>22.33</v>
      </c>
      <c r="AT54">
        <v>22.39</v>
      </c>
      <c r="AU54">
        <v>26.5</v>
      </c>
      <c r="AV54">
        <v>45.63</v>
      </c>
      <c r="AW54">
        <v>36.880000000000003</v>
      </c>
      <c r="AX54">
        <v>51.32</v>
      </c>
      <c r="AY54">
        <v>75.03</v>
      </c>
      <c r="AZ54">
        <v>223.68</v>
      </c>
      <c r="BA54">
        <v>167.89</v>
      </c>
      <c r="BB54">
        <v>119.45</v>
      </c>
      <c r="BC54">
        <v>55.82</v>
      </c>
      <c r="BD54">
        <v>90.215000000000003</v>
      </c>
      <c r="BE54">
        <v>271.89999999999998</v>
      </c>
      <c r="BF54">
        <v>316.74</v>
      </c>
      <c r="BG54">
        <v>46.98</v>
      </c>
      <c r="BH54">
        <v>91.59</v>
      </c>
      <c r="BI54">
        <v>200.77</v>
      </c>
      <c r="BJ54">
        <v>76.94</v>
      </c>
      <c r="BK54">
        <v>50.23</v>
      </c>
      <c r="BL54">
        <v>99.93</v>
      </c>
      <c r="BM54">
        <v>66.14</v>
      </c>
      <c r="BN54">
        <v>59.36</v>
      </c>
      <c r="BO54">
        <v>48.99</v>
      </c>
      <c r="BP54">
        <v>164.06</v>
      </c>
      <c r="BQ54">
        <v>138.43</v>
      </c>
      <c r="BR54">
        <v>81.97</v>
      </c>
      <c r="BS54">
        <v>41.92</v>
      </c>
      <c r="BT54">
        <v>46.54</v>
      </c>
      <c r="BU54">
        <v>146.61000000000001</v>
      </c>
    </row>
    <row r="55" spans="1:73" x14ac:dyDescent="0.25">
      <c r="A55" s="1">
        <v>46101</v>
      </c>
      <c r="B55">
        <v>98.66</v>
      </c>
      <c r="C55">
        <v>28.46</v>
      </c>
      <c r="D55">
        <v>73.17</v>
      </c>
      <c r="E55">
        <v>47.81</v>
      </c>
      <c r="F55">
        <v>21.92</v>
      </c>
      <c r="G55">
        <v>56.8</v>
      </c>
      <c r="H55">
        <v>96.08</v>
      </c>
      <c r="I55">
        <v>91.98</v>
      </c>
      <c r="J55">
        <v>93.15</v>
      </c>
      <c r="K55">
        <v>26.46</v>
      </c>
      <c r="L55">
        <v>32.799999999999997</v>
      </c>
      <c r="M55">
        <v>69.25</v>
      </c>
      <c r="N55">
        <v>86.03</v>
      </c>
      <c r="O55">
        <v>69.23</v>
      </c>
      <c r="P55">
        <v>26.66</v>
      </c>
      <c r="Q55">
        <v>51.33</v>
      </c>
      <c r="R55">
        <v>210.06</v>
      </c>
      <c r="S55">
        <v>57.11</v>
      </c>
      <c r="T55">
        <v>78.92</v>
      </c>
      <c r="U55">
        <v>36.06</v>
      </c>
      <c r="V55">
        <v>49.74</v>
      </c>
      <c r="W55">
        <v>102.46</v>
      </c>
      <c r="X55">
        <v>112.57</v>
      </c>
      <c r="Y55">
        <v>48.89</v>
      </c>
      <c r="Z55">
        <v>40.950000000000003</v>
      </c>
      <c r="AA55">
        <v>62.42</v>
      </c>
      <c r="AB55">
        <v>116.24</v>
      </c>
      <c r="AC55">
        <v>60.62</v>
      </c>
      <c r="AD55">
        <v>146.07</v>
      </c>
      <c r="AE55">
        <v>69.260000000000005</v>
      </c>
      <c r="AF55">
        <v>93.45</v>
      </c>
      <c r="AG55">
        <v>184.48</v>
      </c>
      <c r="AH55">
        <v>94.95</v>
      </c>
      <c r="AI55">
        <v>94.15</v>
      </c>
      <c r="AJ55">
        <v>105.91</v>
      </c>
      <c r="AK55">
        <v>30.27</v>
      </c>
      <c r="AL55">
        <v>18.3</v>
      </c>
      <c r="AM55">
        <v>31.11</v>
      </c>
      <c r="AN55">
        <v>23.07</v>
      </c>
      <c r="AO55">
        <v>25.81</v>
      </c>
      <c r="AP55">
        <v>25.45</v>
      </c>
      <c r="AQ55">
        <v>28.77</v>
      </c>
      <c r="AR55">
        <v>23.12</v>
      </c>
      <c r="AS55">
        <v>21.9</v>
      </c>
      <c r="AT55">
        <v>22.22</v>
      </c>
      <c r="AU55">
        <v>26</v>
      </c>
      <c r="AV55">
        <v>45.18</v>
      </c>
      <c r="AW55">
        <v>36.54</v>
      </c>
      <c r="AX55">
        <v>50.8</v>
      </c>
      <c r="AY55">
        <v>73.56</v>
      </c>
      <c r="AZ55">
        <v>221.54</v>
      </c>
      <c r="BA55">
        <v>167.77</v>
      </c>
      <c r="BB55">
        <v>119.52</v>
      </c>
      <c r="BC55">
        <v>54.78</v>
      </c>
      <c r="BD55">
        <v>88.141300000000001</v>
      </c>
      <c r="BE55">
        <v>269.02999999999997</v>
      </c>
      <c r="BF55">
        <v>311.14</v>
      </c>
      <c r="BG55">
        <v>46.58</v>
      </c>
      <c r="BH55">
        <v>88.75</v>
      </c>
      <c r="BI55">
        <v>192.75</v>
      </c>
      <c r="BJ55">
        <v>76.16</v>
      </c>
      <c r="BK55">
        <v>49.8</v>
      </c>
      <c r="BL55">
        <v>99.14</v>
      </c>
      <c r="BM55">
        <v>65.2</v>
      </c>
      <c r="BN55">
        <v>59.31</v>
      </c>
      <c r="BO55">
        <v>49.08</v>
      </c>
      <c r="BP55">
        <v>161.66999999999999</v>
      </c>
      <c r="BQ55">
        <v>135.29</v>
      </c>
      <c r="BR55">
        <v>81.290000000000006</v>
      </c>
      <c r="BS55">
        <v>40.590000000000003</v>
      </c>
      <c r="BT55">
        <v>44.65</v>
      </c>
      <c r="BU55">
        <v>145.33000000000001</v>
      </c>
    </row>
    <row r="56" spans="1:73" x14ac:dyDescent="0.25">
      <c r="A56" s="1">
        <v>46104</v>
      </c>
      <c r="B56">
        <v>99.03</v>
      </c>
      <c r="C56">
        <v>28.67</v>
      </c>
      <c r="D56">
        <v>73.45</v>
      </c>
      <c r="E56">
        <v>48.01</v>
      </c>
      <c r="F56">
        <v>22.12</v>
      </c>
      <c r="G56">
        <v>57.01</v>
      </c>
      <c r="H56">
        <v>96.52</v>
      </c>
      <c r="I56">
        <v>92.72</v>
      </c>
      <c r="J56">
        <v>94.06</v>
      </c>
      <c r="K56">
        <v>26.68</v>
      </c>
      <c r="L56">
        <v>33.15</v>
      </c>
      <c r="M56">
        <v>69.400000000000006</v>
      </c>
      <c r="N56">
        <v>87.14</v>
      </c>
      <c r="O56">
        <v>69.930000000000007</v>
      </c>
      <c r="P56">
        <v>26.86</v>
      </c>
      <c r="Q56">
        <v>51.57</v>
      </c>
      <c r="R56">
        <v>213.33</v>
      </c>
      <c r="S56">
        <v>57.74</v>
      </c>
      <c r="T56">
        <v>79.44</v>
      </c>
      <c r="U56">
        <v>36.299999999999997</v>
      </c>
      <c r="V56">
        <v>49.95</v>
      </c>
      <c r="W56">
        <v>103.16</v>
      </c>
      <c r="X56">
        <v>113.42</v>
      </c>
      <c r="Y56">
        <v>49.37</v>
      </c>
      <c r="Z56">
        <v>41.26</v>
      </c>
      <c r="AA56">
        <v>63.12</v>
      </c>
      <c r="AB56">
        <v>117.27</v>
      </c>
      <c r="AC56">
        <v>60.7</v>
      </c>
      <c r="AD56">
        <v>148.21</v>
      </c>
      <c r="AE56">
        <v>69.430000000000007</v>
      </c>
      <c r="AF56">
        <v>94.11</v>
      </c>
      <c r="AG56">
        <v>186.91</v>
      </c>
      <c r="AH56">
        <v>95.5</v>
      </c>
      <c r="AI56">
        <v>94.54</v>
      </c>
      <c r="AJ56">
        <v>106.41</v>
      </c>
      <c r="AK56">
        <v>30.45</v>
      </c>
      <c r="AL56">
        <v>18.46</v>
      </c>
      <c r="AM56">
        <v>31.29</v>
      </c>
      <c r="AN56">
        <v>23.15</v>
      </c>
      <c r="AO56">
        <v>25.98</v>
      </c>
      <c r="AP56">
        <v>25.54</v>
      </c>
      <c r="AQ56">
        <v>28.93</v>
      </c>
      <c r="AR56">
        <v>23.26</v>
      </c>
      <c r="AS56">
        <v>22.12</v>
      </c>
      <c r="AT56">
        <v>22.3</v>
      </c>
      <c r="AU56">
        <v>26.17</v>
      </c>
      <c r="AV56">
        <v>45.35</v>
      </c>
      <c r="AW56">
        <v>36.75</v>
      </c>
      <c r="AX56">
        <v>51.08</v>
      </c>
      <c r="AY56">
        <v>74.3</v>
      </c>
      <c r="AZ56">
        <v>222.44</v>
      </c>
      <c r="BA56">
        <v>169.43</v>
      </c>
      <c r="BB56">
        <v>120.78</v>
      </c>
      <c r="BC56">
        <v>55.12</v>
      </c>
      <c r="BD56">
        <v>89.552499999999995</v>
      </c>
      <c r="BE56">
        <v>269.45</v>
      </c>
      <c r="BF56">
        <v>315.45999999999998</v>
      </c>
      <c r="BG56">
        <v>46.77</v>
      </c>
      <c r="BH56">
        <v>89.44</v>
      </c>
      <c r="BI56">
        <v>194.78</v>
      </c>
      <c r="BJ56">
        <v>76.569999999999993</v>
      </c>
      <c r="BK56">
        <v>49.94</v>
      </c>
      <c r="BL56">
        <v>99.34</v>
      </c>
      <c r="BM56">
        <v>65.7</v>
      </c>
      <c r="BN56">
        <v>59.63</v>
      </c>
      <c r="BO56">
        <v>49.27</v>
      </c>
      <c r="BP56">
        <v>163.05000000000001</v>
      </c>
      <c r="BQ56">
        <v>136.94999999999999</v>
      </c>
      <c r="BR56">
        <v>81.180000000000007</v>
      </c>
      <c r="BS56">
        <v>40.619999999999997</v>
      </c>
      <c r="BT56">
        <v>44.78</v>
      </c>
      <c r="BU56">
        <v>144.77000000000001</v>
      </c>
    </row>
    <row r="57" spans="1:73" x14ac:dyDescent="0.25">
      <c r="A57" s="1">
        <v>46105</v>
      </c>
      <c r="B57">
        <v>98.76</v>
      </c>
      <c r="C57">
        <v>28.59</v>
      </c>
      <c r="D57">
        <v>73.260000000000005</v>
      </c>
      <c r="E57">
        <v>47.83</v>
      </c>
      <c r="F57">
        <v>21.98</v>
      </c>
      <c r="G57">
        <v>56.57</v>
      </c>
      <c r="H57">
        <v>96.36</v>
      </c>
      <c r="I57">
        <v>92.97</v>
      </c>
      <c r="J57">
        <v>93.58</v>
      </c>
      <c r="K57">
        <v>26.62</v>
      </c>
      <c r="L57">
        <v>33.85</v>
      </c>
      <c r="M57">
        <v>69.34</v>
      </c>
      <c r="N57">
        <v>87.85</v>
      </c>
      <c r="O57">
        <v>69.97</v>
      </c>
      <c r="P57">
        <v>26.69</v>
      </c>
      <c r="Q57">
        <v>51.55</v>
      </c>
      <c r="R57">
        <v>212.27</v>
      </c>
      <c r="S57">
        <v>58.13</v>
      </c>
      <c r="T57">
        <v>79.17</v>
      </c>
      <c r="U57">
        <v>36.19</v>
      </c>
      <c r="V57">
        <v>49.76</v>
      </c>
      <c r="W57">
        <v>103.66</v>
      </c>
      <c r="X57">
        <v>114.11</v>
      </c>
      <c r="Y57">
        <v>49.29</v>
      </c>
      <c r="Z57">
        <v>41.07</v>
      </c>
      <c r="AA57">
        <v>64.42</v>
      </c>
      <c r="AB57">
        <v>117.32</v>
      </c>
      <c r="AC57">
        <v>60.62</v>
      </c>
      <c r="AD57">
        <v>148.93</v>
      </c>
      <c r="AE57">
        <v>69.47</v>
      </c>
      <c r="AF57">
        <v>93.49</v>
      </c>
      <c r="AG57">
        <v>184.88</v>
      </c>
      <c r="AH57">
        <v>95.23</v>
      </c>
      <c r="AI57">
        <v>94.23</v>
      </c>
      <c r="AJ57">
        <v>105.67</v>
      </c>
      <c r="AK57">
        <v>30.44</v>
      </c>
      <c r="AL57">
        <v>18.5</v>
      </c>
      <c r="AM57">
        <v>31.18</v>
      </c>
      <c r="AN57">
        <v>23.1</v>
      </c>
      <c r="AO57">
        <v>25.91</v>
      </c>
      <c r="AP57">
        <v>25.47</v>
      </c>
      <c r="AQ57">
        <v>28.88</v>
      </c>
      <c r="AR57">
        <v>23.2</v>
      </c>
      <c r="AS57">
        <v>22.07</v>
      </c>
      <c r="AT57">
        <v>22.22</v>
      </c>
      <c r="AU57">
        <v>26.06</v>
      </c>
      <c r="AV57">
        <v>45.1</v>
      </c>
      <c r="AW57">
        <v>36.67</v>
      </c>
      <c r="AX57">
        <v>50.98</v>
      </c>
      <c r="AY57">
        <v>74.17</v>
      </c>
      <c r="AZ57">
        <v>221.31</v>
      </c>
      <c r="BA57">
        <v>172.12</v>
      </c>
      <c r="BB57">
        <v>120.45</v>
      </c>
      <c r="BC57">
        <v>54.9</v>
      </c>
      <c r="BD57">
        <v>88.987499999999997</v>
      </c>
      <c r="BE57">
        <v>268.25</v>
      </c>
      <c r="BF57">
        <v>316.61</v>
      </c>
      <c r="BG57">
        <v>46.61</v>
      </c>
      <c r="BH57">
        <v>87.91</v>
      </c>
      <c r="BI57">
        <v>194.89</v>
      </c>
      <c r="BJ57">
        <v>76.41</v>
      </c>
      <c r="BK57">
        <v>49.62</v>
      </c>
      <c r="BL57">
        <v>98.8</v>
      </c>
      <c r="BM57">
        <v>65.44</v>
      </c>
      <c r="BN57">
        <v>60.84</v>
      </c>
      <c r="BO57">
        <v>49.28</v>
      </c>
      <c r="BP57">
        <v>164</v>
      </c>
      <c r="BQ57">
        <v>136.15</v>
      </c>
      <c r="BR57">
        <v>81.11</v>
      </c>
      <c r="BS57">
        <v>40.29</v>
      </c>
      <c r="BT57">
        <v>45.09</v>
      </c>
      <c r="BU57">
        <v>144.79</v>
      </c>
    </row>
    <row r="58" spans="1:73" x14ac:dyDescent="0.25">
      <c r="A58" s="1">
        <v>46106</v>
      </c>
      <c r="B58">
        <v>99.11</v>
      </c>
      <c r="C58">
        <v>28.73</v>
      </c>
      <c r="D58">
        <v>73.540000000000006</v>
      </c>
      <c r="E58">
        <v>48.08</v>
      </c>
      <c r="F58">
        <v>22.04</v>
      </c>
      <c r="G58">
        <v>56.72</v>
      </c>
      <c r="H58">
        <v>96.64</v>
      </c>
      <c r="I58">
        <v>93.49</v>
      </c>
      <c r="J58">
        <v>94.43</v>
      </c>
      <c r="K58">
        <v>26.74</v>
      </c>
      <c r="L58">
        <v>33.71</v>
      </c>
      <c r="M58">
        <v>70.14</v>
      </c>
      <c r="N58">
        <v>88.51</v>
      </c>
      <c r="O58">
        <v>70.11</v>
      </c>
      <c r="P58">
        <v>26.67</v>
      </c>
      <c r="Q58">
        <v>51.89</v>
      </c>
      <c r="R58">
        <v>213.65</v>
      </c>
      <c r="S58">
        <v>58.34</v>
      </c>
      <c r="T58">
        <v>79.42</v>
      </c>
      <c r="U58">
        <v>36.32</v>
      </c>
      <c r="V58">
        <v>50.01</v>
      </c>
      <c r="W58">
        <v>104.32</v>
      </c>
      <c r="X58">
        <v>114.49</v>
      </c>
      <c r="Y58">
        <v>49.55</v>
      </c>
      <c r="Z58">
        <v>41.22</v>
      </c>
      <c r="AA58">
        <v>64.150000000000006</v>
      </c>
      <c r="AB58">
        <v>117.41</v>
      </c>
      <c r="AC58">
        <v>61.34</v>
      </c>
      <c r="AD58">
        <v>149.97</v>
      </c>
      <c r="AE58">
        <v>69.83</v>
      </c>
      <c r="AF58">
        <v>93.49</v>
      </c>
      <c r="AG58">
        <v>185.94</v>
      </c>
      <c r="AH58">
        <v>95.55</v>
      </c>
      <c r="AI58">
        <v>94.73</v>
      </c>
      <c r="AJ58">
        <v>106</v>
      </c>
      <c r="AK58">
        <v>30.61</v>
      </c>
      <c r="AL58">
        <v>18.59</v>
      </c>
      <c r="AM58">
        <v>31.45</v>
      </c>
      <c r="AN58">
        <v>23.19</v>
      </c>
      <c r="AO58">
        <v>25.98</v>
      </c>
      <c r="AP58">
        <v>25.56</v>
      </c>
      <c r="AQ58">
        <v>28.96</v>
      </c>
      <c r="AR58">
        <v>23.28</v>
      </c>
      <c r="AS58">
        <v>22.18</v>
      </c>
      <c r="AT58">
        <v>22.32</v>
      </c>
      <c r="AU58">
        <v>26.3</v>
      </c>
      <c r="AV58">
        <v>45.2</v>
      </c>
      <c r="AW58">
        <v>36.770000000000003</v>
      </c>
      <c r="AX58">
        <v>51.11</v>
      </c>
      <c r="AY58">
        <v>74.55</v>
      </c>
      <c r="AZ58">
        <v>222.65</v>
      </c>
      <c r="BA58">
        <v>171.44</v>
      </c>
      <c r="BB58">
        <v>120.7</v>
      </c>
      <c r="BC58">
        <v>55.39</v>
      </c>
      <c r="BD58">
        <v>89.557500000000005</v>
      </c>
      <c r="BE58">
        <v>271.52</v>
      </c>
      <c r="BF58">
        <v>319.37</v>
      </c>
      <c r="BG58">
        <v>46.89</v>
      </c>
      <c r="BH58">
        <v>87.84</v>
      </c>
      <c r="BI58">
        <v>195.48</v>
      </c>
      <c r="BJ58">
        <v>76.64</v>
      </c>
      <c r="BK58">
        <v>49.73</v>
      </c>
      <c r="BL58">
        <v>98.98</v>
      </c>
      <c r="BM58">
        <v>66.010000000000005</v>
      </c>
      <c r="BN58">
        <v>60.57</v>
      </c>
      <c r="BO58">
        <v>49.34</v>
      </c>
      <c r="BP58">
        <v>165.1</v>
      </c>
      <c r="BQ58">
        <v>136.76</v>
      </c>
      <c r="BR58">
        <v>81.510000000000005</v>
      </c>
      <c r="BS58">
        <v>40.270000000000003</v>
      </c>
      <c r="BT58">
        <v>45.25</v>
      </c>
      <c r="BU58">
        <v>146.24</v>
      </c>
    </row>
    <row r="59" spans="1:73" x14ac:dyDescent="0.25">
      <c r="A59" s="1">
        <v>46107</v>
      </c>
      <c r="B59">
        <v>98.55</v>
      </c>
      <c r="C59">
        <v>28.51</v>
      </c>
      <c r="D59">
        <v>73.11</v>
      </c>
      <c r="E59">
        <v>47.74</v>
      </c>
      <c r="F59">
        <v>21.8</v>
      </c>
      <c r="G59">
        <v>56.61</v>
      </c>
      <c r="H59">
        <v>96.03</v>
      </c>
      <c r="I59">
        <v>91.43</v>
      </c>
      <c r="J59">
        <v>93.46</v>
      </c>
      <c r="K59">
        <v>26.54</v>
      </c>
      <c r="L59">
        <v>34.229999999999997</v>
      </c>
      <c r="M59">
        <v>69.89</v>
      </c>
      <c r="N59">
        <v>86.24</v>
      </c>
      <c r="O59">
        <v>69.69</v>
      </c>
      <c r="P59">
        <v>26.64</v>
      </c>
      <c r="Q59">
        <v>51.7</v>
      </c>
      <c r="R59">
        <v>207.53</v>
      </c>
      <c r="S59">
        <v>58.47</v>
      </c>
      <c r="T59">
        <v>78.92</v>
      </c>
      <c r="U59">
        <v>36.08</v>
      </c>
      <c r="V59">
        <v>49.76</v>
      </c>
      <c r="W59">
        <v>102</v>
      </c>
      <c r="X59">
        <v>114.81</v>
      </c>
      <c r="Y59">
        <v>49.07</v>
      </c>
      <c r="Z59">
        <v>40.69</v>
      </c>
      <c r="AA59">
        <v>65.12</v>
      </c>
      <c r="AB59">
        <v>116.71</v>
      </c>
      <c r="AC59">
        <v>61.14</v>
      </c>
      <c r="AD59">
        <v>147.12</v>
      </c>
      <c r="AE59">
        <v>69.31</v>
      </c>
      <c r="AF59">
        <v>93.34</v>
      </c>
      <c r="AG59">
        <v>180.01</v>
      </c>
      <c r="AH59">
        <v>94.95</v>
      </c>
      <c r="AI59">
        <v>94.04</v>
      </c>
      <c r="AJ59">
        <v>105.6</v>
      </c>
      <c r="AK59">
        <v>30.38</v>
      </c>
      <c r="AL59">
        <v>18.43</v>
      </c>
      <c r="AM59">
        <v>31.2</v>
      </c>
      <c r="AN59">
        <v>23.04</v>
      </c>
      <c r="AO59">
        <v>25.81</v>
      </c>
      <c r="AP59">
        <v>25.43</v>
      </c>
      <c r="AQ59">
        <v>28.75</v>
      </c>
      <c r="AR59">
        <v>23.13</v>
      </c>
      <c r="AS59">
        <v>21.98</v>
      </c>
      <c r="AT59">
        <v>22.16</v>
      </c>
      <c r="AU59">
        <v>26.09</v>
      </c>
      <c r="AV59">
        <v>45.07</v>
      </c>
      <c r="AW59">
        <v>36.549999999999997</v>
      </c>
      <c r="AX59">
        <v>50.8</v>
      </c>
      <c r="AY59">
        <v>73.88</v>
      </c>
      <c r="AZ59">
        <v>221.7</v>
      </c>
      <c r="BA59">
        <v>174.14</v>
      </c>
      <c r="BB59">
        <v>119.99</v>
      </c>
      <c r="BC59">
        <v>54.94</v>
      </c>
      <c r="BD59">
        <v>87.004999999999995</v>
      </c>
      <c r="BE59">
        <v>270.42</v>
      </c>
      <c r="BF59">
        <v>311.17</v>
      </c>
      <c r="BG59">
        <v>46.5</v>
      </c>
      <c r="BH59">
        <v>87.72</v>
      </c>
      <c r="BI59">
        <v>195.92</v>
      </c>
      <c r="BJ59">
        <v>76.180000000000007</v>
      </c>
      <c r="BK59">
        <v>49.63</v>
      </c>
      <c r="BL59">
        <v>98.73</v>
      </c>
      <c r="BM59">
        <v>65.33</v>
      </c>
      <c r="BN59">
        <v>61.52</v>
      </c>
      <c r="BO59">
        <v>49.05</v>
      </c>
      <c r="BP59">
        <v>161.27000000000001</v>
      </c>
      <c r="BQ59">
        <v>132.5</v>
      </c>
      <c r="BR59">
        <v>81.14</v>
      </c>
      <c r="BS59">
        <v>40.29</v>
      </c>
      <c r="BT59">
        <v>45.33</v>
      </c>
      <c r="BU59">
        <v>145.74</v>
      </c>
    </row>
    <row r="60" spans="1:73" x14ac:dyDescent="0.25">
      <c r="A60" s="1">
        <v>46108</v>
      </c>
      <c r="B60">
        <v>98.54</v>
      </c>
      <c r="C60">
        <v>28.41</v>
      </c>
      <c r="D60">
        <v>73.11</v>
      </c>
      <c r="E60">
        <v>47.66</v>
      </c>
      <c r="F60">
        <v>21.73</v>
      </c>
      <c r="G60">
        <v>56.57</v>
      </c>
      <c r="H60">
        <v>95.87</v>
      </c>
      <c r="I60">
        <v>89.81</v>
      </c>
      <c r="J60">
        <v>92.95</v>
      </c>
      <c r="K60">
        <v>26.41</v>
      </c>
      <c r="L60">
        <v>34.79</v>
      </c>
      <c r="M60">
        <v>68.53</v>
      </c>
      <c r="N60">
        <v>85.15</v>
      </c>
      <c r="O60">
        <v>67.930000000000007</v>
      </c>
      <c r="P60">
        <v>26.42</v>
      </c>
      <c r="Q60">
        <v>52</v>
      </c>
      <c r="R60">
        <v>203.09</v>
      </c>
      <c r="S60">
        <v>58.74</v>
      </c>
      <c r="T60">
        <v>78.72</v>
      </c>
      <c r="U60">
        <v>36</v>
      </c>
      <c r="V60">
        <v>49.68</v>
      </c>
      <c r="W60">
        <v>100.84</v>
      </c>
      <c r="X60">
        <v>115.34</v>
      </c>
      <c r="Y60">
        <v>48.8</v>
      </c>
      <c r="Z60">
        <v>40.54</v>
      </c>
      <c r="AA60">
        <v>66.2</v>
      </c>
      <c r="AB60">
        <v>113.98</v>
      </c>
      <c r="AC60">
        <v>60.06</v>
      </c>
      <c r="AD60">
        <v>144.65</v>
      </c>
      <c r="AE60">
        <v>69.7</v>
      </c>
      <c r="AF60">
        <v>92.61</v>
      </c>
      <c r="AG60">
        <v>176.09</v>
      </c>
      <c r="AH60">
        <v>94.66</v>
      </c>
      <c r="AI60">
        <v>94.12</v>
      </c>
      <c r="AJ60">
        <v>105.64</v>
      </c>
      <c r="AK60">
        <v>30.16</v>
      </c>
      <c r="AL60">
        <v>18.309999999999999</v>
      </c>
      <c r="AM60">
        <v>31.04</v>
      </c>
      <c r="AN60">
        <v>23.05</v>
      </c>
      <c r="AO60">
        <v>25.75</v>
      </c>
      <c r="AP60">
        <v>25.42</v>
      </c>
      <c r="AQ60">
        <v>28.72</v>
      </c>
      <c r="AR60">
        <v>23.06</v>
      </c>
      <c r="AS60">
        <v>21.83</v>
      </c>
      <c r="AT60">
        <v>22.18</v>
      </c>
      <c r="AU60">
        <v>25.98</v>
      </c>
      <c r="AV60">
        <v>45.1</v>
      </c>
      <c r="AW60">
        <v>36.44</v>
      </c>
      <c r="AX60">
        <v>50.71</v>
      </c>
      <c r="AY60">
        <v>73.430000000000007</v>
      </c>
      <c r="AZ60">
        <v>223.18</v>
      </c>
      <c r="BA60">
        <v>176.95</v>
      </c>
      <c r="BB60">
        <v>117</v>
      </c>
      <c r="BC60">
        <v>54.7</v>
      </c>
      <c r="BD60">
        <v>85.125</v>
      </c>
      <c r="BE60">
        <v>265.36</v>
      </c>
      <c r="BF60">
        <v>307.20999999999998</v>
      </c>
      <c r="BG60">
        <v>46.56</v>
      </c>
      <c r="BH60">
        <v>87</v>
      </c>
      <c r="BI60">
        <v>196.88</v>
      </c>
      <c r="BJ60">
        <v>76.010000000000005</v>
      </c>
      <c r="BK60">
        <v>49.64</v>
      </c>
      <c r="BL60">
        <v>98.67</v>
      </c>
      <c r="BM60">
        <v>65</v>
      </c>
      <c r="BN60">
        <v>62.56</v>
      </c>
      <c r="BO60">
        <v>47.81</v>
      </c>
      <c r="BP60">
        <v>159.19999999999999</v>
      </c>
      <c r="BQ60">
        <v>129.91999999999999</v>
      </c>
      <c r="BR60">
        <v>81.78</v>
      </c>
      <c r="BS60">
        <v>40.01</v>
      </c>
      <c r="BT60">
        <v>45.59</v>
      </c>
      <c r="BU60">
        <v>143.26</v>
      </c>
    </row>
    <row r="61" spans="1:73" x14ac:dyDescent="0.25">
      <c r="A61" s="1">
        <v>46111</v>
      </c>
      <c r="B61">
        <v>99.04</v>
      </c>
      <c r="C61">
        <v>28.42</v>
      </c>
      <c r="D61">
        <v>73.48</v>
      </c>
      <c r="E61">
        <v>47.79</v>
      </c>
      <c r="F61">
        <v>21.72</v>
      </c>
      <c r="G61">
        <v>56.72</v>
      </c>
      <c r="H61">
        <v>96.29</v>
      </c>
      <c r="I61">
        <v>89.04</v>
      </c>
      <c r="J61">
        <v>93.11</v>
      </c>
      <c r="K61">
        <v>26.45</v>
      </c>
      <c r="L61">
        <v>34.409999999999997</v>
      </c>
      <c r="M61">
        <v>68.790000000000006</v>
      </c>
      <c r="N61">
        <v>83.66</v>
      </c>
      <c r="O61">
        <v>68.67</v>
      </c>
      <c r="P61">
        <v>26.53</v>
      </c>
      <c r="Q61">
        <v>52.23</v>
      </c>
      <c r="R61">
        <v>199.44</v>
      </c>
      <c r="S61">
        <v>59.13</v>
      </c>
      <c r="T61">
        <v>78.81</v>
      </c>
      <c r="U61">
        <v>36.020000000000003</v>
      </c>
      <c r="V61">
        <v>49.81</v>
      </c>
      <c r="W61">
        <v>99.15</v>
      </c>
      <c r="X61">
        <v>116.21</v>
      </c>
      <c r="Y61">
        <v>49.27</v>
      </c>
      <c r="Z61">
        <v>40.56</v>
      </c>
      <c r="AA61">
        <v>65.5</v>
      </c>
      <c r="AB61">
        <v>115.05</v>
      </c>
      <c r="AC61">
        <v>60.35</v>
      </c>
      <c r="AD61">
        <v>143.33000000000001</v>
      </c>
      <c r="AE61">
        <v>69.959999999999994</v>
      </c>
      <c r="AF61">
        <v>93.06</v>
      </c>
      <c r="AG61">
        <v>173.53</v>
      </c>
      <c r="AH61">
        <v>94.76</v>
      </c>
      <c r="AI61">
        <v>94.72</v>
      </c>
      <c r="AJ61">
        <v>105.95</v>
      </c>
      <c r="AK61">
        <v>30.12</v>
      </c>
      <c r="AL61">
        <v>18.239999999999998</v>
      </c>
      <c r="AM61">
        <v>31.44</v>
      </c>
      <c r="AN61">
        <v>23.16</v>
      </c>
      <c r="AO61">
        <v>25.77</v>
      </c>
      <c r="AP61">
        <v>25.55</v>
      </c>
      <c r="AQ61">
        <v>28.87</v>
      </c>
      <c r="AR61">
        <v>23.09</v>
      </c>
      <c r="AS61">
        <v>22.05</v>
      </c>
      <c r="AT61">
        <v>22.32</v>
      </c>
      <c r="AU61">
        <v>26.29</v>
      </c>
      <c r="AV61">
        <v>45.19</v>
      </c>
      <c r="AW61">
        <v>36.479999999999997</v>
      </c>
      <c r="AX61">
        <v>50.97</v>
      </c>
      <c r="AY61">
        <v>74.14</v>
      </c>
      <c r="AZ61">
        <v>224.07</v>
      </c>
      <c r="BA61">
        <v>175</v>
      </c>
      <c r="BB61">
        <v>118.24</v>
      </c>
      <c r="BC61">
        <v>55.37</v>
      </c>
      <c r="BD61">
        <v>83.587500000000006</v>
      </c>
      <c r="BE61">
        <v>266.36</v>
      </c>
      <c r="BF61">
        <v>301.89</v>
      </c>
      <c r="BG61">
        <v>46.85</v>
      </c>
      <c r="BH61">
        <v>87.33</v>
      </c>
      <c r="BI61">
        <v>198.11</v>
      </c>
      <c r="BJ61">
        <v>76.41</v>
      </c>
      <c r="BK61">
        <v>49.77</v>
      </c>
      <c r="BL61">
        <v>98.83</v>
      </c>
      <c r="BM61">
        <v>65.13</v>
      </c>
      <c r="BN61">
        <v>61.96</v>
      </c>
      <c r="BO61">
        <v>48.36</v>
      </c>
      <c r="BP61">
        <v>156.61000000000001</v>
      </c>
      <c r="BQ61">
        <v>127.5</v>
      </c>
      <c r="BR61">
        <v>81.88</v>
      </c>
      <c r="BS61">
        <v>40.21</v>
      </c>
      <c r="BT61">
        <v>45.92</v>
      </c>
      <c r="BU61">
        <v>143.82</v>
      </c>
    </row>
    <row r="62" spans="1:73" x14ac:dyDescent="0.25">
      <c r="A62" s="1">
        <v>46112</v>
      </c>
      <c r="B62">
        <v>99.27</v>
      </c>
      <c r="C62">
        <v>28.72</v>
      </c>
      <c r="D62">
        <v>73.64</v>
      </c>
      <c r="E62">
        <v>48.05</v>
      </c>
      <c r="F62">
        <v>21.95</v>
      </c>
      <c r="G62">
        <v>56.86</v>
      </c>
      <c r="H62">
        <v>96.8</v>
      </c>
      <c r="I62">
        <v>91.52</v>
      </c>
      <c r="J62">
        <v>93.93</v>
      </c>
      <c r="K62">
        <v>26.72</v>
      </c>
      <c r="L62">
        <v>34.020000000000003</v>
      </c>
      <c r="M62">
        <v>70.36</v>
      </c>
      <c r="N62">
        <v>86.52</v>
      </c>
      <c r="O62">
        <v>70.2</v>
      </c>
      <c r="P62">
        <v>26.91</v>
      </c>
      <c r="Q62">
        <v>52.33</v>
      </c>
      <c r="R62">
        <v>208.05</v>
      </c>
      <c r="S62">
        <v>59.07</v>
      </c>
      <c r="T62">
        <v>79.56</v>
      </c>
      <c r="U62">
        <v>36.159999999999997</v>
      </c>
      <c r="V62">
        <v>50.04</v>
      </c>
      <c r="W62">
        <v>101.79</v>
      </c>
      <c r="X62">
        <v>116.11</v>
      </c>
      <c r="Y62">
        <v>49.63</v>
      </c>
      <c r="Z62">
        <v>41.06</v>
      </c>
      <c r="AA62">
        <v>64.77</v>
      </c>
      <c r="AB62">
        <v>117.66</v>
      </c>
      <c r="AC62">
        <v>61.64</v>
      </c>
      <c r="AD62">
        <v>147.54</v>
      </c>
      <c r="AE62">
        <v>70.03</v>
      </c>
      <c r="AF62">
        <v>94.56</v>
      </c>
      <c r="AG62">
        <v>181.42</v>
      </c>
      <c r="AH62">
        <v>95.72</v>
      </c>
      <c r="AI62">
        <v>94.95</v>
      </c>
      <c r="AJ62">
        <v>106.15</v>
      </c>
      <c r="AK62">
        <v>30.32</v>
      </c>
      <c r="AL62">
        <v>18.399999999999999</v>
      </c>
      <c r="AM62">
        <v>31.43</v>
      </c>
      <c r="AN62">
        <v>23.22</v>
      </c>
      <c r="AO62">
        <v>26</v>
      </c>
      <c r="AP62">
        <v>25.62</v>
      </c>
      <c r="AQ62">
        <v>29.03</v>
      </c>
      <c r="AR62">
        <v>23.32</v>
      </c>
      <c r="AS62">
        <v>22.22</v>
      </c>
      <c r="AT62">
        <v>22.39</v>
      </c>
      <c r="AU62">
        <v>26.3</v>
      </c>
      <c r="AV62">
        <v>45.34</v>
      </c>
      <c r="AW62">
        <v>36.840000000000003</v>
      </c>
      <c r="AX62">
        <v>51.23</v>
      </c>
      <c r="AY62">
        <v>74.72</v>
      </c>
      <c r="AZ62">
        <v>224.59</v>
      </c>
      <c r="BA62">
        <v>173.04</v>
      </c>
      <c r="BB62">
        <v>120.81</v>
      </c>
      <c r="BC62">
        <v>55.36</v>
      </c>
      <c r="BD62">
        <v>87.215000000000003</v>
      </c>
      <c r="BE62">
        <v>272.33</v>
      </c>
      <c r="BF62">
        <v>312.22000000000003</v>
      </c>
      <c r="BG62">
        <v>46.95</v>
      </c>
      <c r="BH62">
        <v>88.7</v>
      </c>
      <c r="BI62">
        <v>198.14</v>
      </c>
      <c r="BJ62">
        <v>76.83</v>
      </c>
      <c r="BK62">
        <v>49.89</v>
      </c>
      <c r="BL62">
        <v>99.08</v>
      </c>
      <c r="BM62">
        <v>65.69</v>
      </c>
      <c r="BN62">
        <v>61.26</v>
      </c>
      <c r="BO62">
        <v>49.37</v>
      </c>
      <c r="BP62">
        <v>161.72999999999999</v>
      </c>
      <c r="BQ62">
        <v>132.9</v>
      </c>
      <c r="BR62">
        <v>81.98</v>
      </c>
      <c r="BS62">
        <v>40.83</v>
      </c>
      <c r="BT62">
        <v>45.89</v>
      </c>
      <c r="BU62">
        <v>146.61000000000001</v>
      </c>
    </row>
    <row r="63" spans="1:73" x14ac:dyDescent="0.25">
      <c r="A63" s="1">
        <v>46113</v>
      </c>
      <c r="B63">
        <v>99</v>
      </c>
      <c r="C63">
        <v>28.73</v>
      </c>
      <c r="D63">
        <v>73.42</v>
      </c>
      <c r="E63">
        <v>48.01</v>
      </c>
      <c r="F63">
        <v>21.96</v>
      </c>
      <c r="G63">
        <v>56.88</v>
      </c>
      <c r="H63">
        <v>96.52</v>
      </c>
      <c r="I63">
        <v>92.47</v>
      </c>
      <c r="J63">
        <v>93.86</v>
      </c>
      <c r="K63">
        <v>26.73</v>
      </c>
      <c r="L63">
        <v>32.799999999999997</v>
      </c>
      <c r="M63">
        <v>70.91</v>
      </c>
      <c r="N63">
        <v>87.97</v>
      </c>
      <c r="O63">
        <v>70.17</v>
      </c>
      <c r="P63">
        <v>27</v>
      </c>
      <c r="Q63">
        <v>52.1</v>
      </c>
      <c r="R63">
        <v>210.71</v>
      </c>
      <c r="S63">
        <v>59.36</v>
      </c>
      <c r="T63">
        <v>79.37</v>
      </c>
      <c r="U63">
        <v>36.24</v>
      </c>
      <c r="V63">
        <v>49.86</v>
      </c>
      <c r="W63">
        <v>102.82</v>
      </c>
      <c r="X63">
        <v>116.61</v>
      </c>
      <c r="Y63">
        <v>49.49</v>
      </c>
      <c r="Z63">
        <v>41.16</v>
      </c>
      <c r="AA63">
        <v>62.46</v>
      </c>
      <c r="AB63">
        <v>118.06</v>
      </c>
      <c r="AC63">
        <v>62.12</v>
      </c>
      <c r="AD63">
        <v>149.19999999999999</v>
      </c>
      <c r="AE63">
        <v>69.569999999999993</v>
      </c>
      <c r="AF63">
        <v>94.88</v>
      </c>
      <c r="AG63">
        <v>184.42</v>
      </c>
      <c r="AH63">
        <v>95.47</v>
      </c>
      <c r="AI63">
        <v>94.67</v>
      </c>
      <c r="AJ63">
        <v>106.31</v>
      </c>
      <c r="AK63">
        <v>30.38</v>
      </c>
      <c r="AL63">
        <v>18.39</v>
      </c>
      <c r="AM63">
        <v>31.29</v>
      </c>
      <c r="AN63">
        <v>23.16</v>
      </c>
      <c r="AO63">
        <v>25.94</v>
      </c>
      <c r="AP63">
        <v>25.55</v>
      </c>
      <c r="AQ63">
        <v>28.93</v>
      </c>
      <c r="AR63">
        <v>23.24</v>
      </c>
      <c r="AS63">
        <v>22.16</v>
      </c>
      <c r="AT63">
        <v>22.33</v>
      </c>
      <c r="AU63">
        <v>26.17</v>
      </c>
      <c r="AV63">
        <v>45.3</v>
      </c>
      <c r="AW63">
        <v>36.729999999999997</v>
      </c>
      <c r="AX63">
        <v>51.06</v>
      </c>
      <c r="AY63">
        <v>74.48</v>
      </c>
      <c r="AZ63">
        <v>223.73</v>
      </c>
      <c r="BA63">
        <v>166.8</v>
      </c>
      <c r="BB63">
        <v>120.84</v>
      </c>
      <c r="BC63">
        <v>55.1</v>
      </c>
      <c r="BD63">
        <v>88.331299999999999</v>
      </c>
      <c r="BE63">
        <v>274.5</v>
      </c>
      <c r="BF63">
        <v>317.39999999999998</v>
      </c>
      <c r="BG63">
        <v>46.83</v>
      </c>
      <c r="BH63">
        <v>89.02</v>
      </c>
      <c r="BI63">
        <v>198.97</v>
      </c>
      <c r="BJ63">
        <v>76.55</v>
      </c>
      <c r="BK63">
        <v>49.91</v>
      </c>
      <c r="BL63">
        <v>99.11</v>
      </c>
      <c r="BM63">
        <v>65.599999999999994</v>
      </c>
      <c r="BN63">
        <v>58.97</v>
      </c>
      <c r="BO63">
        <v>49.44</v>
      </c>
      <c r="BP63">
        <v>164.43</v>
      </c>
      <c r="BQ63">
        <v>134.91</v>
      </c>
      <c r="BR63">
        <v>81.459999999999994</v>
      </c>
      <c r="BS63">
        <v>40.950000000000003</v>
      </c>
      <c r="BT63">
        <v>46.11</v>
      </c>
      <c r="BU63">
        <v>147.72999999999999</v>
      </c>
    </row>
    <row r="64" spans="1:73" x14ac:dyDescent="0.25">
      <c r="A64" s="1">
        <v>46114</v>
      </c>
      <c r="B64">
        <v>99.23</v>
      </c>
      <c r="C64">
        <v>28.81</v>
      </c>
      <c r="D64">
        <v>73.58</v>
      </c>
      <c r="E64">
        <v>47.96</v>
      </c>
      <c r="F64">
        <v>21.88</v>
      </c>
      <c r="G64">
        <v>56.97</v>
      </c>
      <c r="H64">
        <v>96.83</v>
      </c>
      <c r="I64">
        <v>93.3</v>
      </c>
      <c r="J64">
        <v>93.97</v>
      </c>
      <c r="K64">
        <v>26.79</v>
      </c>
      <c r="L64">
        <v>33.04</v>
      </c>
      <c r="M64">
        <v>70.540000000000006</v>
      </c>
      <c r="N64">
        <v>87.68</v>
      </c>
      <c r="O64">
        <v>70.48</v>
      </c>
      <c r="P64">
        <v>27.39</v>
      </c>
      <c r="Q64">
        <v>52.4</v>
      </c>
      <c r="R64">
        <v>212.53</v>
      </c>
      <c r="S64">
        <v>59.75</v>
      </c>
      <c r="T64">
        <v>79.56</v>
      </c>
      <c r="U64">
        <v>36.33</v>
      </c>
      <c r="V64">
        <v>49.83</v>
      </c>
      <c r="W64">
        <v>103.89</v>
      </c>
      <c r="X64">
        <v>117.48</v>
      </c>
      <c r="Y64">
        <v>49.78</v>
      </c>
      <c r="Z64">
        <v>40.99</v>
      </c>
      <c r="AA64">
        <v>62.83</v>
      </c>
      <c r="AB64">
        <v>118.4</v>
      </c>
      <c r="AC64">
        <v>61.65</v>
      </c>
      <c r="AD64">
        <v>148.69</v>
      </c>
      <c r="AE64">
        <v>69.95</v>
      </c>
      <c r="AF64">
        <v>96.25</v>
      </c>
      <c r="AG64">
        <v>185.38</v>
      </c>
      <c r="AH64">
        <v>95.72</v>
      </c>
      <c r="AI64">
        <v>94.86</v>
      </c>
      <c r="AJ64">
        <v>106.49</v>
      </c>
      <c r="AK64">
        <v>30.43</v>
      </c>
      <c r="AL64">
        <v>18.420000000000002</v>
      </c>
      <c r="AM64">
        <v>31.45</v>
      </c>
      <c r="AN64">
        <v>23.22</v>
      </c>
      <c r="AO64">
        <v>26</v>
      </c>
      <c r="AP64">
        <v>25.6</v>
      </c>
      <c r="AQ64">
        <v>29.03</v>
      </c>
      <c r="AR64">
        <v>23.29</v>
      </c>
      <c r="AS64">
        <v>22.32</v>
      </c>
      <c r="AT64">
        <v>22.38</v>
      </c>
      <c r="AU64">
        <v>26.29</v>
      </c>
      <c r="AV64">
        <v>45.36</v>
      </c>
      <c r="AW64">
        <v>36.799999999999997</v>
      </c>
      <c r="AX64">
        <v>51.21</v>
      </c>
      <c r="AY64">
        <v>74.98</v>
      </c>
      <c r="AZ64">
        <v>224.97</v>
      </c>
      <c r="BA64">
        <v>168.06</v>
      </c>
      <c r="BB64">
        <v>121.32</v>
      </c>
      <c r="BC64">
        <v>55.37</v>
      </c>
      <c r="BD64">
        <v>89.081299999999999</v>
      </c>
      <c r="BE64">
        <v>273.07</v>
      </c>
      <c r="BF64">
        <v>316.36</v>
      </c>
      <c r="BG64">
        <v>46.93</v>
      </c>
      <c r="BH64">
        <v>90.23</v>
      </c>
      <c r="BI64">
        <v>200.14</v>
      </c>
      <c r="BJ64">
        <v>76.83</v>
      </c>
      <c r="BK64">
        <v>50</v>
      </c>
      <c r="BL64">
        <v>99.34</v>
      </c>
      <c r="BM64">
        <v>65.72</v>
      </c>
      <c r="BN64">
        <v>59.25</v>
      </c>
      <c r="BO64">
        <v>49.53</v>
      </c>
      <c r="BP64">
        <v>163.77000000000001</v>
      </c>
      <c r="BQ64">
        <v>135.99</v>
      </c>
      <c r="BR64">
        <v>81.89</v>
      </c>
      <c r="BS64">
        <v>41.61</v>
      </c>
      <c r="BT64">
        <v>46.34</v>
      </c>
      <c r="BU64">
        <v>146.81</v>
      </c>
    </row>
    <row r="65" spans="1:73" x14ac:dyDescent="0.25">
      <c r="A65" s="1">
        <v>46118</v>
      </c>
      <c r="B65">
        <v>99.05</v>
      </c>
      <c r="C65">
        <v>28.89</v>
      </c>
      <c r="D65">
        <v>73.47</v>
      </c>
      <c r="E65">
        <v>47.88</v>
      </c>
      <c r="F65">
        <v>21.86</v>
      </c>
      <c r="G65">
        <v>56.94</v>
      </c>
      <c r="H65">
        <v>96.71</v>
      </c>
      <c r="I65">
        <v>93.22</v>
      </c>
      <c r="J65">
        <v>93.94</v>
      </c>
      <c r="K65">
        <v>26.84</v>
      </c>
      <c r="L65">
        <v>33.270000000000003</v>
      </c>
      <c r="M65">
        <v>70.319999999999993</v>
      </c>
      <c r="N65">
        <v>88.08</v>
      </c>
      <c r="O65">
        <v>70.989999999999995</v>
      </c>
      <c r="P65">
        <v>27.42</v>
      </c>
      <c r="Q65">
        <v>52.85</v>
      </c>
      <c r="R65">
        <v>213.56</v>
      </c>
      <c r="S65">
        <v>59.48</v>
      </c>
      <c r="T65">
        <v>79.7</v>
      </c>
      <c r="U65">
        <v>36.380000000000003</v>
      </c>
      <c r="V65">
        <v>49.79</v>
      </c>
      <c r="W65">
        <v>103.94</v>
      </c>
      <c r="X65">
        <v>116.92</v>
      </c>
      <c r="Y65">
        <v>49.69</v>
      </c>
      <c r="Z65">
        <v>40.89</v>
      </c>
      <c r="AA65">
        <v>63.22</v>
      </c>
      <c r="AB65">
        <v>119.14</v>
      </c>
      <c r="AC65">
        <v>61.5</v>
      </c>
      <c r="AD65">
        <v>149.74</v>
      </c>
      <c r="AE65">
        <v>70.25</v>
      </c>
      <c r="AF65">
        <v>96.37</v>
      </c>
      <c r="AG65">
        <v>186.55</v>
      </c>
      <c r="AH65">
        <v>95.91</v>
      </c>
      <c r="AI65">
        <v>94.66</v>
      </c>
      <c r="AJ65">
        <v>106.45</v>
      </c>
      <c r="AK65">
        <v>30.5</v>
      </c>
      <c r="AL65">
        <v>18.47</v>
      </c>
      <c r="AM65">
        <v>31.41</v>
      </c>
      <c r="AN65">
        <v>23.18</v>
      </c>
      <c r="AO65">
        <v>26.05</v>
      </c>
      <c r="AP65">
        <v>25.55</v>
      </c>
      <c r="AQ65">
        <v>28.99</v>
      </c>
      <c r="AR65">
        <v>23.34</v>
      </c>
      <c r="AS65">
        <v>22.29</v>
      </c>
      <c r="AT65">
        <v>22.33</v>
      </c>
      <c r="AU65">
        <v>26.27</v>
      </c>
      <c r="AV65">
        <v>45.33</v>
      </c>
      <c r="AW65">
        <v>36.880000000000003</v>
      </c>
      <c r="AX65">
        <v>51.13</v>
      </c>
      <c r="AY65">
        <v>74.86</v>
      </c>
      <c r="AZ65">
        <v>226.81</v>
      </c>
      <c r="BA65">
        <v>169.13</v>
      </c>
      <c r="BB65">
        <v>122.19</v>
      </c>
      <c r="BC65">
        <v>55.3</v>
      </c>
      <c r="BD65">
        <v>89.527500000000003</v>
      </c>
      <c r="BE65">
        <v>272.11</v>
      </c>
      <c r="BF65">
        <v>317.99</v>
      </c>
      <c r="BG65">
        <v>46.8</v>
      </c>
      <c r="BH65">
        <v>90.36</v>
      </c>
      <c r="BI65">
        <v>199.4</v>
      </c>
      <c r="BJ65">
        <v>76.7</v>
      </c>
      <c r="BK65">
        <v>49.96</v>
      </c>
      <c r="BL65">
        <v>99.25</v>
      </c>
      <c r="BM65">
        <v>65.72</v>
      </c>
      <c r="BN65">
        <v>59.68</v>
      </c>
      <c r="BO65">
        <v>49.88</v>
      </c>
      <c r="BP65">
        <v>164.61</v>
      </c>
      <c r="BQ65">
        <v>136.78</v>
      </c>
      <c r="BR65">
        <v>82.66</v>
      </c>
      <c r="BS65">
        <v>41.76</v>
      </c>
      <c r="BT65">
        <v>46.17</v>
      </c>
      <c r="BU65">
        <v>146.28</v>
      </c>
    </row>
    <row r="66" spans="1:73" x14ac:dyDescent="0.25">
      <c r="A66" s="1">
        <v>46119</v>
      </c>
      <c r="B66">
        <v>99.17</v>
      </c>
      <c r="C66">
        <v>28.94</v>
      </c>
      <c r="D66">
        <v>73.58</v>
      </c>
      <c r="E66">
        <v>47.91</v>
      </c>
      <c r="F66">
        <v>21.93</v>
      </c>
      <c r="G66">
        <v>56.98</v>
      </c>
      <c r="H66">
        <v>96.86</v>
      </c>
      <c r="I66">
        <v>93.84</v>
      </c>
      <c r="J66">
        <v>93.99</v>
      </c>
      <c r="K66">
        <v>26.88</v>
      </c>
      <c r="L66">
        <v>33.54</v>
      </c>
      <c r="M66">
        <v>70.459999999999994</v>
      </c>
      <c r="N66">
        <v>87.92</v>
      </c>
      <c r="O66">
        <v>71</v>
      </c>
      <c r="P66">
        <v>27.46</v>
      </c>
      <c r="Q66">
        <v>51.99</v>
      </c>
      <c r="R66">
        <v>214.27</v>
      </c>
      <c r="S66">
        <v>59.67</v>
      </c>
      <c r="T66">
        <v>79.72</v>
      </c>
      <c r="U66">
        <v>36.4</v>
      </c>
      <c r="V66">
        <v>49.81</v>
      </c>
      <c r="W66">
        <v>104.53</v>
      </c>
      <c r="X66">
        <v>117.27</v>
      </c>
      <c r="Y66">
        <v>49.77</v>
      </c>
      <c r="Z66">
        <v>41.1</v>
      </c>
      <c r="AA66">
        <v>63.73</v>
      </c>
      <c r="AB66">
        <v>119.27</v>
      </c>
      <c r="AC66">
        <v>61.53</v>
      </c>
      <c r="AD66">
        <v>149.30000000000001</v>
      </c>
      <c r="AE66">
        <v>69.56</v>
      </c>
      <c r="AF66">
        <v>96.46</v>
      </c>
      <c r="AG66">
        <v>187.31</v>
      </c>
      <c r="AH66">
        <v>95.92</v>
      </c>
      <c r="AI66">
        <v>94.86</v>
      </c>
      <c r="AJ66">
        <v>106.57</v>
      </c>
      <c r="AK66">
        <v>30.47</v>
      </c>
      <c r="AL66">
        <v>18.53</v>
      </c>
      <c r="AM66">
        <v>31.39</v>
      </c>
      <c r="AN66">
        <v>23.21</v>
      </c>
      <c r="AO66">
        <v>26.04</v>
      </c>
      <c r="AP66">
        <v>25.58</v>
      </c>
      <c r="AQ66">
        <v>29.02</v>
      </c>
      <c r="AR66">
        <v>23.34</v>
      </c>
      <c r="AS66">
        <v>22.31</v>
      </c>
      <c r="AT66">
        <v>22.37</v>
      </c>
      <c r="AU66">
        <v>26.26</v>
      </c>
      <c r="AV66">
        <v>45.37</v>
      </c>
      <c r="AW66">
        <v>36.909999999999997</v>
      </c>
      <c r="AX66">
        <v>51.24</v>
      </c>
      <c r="AY66">
        <v>74.92</v>
      </c>
      <c r="AZ66">
        <v>223.16</v>
      </c>
      <c r="BA66">
        <v>170.54</v>
      </c>
      <c r="BB66">
        <v>122.19</v>
      </c>
      <c r="BC66">
        <v>55.3</v>
      </c>
      <c r="BD66">
        <v>89.806299999999993</v>
      </c>
      <c r="BE66">
        <v>272.82</v>
      </c>
      <c r="BF66">
        <v>317.42</v>
      </c>
      <c r="BG66">
        <v>46.87</v>
      </c>
      <c r="BH66">
        <v>90.49</v>
      </c>
      <c r="BI66">
        <v>199.98</v>
      </c>
      <c r="BJ66">
        <v>76.84</v>
      </c>
      <c r="BK66">
        <v>50.01</v>
      </c>
      <c r="BL66">
        <v>99.4</v>
      </c>
      <c r="BM66">
        <v>65.81</v>
      </c>
      <c r="BN66">
        <v>60.16</v>
      </c>
      <c r="BO66">
        <v>49.88</v>
      </c>
      <c r="BP66">
        <v>164.28</v>
      </c>
      <c r="BQ66">
        <v>137.43</v>
      </c>
      <c r="BR66">
        <v>81.260000000000005</v>
      </c>
      <c r="BS66">
        <v>41.72</v>
      </c>
      <c r="BT66">
        <v>46.27</v>
      </c>
      <c r="BU66">
        <v>146.57</v>
      </c>
    </row>
    <row r="67" spans="1:73" x14ac:dyDescent="0.25">
      <c r="A67" s="1">
        <v>46120</v>
      </c>
      <c r="B67">
        <v>99.43</v>
      </c>
      <c r="C67">
        <v>29.14</v>
      </c>
      <c r="D67">
        <v>73.72</v>
      </c>
      <c r="E67">
        <v>48.28</v>
      </c>
      <c r="F67">
        <v>22.25</v>
      </c>
      <c r="G67">
        <v>57.21</v>
      </c>
      <c r="H67">
        <v>97.16</v>
      </c>
      <c r="I67">
        <v>96.39</v>
      </c>
      <c r="J67">
        <v>95.11</v>
      </c>
      <c r="K67">
        <v>27.08</v>
      </c>
      <c r="L67">
        <v>32.4</v>
      </c>
      <c r="M67">
        <v>71.849999999999994</v>
      </c>
      <c r="N67">
        <v>91.4</v>
      </c>
      <c r="O67">
        <v>72.89</v>
      </c>
      <c r="P67">
        <v>27.96</v>
      </c>
      <c r="Q67">
        <v>53.03</v>
      </c>
      <c r="R67">
        <v>220.42</v>
      </c>
      <c r="S67">
        <v>60.3</v>
      </c>
      <c r="T67">
        <v>80.19</v>
      </c>
      <c r="U67">
        <v>36.630000000000003</v>
      </c>
      <c r="V67">
        <v>50.13</v>
      </c>
      <c r="W67">
        <v>107.39</v>
      </c>
      <c r="X67">
        <v>118.26</v>
      </c>
      <c r="Y67">
        <v>50</v>
      </c>
      <c r="Z67">
        <v>41.68</v>
      </c>
      <c r="AA67">
        <v>61.56</v>
      </c>
      <c r="AB67">
        <v>122.4</v>
      </c>
      <c r="AC67">
        <v>62.81</v>
      </c>
      <c r="AD67">
        <v>154.97</v>
      </c>
      <c r="AE67">
        <v>70.67</v>
      </c>
      <c r="AF67">
        <v>98.19</v>
      </c>
      <c r="AG67">
        <v>193.1</v>
      </c>
      <c r="AH67">
        <v>96.48</v>
      </c>
      <c r="AI67">
        <v>95.06</v>
      </c>
      <c r="AJ67">
        <v>106.76</v>
      </c>
      <c r="AK67">
        <v>30.74</v>
      </c>
      <c r="AL67">
        <v>18.66</v>
      </c>
      <c r="AM67">
        <v>31.51</v>
      </c>
      <c r="AN67">
        <v>23.25</v>
      </c>
      <c r="AO67">
        <v>26.21</v>
      </c>
      <c r="AP67">
        <v>25.64</v>
      </c>
      <c r="AQ67">
        <v>29.12</v>
      </c>
      <c r="AR67">
        <v>23.49</v>
      </c>
      <c r="AS67">
        <v>22.4</v>
      </c>
      <c r="AT67">
        <v>22.43</v>
      </c>
      <c r="AU67">
        <v>26.35</v>
      </c>
      <c r="AV67">
        <v>45.48</v>
      </c>
      <c r="AW67">
        <v>37.11</v>
      </c>
      <c r="AX67">
        <v>51.38</v>
      </c>
      <c r="AY67">
        <v>75.27</v>
      </c>
      <c r="AZ67">
        <v>227.68</v>
      </c>
      <c r="BA67">
        <v>164.78</v>
      </c>
      <c r="BB67">
        <v>125.53</v>
      </c>
      <c r="BC67">
        <v>55.5</v>
      </c>
      <c r="BD67">
        <v>92.387500000000003</v>
      </c>
      <c r="BE67">
        <v>278.2</v>
      </c>
      <c r="BF67">
        <v>329.69</v>
      </c>
      <c r="BG67">
        <v>47.05</v>
      </c>
      <c r="BH67">
        <v>92.12</v>
      </c>
      <c r="BI67">
        <v>202.09</v>
      </c>
      <c r="BJ67">
        <v>77.05</v>
      </c>
      <c r="BK67">
        <v>50.13</v>
      </c>
      <c r="BL67">
        <v>99.73</v>
      </c>
      <c r="BM67">
        <v>66.38</v>
      </c>
      <c r="BN67">
        <v>58.05</v>
      </c>
      <c r="BO67">
        <v>51.2</v>
      </c>
      <c r="BP67">
        <v>170.44</v>
      </c>
      <c r="BQ67">
        <v>141.69</v>
      </c>
      <c r="BR67">
        <v>82.78</v>
      </c>
      <c r="BS67">
        <v>42.44</v>
      </c>
      <c r="BT67">
        <v>46.78</v>
      </c>
      <c r="BU67">
        <v>149.66999999999999</v>
      </c>
    </row>
    <row r="68" spans="1:73" x14ac:dyDescent="0.25">
      <c r="A68" s="1">
        <v>46121</v>
      </c>
      <c r="B68">
        <v>99.49</v>
      </c>
      <c r="C68">
        <v>29.19</v>
      </c>
      <c r="D68">
        <v>73.75</v>
      </c>
      <c r="E68">
        <v>48.13</v>
      </c>
      <c r="F68">
        <v>22.22</v>
      </c>
      <c r="G68">
        <v>57.3</v>
      </c>
      <c r="H68">
        <v>97.22</v>
      </c>
      <c r="I68">
        <v>96.51</v>
      </c>
      <c r="J68">
        <v>95.51</v>
      </c>
      <c r="K68">
        <v>27.13</v>
      </c>
      <c r="L68">
        <v>31.99</v>
      </c>
      <c r="M68">
        <v>71.7</v>
      </c>
      <c r="N68">
        <v>92.32</v>
      </c>
      <c r="O68">
        <v>73.12</v>
      </c>
      <c r="P68">
        <v>28.16</v>
      </c>
      <c r="Q68">
        <v>53.52</v>
      </c>
      <c r="R68">
        <v>220.68</v>
      </c>
      <c r="S68">
        <v>60.76</v>
      </c>
      <c r="T68">
        <v>80.28</v>
      </c>
      <c r="U68">
        <v>36.64</v>
      </c>
      <c r="V68">
        <v>50.03</v>
      </c>
      <c r="W68">
        <v>107.56</v>
      </c>
      <c r="X68">
        <v>119.13</v>
      </c>
      <c r="Y68">
        <v>50.02</v>
      </c>
      <c r="Z68">
        <v>41.7</v>
      </c>
      <c r="AA68">
        <v>60.82</v>
      </c>
      <c r="AB68">
        <v>122.82</v>
      </c>
      <c r="AC68">
        <v>62.61</v>
      </c>
      <c r="AD68">
        <v>155.97</v>
      </c>
      <c r="AE68">
        <v>71.17</v>
      </c>
      <c r="AF68">
        <v>98.9</v>
      </c>
      <c r="AG68">
        <v>193.64</v>
      </c>
      <c r="AH68">
        <v>96.57</v>
      </c>
      <c r="AI68">
        <v>95.16</v>
      </c>
      <c r="AJ68">
        <v>107</v>
      </c>
      <c r="AK68">
        <v>30.84</v>
      </c>
      <c r="AL68">
        <v>18.77</v>
      </c>
      <c r="AM68">
        <v>31.46</v>
      </c>
      <c r="AN68">
        <v>23.27</v>
      </c>
      <c r="AO68">
        <v>26.25</v>
      </c>
      <c r="AP68">
        <v>25.65</v>
      </c>
      <c r="AQ68">
        <v>29.13</v>
      </c>
      <c r="AR68">
        <v>23.49</v>
      </c>
      <c r="AS68">
        <v>22.41</v>
      </c>
      <c r="AT68">
        <v>22.43</v>
      </c>
      <c r="AU68">
        <v>26.31</v>
      </c>
      <c r="AV68">
        <v>45.55</v>
      </c>
      <c r="AW68">
        <v>37.119999999999997</v>
      </c>
      <c r="AX68">
        <v>51.4</v>
      </c>
      <c r="AY68">
        <v>75.290000000000006</v>
      </c>
      <c r="AZ68">
        <v>229.63</v>
      </c>
      <c r="BA68">
        <v>162.72999999999999</v>
      </c>
      <c r="BB68">
        <v>125.88</v>
      </c>
      <c r="BC68">
        <v>55.4</v>
      </c>
      <c r="BD68">
        <v>92.518799999999999</v>
      </c>
      <c r="BE68">
        <v>277.64999999999998</v>
      </c>
      <c r="BF68">
        <v>332.89</v>
      </c>
      <c r="BG68">
        <v>47.02</v>
      </c>
      <c r="BH68">
        <v>92.78</v>
      </c>
      <c r="BI68">
        <v>203.63</v>
      </c>
      <c r="BJ68">
        <v>77.06</v>
      </c>
      <c r="BK68">
        <v>50.26</v>
      </c>
      <c r="BL68">
        <v>99.92</v>
      </c>
      <c r="BM68">
        <v>66.680000000000007</v>
      </c>
      <c r="BN68">
        <v>57.33</v>
      </c>
      <c r="BO68">
        <v>51.33</v>
      </c>
      <c r="BP68">
        <v>172.19</v>
      </c>
      <c r="BQ68">
        <v>142.07</v>
      </c>
      <c r="BR68">
        <v>83.45</v>
      </c>
      <c r="BS68">
        <v>42.73</v>
      </c>
      <c r="BT68">
        <v>47.15</v>
      </c>
      <c r="BU68">
        <v>149.33000000000001</v>
      </c>
    </row>
    <row r="69" spans="1:73" x14ac:dyDescent="0.25">
      <c r="A69" s="1">
        <v>46122</v>
      </c>
      <c r="B69">
        <v>99.32</v>
      </c>
      <c r="C69">
        <v>29.13</v>
      </c>
      <c r="D69">
        <v>73.64</v>
      </c>
      <c r="E69">
        <v>48</v>
      </c>
      <c r="F69">
        <v>22.17</v>
      </c>
      <c r="G69">
        <v>57.25</v>
      </c>
      <c r="H69">
        <v>97.06</v>
      </c>
      <c r="I69">
        <v>96.5</v>
      </c>
      <c r="J69">
        <v>95.5</v>
      </c>
      <c r="K69">
        <v>27.04</v>
      </c>
      <c r="L69">
        <v>31.82</v>
      </c>
      <c r="M69">
        <v>70.7</v>
      </c>
      <c r="N69">
        <v>92.07</v>
      </c>
      <c r="O69">
        <v>72.36</v>
      </c>
      <c r="P69">
        <v>28.23</v>
      </c>
      <c r="Q69">
        <v>52.79</v>
      </c>
      <c r="R69">
        <v>221.67</v>
      </c>
      <c r="S69">
        <v>60.52</v>
      </c>
      <c r="T69">
        <v>79.959999999999994</v>
      </c>
      <c r="U69">
        <v>36.5</v>
      </c>
      <c r="V69">
        <v>49.92</v>
      </c>
      <c r="W69">
        <v>107.64</v>
      </c>
      <c r="X69">
        <v>118.54</v>
      </c>
      <c r="Y69">
        <v>49.83</v>
      </c>
      <c r="Z69">
        <v>41.62</v>
      </c>
      <c r="AA69">
        <v>60.44</v>
      </c>
      <c r="AB69">
        <v>121.51</v>
      </c>
      <c r="AC69">
        <v>61.79</v>
      </c>
      <c r="AD69">
        <v>155.15</v>
      </c>
      <c r="AE69">
        <v>70.67</v>
      </c>
      <c r="AF69">
        <v>99.02</v>
      </c>
      <c r="AG69">
        <v>194.27</v>
      </c>
      <c r="AH69">
        <v>96.24</v>
      </c>
      <c r="AI69">
        <v>94.97</v>
      </c>
      <c r="AJ69">
        <v>106.84</v>
      </c>
      <c r="AK69">
        <v>30.79</v>
      </c>
      <c r="AL69">
        <v>18.73</v>
      </c>
      <c r="AM69">
        <v>31.37</v>
      </c>
      <c r="AN69">
        <v>23.23</v>
      </c>
      <c r="AO69">
        <v>26.16</v>
      </c>
      <c r="AP69">
        <v>25.62</v>
      </c>
      <c r="AQ69">
        <v>29.07</v>
      </c>
      <c r="AR69">
        <v>23.42</v>
      </c>
      <c r="AS69">
        <v>22.3</v>
      </c>
      <c r="AT69">
        <v>22.42</v>
      </c>
      <c r="AU69">
        <v>26.24</v>
      </c>
      <c r="AV69">
        <v>45.57</v>
      </c>
      <c r="AW69">
        <v>36.979999999999997</v>
      </c>
      <c r="AX69">
        <v>51.31</v>
      </c>
      <c r="AY69">
        <v>74.989999999999995</v>
      </c>
      <c r="AZ69">
        <v>226.52</v>
      </c>
      <c r="BA69">
        <v>161.79</v>
      </c>
      <c r="BB69">
        <v>124.56</v>
      </c>
      <c r="BC69">
        <v>55.26</v>
      </c>
      <c r="BD69">
        <v>92.91</v>
      </c>
      <c r="BE69">
        <v>273.77999999999997</v>
      </c>
      <c r="BF69">
        <v>331.8</v>
      </c>
      <c r="BG69">
        <v>46.99</v>
      </c>
      <c r="BH69">
        <v>92.98</v>
      </c>
      <c r="BI69">
        <v>202.89</v>
      </c>
      <c r="BJ69">
        <v>76.91</v>
      </c>
      <c r="BK69">
        <v>50.24</v>
      </c>
      <c r="BL69">
        <v>99.86</v>
      </c>
      <c r="BM69">
        <v>66.69</v>
      </c>
      <c r="BN69">
        <v>56.94</v>
      </c>
      <c r="BO69">
        <v>50.77</v>
      </c>
      <c r="BP69">
        <v>171.52</v>
      </c>
      <c r="BQ69">
        <v>142.62</v>
      </c>
      <c r="BR69">
        <v>82.37</v>
      </c>
      <c r="BS69">
        <v>42.82</v>
      </c>
      <c r="BT69">
        <v>46.96</v>
      </c>
      <c r="BU69">
        <v>147.31</v>
      </c>
    </row>
    <row r="70" spans="1:73" x14ac:dyDescent="0.25">
      <c r="A70" s="1">
        <v>46125</v>
      </c>
      <c r="B70">
        <v>99.52</v>
      </c>
      <c r="C70">
        <v>29.23</v>
      </c>
      <c r="D70">
        <v>73.8</v>
      </c>
      <c r="E70">
        <v>48.04</v>
      </c>
      <c r="F70">
        <v>22.21</v>
      </c>
      <c r="G70">
        <v>57.34</v>
      </c>
      <c r="H70">
        <v>97.33</v>
      </c>
      <c r="I70">
        <v>97.88</v>
      </c>
      <c r="J70">
        <v>96.03</v>
      </c>
      <c r="K70">
        <v>27.14</v>
      </c>
      <c r="L70">
        <v>31.91</v>
      </c>
      <c r="M70">
        <v>71.22</v>
      </c>
      <c r="N70">
        <v>92.84</v>
      </c>
      <c r="O70">
        <v>73.61</v>
      </c>
      <c r="P70">
        <v>28.34</v>
      </c>
      <c r="Q70">
        <v>52.25</v>
      </c>
      <c r="R70">
        <v>226.21</v>
      </c>
      <c r="S70">
        <v>59.76</v>
      </c>
      <c r="T70">
        <v>80.260000000000005</v>
      </c>
      <c r="U70">
        <v>36.630000000000003</v>
      </c>
      <c r="V70">
        <v>49.91</v>
      </c>
      <c r="W70">
        <v>108.59</v>
      </c>
      <c r="X70">
        <v>117.26</v>
      </c>
      <c r="Y70">
        <v>50.12</v>
      </c>
      <c r="Z70">
        <v>41.69</v>
      </c>
      <c r="AA70">
        <v>60.6</v>
      </c>
      <c r="AB70">
        <v>123.52</v>
      </c>
      <c r="AC70">
        <v>62.22</v>
      </c>
      <c r="AD70">
        <v>157.13</v>
      </c>
      <c r="AE70">
        <v>70.150000000000006</v>
      </c>
      <c r="AF70">
        <v>99.45</v>
      </c>
      <c r="AG70">
        <v>197.94</v>
      </c>
      <c r="AH70">
        <v>96.58</v>
      </c>
      <c r="AI70">
        <v>95.2</v>
      </c>
      <c r="AJ70">
        <v>107</v>
      </c>
      <c r="AK70">
        <v>30.99</v>
      </c>
      <c r="AL70">
        <v>18.829999999999998</v>
      </c>
      <c r="AM70">
        <v>31.47</v>
      </c>
      <c r="AN70">
        <v>23.28</v>
      </c>
      <c r="AO70">
        <v>26.25</v>
      </c>
      <c r="AP70">
        <v>25.67</v>
      </c>
      <c r="AQ70">
        <v>29.15</v>
      </c>
      <c r="AR70">
        <v>23.51</v>
      </c>
      <c r="AS70">
        <v>22.45</v>
      </c>
      <c r="AT70">
        <v>22.46</v>
      </c>
      <c r="AU70">
        <v>26.33</v>
      </c>
      <c r="AV70">
        <v>45.6</v>
      </c>
      <c r="AW70">
        <v>37.119999999999997</v>
      </c>
      <c r="AX70">
        <v>51.46</v>
      </c>
      <c r="AY70">
        <v>75.41</v>
      </c>
      <c r="AZ70">
        <v>224.2</v>
      </c>
      <c r="BA70">
        <v>162.31</v>
      </c>
      <c r="BB70">
        <v>126.68</v>
      </c>
      <c r="BC70">
        <v>55.43</v>
      </c>
      <c r="BD70">
        <v>94.782499999999999</v>
      </c>
      <c r="BE70">
        <v>275.89</v>
      </c>
      <c r="BF70">
        <v>334.94</v>
      </c>
      <c r="BG70">
        <v>47.07</v>
      </c>
      <c r="BH70">
        <v>93.33</v>
      </c>
      <c r="BI70">
        <v>200.25</v>
      </c>
      <c r="BJ70">
        <v>77.17</v>
      </c>
      <c r="BK70">
        <v>50.3</v>
      </c>
      <c r="BL70">
        <v>100.01</v>
      </c>
      <c r="BM70">
        <v>67.040000000000006</v>
      </c>
      <c r="BN70">
        <v>57.11</v>
      </c>
      <c r="BO70">
        <v>51.66</v>
      </c>
      <c r="BP70">
        <v>172.73</v>
      </c>
      <c r="BQ70">
        <v>145.61000000000001</v>
      </c>
      <c r="BR70">
        <v>81.55</v>
      </c>
      <c r="BS70">
        <v>43.02</v>
      </c>
      <c r="BT70">
        <v>46.39</v>
      </c>
      <c r="BU70">
        <v>147.97</v>
      </c>
    </row>
    <row r="71" spans="1:73" x14ac:dyDescent="0.25">
      <c r="A71" s="1">
        <v>46126</v>
      </c>
      <c r="B71">
        <v>99.78</v>
      </c>
      <c r="C71">
        <v>29.34</v>
      </c>
      <c r="D71">
        <v>73.98</v>
      </c>
      <c r="E71">
        <v>48.22</v>
      </c>
      <c r="F71">
        <v>22.38</v>
      </c>
      <c r="G71">
        <v>57.37</v>
      </c>
      <c r="H71">
        <v>97.59</v>
      </c>
      <c r="I71">
        <v>98.84</v>
      </c>
      <c r="J71">
        <v>96.46</v>
      </c>
      <c r="K71">
        <v>27.26</v>
      </c>
      <c r="L71">
        <v>31.2</v>
      </c>
      <c r="M71">
        <v>71.8</v>
      </c>
      <c r="N71">
        <v>93.36</v>
      </c>
      <c r="O71">
        <v>73.86</v>
      </c>
      <c r="P71">
        <v>28.59</v>
      </c>
      <c r="Q71">
        <v>52.16</v>
      </c>
      <c r="R71">
        <v>229.6</v>
      </c>
      <c r="S71">
        <v>59.96</v>
      </c>
      <c r="T71">
        <v>80.5</v>
      </c>
      <c r="U71">
        <v>36.75</v>
      </c>
      <c r="V71">
        <v>50.05</v>
      </c>
      <c r="W71">
        <v>109.8</v>
      </c>
      <c r="X71">
        <v>117.41</v>
      </c>
      <c r="Y71">
        <v>50.32</v>
      </c>
      <c r="Z71">
        <v>41.98</v>
      </c>
      <c r="AA71">
        <v>59.3</v>
      </c>
      <c r="AB71">
        <v>123.84</v>
      </c>
      <c r="AC71">
        <v>62.64</v>
      </c>
      <c r="AD71">
        <v>157.76</v>
      </c>
      <c r="AE71">
        <v>69.92</v>
      </c>
      <c r="AF71">
        <v>100.42</v>
      </c>
      <c r="AG71">
        <v>201.83</v>
      </c>
      <c r="AH71">
        <v>96.87</v>
      </c>
      <c r="AI71">
        <v>95.46</v>
      </c>
      <c r="AJ71">
        <v>107.08</v>
      </c>
      <c r="AK71">
        <v>31.25</v>
      </c>
      <c r="AL71">
        <v>18.93</v>
      </c>
      <c r="AM71">
        <v>31.64</v>
      </c>
      <c r="AN71">
        <v>23.33</v>
      </c>
      <c r="AO71">
        <v>26.34</v>
      </c>
      <c r="AP71">
        <v>25.72</v>
      </c>
      <c r="AQ71">
        <v>29.24</v>
      </c>
      <c r="AR71">
        <v>23.57</v>
      </c>
      <c r="AS71">
        <v>22.53</v>
      </c>
      <c r="AT71">
        <v>22.5</v>
      </c>
      <c r="AU71">
        <v>26.46</v>
      </c>
      <c r="AV71">
        <v>45.61</v>
      </c>
      <c r="AW71">
        <v>37.25</v>
      </c>
      <c r="AX71">
        <v>51.59</v>
      </c>
      <c r="AY71">
        <v>75.709999999999994</v>
      </c>
      <c r="AZ71">
        <v>223.95</v>
      </c>
      <c r="BA71">
        <v>158.69</v>
      </c>
      <c r="BB71">
        <v>127.15</v>
      </c>
      <c r="BC71">
        <v>55.71</v>
      </c>
      <c r="BD71">
        <v>96.254999999999995</v>
      </c>
      <c r="BE71">
        <v>277.89999999999998</v>
      </c>
      <c r="BF71">
        <v>336.73</v>
      </c>
      <c r="BG71">
        <v>47.22</v>
      </c>
      <c r="BH71">
        <v>94.22</v>
      </c>
      <c r="BI71">
        <v>200.91</v>
      </c>
      <c r="BJ71">
        <v>77.39</v>
      </c>
      <c r="BK71">
        <v>50.34</v>
      </c>
      <c r="BL71">
        <v>100.06</v>
      </c>
      <c r="BM71">
        <v>67.319999999999993</v>
      </c>
      <c r="BN71">
        <v>55.95</v>
      </c>
      <c r="BO71">
        <v>51.78</v>
      </c>
      <c r="BP71">
        <v>173.35</v>
      </c>
      <c r="BQ71">
        <v>147.94</v>
      </c>
      <c r="BR71">
        <v>81.47</v>
      </c>
      <c r="BS71">
        <v>43.43</v>
      </c>
      <c r="BT71">
        <v>46.47</v>
      </c>
      <c r="BU71">
        <v>148.83000000000001</v>
      </c>
    </row>
    <row r="72" spans="1:73" x14ac:dyDescent="0.25">
      <c r="A72" s="1">
        <v>46127</v>
      </c>
      <c r="B72">
        <v>99.62</v>
      </c>
      <c r="C72">
        <v>29.32</v>
      </c>
      <c r="D72">
        <v>73.88</v>
      </c>
      <c r="E72">
        <v>48.12</v>
      </c>
      <c r="F72">
        <v>22.34</v>
      </c>
      <c r="G72">
        <v>57.27</v>
      </c>
      <c r="H72">
        <v>97.54</v>
      </c>
      <c r="I72">
        <v>99.03</v>
      </c>
      <c r="J72">
        <v>96.25</v>
      </c>
      <c r="K72">
        <v>27.23</v>
      </c>
      <c r="L72">
        <v>31.15</v>
      </c>
      <c r="M72">
        <v>71.41</v>
      </c>
      <c r="N72">
        <v>92.2</v>
      </c>
      <c r="O72">
        <v>74.430000000000007</v>
      </c>
      <c r="P72">
        <v>28.63</v>
      </c>
      <c r="Q72">
        <v>51.96</v>
      </c>
      <c r="R72">
        <v>233.81</v>
      </c>
      <c r="S72">
        <v>59.46</v>
      </c>
      <c r="T72">
        <v>80.459999999999994</v>
      </c>
      <c r="U72">
        <v>36.71</v>
      </c>
      <c r="V72">
        <v>49.96</v>
      </c>
      <c r="W72">
        <v>110.31</v>
      </c>
      <c r="X72">
        <v>116.31</v>
      </c>
      <c r="Y72">
        <v>50.33</v>
      </c>
      <c r="Z72">
        <v>41.97</v>
      </c>
      <c r="AA72">
        <v>59.14</v>
      </c>
      <c r="AB72">
        <v>124.64</v>
      </c>
      <c r="AC72">
        <v>62.29</v>
      </c>
      <c r="AD72">
        <v>156.43</v>
      </c>
      <c r="AE72">
        <v>69.22</v>
      </c>
      <c r="AF72">
        <v>100.47</v>
      </c>
      <c r="AG72">
        <v>205.23</v>
      </c>
      <c r="AH72">
        <v>96.81</v>
      </c>
      <c r="AI72">
        <v>95.27</v>
      </c>
      <c r="AJ72">
        <v>106.88</v>
      </c>
      <c r="AK72">
        <v>31.36</v>
      </c>
      <c r="AL72">
        <v>19</v>
      </c>
      <c r="AM72">
        <v>31.51</v>
      </c>
      <c r="AN72">
        <v>23.31</v>
      </c>
      <c r="AO72">
        <v>26.32</v>
      </c>
      <c r="AP72">
        <v>25.7</v>
      </c>
      <c r="AQ72">
        <v>29.23</v>
      </c>
      <c r="AR72">
        <v>23.56</v>
      </c>
      <c r="AS72">
        <v>22.54</v>
      </c>
      <c r="AT72">
        <v>22.48</v>
      </c>
      <c r="AU72">
        <v>26.35</v>
      </c>
      <c r="AV72">
        <v>45.57</v>
      </c>
      <c r="AW72">
        <v>37.22</v>
      </c>
      <c r="AX72">
        <v>51.57</v>
      </c>
      <c r="AY72">
        <v>75.75</v>
      </c>
      <c r="AZ72">
        <v>222.98</v>
      </c>
      <c r="BA72">
        <v>158.44999999999999</v>
      </c>
      <c r="BB72">
        <v>128.13</v>
      </c>
      <c r="BC72">
        <v>55.49</v>
      </c>
      <c r="BD72">
        <v>98.002499999999998</v>
      </c>
      <c r="BE72">
        <v>276.41000000000003</v>
      </c>
      <c r="BF72">
        <v>332.64</v>
      </c>
      <c r="BG72">
        <v>47.12</v>
      </c>
      <c r="BH72">
        <v>94.29</v>
      </c>
      <c r="BI72">
        <v>199.25</v>
      </c>
      <c r="BJ72">
        <v>77.34</v>
      </c>
      <c r="BK72">
        <v>50.26</v>
      </c>
      <c r="BL72">
        <v>99.96</v>
      </c>
      <c r="BM72">
        <v>67.260000000000005</v>
      </c>
      <c r="BN72">
        <v>55.76</v>
      </c>
      <c r="BO72">
        <v>52.17</v>
      </c>
      <c r="BP72">
        <v>171.18</v>
      </c>
      <c r="BQ72">
        <v>150.30000000000001</v>
      </c>
      <c r="BR72">
        <v>81.06</v>
      </c>
      <c r="BS72">
        <v>43.41</v>
      </c>
      <c r="BT72">
        <v>46.02</v>
      </c>
      <c r="BU72">
        <v>147.77000000000001</v>
      </c>
    </row>
    <row r="73" spans="1:73" x14ac:dyDescent="0.25">
      <c r="A73" s="1">
        <v>46128</v>
      </c>
      <c r="B73">
        <v>99.48</v>
      </c>
      <c r="C73">
        <v>29.28</v>
      </c>
      <c r="D73">
        <v>73.77</v>
      </c>
      <c r="E73">
        <v>48.09</v>
      </c>
      <c r="F73">
        <v>22.27</v>
      </c>
      <c r="G73">
        <v>57.32</v>
      </c>
      <c r="H73">
        <v>97.22</v>
      </c>
      <c r="I73">
        <v>100.14</v>
      </c>
      <c r="J73">
        <v>95.95</v>
      </c>
      <c r="K73">
        <v>27.17</v>
      </c>
      <c r="L73">
        <v>31.65</v>
      </c>
      <c r="M73">
        <v>70.81</v>
      </c>
      <c r="N73">
        <v>91.8</v>
      </c>
      <c r="O73">
        <v>74.209999999999994</v>
      </c>
      <c r="P73">
        <v>28.87</v>
      </c>
      <c r="Q73">
        <v>52.12</v>
      </c>
      <c r="R73">
        <v>236.2</v>
      </c>
      <c r="S73">
        <v>59.85</v>
      </c>
      <c r="T73">
        <v>80.349999999999994</v>
      </c>
      <c r="U73">
        <v>36.68</v>
      </c>
      <c r="V73">
        <v>49.97</v>
      </c>
      <c r="W73">
        <v>111.2</v>
      </c>
      <c r="X73">
        <v>117</v>
      </c>
      <c r="Y73">
        <v>49.95</v>
      </c>
      <c r="Z73">
        <v>41.86</v>
      </c>
      <c r="AA73">
        <v>60.05</v>
      </c>
      <c r="AB73">
        <v>124.28</v>
      </c>
      <c r="AC73">
        <v>61.73</v>
      </c>
      <c r="AD73">
        <v>156.03</v>
      </c>
      <c r="AE73">
        <v>69.599999999999994</v>
      </c>
      <c r="AF73">
        <v>101.36</v>
      </c>
      <c r="AG73">
        <v>206.56</v>
      </c>
      <c r="AH73">
        <v>96.71</v>
      </c>
      <c r="AI73">
        <v>95.25</v>
      </c>
      <c r="AJ73">
        <v>106.98</v>
      </c>
      <c r="AK73">
        <v>31.33</v>
      </c>
      <c r="AL73">
        <v>18.91</v>
      </c>
      <c r="AM73">
        <v>31.34</v>
      </c>
      <c r="AN73">
        <v>23.26</v>
      </c>
      <c r="AO73">
        <v>26.3</v>
      </c>
      <c r="AP73">
        <v>25.66</v>
      </c>
      <c r="AQ73">
        <v>29.13</v>
      </c>
      <c r="AR73">
        <v>23.52</v>
      </c>
      <c r="AS73">
        <v>22.37</v>
      </c>
      <c r="AT73">
        <v>22.45</v>
      </c>
      <c r="AU73">
        <v>26.2</v>
      </c>
      <c r="AV73">
        <v>45.6</v>
      </c>
      <c r="AW73">
        <v>37.159999999999997</v>
      </c>
      <c r="AX73">
        <v>51.41</v>
      </c>
      <c r="AY73">
        <v>75.150000000000006</v>
      </c>
      <c r="AZ73">
        <v>223.71</v>
      </c>
      <c r="BA73">
        <v>160.93</v>
      </c>
      <c r="BB73">
        <v>127.79</v>
      </c>
      <c r="BC73">
        <v>55.19</v>
      </c>
      <c r="BD73">
        <v>98.992500000000007</v>
      </c>
      <c r="BE73">
        <v>274.29000000000002</v>
      </c>
      <c r="BF73">
        <v>331.34</v>
      </c>
      <c r="BG73">
        <v>47.09</v>
      </c>
      <c r="BH73">
        <v>95.16</v>
      </c>
      <c r="BI73">
        <v>200.51</v>
      </c>
      <c r="BJ73">
        <v>77.09</v>
      </c>
      <c r="BK73">
        <v>50.29</v>
      </c>
      <c r="BL73">
        <v>99.97</v>
      </c>
      <c r="BM73">
        <v>67</v>
      </c>
      <c r="BN73">
        <v>56.58</v>
      </c>
      <c r="BO73">
        <v>52.03</v>
      </c>
      <c r="BP73">
        <v>170.33</v>
      </c>
      <c r="BQ73">
        <v>152.02000000000001</v>
      </c>
      <c r="BR73">
        <v>81.430000000000007</v>
      </c>
      <c r="BS73">
        <v>43.81</v>
      </c>
      <c r="BT73">
        <v>46.35</v>
      </c>
      <c r="BU73">
        <v>146.61000000000001</v>
      </c>
    </row>
    <row r="74" spans="1:73" x14ac:dyDescent="0.25">
      <c r="A74" s="1">
        <v>46129</v>
      </c>
      <c r="B74">
        <v>99.85</v>
      </c>
      <c r="C74">
        <v>29.4</v>
      </c>
      <c r="D74">
        <v>74.06</v>
      </c>
      <c r="E74">
        <v>48.33</v>
      </c>
      <c r="F74">
        <v>22.42</v>
      </c>
      <c r="G74">
        <v>57.46</v>
      </c>
      <c r="H74">
        <v>97.7</v>
      </c>
      <c r="I74">
        <v>100.51</v>
      </c>
      <c r="J74">
        <v>96.67</v>
      </c>
      <c r="K74">
        <v>27.29</v>
      </c>
      <c r="L74">
        <v>30.69</v>
      </c>
      <c r="M74">
        <v>71.94</v>
      </c>
      <c r="N74">
        <v>93.57</v>
      </c>
      <c r="O74">
        <v>74.94</v>
      </c>
      <c r="P74">
        <v>29.35</v>
      </c>
      <c r="Q74">
        <v>52.84</v>
      </c>
      <c r="R74">
        <v>240.29</v>
      </c>
      <c r="S74">
        <v>59.59</v>
      </c>
      <c r="T74">
        <v>80.650000000000006</v>
      </c>
      <c r="U74">
        <v>36.840000000000003</v>
      </c>
      <c r="V74">
        <v>50.21</v>
      </c>
      <c r="W74">
        <v>112.06</v>
      </c>
      <c r="X74">
        <v>116.57</v>
      </c>
      <c r="Y74">
        <v>50.34</v>
      </c>
      <c r="Z74">
        <v>42.13</v>
      </c>
      <c r="AA74">
        <v>58.31</v>
      </c>
      <c r="AB74">
        <v>125.34</v>
      </c>
      <c r="AC74">
        <v>62.65</v>
      </c>
      <c r="AD74">
        <v>158.82</v>
      </c>
      <c r="AE74">
        <v>70.239999999999995</v>
      </c>
      <c r="AF74">
        <v>102.98</v>
      </c>
      <c r="AG74">
        <v>210.07</v>
      </c>
      <c r="AH74">
        <v>97.08</v>
      </c>
      <c r="AI74">
        <v>95.55</v>
      </c>
      <c r="AJ74">
        <v>107.37</v>
      </c>
      <c r="AK74">
        <v>31.46</v>
      </c>
      <c r="AL74">
        <v>18.96</v>
      </c>
      <c r="AM74">
        <v>31.6</v>
      </c>
      <c r="AN74">
        <v>23.36</v>
      </c>
      <c r="AO74">
        <v>26.38</v>
      </c>
      <c r="AP74">
        <v>25.75</v>
      </c>
      <c r="AQ74">
        <v>29.27</v>
      </c>
      <c r="AR74">
        <v>23.62</v>
      </c>
      <c r="AS74">
        <v>22.55</v>
      </c>
      <c r="AT74">
        <v>22.54</v>
      </c>
      <c r="AU74">
        <v>26.44</v>
      </c>
      <c r="AV74">
        <v>45.76</v>
      </c>
      <c r="AW74">
        <v>37.29</v>
      </c>
      <c r="AX74">
        <v>51.65</v>
      </c>
      <c r="AY74">
        <v>75.75</v>
      </c>
      <c r="AZ74">
        <v>226.87</v>
      </c>
      <c r="BA74">
        <v>156.07</v>
      </c>
      <c r="BB74">
        <v>129.03</v>
      </c>
      <c r="BC74">
        <v>55.65</v>
      </c>
      <c r="BD74">
        <v>100.69750000000001</v>
      </c>
      <c r="BE74">
        <v>278.45</v>
      </c>
      <c r="BF74">
        <v>337.72</v>
      </c>
      <c r="BG74">
        <v>47.26</v>
      </c>
      <c r="BH74">
        <v>96.68</v>
      </c>
      <c r="BI74">
        <v>199.7</v>
      </c>
      <c r="BJ74">
        <v>77.42</v>
      </c>
      <c r="BK74">
        <v>50.45</v>
      </c>
      <c r="BL74">
        <v>100.2</v>
      </c>
      <c r="BM74">
        <v>67.510000000000005</v>
      </c>
      <c r="BN74">
        <v>55.02</v>
      </c>
      <c r="BO74">
        <v>52.43</v>
      </c>
      <c r="BP74">
        <v>173.51</v>
      </c>
      <c r="BQ74">
        <v>154.35</v>
      </c>
      <c r="BR74">
        <v>82.46</v>
      </c>
      <c r="BS74">
        <v>44.48</v>
      </c>
      <c r="BT74">
        <v>46.16</v>
      </c>
      <c r="BU74">
        <v>148.80000000000001</v>
      </c>
    </row>
    <row r="75" spans="1:73" x14ac:dyDescent="0.25">
      <c r="A75" s="1">
        <v>46132</v>
      </c>
      <c r="B75">
        <v>99.84</v>
      </c>
      <c r="C75">
        <v>29.36</v>
      </c>
      <c r="D75">
        <v>74.010000000000005</v>
      </c>
      <c r="E75">
        <v>48.27</v>
      </c>
      <c r="F75">
        <v>22.45</v>
      </c>
      <c r="G75">
        <v>57.47</v>
      </c>
      <c r="H75">
        <v>97.72</v>
      </c>
      <c r="I75">
        <v>100.89</v>
      </c>
      <c r="J75">
        <v>96.59</v>
      </c>
      <c r="K75">
        <v>27.26</v>
      </c>
      <c r="L75">
        <v>30.77</v>
      </c>
      <c r="M75">
        <v>71.36</v>
      </c>
      <c r="N75">
        <v>93.99</v>
      </c>
      <c r="O75">
        <v>75.209999999999994</v>
      </c>
      <c r="P75">
        <v>29.45</v>
      </c>
      <c r="Q75">
        <v>52.78</v>
      </c>
      <c r="R75">
        <v>241.31</v>
      </c>
      <c r="S75">
        <v>59.11</v>
      </c>
      <c r="T75">
        <v>80.58</v>
      </c>
      <c r="U75">
        <v>36.799999999999997</v>
      </c>
      <c r="V75">
        <v>50.15</v>
      </c>
      <c r="W75">
        <v>112.35</v>
      </c>
      <c r="X75">
        <v>115.62</v>
      </c>
      <c r="Y75">
        <v>50.33</v>
      </c>
      <c r="Z75">
        <v>42.11</v>
      </c>
      <c r="AA75">
        <v>58.44</v>
      </c>
      <c r="AB75">
        <v>125.87</v>
      </c>
      <c r="AC75">
        <v>62.08</v>
      </c>
      <c r="AD75">
        <v>159.03</v>
      </c>
      <c r="AE75">
        <v>69.89</v>
      </c>
      <c r="AF75">
        <v>103.23</v>
      </c>
      <c r="AG75">
        <v>210.43</v>
      </c>
      <c r="AH75">
        <v>96.99</v>
      </c>
      <c r="AI75">
        <v>95.46</v>
      </c>
      <c r="AJ75">
        <v>107.42</v>
      </c>
      <c r="AK75">
        <v>31.44</v>
      </c>
      <c r="AL75">
        <v>19.010000000000002</v>
      </c>
      <c r="AM75">
        <v>31.58</v>
      </c>
      <c r="AN75">
        <v>23.36</v>
      </c>
      <c r="AO75">
        <v>26.36</v>
      </c>
      <c r="AP75">
        <v>25.74</v>
      </c>
      <c r="AQ75">
        <v>29.27</v>
      </c>
      <c r="AR75">
        <v>23.6</v>
      </c>
      <c r="AS75">
        <v>22.54</v>
      </c>
      <c r="AT75">
        <v>22.5</v>
      </c>
      <c r="AU75">
        <v>26.42</v>
      </c>
      <c r="AV75">
        <v>45.74</v>
      </c>
      <c r="AW75">
        <v>37.29</v>
      </c>
      <c r="AX75">
        <v>51.65</v>
      </c>
      <c r="AY75">
        <v>75.75</v>
      </c>
      <c r="AZ75">
        <v>226.67</v>
      </c>
      <c r="BA75">
        <v>156.44999999999999</v>
      </c>
      <c r="BB75">
        <v>129.51</v>
      </c>
      <c r="BC75">
        <v>55.64</v>
      </c>
      <c r="BD75">
        <v>101.1413</v>
      </c>
      <c r="BE75">
        <v>276.27999999999997</v>
      </c>
      <c r="BF75">
        <v>338.89</v>
      </c>
      <c r="BG75">
        <v>47.21</v>
      </c>
      <c r="BH75">
        <v>97.03</v>
      </c>
      <c r="BI75">
        <v>198.05</v>
      </c>
      <c r="BJ75">
        <v>77.41</v>
      </c>
      <c r="BK75">
        <v>50.47</v>
      </c>
      <c r="BL75">
        <v>100.26</v>
      </c>
      <c r="BM75">
        <v>67.489999999999995</v>
      </c>
      <c r="BN75">
        <v>55.07</v>
      </c>
      <c r="BO75">
        <v>52.63</v>
      </c>
      <c r="BP75">
        <v>173.9</v>
      </c>
      <c r="BQ75">
        <v>154.56</v>
      </c>
      <c r="BR75">
        <v>82.39</v>
      </c>
      <c r="BS75">
        <v>44.64</v>
      </c>
      <c r="BT75">
        <v>45.75</v>
      </c>
      <c r="BU75">
        <v>147.41999999999999</v>
      </c>
    </row>
    <row r="76" spans="1:73" x14ac:dyDescent="0.25">
      <c r="A76" s="1">
        <v>46133</v>
      </c>
      <c r="B76">
        <v>99.47</v>
      </c>
      <c r="C76">
        <v>29.28</v>
      </c>
      <c r="D76">
        <v>73.78</v>
      </c>
      <c r="E76">
        <v>48.1</v>
      </c>
      <c r="F76">
        <v>22.24</v>
      </c>
      <c r="G76">
        <v>57.42</v>
      </c>
      <c r="H76">
        <v>97.34</v>
      </c>
      <c r="I76">
        <v>99.9</v>
      </c>
      <c r="J76">
        <v>96.13</v>
      </c>
      <c r="K76">
        <v>27.18</v>
      </c>
      <c r="L76">
        <v>31.22</v>
      </c>
      <c r="M76">
        <v>70.61</v>
      </c>
      <c r="N76">
        <v>92.68</v>
      </c>
      <c r="O76">
        <v>74.7</v>
      </c>
      <c r="P76">
        <v>28.91</v>
      </c>
      <c r="Q76">
        <v>52.52</v>
      </c>
      <c r="R76">
        <v>240.98</v>
      </c>
      <c r="S76">
        <v>58.04</v>
      </c>
      <c r="T76">
        <v>80.37</v>
      </c>
      <c r="U76">
        <v>36.71</v>
      </c>
      <c r="V76">
        <v>49.97</v>
      </c>
      <c r="W76">
        <v>111.32</v>
      </c>
      <c r="X76">
        <v>113.57</v>
      </c>
      <c r="Y76">
        <v>50.07</v>
      </c>
      <c r="Z76">
        <v>41.76</v>
      </c>
      <c r="AA76">
        <v>59.25</v>
      </c>
      <c r="AB76">
        <v>125.29</v>
      </c>
      <c r="AC76">
        <v>61.44</v>
      </c>
      <c r="AD76">
        <v>156.79</v>
      </c>
      <c r="AE76">
        <v>69.03</v>
      </c>
      <c r="AF76">
        <v>101.45</v>
      </c>
      <c r="AG76">
        <v>209.44</v>
      </c>
      <c r="AH76">
        <v>96.75</v>
      </c>
      <c r="AI76">
        <v>95.07</v>
      </c>
      <c r="AJ76">
        <v>107.24</v>
      </c>
      <c r="AK76">
        <v>31.24</v>
      </c>
      <c r="AL76">
        <v>18.89</v>
      </c>
      <c r="AM76">
        <v>31.4</v>
      </c>
      <c r="AN76">
        <v>23.28</v>
      </c>
      <c r="AO76">
        <v>26.31</v>
      </c>
      <c r="AP76">
        <v>25.65</v>
      </c>
      <c r="AQ76">
        <v>29.17</v>
      </c>
      <c r="AR76">
        <v>23.55</v>
      </c>
      <c r="AS76">
        <v>22.43</v>
      </c>
      <c r="AT76">
        <v>22.41</v>
      </c>
      <c r="AU76">
        <v>26.28</v>
      </c>
      <c r="AV76">
        <v>45.66</v>
      </c>
      <c r="AW76">
        <v>37.19</v>
      </c>
      <c r="AX76">
        <v>51.46</v>
      </c>
      <c r="AY76">
        <v>75.38</v>
      </c>
      <c r="AZ76">
        <v>225.51</v>
      </c>
      <c r="BA76">
        <v>158.69</v>
      </c>
      <c r="BB76">
        <v>128.66999999999999</v>
      </c>
      <c r="BC76">
        <v>55.32</v>
      </c>
      <c r="BD76">
        <v>101.02</v>
      </c>
      <c r="BE76">
        <v>273.33</v>
      </c>
      <c r="BF76">
        <v>334.65</v>
      </c>
      <c r="BG76">
        <v>46.99</v>
      </c>
      <c r="BH76">
        <v>95.31</v>
      </c>
      <c r="BI76">
        <v>194.44</v>
      </c>
      <c r="BJ76">
        <v>77.150000000000006</v>
      </c>
      <c r="BK76">
        <v>50.38</v>
      </c>
      <c r="BL76">
        <v>100.17</v>
      </c>
      <c r="BM76">
        <v>67.17</v>
      </c>
      <c r="BN76">
        <v>55.87</v>
      </c>
      <c r="BO76">
        <v>52.3</v>
      </c>
      <c r="BP76">
        <v>171.44</v>
      </c>
      <c r="BQ76">
        <v>154.69</v>
      </c>
      <c r="BR76">
        <v>81.84</v>
      </c>
      <c r="BS76">
        <v>43.78</v>
      </c>
      <c r="BT76">
        <v>44.95</v>
      </c>
      <c r="BU76">
        <v>145.91999999999999</v>
      </c>
    </row>
    <row r="77" spans="1:73" x14ac:dyDescent="0.25">
      <c r="A77" s="1">
        <v>46134</v>
      </c>
      <c r="B77">
        <v>99.61</v>
      </c>
      <c r="C77">
        <v>29.33</v>
      </c>
      <c r="D77">
        <v>73.86</v>
      </c>
      <c r="E77">
        <v>48.18</v>
      </c>
      <c r="F77">
        <v>22.25</v>
      </c>
      <c r="G77">
        <v>57.44</v>
      </c>
      <c r="H77">
        <v>97.48</v>
      </c>
      <c r="I77">
        <v>101</v>
      </c>
      <c r="J77">
        <v>96.38</v>
      </c>
      <c r="K77">
        <v>27.23</v>
      </c>
      <c r="L77">
        <v>31.62</v>
      </c>
      <c r="M77">
        <v>70.81</v>
      </c>
      <c r="N77">
        <v>92.57</v>
      </c>
      <c r="O77">
        <v>74.58</v>
      </c>
      <c r="P77">
        <v>28.69</v>
      </c>
      <c r="Q77">
        <v>52.7</v>
      </c>
      <c r="R77">
        <v>245.86</v>
      </c>
      <c r="S77">
        <v>57.97</v>
      </c>
      <c r="T77">
        <v>80.5</v>
      </c>
      <c r="U77">
        <v>36.770000000000003</v>
      </c>
      <c r="V77">
        <v>50.07</v>
      </c>
      <c r="W77">
        <v>112.33</v>
      </c>
      <c r="X77">
        <v>113.54</v>
      </c>
      <c r="Y77">
        <v>50.24</v>
      </c>
      <c r="Z77">
        <v>41.73</v>
      </c>
      <c r="AA77">
        <v>59.95</v>
      </c>
      <c r="AB77">
        <v>124.91</v>
      </c>
      <c r="AC77">
        <v>61.7</v>
      </c>
      <c r="AD77">
        <v>156.57</v>
      </c>
      <c r="AE77">
        <v>69.41</v>
      </c>
      <c r="AF77">
        <v>100.63</v>
      </c>
      <c r="AG77">
        <v>214.13</v>
      </c>
      <c r="AH77">
        <v>96.91</v>
      </c>
      <c r="AI77">
        <v>95.29</v>
      </c>
      <c r="AJ77">
        <v>107.31</v>
      </c>
      <c r="AK77">
        <v>31.51</v>
      </c>
      <c r="AL77">
        <v>19.04</v>
      </c>
      <c r="AM77">
        <v>31.47</v>
      </c>
      <c r="AN77">
        <v>23.29</v>
      </c>
      <c r="AO77">
        <v>26.35</v>
      </c>
      <c r="AP77">
        <v>25.69</v>
      </c>
      <c r="AQ77">
        <v>29.22</v>
      </c>
      <c r="AR77">
        <v>23.58</v>
      </c>
      <c r="AS77">
        <v>22.5</v>
      </c>
      <c r="AT77">
        <v>22.45</v>
      </c>
      <c r="AU77">
        <v>26.33</v>
      </c>
      <c r="AV77">
        <v>45.7</v>
      </c>
      <c r="AW77">
        <v>37.24</v>
      </c>
      <c r="AX77">
        <v>51.56</v>
      </c>
      <c r="AY77">
        <v>75.599999999999994</v>
      </c>
      <c r="AZ77">
        <v>226.28</v>
      </c>
      <c r="BA77">
        <v>160.75</v>
      </c>
      <c r="BB77">
        <v>128.43</v>
      </c>
      <c r="BC77">
        <v>55.44</v>
      </c>
      <c r="BD77">
        <v>103.03</v>
      </c>
      <c r="BE77">
        <v>274.07</v>
      </c>
      <c r="BF77">
        <v>334.1</v>
      </c>
      <c r="BG77">
        <v>47.07</v>
      </c>
      <c r="BH77">
        <v>94.52</v>
      </c>
      <c r="BI77">
        <v>194.34</v>
      </c>
      <c r="BJ77">
        <v>77.31</v>
      </c>
      <c r="BK77">
        <v>50.43</v>
      </c>
      <c r="BL77">
        <v>100.21</v>
      </c>
      <c r="BM77">
        <v>67.31</v>
      </c>
      <c r="BN77">
        <v>56.54</v>
      </c>
      <c r="BO77">
        <v>52.21</v>
      </c>
      <c r="BP77">
        <v>171.04</v>
      </c>
      <c r="BQ77">
        <v>158.09</v>
      </c>
      <c r="BR77">
        <v>82.11</v>
      </c>
      <c r="BS77">
        <v>43.46</v>
      </c>
      <c r="BT77">
        <v>44.87</v>
      </c>
      <c r="BU77">
        <v>146.38</v>
      </c>
    </row>
    <row r="78" spans="1:73" x14ac:dyDescent="0.25">
      <c r="A78" s="1">
        <v>46135</v>
      </c>
      <c r="B78">
        <v>99.45</v>
      </c>
      <c r="C78">
        <v>29.29</v>
      </c>
      <c r="D78">
        <v>73.73</v>
      </c>
      <c r="E78">
        <v>48.09</v>
      </c>
      <c r="F78">
        <v>22.17</v>
      </c>
      <c r="G78">
        <v>57.48</v>
      </c>
      <c r="H78">
        <v>97.36</v>
      </c>
      <c r="I78">
        <v>100.92</v>
      </c>
      <c r="J78">
        <v>95.93</v>
      </c>
      <c r="K78">
        <v>27.18</v>
      </c>
      <c r="L78">
        <v>31.86</v>
      </c>
      <c r="M78">
        <v>70.56</v>
      </c>
      <c r="N78">
        <v>93.96</v>
      </c>
      <c r="O78">
        <v>74.010000000000005</v>
      </c>
      <c r="P78">
        <v>28.96</v>
      </c>
      <c r="Q78">
        <v>53.45</v>
      </c>
      <c r="R78">
        <v>242.41</v>
      </c>
      <c r="S78">
        <v>59.59</v>
      </c>
      <c r="T78">
        <v>80.37</v>
      </c>
      <c r="U78">
        <v>36.71</v>
      </c>
      <c r="V78">
        <v>49.96</v>
      </c>
      <c r="W78">
        <v>112.01</v>
      </c>
      <c r="X78">
        <v>116.72</v>
      </c>
      <c r="Y78">
        <v>50.05</v>
      </c>
      <c r="Z78">
        <v>41.65</v>
      </c>
      <c r="AA78">
        <v>60.37</v>
      </c>
      <c r="AB78">
        <v>124.19</v>
      </c>
      <c r="AC78">
        <v>61.44</v>
      </c>
      <c r="AD78">
        <v>157.69</v>
      </c>
      <c r="AE78">
        <v>70.7</v>
      </c>
      <c r="AF78">
        <v>101.66</v>
      </c>
      <c r="AG78">
        <v>211.56</v>
      </c>
      <c r="AH78">
        <v>96.74</v>
      </c>
      <c r="AI78">
        <v>95.08</v>
      </c>
      <c r="AJ78">
        <v>107.33</v>
      </c>
      <c r="AK78">
        <v>31.49</v>
      </c>
      <c r="AL78">
        <v>19.07</v>
      </c>
      <c r="AM78">
        <v>31.42</v>
      </c>
      <c r="AN78">
        <v>23.27</v>
      </c>
      <c r="AO78">
        <v>26.3</v>
      </c>
      <c r="AP78">
        <v>25.65</v>
      </c>
      <c r="AQ78">
        <v>29.16</v>
      </c>
      <c r="AR78">
        <v>23.55</v>
      </c>
      <c r="AS78">
        <v>22.42</v>
      </c>
      <c r="AT78">
        <v>22.41</v>
      </c>
      <c r="AU78">
        <v>26.27</v>
      </c>
      <c r="AV78">
        <v>45.7</v>
      </c>
      <c r="AW78">
        <v>37.200000000000003</v>
      </c>
      <c r="AX78">
        <v>51.45</v>
      </c>
      <c r="AY78">
        <v>75.33</v>
      </c>
      <c r="AZ78">
        <v>229.51</v>
      </c>
      <c r="BA78">
        <v>162.04</v>
      </c>
      <c r="BB78">
        <v>127.44</v>
      </c>
      <c r="BC78">
        <v>55.32</v>
      </c>
      <c r="BD78">
        <v>101.57</v>
      </c>
      <c r="BE78">
        <v>273.01</v>
      </c>
      <c r="BF78">
        <v>338.9</v>
      </c>
      <c r="BG78">
        <v>46.99</v>
      </c>
      <c r="BH78">
        <v>95.49</v>
      </c>
      <c r="BI78">
        <v>199.69</v>
      </c>
      <c r="BJ78">
        <v>77.16</v>
      </c>
      <c r="BK78">
        <v>50.45</v>
      </c>
      <c r="BL78">
        <v>100.19</v>
      </c>
      <c r="BM78">
        <v>67.08</v>
      </c>
      <c r="BN78">
        <v>56.98</v>
      </c>
      <c r="BO78">
        <v>51.8</v>
      </c>
      <c r="BP78">
        <v>174.07</v>
      </c>
      <c r="BQ78">
        <v>155.84</v>
      </c>
      <c r="BR78">
        <v>83.48</v>
      </c>
      <c r="BS78">
        <v>43.96</v>
      </c>
      <c r="BT78">
        <v>46.09</v>
      </c>
      <c r="BU78">
        <v>146.24</v>
      </c>
    </row>
    <row r="79" spans="1:73" x14ac:dyDescent="0.25">
      <c r="A79" s="1">
        <v>46136</v>
      </c>
      <c r="B79">
        <v>99.59</v>
      </c>
      <c r="C79">
        <v>29.29</v>
      </c>
      <c r="D79">
        <v>73.86</v>
      </c>
      <c r="E79">
        <v>48.17</v>
      </c>
      <c r="F79">
        <v>22.25</v>
      </c>
      <c r="G79">
        <v>57.48</v>
      </c>
      <c r="H79">
        <v>97.43</v>
      </c>
      <c r="I79">
        <v>100.78</v>
      </c>
      <c r="J79">
        <v>96.2</v>
      </c>
      <c r="K79">
        <v>27.2</v>
      </c>
      <c r="L79">
        <v>31.8</v>
      </c>
      <c r="M79">
        <v>69.73</v>
      </c>
      <c r="N79">
        <v>93.12</v>
      </c>
      <c r="O79">
        <v>73.58</v>
      </c>
      <c r="P79">
        <v>28.89</v>
      </c>
      <c r="Q79">
        <v>53.37</v>
      </c>
      <c r="R79">
        <v>248.58</v>
      </c>
      <c r="S79">
        <v>59.65</v>
      </c>
      <c r="T79">
        <v>80.48</v>
      </c>
      <c r="U79">
        <v>36.75</v>
      </c>
      <c r="V79">
        <v>50.09</v>
      </c>
      <c r="W79">
        <v>112.19</v>
      </c>
      <c r="X79">
        <v>116.84</v>
      </c>
      <c r="Y79">
        <v>50.07</v>
      </c>
      <c r="Z79">
        <v>41.83</v>
      </c>
      <c r="AA79">
        <v>60.31</v>
      </c>
      <c r="AB79">
        <v>123.31</v>
      </c>
      <c r="AC79">
        <v>60.66</v>
      </c>
      <c r="AD79">
        <v>156.49</v>
      </c>
      <c r="AE79">
        <v>70.64</v>
      </c>
      <c r="AF79">
        <v>101.41</v>
      </c>
      <c r="AG79">
        <v>217.17</v>
      </c>
      <c r="AH79">
        <v>96.89</v>
      </c>
      <c r="AI79">
        <v>95.23</v>
      </c>
      <c r="AJ79">
        <v>107.37</v>
      </c>
      <c r="AK79">
        <v>31.52</v>
      </c>
      <c r="AL79">
        <v>19.12</v>
      </c>
      <c r="AM79">
        <v>31.49</v>
      </c>
      <c r="AN79">
        <v>23.3</v>
      </c>
      <c r="AO79">
        <v>26.35</v>
      </c>
      <c r="AP79">
        <v>25.67</v>
      </c>
      <c r="AQ79">
        <v>29.18</v>
      </c>
      <c r="AR79">
        <v>23.57</v>
      </c>
      <c r="AS79">
        <v>22.42</v>
      </c>
      <c r="AT79">
        <v>22.44</v>
      </c>
      <c r="AU79">
        <v>26.32</v>
      </c>
      <c r="AV79">
        <v>45.75</v>
      </c>
      <c r="AW79">
        <v>37.25</v>
      </c>
      <c r="AX79">
        <v>51.5</v>
      </c>
      <c r="AY79">
        <v>75.31</v>
      </c>
      <c r="AZ79">
        <v>229.06</v>
      </c>
      <c r="BA79">
        <v>161.72</v>
      </c>
      <c r="BB79">
        <v>126.63</v>
      </c>
      <c r="BC79">
        <v>55.43</v>
      </c>
      <c r="BD79">
        <v>104.16</v>
      </c>
      <c r="BE79">
        <v>269.89</v>
      </c>
      <c r="BF79">
        <v>336.01</v>
      </c>
      <c r="BG79">
        <v>47.12</v>
      </c>
      <c r="BH79">
        <v>95.3</v>
      </c>
      <c r="BI79">
        <v>199.84</v>
      </c>
      <c r="BJ79">
        <v>77.209999999999994</v>
      </c>
      <c r="BK79">
        <v>50.47</v>
      </c>
      <c r="BL79">
        <v>100.25</v>
      </c>
      <c r="BM79">
        <v>67.2</v>
      </c>
      <c r="BN79">
        <v>56.87</v>
      </c>
      <c r="BO79">
        <v>51.42</v>
      </c>
      <c r="BP79">
        <v>172.47</v>
      </c>
      <c r="BQ79">
        <v>160.22</v>
      </c>
      <c r="BR79">
        <v>83.23</v>
      </c>
      <c r="BS79">
        <v>43.83</v>
      </c>
      <c r="BT79">
        <v>46.18</v>
      </c>
      <c r="BU79">
        <v>144.18</v>
      </c>
    </row>
    <row r="80" spans="1:73" x14ac:dyDescent="0.25">
      <c r="A80" s="1">
        <v>46139</v>
      </c>
      <c r="B80">
        <v>99.44</v>
      </c>
      <c r="C80">
        <v>29.3</v>
      </c>
      <c r="D80">
        <v>73.739999999999995</v>
      </c>
      <c r="E80">
        <v>48.05</v>
      </c>
      <c r="F80">
        <v>22.19</v>
      </c>
      <c r="G80">
        <v>57.48</v>
      </c>
      <c r="H80">
        <v>97.23</v>
      </c>
      <c r="I80">
        <v>100.71</v>
      </c>
      <c r="J80">
        <v>96.03</v>
      </c>
      <c r="K80">
        <v>27.22</v>
      </c>
      <c r="L80">
        <v>31.83</v>
      </c>
      <c r="M80">
        <v>69.44</v>
      </c>
      <c r="N80">
        <v>93.19</v>
      </c>
      <c r="O80">
        <v>74.08</v>
      </c>
      <c r="P80">
        <v>28.73</v>
      </c>
      <c r="Q80">
        <v>52.82</v>
      </c>
      <c r="R80">
        <v>248.85</v>
      </c>
      <c r="S80">
        <v>59.72</v>
      </c>
      <c r="T80">
        <v>80.510000000000005</v>
      </c>
      <c r="U80">
        <v>36.78</v>
      </c>
      <c r="V80">
        <v>49.93</v>
      </c>
      <c r="W80">
        <v>111.95</v>
      </c>
      <c r="X80">
        <v>116.67</v>
      </c>
      <c r="Y80">
        <v>49.85</v>
      </c>
      <c r="Z80">
        <v>41.71</v>
      </c>
      <c r="AA80">
        <v>60.26</v>
      </c>
      <c r="AB80">
        <v>124.11</v>
      </c>
      <c r="AC80">
        <v>60.33</v>
      </c>
      <c r="AD80">
        <v>156.63</v>
      </c>
      <c r="AE80">
        <v>70.11</v>
      </c>
      <c r="AF80">
        <v>100.83</v>
      </c>
      <c r="AG80">
        <v>218.42</v>
      </c>
      <c r="AH80">
        <v>96.91</v>
      </c>
      <c r="AI80">
        <v>95.06</v>
      </c>
      <c r="AJ80">
        <v>107.41</v>
      </c>
      <c r="AK80">
        <v>31.49</v>
      </c>
      <c r="AL80">
        <v>19.07</v>
      </c>
      <c r="AM80">
        <v>31.32</v>
      </c>
      <c r="AN80">
        <v>23.27</v>
      </c>
      <c r="AO80">
        <v>26.36</v>
      </c>
      <c r="AP80">
        <v>25.63</v>
      </c>
      <c r="AQ80">
        <v>29.12</v>
      </c>
      <c r="AR80">
        <v>23.59</v>
      </c>
      <c r="AS80">
        <v>22.31</v>
      </c>
      <c r="AT80">
        <v>22.41</v>
      </c>
      <c r="AU80">
        <v>26.21</v>
      </c>
      <c r="AV80">
        <v>45.74</v>
      </c>
      <c r="AW80">
        <v>37.26</v>
      </c>
      <c r="AX80">
        <v>51.38</v>
      </c>
      <c r="AY80">
        <v>74.989999999999995</v>
      </c>
      <c r="AZ80">
        <v>226.73</v>
      </c>
      <c r="BA80">
        <v>161.88999999999999</v>
      </c>
      <c r="BB80">
        <v>127.53</v>
      </c>
      <c r="BC80">
        <v>55.18</v>
      </c>
      <c r="BD80">
        <v>104.32</v>
      </c>
      <c r="BE80">
        <v>268.77999999999997</v>
      </c>
      <c r="BF80">
        <v>336.15</v>
      </c>
      <c r="BG80">
        <v>47.02</v>
      </c>
      <c r="BH80">
        <v>94.78</v>
      </c>
      <c r="BI80">
        <v>200.11</v>
      </c>
      <c r="BJ80">
        <v>77.05</v>
      </c>
      <c r="BK80">
        <v>50.47</v>
      </c>
      <c r="BL80">
        <v>100.23</v>
      </c>
      <c r="BM80">
        <v>67.069999999999993</v>
      </c>
      <c r="BN80">
        <v>56.77</v>
      </c>
      <c r="BO80">
        <v>51.81</v>
      </c>
      <c r="BP80">
        <v>172.51</v>
      </c>
      <c r="BQ80">
        <v>160.57</v>
      </c>
      <c r="BR80">
        <v>82.34</v>
      </c>
      <c r="BS80">
        <v>43.49</v>
      </c>
      <c r="BT80">
        <v>46.19</v>
      </c>
      <c r="BU80">
        <v>143.46</v>
      </c>
    </row>
    <row r="81" spans="1:73" x14ac:dyDescent="0.25">
      <c r="A81" s="1">
        <v>46140</v>
      </c>
      <c r="B81">
        <v>99.4</v>
      </c>
      <c r="C81">
        <v>29.27</v>
      </c>
      <c r="D81">
        <v>73.72</v>
      </c>
      <c r="E81">
        <v>48</v>
      </c>
      <c r="F81">
        <v>22.13</v>
      </c>
      <c r="G81">
        <v>57.42</v>
      </c>
      <c r="H81">
        <v>97.22</v>
      </c>
      <c r="I81">
        <v>99.17</v>
      </c>
      <c r="J81">
        <v>95.95</v>
      </c>
      <c r="K81">
        <v>27.2</v>
      </c>
      <c r="L81">
        <v>32.32</v>
      </c>
      <c r="M81">
        <v>69.44</v>
      </c>
      <c r="N81">
        <v>92.22</v>
      </c>
      <c r="O81">
        <v>74.14</v>
      </c>
      <c r="P81">
        <v>29.02</v>
      </c>
      <c r="Q81">
        <v>53.19</v>
      </c>
      <c r="R81">
        <v>244.95</v>
      </c>
      <c r="S81">
        <v>59.75</v>
      </c>
      <c r="T81">
        <v>80.400000000000006</v>
      </c>
      <c r="U81">
        <v>36.74</v>
      </c>
      <c r="V81">
        <v>49.87</v>
      </c>
      <c r="W81">
        <v>110.1</v>
      </c>
      <c r="X81">
        <v>116.87</v>
      </c>
      <c r="Y81">
        <v>49.92</v>
      </c>
      <c r="Z81">
        <v>41.6</v>
      </c>
      <c r="AA81">
        <v>61.22</v>
      </c>
      <c r="AB81">
        <v>124.34</v>
      </c>
      <c r="AC81">
        <v>60.39</v>
      </c>
      <c r="AD81">
        <v>155.41</v>
      </c>
      <c r="AE81">
        <v>71.17</v>
      </c>
      <c r="AF81">
        <v>101.74</v>
      </c>
      <c r="AG81">
        <v>215.31</v>
      </c>
      <c r="AH81">
        <v>96.8</v>
      </c>
      <c r="AI81">
        <v>95.08</v>
      </c>
      <c r="AJ81">
        <v>107.3</v>
      </c>
      <c r="AK81">
        <v>31.29</v>
      </c>
      <c r="AL81">
        <v>19</v>
      </c>
      <c r="AM81">
        <v>31.34</v>
      </c>
      <c r="AN81">
        <v>23.25</v>
      </c>
      <c r="AO81">
        <v>26.32</v>
      </c>
      <c r="AP81">
        <v>25.62</v>
      </c>
      <c r="AQ81">
        <v>29.12</v>
      </c>
      <c r="AR81">
        <v>23.57</v>
      </c>
      <c r="AS81">
        <v>22.35</v>
      </c>
      <c r="AT81">
        <v>22.41</v>
      </c>
      <c r="AU81">
        <v>26.22</v>
      </c>
      <c r="AV81">
        <v>45.66</v>
      </c>
      <c r="AW81">
        <v>37.200000000000003</v>
      </c>
      <c r="AX81">
        <v>51.41</v>
      </c>
      <c r="AY81">
        <v>75.11</v>
      </c>
      <c r="AZ81">
        <v>228.33</v>
      </c>
      <c r="BA81">
        <v>164.43</v>
      </c>
      <c r="BB81">
        <v>127.73</v>
      </c>
      <c r="BC81">
        <v>55.22</v>
      </c>
      <c r="BD81">
        <v>102.67</v>
      </c>
      <c r="BE81">
        <v>268.82</v>
      </c>
      <c r="BF81">
        <v>332.88</v>
      </c>
      <c r="BG81">
        <v>47</v>
      </c>
      <c r="BH81">
        <v>95.65</v>
      </c>
      <c r="BI81">
        <v>200.26</v>
      </c>
      <c r="BJ81">
        <v>77.06</v>
      </c>
      <c r="BK81">
        <v>50.39</v>
      </c>
      <c r="BL81">
        <v>100.1</v>
      </c>
      <c r="BM81">
        <v>66.989999999999995</v>
      </c>
      <c r="BN81">
        <v>57.71</v>
      </c>
      <c r="BO81">
        <v>51.85</v>
      </c>
      <c r="BP81">
        <v>170.98</v>
      </c>
      <c r="BQ81">
        <v>157.85</v>
      </c>
      <c r="BR81">
        <v>83.08</v>
      </c>
      <c r="BS81">
        <v>43.91</v>
      </c>
      <c r="BT81">
        <v>46.25</v>
      </c>
      <c r="BU81">
        <v>143.84</v>
      </c>
    </row>
    <row r="82" spans="1:73" x14ac:dyDescent="0.25">
      <c r="A82" s="1">
        <v>46141</v>
      </c>
      <c r="B82">
        <v>98.96</v>
      </c>
      <c r="C82">
        <v>29.17</v>
      </c>
      <c r="D82">
        <v>73.39</v>
      </c>
      <c r="E82">
        <v>47.86</v>
      </c>
      <c r="F82">
        <v>21.98</v>
      </c>
      <c r="G82">
        <v>57.28</v>
      </c>
      <c r="H82">
        <v>96.8</v>
      </c>
      <c r="I82">
        <v>99.75</v>
      </c>
      <c r="J82">
        <v>95.5</v>
      </c>
      <c r="K82">
        <v>27.07</v>
      </c>
      <c r="L82">
        <v>33.049999999999997</v>
      </c>
      <c r="M82">
        <v>68.94</v>
      </c>
      <c r="N82">
        <v>91.67</v>
      </c>
      <c r="O82">
        <v>74.069999999999993</v>
      </c>
      <c r="P82">
        <v>28.79</v>
      </c>
      <c r="Q82">
        <v>53.09</v>
      </c>
      <c r="R82">
        <v>246.21</v>
      </c>
      <c r="S82">
        <v>59</v>
      </c>
      <c r="T82">
        <v>80.13</v>
      </c>
      <c r="U82">
        <v>36.619999999999997</v>
      </c>
      <c r="V82">
        <v>49.79</v>
      </c>
      <c r="W82">
        <v>111.18</v>
      </c>
      <c r="X82">
        <v>115.53</v>
      </c>
      <c r="Y82">
        <v>49.56</v>
      </c>
      <c r="Z82">
        <v>41.31</v>
      </c>
      <c r="AA82">
        <v>62.58</v>
      </c>
      <c r="AB82">
        <v>123.17</v>
      </c>
      <c r="AC82">
        <v>59.98</v>
      </c>
      <c r="AD82">
        <v>155.63</v>
      </c>
      <c r="AE82">
        <v>70.959999999999994</v>
      </c>
      <c r="AF82">
        <v>100.9</v>
      </c>
      <c r="AG82">
        <v>215.94</v>
      </c>
      <c r="AH82">
        <v>96.5</v>
      </c>
      <c r="AI82">
        <v>94.61</v>
      </c>
      <c r="AJ82">
        <v>107.04</v>
      </c>
      <c r="AK82">
        <v>31.17</v>
      </c>
      <c r="AL82">
        <v>18.920000000000002</v>
      </c>
      <c r="AM82">
        <v>31.1</v>
      </c>
      <c r="AN82">
        <v>23.15</v>
      </c>
      <c r="AO82">
        <v>26.24</v>
      </c>
      <c r="AP82">
        <v>25.52</v>
      </c>
      <c r="AQ82">
        <v>28.99</v>
      </c>
      <c r="AR82">
        <v>23.49</v>
      </c>
      <c r="AS82">
        <v>22.19</v>
      </c>
      <c r="AT82">
        <v>22.29</v>
      </c>
      <c r="AU82">
        <v>26.02</v>
      </c>
      <c r="AV82">
        <v>45.52</v>
      </c>
      <c r="AW82">
        <v>37.1</v>
      </c>
      <c r="AX82">
        <v>51.18</v>
      </c>
      <c r="AY82">
        <v>74.56</v>
      </c>
      <c r="AZ82">
        <v>228.07</v>
      </c>
      <c r="BA82">
        <v>168.13</v>
      </c>
      <c r="BB82">
        <v>127.54</v>
      </c>
      <c r="BC82">
        <v>54.79</v>
      </c>
      <c r="BD82">
        <v>103.13</v>
      </c>
      <c r="BE82">
        <v>266.8</v>
      </c>
      <c r="BF82">
        <v>330.82</v>
      </c>
      <c r="BG82">
        <v>46.81</v>
      </c>
      <c r="BH82">
        <v>94.9</v>
      </c>
      <c r="BI82">
        <v>197.6</v>
      </c>
      <c r="BJ82">
        <v>76.7</v>
      </c>
      <c r="BK82">
        <v>50.29</v>
      </c>
      <c r="BL82">
        <v>99.92</v>
      </c>
      <c r="BM82">
        <v>66.75</v>
      </c>
      <c r="BN82">
        <v>59.03</v>
      </c>
      <c r="BO82">
        <v>51.92</v>
      </c>
      <c r="BP82">
        <v>169.93</v>
      </c>
      <c r="BQ82">
        <v>159.11000000000001</v>
      </c>
      <c r="BR82">
        <v>82.92</v>
      </c>
      <c r="BS82">
        <v>43.64</v>
      </c>
      <c r="BT82">
        <v>45.68</v>
      </c>
      <c r="BU82">
        <v>142.84</v>
      </c>
    </row>
    <row r="83" spans="1:73" x14ac:dyDescent="0.25">
      <c r="A83" s="1">
        <v>46142</v>
      </c>
      <c r="B83">
        <v>99.1</v>
      </c>
      <c r="C83">
        <v>29.26</v>
      </c>
      <c r="D83">
        <v>73.5</v>
      </c>
      <c r="E83">
        <v>48.05</v>
      </c>
      <c r="F83">
        <v>22.27</v>
      </c>
      <c r="G83">
        <v>57.31</v>
      </c>
      <c r="H83">
        <v>96.92</v>
      </c>
      <c r="I83">
        <v>101.04</v>
      </c>
      <c r="J83">
        <v>95.8</v>
      </c>
      <c r="K83">
        <v>27.14</v>
      </c>
      <c r="L83">
        <v>33.33</v>
      </c>
      <c r="M83">
        <v>70.400000000000006</v>
      </c>
      <c r="N83">
        <v>94.34</v>
      </c>
      <c r="O83">
        <v>74.400000000000006</v>
      </c>
      <c r="P83">
        <v>29.21</v>
      </c>
      <c r="Q83">
        <v>54.09</v>
      </c>
      <c r="R83">
        <v>246.31</v>
      </c>
      <c r="S83">
        <v>60.4</v>
      </c>
      <c r="T83">
        <v>80.38</v>
      </c>
      <c r="U83">
        <v>36.74</v>
      </c>
      <c r="V83">
        <v>49.91</v>
      </c>
      <c r="W83">
        <v>112.71</v>
      </c>
      <c r="X83">
        <v>118.3</v>
      </c>
      <c r="Y83">
        <v>49.61</v>
      </c>
      <c r="Z83">
        <v>41.88</v>
      </c>
      <c r="AA83">
        <v>63.21</v>
      </c>
      <c r="AB83">
        <v>124.34</v>
      </c>
      <c r="AC83">
        <v>61.28</v>
      </c>
      <c r="AD83">
        <v>158.61000000000001</v>
      </c>
      <c r="AE83">
        <v>71.77</v>
      </c>
      <c r="AF83">
        <v>102.63</v>
      </c>
      <c r="AG83">
        <v>218.11</v>
      </c>
      <c r="AH83">
        <v>96.83</v>
      </c>
      <c r="AI83">
        <v>94.78</v>
      </c>
      <c r="AJ83">
        <v>107.13</v>
      </c>
      <c r="AK83">
        <v>31.45</v>
      </c>
      <c r="AL83">
        <v>19.09</v>
      </c>
      <c r="AM83">
        <v>31.09</v>
      </c>
      <c r="AN83">
        <v>23.19</v>
      </c>
      <c r="AO83">
        <v>26.29</v>
      </c>
      <c r="AP83">
        <v>25.55</v>
      </c>
      <c r="AQ83">
        <v>29.01</v>
      </c>
      <c r="AR83">
        <v>23.55</v>
      </c>
      <c r="AS83">
        <v>22.2</v>
      </c>
      <c r="AT83">
        <v>22.33</v>
      </c>
      <c r="AU83">
        <v>26.01</v>
      </c>
      <c r="AV83">
        <v>45.58</v>
      </c>
      <c r="AW83">
        <v>37.229999999999997</v>
      </c>
      <c r="AX83">
        <v>51.25</v>
      </c>
      <c r="AY83">
        <v>74.61</v>
      </c>
      <c r="AZ83">
        <v>232.14</v>
      </c>
      <c r="BA83">
        <v>169.58</v>
      </c>
      <c r="BB83">
        <v>128.19999999999999</v>
      </c>
      <c r="BC83">
        <v>54.77</v>
      </c>
      <c r="BD83">
        <v>103.18</v>
      </c>
      <c r="BE83">
        <v>272.45999999999998</v>
      </c>
      <c r="BF83">
        <v>340.02</v>
      </c>
      <c r="BG83">
        <v>46.91</v>
      </c>
      <c r="BH83">
        <v>96.33</v>
      </c>
      <c r="BI83">
        <v>202.49</v>
      </c>
      <c r="BJ83">
        <v>76.819999999999993</v>
      </c>
      <c r="BK83">
        <v>50.31</v>
      </c>
      <c r="BL83">
        <v>99.98</v>
      </c>
      <c r="BM83">
        <v>66.930000000000007</v>
      </c>
      <c r="BN83">
        <v>59.65</v>
      </c>
      <c r="BO83">
        <v>52.13</v>
      </c>
      <c r="BP83">
        <v>174.58</v>
      </c>
      <c r="BQ83">
        <v>159.5</v>
      </c>
      <c r="BR83">
        <v>84.31</v>
      </c>
      <c r="BS83">
        <v>44.4</v>
      </c>
      <c r="BT83">
        <v>46.85</v>
      </c>
      <c r="BU83">
        <v>145.99</v>
      </c>
    </row>
    <row r="84" spans="1:73" x14ac:dyDescent="0.25">
      <c r="A84" s="1">
        <v>46143</v>
      </c>
      <c r="B84">
        <v>98.9</v>
      </c>
      <c r="C84">
        <v>29.14</v>
      </c>
      <c r="D84">
        <v>73.36</v>
      </c>
      <c r="E84">
        <v>47.97</v>
      </c>
      <c r="F84">
        <v>22.23</v>
      </c>
      <c r="G84">
        <v>57.14</v>
      </c>
      <c r="H84">
        <v>96.7</v>
      </c>
      <c r="I84">
        <v>101.87</v>
      </c>
      <c r="J84">
        <v>95.57</v>
      </c>
      <c r="K84">
        <v>27.04</v>
      </c>
      <c r="L84">
        <v>32.92</v>
      </c>
      <c r="M84">
        <v>70.11</v>
      </c>
      <c r="N84">
        <v>93.52</v>
      </c>
      <c r="O84">
        <v>74.11</v>
      </c>
      <c r="P84">
        <v>29.15</v>
      </c>
      <c r="Q84">
        <v>53.95</v>
      </c>
      <c r="R84">
        <v>250.2</v>
      </c>
      <c r="S84">
        <v>60.03</v>
      </c>
      <c r="T84">
        <v>80.06</v>
      </c>
      <c r="U84">
        <v>36.57</v>
      </c>
      <c r="V84">
        <v>49.94</v>
      </c>
      <c r="W84">
        <v>113.59</v>
      </c>
      <c r="X84">
        <v>117.41</v>
      </c>
      <c r="Y84">
        <v>49.54</v>
      </c>
      <c r="Z84">
        <v>41.82</v>
      </c>
      <c r="AA84">
        <v>62.47</v>
      </c>
      <c r="AB84">
        <v>123.88</v>
      </c>
      <c r="AC84">
        <v>61.07</v>
      </c>
      <c r="AD84">
        <v>157.35</v>
      </c>
      <c r="AE84">
        <v>71.650000000000006</v>
      </c>
      <c r="AF84">
        <v>102.36</v>
      </c>
      <c r="AG84">
        <v>221.01</v>
      </c>
      <c r="AH84">
        <v>96.4</v>
      </c>
      <c r="AI84">
        <v>94.5</v>
      </c>
      <c r="AJ84">
        <v>106.81</v>
      </c>
      <c r="AK84">
        <v>31.41</v>
      </c>
      <c r="AL84">
        <v>19</v>
      </c>
      <c r="AM84">
        <v>31.08</v>
      </c>
      <c r="AN84">
        <v>23.13</v>
      </c>
      <c r="AO84">
        <v>26.21</v>
      </c>
      <c r="AP84">
        <v>25.49</v>
      </c>
      <c r="AQ84">
        <v>28.94</v>
      </c>
      <c r="AR84">
        <v>23.45</v>
      </c>
      <c r="AS84">
        <v>22.16</v>
      </c>
      <c r="AT84">
        <v>22.28</v>
      </c>
      <c r="AU84">
        <v>26</v>
      </c>
      <c r="AV84">
        <v>45.43</v>
      </c>
      <c r="AW84">
        <v>37.04</v>
      </c>
      <c r="AX84">
        <v>51.1</v>
      </c>
      <c r="AY84">
        <v>74.510000000000005</v>
      </c>
      <c r="AZ84">
        <v>231.6</v>
      </c>
      <c r="BA84">
        <v>167.52</v>
      </c>
      <c r="BB84">
        <v>127.66</v>
      </c>
      <c r="BC84">
        <v>54.73</v>
      </c>
      <c r="BD84">
        <v>104.85</v>
      </c>
      <c r="BE84">
        <v>271.31</v>
      </c>
      <c r="BF84">
        <v>337.52</v>
      </c>
      <c r="BG84">
        <v>46.79</v>
      </c>
      <c r="BH84">
        <v>96.06</v>
      </c>
      <c r="BI84">
        <v>201.12</v>
      </c>
      <c r="BJ84">
        <v>76.63</v>
      </c>
      <c r="BK84">
        <v>50.17</v>
      </c>
      <c r="BL84">
        <v>99.69</v>
      </c>
      <c r="BM84">
        <v>66.709999999999994</v>
      </c>
      <c r="BN84">
        <v>58.85</v>
      </c>
      <c r="BO84">
        <v>51.92</v>
      </c>
      <c r="BP84">
        <v>172.96</v>
      </c>
      <c r="BQ84">
        <v>161.87</v>
      </c>
      <c r="BR84">
        <v>84.17</v>
      </c>
      <c r="BS84">
        <v>44.32</v>
      </c>
      <c r="BT84">
        <v>46.55</v>
      </c>
      <c r="BU84">
        <v>145.16</v>
      </c>
    </row>
    <row r="85" spans="1:73" x14ac:dyDescent="0.25">
      <c r="A85" s="1">
        <v>46146</v>
      </c>
      <c r="B85">
        <v>98.59</v>
      </c>
      <c r="C85">
        <v>29.04</v>
      </c>
      <c r="D85">
        <v>73.11</v>
      </c>
      <c r="E85">
        <v>47.84</v>
      </c>
      <c r="F85">
        <v>22.13</v>
      </c>
      <c r="G85">
        <v>57.11</v>
      </c>
      <c r="H85">
        <v>96.36</v>
      </c>
      <c r="I85">
        <v>102.42</v>
      </c>
      <c r="J85">
        <v>95.08</v>
      </c>
      <c r="K85">
        <v>26.95</v>
      </c>
      <c r="L85">
        <v>33.25</v>
      </c>
      <c r="M85">
        <v>70.099999999999994</v>
      </c>
      <c r="N85">
        <v>92.46</v>
      </c>
      <c r="O85">
        <v>73.599999999999994</v>
      </c>
      <c r="P85">
        <v>28.96</v>
      </c>
      <c r="Q85">
        <v>53.51</v>
      </c>
      <c r="R85">
        <v>250.42</v>
      </c>
      <c r="S85">
        <v>59.85</v>
      </c>
      <c r="T85">
        <v>79.8</v>
      </c>
      <c r="U85">
        <v>36.46</v>
      </c>
      <c r="V85">
        <v>49.84</v>
      </c>
      <c r="W85">
        <v>114.62</v>
      </c>
      <c r="X85">
        <v>117.1</v>
      </c>
      <c r="Y85">
        <v>49.28</v>
      </c>
      <c r="Z85">
        <v>41.63</v>
      </c>
      <c r="AA85">
        <v>63.02</v>
      </c>
      <c r="AB85">
        <v>122.86</v>
      </c>
      <c r="AC85">
        <v>60.97</v>
      </c>
      <c r="AD85">
        <v>155.82</v>
      </c>
      <c r="AE85">
        <v>71.11</v>
      </c>
      <c r="AF85">
        <v>101.63</v>
      </c>
      <c r="AG85">
        <v>221.03</v>
      </c>
      <c r="AH85">
        <v>96.1</v>
      </c>
      <c r="AI85">
        <v>94.15</v>
      </c>
      <c r="AJ85">
        <v>106.69</v>
      </c>
      <c r="AK85">
        <v>31.26</v>
      </c>
      <c r="AL85">
        <v>18.91</v>
      </c>
      <c r="AM85">
        <v>30.87</v>
      </c>
      <c r="AN85">
        <v>23.06</v>
      </c>
      <c r="AO85">
        <v>26.13</v>
      </c>
      <c r="AP85">
        <v>25.41</v>
      </c>
      <c r="AQ85">
        <v>28.86</v>
      </c>
      <c r="AR85">
        <v>23.38</v>
      </c>
      <c r="AS85">
        <v>22.05</v>
      </c>
      <c r="AT85">
        <v>22.19</v>
      </c>
      <c r="AU85">
        <v>25.83</v>
      </c>
      <c r="AV85">
        <v>45.43</v>
      </c>
      <c r="AW85">
        <v>36.92</v>
      </c>
      <c r="AX85">
        <v>50.97</v>
      </c>
      <c r="AY85">
        <v>74.14</v>
      </c>
      <c r="AZ85">
        <v>229.79</v>
      </c>
      <c r="BA85">
        <v>169.25</v>
      </c>
      <c r="BB85">
        <v>126.76</v>
      </c>
      <c r="BC85">
        <v>54.36</v>
      </c>
      <c r="BD85">
        <v>104.95</v>
      </c>
      <c r="BE85">
        <v>271.33999999999997</v>
      </c>
      <c r="BF85">
        <v>333.6</v>
      </c>
      <c r="BG85">
        <v>46.59</v>
      </c>
      <c r="BH85">
        <v>95.46</v>
      </c>
      <c r="BI85">
        <v>200.51</v>
      </c>
      <c r="BJ85">
        <v>76.37</v>
      </c>
      <c r="BK85">
        <v>50.12</v>
      </c>
      <c r="BL85">
        <v>99.59</v>
      </c>
      <c r="BM85">
        <v>66.400000000000006</v>
      </c>
      <c r="BN85">
        <v>59.39</v>
      </c>
      <c r="BO85">
        <v>51.58</v>
      </c>
      <c r="BP85">
        <v>170.98</v>
      </c>
      <c r="BQ85">
        <v>162.05000000000001</v>
      </c>
      <c r="BR85">
        <v>83.54</v>
      </c>
      <c r="BS85">
        <v>44.08</v>
      </c>
      <c r="BT85">
        <v>46.37</v>
      </c>
      <c r="BU85">
        <v>144.72999999999999</v>
      </c>
    </row>
    <row r="86" spans="1:73" x14ac:dyDescent="0.25">
      <c r="A86" s="1">
        <v>46147</v>
      </c>
      <c r="B86">
        <v>98.77</v>
      </c>
      <c r="C86">
        <v>29.11</v>
      </c>
      <c r="D86">
        <v>73.239999999999995</v>
      </c>
      <c r="E86">
        <v>47.89</v>
      </c>
      <c r="F86">
        <v>22.13</v>
      </c>
      <c r="G86">
        <v>57.12</v>
      </c>
      <c r="H86">
        <v>96.6</v>
      </c>
      <c r="I86">
        <v>103.9</v>
      </c>
      <c r="J86">
        <v>95.52</v>
      </c>
      <c r="K86">
        <v>27.03</v>
      </c>
      <c r="L86">
        <v>33.25</v>
      </c>
      <c r="M86">
        <v>70.33</v>
      </c>
      <c r="N86">
        <v>93.48</v>
      </c>
      <c r="O86">
        <v>73.73</v>
      </c>
      <c r="P86">
        <v>29.05</v>
      </c>
      <c r="Q86">
        <v>53.76</v>
      </c>
      <c r="R86">
        <v>254.87</v>
      </c>
      <c r="S86">
        <v>59.85</v>
      </c>
      <c r="T86">
        <v>79.92</v>
      </c>
      <c r="U86">
        <v>36.51</v>
      </c>
      <c r="V86">
        <v>49.87</v>
      </c>
      <c r="W86">
        <v>115.91</v>
      </c>
      <c r="X86">
        <v>116.96</v>
      </c>
      <c r="Y86">
        <v>49.6</v>
      </c>
      <c r="Z86">
        <v>41.78</v>
      </c>
      <c r="AA86">
        <v>63.09</v>
      </c>
      <c r="AB86">
        <v>123.38</v>
      </c>
      <c r="AC86">
        <v>61.19</v>
      </c>
      <c r="AD86">
        <v>156.41999999999999</v>
      </c>
      <c r="AE86">
        <v>71.42</v>
      </c>
      <c r="AF86">
        <v>101.94</v>
      </c>
      <c r="AG86">
        <v>225.18</v>
      </c>
      <c r="AH86">
        <v>96.22</v>
      </c>
      <c r="AI86">
        <v>94.31</v>
      </c>
      <c r="AJ86">
        <v>106.77</v>
      </c>
      <c r="AK86">
        <v>31.45</v>
      </c>
      <c r="AL86">
        <v>18.95</v>
      </c>
      <c r="AM86">
        <v>31.01</v>
      </c>
      <c r="AN86">
        <v>23.09</v>
      </c>
      <c r="AO86">
        <v>26.16</v>
      </c>
      <c r="AP86">
        <v>25.47</v>
      </c>
      <c r="AQ86">
        <v>28.94</v>
      </c>
      <c r="AR86">
        <v>23.4</v>
      </c>
      <c r="AS86">
        <v>22.2</v>
      </c>
      <c r="AT86">
        <v>22.23</v>
      </c>
      <c r="AU86">
        <v>25.95</v>
      </c>
      <c r="AV86">
        <v>45.41</v>
      </c>
      <c r="AW86">
        <v>36.979999999999997</v>
      </c>
      <c r="AX86">
        <v>51.11</v>
      </c>
      <c r="AY86">
        <v>74.61</v>
      </c>
      <c r="AZ86">
        <v>230.81</v>
      </c>
      <c r="BA86">
        <v>169.23</v>
      </c>
      <c r="BB86">
        <v>126.98</v>
      </c>
      <c r="BC86">
        <v>54.61</v>
      </c>
      <c r="BD86">
        <v>106.81</v>
      </c>
      <c r="BE86">
        <v>272.17</v>
      </c>
      <c r="BF86">
        <v>337.38</v>
      </c>
      <c r="BG86">
        <v>46.68</v>
      </c>
      <c r="BH86">
        <v>95.76</v>
      </c>
      <c r="BI86">
        <v>200.54</v>
      </c>
      <c r="BJ86">
        <v>76.599999999999994</v>
      </c>
      <c r="BK86">
        <v>50.14</v>
      </c>
      <c r="BL86">
        <v>99.63</v>
      </c>
      <c r="BM86">
        <v>66.680000000000007</v>
      </c>
      <c r="BN86">
        <v>59.45</v>
      </c>
      <c r="BO86">
        <v>51.59</v>
      </c>
      <c r="BP86">
        <v>172.41</v>
      </c>
      <c r="BQ86">
        <v>165.63</v>
      </c>
      <c r="BR86">
        <v>84.06</v>
      </c>
      <c r="BS86">
        <v>44.17</v>
      </c>
      <c r="BT86">
        <v>46.37</v>
      </c>
      <c r="BU86">
        <v>145.30000000000001</v>
      </c>
    </row>
    <row r="87" spans="1:73" x14ac:dyDescent="0.25">
      <c r="A87" s="1">
        <v>46148</v>
      </c>
      <c r="B87">
        <v>99.19</v>
      </c>
      <c r="C87">
        <v>29.21</v>
      </c>
      <c r="D87">
        <v>73.55</v>
      </c>
      <c r="E87">
        <v>48.16</v>
      </c>
      <c r="F87">
        <v>22.34</v>
      </c>
      <c r="G87">
        <v>57.24</v>
      </c>
      <c r="H87">
        <v>97.02</v>
      </c>
      <c r="I87">
        <v>105.65</v>
      </c>
      <c r="J87">
        <v>96.27</v>
      </c>
      <c r="K87">
        <v>27.12</v>
      </c>
      <c r="L87">
        <v>31.94</v>
      </c>
      <c r="M87">
        <v>70.569999999999993</v>
      </c>
      <c r="N87">
        <v>95.73</v>
      </c>
      <c r="O87">
        <v>74.03</v>
      </c>
      <c r="P87">
        <v>29.47</v>
      </c>
      <c r="Q87">
        <v>53.71</v>
      </c>
      <c r="R87">
        <v>261.5</v>
      </c>
      <c r="S87">
        <v>59.09</v>
      </c>
      <c r="T87">
        <v>80.16</v>
      </c>
      <c r="U87">
        <v>36.630000000000003</v>
      </c>
      <c r="V87">
        <v>50.12</v>
      </c>
      <c r="W87">
        <v>118.29</v>
      </c>
      <c r="X87">
        <v>115.28</v>
      </c>
      <c r="Y87">
        <v>49.92</v>
      </c>
      <c r="Z87">
        <v>42.18</v>
      </c>
      <c r="AA87">
        <v>60.56</v>
      </c>
      <c r="AB87">
        <v>124.23</v>
      </c>
      <c r="AC87">
        <v>61.46</v>
      </c>
      <c r="AD87">
        <v>159.41</v>
      </c>
      <c r="AE87">
        <v>71.44</v>
      </c>
      <c r="AF87">
        <v>103.28</v>
      </c>
      <c r="AG87">
        <v>232.12</v>
      </c>
      <c r="AH87">
        <v>96.54</v>
      </c>
      <c r="AI87">
        <v>94.8</v>
      </c>
      <c r="AJ87">
        <v>106.99</v>
      </c>
      <c r="AK87">
        <v>31.61</v>
      </c>
      <c r="AL87">
        <v>19.079999999999998</v>
      </c>
      <c r="AM87">
        <v>31.25</v>
      </c>
      <c r="AN87">
        <v>23.19</v>
      </c>
      <c r="AO87">
        <v>26.25</v>
      </c>
      <c r="AP87">
        <v>25.56</v>
      </c>
      <c r="AQ87">
        <v>29.07</v>
      </c>
      <c r="AR87">
        <v>23.48</v>
      </c>
      <c r="AS87">
        <v>22.35</v>
      </c>
      <c r="AT87">
        <v>22.35</v>
      </c>
      <c r="AU87">
        <v>26.15</v>
      </c>
      <c r="AV87">
        <v>45.52</v>
      </c>
      <c r="AW87">
        <v>37.1</v>
      </c>
      <c r="AX87">
        <v>51.31</v>
      </c>
      <c r="AY87">
        <v>75.08</v>
      </c>
      <c r="AZ87">
        <v>230.59</v>
      </c>
      <c r="BA87">
        <v>162.43</v>
      </c>
      <c r="BB87">
        <v>127.59</v>
      </c>
      <c r="BC87">
        <v>55.03</v>
      </c>
      <c r="BD87">
        <v>109.56</v>
      </c>
      <c r="BE87">
        <v>273.10000000000002</v>
      </c>
      <c r="BF87">
        <v>345.38</v>
      </c>
      <c r="BG87">
        <v>46.92</v>
      </c>
      <c r="BH87">
        <v>97.09</v>
      </c>
      <c r="BI87">
        <v>198.05</v>
      </c>
      <c r="BJ87">
        <v>76.97</v>
      </c>
      <c r="BK87">
        <v>50.23</v>
      </c>
      <c r="BL87">
        <v>99.77</v>
      </c>
      <c r="BM87">
        <v>67.16</v>
      </c>
      <c r="BN87">
        <v>57</v>
      </c>
      <c r="BO87">
        <v>51.84</v>
      </c>
      <c r="BP87">
        <v>176.87</v>
      </c>
      <c r="BQ87">
        <v>170.03</v>
      </c>
      <c r="BR87">
        <v>84.24</v>
      </c>
      <c r="BS87">
        <v>44.74</v>
      </c>
      <c r="BT87">
        <v>45.71</v>
      </c>
      <c r="BU87">
        <v>145.4</v>
      </c>
    </row>
    <row r="88" spans="1:73" x14ac:dyDescent="0.25">
      <c r="A88" s="1">
        <v>46149</v>
      </c>
      <c r="B88">
        <v>98.95</v>
      </c>
      <c r="C88">
        <v>29.08</v>
      </c>
      <c r="D88">
        <v>73.36</v>
      </c>
      <c r="E88">
        <v>48.08</v>
      </c>
      <c r="F88">
        <v>22.31</v>
      </c>
      <c r="G88">
        <v>57.23</v>
      </c>
      <c r="H88">
        <v>96.76</v>
      </c>
      <c r="I88">
        <v>104.28</v>
      </c>
      <c r="J88">
        <v>95.9</v>
      </c>
      <c r="K88">
        <v>27.04</v>
      </c>
      <c r="L88">
        <v>31.32</v>
      </c>
      <c r="M88">
        <v>70.02</v>
      </c>
      <c r="N88">
        <v>93.99</v>
      </c>
      <c r="O88">
        <v>73.63</v>
      </c>
      <c r="P88">
        <v>29.29</v>
      </c>
      <c r="Q88">
        <v>53.55</v>
      </c>
      <c r="R88">
        <v>261.33999999999997</v>
      </c>
      <c r="S88">
        <v>58.3</v>
      </c>
      <c r="T88">
        <v>79.86</v>
      </c>
      <c r="U88">
        <v>36.47</v>
      </c>
      <c r="V88">
        <v>50.04</v>
      </c>
      <c r="W88">
        <v>116.45</v>
      </c>
      <c r="X88">
        <v>113.92</v>
      </c>
      <c r="Y88">
        <v>49.65</v>
      </c>
      <c r="Z88">
        <v>42.06</v>
      </c>
      <c r="AA88">
        <v>59.4</v>
      </c>
      <c r="AB88">
        <v>123.09</v>
      </c>
      <c r="AC88">
        <v>60.95</v>
      </c>
      <c r="AD88">
        <v>157.69999999999999</v>
      </c>
      <c r="AE88">
        <v>71.08</v>
      </c>
      <c r="AF88">
        <v>102.56</v>
      </c>
      <c r="AG88">
        <v>232.26</v>
      </c>
      <c r="AH88">
        <v>96.2</v>
      </c>
      <c r="AI88">
        <v>94.58</v>
      </c>
      <c r="AJ88">
        <v>106.99</v>
      </c>
      <c r="AK88">
        <v>31.52</v>
      </c>
      <c r="AL88">
        <v>19</v>
      </c>
      <c r="AM88">
        <v>31.11</v>
      </c>
      <c r="AN88">
        <v>23.14</v>
      </c>
      <c r="AO88">
        <v>26.14</v>
      </c>
      <c r="AP88">
        <v>25.51</v>
      </c>
      <c r="AQ88">
        <v>28.97</v>
      </c>
      <c r="AR88">
        <v>23.4</v>
      </c>
      <c r="AS88">
        <v>22.22</v>
      </c>
      <c r="AT88">
        <v>22.3</v>
      </c>
      <c r="AU88">
        <v>26.03</v>
      </c>
      <c r="AV88">
        <v>45.48</v>
      </c>
      <c r="AW88">
        <v>36.979999999999997</v>
      </c>
      <c r="AX88">
        <v>51.16</v>
      </c>
      <c r="AY88">
        <v>74.7</v>
      </c>
      <c r="AZ88">
        <v>229.94</v>
      </c>
      <c r="BA88">
        <v>159.31</v>
      </c>
      <c r="BB88">
        <v>126.85</v>
      </c>
      <c r="BC88">
        <v>54.79</v>
      </c>
      <c r="BD88">
        <v>109.5</v>
      </c>
      <c r="BE88">
        <v>271.08999999999997</v>
      </c>
      <c r="BF88">
        <v>339.77</v>
      </c>
      <c r="BG88">
        <v>46.76</v>
      </c>
      <c r="BH88">
        <v>96.39</v>
      </c>
      <c r="BI88">
        <v>195.44</v>
      </c>
      <c r="BJ88">
        <v>76.67</v>
      </c>
      <c r="BK88">
        <v>50.2</v>
      </c>
      <c r="BL88">
        <v>99.74</v>
      </c>
      <c r="BM88">
        <v>66.94</v>
      </c>
      <c r="BN88">
        <v>55.95</v>
      </c>
      <c r="BO88">
        <v>51.55</v>
      </c>
      <c r="BP88">
        <v>174</v>
      </c>
      <c r="BQ88">
        <v>169.69</v>
      </c>
      <c r="BR88">
        <v>83.98</v>
      </c>
      <c r="BS88">
        <v>44.4</v>
      </c>
      <c r="BT88">
        <v>45.12</v>
      </c>
      <c r="BU88">
        <v>144.72</v>
      </c>
    </row>
    <row r="89" spans="1:73" x14ac:dyDescent="0.25">
      <c r="A89" s="1">
        <v>46150</v>
      </c>
      <c r="B89">
        <v>99.18</v>
      </c>
      <c r="C89">
        <v>29.17</v>
      </c>
      <c r="D89">
        <v>73.55</v>
      </c>
      <c r="E89">
        <v>48.14</v>
      </c>
      <c r="F89">
        <v>22.39</v>
      </c>
      <c r="G89">
        <v>57.27</v>
      </c>
      <c r="H89">
        <v>97.06</v>
      </c>
      <c r="I89">
        <v>104.68</v>
      </c>
      <c r="J89">
        <v>96.15</v>
      </c>
      <c r="K89">
        <v>27.13</v>
      </c>
      <c r="L89">
        <v>31.15</v>
      </c>
      <c r="M89">
        <v>69.48</v>
      </c>
      <c r="N89">
        <v>93.87</v>
      </c>
      <c r="O89">
        <v>73.28</v>
      </c>
      <c r="P89">
        <v>29.35</v>
      </c>
      <c r="Q89">
        <v>53.6</v>
      </c>
      <c r="R89">
        <v>268.37</v>
      </c>
      <c r="S89">
        <v>57.85</v>
      </c>
      <c r="T89">
        <v>80.14</v>
      </c>
      <c r="U89">
        <v>36.590000000000003</v>
      </c>
      <c r="V89">
        <v>50.16</v>
      </c>
      <c r="W89">
        <v>116.76</v>
      </c>
      <c r="X89">
        <v>112.84</v>
      </c>
      <c r="Y89">
        <v>49.94</v>
      </c>
      <c r="Z89">
        <v>42.27</v>
      </c>
      <c r="AA89">
        <v>59.09</v>
      </c>
      <c r="AB89">
        <v>122.62</v>
      </c>
      <c r="AC89">
        <v>60.42</v>
      </c>
      <c r="AD89">
        <v>157.27000000000001</v>
      </c>
      <c r="AE89">
        <v>71.319999999999993</v>
      </c>
      <c r="AF89">
        <v>102.77</v>
      </c>
      <c r="AG89">
        <v>238.64</v>
      </c>
      <c r="AH89">
        <v>96.52</v>
      </c>
      <c r="AI89">
        <v>94.91</v>
      </c>
      <c r="AJ89">
        <v>107</v>
      </c>
      <c r="AK89">
        <v>31.72</v>
      </c>
      <c r="AL89">
        <v>19.14</v>
      </c>
      <c r="AM89">
        <v>31.24</v>
      </c>
      <c r="AN89">
        <v>23.2</v>
      </c>
      <c r="AO89">
        <v>26.21</v>
      </c>
      <c r="AP89">
        <v>25.57</v>
      </c>
      <c r="AQ89">
        <v>29.07</v>
      </c>
      <c r="AR89">
        <v>23.47</v>
      </c>
      <c r="AS89">
        <v>22.34</v>
      </c>
      <c r="AT89">
        <v>22.38</v>
      </c>
      <c r="AU89">
        <v>26.14</v>
      </c>
      <c r="AV89">
        <v>45.51</v>
      </c>
      <c r="AW89">
        <v>37.07</v>
      </c>
      <c r="AX89">
        <v>51.32</v>
      </c>
      <c r="AY89">
        <v>75.12</v>
      </c>
      <c r="AZ89">
        <v>230.24</v>
      </c>
      <c r="BA89">
        <v>158.38</v>
      </c>
      <c r="BB89">
        <v>126.13</v>
      </c>
      <c r="BC89">
        <v>55.02</v>
      </c>
      <c r="BD89">
        <v>112.44</v>
      </c>
      <c r="BE89">
        <v>268.98</v>
      </c>
      <c r="BF89">
        <v>338.87</v>
      </c>
      <c r="BG89">
        <v>46.95</v>
      </c>
      <c r="BH89">
        <v>96.62</v>
      </c>
      <c r="BI89">
        <v>193.9</v>
      </c>
      <c r="BJ89">
        <v>76.930000000000007</v>
      </c>
      <c r="BK89">
        <v>50.25</v>
      </c>
      <c r="BL89">
        <v>99.75</v>
      </c>
      <c r="BM89">
        <v>67.08</v>
      </c>
      <c r="BN89">
        <v>55.7</v>
      </c>
      <c r="BO89">
        <v>51.24</v>
      </c>
      <c r="BP89">
        <v>173.2</v>
      </c>
      <c r="BQ89">
        <v>175.52</v>
      </c>
      <c r="BR89">
        <v>84.18</v>
      </c>
      <c r="BS89">
        <v>44.41</v>
      </c>
      <c r="BT89">
        <v>44.72</v>
      </c>
      <c r="BU89">
        <v>143.49</v>
      </c>
    </row>
    <row r="90" spans="1:73" x14ac:dyDescent="0.25">
      <c r="A90" s="1">
        <v>46153</v>
      </c>
      <c r="B90">
        <v>98.92</v>
      </c>
      <c r="C90">
        <v>29.09</v>
      </c>
      <c r="D90">
        <v>73.37</v>
      </c>
      <c r="E90">
        <v>47.98</v>
      </c>
      <c r="F90">
        <v>22.29</v>
      </c>
      <c r="G90">
        <v>57.24</v>
      </c>
      <c r="H90">
        <v>96.85</v>
      </c>
      <c r="I90">
        <v>106</v>
      </c>
      <c r="J90">
        <v>95.97</v>
      </c>
      <c r="K90">
        <v>27.04</v>
      </c>
      <c r="L90">
        <v>31.95</v>
      </c>
      <c r="M90">
        <v>69.25</v>
      </c>
      <c r="N90">
        <v>94.78</v>
      </c>
      <c r="O90">
        <v>73.02</v>
      </c>
      <c r="P90">
        <v>29.35</v>
      </c>
      <c r="Q90">
        <v>53</v>
      </c>
      <c r="R90">
        <v>271.45999999999998</v>
      </c>
      <c r="S90">
        <v>58.38</v>
      </c>
      <c r="T90">
        <v>79.98</v>
      </c>
      <c r="U90">
        <v>36.53</v>
      </c>
      <c r="V90">
        <v>50</v>
      </c>
      <c r="W90">
        <v>118.47</v>
      </c>
      <c r="X90">
        <v>113.77</v>
      </c>
      <c r="Y90">
        <v>49.76</v>
      </c>
      <c r="Z90">
        <v>42.07</v>
      </c>
      <c r="AA90">
        <v>60.63</v>
      </c>
      <c r="AB90">
        <v>122.14</v>
      </c>
      <c r="AC90">
        <v>60.23</v>
      </c>
      <c r="AD90">
        <v>158.25</v>
      </c>
      <c r="AE90">
        <v>71.3</v>
      </c>
      <c r="AF90">
        <v>102.84</v>
      </c>
      <c r="AG90">
        <v>240.04</v>
      </c>
      <c r="AH90">
        <v>96.32</v>
      </c>
      <c r="AI90">
        <v>94.67</v>
      </c>
      <c r="AJ90">
        <v>106.94</v>
      </c>
      <c r="AK90">
        <v>31.68</v>
      </c>
      <c r="AL90">
        <v>19.059999999999999</v>
      </c>
      <c r="AM90">
        <v>31.06</v>
      </c>
      <c r="AN90">
        <v>23.13</v>
      </c>
      <c r="AO90">
        <v>26.17</v>
      </c>
      <c r="AP90">
        <v>25.51</v>
      </c>
      <c r="AQ90">
        <v>29.01</v>
      </c>
      <c r="AR90">
        <v>23.43</v>
      </c>
      <c r="AS90">
        <v>22.27</v>
      </c>
      <c r="AT90">
        <v>22.31</v>
      </c>
      <c r="AU90">
        <v>25.99</v>
      </c>
      <c r="AV90">
        <v>45.5</v>
      </c>
      <c r="AW90">
        <v>36.99</v>
      </c>
      <c r="AX90">
        <v>51.21</v>
      </c>
      <c r="AY90">
        <v>74.849999999999994</v>
      </c>
      <c r="AZ90">
        <v>227.58</v>
      </c>
      <c r="BA90">
        <v>162.46</v>
      </c>
      <c r="BB90">
        <v>125.69</v>
      </c>
      <c r="BC90">
        <v>54.72</v>
      </c>
      <c r="BD90">
        <v>113.72</v>
      </c>
      <c r="BE90">
        <v>267.95</v>
      </c>
      <c r="BF90">
        <v>341.95</v>
      </c>
      <c r="BG90">
        <v>46.82</v>
      </c>
      <c r="BH90">
        <v>96.69</v>
      </c>
      <c r="BI90">
        <v>195.62</v>
      </c>
      <c r="BJ90">
        <v>76.77</v>
      </c>
      <c r="BK90">
        <v>50.22</v>
      </c>
      <c r="BL90">
        <v>99.7</v>
      </c>
      <c r="BM90">
        <v>66.959999999999994</v>
      </c>
      <c r="BN90">
        <v>57.17</v>
      </c>
      <c r="BO90">
        <v>51.18</v>
      </c>
      <c r="BP90">
        <v>175.04</v>
      </c>
      <c r="BQ90">
        <v>177.88</v>
      </c>
      <c r="BR90">
        <v>83.37</v>
      </c>
      <c r="BS90">
        <v>44.57</v>
      </c>
      <c r="BT90">
        <v>45.14</v>
      </c>
      <c r="BU90">
        <v>143.04</v>
      </c>
    </row>
    <row r="91" spans="1:73" x14ac:dyDescent="0.25">
      <c r="A91" s="1">
        <v>46154</v>
      </c>
      <c r="B91">
        <v>98.63</v>
      </c>
      <c r="C91">
        <v>29.02</v>
      </c>
      <c r="D91">
        <v>73.150000000000006</v>
      </c>
      <c r="E91">
        <v>47.81</v>
      </c>
      <c r="F91">
        <v>22.14</v>
      </c>
      <c r="G91">
        <v>57.12</v>
      </c>
      <c r="H91">
        <v>96.53</v>
      </c>
      <c r="I91">
        <v>104.81</v>
      </c>
      <c r="J91">
        <v>95.72</v>
      </c>
      <c r="K91">
        <v>26.98</v>
      </c>
      <c r="L91">
        <v>32.18</v>
      </c>
      <c r="M91">
        <v>70.52</v>
      </c>
      <c r="N91">
        <v>94.25</v>
      </c>
      <c r="O91">
        <v>73.45</v>
      </c>
      <c r="P91">
        <v>29.37</v>
      </c>
      <c r="Q91">
        <v>53.69</v>
      </c>
      <c r="R91">
        <v>267.95</v>
      </c>
      <c r="S91">
        <v>58.44</v>
      </c>
      <c r="T91">
        <v>79.87</v>
      </c>
      <c r="U91">
        <v>36.479999999999997</v>
      </c>
      <c r="V91">
        <v>49.88</v>
      </c>
      <c r="W91">
        <v>116.96</v>
      </c>
      <c r="X91">
        <v>114.1</v>
      </c>
      <c r="Y91">
        <v>49.53</v>
      </c>
      <c r="Z91">
        <v>41.71</v>
      </c>
      <c r="AA91">
        <v>61.02</v>
      </c>
      <c r="AB91">
        <v>123</v>
      </c>
      <c r="AC91">
        <v>61.39</v>
      </c>
      <c r="AD91">
        <v>157.55000000000001</v>
      </c>
      <c r="AE91">
        <v>72.209999999999994</v>
      </c>
      <c r="AF91">
        <v>102.85</v>
      </c>
      <c r="AG91">
        <v>237.07</v>
      </c>
      <c r="AH91">
        <v>96.18</v>
      </c>
      <c r="AI91">
        <v>94.22</v>
      </c>
      <c r="AJ91">
        <v>106.72</v>
      </c>
      <c r="AK91">
        <v>31.57</v>
      </c>
      <c r="AL91">
        <v>19.079999999999998</v>
      </c>
      <c r="AM91">
        <v>30.88</v>
      </c>
      <c r="AN91">
        <v>23.07</v>
      </c>
      <c r="AO91">
        <v>26.14</v>
      </c>
      <c r="AP91">
        <v>25.44</v>
      </c>
      <c r="AQ91">
        <v>28.93</v>
      </c>
      <c r="AR91">
        <v>23.39</v>
      </c>
      <c r="AS91">
        <v>22.16</v>
      </c>
      <c r="AT91">
        <v>22.22</v>
      </c>
      <c r="AU91">
        <v>25.84</v>
      </c>
      <c r="AV91">
        <v>45.43</v>
      </c>
      <c r="AW91">
        <v>36.96</v>
      </c>
      <c r="AX91">
        <v>51.07</v>
      </c>
      <c r="AY91">
        <v>74.5</v>
      </c>
      <c r="AZ91">
        <v>230.59</v>
      </c>
      <c r="BA91">
        <v>163.66999999999999</v>
      </c>
      <c r="BB91">
        <v>126.47</v>
      </c>
      <c r="BC91">
        <v>54.38</v>
      </c>
      <c r="BD91">
        <v>112.3</v>
      </c>
      <c r="BE91">
        <v>272.93</v>
      </c>
      <c r="BF91">
        <v>340.19</v>
      </c>
      <c r="BG91">
        <v>46.64</v>
      </c>
      <c r="BH91">
        <v>96.69</v>
      </c>
      <c r="BI91">
        <v>195.91</v>
      </c>
      <c r="BJ91">
        <v>76.56</v>
      </c>
      <c r="BK91">
        <v>50.12</v>
      </c>
      <c r="BL91">
        <v>99.58</v>
      </c>
      <c r="BM91">
        <v>66.760000000000005</v>
      </c>
      <c r="BN91">
        <v>57.57</v>
      </c>
      <c r="BO91">
        <v>51.58</v>
      </c>
      <c r="BP91">
        <v>174.35</v>
      </c>
      <c r="BQ91">
        <v>175.2</v>
      </c>
      <c r="BR91">
        <v>84.44</v>
      </c>
      <c r="BS91">
        <v>44.58</v>
      </c>
      <c r="BT91">
        <v>45.19</v>
      </c>
      <c r="BU91">
        <v>145.85</v>
      </c>
    </row>
    <row r="92" spans="1:73" x14ac:dyDescent="0.25">
      <c r="A92" s="1">
        <v>46155</v>
      </c>
      <c r="B92">
        <v>98.67</v>
      </c>
      <c r="C92">
        <v>29.01</v>
      </c>
      <c r="D92">
        <v>73.180000000000007</v>
      </c>
      <c r="E92">
        <v>47.9</v>
      </c>
      <c r="F92">
        <v>22.11</v>
      </c>
      <c r="G92">
        <v>57.02</v>
      </c>
      <c r="H92">
        <v>96.56</v>
      </c>
      <c r="I92">
        <v>106.04</v>
      </c>
      <c r="J92">
        <v>95.54</v>
      </c>
      <c r="K92">
        <v>26.96</v>
      </c>
      <c r="L92">
        <v>32.159999999999997</v>
      </c>
      <c r="M92">
        <v>70.94</v>
      </c>
      <c r="N92">
        <v>94.02</v>
      </c>
      <c r="O92">
        <v>72.61</v>
      </c>
      <c r="P92">
        <v>29.12</v>
      </c>
      <c r="Q92">
        <v>53.85</v>
      </c>
      <c r="R92">
        <v>270.74</v>
      </c>
      <c r="S92">
        <v>57.74</v>
      </c>
      <c r="T92">
        <v>79.91</v>
      </c>
      <c r="U92">
        <v>36.49</v>
      </c>
      <c r="V92">
        <v>49.93</v>
      </c>
      <c r="W92">
        <v>118.62</v>
      </c>
      <c r="X92">
        <v>112.75</v>
      </c>
      <c r="Y92">
        <v>49.51</v>
      </c>
      <c r="Z92">
        <v>41.74</v>
      </c>
      <c r="AA92">
        <v>61.1</v>
      </c>
      <c r="AB92">
        <v>121.76</v>
      </c>
      <c r="AC92">
        <v>61.73</v>
      </c>
      <c r="AD92">
        <v>156.44</v>
      </c>
      <c r="AE92">
        <v>72.28</v>
      </c>
      <c r="AF92">
        <v>102.01</v>
      </c>
      <c r="AG92">
        <v>240.66</v>
      </c>
      <c r="AH92">
        <v>96.18</v>
      </c>
      <c r="AI92">
        <v>94.35</v>
      </c>
      <c r="AJ92">
        <v>106.64</v>
      </c>
      <c r="AK92">
        <v>31.58</v>
      </c>
      <c r="AL92">
        <v>19.03</v>
      </c>
      <c r="AM92">
        <v>30.81</v>
      </c>
      <c r="AN92">
        <v>23.08</v>
      </c>
      <c r="AO92">
        <v>26.14</v>
      </c>
      <c r="AP92">
        <v>25.44</v>
      </c>
      <c r="AQ92">
        <v>28.94</v>
      </c>
      <c r="AR92">
        <v>23.4</v>
      </c>
      <c r="AS92">
        <v>22.16</v>
      </c>
      <c r="AT92">
        <v>22.22</v>
      </c>
      <c r="AU92">
        <v>25.78</v>
      </c>
      <c r="AV92">
        <v>45.38</v>
      </c>
      <c r="AW92">
        <v>36.97</v>
      </c>
      <c r="AX92">
        <v>51.09</v>
      </c>
      <c r="AY92">
        <v>74.489999999999995</v>
      </c>
      <c r="AZ92">
        <v>231.23</v>
      </c>
      <c r="BA92">
        <v>163.61000000000001</v>
      </c>
      <c r="BB92">
        <v>125</v>
      </c>
      <c r="BC92">
        <v>54.28</v>
      </c>
      <c r="BD92">
        <v>113.45</v>
      </c>
      <c r="BE92">
        <v>274.41000000000003</v>
      </c>
      <c r="BF92">
        <v>339.04</v>
      </c>
      <c r="BG92">
        <v>46.69</v>
      </c>
      <c r="BH92">
        <v>95.89</v>
      </c>
      <c r="BI92">
        <v>193.52</v>
      </c>
      <c r="BJ92">
        <v>76.59</v>
      </c>
      <c r="BK92">
        <v>50.1</v>
      </c>
      <c r="BL92">
        <v>99.44</v>
      </c>
      <c r="BM92">
        <v>66.599999999999994</v>
      </c>
      <c r="BN92">
        <v>57.63</v>
      </c>
      <c r="BO92">
        <v>50.99</v>
      </c>
      <c r="BP92">
        <v>173.62</v>
      </c>
      <c r="BQ92">
        <v>176.85</v>
      </c>
      <c r="BR92">
        <v>84.72</v>
      </c>
      <c r="BS92">
        <v>44.21</v>
      </c>
      <c r="BT92">
        <v>44.67</v>
      </c>
      <c r="BU92">
        <v>146.71</v>
      </c>
    </row>
    <row r="93" spans="1:73" x14ac:dyDescent="0.25">
      <c r="A93" s="1">
        <v>46156</v>
      </c>
      <c r="B93">
        <v>98.64</v>
      </c>
      <c r="C93">
        <v>29.01</v>
      </c>
      <c r="D93">
        <v>73.16</v>
      </c>
      <c r="E93">
        <v>47.97</v>
      </c>
      <c r="F93">
        <v>22.05</v>
      </c>
      <c r="G93">
        <v>57.04</v>
      </c>
      <c r="H93">
        <v>96.55</v>
      </c>
      <c r="I93">
        <v>106.57</v>
      </c>
      <c r="J93">
        <v>95.54</v>
      </c>
      <c r="K93">
        <v>26.96</v>
      </c>
      <c r="L93">
        <v>32.42</v>
      </c>
      <c r="M93">
        <v>70.88</v>
      </c>
      <c r="N93">
        <v>94.65</v>
      </c>
      <c r="O93">
        <v>73.069999999999993</v>
      </c>
      <c r="P93">
        <v>28.94</v>
      </c>
      <c r="Q93">
        <v>54</v>
      </c>
      <c r="R93">
        <v>274.95</v>
      </c>
      <c r="S93">
        <v>58.05</v>
      </c>
      <c r="T93">
        <v>79.849999999999994</v>
      </c>
      <c r="U93">
        <v>36.46</v>
      </c>
      <c r="V93">
        <v>49.92</v>
      </c>
      <c r="W93">
        <v>119.18</v>
      </c>
      <c r="X93">
        <v>113.42</v>
      </c>
      <c r="Y93">
        <v>49.53</v>
      </c>
      <c r="Z93">
        <v>41.52</v>
      </c>
      <c r="AA93">
        <v>61.56</v>
      </c>
      <c r="AB93">
        <v>122.5</v>
      </c>
      <c r="AC93">
        <v>61.67</v>
      </c>
      <c r="AD93">
        <v>157.28</v>
      </c>
      <c r="AE93">
        <v>72.489999999999995</v>
      </c>
      <c r="AF93">
        <v>101.33</v>
      </c>
      <c r="AG93">
        <v>243.06</v>
      </c>
      <c r="AH93">
        <v>96.12</v>
      </c>
      <c r="AI93">
        <v>94.27</v>
      </c>
      <c r="AJ93">
        <v>106.66</v>
      </c>
      <c r="AK93">
        <v>31.6</v>
      </c>
      <c r="AL93">
        <v>19.05</v>
      </c>
      <c r="AM93">
        <v>30.85</v>
      </c>
      <c r="AN93">
        <v>23.06</v>
      </c>
      <c r="AO93">
        <v>26.13</v>
      </c>
      <c r="AP93">
        <v>25.43</v>
      </c>
      <c r="AQ93">
        <v>28.93</v>
      </c>
      <c r="AR93">
        <v>23.39</v>
      </c>
      <c r="AS93">
        <v>22.17</v>
      </c>
      <c r="AT93">
        <v>22.22</v>
      </c>
      <c r="AU93">
        <v>25.83</v>
      </c>
      <c r="AV93">
        <v>45.38</v>
      </c>
      <c r="AW93">
        <v>36.94</v>
      </c>
      <c r="AX93">
        <v>51.07</v>
      </c>
      <c r="AY93">
        <v>74.52</v>
      </c>
      <c r="AZ93">
        <v>231.96</v>
      </c>
      <c r="BA93">
        <v>164.8</v>
      </c>
      <c r="BB93">
        <v>125.78</v>
      </c>
      <c r="BC93">
        <v>54.34</v>
      </c>
      <c r="BD93">
        <v>115.19</v>
      </c>
      <c r="BE93">
        <v>274.10000000000002</v>
      </c>
      <c r="BF93">
        <v>341.48</v>
      </c>
      <c r="BG93">
        <v>46.68</v>
      </c>
      <c r="BH93">
        <v>95.32</v>
      </c>
      <c r="BI93">
        <v>194.56</v>
      </c>
      <c r="BJ93">
        <v>76.55</v>
      </c>
      <c r="BK93">
        <v>50.05</v>
      </c>
      <c r="BL93">
        <v>99.41</v>
      </c>
      <c r="BM93">
        <v>66.61</v>
      </c>
      <c r="BN93">
        <v>58.07</v>
      </c>
      <c r="BO93">
        <v>51.29</v>
      </c>
      <c r="BP93">
        <v>174.51</v>
      </c>
      <c r="BQ93">
        <v>179.5</v>
      </c>
      <c r="BR93">
        <v>84.98</v>
      </c>
      <c r="BS93">
        <v>43.91</v>
      </c>
      <c r="BT93">
        <v>44.9</v>
      </c>
      <c r="BU93">
        <v>146.63</v>
      </c>
    </row>
    <row r="94" spans="1:73" x14ac:dyDescent="0.25">
      <c r="A94" s="1">
        <v>46157</v>
      </c>
      <c r="B94">
        <v>98.02</v>
      </c>
      <c r="C94">
        <v>28.82</v>
      </c>
      <c r="D94">
        <v>72.739999999999995</v>
      </c>
      <c r="E94">
        <v>47.57</v>
      </c>
      <c r="F94">
        <v>21.81</v>
      </c>
      <c r="G94">
        <v>56.79</v>
      </c>
      <c r="H94">
        <v>96.03</v>
      </c>
      <c r="I94">
        <v>104.5</v>
      </c>
      <c r="J94">
        <v>94.71</v>
      </c>
      <c r="K94">
        <v>26.8</v>
      </c>
      <c r="L94">
        <v>33.130000000000003</v>
      </c>
      <c r="M94">
        <v>69.959999999999994</v>
      </c>
      <c r="N94">
        <v>92.65</v>
      </c>
      <c r="O94">
        <v>72.77</v>
      </c>
      <c r="P94">
        <v>28.5</v>
      </c>
      <c r="Q94">
        <v>53.84</v>
      </c>
      <c r="R94">
        <v>270.56</v>
      </c>
      <c r="S94">
        <v>56.69</v>
      </c>
      <c r="T94">
        <v>79.459999999999994</v>
      </c>
      <c r="U94">
        <v>36.299999999999997</v>
      </c>
      <c r="V94">
        <v>49.68</v>
      </c>
      <c r="W94">
        <v>117.19</v>
      </c>
      <c r="X94">
        <v>111.08</v>
      </c>
      <c r="Y94">
        <v>49.08</v>
      </c>
      <c r="Z94">
        <v>41.01</v>
      </c>
      <c r="AA94">
        <v>62.96</v>
      </c>
      <c r="AB94">
        <v>121.76</v>
      </c>
      <c r="AC94">
        <v>60.91</v>
      </c>
      <c r="AD94">
        <v>154.85</v>
      </c>
      <c r="AE94">
        <v>72.23</v>
      </c>
      <c r="AF94">
        <v>99.8</v>
      </c>
      <c r="AG94">
        <v>238.8</v>
      </c>
      <c r="AH94">
        <v>95.72</v>
      </c>
      <c r="AI94">
        <v>93.57</v>
      </c>
      <c r="AJ94">
        <v>106.12</v>
      </c>
      <c r="AK94">
        <v>31.23</v>
      </c>
      <c r="AL94">
        <v>18.84</v>
      </c>
      <c r="AM94">
        <v>30.42</v>
      </c>
      <c r="AN94">
        <v>22.93</v>
      </c>
      <c r="AO94">
        <v>26.02</v>
      </c>
      <c r="AP94">
        <v>25.28</v>
      </c>
      <c r="AQ94">
        <v>28.76</v>
      </c>
      <c r="AR94">
        <v>23.29</v>
      </c>
      <c r="AS94">
        <v>21.96</v>
      </c>
      <c r="AT94">
        <v>22.06</v>
      </c>
      <c r="AU94">
        <v>25.45</v>
      </c>
      <c r="AV94">
        <v>45.16</v>
      </c>
      <c r="AW94">
        <v>36.79</v>
      </c>
      <c r="AX94">
        <v>50.82</v>
      </c>
      <c r="AY94">
        <v>73.81</v>
      </c>
      <c r="AZ94">
        <v>231.25</v>
      </c>
      <c r="BA94">
        <v>168.38</v>
      </c>
      <c r="BB94">
        <v>125.29</v>
      </c>
      <c r="BC94">
        <v>53.58</v>
      </c>
      <c r="BD94">
        <v>113.31</v>
      </c>
      <c r="BE94">
        <v>270.62</v>
      </c>
      <c r="BF94">
        <v>334.48</v>
      </c>
      <c r="BG94">
        <v>46.34</v>
      </c>
      <c r="BH94">
        <v>93.91</v>
      </c>
      <c r="BI94">
        <v>190.2</v>
      </c>
      <c r="BJ94">
        <v>76.11</v>
      </c>
      <c r="BK94">
        <v>49.83</v>
      </c>
      <c r="BL94">
        <v>98.99</v>
      </c>
      <c r="BM94">
        <v>66.14</v>
      </c>
      <c r="BN94">
        <v>59.44</v>
      </c>
      <c r="BO94">
        <v>51.1</v>
      </c>
      <c r="BP94">
        <v>171.4</v>
      </c>
      <c r="BQ94">
        <v>176.26</v>
      </c>
      <c r="BR94">
        <v>84.64</v>
      </c>
      <c r="BS94">
        <v>43.23</v>
      </c>
      <c r="BT94">
        <v>43.87</v>
      </c>
      <c r="BU94">
        <v>145.1</v>
      </c>
    </row>
    <row r="95" spans="1:73" x14ac:dyDescent="0.25">
      <c r="A95" s="1">
        <v>46160</v>
      </c>
      <c r="B95">
        <v>98.01</v>
      </c>
      <c r="C95">
        <v>28.84</v>
      </c>
      <c r="D95">
        <v>72.69</v>
      </c>
      <c r="E95">
        <v>47.7</v>
      </c>
      <c r="F95">
        <v>21.9</v>
      </c>
      <c r="G95">
        <v>56.8</v>
      </c>
      <c r="H95">
        <v>95.88</v>
      </c>
      <c r="I95">
        <v>102.86</v>
      </c>
      <c r="J95">
        <v>94.62</v>
      </c>
      <c r="K95">
        <v>26.82</v>
      </c>
      <c r="L95">
        <v>33.72</v>
      </c>
      <c r="M95">
        <v>70.17</v>
      </c>
      <c r="N95">
        <v>92.21</v>
      </c>
      <c r="O95">
        <v>73.599999999999994</v>
      </c>
      <c r="P95">
        <v>28.85</v>
      </c>
      <c r="Q95">
        <v>54.54</v>
      </c>
      <c r="R95">
        <v>267.64999999999998</v>
      </c>
      <c r="S95">
        <v>56.81</v>
      </c>
      <c r="T95">
        <v>79.540000000000006</v>
      </c>
      <c r="U95">
        <v>36.32</v>
      </c>
      <c r="V95">
        <v>49.79</v>
      </c>
      <c r="W95">
        <v>115.36</v>
      </c>
      <c r="X95">
        <v>111.32</v>
      </c>
      <c r="Y95">
        <v>48.91</v>
      </c>
      <c r="Z95">
        <v>41.27</v>
      </c>
      <c r="AA95">
        <v>64.09</v>
      </c>
      <c r="AB95">
        <v>122.99</v>
      </c>
      <c r="AC95">
        <v>61.15</v>
      </c>
      <c r="AD95">
        <v>155.12</v>
      </c>
      <c r="AE95">
        <v>72.88</v>
      </c>
      <c r="AF95">
        <v>100.91</v>
      </c>
      <c r="AG95">
        <v>236.39</v>
      </c>
      <c r="AH95">
        <v>95.77</v>
      </c>
      <c r="AI95">
        <v>93.49</v>
      </c>
      <c r="AJ95">
        <v>106.08</v>
      </c>
      <c r="AK95">
        <v>31.16</v>
      </c>
      <c r="AL95">
        <v>18.82</v>
      </c>
      <c r="AM95">
        <v>30.38</v>
      </c>
      <c r="AN95">
        <v>22.91</v>
      </c>
      <c r="AO95">
        <v>26.03</v>
      </c>
      <c r="AP95">
        <v>25.26</v>
      </c>
      <c r="AQ95">
        <v>28.73</v>
      </c>
      <c r="AR95">
        <v>23.29</v>
      </c>
      <c r="AS95">
        <v>21.9</v>
      </c>
      <c r="AT95">
        <v>22.04</v>
      </c>
      <c r="AU95">
        <v>25.44</v>
      </c>
      <c r="AV95">
        <v>45.18</v>
      </c>
      <c r="AW95">
        <v>36.79</v>
      </c>
      <c r="AX95">
        <v>50.74</v>
      </c>
      <c r="AY95">
        <v>73.569999999999993</v>
      </c>
      <c r="AZ95">
        <v>234.25</v>
      </c>
      <c r="BA95">
        <v>171.5</v>
      </c>
      <c r="BB95">
        <v>126.77</v>
      </c>
      <c r="BC95">
        <v>53.52</v>
      </c>
      <c r="BD95">
        <v>112.13</v>
      </c>
      <c r="BE95">
        <v>271.42</v>
      </c>
      <c r="BF95">
        <v>332.75</v>
      </c>
      <c r="BG95">
        <v>46.32</v>
      </c>
      <c r="BH95">
        <v>95.01</v>
      </c>
      <c r="BI95">
        <v>190.32</v>
      </c>
      <c r="BJ95">
        <v>76.06</v>
      </c>
      <c r="BK95">
        <v>49.84</v>
      </c>
      <c r="BL95">
        <v>98.93</v>
      </c>
      <c r="BM95">
        <v>66.040000000000006</v>
      </c>
      <c r="BN95">
        <v>60.58</v>
      </c>
      <c r="BO95">
        <v>51.74</v>
      </c>
      <c r="BP95">
        <v>170.75</v>
      </c>
      <c r="BQ95">
        <v>174.36</v>
      </c>
      <c r="BR95">
        <v>85.9</v>
      </c>
      <c r="BS95">
        <v>43.75</v>
      </c>
      <c r="BT95">
        <v>43.94</v>
      </c>
      <c r="BU95">
        <v>145.72</v>
      </c>
    </row>
    <row r="96" spans="1:73" x14ac:dyDescent="0.25">
      <c r="A96" s="1">
        <v>46161</v>
      </c>
      <c r="B96">
        <v>97.63</v>
      </c>
      <c r="C96">
        <v>28.75</v>
      </c>
      <c r="D96">
        <v>72.45</v>
      </c>
      <c r="E96">
        <v>47.59</v>
      </c>
      <c r="F96">
        <v>21.74</v>
      </c>
      <c r="G96">
        <v>56.66</v>
      </c>
      <c r="H96">
        <v>95.52</v>
      </c>
      <c r="I96">
        <v>102.44</v>
      </c>
      <c r="J96">
        <v>94.25</v>
      </c>
      <c r="K96">
        <v>26.73</v>
      </c>
      <c r="L96">
        <v>34.07</v>
      </c>
      <c r="M96">
        <v>70.83</v>
      </c>
      <c r="N96">
        <v>91.05</v>
      </c>
      <c r="O96">
        <v>72.78</v>
      </c>
      <c r="P96">
        <v>28.94</v>
      </c>
      <c r="Q96">
        <v>54.69</v>
      </c>
      <c r="R96">
        <v>266.18</v>
      </c>
      <c r="S96">
        <v>57.31</v>
      </c>
      <c r="T96">
        <v>79.349999999999994</v>
      </c>
      <c r="U96">
        <v>36.229999999999997</v>
      </c>
      <c r="V96">
        <v>49.68</v>
      </c>
      <c r="W96">
        <v>114.64</v>
      </c>
      <c r="X96">
        <v>112.26</v>
      </c>
      <c r="Y96">
        <v>48.61</v>
      </c>
      <c r="Z96">
        <v>41.03</v>
      </c>
      <c r="AA96">
        <v>64.72</v>
      </c>
      <c r="AB96">
        <v>121.52</v>
      </c>
      <c r="AC96">
        <v>61.84</v>
      </c>
      <c r="AD96">
        <v>153.16</v>
      </c>
      <c r="AE96">
        <v>72.7</v>
      </c>
      <c r="AF96">
        <v>101.26</v>
      </c>
      <c r="AG96">
        <v>234.56</v>
      </c>
      <c r="AH96">
        <v>95.54</v>
      </c>
      <c r="AI96">
        <v>93.08</v>
      </c>
      <c r="AJ96">
        <v>105.67</v>
      </c>
      <c r="AK96">
        <v>30.97</v>
      </c>
      <c r="AL96">
        <v>18.7</v>
      </c>
      <c r="AM96">
        <v>30.2</v>
      </c>
      <c r="AN96">
        <v>22.84</v>
      </c>
      <c r="AO96">
        <v>25.99</v>
      </c>
      <c r="AP96">
        <v>25.19</v>
      </c>
      <c r="AQ96">
        <v>28.62</v>
      </c>
      <c r="AR96">
        <v>23.24</v>
      </c>
      <c r="AS96">
        <v>21.76</v>
      </c>
      <c r="AT96">
        <v>21.96</v>
      </c>
      <c r="AU96">
        <v>25.27</v>
      </c>
      <c r="AV96">
        <v>45.07</v>
      </c>
      <c r="AW96">
        <v>36.700000000000003</v>
      </c>
      <c r="AX96">
        <v>50.56</v>
      </c>
      <c r="AY96">
        <v>73.13</v>
      </c>
      <c r="AZ96">
        <v>234.76</v>
      </c>
      <c r="BA96">
        <v>173.25</v>
      </c>
      <c r="BB96">
        <v>125.3</v>
      </c>
      <c r="BC96">
        <v>53.19</v>
      </c>
      <c r="BD96">
        <v>111.52</v>
      </c>
      <c r="BE96">
        <v>274.04000000000002</v>
      </c>
      <c r="BF96">
        <v>328.47</v>
      </c>
      <c r="BG96">
        <v>46.1</v>
      </c>
      <c r="BH96">
        <v>95.28</v>
      </c>
      <c r="BI96">
        <v>192.06</v>
      </c>
      <c r="BJ96">
        <v>75.73</v>
      </c>
      <c r="BK96">
        <v>49.68</v>
      </c>
      <c r="BL96">
        <v>98.67</v>
      </c>
      <c r="BM96">
        <v>65.75</v>
      </c>
      <c r="BN96">
        <v>61.29</v>
      </c>
      <c r="BO96">
        <v>51.1</v>
      </c>
      <c r="BP96">
        <v>168.74</v>
      </c>
      <c r="BQ96">
        <v>173.24</v>
      </c>
      <c r="BR96">
        <v>86.09</v>
      </c>
      <c r="BS96">
        <v>43.94</v>
      </c>
      <c r="BT96">
        <v>44.34</v>
      </c>
      <c r="BU96">
        <v>147.32</v>
      </c>
    </row>
    <row r="97" spans="1:73" x14ac:dyDescent="0.25">
      <c r="A97" s="1">
        <v>46162</v>
      </c>
      <c r="B97">
        <v>98.22</v>
      </c>
      <c r="C97">
        <v>28.92</v>
      </c>
      <c r="D97">
        <v>72.849999999999994</v>
      </c>
      <c r="E97">
        <v>47.92</v>
      </c>
      <c r="F97">
        <v>21.95</v>
      </c>
      <c r="G97">
        <v>56.75</v>
      </c>
      <c r="H97">
        <v>96.13</v>
      </c>
      <c r="I97">
        <v>103.11</v>
      </c>
      <c r="J97">
        <v>94.92</v>
      </c>
      <c r="K97">
        <v>26.93</v>
      </c>
      <c r="L97">
        <v>33.29</v>
      </c>
      <c r="M97">
        <v>71.010000000000005</v>
      </c>
      <c r="N97">
        <v>92.41</v>
      </c>
      <c r="O97">
        <v>73.62</v>
      </c>
      <c r="P97">
        <v>29.3</v>
      </c>
      <c r="Q97">
        <v>54.29</v>
      </c>
      <c r="R97">
        <v>271.76</v>
      </c>
      <c r="S97">
        <v>57.58</v>
      </c>
      <c r="T97">
        <v>79.86</v>
      </c>
      <c r="U97">
        <v>36.46</v>
      </c>
      <c r="V97">
        <v>49.97</v>
      </c>
      <c r="W97">
        <v>115.57</v>
      </c>
      <c r="X97">
        <v>112.55</v>
      </c>
      <c r="Y97">
        <v>49.15</v>
      </c>
      <c r="Z97">
        <v>41.42</v>
      </c>
      <c r="AA97">
        <v>63.28</v>
      </c>
      <c r="AB97">
        <v>122.97</v>
      </c>
      <c r="AC97">
        <v>61.89</v>
      </c>
      <c r="AD97">
        <v>155.32</v>
      </c>
      <c r="AE97">
        <v>72.45</v>
      </c>
      <c r="AF97">
        <v>102.41</v>
      </c>
      <c r="AG97">
        <v>239.33</v>
      </c>
      <c r="AH97">
        <v>96.12</v>
      </c>
      <c r="AI97">
        <v>93.76</v>
      </c>
      <c r="AJ97">
        <v>105.93</v>
      </c>
      <c r="AK97">
        <v>31.11</v>
      </c>
      <c r="AL97">
        <v>18.809999999999999</v>
      </c>
      <c r="AM97">
        <v>30.5</v>
      </c>
      <c r="AN97">
        <v>22.97</v>
      </c>
      <c r="AO97">
        <v>26.12</v>
      </c>
      <c r="AP97">
        <v>25.31</v>
      </c>
      <c r="AQ97">
        <v>28.8</v>
      </c>
      <c r="AR97">
        <v>23.39</v>
      </c>
      <c r="AS97">
        <v>22</v>
      </c>
      <c r="AT97">
        <v>22.12</v>
      </c>
      <c r="AU97">
        <v>25.52</v>
      </c>
      <c r="AV97">
        <v>45.15</v>
      </c>
      <c r="AW97">
        <v>36.94</v>
      </c>
      <c r="AX97">
        <v>50.86</v>
      </c>
      <c r="AY97">
        <v>73.930000000000007</v>
      </c>
      <c r="AZ97">
        <v>233.14</v>
      </c>
      <c r="BA97">
        <v>169.17</v>
      </c>
      <c r="BB97">
        <v>126.76</v>
      </c>
      <c r="BC97">
        <v>53.73</v>
      </c>
      <c r="BD97">
        <v>113.83</v>
      </c>
      <c r="BE97">
        <v>274.77</v>
      </c>
      <c r="BF97">
        <v>333.47</v>
      </c>
      <c r="BG97">
        <v>46.47</v>
      </c>
      <c r="BH97">
        <v>96.49</v>
      </c>
      <c r="BI97">
        <v>192.92</v>
      </c>
      <c r="BJ97">
        <v>76.23</v>
      </c>
      <c r="BK97">
        <v>49.8</v>
      </c>
      <c r="BL97">
        <v>98.96</v>
      </c>
      <c r="BM97">
        <v>66.180000000000007</v>
      </c>
      <c r="BN97">
        <v>59.8</v>
      </c>
      <c r="BO97">
        <v>51.66</v>
      </c>
      <c r="BP97">
        <v>170.73</v>
      </c>
      <c r="BQ97">
        <v>177.14</v>
      </c>
      <c r="BR97">
        <v>85.52</v>
      </c>
      <c r="BS97">
        <v>44.43</v>
      </c>
      <c r="BT97">
        <v>44.51</v>
      </c>
      <c r="BU97">
        <v>147.13</v>
      </c>
    </row>
    <row r="98" spans="1:73" x14ac:dyDescent="0.25">
      <c r="A98" s="1">
        <v>46163</v>
      </c>
      <c r="B98">
        <v>98.34</v>
      </c>
      <c r="C98">
        <v>29</v>
      </c>
      <c r="D98">
        <v>72.930000000000007</v>
      </c>
      <c r="E98">
        <v>47.98</v>
      </c>
      <c r="F98">
        <v>21.94</v>
      </c>
      <c r="G98">
        <v>56.77</v>
      </c>
      <c r="H98">
        <v>96.23</v>
      </c>
      <c r="I98">
        <v>105.37</v>
      </c>
      <c r="J98">
        <v>94.99</v>
      </c>
      <c r="K98">
        <v>26.98</v>
      </c>
      <c r="L98">
        <v>32.92</v>
      </c>
      <c r="M98">
        <v>71.47</v>
      </c>
      <c r="N98">
        <v>92.35</v>
      </c>
      <c r="O98">
        <v>73.790000000000006</v>
      </c>
      <c r="P98">
        <v>29.36</v>
      </c>
      <c r="Q98">
        <v>53.5</v>
      </c>
      <c r="R98">
        <v>273.47000000000003</v>
      </c>
      <c r="S98">
        <v>58.16</v>
      </c>
      <c r="T98">
        <v>79.900000000000006</v>
      </c>
      <c r="U98">
        <v>36.49</v>
      </c>
      <c r="V98">
        <v>50.01</v>
      </c>
      <c r="W98">
        <v>117.99</v>
      </c>
      <c r="X98">
        <v>113.59</v>
      </c>
      <c r="Y98">
        <v>49.3</v>
      </c>
      <c r="Z98">
        <v>41.43</v>
      </c>
      <c r="AA98">
        <v>62.68</v>
      </c>
      <c r="AB98">
        <v>123.4</v>
      </c>
      <c r="AC98">
        <v>62.29</v>
      </c>
      <c r="AD98">
        <v>155</v>
      </c>
      <c r="AE98">
        <v>72.5</v>
      </c>
      <c r="AF98">
        <v>102.56</v>
      </c>
      <c r="AG98">
        <v>240.08</v>
      </c>
      <c r="AH98">
        <v>96.2</v>
      </c>
      <c r="AI98">
        <v>93.9</v>
      </c>
      <c r="AJ98">
        <v>106.08</v>
      </c>
      <c r="AK98">
        <v>31.13</v>
      </c>
      <c r="AL98">
        <v>18.809999999999999</v>
      </c>
      <c r="AM98">
        <v>30.61</v>
      </c>
      <c r="AN98">
        <v>22.99</v>
      </c>
      <c r="AO98">
        <v>26.13</v>
      </c>
      <c r="AP98">
        <v>25.34</v>
      </c>
      <c r="AQ98">
        <v>28.86</v>
      </c>
      <c r="AR98">
        <v>23.4</v>
      </c>
      <c r="AS98">
        <v>22.08</v>
      </c>
      <c r="AT98">
        <v>22.11</v>
      </c>
      <c r="AU98">
        <v>25.61</v>
      </c>
      <c r="AV98">
        <v>45.19</v>
      </c>
      <c r="AW98">
        <v>36.979999999999997</v>
      </c>
      <c r="AX98">
        <v>50.94</v>
      </c>
      <c r="AY98">
        <v>74.180000000000007</v>
      </c>
      <c r="AZ98">
        <v>229.78</v>
      </c>
      <c r="BA98">
        <v>167.28</v>
      </c>
      <c r="BB98">
        <v>127.01</v>
      </c>
      <c r="BC98">
        <v>53.91</v>
      </c>
      <c r="BD98">
        <v>114.49</v>
      </c>
      <c r="BE98">
        <v>276.54000000000002</v>
      </c>
      <c r="BF98">
        <v>333.32</v>
      </c>
      <c r="BG98">
        <v>46.5</v>
      </c>
      <c r="BH98">
        <v>96.67</v>
      </c>
      <c r="BI98">
        <v>194.93</v>
      </c>
      <c r="BJ98">
        <v>76.33</v>
      </c>
      <c r="BK98">
        <v>49.85</v>
      </c>
      <c r="BL98">
        <v>98.97</v>
      </c>
      <c r="BM98">
        <v>66.22</v>
      </c>
      <c r="BN98">
        <v>59.13</v>
      </c>
      <c r="BO98">
        <v>51.73</v>
      </c>
      <c r="BP98">
        <v>170.53</v>
      </c>
      <c r="BQ98">
        <v>178.6</v>
      </c>
      <c r="BR98">
        <v>84.66</v>
      </c>
      <c r="BS98">
        <v>44.5</v>
      </c>
      <c r="BT98">
        <v>45</v>
      </c>
      <c r="BU98">
        <v>148.15</v>
      </c>
    </row>
    <row r="99" spans="1:73" x14ac:dyDescent="0.25">
      <c r="A99" s="1">
        <v>46164</v>
      </c>
      <c r="B99">
        <v>98.44</v>
      </c>
      <c r="C99">
        <v>29.03</v>
      </c>
      <c r="D99">
        <v>73</v>
      </c>
      <c r="E99">
        <v>48.06</v>
      </c>
      <c r="F99">
        <v>21.93</v>
      </c>
      <c r="G99">
        <v>56.84</v>
      </c>
      <c r="H99">
        <v>96.38</v>
      </c>
      <c r="I99">
        <v>105.65</v>
      </c>
      <c r="J99">
        <v>95.17</v>
      </c>
      <c r="K99">
        <v>27.02</v>
      </c>
      <c r="L99">
        <v>33.06</v>
      </c>
      <c r="M99">
        <v>72.17</v>
      </c>
      <c r="N99">
        <v>93.08</v>
      </c>
      <c r="O99">
        <v>73.94</v>
      </c>
      <c r="P99">
        <v>29.4</v>
      </c>
      <c r="Q99">
        <v>53.5</v>
      </c>
      <c r="R99">
        <v>276.35000000000002</v>
      </c>
      <c r="S99">
        <v>58.63</v>
      </c>
      <c r="T99">
        <v>79.91</v>
      </c>
      <c r="U99">
        <v>36.479999999999997</v>
      </c>
      <c r="V99">
        <v>50.04</v>
      </c>
      <c r="W99">
        <v>118.38</v>
      </c>
      <c r="X99">
        <v>114.48</v>
      </c>
      <c r="Y99">
        <v>49.48</v>
      </c>
      <c r="Z99">
        <v>41.43</v>
      </c>
      <c r="AA99">
        <v>62.98</v>
      </c>
      <c r="AB99">
        <v>123.79</v>
      </c>
      <c r="AC99">
        <v>62.98</v>
      </c>
      <c r="AD99">
        <v>156.13999999999999</v>
      </c>
      <c r="AE99">
        <v>72.88</v>
      </c>
      <c r="AF99">
        <v>102.72</v>
      </c>
      <c r="AG99">
        <v>241.77</v>
      </c>
      <c r="AH99">
        <v>96.25</v>
      </c>
      <c r="AI99">
        <v>94.08</v>
      </c>
      <c r="AJ99">
        <v>106.17</v>
      </c>
      <c r="AK99">
        <v>31.24</v>
      </c>
      <c r="AL99">
        <v>18.82</v>
      </c>
      <c r="AM99">
        <v>30.72</v>
      </c>
      <c r="AN99">
        <v>23</v>
      </c>
      <c r="AO99">
        <v>26.19</v>
      </c>
      <c r="AP99">
        <v>25.37</v>
      </c>
      <c r="AQ99">
        <v>28.9</v>
      </c>
      <c r="AR99">
        <v>23.41</v>
      </c>
      <c r="AS99">
        <v>22.16</v>
      </c>
      <c r="AT99">
        <v>22.16</v>
      </c>
      <c r="AU99">
        <v>25.71</v>
      </c>
      <c r="AV99">
        <v>45.19</v>
      </c>
      <c r="AW99">
        <v>36.99</v>
      </c>
      <c r="AX99">
        <v>51</v>
      </c>
      <c r="AY99">
        <v>74.48</v>
      </c>
      <c r="AZ99">
        <v>229.69</v>
      </c>
      <c r="BA99">
        <v>168.02</v>
      </c>
      <c r="BB99">
        <v>127.37</v>
      </c>
      <c r="BC99">
        <v>54.13</v>
      </c>
      <c r="BD99">
        <v>115.75</v>
      </c>
      <c r="BE99">
        <v>279.27</v>
      </c>
      <c r="BF99">
        <v>336.09</v>
      </c>
      <c r="BG99">
        <v>46.57</v>
      </c>
      <c r="BH99">
        <v>96.77</v>
      </c>
      <c r="BI99">
        <v>196.47</v>
      </c>
      <c r="BJ99">
        <v>76.44</v>
      </c>
      <c r="BK99">
        <v>49.88</v>
      </c>
      <c r="BL99">
        <v>99.08</v>
      </c>
      <c r="BM99">
        <v>66.31</v>
      </c>
      <c r="BN99">
        <v>59.49</v>
      </c>
      <c r="BO99">
        <v>51.94</v>
      </c>
      <c r="BP99">
        <v>171.77</v>
      </c>
      <c r="BQ99">
        <v>180.39</v>
      </c>
      <c r="BR99">
        <v>84.8</v>
      </c>
      <c r="BS99">
        <v>44.56</v>
      </c>
      <c r="BT99">
        <v>45.35</v>
      </c>
      <c r="BU99">
        <v>149.88999999999999</v>
      </c>
    </row>
    <row r="100" spans="1:73" x14ac:dyDescent="0.25">
      <c r="A100" s="1">
        <v>46168</v>
      </c>
      <c r="B100">
        <v>98.72</v>
      </c>
      <c r="C100">
        <v>29.11</v>
      </c>
      <c r="D100">
        <v>73.209999999999994</v>
      </c>
      <c r="E100">
        <v>48.23</v>
      </c>
      <c r="F100">
        <v>22.04</v>
      </c>
      <c r="G100">
        <v>57.08</v>
      </c>
      <c r="H100">
        <v>96.71</v>
      </c>
      <c r="I100">
        <v>106.75</v>
      </c>
      <c r="J100">
        <v>95.64</v>
      </c>
      <c r="K100">
        <v>27.06</v>
      </c>
      <c r="L100">
        <v>32.200000000000003</v>
      </c>
      <c r="M100">
        <v>71.680000000000007</v>
      </c>
      <c r="N100">
        <v>94.74</v>
      </c>
      <c r="O100">
        <v>73.989999999999995</v>
      </c>
      <c r="P100">
        <v>29.53</v>
      </c>
      <c r="Q100">
        <v>52.75</v>
      </c>
      <c r="R100">
        <v>281.97000000000003</v>
      </c>
      <c r="S100">
        <v>58.68</v>
      </c>
      <c r="T100">
        <v>80.180000000000007</v>
      </c>
      <c r="U100">
        <v>36.61</v>
      </c>
      <c r="V100">
        <v>50.19</v>
      </c>
      <c r="W100">
        <v>119.9</v>
      </c>
      <c r="X100">
        <v>114.41</v>
      </c>
      <c r="Y100">
        <v>49.74</v>
      </c>
      <c r="Z100">
        <v>41.68</v>
      </c>
      <c r="AA100">
        <v>61.39</v>
      </c>
      <c r="AB100">
        <v>123.81</v>
      </c>
      <c r="AC100">
        <v>62.5</v>
      </c>
      <c r="AD100">
        <v>158.15</v>
      </c>
      <c r="AE100">
        <v>71.72</v>
      </c>
      <c r="AF100">
        <v>103.12</v>
      </c>
      <c r="AG100">
        <v>247.42</v>
      </c>
      <c r="AH100">
        <v>96.56</v>
      </c>
      <c r="AI100">
        <v>94.33</v>
      </c>
      <c r="AJ100">
        <v>106.65</v>
      </c>
      <c r="AK100">
        <v>31.34</v>
      </c>
      <c r="AL100">
        <v>18.899999999999999</v>
      </c>
      <c r="AM100">
        <v>30.9</v>
      </c>
      <c r="AN100">
        <v>23.09</v>
      </c>
      <c r="AO100">
        <v>26.24</v>
      </c>
      <c r="AP100">
        <v>25.45</v>
      </c>
      <c r="AQ100">
        <v>28.98</v>
      </c>
      <c r="AR100">
        <v>23.48</v>
      </c>
      <c r="AS100">
        <v>22.27</v>
      </c>
      <c r="AT100">
        <v>22.24</v>
      </c>
      <c r="AU100">
        <v>25.85</v>
      </c>
      <c r="AV100">
        <v>45.4</v>
      </c>
      <c r="AW100">
        <v>37.1</v>
      </c>
      <c r="AX100">
        <v>51.16</v>
      </c>
      <c r="AY100">
        <v>74.84</v>
      </c>
      <c r="AZ100">
        <v>226.39</v>
      </c>
      <c r="BA100">
        <v>163.72</v>
      </c>
      <c r="BB100">
        <v>127.36</v>
      </c>
      <c r="BC100">
        <v>54.44</v>
      </c>
      <c r="BD100">
        <v>118.05</v>
      </c>
      <c r="BE100">
        <v>277.31</v>
      </c>
      <c r="BF100">
        <v>341.95</v>
      </c>
      <c r="BG100">
        <v>46.73</v>
      </c>
      <c r="BH100">
        <v>97.22</v>
      </c>
      <c r="BI100">
        <v>196.65</v>
      </c>
      <c r="BJ100">
        <v>76.7</v>
      </c>
      <c r="BK100">
        <v>50.09</v>
      </c>
      <c r="BL100">
        <v>99.49</v>
      </c>
      <c r="BM100">
        <v>66.64</v>
      </c>
      <c r="BN100">
        <v>57.85</v>
      </c>
      <c r="BO100">
        <v>51.85</v>
      </c>
      <c r="BP100">
        <v>174.3</v>
      </c>
      <c r="BQ100">
        <v>185.14</v>
      </c>
      <c r="BR100">
        <v>83.63</v>
      </c>
      <c r="BS100">
        <v>44.71</v>
      </c>
      <c r="BT100">
        <v>45.33</v>
      </c>
      <c r="BU100">
        <v>148.51</v>
      </c>
    </row>
    <row r="101" spans="1:73" x14ac:dyDescent="0.25">
      <c r="A101" s="1">
        <v>46169</v>
      </c>
      <c r="B101">
        <v>98.8</v>
      </c>
      <c r="C101">
        <v>29.12</v>
      </c>
      <c r="D101">
        <v>73.28</v>
      </c>
      <c r="E101">
        <v>48.22</v>
      </c>
      <c r="F101">
        <v>22.04</v>
      </c>
      <c r="G101">
        <v>57.14</v>
      </c>
      <c r="H101">
        <v>96.81</v>
      </c>
      <c r="I101">
        <v>106.91</v>
      </c>
      <c r="J101">
        <v>95.98</v>
      </c>
      <c r="K101">
        <v>27.08</v>
      </c>
      <c r="L101">
        <v>31.64</v>
      </c>
      <c r="M101">
        <v>71.849999999999994</v>
      </c>
      <c r="N101">
        <v>94.79</v>
      </c>
      <c r="O101">
        <v>73.34</v>
      </c>
      <c r="P101">
        <v>29.46</v>
      </c>
      <c r="Q101">
        <v>53.28</v>
      </c>
      <c r="R101">
        <v>280.39999999999998</v>
      </c>
      <c r="S101">
        <v>58.4</v>
      </c>
      <c r="T101">
        <v>80.13</v>
      </c>
      <c r="U101">
        <v>36.590000000000003</v>
      </c>
      <c r="V101">
        <v>50.2</v>
      </c>
      <c r="W101">
        <v>119.94</v>
      </c>
      <c r="X101">
        <v>113.85</v>
      </c>
      <c r="Y101">
        <v>49.86</v>
      </c>
      <c r="Z101">
        <v>41.68</v>
      </c>
      <c r="AA101">
        <v>60.43</v>
      </c>
      <c r="AB101">
        <v>122.51</v>
      </c>
      <c r="AC101">
        <v>62.6</v>
      </c>
      <c r="AD101">
        <v>158.35</v>
      </c>
      <c r="AE101">
        <v>72.61</v>
      </c>
      <c r="AF101">
        <v>102.79</v>
      </c>
      <c r="AG101">
        <v>246.33</v>
      </c>
      <c r="AH101">
        <v>96.52</v>
      </c>
      <c r="AI101">
        <v>94.38</v>
      </c>
      <c r="AJ101">
        <v>106.89</v>
      </c>
      <c r="AK101">
        <v>31.39</v>
      </c>
      <c r="AL101">
        <v>18.95</v>
      </c>
      <c r="AM101">
        <v>30.98</v>
      </c>
      <c r="AN101">
        <v>23.11</v>
      </c>
      <c r="AO101">
        <v>26.24</v>
      </c>
      <c r="AP101">
        <v>25.47</v>
      </c>
      <c r="AQ101">
        <v>29.03</v>
      </c>
      <c r="AR101">
        <v>23.47</v>
      </c>
      <c r="AS101">
        <v>22.32</v>
      </c>
      <c r="AT101">
        <v>22.24</v>
      </c>
      <c r="AU101">
        <v>25.91</v>
      </c>
      <c r="AV101">
        <v>45.46</v>
      </c>
      <c r="AW101">
        <v>37.090000000000003</v>
      </c>
      <c r="AX101">
        <v>51.23</v>
      </c>
      <c r="AY101">
        <v>75.05</v>
      </c>
      <c r="AZ101">
        <v>228.79</v>
      </c>
      <c r="BA101">
        <v>160.84</v>
      </c>
      <c r="BB101">
        <v>126.28</v>
      </c>
      <c r="BC101">
        <v>54.55</v>
      </c>
      <c r="BD101">
        <v>117.38</v>
      </c>
      <c r="BE101">
        <v>277.88</v>
      </c>
      <c r="BF101">
        <v>342.32</v>
      </c>
      <c r="BG101">
        <v>46.72</v>
      </c>
      <c r="BH101">
        <v>96.92</v>
      </c>
      <c r="BI101">
        <v>195.7</v>
      </c>
      <c r="BJ101">
        <v>76.78</v>
      </c>
      <c r="BK101">
        <v>50.21</v>
      </c>
      <c r="BL101">
        <v>99.66</v>
      </c>
      <c r="BM101">
        <v>66.89</v>
      </c>
      <c r="BN101">
        <v>56.99</v>
      </c>
      <c r="BO101">
        <v>51.42</v>
      </c>
      <c r="BP101">
        <v>174.3</v>
      </c>
      <c r="BQ101">
        <v>184.43</v>
      </c>
      <c r="BR101">
        <v>84.58</v>
      </c>
      <c r="BS101">
        <v>44.63</v>
      </c>
      <c r="BT101">
        <v>45.14</v>
      </c>
      <c r="BU101">
        <v>148.79</v>
      </c>
    </row>
    <row r="102" spans="1:73" x14ac:dyDescent="0.25">
      <c r="A102" s="1">
        <v>46170</v>
      </c>
      <c r="B102">
        <v>99</v>
      </c>
      <c r="C102">
        <v>29.14</v>
      </c>
      <c r="D102">
        <v>73.42</v>
      </c>
      <c r="E102">
        <v>48.26</v>
      </c>
      <c r="F102">
        <v>22.11</v>
      </c>
      <c r="G102">
        <v>57.25</v>
      </c>
      <c r="H102">
        <v>97.02</v>
      </c>
      <c r="I102">
        <v>107.72</v>
      </c>
      <c r="J102">
        <v>96.23</v>
      </c>
      <c r="K102">
        <v>27.11</v>
      </c>
      <c r="L102">
        <v>31.61</v>
      </c>
      <c r="M102">
        <v>72.819999999999993</v>
      </c>
      <c r="N102">
        <v>94.59</v>
      </c>
      <c r="O102">
        <v>73.13</v>
      </c>
      <c r="P102">
        <v>29.34</v>
      </c>
      <c r="Q102">
        <v>53.15</v>
      </c>
      <c r="R102">
        <v>284.02</v>
      </c>
      <c r="S102">
        <v>57.75</v>
      </c>
      <c r="T102">
        <v>80.23</v>
      </c>
      <c r="U102">
        <v>36.61</v>
      </c>
      <c r="V102">
        <v>50.23</v>
      </c>
      <c r="W102">
        <v>120.41</v>
      </c>
      <c r="X102">
        <v>112.61</v>
      </c>
      <c r="Y102">
        <v>50.08</v>
      </c>
      <c r="Z102">
        <v>41.93</v>
      </c>
      <c r="AA102">
        <v>60.46</v>
      </c>
      <c r="AB102">
        <v>122.17</v>
      </c>
      <c r="AC102">
        <v>63.52</v>
      </c>
      <c r="AD102">
        <v>158.06</v>
      </c>
      <c r="AE102">
        <v>72.180000000000007</v>
      </c>
      <c r="AF102">
        <v>102.31</v>
      </c>
      <c r="AG102">
        <v>249.53</v>
      </c>
      <c r="AH102">
        <v>96.62</v>
      </c>
      <c r="AI102">
        <v>94.71</v>
      </c>
      <c r="AJ102">
        <v>107.03</v>
      </c>
      <c r="AK102">
        <v>31.5</v>
      </c>
      <c r="AL102">
        <v>19</v>
      </c>
      <c r="AM102">
        <v>31.11</v>
      </c>
      <c r="AN102">
        <v>23.15</v>
      </c>
      <c r="AO102">
        <v>26.26</v>
      </c>
      <c r="AP102">
        <v>25.53</v>
      </c>
      <c r="AQ102">
        <v>29.08</v>
      </c>
      <c r="AR102">
        <v>23.48</v>
      </c>
      <c r="AS102">
        <v>22.42</v>
      </c>
      <c r="AT102">
        <v>22.32</v>
      </c>
      <c r="AU102">
        <v>26.03</v>
      </c>
      <c r="AV102">
        <v>45.53</v>
      </c>
      <c r="AW102">
        <v>37.11</v>
      </c>
      <c r="AX102">
        <v>51.34</v>
      </c>
      <c r="AY102">
        <v>75.38</v>
      </c>
      <c r="AZ102">
        <v>228.13</v>
      </c>
      <c r="BA102">
        <v>160.72</v>
      </c>
      <c r="BB102">
        <v>125.91</v>
      </c>
      <c r="BC102">
        <v>54.81</v>
      </c>
      <c r="BD102">
        <v>118.95</v>
      </c>
      <c r="BE102">
        <v>281.77</v>
      </c>
      <c r="BF102">
        <v>341.94</v>
      </c>
      <c r="BG102">
        <v>46.84</v>
      </c>
      <c r="BH102">
        <v>96.55</v>
      </c>
      <c r="BI102">
        <v>193.55</v>
      </c>
      <c r="BJ102">
        <v>76.95</v>
      </c>
      <c r="BK102">
        <v>50.28</v>
      </c>
      <c r="BL102">
        <v>99.83</v>
      </c>
      <c r="BM102">
        <v>67.09</v>
      </c>
      <c r="BN102">
        <v>56.95</v>
      </c>
      <c r="BO102">
        <v>51.27</v>
      </c>
      <c r="BP102">
        <v>173.8</v>
      </c>
      <c r="BQ102">
        <v>186.85</v>
      </c>
      <c r="BR102">
        <v>84.43</v>
      </c>
      <c r="BS102">
        <v>44.41</v>
      </c>
      <c r="BT102">
        <v>44.63</v>
      </c>
      <c r="BU102">
        <v>150.88</v>
      </c>
    </row>
    <row r="103" spans="1:73" x14ac:dyDescent="0.25">
      <c r="A103" s="1">
        <v>46171</v>
      </c>
      <c r="B103">
        <v>99.06</v>
      </c>
      <c r="C103">
        <v>29.23</v>
      </c>
      <c r="D103">
        <v>73.459999999999994</v>
      </c>
      <c r="E103">
        <v>48.33</v>
      </c>
      <c r="F103">
        <v>22.17</v>
      </c>
      <c r="G103">
        <v>57.35</v>
      </c>
      <c r="H103">
        <v>97.12</v>
      </c>
      <c r="I103">
        <v>108.1</v>
      </c>
      <c r="J103">
        <v>96.43</v>
      </c>
      <c r="K103">
        <v>27.2</v>
      </c>
      <c r="L103">
        <v>31.28</v>
      </c>
      <c r="M103">
        <v>72.25</v>
      </c>
      <c r="N103">
        <v>94.28</v>
      </c>
      <c r="O103">
        <v>73.510000000000005</v>
      </c>
      <c r="P103">
        <v>29.07</v>
      </c>
      <c r="Q103">
        <v>52.11</v>
      </c>
      <c r="R103">
        <v>289.25</v>
      </c>
      <c r="S103">
        <v>57.53</v>
      </c>
      <c r="T103">
        <v>80.31</v>
      </c>
      <c r="U103">
        <v>36.67</v>
      </c>
      <c r="V103">
        <v>50.27</v>
      </c>
      <c r="W103">
        <v>120.68</v>
      </c>
      <c r="X103">
        <v>112.11</v>
      </c>
      <c r="Y103">
        <v>50.13</v>
      </c>
      <c r="Z103">
        <v>41.98</v>
      </c>
      <c r="AA103">
        <v>59.84</v>
      </c>
      <c r="AB103">
        <v>122.86</v>
      </c>
      <c r="AC103">
        <v>63.03</v>
      </c>
      <c r="AD103">
        <v>157.88</v>
      </c>
      <c r="AE103">
        <v>71.11</v>
      </c>
      <c r="AF103">
        <v>101.43</v>
      </c>
      <c r="AG103">
        <v>252.92</v>
      </c>
      <c r="AH103">
        <v>96.77</v>
      </c>
      <c r="AI103">
        <v>94.79</v>
      </c>
      <c r="AJ103">
        <v>107.17</v>
      </c>
      <c r="AK103">
        <v>31.56</v>
      </c>
      <c r="AL103">
        <v>19.02</v>
      </c>
      <c r="AM103">
        <v>31.12</v>
      </c>
      <c r="AN103">
        <v>23.17</v>
      </c>
      <c r="AO103">
        <v>26.31</v>
      </c>
      <c r="AP103">
        <v>25.54</v>
      </c>
      <c r="AQ103">
        <v>29.09</v>
      </c>
      <c r="AR103">
        <v>23.53</v>
      </c>
      <c r="AS103">
        <v>22.45</v>
      </c>
      <c r="AT103">
        <v>22.33</v>
      </c>
      <c r="AU103">
        <v>26.04</v>
      </c>
      <c r="AV103">
        <v>45.59</v>
      </c>
      <c r="AW103">
        <v>37.17</v>
      </c>
      <c r="AX103">
        <v>51.39</v>
      </c>
      <c r="AY103">
        <v>75.430000000000007</v>
      </c>
      <c r="AZ103">
        <v>223.75</v>
      </c>
      <c r="BA103">
        <v>159.1</v>
      </c>
      <c r="BB103">
        <v>126.66</v>
      </c>
      <c r="BC103">
        <v>54.84</v>
      </c>
      <c r="BD103">
        <v>121.06</v>
      </c>
      <c r="BE103">
        <v>279.61</v>
      </c>
      <c r="BF103">
        <v>340.64</v>
      </c>
      <c r="BG103">
        <v>46.91</v>
      </c>
      <c r="BH103">
        <v>95.7</v>
      </c>
      <c r="BI103">
        <v>192.66</v>
      </c>
      <c r="BJ103">
        <v>77</v>
      </c>
      <c r="BK103">
        <v>50.36</v>
      </c>
      <c r="BL103">
        <v>100.05</v>
      </c>
      <c r="BM103">
        <v>67.25</v>
      </c>
      <c r="BN103">
        <v>56.29</v>
      </c>
      <c r="BO103">
        <v>51.58</v>
      </c>
      <c r="BP103">
        <v>173.13</v>
      </c>
      <c r="BQ103">
        <v>191.02</v>
      </c>
      <c r="BR103">
        <v>82.91</v>
      </c>
      <c r="BS103">
        <v>43.99</v>
      </c>
      <c r="BT103">
        <v>44.42</v>
      </c>
      <c r="BU103">
        <v>149.47</v>
      </c>
    </row>
    <row r="104" spans="1:73" x14ac:dyDescent="0.25">
      <c r="A104" s="1">
        <v>46174</v>
      </c>
      <c r="B104">
        <v>98.68</v>
      </c>
      <c r="C104">
        <v>29.06</v>
      </c>
      <c r="D104">
        <v>73.180000000000007</v>
      </c>
      <c r="E104">
        <v>48.11</v>
      </c>
      <c r="F104">
        <v>22.03</v>
      </c>
      <c r="G104">
        <v>57.24</v>
      </c>
      <c r="H104">
        <v>96.69</v>
      </c>
      <c r="I104">
        <v>109.43</v>
      </c>
      <c r="J104">
        <v>96.01</v>
      </c>
      <c r="K104">
        <v>27.04</v>
      </c>
      <c r="L104">
        <v>31.84</v>
      </c>
      <c r="M104">
        <v>71.459999999999994</v>
      </c>
      <c r="N104">
        <v>93.53</v>
      </c>
      <c r="O104">
        <v>73.31</v>
      </c>
      <c r="P104">
        <v>28.59</v>
      </c>
      <c r="Q104">
        <v>51.58</v>
      </c>
      <c r="R104">
        <v>296.68</v>
      </c>
      <c r="S104">
        <v>55.83</v>
      </c>
      <c r="T104">
        <v>79.84</v>
      </c>
      <c r="U104">
        <v>36.42</v>
      </c>
      <c r="V104">
        <v>50.23</v>
      </c>
      <c r="W104">
        <v>122.63</v>
      </c>
      <c r="X104">
        <v>109.08</v>
      </c>
      <c r="Y104">
        <v>49.91</v>
      </c>
      <c r="Z104">
        <v>41.77</v>
      </c>
      <c r="AA104">
        <v>60.86</v>
      </c>
      <c r="AB104">
        <v>122.55</v>
      </c>
      <c r="AC104">
        <v>62.3</v>
      </c>
      <c r="AD104">
        <v>156.82</v>
      </c>
      <c r="AE104">
        <v>70.209999999999994</v>
      </c>
      <c r="AF104">
        <v>99.6</v>
      </c>
      <c r="AG104">
        <v>257.97000000000003</v>
      </c>
      <c r="AH104">
        <v>96.17</v>
      </c>
      <c r="AI104">
        <v>94.32</v>
      </c>
      <c r="AJ104">
        <v>106.94</v>
      </c>
      <c r="AK104">
        <v>31.4</v>
      </c>
      <c r="AL104">
        <v>18.940000000000001</v>
      </c>
      <c r="AM104">
        <v>30.99</v>
      </c>
      <c r="AN104">
        <v>23.08</v>
      </c>
      <c r="AO104">
        <v>26.13</v>
      </c>
      <c r="AP104">
        <v>25.44</v>
      </c>
      <c r="AQ104">
        <v>28.98</v>
      </c>
      <c r="AR104">
        <v>23.37</v>
      </c>
      <c r="AS104">
        <v>22.37</v>
      </c>
      <c r="AT104">
        <v>22.23</v>
      </c>
      <c r="AU104">
        <v>25.96</v>
      </c>
      <c r="AV104">
        <v>45.49</v>
      </c>
      <c r="AW104">
        <v>36.94</v>
      </c>
      <c r="AX104">
        <v>51.16</v>
      </c>
      <c r="AY104">
        <v>75.12</v>
      </c>
      <c r="AZ104">
        <v>221.47</v>
      </c>
      <c r="BA104">
        <v>161.83000000000001</v>
      </c>
      <c r="BB104">
        <v>126.23</v>
      </c>
      <c r="BC104">
        <v>54.62</v>
      </c>
      <c r="BD104">
        <v>124.19</v>
      </c>
      <c r="BE104">
        <v>276.33</v>
      </c>
      <c r="BF104">
        <v>338.33</v>
      </c>
      <c r="BG104">
        <v>46.72</v>
      </c>
      <c r="BH104">
        <v>94.09</v>
      </c>
      <c r="BI104">
        <v>187.11</v>
      </c>
      <c r="BJ104">
        <v>76.64</v>
      </c>
      <c r="BK104">
        <v>50.29</v>
      </c>
      <c r="BL104">
        <v>99.84</v>
      </c>
      <c r="BM104">
        <v>66.87</v>
      </c>
      <c r="BN104">
        <v>57.3</v>
      </c>
      <c r="BO104">
        <v>51.43</v>
      </c>
      <c r="BP104">
        <v>172.4</v>
      </c>
      <c r="BQ104">
        <v>195.76</v>
      </c>
      <c r="BR104">
        <v>82.03</v>
      </c>
      <c r="BS104">
        <v>43.27</v>
      </c>
      <c r="BT104">
        <v>43.1</v>
      </c>
      <c r="BU104">
        <v>147.84</v>
      </c>
    </row>
    <row r="105" spans="1:73" x14ac:dyDescent="0.25">
      <c r="A105" s="1">
        <v>46175</v>
      </c>
      <c r="B105">
        <v>98.71</v>
      </c>
      <c r="C105">
        <v>29.09</v>
      </c>
      <c r="D105">
        <v>73.2</v>
      </c>
      <c r="E105">
        <v>48.2</v>
      </c>
      <c r="F105">
        <v>22.02</v>
      </c>
      <c r="G105">
        <v>57.33</v>
      </c>
      <c r="H105">
        <v>96.68</v>
      </c>
      <c r="I105">
        <v>110.74</v>
      </c>
      <c r="J105">
        <v>96.26</v>
      </c>
      <c r="K105">
        <v>27.04</v>
      </c>
      <c r="L105">
        <v>32.22</v>
      </c>
      <c r="M105">
        <v>70.569999999999993</v>
      </c>
      <c r="N105">
        <v>94.69</v>
      </c>
      <c r="O105">
        <v>73.36</v>
      </c>
      <c r="P105">
        <v>28.71</v>
      </c>
      <c r="Q105">
        <v>51.44</v>
      </c>
      <c r="R105">
        <v>300.51</v>
      </c>
      <c r="S105">
        <v>56.94</v>
      </c>
      <c r="T105">
        <v>79.900000000000006</v>
      </c>
      <c r="U105">
        <v>36.47</v>
      </c>
      <c r="V105">
        <v>50.27</v>
      </c>
      <c r="W105">
        <v>123.9</v>
      </c>
      <c r="X105">
        <v>110.95</v>
      </c>
      <c r="Y105">
        <v>49.92</v>
      </c>
      <c r="Z105">
        <v>41.8</v>
      </c>
      <c r="AA105">
        <v>61.56</v>
      </c>
      <c r="AB105">
        <v>123.02</v>
      </c>
      <c r="AC105">
        <v>61.59</v>
      </c>
      <c r="AD105">
        <v>157.47</v>
      </c>
      <c r="AE105">
        <v>70.22</v>
      </c>
      <c r="AF105">
        <v>99.99</v>
      </c>
      <c r="AG105">
        <v>259.94</v>
      </c>
      <c r="AH105">
        <v>96.21</v>
      </c>
      <c r="AI105">
        <v>94.33</v>
      </c>
      <c r="AJ105">
        <v>107.1</v>
      </c>
      <c r="AK105">
        <v>31.44</v>
      </c>
      <c r="AL105">
        <v>18.95</v>
      </c>
      <c r="AM105">
        <v>31.06</v>
      </c>
      <c r="AN105">
        <v>23.08</v>
      </c>
      <c r="AO105">
        <v>26.15</v>
      </c>
      <c r="AP105">
        <v>25.43</v>
      </c>
      <c r="AQ105">
        <v>28.99</v>
      </c>
      <c r="AR105">
        <v>23.39</v>
      </c>
      <c r="AS105">
        <v>22.36</v>
      </c>
      <c r="AT105">
        <v>22.23</v>
      </c>
      <c r="AU105">
        <v>26.02</v>
      </c>
      <c r="AV105">
        <v>45.59</v>
      </c>
      <c r="AW105">
        <v>36.96</v>
      </c>
      <c r="AX105">
        <v>51.17</v>
      </c>
      <c r="AY105">
        <v>75.150000000000006</v>
      </c>
      <c r="AZ105">
        <v>220.82</v>
      </c>
      <c r="BA105">
        <v>163.72</v>
      </c>
      <c r="BB105">
        <v>126.31</v>
      </c>
      <c r="BC105">
        <v>54.75</v>
      </c>
      <c r="BD105">
        <v>125.77</v>
      </c>
      <c r="BE105">
        <v>272.98</v>
      </c>
      <c r="BF105">
        <v>342.25</v>
      </c>
      <c r="BG105">
        <v>46.65</v>
      </c>
      <c r="BH105">
        <v>94.52</v>
      </c>
      <c r="BI105">
        <v>190.78</v>
      </c>
      <c r="BJ105">
        <v>76.7</v>
      </c>
      <c r="BK105">
        <v>50.34</v>
      </c>
      <c r="BL105">
        <v>100</v>
      </c>
      <c r="BM105">
        <v>67.040000000000006</v>
      </c>
      <c r="BN105">
        <v>57.96</v>
      </c>
      <c r="BO105">
        <v>51.46</v>
      </c>
      <c r="BP105">
        <v>174.19</v>
      </c>
      <c r="BQ105">
        <v>198.21</v>
      </c>
      <c r="BR105">
        <v>81.83</v>
      </c>
      <c r="BS105">
        <v>43.49</v>
      </c>
      <c r="BT105">
        <v>43.9</v>
      </c>
      <c r="BU105">
        <v>146.4</v>
      </c>
    </row>
    <row r="106" spans="1:73" x14ac:dyDescent="0.25">
      <c r="A106" s="1">
        <v>46176</v>
      </c>
      <c r="B106">
        <v>98.5</v>
      </c>
      <c r="C106">
        <v>29.03</v>
      </c>
      <c r="D106">
        <v>73.06</v>
      </c>
      <c r="E106">
        <v>48.03</v>
      </c>
      <c r="F106">
        <v>21.89</v>
      </c>
      <c r="G106">
        <v>57.31</v>
      </c>
      <c r="H106">
        <v>96.48</v>
      </c>
      <c r="I106">
        <v>109.46</v>
      </c>
      <c r="J106">
        <v>95.9</v>
      </c>
      <c r="K106">
        <v>26.98</v>
      </c>
      <c r="L106">
        <v>32.58</v>
      </c>
      <c r="M106">
        <v>71.150000000000006</v>
      </c>
      <c r="N106">
        <v>94.51</v>
      </c>
      <c r="O106">
        <v>72.319999999999993</v>
      </c>
      <c r="P106">
        <v>28.67</v>
      </c>
      <c r="Q106">
        <v>51.75</v>
      </c>
      <c r="R106">
        <v>296.02</v>
      </c>
      <c r="S106">
        <v>56.6</v>
      </c>
      <c r="T106">
        <v>79.680000000000007</v>
      </c>
      <c r="U106">
        <v>36.4</v>
      </c>
      <c r="V106">
        <v>50.17</v>
      </c>
      <c r="W106">
        <v>122.7</v>
      </c>
      <c r="X106">
        <v>110.64</v>
      </c>
      <c r="Y106">
        <v>49.76</v>
      </c>
      <c r="Z106">
        <v>41.45</v>
      </c>
      <c r="AA106">
        <v>62.38</v>
      </c>
      <c r="AB106">
        <v>121.63</v>
      </c>
      <c r="AC106">
        <v>62.18</v>
      </c>
      <c r="AD106">
        <v>156.5</v>
      </c>
      <c r="AE106">
        <v>70.39</v>
      </c>
      <c r="AF106">
        <v>100</v>
      </c>
      <c r="AG106">
        <v>257.56</v>
      </c>
      <c r="AH106">
        <v>96</v>
      </c>
      <c r="AI106">
        <v>94.11</v>
      </c>
      <c r="AJ106">
        <v>107.01</v>
      </c>
      <c r="AK106">
        <v>31.23</v>
      </c>
      <c r="AL106">
        <v>18.84</v>
      </c>
      <c r="AM106">
        <v>30.92</v>
      </c>
      <c r="AN106">
        <v>23.04</v>
      </c>
      <c r="AO106">
        <v>26.07</v>
      </c>
      <c r="AP106">
        <v>25.4</v>
      </c>
      <c r="AQ106">
        <v>28.93</v>
      </c>
      <c r="AR106">
        <v>23.34</v>
      </c>
      <c r="AS106">
        <v>22.28</v>
      </c>
      <c r="AT106">
        <v>22.18</v>
      </c>
      <c r="AU106">
        <v>25.92</v>
      </c>
      <c r="AV106">
        <v>45.58</v>
      </c>
      <c r="AW106">
        <v>36.86</v>
      </c>
      <c r="AX106">
        <v>51.05</v>
      </c>
      <c r="AY106">
        <v>74.89</v>
      </c>
      <c r="AZ106">
        <v>222.17</v>
      </c>
      <c r="BA106">
        <v>165.57</v>
      </c>
      <c r="BB106">
        <v>124.56</v>
      </c>
      <c r="BC106">
        <v>54.53</v>
      </c>
      <c r="BD106">
        <v>123.91</v>
      </c>
      <c r="BE106">
        <v>275.27</v>
      </c>
      <c r="BF106">
        <v>341.18</v>
      </c>
      <c r="BG106">
        <v>46.58</v>
      </c>
      <c r="BH106">
        <v>94.41</v>
      </c>
      <c r="BI106">
        <v>189.68</v>
      </c>
      <c r="BJ106">
        <v>76.53</v>
      </c>
      <c r="BK106">
        <v>50.31</v>
      </c>
      <c r="BL106">
        <v>99.95</v>
      </c>
      <c r="BM106">
        <v>66.83</v>
      </c>
      <c r="BN106">
        <v>58.71</v>
      </c>
      <c r="BO106">
        <v>50.87</v>
      </c>
      <c r="BP106">
        <v>174.05</v>
      </c>
      <c r="BQ106">
        <v>196.23</v>
      </c>
      <c r="BR106">
        <v>82.16</v>
      </c>
      <c r="BS106">
        <v>43.51</v>
      </c>
      <c r="BT106">
        <v>43.71</v>
      </c>
      <c r="BU106">
        <v>147.55000000000001</v>
      </c>
    </row>
    <row r="107" spans="1:73" x14ac:dyDescent="0.25">
      <c r="A107" s="1">
        <v>46177</v>
      </c>
      <c r="B107">
        <v>98.66</v>
      </c>
      <c r="C107">
        <v>29.09</v>
      </c>
      <c r="D107">
        <v>73.16</v>
      </c>
      <c r="E107">
        <v>48.08</v>
      </c>
      <c r="F107">
        <v>21.93</v>
      </c>
      <c r="G107">
        <v>57.38</v>
      </c>
      <c r="H107">
        <v>96.63</v>
      </c>
      <c r="I107">
        <v>109.66</v>
      </c>
      <c r="J107">
        <v>96.1</v>
      </c>
      <c r="K107">
        <v>27.03</v>
      </c>
      <c r="L107">
        <v>32.64</v>
      </c>
      <c r="M107">
        <v>73.260000000000005</v>
      </c>
      <c r="N107">
        <v>95.56</v>
      </c>
      <c r="O107">
        <v>74.25</v>
      </c>
      <c r="P107">
        <v>29.18</v>
      </c>
      <c r="Q107">
        <v>51.7</v>
      </c>
      <c r="R107">
        <v>293.42</v>
      </c>
      <c r="S107">
        <v>56.94</v>
      </c>
      <c r="T107">
        <v>79.83</v>
      </c>
      <c r="U107">
        <v>36.44</v>
      </c>
      <c r="V107">
        <v>50.22</v>
      </c>
      <c r="W107">
        <v>122.8</v>
      </c>
      <c r="X107">
        <v>111.3</v>
      </c>
      <c r="Y107">
        <v>49.9</v>
      </c>
      <c r="Z107">
        <v>41.54</v>
      </c>
      <c r="AA107">
        <v>62.4</v>
      </c>
      <c r="AB107">
        <v>124.81</v>
      </c>
      <c r="AC107">
        <v>63.98</v>
      </c>
      <c r="AD107">
        <v>158.63</v>
      </c>
      <c r="AE107">
        <v>70.25</v>
      </c>
      <c r="AF107">
        <v>101.79</v>
      </c>
      <c r="AG107">
        <v>256.42</v>
      </c>
      <c r="AH107">
        <v>96.15</v>
      </c>
      <c r="AI107">
        <v>94.21</v>
      </c>
      <c r="AJ107">
        <v>107.19</v>
      </c>
      <c r="AK107">
        <v>31.25</v>
      </c>
      <c r="AL107">
        <v>18.899999999999999</v>
      </c>
      <c r="AM107">
        <v>31</v>
      </c>
      <c r="AN107">
        <v>23.07</v>
      </c>
      <c r="AO107">
        <v>26.13</v>
      </c>
      <c r="AP107">
        <v>25.43</v>
      </c>
      <c r="AQ107">
        <v>28.98</v>
      </c>
      <c r="AR107">
        <v>23.36</v>
      </c>
      <c r="AS107">
        <v>22.36</v>
      </c>
      <c r="AT107">
        <v>22.21</v>
      </c>
      <c r="AU107">
        <v>25.97</v>
      </c>
      <c r="AV107">
        <v>45.63</v>
      </c>
      <c r="AW107">
        <v>36.94</v>
      </c>
      <c r="AX107">
        <v>51.14</v>
      </c>
      <c r="AY107">
        <v>75.099999999999994</v>
      </c>
      <c r="AZ107">
        <v>221.91</v>
      </c>
      <c r="BA107">
        <v>165.86</v>
      </c>
      <c r="BB107">
        <v>127.9</v>
      </c>
      <c r="BC107">
        <v>54.66</v>
      </c>
      <c r="BD107">
        <v>122.82</v>
      </c>
      <c r="BE107">
        <v>283.38</v>
      </c>
      <c r="BF107">
        <v>345.21</v>
      </c>
      <c r="BG107">
        <v>46.6</v>
      </c>
      <c r="BH107">
        <v>96.1</v>
      </c>
      <c r="BI107">
        <v>190.85</v>
      </c>
      <c r="BJ107">
        <v>76.67</v>
      </c>
      <c r="BK107">
        <v>50.38</v>
      </c>
      <c r="BL107">
        <v>100</v>
      </c>
      <c r="BM107">
        <v>66.989999999999995</v>
      </c>
      <c r="BN107">
        <v>58.75</v>
      </c>
      <c r="BO107">
        <v>52.19</v>
      </c>
      <c r="BP107">
        <v>176.16</v>
      </c>
      <c r="BQ107">
        <v>193.17</v>
      </c>
      <c r="BR107">
        <v>82.04</v>
      </c>
      <c r="BS107">
        <v>44.4</v>
      </c>
      <c r="BT107">
        <v>43.94</v>
      </c>
      <c r="BU107">
        <v>152.08000000000001</v>
      </c>
    </row>
    <row r="108" spans="1:73" x14ac:dyDescent="0.25">
      <c r="A108" s="1">
        <v>46178</v>
      </c>
      <c r="B108">
        <v>98.17</v>
      </c>
      <c r="C108">
        <v>28.94</v>
      </c>
      <c r="D108">
        <v>72.83</v>
      </c>
      <c r="E108">
        <v>48.01</v>
      </c>
      <c r="F108">
        <v>21.74</v>
      </c>
      <c r="G108">
        <v>57.28</v>
      </c>
      <c r="H108">
        <v>96.09</v>
      </c>
      <c r="I108">
        <v>105.23</v>
      </c>
      <c r="J108">
        <v>95.4</v>
      </c>
      <c r="K108">
        <v>26.89</v>
      </c>
      <c r="L108">
        <v>31.95</v>
      </c>
      <c r="M108">
        <v>73.44</v>
      </c>
      <c r="N108">
        <v>94.11</v>
      </c>
      <c r="O108">
        <v>74.39</v>
      </c>
      <c r="P108">
        <v>29.41</v>
      </c>
      <c r="Q108">
        <v>52.57</v>
      </c>
      <c r="R108">
        <v>275.32</v>
      </c>
      <c r="S108">
        <v>57.39</v>
      </c>
      <c r="T108">
        <v>79.430000000000007</v>
      </c>
      <c r="U108">
        <v>36.270000000000003</v>
      </c>
      <c r="V108">
        <v>50.14</v>
      </c>
      <c r="W108">
        <v>117.65</v>
      </c>
      <c r="X108">
        <v>112.23</v>
      </c>
      <c r="Y108">
        <v>49.52</v>
      </c>
      <c r="Z108">
        <v>41.17</v>
      </c>
      <c r="AA108">
        <v>61.09</v>
      </c>
      <c r="AB108">
        <v>125</v>
      </c>
      <c r="AC108">
        <v>64.239999999999995</v>
      </c>
      <c r="AD108">
        <v>157.19</v>
      </c>
      <c r="AE108">
        <v>71.89</v>
      </c>
      <c r="AF108">
        <v>102.54</v>
      </c>
      <c r="AG108">
        <v>241.25</v>
      </c>
      <c r="AH108">
        <v>95.73</v>
      </c>
      <c r="AI108">
        <v>93.74</v>
      </c>
      <c r="AJ108">
        <v>106.97</v>
      </c>
      <c r="AK108">
        <v>30.91</v>
      </c>
      <c r="AL108">
        <v>18.75</v>
      </c>
      <c r="AM108">
        <v>30.82</v>
      </c>
      <c r="AN108">
        <v>22.96</v>
      </c>
      <c r="AO108">
        <v>26.02</v>
      </c>
      <c r="AP108">
        <v>25.32</v>
      </c>
      <c r="AQ108">
        <v>28.82</v>
      </c>
      <c r="AR108">
        <v>23.27</v>
      </c>
      <c r="AS108">
        <v>22.18</v>
      </c>
      <c r="AT108">
        <v>22.11</v>
      </c>
      <c r="AU108">
        <v>25.83</v>
      </c>
      <c r="AV108">
        <v>45.56</v>
      </c>
      <c r="AW108">
        <v>36.78</v>
      </c>
      <c r="AX108">
        <v>50.88</v>
      </c>
      <c r="AY108">
        <v>74.52</v>
      </c>
      <c r="AZ108">
        <v>225.75</v>
      </c>
      <c r="BA108">
        <v>162.36000000000001</v>
      </c>
      <c r="BB108">
        <v>128.08000000000001</v>
      </c>
      <c r="BC108">
        <v>54.34</v>
      </c>
      <c r="BD108">
        <v>115.28</v>
      </c>
      <c r="BE108">
        <v>284.13</v>
      </c>
      <c r="BF108">
        <v>340.04</v>
      </c>
      <c r="BG108">
        <v>46.38</v>
      </c>
      <c r="BH108">
        <v>96.79</v>
      </c>
      <c r="BI108">
        <v>192.36</v>
      </c>
      <c r="BJ108">
        <v>76.25</v>
      </c>
      <c r="BK108">
        <v>50.3</v>
      </c>
      <c r="BL108">
        <v>99.87</v>
      </c>
      <c r="BM108">
        <v>66.56</v>
      </c>
      <c r="BN108">
        <v>57.67</v>
      </c>
      <c r="BO108">
        <v>52.3</v>
      </c>
      <c r="BP108">
        <v>174.18</v>
      </c>
      <c r="BQ108">
        <v>180.3</v>
      </c>
      <c r="BR108">
        <v>83.44</v>
      </c>
      <c r="BS108">
        <v>44.7</v>
      </c>
      <c r="BT108">
        <v>44.35</v>
      </c>
      <c r="BU108">
        <v>153.01</v>
      </c>
    </row>
    <row r="109" spans="1:73" x14ac:dyDescent="0.25">
      <c r="A109" s="1">
        <v>46181</v>
      </c>
      <c r="B109">
        <v>98.17</v>
      </c>
      <c r="C109">
        <v>28.95</v>
      </c>
      <c r="D109">
        <v>72.81</v>
      </c>
      <c r="E109">
        <v>47.95</v>
      </c>
      <c r="F109">
        <v>21.7</v>
      </c>
      <c r="G109">
        <v>57.29</v>
      </c>
      <c r="H109">
        <v>96.02</v>
      </c>
      <c r="I109">
        <v>105.56</v>
      </c>
      <c r="J109">
        <v>95.28</v>
      </c>
      <c r="K109">
        <v>26.91</v>
      </c>
      <c r="L109">
        <v>32.340000000000003</v>
      </c>
      <c r="M109">
        <v>73.27</v>
      </c>
      <c r="N109">
        <v>93.86</v>
      </c>
      <c r="O109">
        <v>73.98</v>
      </c>
      <c r="P109">
        <v>29.03</v>
      </c>
      <c r="Q109">
        <v>52.48</v>
      </c>
      <c r="R109">
        <v>280.08999999999997</v>
      </c>
      <c r="S109">
        <v>56.32</v>
      </c>
      <c r="T109">
        <v>79.540000000000006</v>
      </c>
      <c r="U109">
        <v>36.31</v>
      </c>
      <c r="V109">
        <v>50.07</v>
      </c>
      <c r="W109">
        <v>118.25</v>
      </c>
      <c r="X109">
        <v>110.16</v>
      </c>
      <c r="Y109">
        <v>49.38</v>
      </c>
      <c r="Z109">
        <v>41.08</v>
      </c>
      <c r="AA109">
        <v>61.76</v>
      </c>
      <c r="AB109">
        <v>124.31</v>
      </c>
      <c r="AC109">
        <v>64.06</v>
      </c>
      <c r="AD109">
        <v>156.63</v>
      </c>
      <c r="AE109">
        <v>71.37</v>
      </c>
      <c r="AF109">
        <v>101.08</v>
      </c>
      <c r="AG109">
        <v>245.13</v>
      </c>
      <c r="AH109">
        <v>95.8</v>
      </c>
      <c r="AI109">
        <v>93.7</v>
      </c>
      <c r="AJ109">
        <v>106.94</v>
      </c>
      <c r="AK109">
        <v>30.97</v>
      </c>
      <c r="AL109">
        <v>18.690000000000001</v>
      </c>
      <c r="AM109">
        <v>30.7</v>
      </c>
      <c r="AN109">
        <v>22.95</v>
      </c>
      <c r="AO109">
        <v>26.03</v>
      </c>
      <c r="AP109">
        <v>25.29</v>
      </c>
      <c r="AQ109">
        <v>28.8</v>
      </c>
      <c r="AR109">
        <v>23.29</v>
      </c>
      <c r="AS109">
        <v>22.12</v>
      </c>
      <c r="AT109">
        <v>22.09</v>
      </c>
      <c r="AU109">
        <v>25.72</v>
      </c>
      <c r="AV109">
        <v>45.56</v>
      </c>
      <c r="AW109">
        <v>36.81</v>
      </c>
      <c r="AX109">
        <v>50.84</v>
      </c>
      <c r="AY109">
        <v>74.3</v>
      </c>
      <c r="AZ109">
        <v>225.19</v>
      </c>
      <c r="BA109">
        <v>164.43</v>
      </c>
      <c r="BB109">
        <v>127.4</v>
      </c>
      <c r="BC109">
        <v>54.12</v>
      </c>
      <c r="BD109">
        <v>117.25</v>
      </c>
      <c r="BE109">
        <v>283.32</v>
      </c>
      <c r="BF109">
        <v>338.98</v>
      </c>
      <c r="BG109">
        <v>46.4</v>
      </c>
      <c r="BH109">
        <v>95.47</v>
      </c>
      <c r="BI109">
        <v>188.75</v>
      </c>
      <c r="BJ109">
        <v>76.209999999999994</v>
      </c>
      <c r="BK109">
        <v>50.29</v>
      </c>
      <c r="BL109">
        <v>99.92</v>
      </c>
      <c r="BM109">
        <v>66.44</v>
      </c>
      <c r="BN109">
        <v>58.33</v>
      </c>
      <c r="BO109">
        <v>51.97</v>
      </c>
      <c r="BP109">
        <v>173.63</v>
      </c>
      <c r="BQ109">
        <v>184.18</v>
      </c>
      <c r="BR109">
        <v>83.07</v>
      </c>
      <c r="BS109">
        <v>44.03</v>
      </c>
      <c r="BT109">
        <v>43.52</v>
      </c>
      <c r="BU109">
        <v>152.65</v>
      </c>
    </row>
    <row r="110" spans="1:73" x14ac:dyDescent="0.25">
      <c r="A110" s="1">
        <v>46182</v>
      </c>
      <c r="B110">
        <v>98.37</v>
      </c>
      <c r="C110">
        <v>29</v>
      </c>
      <c r="D110">
        <v>72.97</v>
      </c>
      <c r="E110">
        <v>47.99</v>
      </c>
      <c r="F110">
        <v>21.78</v>
      </c>
      <c r="G110">
        <v>57.37</v>
      </c>
      <c r="H110">
        <v>96.28</v>
      </c>
      <c r="I110">
        <v>104.68</v>
      </c>
      <c r="J110">
        <v>95.67</v>
      </c>
      <c r="K110">
        <v>26.97</v>
      </c>
      <c r="L110">
        <v>31.79</v>
      </c>
      <c r="M110">
        <v>74.33</v>
      </c>
      <c r="N110">
        <v>94.84</v>
      </c>
      <c r="O110">
        <v>74.72</v>
      </c>
      <c r="P110">
        <v>29.7</v>
      </c>
      <c r="Q110">
        <v>52.98</v>
      </c>
      <c r="R110">
        <v>274.63</v>
      </c>
      <c r="S110">
        <v>56.86</v>
      </c>
      <c r="T110">
        <v>79.62</v>
      </c>
      <c r="U110">
        <v>36.340000000000003</v>
      </c>
      <c r="V110">
        <v>50.14</v>
      </c>
      <c r="W110">
        <v>117.37</v>
      </c>
      <c r="X110">
        <v>111.52</v>
      </c>
      <c r="Y110">
        <v>49.62</v>
      </c>
      <c r="Z110">
        <v>41.15</v>
      </c>
      <c r="AA110">
        <v>60.79</v>
      </c>
      <c r="AB110">
        <v>125.41</v>
      </c>
      <c r="AC110">
        <v>64.930000000000007</v>
      </c>
      <c r="AD110">
        <v>158.65</v>
      </c>
      <c r="AE110">
        <v>72.5</v>
      </c>
      <c r="AF110">
        <v>103.49</v>
      </c>
      <c r="AG110">
        <v>241.08</v>
      </c>
      <c r="AH110">
        <v>95.92</v>
      </c>
      <c r="AI110">
        <v>93.89</v>
      </c>
      <c r="AJ110">
        <v>107.04</v>
      </c>
      <c r="AK110">
        <v>30.89</v>
      </c>
      <c r="AL110">
        <v>18.66</v>
      </c>
      <c r="AM110">
        <v>30.87</v>
      </c>
      <c r="AN110">
        <v>23.01</v>
      </c>
      <c r="AO110">
        <v>26.07</v>
      </c>
      <c r="AP110">
        <v>25.35</v>
      </c>
      <c r="AQ110">
        <v>28.88</v>
      </c>
      <c r="AR110">
        <v>23.31</v>
      </c>
      <c r="AS110">
        <v>22.22</v>
      </c>
      <c r="AT110">
        <v>22.15</v>
      </c>
      <c r="AU110">
        <v>25.85</v>
      </c>
      <c r="AV110">
        <v>45.59</v>
      </c>
      <c r="AW110">
        <v>36.85</v>
      </c>
      <c r="AX110">
        <v>50.97</v>
      </c>
      <c r="AY110">
        <v>74.64</v>
      </c>
      <c r="AZ110">
        <v>227.52</v>
      </c>
      <c r="BA110">
        <v>161.56</v>
      </c>
      <c r="BB110">
        <v>128.68</v>
      </c>
      <c r="BC110">
        <v>54.39</v>
      </c>
      <c r="BD110">
        <v>114.99</v>
      </c>
      <c r="BE110">
        <v>287.39</v>
      </c>
      <c r="BF110">
        <v>342.81</v>
      </c>
      <c r="BG110">
        <v>46.51</v>
      </c>
      <c r="BH110">
        <v>97.67</v>
      </c>
      <c r="BI110">
        <v>190.6</v>
      </c>
      <c r="BJ110">
        <v>76.41</v>
      </c>
      <c r="BK110">
        <v>50.37</v>
      </c>
      <c r="BL110">
        <v>100</v>
      </c>
      <c r="BM110">
        <v>66.67</v>
      </c>
      <c r="BN110">
        <v>57.39</v>
      </c>
      <c r="BO110">
        <v>52.46</v>
      </c>
      <c r="BP110">
        <v>175.6</v>
      </c>
      <c r="BQ110">
        <v>180.77</v>
      </c>
      <c r="BR110">
        <v>84.1</v>
      </c>
      <c r="BS110">
        <v>44.97</v>
      </c>
      <c r="BT110">
        <v>43.98</v>
      </c>
      <c r="BU110">
        <v>154.57</v>
      </c>
    </row>
    <row r="111" spans="1:73" x14ac:dyDescent="0.25">
      <c r="A111" s="1">
        <v>46183</v>
      </c>
      <c r="B111">
        <v>98.31</v>
      </c>
      <c r="C111">
        <v>28.92</v>
      </c>
      <c r="D111">
        <v>72.91</v>
      </c>
      <c r="E111">
        <v>47.9</v>
      </c>
      <c r="F111">
        <v>21.72</v>
      </c>
      <c r="G111">
        <v>57.22</v>
      </c>
      <c r="H111">
        <v>96.15</v>
      </c>
      <c r="I111">
        <v>103.36</v>
      </c>
      <c r="J111">
        <v>95.35</v>
      </c>
      <c r="K111">
        <v>26.89</v>
      </c>
      <c r="L111">
        <v>32.28</v>
      </c>
      <c r="M111">
        <v>73.47</v>
      </c>
      <c r="N111">
        <v>91.68</v>
      </c>
      <c r="O111">
        <v>74.44</v>
      </c>
      <c r="P111">
        <v>29.7</v>
      </c>
      <c r="Q111">
        <v>53.91</v>
      </c>
      <c r="R111">
        <v>268.43</v>
      </c>
      <c r="S111">
        <v>56.89</v>
      </c>
      <c r="T111">
        <v>79.47</v>
      </c>
      <c r="U111">
        <v>36.26</v>
      </c>
      <c r="V111">
        <v>50.08</v>
      </c>
      <c r="W111">
        <v>115.55</v>
      </c>
      <c r="X111">
        <v>111.55</v>
      </c>
      <c r="Y111">
        <v>49.46</v>
      </c>
      <c r="Z111">
        <v>41.08</v>
      </c>
      <c r="AA111">
        <v>61.66</v>
      </c>
      <c r="AB111">
        <v>125.06</v>
      </c>
      <c r="AC111">
        <v>64.09</v>
      </c>
      <c r="AD111">
        <v>153.78</v>
      </c>
      <c r="AE111">
        <v>73.73</v>
      </c>
      <c r="AF111">
        <v>103.52</v>
      </c>
      <c r="AG111">
        <v>235.4</v>
      </c>
      <c r="AH111">
        <v>95.73</v>
      </c>
      <c r="AI111">
        <v>93.91</v>
      </c>
      <c r="AJ111">
        <v>106.82</v>
      </c>
      <c r="AK111">
        <v>30.77</v>
      </c>
      <c r="AL111">
        <v>18.61</v>
      </c>
      <c r="AM111">
        <v>30.78</v>
      </c>
      <c r="AN111">
        <v>22.98</v>
      </c>
      <c r="AO111">
        <v>26.02</v>
      </c>
      <c r="AP111">
        <v>25.34</v>
      </c>
      <c r="AQ111">
        <v>28.83</v>
      </c>
      <c r="AR111">
        <v>23.28</v>
      </c>
      <c r="AS111">
        <v>22.15</v>
      </c>
      <c r="AT111">
        <v>22.15</v>
      </c>
      <c r="AU111">
        <v>25.78</v>
      </c>
      <c r="AV111">
        <v>45.5</v>
      </c>
      <c r="AW111">
        <v>36.79</v>
      </c>
      <c r="AX111">
        <v>50.9</v>
      </c>
      <c r="AY111">
        <v>74.39</v>
      </c>
      <c r="AZ111">
        <v>231.33</v>
      </c>
      <c r="BA111">
        <v>164.08</v>
      </c>
      <c r="BB111">
        <v>128.19</v>
      </c>
      <c r="BC111">
        <v>54.25</v>
      </c>
      <c r="BD111">
        <v>112.34</v>
      </c>
      <c r="BE111">
        <v>284.14</v>
      </c>
      <c r="BF111">
        <v>331.24</v>
      </c>
      <c r="BG111">
        <v>46.5</v>
      </c>
      <c r="BH111">
        <v>97.68</v>
      </c>
      <c r="BI111">
        <v>190.57</v>
      </c>
      <c r="BJ111">
        <v>76.27</v>
      </c>
      <c r="BK111">
        <v>50.26</v>
      </c>
      <c r="BL111">
        <v>99.83</v>
      </c>
      <c r="BM111">
        <v>66.44</v>
      </c>
      <c r="BN111">
        <v>58.25</v>
      </c>
      <c r="BO111">
        <v>52.23</v>
      </c>
      <c r="BP111">
        <v>169.66</v>
      </c>
      <c r="BQ111">
        <v>176.63</v>
      </c>
      <c r="BR111">
        <v>85.49</v>
      </c>
      <c r="BS111">
        <v>44.99</v>
      </c>
      <c r="BT111">
        <v>44</v>
      </c>
      <c r="BU111">
        <v>152.85</v>
      </c>
    </row>
    <row r="112" spans="1:73" x14ac:dyDescent="0.25">
      <c r="A112" s="1">
        <v>46184</v>
      </c>
      <c r="B112">
        <v>98.88</v>
      </c>
      <c r="C112">
        <v>29.11</v>
      </c>
      <c r="D112">
        <v>73.33</v>
      </c>
      <c r="E112">
        <v>48.18</v>
      </c>
      <c r="F112">
        <v>21.94</v>
      </c>
      <c r="G112">
        <v>57.33</v>
      </c>
      <c r="H112">
        <v>96.8</v>
      </c>
      <c r="I112">
        <v>105.62</v>
      </c>
      <c r="J112">
        <v>96.27</v>
      </c>
      <c r="K112">
        <v>27.08</v>
      </c>
      <c r="L112">
        <v>31.68</v>
      </c>
      <c r="M112">
        <v>74.16</v>
      </c>
      <c r="N112">
        <v>94.78</v>
      </c>
      <c r="O112">
        <v>75.05</v>
      </c>
      <c r="P112">
        <v>29.65</v>
      </c>
      <c r="Q112">
        <v>53.74</v>
      </c>
      <c r="R112">
        <v>277.23</v>
      </c>
      <c r="S112">
        <v>56.89</v>
      </c>
      <c r="T112">
        <v>79.94</v>
      </c>
      <c r="U112">
        <v>36.49</v>
      </c>
      <c r="V112">
        <v>50.31</v>
      </c>
      <c r="W112">
        <v>118.15</v>
      </c>
      <c r="X112">
        <v>111.38</v>
      </c>
      <c r="Y112">
        <v>50.03</v>
      </c>
      <c r="Z112">
        <v>41.5</v>
      </c>
      <c r="AA112">
        <v>60.53</v>
      </c>
      <c r="AB112">
        <v>126.31</v>
      </c>
      <c r="AC112">
        <v>64.61</v>
      </c>
      <c r="AD112">
        <v>158.07</v>
      </c>
      <c r="AE112">
        <v>73.37</v>
      </c>
      <c r="AF112">
        <v>103.45</v>
      </c>
      <c r="AG112">
        <v>243.35</v>
      </c>
      <c r="AH112">
        <v>96.28</v>
      </c>
      <c r="AI112">
        <v>94.52</v>
      </c>
      <c r="AJ112">
        <v>107.06</v>
      </c>
      <c r="AK112">
        <v>31.02</v>
      </c>
      <c r="AL112">
        <v>18.77</v>
      </c>
      <c r="AM112">
        <v>31.14</v>
      </c>
      <c r="AN112">
        <v>23.12</v>
      </c>
      <c r="AO112">
        <v>26.15</v>
      </c>
      <c r="AP112">
        <v>25.48</v>
      </c>
      <c r="AQ112">
        <v>29.03</v>
      </c>
      <c r="AR112">
        <v>23.4</v>
      </c>
      <c r="AS112">
        <v>22.41</v>
      </c>
      <c r="AT112">
        <v>22.3</v>
      </c>
      <c r="AU112">
        <v>26.1</v>
      </c>
      <c r="AV112">
        <v>45.61</v>
      </c>
      <c r="AW112">
        <v>36.97</v>
      </c>
      <c r="AX112">
        <v>51.22</v>
      </c>
      <c r="AY112">
        <v>75.27</v>
      </c>
      <c r="AZ112">
        <v>230.74</v>
      </c>
      <c r="BA112">
        <v>161.1</v>
      </c>
      <c r="BB112">
        <v>129.24</v>
      </c>
      <c r="BC112">
        <v>54.92</v>
      </c>
      <c r="BD112">
        <v>116.07</v>
      </c>
      <c r="BE112">
        <v>286.8</v>
      </c>
      <c r="BF112">
        <v>342.49</v>
      </c>
      <c r="BG112">
        <v>46.77</v>
      </c>
      <c r="BH112">
        <v>97.61</v>
      </c>
      <c r="BI112">
        <v>190.7</v>
      </c>
      <c r="BJ112">
        <v>76.8</v>
      </c>
      <c r="BK112">
        <v>50.34</v>
      </c>
      <c r="BL112">
        <v>99.96</v>
      </c>
      <c r="BM112">
        <v>67.069999999999993</v>
      </c>
      <c r="BN112">
        <v>57.12</v>
      </c>
      <c r="BO112">
        <v>52.62</v>
      </c>
      <c r="BP112">
        <v>175.15</v>
      </c>
      <c r="BQ112">
        <v>183.21</v>
      </c>
      <c r="BR112">
        <v>85.27</v>
      </c>
      <c r="BS112">
        <v>44.92</v>
      </c>
      <c r="BT112">
        <v>44.05</v>
      </c>
      <c r="BU112">
        <v>154.09</v>
      </c>
    </row>
    <row r="113" spans="1:73" x14ac:dyDescent="0.25">
      <c r="A113" s="1">
        <v>46185</v>
      </c>
      <c r="B113">
        <v>98.76</v>
      </c>
      <c r="C113">
        <v>29.12</v>
      </c>
      <c r="D113">
        <v>73.239999999999995</v>
      </c>
      <c r="E113">
        <v>48.26</v>
      </c>
      <c r="F113">
        <v>21.94</v>
      </c>
      <c r="G113">
        <v>57.31</v>
      </c>
      <c r="H113">
        <v>96.71</v>
      </c>
      <c r="I113">
        <v>106.88</v>
      </c>
      <c r="J113">
        <v>96.36</v>
      </c>
      <c r="K113">
        <v>27.09</v>
      </c>
      <c r="L113">
        <v>31.93</v>
      </c>
      <c r="M113">
        <v>74.06</v>
      </c>
      <c r="N113">
        <v>95.14</v>
      </c>
      <c r="O113">
        <v>76.069999999999993</v>
      </c>
      <c r="P113">
        <v>29.95</v>
      </c>
      <c r="Q113">
        <v>54.11</v>
      </c>
      <c r="R113">
        <v>278.92</v>
      </c>
      <c r="S113">
        <v>57.54</v>
      </c>
      <c r="T113">
        <v>79.94</v>
      </c>
      <c r="U113">
        <v>36.49</v>
      </c>
      <c r="V113">
        <v>50.32</v>
      </c>
      <c r="W113">
        <v>119.75</v>
      </c>
      <c r="X113">
        <v>112.58</v>
      </c>
      <c r="Y113">
        <v>49.98</v>
      </c>
      <c r="Z113">
        <v>41.49</v>
      </c>
      <c r="AA113">
        <v>60.99</v>
      </c>
      <c r="AB113">
        <v>128.05000000000001</v>
      </c>
      <c r="AC113">
        <v>64.48</v>
      </c>
      <c r="AD113">
        <v>159.13999999999999</v>
      </c>
      <c r="AE113">
        <v>73.88</v>
      </c>
      <c r="AF113">
        <v>104.37</v>
      </c>
      <c r="AG113">
        <v>244.83</v>
      </c>
      <c r="AH113">
        <v>96.3</v>
      </c>
      <c r="AI113">
        <v>94.38</v>
      </c>
      <c r="AJ113">
        <v>107.05</v>
      </c>
      <c r="AK113">
        <v>31.07</v>
      </c>
      <c r="AL113">
        <v>18.82</v>
      </c>
      <c r="AM113">
        <v>31.06</v>
      </c>
      <c r="AN113">
        <v>23.09</v>
      </c>
      <c r="AO113">
        <v>26.16</v>
      </c>
      <c r="AP113">
        <v>25.46</v>
      </c>
      <c r="AQ113">
        <v>29</v>
      </c>
      <c r="AR113">
        <v>23.41</v>
      </c>
      <c r="AS113">
        <v>22.39</v>
      </c>
      <c r="AT113">
        <v>22.27</v>
      </c>
      <c r="AU113">
        <v>26.02</v>
      </c>
      <c r="AV113">
        <v>45.55</v>
      </c>
      <c r="AW113">
        <v>36.979999999999997</v>
      </c>
      <c r="AX113">
        <v>51.2</v>
      </c>
      <c r="AY113">
        <v>75.2</v>
      </c>
      <c r="AZ113">
        <v>232.25</v>
      </c>
      <c r="BA113">
        <v>162.34</v>
      </c>
      <c r="BB113">
        <v>130.97</v>
      </c>
      <c r="BC113">
        <v>54.77</v>
      </c>
      <c r="BD113">
        <v>116.74</v>
      </c>
      <c r="BE113">
        <v>286.45999999999998</v>
      </c>
      <c r="BF113">
        <v>344.22</v>
      </c>
      <c r="BG113">
        <v>46.68</v>
      </c>
      <c r="BH113">
        <v>98.51</v>
      </c>
      <c r="BI113">
        <v>192.89</v>
      </c>
      <c r="BJ113">
        <v>76.75</v>
      </c>
      <c r="BK113">
        <v>50.3</v>
      </c>
      <c r="BL113">
        <v>99.96</v>
      </c>
      <c r="BM113">
        <v>67.180000000000007</v>
      </c>
      <c r="BN113">
        <v>57.55</v>
      </c>
      <c r="BO113">
        <v>53.34</v>
      </c>
      <c r="BP113">
        <v>176.18</v>
      </c>
      <c r="BQ113">
        <v>184.8</v>
      </c>
      <c r="BR113">
        <v>85.82</v>
      </c>
      <c r="BS113">
        <v>45.36</v>
      </c>
      <c r="BT113">
        <v>44.53</v>
      </c>
      <c r="BU113">
        <v>153.81</v>
      </c>
    </row>
    <row r="114" spans="1:73" x14ac:dyDescent="0.25">
      <c r="A114" s="1">
        <v>46188</v>
      </c>
      <c r="B114">
        <v>98.85</v>
      </c>
      <c r="C114">
        <v>29.18</v>
      </c>
      <c r="D114">
        <v>73.3</v>
      </c>
      <c r="E114">
        <v>48.27</v>
      </c>
      <c r="F114">
        <v>22</v>
      </c>
      <c r="G114">
        <v>57.38</v>
      </c>
      <c r="H114">
        <v>96.76</v>
      </c>
      <c r="I114">
        <v>109.77</v>
      </c>
      <c r="J114">
        <v>96.71</v>
      </c>
      <c r="K114">
        <v>27.15</v>
      </c>
      <c r="L114">
        <v>30.85</v>
      </c>
      <c r="M114">
        <v>73.819999999999993</v>
      </c>
      <c r="N114">
        <v>96.4</v>
      </c>
      <c r="O114">
        <v>76.28</v>
      </c>
      <c r="P114">
        <v>29.73</v>
      </c>
      <c r="Q114">
        <v>53.93</v>
      </c>
      <c r="R114">
        <v>288.36</v>
      </c>
      <c r="S114">
        <v>57.88</v>
      </c>
      <c r="T114">
        <v>80.040000000000006</v>
      </c>
      <c r="U114">
        <v>36.53</v>
      </c>
      <c r="V114">
        <v>50.39</v>
      </c>
      <c r="W114">
        <v>123.18</v>
      </c>
      <c r="X114">
        <v>112.42</v>
      </c>
      <c r="Y114">
        <v>49.97</v>
      </c>
      <c r="Z114">
        <v>41.58</v>
      </c>
      <c r="AA114">
        <v>58.63</v>
      </c>
      <c r="AB114">
        <v>128</v>
      </c>
      <c r="AC114">
        <v>64.02</v>
      </c>
      <c r="AD114">
        <v>161</v>
      </c>
      <c r="AE114">
        <v>73.16</v>
      </c>
      <c r="AF114">
        <v>103.08</v>
      </c>
      <c r="AG114">
        <v>253.97</v>
      </c>
      <c r="AH114">
        <v>96.45</v>
      </c>
      <c r="AI114">
        <v>94.52</v>
      </c>
      <c r="AJ114">
        <v>107.17</v>
      </c>
      <c r="AK114">
        <v>31.3</v>
      </c>
      <c r="AL114">
        <v>18.93</v>
      </c>
      <c r="AM114">
        <v>31.07</v>
      </c>
      <c r="AN114">
        <v>23.11</v>
      </c>
      <c r="AO114">
        <v>26.21</v>
      </c>
      <c r="AP114">
        <v>25.47</v>
      </c>
      <c r="AQ114">
        <v>29.02</v>
      </c>
      <c r="AR114">
        <v>23.44</v>
      </c>
      <c r="AS114">
        <v>22.36</v>
      </c>
      <c r="AT114">
        <v>22.29</v>
      </c>
      <c r="AU114">
        <v>26.03</v>
      </c>
      <c r="AV114">
        <v>45.59</v>
      </c>
      <c r="AW114">
        <v>37.03</v>
      </c>
      <c r="AX114">
        <v>51.21</v>
      </c>
      <c r="AY114">
        <v>75.150000000000006</v>
      </c>
      <c r="AZ114">
        <v>231.48</v>
      </c>
      <c r="BA114">
        <v>156.76</v>
      </c>
      <c r="BB114">
        <v>131.38</v>
      </c>
      <c r="BC114">
        <v>54.78</v>
      </c>
      <c r="BD114">
        <v>120.73</v>
      </c>
      <c r="BE114">
        <v>285.62</v>
      </c>
      <c r="BF114">
        <v>348.83</v>
      </c>
      <c r="BG114">
        <v>46.77</v>
      </c>
      <c r="BH114">
        <v>97.82</v>
      </c>
      <c r="BI114">
        <v>194</v>
      </c>
      <c r="BJ114">
        <v>76.77</v>
      </c>
      <c r="BK114">
        <v>50.35</v>
      </c>
      <c r="BL114">
        <v>100.07</v>
      </c>
      <c r="BM114">
        <v>67.37</v>
      </c>
      <c r="BN114">
        <v>55.55</v>
      </c>
      <c r="BO114">
        <v>53.56</v>
      </c>
      <c r="BP114">
        <v>178.68</v>
      </c>
      <c r="BQ114">
        <v>191.79</v>
      </c>
      <c r="BR114">
        <v>85.48</v>
      </c>
      <c r="BS114">
        <v>44.99</v>
      </c>
      <c r="BT114">
        <v>44.74</v>
      </c>
      <c r="BU114">
        <v>152.88999999999999</v>
      </c>
    </row>
    <row r="115" spans="1:73" x14ac:dyDescent="0.25">
      <c r="A115" s="1">
        <v>46189</v>
      </c>
      <c r="B115">
        <v>98.97</v>
      </c>
      <c r="C115">
        <v>29.18</v>
      </c>
      <c r="D115">
        <v>73.41</v>
      </c>
      <c r="E115">
        <v>48.33</v>
      </c>
      <c r="F115">
        <v>22.06</v>
      </c>
      <c r="G115">
        <v>57.4</v>
      </c>
      <c r="H115">
        <v>96.87</v>
      </c>
      <c r="I115">
        <v>109.48</v>
      </c>
      <c r="J115">
        <v>96.67</v>
      </c>
      <c r="K115">
        <v>27.17</v>
      </c>
      <c r="L115">
        <v>30.7</v>
      </c>
      <c r="M115">
        <v>73.77</v>
      </c>
      <c r="N115">
        <v>96.97</v>
      </c>
      <c r="O115">
        <v>77.41</v>
      </c>
      <c r="P115">
        <v>29.77</v>
      </c>
      <c r="Q115">
        <v>54.01</v>
      </c>
      <c r="R115">
        <v>281.39</v>
      </c>
      <c r="S115">
        <v>58.25</v>
      </c>
      <c r="T115">
        <v>80.03</v>
      </c>
      <c r="U115">
        <v>36.53</v>
      </c>
      <c r="V115">
        <v>50.46</v>
      </c>
      <c r="W115">
        <v>122.76</v>
      </c>
      <c r="X115">
        <v>113.22</v>
      </c>
      <c r="Y115">
        <v>50.06</v>
      </c>
      <c r="Z115">
        <v>41.72</v>
      </c>
      <c r="AA115">
        <v>58.37</v>
      </c>
      <c r="AB115">
        <v>129.57</v>
      </c>
      <c r="AC115">
        <v>63.97</v>
      </c>
      <c r="AD115">
        <v>162.47</v>
      </c>
      <c r="AE115">
        <v>73.34</v>
      </c>
      <c r="AF115">
        <v>103.34</v>
      </c>
      <c r="AG115">
        <v>248.07</v>
      </c>
      <c r="AH115">
        <v>96.43</v>
      </c>
      <c r="AI115">
        <v>94.7</v>
      </c>
      <c r="AJ115">
        <v>107.17</v>
      </c>
      <c r="AK115">
        <v>31.19</v>
      </c>
      <c r="AL115">
        <v>18.940000000000001</v>
      </c>
      <c r="AM115">
        <v>31.24</v>
      </c>
      <c r="AN115">
        <v>23.15</v>
      </c>
      <c r="AO115">
        <v>26.2</v>
      </c>
      <c r="AP115">
        <v>25.52</v>
      </c>
      <c r="AQ115">
        <v>29.03</v>
      </c>
      <c r="AR115">
        <v>23.45</v>
      </c>
      <c r="AS115">
        <v>22.42</v>
      </c>
      <c r="AT115">
        <v>22.33</v>
      </c>
      <c r="AU115">
        <v>26.18</v>
      </c>
      <c r="AV115">
        <v>45.59</v>
      </c>
      <c r="AW115">
        <v>37.03</v>
      </c>
      <c r="AX115">
        <v>51.28</v>
      </c>
      <c r="AY115">
        <v>75.290000000000006</v>
      </c>
      <c r="AZ115">
        <v>231.64</v>
      </c>
      <c r="BA115">
        <v>155.94999999999999</v>
      </c>
      <c r="BB115">
        <v>133.24</v>
      </c>
      <c r="BC115">
        <v>55.05</v>
      </c>
      <c r="BD115">
        <v>117.81</v>
      </c>
      <c r="BE115">
        <v>285.22000000000003</v>
      </c>
      <c r="BF115">
        <v>350.84</v>
      </c>
      <c r="BG115">
        <v>46.85</v>
      </c>
      <c r="BH115">
        <v>98.06</v>
      </c>
      <c r="BI115">
        <v>195.09</v>
      </c>
      <c r="BJ115">
        <v>76.849999999999994</v>
      </c>
      <c r="BK115">
        <v>50.35</v>
      </c>
      <c r="BL115">
        <v>100.09</v>
      </c>
      <c r="BM115">
        <v>67.39</v>
      </c>
      <c r="BN115">
        <v>55.36</v>
      </c>
      <c r="BO115">
        <v>54.35</v>
      </c>
      <c r="BP115">
        <v>179.85</v>
      </c>
      <c r="BQ115">
        <v>186.44</v>
      </c>
      <c r="BR115">
        <v>85.59</v>
      </c>
      <c r="BS115">
        <v>45.1</v>
      </c>
      <c r="BT115">
        <v>45.06</v>
      </c>
      <c r="BU115">
        <v>152.94</v>
      </c>
    </row>
    <row r="116" spans="1:73" x14ac:dyDescent="0.25">
      <c r="A116" s="1">
        <v>46190</v>
      </c>
      <c r="B116">
        <v>98.61</v>
      </c>
      <c r="C116">
        <v>29.09</v>
      </c>
      <c r="D116">
        <v>73.14</v>
      </c>
      <c r="E116">
        <v>48.31</v>
      </c>
      <c r="F116">
        <v>21.87</v>
      </c>
      <c r="G116">
        <v>57.33</v>
      </c>
      <c r="H116">
        <v>96.52</v>
      </c>
      <c r="I116">
        <v>109.54</v>
      </c>
      <c r="J116">
        <v>96.28</v>
      </c>
      <c r="K116">
        <v>27.1</v>
      </c>
      <c r="L116">
        <v>30.36</v>
      </c>
      <c r="M116">
        <v>72.87</v>
      </c>
      <c r="N116">
        <v>96.81</v>
      </c>
      <c r="O116">
        <v>76.89</v>
      </c>
      <c r="P116">
        <v>29.05</v>
      </c>
      <c r="Q116">
        <v>52.9</v>
      </c>
      <c r="R116">
        <v>279.20999999999998</v>
      </c>
      <c r="S116">
        <v>57.49</v>
      </c>
      <c r="T116">
        <v>79.73</v>
      </c>
      <c r="U116">
        <v>36.42</v>
      </c>
      <c r="V116">
        <v>50.43</v>
      </c>
      <c r="W116">
        <v>122.97</v>
      </c>
      <c r="X116">
        <v>111.81</v>
      </c>
      <c r="Y116">
        <v>49.98</v>
      </c>
      <c r="Z116">
        <v>41.33</v>
      </c>
      <c r="AA116">
        <v>57.71</v>
      </c>
      <c r="AB116">
        <v>128.88999999999999</v>
      </c>
      <c r="AC116">
        <v>63.13</v>
      </c>
      <c r="AD116">
        <v>161.63</v>
      </c>
      <c r="AE116">
        <v>72.069999999999993</v>
      </c>
      <c r="AF116">
        <v>100.62</v>
      </c>
      <c r="AG116">
        <v>246.39</v>
      </c>
      <c r="AH116">
        <v>96.06</v>
      </c>
      <c r="AI116">
        <v>94.19</v>
      </c>
      <c r="AJ116">
        <v>106.98</v>
      </c>
      <c r="AK116">
        <v>31.09</v>
      </c>
      <c r="AL116">
        <v>18.84</v>
      </c>
      <c r="AM116">
        <v>31.22</v>
      </c>
      <c r="AN116">
        <v>23.06</v>
      </c>
      <c r="AO116">
        <v>26.11</v>
      </c>
      <c r="AP116">
        <v>25.42</v>
      </c>
      <c r="AQ116">
        <v>28.96</v>
      </c>
      <c r="AR116">
        <v>23.37</v>
      </c>
      <c r="AS116">
        <v>22.39</v>
      </c>
      <c r="AT116">
        <v>22.24</v>
      </c>
      <c r="AU116">
        <v>26.17</v>
      </c>
      <c r="AV116">
        <v>45.54</v>
      </c>
      <c r="AW116">
        <v>36.93</v>
      </c>
      <c r="AX116">
        <v>51.1</v>
      </c>
      <c r="AY116">
        <v>75.17</v>
      </c>
      <c r="AZ116">
        <v>227.01</v>
      </c>
      <c r="BA116">
        <v>154.28</v>
      </c>
      <c r="BB116">
        <v>132.4</v>
      </c>
      <c r="BC116">
        <v>55.04</v>
      </c>
      <c r="BD116">
        <v>116.93</v>
      </c>
      <c r="BE116">
        <v>281.99</v>
      </c>
      <c r="BF116">
        <v>349.71</v>
      </c>
      <c r="BG116">
        <v>46.61</v>
      </c>
      <c r="BH116">
        <v>95.61</v>
      </c>
      <c r="BI116">
        <v>192.6</v>
      </c>
      <c r="BJ116">
        <v>76.61</v>
      </c>
      <c r="BK116">
        <v>50.29</v>
      </c>
      <c r="BL116">
        <v>100</v>
      </c>
      <c r="BM116">
        <v>67.12</v>
      </c>
      <c r="BN116">
        <v>54.67</v>
      </c>
      <c r="BO116">
        <v>54.05</v>
      </c>
      <c r="BP116">
        <v>179.6</v>
      </c>
      <c r="BQ116">
        <v>185.8</v>
      </c>
      <c r="BR116">
        <v>83.68</v>
      </c>
      <c r="BS116">
        <v>43.97</v>
      </c>
      <c r="BT116">
        <v>44.46</v>
      </c>
      <c r="BU116">
        <v>150.71</v>
      </c>
    </row>
    <row r="117" spans="1:73" x14ac:dyDescent="0.25">
      <c r="A117" s="1">
        <v>46191</v>
      </c>
      <c r="B117">
        <v>98.9</v>
      </c>
      <c r="C117">
        <v>29.18</v>
      </c>
      <c r="D117">
        <v>73.34</v>
      </c>
      <c r="E117">
        <v>48.35</v>
      </c>
      <c r="F117">
        <v>21.82</v>
      </c>
      <c r="G117">
        <v>57.5</v>
      </c>
      <c r="H117">
        <v>96.77</v>
      </c>
      <c r="I117">
        <v>110.58</v>
      </c>
      <c r="J117">
        <v>96.73</v>
      </c>
      <c r="K117">
        <v>27.19</v>
      </c>
      <c r="L117">
        <v>29.66</v>
      </c>
      <c r="M117">
        <v>72.22</v>
      </c>
      <c r="N117">
        <v>97.56</v>
      </c>
      <c r="O117">
        <v>76.03</v>
      </c>
      <c r="P117">
        <v>28.77</v>
      </c>
      <c r="Q117">
        <v>52.41</v>
      </c>
      <c r="R117">
        <v>286.54000000000002</v>
      </c>
      <c r="S117">
        <v>57.5</v>
      </c>
      <c r="T117">
        <v>80.010000000000005</v>
      </c>
      <c r="U117">
        <v>36.5</v>
      </c>
      <c r="V117">
        <v>50.53</v>
      </c>
      <c r="W117">
        <v>124.25</v>
      </c>
      <c r="X117">
        <v>112.49</v>
      </c>
      <c r="Y117">
        <v>50.14</v>
      </c>
      <c r="Z117">
        <v>41.2</v>
      </c>
      <c r="AA117">
        <v>56.77</v>
      </c>
      <c r="AB117">
        <v>127.61</v>
      </c>
      <c r="AC117">
        <v>62.68</v>
      </c>
      <c r="AD117">
        <v>162.25</v>
      </c>
      <c r="AE117">
        <v>71.569999999999993</v>
      </c>
      <c r="AF117">
        <v>100.45</v>
      </c>
      <c r="AG117">
        <v>253.57</v>
      </c>
      <c r="AH117">
        <v>96.39</v>
      </c>
      <c r="AI117">
        <v>94.48</v>
      </c>
      <c r="AJ117">
        <v>107.33</v>
      </c>
      <c r="AK117">
        <v>31.23</v>
      </c>
      <c r="AL117">
        <v>18.89</v>
      </c>
      <c r="AM117">
        <v>31.38</v>
      </c>
      <c r="AN117">
        <v>23.12</v>
      </c>
      <c r="AO117">
        <v>26.18</v>
      </c>
      <c r="AP117">
        <v>25.5</v>
      </c>
      <c r="AQ117">
        <v>29.03</v>
      </c>
      <c r="AR117">
        <v>23.44</v>
      </c>
      <c r="AS117">
        <v>22.45</v>
      </c>
      <c r="AT117">
        <v>22.29</v>
      </c>
      <c r="AU117">
        <v>26.3</v>
      </c>
      <c r="AV117">
        <v>45.67</v>
      </c>
      <c r="AW117">
        <v>37.01</v>
      </c>
      <c r="AX117">
        <v>51.23</v>
      </c>
      <c r="AY117">
        <v>75.400000000000006</v>
      </c>
      <c r="AZ117">
        <v>226.11</v>
      </c>
      <c r="BA117">
        <v>151.82</v>
      </c>
      <c r="BB117">
        <v>131.44</v>
      </c>
      <c r="BC117">
        <v>55.31</v>
      </c>
      <c r="BD117">
        <v>120.04</v>
      </c>
      <c r="BE117">
        <v>280.41000000000003</v>
      </c>
      <c r="BF117">
        <v>353.56</v>
      </c>
      <c r="BG117">
        <v>46.74</v>
      </c>
      <c r="BH117">
        <v>95.56</v>
      </c>
      <c r="BI117">
        <v>193.95</v>
      </c>
      <c r="BJ117">
        <v>76.8</v>
      </c>
      <c r="BK117">
        <v>50.45</v>
      </c>
      <c r="BL117">
        <v>100.24</v>
      </c>
      <c r="BM117">
        <v>67.44</v>
      </c>
      <c r="BN117">
        <v>53.77</v>
      </c>
      <c r="BO117">
        <v>53.57</v>
      </c>
      <c r="BP117">
        <v>180.91</v>
      </c>
      <c r="BQ117">
        <v>191.44</v>
      </c>
      <c r="BR117">
        <v>83.3</v>
      </c>
      <c r="BS117">
        <v>43.86</v>
      </c>
      <c r="BT117">
        <v>44.76</v>
      </c>
      <c r="BU117">
        <v>149.4</v>
      </c>
    </row>
    <row r="118" spans="1:73" x14ac:dyDescent="0.25">
      <c r="A118" s="1">
        <v>46195</v>
      </c>
      <c r="B118">
        <v>98.63</v>
      </c>
      <c r="C118">
        <v>29.17</v>
      </c>
      <c r="D118">
        <v>73.14</v>
      </c>
      <c r="E118">
        <v>48.27</v>
      </c>
      <c r="F118">
        <v>21.72</v>
      </c>
      <c r="G118">
        <v>57.49</v>
      </c>
      <c r="H118">
        <v>96.55</v>
      </c>
      <c r="I118">
        <v>110.42</v>
      </c>
      <c r="J118">
        <v>96.4</v>
      </c>
      <c r="K118">
        <v>27.16</v>
      </c>
      <c r="L118">
        <v>30.03</v>
      </c>
      <c r="M118">
        <v>72.87</v>
      </c>
      <c r="N118">
        <v>98.2</v>
      </c>
      <c r="O118">
        <v>76.39</v>
      </c>
      <c r="P118">
        <v>29.04</v>
      </c>
      <c r="Q118">
        <v>52.05</v>
      </c>
      <c r="R118">
        <v>287.68</v>
      </c>
      <c r="S118">
        <v>57.75</v>
      </c>
      <c r="T118">
        <v>79.94</v>
      </c>
      <c r="U118">
        <v>36.49</v>
      </c>
      <c r="V118">
        <v>50.45</v>
      </c>
      <c r="W118">
        <v>124.27</v>
      </c>
      <c r="X118">
        <v>112.97</v>
      </c>
      <c r="Y118">
        <v>49.93</v>
      </c>
      <c r="Z118">
        <v>41.02</v>
      </c>
      <c r="AA118">
        <v>57.53</v>
      </c>
      <c r="AB118">
        <v>128.56</v>
      </c>
      <c r="AC118">
        <v>63.18</v>
      </c>
      <c r="AD118">
        <v>162.72999999999999</v>
      </c>
      <c r="AE118">
        <v>71.08</v>
      </c>
      <c r="AF118">
        <v>101.61</v>
      </c>
      <c r="AG118">
        <v>253.28</v>
      </c>
      <c r="AH118">
        <v>96.3</v>
      </c>
      <c r="AI118">
        <v>94.25</v>
      </c>
      <c r="AJ118">
        <v>107.32</v>
      </c>
      <c r="AK118">
        <v>30.84</v>
      </c>
      <c r="AL118">
        <v>18.739999999999998</v>
      </c>
      <c r="AM118">
        <v>31.17</v>
      </c>
      <c r="AN118">
        <v>23.06</v>
      </c>
      <c r="AO118">
        <v>26.17</v>
      </c>
      <c r="AP118">
        <v>25.43</v>
      </c>
      <c r="AQ118">
        <v>28.96</v>
      </c>
      <c r="AR118">
        <v>23.42</v>
      </c>
      <c r="AS118">
        <v>22.36</v>
      </c>
      <c r="AT118">
        <v>22.23</v>
      </c>
      <c r="AU118">
        <v>26.12</v>
      </c>
      <c r="AV118">
        <v>45.67</v>
      </c>
      <c r="AW118">
        <v>36.99</v>
      </c>
      <c r="AX118">
        <v>51.13</v>
      </c>
      <c r="AY118">
        <v>75.099999999999994</v>
      </c>
      <c r="AZ118">
        <v>224.5</v>
      </c>
      <c r="BA118">
        <v>153.75</v>
      </c>
      <c r="BB118">
        <v>132.15</v>
      </c>
      <c r="BC118">
        <v>54.94</v>
      </c>
      <c r="BD118">
        <v>120.51</v>
      </c>
      <c r="BE118">
        <v>283.02</v>
      </c>
      <c r="BF118">
        <v>355.88</v>
      </c>
      <c r="BG118">
        <v>46.66</v>
      </c>
      <c r="BH118">
        <v>96.59</v>
      </c>
      <c r="BI118">
        <v>194.82</v>
      </c>
      <c r="BJ118">
        <v>76.61</v>
      </c>
      <c r="BK118">
        <v>50.44</v>
      </c>
      <c r="BL118">
        <v>100.28</v>
      </c>
      <c r="BM118">
        <v>67.19</v>
      </c>
      <c r="BN118">
        <v>54.06</v>
      </c>
      <c r="BO118">
        <v>53.7</v>
      </c>
      <c r="BP118">
        <v>181.8</v>
      </c>
      <c r="BQ118">
        <v>192.15</v>
      </c>
      <c r="BR118">
        <v>82.18</v>
      </c>
      <c r="BS118">
        <v>44.02</v>
      </c>
      <c r="BT118">
        <v>44.72</v>
      </c>
      <c r="BU118">
        <v>150.06</v>
      </c>
    </row>
    <row r="119" spans="1:73" x14ac:dyDescent="0.25">
      <c r="A119" s="1">
        <v>46196</v>
      </c>
      <c r="B119">
        <v>98.71</v>
      </c>
      <c r="C119">
        <v>29.15</v>
      </c>
      <c r="D119">
        <v>73.22</v>
      </c>
      <c r="E119">
        <v>48.38</v>
      </c>
      <c r="F119">
        <v>21.67</v>
      </c>
      <c r="G119">
        <v>57.45</v>
      </c>
      <c r="H119">
        <v>96.68</v>
      </c>
      <c r="I119">
        <v>108.24</v>
      </c>
      <c r="J119">
        <v>96.26</v>
      </c>
      <c r="K119">
        <v>27.16</v>
      </c>
      <c r="L119">
        <v>30.22</v>
      </c>
      <c r="M119">
        <v>73.849999999999994</v>
      </c>
      <c r="N119">
        <v>96.13</v>
      </c>
      <c r="O119">
        <v>76.739999999999995</v>
      </c>
      <c r="P119">
        <v>29.44</v>
      </c>
      <c r="Q119">
        <v>52.95</v>
      </c>
      <c r="R119">
        <v>277.02999999999997</v>
      </c>
      <c r="S119">
        <v>58.2</v>
      </c>
      <c r="T119">
        <v>79.87</v>
      </c>
      <c r="U119">
        <v>36.450000000000003</v>
      </c>
      <c r="V119">
        <v>50.46</v>
      </c>
      <c r="W119">
        <v>121.85</v>
      </c>
      <c r="X119">
        <v>113.94</v>
      </c>
      <c r="Y119">
        <v>50.05</v>
      </c>
      <c r="Z119">
        <v>40.909999999999997</v>
      </c>
      <c r="AA119">
        <v>57.86</v>
      </c>
      <c r="AB119">
        <v>129.09</v>
      </c>
      <c r="AC119">
        <v>64.03</v>
      </c>
      <c r="AD119">
        <v>160.13</v>
      </c>
      <c r="AE119">
        <v>72.42</v>
      </c>
      <c r="AF119">
        <v>102.99</v>
      </c>
      <c r="AG119">
        <v>243.37</v>
      </c>
      <c r="AH119">
        <v>96.25</v>
      </c>
      <c r="AI119">
        <v>94.34</v>
      </c>
      <c r="AJ119">
        <v>107.26</v>
      </c>
      <c r="AK119">
        <v>30.78</v>
      </c>
      <c r="AL119">
        <v>18.739999999999998</v>
      </c>
      <c r="AM119">
        <v>31.23</v>
      </c>
      <c r="AN119">
        <v>23.08</v>
      </c>
      <c r="AO119">
        <v>26.15</v>
      </c>
      <c r="AP119">
        <v>25.45</v>
      </c>
      <c r="AQ119">
        <v>28.99</v>
      </c>
      <c r="AR119">
        <v>23.41</v>
      </c>
      <c r="AS119">
        <v>22.41</v>
      </c>
      <c r="AT119">
        <v>22.26</v>
      </c>
      <c r="AU119">
        <v>26.14</v>
      </c>
      <c r="AV119">
        <v>45.61</v>
      </c>
      <c r="AW119">
        <v>36.96</v>
      </c>
      <c r="AX119">
        <v>51.19</v>
      </c>
      <c r="AY119">
        <v>75.27</v>
      </c>
      <c r="AZ119">
        <v>228.7</v>
      </c>
      <c r="BA119">
        <v>154.68</v>
      </c>
      <c r="BB119">
        <v>132.68</v>
      </c>
      <c r="BC119">
        <v>55.02</v>
      </c>
      <c r="BD119">
        <v>116.07</v>
      </c>
      <c r="BE119">
        <v>286.69</v>
      </c>
      <c r="BF119">
        <v>348.28</v>
      </c>
      <c r="BG119">
        <v>46.7</v>
      </c>
      <c r="BH119">
        <v>97.86</v>
      </c>
      <c r="BI119">
        <v>196.29</v>
      </c>
      <c r="BJ119">
        <v>76.72</v>
      </c>
      <c r="BK119">
        <v>50.43</v>
      </c>
      <c r="BL119">
        <v>100.24</v>
      </c>
      <c r="BM119">
        <v>67.08</v>
      </c>
      <c r="BN119">
        <v>54.46</v>
      </c>
      <c r="BO119">
        <v>53.88</v>
      </c>
      <c r="BP119">
        <v>178.15</v>
      </c>
      <c r="BQ119">
        <v>184.19</v>
      </c>
      <c r="BR119">
        <v>83.72</v>
      </c>
      <c r="BS119">
        <v>44.64</v>
      </c>
      <c r="BT119">
        <v>45.07</v>
      </c>
      <c r="BU119">
        <v>152.18</v>
      </c>
    </row>
    <row r="120" spans="1:73" x14ac:dyDescent="0.25">
      <c r="A120" s="1">
        <v>46197</v>
      </c>
      <c r="B120">
        <v>99.19</v>
      </c>
      <c r="C120">
        <v>29.19</v>
      </c>
      <c r="D120">
        <v>73.55</v>
      </c>
      <c r="E120">
        <v>48.5</v>
      </c>
      <c r="F120">
        <v>21.66</v>
      </c>
      <c r="G120">
        <v>57.51</v>
      </c>
      <c r="H120">
        <v>97.07</v>
      </c>
      <c r="I120">
        <v>107.13</v>
      </c>
      <c r="J120">
        <v>96.57</v>
      </c>
      <c r="K120">
        <v>27.18</v>
      </c>
      <c r="L120">
        <v>29.68</v>
      </c>
      <c r="M120">
        <v>74.58</v>
      </c>
      <c r="N120">
        <v>97.06</v>
      </c>
      <c r="O120">
        <v>76.58</v>
      </c>
      <c r="P120">
        <v>29.47</v>
      </c>
      <c r="Q120">
        <v>53.41</v>
      </c>
      <c r="R120">
        <v>275.02</v>
      </c>
      <c r="S120">
        <v>58.73</v>
      </c>
      <c r="T120">
        <v>79.849999999999994</v>
      </c>
      <c r="U120">
        <v>36.46</v>
      </c>
      <c r="V120">
        <v>50.58</v>
      </c>
      <c r="W120">
        <v>120.56</v>
      </c>
      <c r="X120">
        <v>115.25</v>
      </c>
      <c r="Y120">
        <v>50.39</v>
      </c>
      <c r="Z120">
        <v>40.97</v>
      </c>
      <c r="AA120">
        <v>56.91</v>
      </c>
      <c r="AB120">
        <v>128.19</v>
      </c>
      <c r="AC120">
        <v>64.64</v>
      </c>
      <c r="AD120">
        <v>161.97999999999999</v>
      </c>
      <c r="AE120">
        <v>72.900000000000006</v>
      </c>
      <c r="AF120">
        <v>102.85</v>
      </c>
      <c r="AG120">
        <v>242.19</v>
      </c>
      <c r="AH120">
        <v>96.19</v>
      </c>
      <c r="AI120">
        <v>94.75</v>
      </c>
      <c r="AJ120">
        <v>107.46</v>
      </c>
      <c r="AK120">
        <v>30.68</v>
      </c>
      <c r="AL120">
        <v>18.68</v>
      </c>
      <c r="AM120">
        <v>31.6</v>
      </c>
      <c r="AN120">
        <v>23.19</v>
      </c>
      <c r="AO120">
        <v>26.14</v>
      </c>
      <c r="AP120">
        <v>25.57</v>
      </c>
      <c r="AQ120">
        <v>29.11</v>
      </c>
      <c r="AR120">
        <v>23.4</v>
      </c>
      <c r="AS120">
        <v>22.57</v>
      </c>
      <c r="AT120">
        <v>22.36</v>
      </c>
      <c r="AU120">
        <v>26.47</v>
      </c>
      <c r="AV120">
        <v>45.71</v>
      </c>
      <c r="AW120">
        <v>36.96</v>
      </c>
      <c r="AX120">
        <v>51.37</v>
      </c>
      <c r="AY120">
        <v>75.8</v>
      </c>
      <c r="AZ120">
        <v>229.24</v>
      </c>
      <c r="BA120">
        <v>150.88</v>
      </c>
      <c r="BB120">
        <v>131.49</v>
      </c>
      <c r="BC120">
        <v>55.71</v>
      </c>
      <c r="BD120">
        <v>115.13</v>
      </c>
      <c r="BE120">
        <v>288.73</v>
      </c>
      <c r="BF120">
        <v>351.35</v>
      </c>
      <c r="BG120">
        <v>46.92</v>
      </c>
      <c r="BH120">
        <v>97.01</v>
      </c>
      <c r="BI120">
        <v>196.86</v>
      </c>
      <c r="BJ120">
        <v>77.02</v>
      </c>
      <c r="BK120">
        <v>50.49</v>
      </c>
      <c r="BL120">
        <v>100.34</v>
      </c>
      <c r="BM120">
        <v>67.290000000000006</v>
      </c>
      <c r="BN120">
        <v>53.57</v>
      </c>
      <c r="BO120">
        <v>53.72</v>
      </c>
      <c r="BP120">
        <v>180.21</v>
      </c>
      <c r="BQ120">
        <v>183.05</v>
      </c>
      <c r="BR120">
        <v>84.44</v>
      </c>
      <c r="BS120">
        <v>44.51</v>
      </c>
      <c r="BT120">
        <v>45.54</v>
      </c>
      <c r="BU120">
        <v>153.35</v>
      </c>
    </row>
    <row r="121" spans="1:73" x14ac:dyDescent="0.25">
      <c r="A121" s="1">
        <v>46198</v>
      </c>
      <c r="B121">
        <v>99.25</v>
      </c>
      <c r="C121">
        <v>29.24</v>
      </c>
      <c r="D121">
        <v>73.599999999999994</v>
      </c>
      <c r="E121">
        <v>48.49</v>
      </c>
      <c r="F121">
        <v>21.68</v>
      </c>
      <c r="G121">
        <v>57.55</v>
      </c>
      <c r="H121">
        <v>97.19</v>
      </c>
      <c r="I121">
        <v>107.52</v>
      </c>
      <c r="J121">
        <v>96.56</v>
      </c>
      <c r="K121">
        <v>27.22</v>
      </c>
      <c r="L121">
        <v>30.02</v>
      </c>
      <c r="M121">
        <v>75.69</v>
      </c>
      <c r="N121">
        <v>99</v>
      </c>
      <c r="O121">
        <v>76.25</v>
      </c>
      <c r="P121">
        <v>29.53</v>
      </c>
      <c r="Q121">
        <v>52.97</v>
      </c>
      <c r="R121">
        <v>275.85000000000002</v>
      </c>
      <c r="S121">
        <v>59.1</v>
      </c>
      <c r="T121">
        <v>79.88</v>
      </c>
      <c r="U121">
        <v>36.47</v>
      </c>
      <c r="V121">
        <v>50.6</v>
      </c>
      <c r="W121">
        <v>121.04</v>
      </c>
      <c r="X121">
        <v>115.94</v>
      </c>
      <c r="Y121">
        <v>50.4</v>
      </c>
      <c r="Z121">
        <v>41</v>
      </c>
      <c r="AA121">
        <v>57.5</v>
      </c>
      <c r="AB121">
        <v>127.62</v>
      </c>
      <c r="AC121">
        <v>65.66</v>
      </c>
      <c r="AD121">
        <v>164.66</v>
      </c>
      <c r="AE121">
        <v>72.900000000000006</v>
      </c>
      <c r="AF121">
        <v>103.1</v>
      </c>
      <c r="AG121">
        <v>243.99</v>
      </c>
      <c r="AH121">
        <v>96.28</v>
      </c>
      <c r="AI121">
        <v>94.92</v>
      </c>
      <c r="AJ121">
        <v>107.58</v>
      </c>
      <c r="AK121">
        <v>30.44</v>
      </c>
      <c r="AL121">
        <v>18.649999999999999</v>
      </c>
      <c r="AM121">
        <v>31.58</v>
      </c>
      <c r="AN121">
        <v>23.21</v>
      </c>
      <c r="AO121">
        <v>26.16</v>
      </c>
      <c r="AP121">
        <v>25.58</v>
      </c>
      <c r="AQ121">
        <v>29.14</v>
      </c>
      <c r="AR121">
        <v>23.42</v>
      </c>
      <c r="AS121">
        <v>22.58</v>
      </c>
      <c r="AT121">
        <v>22.38</v>
      </c>
      <c r="AU121">
        <v>26.46</v>
      </c>
      <c r="AV121">
        <v>45.73</v>
      </c>
      <c r="AW121">
        <v>36.99</v>
      </c>
      <c r="AX121">
        <v>51.41</v>
      </c>
      <c r="AY121">
        <v>75.8</v>
      </c>
      <c r="AZ121">
        <v>227.23</v>
      </c>
      <c r="BA121">
        <v>152.54</v>
      </c>
      <c r="BB121">
        <v>131.01</v>
      </c>
      <c r="BC121">
        <v>55.68</v>
      </c>
      <c r="BD121">
        <v>115.47</v>
      </c>
      <c r="BE121">
        <v>293.02999999999997</v>
      </c>
      <c r="BF121">
        <v>358.22</v>
      </c>
      <c r="BG121">
        <v>46.96</v>
      </c>
      <c r="BH121">
        <v>97.19</v>
      </c>
      <c r="BI121">
        <v>198.16</v>
      </c>
      <c r="BJ121">
        <v>77.09</v>
      </c>
      <c r="BK121">
        <v>50.53</v>
      </c>
      <c r="BL121">
        <v>100.43</v>
      </c>
      <c r="BM121">
        <v>67.290000000000006</v>
      </c>
      <c r="BN121">
        <v>54.09</v>
      </c>
      <c r="BO121">
        <v>53.45</v>
      </c>
      <c r="BP121">
        <v>184.12</v>
      </c>
      <c r="BQ121">
        <v>184.57</v>
      </c>
      <c r="BR121">
        <v>83.94</v>
      </c>
      <c r="BS121">
        <v>44.59</v>
      </c>
      <c r="BT121">
        <v>45.85</v>
      </c>
      <c r="BU121">
        <v>155.63</v>
      </c>
    </row>
    <row r="122" spans="1:73" x14ac:dyDescent="0.25">
      <c r="A122" s="1">
        <v>46199</v>
      </c>
      <c r="B122">
        <v>99.34</v>
      </c>
      <c r="C122">
        <v>29.22</v>
      </c>
      <c r="D122">
        <v>73.67</v>
      </c>
      <c r="E122">
        <v>48.51</v>
      </c>
      <c r="F122">
        <v>21.73</v>
      </c>
      <c r="G122">
        <v>57.6</v>
      </c>
      <c r="H122">
        <v>97.26</v>
      </c>
      <c r="I122">
        <v>105.5</v>
      </c>
      <c r="J122">
        <v>96.54</v>
      </c>
      <c r="K122">
        <v>27.19</v>
      </c>
      <c r="L122">
        <v>29.91</v>
      </c>
      <c r="M122">
        <v>77.87</v>
      </c>
      <c r="N122">
        <v>97.19</v>
      </c>
      <c r="O122">
        <v>76.5</v>
      </c>
      <c r="P122">
        <v>29.97</v>
      </c>
      <c r="Q122">
        <v>53.49</v>
      </c>
      <c r="R122">
        <v>272.48</v>
      </c>
      <c r="S122">
        <v>59.51</v>
      </c>
      <c r="T122">
        <v>79.83</v>
      </c>
      <c r="U122">
        <v>36.44</v>
      </c>
      <c r="V122">
        <v>50.6</v>
      </c>
      <c r="W122">
        <v>118.81</v>
      </c>
      <c r="X122">
        <v>116.82</v>
      </c>
      <c r="Y122">
        <v>50.35</v>
      </c>
      <c r="Z122">
        <v>41.04</v>
      </c>
      <c r="AA122">
        <v>57.22</v>
      </c>
      <c r="AB122">
        <v>127.85</v>
      </c>
      <c r="AC122">
        <v>67.64</v>
      </c>
      <c r="AD122">
        <v>163.15</v>
      </c>
      <c r="AE122">
        <v>73.650000000000006</v>
      </c>
      <c r="AF122">
        <v>104.64</v>
      </c>
      <c r="AG122">
        <v>239.66</v>
      </c>
      <c r="AH122">
        <v>96.22</v>
      </c>
      <c r="AI122">
        <v>94.93</v>
      </c>
      <c r="AJ122">
        <v>107.6</v>
      </c>
      <c r="AK122">
        <v>30.36</v>
      </c>
      <c r="AL122">
        <v>18.64</v>
      </c>
      <c r="AM122">
        <v>31.61</v>
      </c>
      <c r="AN122">
        <v>23.23</v>
      </c>
      <c r="AO122">
        <v>26.15</v>
      </c>
      <c r="AP122">
        <v>25.61</v>
      </c>
      <c r="AQ122">
        <v>29.15</v>
      </c>
      <c r="AR122">
        <v>23.41</v>
      </c>
      <c r="AS122">
        <v>22.54</v>
      </c>
      <c r="AT122">
        <v>22.41</v>
      </c>
      <c r="AU122">
        <v>26.49</v>
      </c>
      <c r="AV122">
        <v>45.76</v>
      </c>
      <c r="AW122">
        <v>36.950000000000003</v>
      </c>
      <c r="AX122">
        <v>51.43</v>
      </c>
      <c r="AY122">
        <v>75.69</v>
      </c>
      <c r="AZ122">
        <v>229.65</v>
      </c>
      <c r="BA122">
        <v>152.07</v>
      </c>
      <c r="BB122">
        <v>131.46</v>
      </c>
      <c r="BC122">
        <v>55.72</v>
      </c>
      <c r="BD122">
        <v>113.86</v>
      </c>
      <c r="BE122">
        <v>301.43</v>
      </c>
      <c r="BF122">
        <v>352.47</v>
      </c>
      <c r="BG122">
        <v>46.98</v>
      </c>
      <c r="BH122">
        <v>98.67</v>
      </c>
      <c r="BI122">
        <v>199.66</v>
      </c>
      <c r="BJ122">
        <v>77.099999999999994</v>
      </c>
      <c r="BK122">
        <v>50.56</v>
      </c>
      <c r="BL122">
        <v>100.5</v>
      </c>
      <c r="BM122">
        <v>67.239999999999995</v>
      </c>
      <c r="BN122">
        <v>53.84</v>
      </c>
      <c r="BO122">
        <v>53.57</v>
      </c>
      <c r="BP122">
        <v>181.2</v>
      </c>
      <c r="BQ122">
        <v>181.11</v>
      </c>
      <c r="BR122">
        <v>84.71</v>
      </c>
      <c r="BS122">
        <v>45.24</v>
      </c>
      <c r="BT122">
        <v>46.2</v>
      </c>
      <c r="BU122">
        <v>160.34</v>
      </c>
    </row>
    <row r="123" spans="1:73" x14ac:dyDescent="0.25">
      <c r="A123" s="1">
        <v>46202</v>
      </c>
      <c r="B123">
        <v>99.37</v>
      </c>
      <c r="C123">
        <v>29.25</v>
      </c>
      <c r="D123">
        <v>73.709999999999994</v>
      </c>
      <c r="E123">
        <v>48.52</v>
      </c>
      <c r="F123">
        <v>21.75</v>
      </c>
      <c r="G123">
        <v>57.65</v>
      </c>
      <c r="H123">
        <v>97.4</v>
      </c>
      <c r="I123">
        <v>107.14</v>
      </c>
      <c r="J123">
        <v>96.82</v>
      </c>
      <c r="K123">
        <v>27.23</v>
      </c>
      <c r="L123">
        <v>29.76</v>
      </c>
      <c r="M123">
        <v>78.12</v>
      </c>
      <c r="N123">
        <v>98.2</v>
      </c>
      <c r="O123">
        <v>76.67</v>
      </c>
      <c r="P123">
        <v>29.83</v>
      </c>
      <c r="Q123">
        <v>53.29</v>
      </c>
      <c r="R123">
        <v>278.33999999999997</v>
      </c>
      <c r="S123">
        <v>59.27</v>
      </c>
      <c r="T123">
        <v>80.010000000000005</v>
      </c>
      <c r="U123">
        <v>36.520000000000003</v>
      </c>
      <c r="V123">
        <v>50.61</v>
      </c>
      <c r="W123">
        <v>120.81</v>
      </c>
      <c r="X123">
        <v>116.25</v>
      </c>
      <c r="Y123">
        <v>50.48</v>
      </c>
      <c r="Z123">
        <v>41.16</v>
      </c>
      <c r="AA123">
        <v>56.97</v>
      </c>
      <c r="AB123">
        <v>127.72</v>
      </c>
      <c r="AC123">
        <v>67.930000000000007</v>
      </c>
      <c r="AD123">
        <v>164.26</v>
      </c>
      <c r="AE123">
        <v>73.52</v>
      </c>
      <c r="AF123">
        <v>104.09</v>
      </c>
      <c r="AG123">
        <v>246.21</v>
      </c>
      <c r="AH123">
        <v>96.4</v>
      </c>
      <c r="AI123">
        <v>94.97</v>
      </c>
      <c r="AJ123">
        <v>107.71</v>
      </c>
      <c r="AK123">
        <v>30.61</v>
      </c>
      <c r="AL123">
        <v>18.68</v>
      </c>
      <c r="AM123">
        <v>31.64</v>
      </c>
      <c r="AN123">
        <v>23.23</v>
      </c>
      <c r="AO123">
        <v>26.19</v>
      </c>
      <c r="AP123">
        <v>25.63</v>
      </c>
      <c r="AQ123">
        <v>29.19</v>
      </c>
      <c r="AR123">
        <v>23.45</v>
      </c>
      <c r="AS123">
        <v>22.61</v>
      </c>
      <c r="AT123">
        <v>22.41</v>
      </c>
      <c r="AU123">
        <v>26.52</v>
      </c>
      <c r="AV123">
        <v>45.81</v>
      </c>
      <c r="AW123">
        <v>37.03</v>
      </c>
      <c r="AX123">
        <v>51.52</v>
      </c>
      <c r="AY123">
        <v>75.94</v>
      </c>
      <c r="AZ123">
        <v>228.79</v>
      </c>
      <c r="BA123">
        <v>151.28</v>
      </c>
      <c r="BB123">
        <v>131.75</v>
      </c>
      <c r="BC123">
        <v>55.78</v>
      </c>
      <c r="BD123">
        <v>116.5</v>
      </c>
      <c r="BE123">
        <v>302.43</v>
      </c>
      <c r="BF123">
        <v>355.46</v>
      </c>
      <c r="BG123">
        <v>47.01</v>
      </c>
      <c r="BH123">
        <v>98.15</v>
      </c>
      <c r="BI123">
        <v>198.78</v>
      </c>
      <c r="BJ123">
        <v>77.2</v>
      </c>
      <c r="BK123">
        <v>50.64</v>
      </c>
      <c r="BL123">
        <v>100.61</v>
      </c>
      <c r="BM123">
        <v>67.48</v>
      </c>
      <c r="BN123">
        <v>53.58</v>
      </c>
      <c r="BO123">
        <v>53.72</v>
      </c>
      <c r="BP123">
        <v>182.76</v>
      </c>
      <c r="BQ123">
        <v>185.41</v>
      </c>
      <c r="BR123">
        <v>84.37</v>
      </c>
      <c r="BS123">
        <v>44.92</v>
      </c>
      <c r="BT123">
        <v>46.02</v>
      </c>
      <c r="BU123">
        <v>160.74</v>
      </c>
    </row>
    <row r="124" spans="1:73" x14ac:dyDescent="0.25">
      <c r="A124" s="1">
        <v>46203</v>
      </c>
      <c r="B124">
        <v>98.98</v>
      </c>
      <c r="C124">
        <v>29.24</v>
      </c>
      <c r="D124">
        <v>73.41</v>
      </c>
      <c r="E124">
        <v>48.43</v>
      </c>
      <c r="F124">
        <v>21.68</v>
      </c>
      <c r="G124">
        <v>57.64</v>
      </c>
      <c r="H124">
        <v>96.9</v>
      </c>
      <c r="I124">
        <v>107.82</v>
      </c>
      <c r="J124">
        <v>96.44</v>
      </c>
      <c r="K124">
        <v>27.24</v>
      </c>
      <c r="L124">
        <v>29.56</v>
      </c>
      <c r="M124">
        <v>77.25</v>
      </c>
      <c r="N124">
        <v>99.61</v>
      </c>
      <c r="O124">
        <v>76.56</v>
      </c>
      <c r="P124">
        <v>29.3</v>
      </c>
      <c r="Q124">
        <v>52.54</v>
      </c>
      <c r="R124">
        <v>285.58</v>
      </c>
      <c r="S124">
        <v>58.42</v>
      </c>
      <c r="T124">
        <v>79.97</v>
      </c>
      <c r="U124">
        <v>36.520000000000003</v>
      </c>
      <c r="V124">
        <v>50.6</v>
      </c>
      <c r="W124">
        <v>121.74</v>
      </c>
      <c r="X124">
        <v>114.61</v>
      </c>
      <c r="Y124">
        <v>50.04</v>
      </c>
      <c r="Z124">
        <v>41.03</v>
      </c>
      <c r="AA124">
        <v>56.59</v>
      </c>
      <c r="AB124">
        <v>127.51</v>
      </c>
      <c r="AC124">
        <v>67.010000000000005</v>
      </c>
      <c r="AD124">
        <v>166.65</v>
      </c>
      <c r="AE124">
        <v>72.66</v>
      </c>
      <c r="AF124">
        <v>102.25</v>
      </c>
      <c r="AG124">
        <v>252.23</v>
      </c>
      <c r="AH124">
        <v>96.37</v>
      </c>
      <c r="AI124">
        <v>94.52</v>
      </c>
      <c r="AJ124">
        <v>107.62</v>
      </c>
      <c r="AK124">
        <v>30.49</v>
      </c>
      <c r="AL124">
        <v>18.690000000000001</v>
      </c>
      <c r="AM124">
        <v>31.3</v>
      </c>
      <c r="AN124">
        <v>23.13</v>
      </c>
      <c r="AO124">
        <v>26.18</v>
      </c>
      <c r="AP124">
        <v>25.52</v>
      </c>
      <c r="AQ124">
        <v>29.04</v>
      </c>
      <c r="AR124">
        <v>23.44</v>
      </c>
      <c r="AS124">
        <v>22.4</v>
      </c>
      <c r="AT124">
        <v>22.31</v>
      </c>
      <c r="AU124">
        <v>26.23</v>
      </c>
      <c r="AV124">
        <v>45.8</v>
      </c>
      <c r="AW124">
        <v>37.020000000000003</v>
      </c>
      <c r="AX124">
        <v>51.29</v>
      </c>
      <c r="AY124">
        <v>75.25</v>
      </c>
      <c r="AZ124">
        <v>225.49</v>
      </c>
      <c r="BA124">
        <v>150.13</v>
      </c>
      <c r="BB124">
        <v>131.6</v>
      </c>
      <c r="BC124">
        <v>55.18</v>
      </c>
      <c r="BD124">
        <v>119.52</v>
      </c>
      <c r="BE124">
        <v>299.01</v>
      </c>
      <c r="BF124">
        <v>360.38</v>
      </c>
      <c r="BG124">
        <v>46.81</v>
      </c>
      <c r="BH124">
        <v>96.43</v>
      </c>
      <c r="BI124">
        <v>195.73</v>
      </c>
      <c r="BJ124">
        <v>76.8</v>
      </c>
      <c r="BK124">
        <v>50.58</v>
      </c>
      <c r="BL124">
        <v>100.6</v>
      </c>
      <c r="BM124">
        <v>67.239999999999995</v>
      </c>
      <c r="BN124">
        <v>53.11</v>
      </c>
      <c r="BO124">
        <v>53.61</v>
      </c>
      <c r="BP124">
        <v>185.23</v>
      </c>
      <c r="BQ124">
        <v>190.52</v>
      </c>
      <c r="BR124">
        <v>83.07</v>
      </c>
      <c r="BS124">
        <v>44.03</v>
      </c>
      <c r="BT124">
        <v>45.34</v>
      </c>
      <c r="BU124">
        <v>158.66</v>
      </c>
    </row>
    <row r="125" spans="1:73" x14ac:dyDescent="0.25">
      <c r="A125" s="1">
        <v>46204</v>
      </c>
      <c r="B125">
        <v>98.5</v>
      </c>
      <c r="C125">
        <v>29.11</v>
      </c>
      <c r="D125">
        <v>73.06</v>
      </c>
      <c r="E125">
        <v>48.27</v>
      </c>
      <c r="F125">
        <v>21.59</v>
      </c>
      <c r="G125">
        <v>57.51</v>
      </c>
      <c r="H125">
        <v>96.33</v>
      </c>
      <c r="I125">
        <v>105.85</v>
      </c>
      <c r="J125">
        <v>96.02</v>
      </c>
      <c r="K125">
        <v>27.12</v>
      </c>
      <c r="L125">
        <v>29.38</v>
      </c>
      <c r="M125">
        <v>77.7</v>
      </c>
      <c r="N125">
        <v>98.26</v>
      </c>
      <c r="O125">
        <v>78.239999999999995</v>
      </c>
      <c r="P125">
        <v>29.44</v>
      </c>
      <c r="Q125">
        <v>52.58</v>
      </c>
      <c r="R125">
        <v>279.98</v>
      </c>
      <c r="S125">
        <v>57.73</v>
      </c>
      <c r="T125">
        <v>79.59</v>
      </c>
      <c r="U125">
        <v>36.33</v>
      </c>
      <c r="V125">
        <v>50.16</v>
      </c>
      <c r="W125">
        <v>119.43</v>
      </c>
      <c r="X125">
        <v>113.31</v>
      </c>
      <c r="Y125">
        <v>49.68</v>
      </c>
      <c r="Z125">
        <v>40.9</v>
      </c>
      <c r="AA125">
        <v>56.29</v>
      </c>
      <c r="AB125">
        <v>130.22999999999999</v>
      </c>
      <c r="AC125">
        <v>67.44</v>
      </c>
      <c r="AD125">
        <v>165.69</v>
      </c>
      <c r="AE125">
        <v>73.290000000000006</v>
      </c>
      <c r="AF125">
        <v>102.71</v>
      </c>
      <c r="AG125">
        <v>248.75</v>
      </c>
      <c r="AH125">
        <v>95.88</v>
      </c>
      <c r="AI125">
        <v>94.02</v>
      </c>
      <c r="AJ125">
        <v>107.34</v>
      </c>
      <c r="AK125">
        <v>30.47</v>
      </c>
      <c r="AL125">
        <v>18.61</v>
      </c>
      <c r="AM125">
        <v>31.02</v>
      </c>
      <c r="AN125">
        <v>23.04</v>
      </c>
      <c r="AO125">
        <v>26.05</v>
      </c>
      <c r="AP125">
        <v>25.39</v>
      </c>
      <c r="AQ125">
        <v>28.87</v>
      </c>
      <c r="AR125">
        <v>23.31</v>
      </c>
      <c r="AS125">
        <v>22.22</v>
      </c>
      <c r="AT125">
        <v>22.18</v>
      </c>
      <c r="AU125">
        <v>25.99</v>
      </c>
      <c r="AV125">
        <v>45.64</v>
      </c>
      <c r="AW125">
        <v>36.840000000000003</v>
      </c>
      <c r="AX125">
        <v>51.01</v>
      </c>
      <c r="AY125">
        <v>74.650000000000006</v>
      </c>
      <c r="AZ125">
        <v>225.95</v>
      </c>
      <c r="BA125">
        <v>149.33000000000001</v>
      </c>
      <c r="BB125">
        <v>134.35</v>
      </c>
      <c r="BC125">
        <v>54.66</v>
      </c>
      <c r="BD125">
        <v>117.22</v>
      </c>
      <c r="BE125">
        <v>300.83999999999997</v>
      </c>
      <c r="BF125">
        <v>355.98</v>
      </c>
      <c r="BG125">
        <v>46.57</v>
      </c>
      <c r="BH125">
        <v>96.82</v>
      </c>
      <c r="BI125">
        <v>193.38</v>
      </c>
      <c r="BJ125">
        <v>76.42</v>
      </c>
      <c r="BK125">
        <v>50.47</v>
      </c>
      <c r="BL125">
        <v>100.3</v>
      </c>
      <c r="BM125">
        <v>66.87</v>
      </c>
      <c r="BN125">
        <v>52.81</v>
      </c>
      <c r="BO125">
        <v>54.78</v>
      </c>
      <c r="BP125">
        <v>183.36</v>
      </c>
      <c r="BQ125">
        <v>185.62</v>
      </c>
      <c r="BR125">
        <v>83.3</v>
      </c>
      <c r="BS125">
        <v>44.18</v>
      </c>
      <c r="BT125">
        <v>44.77</v>
      </c>
      <c r="BU125">
        <v>159.54</v>
      </c>
    </row>
    <row r="126" spans="1:73" x14ac:dyDescent="0.25">
      <c r="A126" s="1">
        <v>46205</v>
      </c>
      <c r="B126">
        <v>98.61</v>
      </c>
      <c r="C126">
        <v>29.16</v>
      </c>
      <c r="D126">
        <v>73.11</v>
      </c>
      <c r="E126">
        <v>48.24</v>
      </c>
      <c r="F126">
        <v>21.68</v>
      </c>
      <c r="G126">
        <v>57.58</v>
      </c>
      <c r="H126">
        <v>96.52</v>
      </c>
      <c r="I126">
        <v>104.38</v>
      </c>
      <c r="J126">
        <v>96.2</v>
      </c>
      <c r="K126">
        <v>27.17</v>
      </c>
      <c r="L126">
        <v>29.62</v>
      </c>
      <c r="M126">
        <v>79.67</v>
      </c>
      <c r="N126">
        <v>98.25</v>
      </c>
      <c r="O126">
        <v>79.239999999999995</v>
      </c>
      <c r="P126">
        <v>29.79</v>
      </c>
      <c r="Q126">
        <v>53.7</v>
      </c>
      <c r="R126">
        <v>273.89</v>
      </c>
      <c r="S126">
        <v>58.98</v>
      </c>
      <c r="T126">
        <v>79.709999999999994</v>
      </c>
      <c r="U126">
        <v>36.39</v>
      </c>
      <c r="V126">
        <v>50.13</v>
      </c>
      <c r="W126">
        <v>117.43</v>
      </c>
      <c r="X126">
        <v>115.75</v>
      </c>
      <c r="Y126">
        <v>49.76</v>
      </c>
      <c r="Z126">
        <v>41.04</v>
      </c>
      <c r="AA126">
        <v>56.75</v>
      </c>
      <c r="AB126">
        <v>131.88999999999999</v>
      </c>
      <c r="AC126">
        <v>69.209999999999994</v>
      </c>
      <c r="AD126">
        <v>166.54</v>
      </c>
      <c r="AE126">
        <v>74.81</v>
      </c>
      <c r="AF126">
        <v>104.01</v>
      </c>
      <c r="AG126">
        <v>243.48</v>
      </c>
      <c r="AH126">
        <v>95.99</v>
      </c>
      <c r="AI126">
        <v>94.13</v>
      </c>
      <c r="AJ126">
        <v>107.5</v>
      </c>
      <c r="AK126">
        <v>30.48</v>
      </c>
      <c r="AL126">
        <v>18.579999999999998</v>
      </c>
      <c r="AM126">
        <v>31.03</v>
      </c>
      <c r="AN126">
        <v>23.05</v>
      </c>
      <c r="AO126">
        <v>26.08</v>
      </c>
      <c r="AP126">
        <v>25.4</v>
      </c>
      <c r="AQ126">
        <v>28.92</v>
      </c>
      <c r="AR126">
        <v>23.34</v>
      </c>
      <c r="AS126">
        <v>22.26</v>
      </c>
      <c r="AT126">
        <v>22.2</v>
      </c>
      <c r="AU126">
        <v>25.99</v>
      </c>
      <c r="AV126">
        <v>45.73</v>
      </c>
      <c r="AW126">
        <v>36.89</v>
      </c>
      <c r="AX126">
        <v>51.09</v>
      </c>
      <c r="AY126">
        <v>74.81</v>
      </c>
      <c r="AZ126">
        <v>230.45</v>
      </c>
      <c r="BA126">
        <v>150.44</v>
      </c>
      <c r="BB126">
        <v>136.18</v>
      </c>
      <c r="BC126">
        <v>54.69</v>
      </c>
      <c r="BD126">
        <v>114.64</v>
      </c>
      <c r="BE126">
        <v>308.41000000000003</v>
      </c>
      <c r="BF126">
        <v>355.13</v>
      </c>
      <c r="BG126">
        <v>46.61</v>
      </c>
      <c r="BH126">
        <v>98.02</v>
      </c>
      <c r="BI126">
        <v>197.54</v>
      </c>
      <c r="BJ126">
        <v>76.53</v>
      </c>
      <c r="BK126">
        <v>50.53</v>
      </c>
      <c r="BL126">
        <v>100.39</v>
      </c>
      <c r="BM126">
        <v>67</v>
      </c>
      <c r="BN126">
        <v>53.22</v>
      </c>
      <c r="BO126">
        <v>55.62</v>
      </c>
      <c r="BP126">
        <v>183.91</v>
      </c>
      <c r="BQ126">
        <v>180.59</v>
      </c>
      <c r="BR126">
        <v>84.99</v>
      </c>
      <c r="BS126">
        <v>44.68</v>
      </c>
      <c r="BT126">
        <v>45.76</v>
      </c>
      <c r="BU126">
        <v>163.74</v>
      </c>
    </row>
    <row r="127" spans="1:73" x14ac:dyDescent="0.25">
      <c r="A127" s="1">
        <v>46209</v>
      </c>
      <c r="B127">
        <v>98.66</v>
      </c>
      <c r="C127">
        <v>29.18</v>
      </c>
      <c r="D127">
        <v>73.14</v>
      </c>
      <c r="E127">
        <v>48.22</v>
      </c>
      <c r="F127">
        <v>21.67</v>
      </c>
      <c r="G127">
        <v>57.58</v>
      </c>
      <c r="H127">
        <v>96.52</v>
      </c>
      <c r="I127">
        <v>105.33</v>
      </c>
      <c r="J127">
        <v>96.35</v>
      </c>
      <c r="K127">
        <v>27.21</v>
      </c>
      <c r="L127">
        <v>29.54</v>
      </c>
      <c r="M127">
        <v>79.03</v>
      </c>
      <c r="N127">
        <v>99.03</v>
      </c>
      <c r="O127">
        <v>80</v>
      </c>
      <c r="P127">
        <v>29.59</v>
      </c>
      <c r="Q127">
        <v>53.18</v>
      </c>
      <c r="R127">
        <v>278.01</v>
      </c>
      <c r="S127">
        <v>58.35</v>
      </c>
      <c r="T127">
        <v>79.87</v>
      </c>
      <c r="U127">
        <v>36.44</v>
      </c>
      <c r="V127">
        <v>50.11</v>
      </c>
      <c r="W127">
        <v>118.19</v>
      </c>
      <c r="X127">
        <v>114.75</v>
      </c>
      <c r="Y127">
        <v>49.73</v>
      </c>
      <c r="Z127">
        <v>40.97</v>
      </c>
      <c r="AA127">
        <v>56.67</v>
      </c>
      <c r="AB127">
        <v>133.62</v>
      </c>
      <c r="AC127">
        <v>68.569999999999993</v>
      </c>
      <c r="AD127">
        <v>167.51</v>
      </c>
      <c r="AE127">
        <v>74.14</v>
      </c>
      <c r="AF127">
        <v>103.23</v>
      </c>
      <c r="AG127">
        <v>247.39</v>
      </c>
      <c r="AH127">
        <v>96.15</v>
      </c>
      <c r="AI127">
        <v>94.28</v>
      </c>
      <c r="AJ127">
        <v>107.57</v>
      </c>
      <c r="AK127">
        <v>30.74</v>
      </c>
      <c r="AL127">
        <v>18.79</v>
      </c>
      <c r="AM127">
        <v>31.01</v>
      </c>
      <c r="AN127">
        <v>23.06</v>
      </c>
      <c r="AO127">
        <v>26.13</v>
      </c>
      <c r="AP127">
        <v>25.43</v>
      </c>
      <c r="AQ127">
        <v>28.94</v>
      </c>
      <c r="AR127">
        <v>23.37</v>
      </c>
      <c r="AS127">
        <v>22.25</v>
      </c>
      <c r="AT127">
        <v>22.23</v>
      </c>
      <c r="AU127">
        <v>25.98</v>
      </c>
      <c r="AV127">
        <v>45.72</v>
      </c>
      <c r="AW127">
        <v>36.96</v>
      </c>
      <c r="AX127">
        <v>51.09</v>
      </c>
      <c r="AY127">
        <v>74.75</v>
      </c>
      <c r="AZ127">
        <v>228.2</v>
      </c>
      <c r="BA127">
        <v>150.15</v>
      </c>
      <c r="BB127">
        <v>137.47999999999999</v>
      </c>
      <c r="BC127">
        <v>54.63</v>
      </c>
      <c r="BD127">
        <v>116.37</v>
      </c>
      <c r="BE127">
        <v>305.8</v>
      </c>
      <c r="BF127">
        <v>358.74</v>
      </c>
      <c r="BG127">
        <v>46.62</v>
      </c>
      <c r="BH127">
        <v>97.24</v>
      </c>
      <c r="BI127">
        <v>195.62</v>
      </c>
      <c r="BJ127">
        <v>76.56</v>
      </c>
      <c r="BK127">
        <v>50.54</v>
      </c>
      <c r="BL127">
        <v>100.43</v>
      </c>
      <c r="BM127">
        <v>67.05</v>
      </c>
      <c r="BN127">
        <v>53.13</v>
      </c>
      <c r="BO127">
        <v>56.14</v>
      </c>
      <c r="BP127">
        <v>185.56</v>
      </c>
      <c r="BQ127">
        <v>183.57</v>
      </c>
      <c r="BR127">
        <v>84.1</v>
      </c>
      <c r="BS127">
        <v>44.29</v>
      </c>
      <c r="BT127">
        <v>45.3</v>
      </c>
      <c r="BU127">
        <v>161.96</v>
      </c>
    </row>
    <row r="128" spans="1:73" x14ac:dyDescent="0.25">
      <c r="A128" s="1">
        <v>46210</v>
      </c>
      <c r="B128">
        <v>98.21</v>
      </c>
      <c r="C128">
        <v>29.14</v>
      </c>
      <c r="D128">
        <v>72.849999999999994</v>
      </c>
      <c r="E128">
        <v>48.02</v>
      </c>
      <c r="F128">
        <v>21.55</v>
      </c>
      <c r="G128">
        <v>57.48</v>
      </c>
      <c r="H128">
        <v>96.03</v>
      </c>
      <c r="I128">
        <v>103.85</v>
      </c>
      <c r="J128">
        <v>95.94</v>
      </c>
      <c r="K128">
        <v>27.15</v>
      </c>
      <c r="L128">
        <v>30.37</v>
      </c>
      <c r="M128">
        <v>80.150000000000006</v>
      </c>
      <c r="N128">
        <v>97.09</v>
      </c>
      <c r="O128">
        <v>79.88</v>
      </c>
      <c r="P128">
        <v>29.93</v>
      </c>
      <c r="Q128">
        <v>53.59</v>
      </c>
      <c r="R128">
        <v>272.33999999999997</v>
      </c>
      <c r="S128">
        <v>58.87</v>
      </c>
      <c r="T128">
        <v>79.760000000000005</v>
      </c>
      <c r="U128">
        <v>36.409999999999997</v>
      </c>
      <c r="V128">
        <v>49.94</v>
      </c>
      <c r="W128">
        <v>116.3</v>
      </c>
      <c r="X128">
        <v>115.97</v>
      </c>
      <c r="Y128">
        <v>49.19</v>
      </c>
      <c r="Z128">
        <v>40.75</v>
      </c>
      <c r="AA128">
        <v>58.21</v>
      </c>
      <c r="AB128">
        <v>133.6</v>
      </c>
      <c r="AC128">
        <v>69.569999999999993</v>
      </c>
      <c r="AD128">
        <v>164.39</v>
      </c>
      <c r="AE128">
        <v>75.06</v>
      </c>
      <c r="AF128">
        <v>104.51</v>
      </c>
      <c r="AG128">
        <v>243.28</v>
      </c>
      <c r="AH128">
        <v>96.05</v>
      </c>
      <c r="AI128">
        <v>93.84</v>
      </c>
      <c r="AJ128">
        <v>107.24</v>
      </c>
      <c r="AK128">
        <v>30.51</v>
      </c>
      <c r="AL128">
        <v>18.649999999999999</v>
      </c>
      <c r="AM128">
        <v>30.7</v>
      </c>
      <c r="AN128">
        <v>22.95</v>
      </c>
      <c r="AO128">
        <v>26.1</v>
      </c>
      <c r="AP128">
        <v>25.32</v>
      </c>
      <c r="AQ128">
        <v>28.76</v>
      </c>
      <c r="AR128">
        <v>23.35</v>
      </c>
      <c r="AS128">
        <v>22</v>
      </c>
      <c r="AT128">
        <v>22.13</v>
      </c>
      <c r="AU128">
        <v>25.72</v>
      </c>
      <c r="AV128">
        <v>45.6</v>
      </c>
      <c r="AW128">
        <v>36.93</v>
      </c>
      <c r="AX128">
        <v>50.82</v>
      </c>
      <c r="AY128">
        <v>73.87</v>
      </c>
      <c r="AZ128">
        <v>230.1</v>
      </c>
      <c r="BA128">
        <v>154.33000000000001</v>
      </c>
      <c r="BB128">
        <v>137.15</v>
      </c>
      <c r="BC128">
        <v>54.1</v>
      </c>
      <c r="BD128">
        <v>114.06</v>
      </c>
      <c r="BE128">
        <v>310.29000000000002</v>
      </c>
      <c r="BF128">
        <v>351.5</v>
      </c>
      <c r="BG128">
        <v>46.46</v>
      </c>
      <c r="BH128">
        <v>98.4</v>
      </c>
      <c r="BI128">
        <v>197.25</v>
      </c>
      <c r="BJ128">
        <v>76.11</v>
      </c>
      <c r="BK128">
        <v>50.42</v>
      </c>
      <c r="BL128">
        <v>100.23</v>
      </c>
      <c r="BM128">
        <v>66.680000000000007</v>
      </c>
      <c r="BN128">
        <v>54.64</v>
      </c>
      <c r="BO128">
        <v>56.05</v>
      </c>
      <c r="BP128">
        <v>182.38</v>
      </c>
      <c r="BQ128">
        <v>179.18</v>
      </c>
      <c r="BR128">
        <v>84.86</v>
      </c>
      <c r="BS128">
        <v>44.89</v>
      </c>
      <c r="BT128">
        <v>45.7</v>
      </c>
      <c r="BU128">
        <v>164.44</v>
      </c>
    </row>
    <row r="129" spans="1:73" x14ac:dyDescent="0.25">
      <c r="A129" s="1">
        <v>46211</v>
      </c>
      <c r="B129">
        <v>98.04</v>
      </c>
      <c r="C129">
        <v>29.05</v>
      </c>
      <c r="D129">
        <v>72.7</v>
      </c>
      <c r="E129">
        <v>47.83</v>
      </c>
      <c r="F129">
        <v>21.5</v>
      </c>
      <c r="G129">
        <v>57.33</v>
      </c>
      <c r="H129">
        <v>95.87</v>
      </c>
      <c r="I129">
        <v>104.65</v>
      </c>
      <c r="J129">
        <v>95.79</v>
      </c>
      <c r="K129">
        <v>27.1</v>
      </c>
      <c r="L129">
        <v>30.88</v>
      </c>
      <c r="M129">
        <v>79.17</v>
      </c>
      <c r="N129">
        <v>96.07</v>
      </c>
      <c r="O129">
        <v>78.37</v>
      </c>
      <c r="P129">
        <v>29.41</v>
      </c>
      <c r="Q129">
        <v>53.3</v>
      </c>
      <c r="R129">
        <v>275.81</v>
      </c>
      <c r="S129">
        <v>58.43</v>
      </c>
      <c r="T129">
        <v>79.66</v>
      </c>
      <c r="U129">
        <v>36.35</v>
      </c>
      <c r="V129">
        <v>49.81</v>
      </c>
      <c r="W129">
        <v>117.08</v>
      </c>
      <c r="X129">
        <v>115.08</v>
      </c>
      <c r="Y129">
        <v>49.09</v>
      </c>
      <c r="Z129">
        <v>40.659999999999997</v>
      </c>
      <c r="AA129">
        <v>59.12</v>
      </c>
      <c r="AB129">
        <v>131.22999999999999</v>
      </c>
      <c r="AC129">
        <v>68.56</v>
      </c>
      <c r="AD129">
        <v>161.72</v>
      </c>
      <c r="AE129">
        <v>74.319999999999993</v>
      </c>
      <c r="AF129">
        <v>102.79</v>
      </c>
      <c r="AG129">
        <v>245.1</v>
      </c>
      <c r="AH129">
        <v>95.9</v>
      </c>
      <c r="AI129">
        <v>93.69</v>
      </c>
      <c r="AJ129">
        <v>106.91</v>
      </c>
      <c r="AK129">
        <v>30.45</v>
      </c>
      <c r="AL129">
        <v>18.559999999999999</v>
      </c>
      <c r="AM129">
        <v>30.63</v>
      </c>
      <c r="AN129">
        <v>22.93</v>
      </c>
      <c r="AO129">
        <v>26.06</v>
      </c>
      <c r="AP129">
        <v>25.27</v>
      </c>
      <c r="AQ129">
        <v>28.72</v>
      </c>
      <c r="AR129">
        <v>23.32</v>
      </c>
      <c r="AS129">
        <v>21.95</v>
      </c>
      <c r="AT129">
        <v>22.11</v>
      </c>
      <c r="AU129">
        <v>25.66</v>
      </c>
      <c r="AV129">
        <v>45.55</v>
      </c>
      <c r="AW129">
        <v>36.86</v>
      </c>
      <c r="AX129">
        <v>50.73</v>
      </c>
      <c r="AY129">
        <v>73.709999999999994</v>
      </c>
      <c r="AZ129">
        <v>228.81</v>
      </c>
      <c r="BA129">
        <v>156.94</v>
      </c>
      <c r="BB129">
        <v>134.5</v>
      </c>
      <c r="BC129">
        <v>53.96</v>
      </c>
      <c r="BD129">
        <v>115.47</v>
      </c>
      <c r="BE129">
        <v>306.41000000000003</v>
      </c>
      <c r="BF129">
        <v>347.54</v>
      </c>
      <c r="BG129">
        <v>46.37</v>
      </c>
      <c r="BH129">
        <v>96.8</v>
      </c>
      <c r="BI129">
        <v>195.85</v>
      </c>
      <c r="BJ129">
        <v>76</v>
      </c>
      <c r="BK129">
        <v>50.26</v>
      </c>
      <c r="BL129">
        <v>100.01</v>
      </c>
      <c r="BM129">
        <v>66.62</v>
      </c>
      <c r="BN129">
        <v>55.6</v>
      </c>
      <c r="BO129">
        <v>54.97</v>
      </c>
      <c r="BP129">
        <v>180.42</v>
      </c>
      <c r="BQ129">
        <v>181.4</v>
      </c>
      <c r="BR129">
        <v>84.39</v>
      </c>
      <c r="BS129">
        <v>44.15</v>
      </c>
      <c r="BT129">
        <v>45.36</v>
      </c>
      <c r="BU129">
        <v>162.30000000000001</v>
      </c>
    </row>
    <row r="130" spans="1:73" x14ac:dyDescent="0.25">
      <c r="A130" s="1">
        <v>46212</v>
      </c>
      <c r="B130">
        <v>98.18</v>
      </c>
      <c r="C130">
        <v>29.09</v>
      </c>
      <c r="D130">
        <v>72.83</v>
      </c>
      <c r="E130">
        <v>48.02</v>
      </c>
      <c r="F130">
        <v>21.52</v>
      </c>
      <c r="G130">
        <v>57.36</v>
      </c>
      <c r="H130">
        <v>95.97</v>
      </c>
      <c r="I130">
        <v>105.62</v>
      </c>
      <c r="J130">
        <v>95.96</v>
      </c>
      <c r="K130">
        <v>27.12</v>
      </c>
      <c r="L130">
        <v>30.45</v>
      </c>
      <c r="M130">
        <v>79.209999999999994</v>
      </c>
      <c r="N130">
        <v>96.49</v>
      </c>
      <c r="O130">
        <v>79.17</v>
      </c>
      <c r="P130">
        <v>29.49</v>
      </c>
      <c r="Q130">
        <v>52.57</v>
      </c>
      <c r="R130">
        <v>281.24</v>
      </c>
      <c r="S130">
        <v>58.18</v>
      </c>
      <c r="T130">
        <v>79.75</v>
      </c>
      <c r="U130">
        <v>36.39</v>
      </c>
      <c r="V130">
        <v>49.9</v>
      </c>
      <c r="W130">
        <v>118.56</v>
      </c>
      <c r="X130">
        <v>114.53</v>
      </c>
      <c r="Y130">
        <v>49.1</v>
      </c>
      <c r="Z130">
        <v>40.75</v>
      </c>
      <c r="AA130">
        <v>58.32</v>
      </c>
      <c r="AB130">
        <v>132.5</v>
      </c>
      <c r="AC130">
        <v>68.62</v>
      </c>
      <c r="AD130">
        <v>162.83000000000001</v>
      </c>
      <c r="AE130">
        <v>73.150000000000006</v>
      </c>
      <c r="AF130">
        <v>103</v>
      </c>
      <c r="AG130">
        <v>249.28</v>
      </c>
      <c r="AH130">
        <v>96</v>
      </c>
      <c r="AI130">
        <v>93.82</v>
      </c>
      <c r="AJ130">
        <v>106.94</v>
      </c>
      <c r="AK130">
        <v>30.56</v>
      </c>
      <c r="AL130">
        <v>18.68</v>
      </c>
      <c r="AM130">
        <v>30.67</v>
      </c>
      <c r="AN130">
        <v>22.95</v>
      </c>
      <c r="AO130">
        <v>26.1</v>
      </c>
      <c r="AP130">
        <v>25.31</v>
      </c>
      <c r="AQ130">
        <v>28.75</v>
      </c>
      <c r="AR130">
        <v>23.34</v>
      </c>
      <c r="AS130">
        <v>21.96</v>
      </c>
      <c r="AT130">
        <v>22.13</v>
      </c>
      <c r="AU130">
        <v>25.71</v>
      </c>
      <c r="AV130">
        <v>45.55</v>
      </c>
      <c r="AW130">
        <v>36.9</v>
      </c>
      <c r="AX130">
        <v>50.78</v>
      </c>
      <c r="AY130">
        <v>73.75</v>
      </c>
      <c r="AZ130">
        <v>225.6</v>
      </c>
      <c r="BA130">
        <v>154.81</v>
      </c>
      <c r="BB130">
        <v>135.99</v>
      </c>
      <c r="BC130">
        <v>54.05</v>
      </c>
      <c r="BD130">
        <v>117.71</v>
      </c>
      <c r="BE130">
        <v>306.54000000000002</v>
      </c>
      <c r="BF130">
        <v>349.25</v>
      </c>
      <c r="BG130">
        <v>46.47</v>
      </c>
      <c r="BH130">
        <v>97.09</v>
      </c>
      <c r="BI130">
        <v>194.97</v>
      </c>
      <c r="BJ130">
        <v>76.05</v>
      </c>
      <c r="BK130">
        <v>50.29</v>
      </c>
      <c r="BL130">
        <v>100.05</v>
      </c>
      <c r="BM130">
        <v>66.7</v>
      </c>
      <c r="BN130">
        <v>54.82</v>
      </c>
      <c r="BO130">
        <v>55.54</v>
      </c>
      <c r="BP130">
        <v>181.11</v>
      </c>
      <c r="BQ130">
        <v>185.35</v>
      </c>
      <c r="BR130">
        <v>83.2</v>
      </c>
      <c r="BS130">
        <v>44.23</v>
      </c>
      <c r="BT130">
        <v>45.13</v>
      </c>
      <c r="BU130">
        <v>162.16999999999999</v>
      </c>
    </row>
    <row r="131" spans="1:73" x14ac:dyDescent="0.25">
      <c r="A131" s="1">
        <v>46213</v>
      </c>
      <c r="B131">
        <v>98.08</v>
      </c>
      <c r="C131">
        <v>29.03</v>
      </c>
      <c r="D131">
        <v>72.77</v>
      </c>
      <c r="E131">
        <v>48.08</v>
      </c>
      <c r="F131">
        <v>21.59</v>
      </c>
      <c r="G131">
        <v>57.35</v>
      </c>
      <c r="H131">
        <v>95.79</v>
      </c>
      <c r="I131">
        <v>105.24</v>
      </c>
      <c r="J131">
        <v>95.99</v>
      </c>
      <c r="K131">
        <v>27.09</v>
      </c>
      <c r="L131">
        <v>30.6</v>
      </c>
      <c r="M131">
        <v>78.41</v>
      </c>
      <c r="N131">
        <v>96.83</v>
      </c>
      <c r="O131">
        <v>79.430000000000007</v>
      </c>
      <c r="P131">
        <v>29.55</v>
      </c>
      <c r="Q131">
        <v>53.1</v>
      </c>
      <c r="R131">
        <v>282.07</v>
      </c>
      <c r="S131">
        <v>58.53</v>
      </c>
      <c r="T131">
        <v>79.709999999999994</v>
      </c>
      <c r="U131">
        <v>36.35</v>
      </c>
      <c r="V131">
        <v>49.99</v>
      </c>
      <c r="W131">
        <v>117.92</v>
      </c>
      <c r="X131">
        <v>115.19</v>
      </c>
      <c r="Y131">
        <v>48.96</v>
      </c>
      <c r="Z131">
        <v>40.840000000000003</v>
      </c>
      <c r="AA131">
        <v>58.6</v>
      </c>
      <c r="AB131">
        <v>132.94999999999999</v>
      </c>
      <c r="AC131">
        <v>67.89</v>
      </c>
      <c r="AD131">
        <v>163.68</v>
      </c>
      <c r="AE131">
        <v>73.78</v>
      </c>
      <c r="AF131">
        <v>103.32</v>
      </c>
      <c r="AG131">
        <v>250.08</v>
      </c>
      <c r="AH131">
        <v>95.93</v>
      </c>
      <c r="AI131">
        <v>93.72</v>
      </c>
      <c r="AJ131">
        <v>107.01</v>
      </c>
      <c r="AK131">
        <v>30.54</v>
      </c>
      <c r="AL131">
        <v>18.649999999999999</v>
      </c>
      <c r="AM131">
        <v>30.67</v>
      </c>
      <c r="AN131">
        <v>22.93</v>
      </c>
      <c r="AO131">
        <v>26.07</v>
      </c>
      <c r="AP131">
        <v>25.28</v>
      </c>
      <c r="AQ131">
        <v>28.7</v>
      </c>
      <c r="AR131">
        <v>23.33</v>
      </c>
      <c r="AS131">
        <v>21.89</v>
      </c>
      <c r="AT131">
        <v>22.12</v>
      </c>
      <c r="AU131">
        <v>25.69</v>
      </c>
      <c r="AV131">
        <v>45.54</v>
      </c>
      <c r="AW131">
        <v>36.869999999999997</v>
      </c>
      <c r="AX131">
        <v>50.7</v>
      </c>
      <c r="AY131">
        <v>73.52</v>
      </c>
      <c r="AZ131">
        <v>228.14</v>
      </c>
      <c r="BA131">
        <v>155.5</v>
      </c>
      <c r="BB131">
        <v>136.44999999999999</v>
      </c>
      <c r="BC131">
        <v>54.05</v>
      </c>
      <c r="BD131">
        <v>118.08</v>
      </c>
      <c r="BE131">
        <v>303.45999999999998</v>
      </c>
      <c r="BF131">
        <v>350.38</v>
      </c>
      <c r="BG131">
        <v>46.44</v>
      </c>
      <c r="BH131">
        <v>97.32</v>
      </c>
      <c r="BI131">
        <v>196.17</v>
      </c>
      <c r="BJ131">
        <v>75.91</v>
      </c>
      <c r="BK131">
        <v>50.34</v>
      </c>
      <c r="BL131">
        <v>100.09</v>
      </c>
      <c r="BM131">
        <v>66.8</v>
      </c>
      <c r="BN131">
        <v>55.08</v>
      </c>
      <c r="BO131">
        <v>55.71</v>
      </c>
      <c r="BP131">
        <v>181.92</v>
      </c>
      <c r="BQ131">
        <v>185.78</v>
      </c>
      <c r="BR131">
        <v>84.12</v>
      </c>
      <c r="BS131">
        <v>44.45</v>
      </c>
      <c r="BT131">
        <v>45.41</v>
      </c>
      <c r="BU131">
        <v>160.84</v>
      </c>
    </row>
    <row r="132" spans="1:73" x14ac:dyDescent="0.25">
      <c r="A132" s="1">
        <v>46216</v>
      </c>
      <c r="B132">
        <v>97.71</v>
      </c>
      <c r="C132">
        <v>28.96</v>
      </c>
      <c r="D132">
        <v>72.5</v>
      </c>
      <c r="E132">
        <v>47.89</v>
      </c>
      <c r="F132">
        <v>21.45</v>
      </c>
      <c r="G132">
        <v>57.33</v>
      </c>
      <c r="H132">
        <v>95.41</v>
      </c>
      <c r="I132">
        <v>103.86</v>
      </c>
      <c r="J132">
        <v>95.38</v>
      </c>
      <c r="K132">
        <v>27</v>
      </c>
      <c r="L132">
        <v>31.51</v>
      </c>
      <c r="M132">
        <v>78.45</v>
      </c>
      <c r="N132">
        <v>95.85</v>
      </c>
      <c r="O132">
        <v>79.86</v>
      </c>
      <c r="P132">
        <v>29.71</v>
      </c>
      <c r="Q132">
        <v>53.4</v>
      </c>
      <c r="R132">
        <v>276.08</v>
      </c>
      <c r="S132">
        <v>58.92</v>
      </c>
      <c r="T132">
        <v>79.52</v>
      </c>
      <c r="U132">
        <v>36.26</v>
      </c>
      <c r="V132">
        <v>49.82</v>
      </c>
      <c r="W132">
        <v>116.38</v>
      </c>
      <c r="X132">
        <v>116.05</v>
      </c>
      <c r="Y132">
        <v>48.64</v>
      </c>
      <c r="Z132">
        <v>40.58</v>
      </c>
      <c r="AA132">
        <v>60.27</v>
      </c>
      <c r="AB132">
        <v>133.30000000000001</v>
      </c>
      <c r="AC132">
        <v>68</v>
      </c>
      <c r="AD132">
        <v>162.93</v>
      </c>
      <c r="AE132">
        <v>74.180000000000007</v>
      </c>
      <c r="AF132">
        <v>103.91</v>
      </c>
      <c r="AG132">
        <v>244.77</v>
      </c>
      <c r="AH132">
        <v>95.76</v>
      </c>
      <c r="AI132">
        <v>93.26</v>
      </c>
      <c r="AJ132">
        <v>106.9</v>
      </c>
      <c r="AK132">
        <v>30.35</v>
      </c>
      <c r="AL132">
        <v>18.55</v>
      </c>
      <c r="AM132">
        <v>30.49</v>
      </c>
      <c r="AN132">
        <v>22.86</v>
      </c>
      <c r="AO132">
        <v>26.01</v>
      </c>
      <c r="AP132">
        <v>25.19</v>
      </c>
      <c r="AQ132">
        <v>28.58</v>
      </c>
      <c r="AR132">
        <v>23.28</v>
      </c>
      <c r="AS132">
        <v>21.74</v>
      </c>
      <c r="AT132">
        <v>22.02</v>
      </c>
      <c r="AU132">
        <v>25.56</v>
      </c>
      <c r="AV132">
        <v>45.54</v>
      </c>
      <c r="AW132">
        <v>36.799999999999997</v>
      </c>
      <c r="AX132">
        <v>50.5</v>
      </c>
      <c r="AY132">
        <v>73.010000000000005</v>
      </c>
      <c r="AZ132">
        <v>229.27</v>
      </c>
      <c r="BA132">
        <v>160.15</v>
      </c>
      <c r="BB132">
        <v>137.24</v>
      </c>
      <c r="BC132">
        <v>53.74</v>
      </c>
      <c r="BD132">
        <v>115.58</v>
      </c>
      <c r="BE132">
        <v>303.58999999999997</v>
      </c>
      <c r="BF132">
        <v>347.05</v>
      </c>
      <c r="BG132">
        <v>46.24</v>
      </c>
      <c r="BH132">
        <v>97.83</v>
      </c>
      <c r="BI132">
        <v>197.48</v>
      </c>
      <c r="BJ132">
        <v>75.63</v>
      </c>
      <c r="BK132">
        <v>50.27</v>
      </c>
      <c r="BL132">
        <v>99.97</v>
      </c>
      <c r="BM132">
        <v>66.39</v>
      </c>
      <c r="BN132">
        <v>56.74</v>
      </c>
      <c r="BO132">
        <v>56.07</v>
      </c>
      <c r="BP132">
        <v>180.37</v>
      </c>
      <c r="BQ132">
        <v>181.28</v>
      </c>
      <c r="BR132">
        <v>84.59</v>
      </c>
      <c r="BS132">
        <v>44.7</v>
      </c>
      <c r="BT132">
        <v>45.72</v>
      </c>
      <c r="BU132">
        <v>161.41</v>
      </c>
    </row>
    <row r="133" spans="1:73" x14ac:dyDescent="0.25">
      <c r="A133" s="1">
        <v>46217</v>
      </c>
      <c r="B133">
        <v>98</v>
      </c>
      <c r="C133">
        <v>29.03</v>
      </c>
      <c r="D133">
        <v>72.7</v>
      </c>
      <c r="E133">
        <v>47.96</v>
      </c>
      <c r="F133">
        <v>21.59</v>
      </c>
      <c r="G133">
        <v>57.34</v>
      </c>
      <c r="H133">
        <v>95.64</v>
      </c>
      <c r="I133">
        <v>104.14</v>
      </c>
      <c r="J133">
        <v>95.57</v>
      </c>
      <c r="K133">
        <v>27.07</v>
      </c>
      <c r="L133">
        <v>31.65</v>
      </c>
      <c r="M133">
        <v>77.16</v>
      </c>
      <c r="N133">
        <v>96.11</v>
      </c>
      <c r="O133">
        <v>80.12</v>
      </c>
      <c r="P133">
        <v>29.64</v>
      </c>
      <c r="Q133">
        <v>52.74</v>
      </c>
      <c r="R133">
        <v>279.7</v>
      </c>
      <c r="S133">
        <v>58.92</v>
      </c>
      <c r="T133">
        <v>79.680000000000007</v>
      </c>
      <c r="U133">
        <v>36.35</v>
      </c>
      <c r="V133">
        <v>49.91</v>
      </c>
      <c r="W133">
        <v>116.57</v>
      </c>
      <c r="X133">
        <v>115.94</v>
      </c>
      <c r="Y133">
        <v>48.73</v>
      </c>
      <c r="Z133">
        <v>40.799999999999997</v>
      </c>
      <c r="AA133">
        <v>60.5</v>
      </c>
      <c r="AB133">
        <v>133.63999999999999</v>
      </c>
      <c r="AC133">
        <v>66.739999999999995</v>
      </c>
      <c r="AD133">
        <v>163.30000000000001</v>
      </c>
      <c r="AE133">
        <v>73.09</v>
      </c>
      <c r="AF133">
        <v>103.59</v>
      </c>
      <c r="AG133">
        <v>248.19</v>
      </c>
      <c r="AH133">
        <v>95.9</v>
      </c>
      <c r="AI133">
        <v>93.67</v>
      </c>
      <c r="AJ133">
        <v>106.95</v>
      </c>
      <c r="AK133">
        <v>30.51</v>
      </c>
      <c r="AL133">
        <v>18.57</v>
      </c>
      <c r="AM133">
        <v>30.54</v>
      </c>
      <c r="AN133">
        <v>22.91</v>
      </c>
      <c r="AO133">
        <v>26.06</v>
      </c>
      <c r="AP133">
        <v>25.27</v>
      </c>
      <c r="AQ133">
        <v>28.62</v>
      </c>
      <c r="AR133">
        <v>23.32</v>
      </c>
      <c r="AS133">
        <v>21.78</v>
      </c>
      <c r="AT133">
        <v>22.12</v>
      </c>
      <c r="AU133">
        <v>25.61</v>
      </c>
      <c r="AV133">
        <v>45.57</v>
      </c>
      <c r="AW133">
        <v>36.86</v>
      </c>
      <c r="AX133">
        <v>50.62</v>
      </c>
      <c r="AY133">
        <v>73.16</v>
      </c>
      <c r="AZ133">
        <v>226.29</v>
      </c>
      <c r="BA133">
        <v>160.91</v>
      </c>
      <c r="BB133">
        <v>137.61000000000001</v>
      </c>
      <c r="BC133">
        <v>53.84</v>
      </c>
      <c r="BD133">
        <v>117.11</v>
      </c>
      <c r="BE133">
        <v>298.58999999999997</v>
      </c>
      <c r="BF133">
        <v>347.81</v>
      </c>
      <c r="BG133">
        <v>46.46</v>
      </c>
      <c r="BH133">
        <v>97.57</v>
      </c>
      <c r="BI133">
        <v>197.39</v>
      </c>
      <c r="BJ133">
        <v>75.8</v>
      </c>
      <c r="BK133">
        <v>50.29</v>
      </c>
      <c r="BL133">
        <v>100.02</v>
      </c>
      <c r="BM133">
        <v>66.510000000000005</v>
      </c>
      <c r="BN133">
        <v>56.95</v>
      </c>
      <c r="BO133">
        <v>56.18</v>
      </c>
      <c r="BP133">
        <v>180.45</v>
      </c>
      <c r="BQ133">
        <v>183.62</v>
      </c>
      <c r="BR133">
        <v>83.42</v>
      </c>
      <c r="BS133">
        <v>44.48</v>
      </c>
      <c r="BT133">
        <v>45.69</v>
      </c>
      <c r="BU133">
        <v>158.29</v>
      </c>
    </row>
    <row r="134" spans="1:73" x14ac:dyDescent="0.25">
      <c r="A134" s="1">
        <v>46218</v>
      </c>
      <c r="B134">
        <v>98.14</v>
      </c>
      <c r="C134">
        <v>29.07</v>
      </c>
      <c r="D134">
        <v>72.819999999999993</v>
      </c>
      <c r="E134">
        <v>48.03</v>
      </c>
      <c r="F134">
        <v>21.66</v>
      </c>
      <c r="G134">
        <v>57.25</v>
      </c>
      <c r="H134">
        <v>95.9</v>
      </c>
      <c r="I134">
        <v>103.59</v>
      </c>
      <c r="J134">
        <v>95.73</v>
      </c>
      <c r="K134">
        <v>27.14</v>
      </c>
      <c r="L134">
        <v>31.38</v>
      </c>
      <c r="M134">
        <v>77.22</v>
      </c>
      <c r="N134">
        <v>96</v>
      </c>
      <c r="O134">
        <v>80.599999999999994</v>
      </c>
      <c r="P134">
        <v>29.73</v>
      </c>
      <c r="Q134">
        <v>52.68</v>
      </c>
      <c r="R134">
        <v>278.17</v>
      </c>
      <c r="S134">
        <v>58.38</v>
      </c>
      <c r="T134">
        <v>79.81</v>
      </c>
      <c r="U134">
        <v>36.409999999999997</v>
      </c>
      <c r="V134">
        <v>49.96</v>
      </c>
      <c r="W134">
        <v>116</v>
      </c>
      <c r="X134">
        <v>114.87</v>
      </c>
      <c r="Y134">
        <v>48.95</v>
      </c>
      <c r="Z134">
        <v>41</v>
      </c>
      <c r="AA134">
        <v>60.02</v>
      </c>
      <c r="AB134">
        <v>134.5</v>
      </c>
      <c r="AC134">
        <v>66.81</v>
      </c>
      <c r="AD134">
        <v>163.25</v>
      </c>
      <c r="AE134">
        <v>73.11</v>
      </c>
      <c r="AF134">
        <v>103.83</v>
      </c>
      <c r="AG134">
        <v>248.45</v>
      </c>
      <c r="AH134">
        <v>96.07</v>
      </c>
      <c r="AI134">
        <v>93.83</v>
      </c>
      <c r="AJ134">
        <v>106.76</v>
      </c>
      <c r="AK134">
        <v>30.62</v>
      </c>
      <c r="AL134">
        <v>18.649999999999999</v>
      </c>
      <c r="AM134">
        <v>30.62</v>
      </c>
      <c r="AN134">
        <v>22.96</v>
      </c>
      <c r="AO134">
        <v>26.12</v>
      </c>
      <c r="AP134">
        <v>25.32</v>
      </c>
      <c r="AQ134">
        <v>28.72</v>
      </c>
      <c r="AR134">
        <v>23.36</v>
      </c>
      <c r="AS134">
        <v>21.88</v>
      </c>
      <c r="AT134">
        <v>22.14</v>
      </c>
      <c r="AU134">
        <v>25.66</v>
      </c>
      <c r="AV134">
        <v>45.49</v>
      </c>
      <c r="AW134">
        <v>36.909999999999997</v>
      </c>
      <c r="AX134">
        <v>50.75</v>
      </c>
      <c r="AY134">
        <v>73.48</v>
      </c>
      <c r="AZ134">
        <v>226.34</v>
      </c>
      <c r="BA134">
        <v>159.41999999999999</v>
      </c>
      <c r="BB134">
        <v>138.44999999999999</v>
      </c>
      <c r="BC134">
        <v>53.97</v>
      </c>
      <c r="BD134">
        <v>116.5</v>
      </c>
      <c r="BE134">
        <v>299.01</v>
      </c>
      <c r="BF134">
        <v>347.35</v>
      </c>
      <c r="BG134">
        <v>46.5</v>
      </c>
      <c r="BH134">
        <v>97.86</v>
      </c>
      <c r="BI134">
        <v>195.62</v>
      </c>
      <c r="BJ134">
        <v>76.03</v>
      </c>
      <c r="BK134">
        <v>50.21</v>
      </c>
      <c r="BL134">
        <v>99.85</v>
      </c>
      <c r="BM134">
        <v>66.599999999999994</v>
      </c>
      <c r="BN134">
        <v>56.5</v>
      </c>
      <c r="BO134">
        <v>56.56</v>
      </c>
      <c r="BP134">
        <v>180.06</v>
      </c>
      <c r="BQ134">
        <v>181.58</v>
      </c>
      <c r="BR134">
        <v>83.47</v>
      </c>
      <c r="BS134">
        <v>44.56</v>
      </c>
      <c r="BT134">
        <v>45.22</v>
      </c>
      <c r="BU134">
        <v>158.29</v>
      </c>
    </row>
    <row r="135" spans="1:73" x14ac:dyDescent="0.25">
      <c r="A135" s="1">
        <v>46219</v>
      </c>
      <c r="B135">
        <v>98.13</v>
      </c>
      <c r="C135">
        <v>29.06</v>
      </c>
      <c r="D135">
        <v>72.81</v>
      </c>
      <c r="E135">
        <v>47.96</v>
      </c>
      <c r="F135">
        <v>21.59</v>
      </c>
      <c r="G135">
        <v>57.12</v>
      </c>
      <c r="H135">
        <v>95.88</v>
      </c>
      <c r="I135">
        <v>101.54</v>
      </c>
      <c r="J135">
        <v>95.59</v>
      </c>
      <c r="K135">
        <v>27.12</v>
      </c>
      <c r="L135">
        <v>31.63</v>
      </c>
      <c r="M135">
        <v>78.61</v>
      </c>
      <c r="N135">
        <v>95.87</v>
      </c>
      <c r="O135">
        <v>81.05</v>
      </c>
      <c r="P135">
        <v>30.41</v>
      </c>
      <c r="Q135">
        <v>54.12</v>
      </c>
      <c r="R135">
        <v>272.8</v>
      </c>
      <c r="S135">
        <v>58.66</v>
      </c>
      <c r="T135">
        <v>79.8</v>
      </c>
      <c r="U135">
        <v>36.42</v>
      </c>
      <c r="V135">
        <v>49.89</v>
      </c>
      <c r="W135">
        <v>113.65</v>
      </c>
      <c r="X135">
        <v>115.67</v>
      </c>
      <c r="Y135">
        <v>48.91</v>
      </c>
      <c r="Z135">
        <v>40.85</v>
      </c>
      <c r="AA135">
        <v>60.53</v>
      </c>
      <c r="AB135">
        <v>134.56</v>
      </c>
      <c r="AC135">
        <v>68.12</v>
      </c>
      <c r="AD135">
        <v>163.80000000000001</v>
      </c>
      <c r="AE135">
        <v>75.25</v>
      </c>
      <c r="AF135">
        <v>106.25</v>
      </c>
      <c r="AG135">
        <v>242.7</v>
      </c>
      <c r="AH135">
        <v>96.08</v>
      </c>
      <c r="AI135">
        <v>93.76</v>
      </c>
      <c r="AJ135">
        <v>106.62</v>
      </c>
      <c r="AK135">
        <v>30.37</v>
      </c>
      <c r="AL135">
        <v>18.57</v>
      </c>
      <c r="AM135">
        <v>30.6</v>
      </c>
      <c r="AN135">
        <v>22.94</v>
      </c>
      <c r="AO135">
        <v>26.1</v>
      </c>
      <c r="AP135">
        <v>25.3</v>
      </c>
      <c r="AQ135">
        <v>28.71</v>
      </c>
      <c r="AR135">
        <v>23.36</v>
      </c>
      <c r="AS135">
        <v>21.87</v>
      </c>
      <c r="AT135">
        <v>22.13</v>
      </c>
      <c r="AU135">
        <v>25.65</v>
      </c>
      <c r="AV135">
        <v>45.42</v>
      </c>
      <c r="AW135">
        <v>36.92</v>
      </c>
      <c r="AX135">
        <v>50.72</v>
      </c>
      <c r="AY135">
        <v>73.45</v>
      </c>
      <c r="AZ135">
        <v>232.34</v>
      </c>
      <c r="BA135">
        <v>160.76</v>
      </c>
      <c r="BB135">
        <v>139.19</v>
      </c>
      <c r="BC135">
        <v>53.95</v>
      </c>
      <c r="BD135">
        <v>114.24</v>
      </c>
      <c r="BE135">
        <v>304.14999999999998</v>
      </c>
      <c r="BF135">
        <v>346.9</v>
      </c>
      <c r="BG135">
        <v>46.45</v>
      </c>
      <c r="BH135">
        <v>100.07</v>
      </c>
      <c r="BI135">
        <v>196.49</v>
      </c>
      <c r="BJ135">
        <v>75.95</v>
      </c>
      <c r="BK135">
        <v>50.16</v>
      </c>
      <c r="BL135">
        <v>99.69</v>
      </c>
      <c r="BM135">
        <v>66.56</v>
      </c>
      <c r="BN135">
        <v>57.02</v>
      </c>
      <c r="BO135">
        <v>56.75</v>
      </c>
      <c r="BP135">
        <v>180.15</v>
      </c>
      <c r="BQ135">
        <v>177.52</v>
      </c>
      <c r="BR135">
        <v>85.81</v>
      </c>
      <c r="BS135">
        <v>45.46</v>
      </c>
      <c r="BT135">
        <v>45.47</v>
      </c>
      <c r="BU135">
        <v>161.80000000000001</v>
      </c>
    </row>
    <row r="136" spans="1:73" x14ac:dyDescent="0.25">
      <c r="A136" s="1">
        <v>46220</v>
      </c>
      <c r="B136">
        <v>98.2</v>
      </c>
      <c r="C136">
        <v>29.05</v>
      </c>
      <c r="D136">
        <v>72.86</v>
      </c>
      <c r="E136">
        <v>47.93</v>
      </c>
      <c r="F136">
        <v>21.56</v>
      </c>
      <c r="G136">
        <v>57.11</v>
      </c>
      <c r="H136">
        <v>95.93</v>
      </c>
      <c r="I136">
        <v>101.49</v>
      </c>
      <c r="J136">
        <v>95.53</v>
      </c>
      <c r="K136">
        <v>27.12</v>
      </c>
      <c r="L136">
        <v>32.020000000000003</v>
      </c>
      <c r="M136">
        <v>78.39</v>
      </c>
      <c r="N136">
        <v>95.47</v>
      </c>
      <c r="O136">
        <v>80.319999999999993</v>
      </c>
      <c r="P136">
        <v>30.41</v>
      </c>
      <c r="Q136">
        <v>53.64</v>
      </c>
      <c r="R136">
        <v>270.13</v>
      </c>
      <c r="S136">
        <v>58.28</v>
      </c>
      <c r="T136">
        <v>79.650000000000006</v>
      </c>
      <c r="U136">
        <v>36.369999999999997</v>
      </c>
      <c r="V136">
        <v>49.85</v>
      </c>
      <c r="W136">
        <v>113.74</v>
      </c>
      <c r="X136">
        <v>114.84</v>
      </c>
      <c r="Y136">
        <v>48.97</v>
      </c>
      <c r="Z136">
        <v>40.770000000000003</v>
      </c>
      <c r="AA136">
        <v>61.25</v>
      </c>
      <c r="AB136">
        <v>133.63</v>
      </c>
      <c r="AC136">
        <v>67.8</v>
      </c>
      <c r="AD136">
        <v>162.84</v>
      </c>
      <c r="AE136">
        <v>74.78</v>
      </c>
      <c r="AF136">
        <v>106.09</v>
      </c>
      <c r="AG136">
        <v>239.24</v>
      </c>
      <c r="AH136">
        <v>95.98</v>
      </c>
      <c r="AI136">
        <v>93.78</v>
      </c>
      <c r="AJ136">
        <v>106.58</v>
      </c>
      <c r="AK136">
        <v>30.35</v>
      </c>
      <c r="AL136">
        <v>18.59</v>
      </c>
      <c r="AM136">
        <v>30.7</v>
      </c>
      <c r="AN136">
        <v>22.96</v>
      </c>
      <c r="AO136">
        <v>26.08</v>
      </c>
      <c r="AP136">
        <v>25.31</v>
      </c>
      <c r="AQ136">
        <v>28.73</v>
      </c>
      <c r="AR136">
        <v>23.33</v>
      </c>
      <c r="AS136">
        <v>21.89</v>
      </c>
      <c r="AT136">
        <v>22.14</v>
      </c>
      <c r="AU136">
        <v>25.73</v>
      </c>
      <c r="AV136">
        <v>45.39</v>
      </c>
      <c r="AW136">
        <v>36.869999999999997</v>
      </c>
      <c r="AX136">
        <v>50.74</v>
      </c>
      <c r="AY136">
        <v>73.540000000000006</v>
      </c>
      <c r="AZ136">
        <v>230.32</v>
      </c>
      <c r="BA136">
        <v>162.78</v>
      </c>
      <c r="BB136">
        <v>137.94</v>
      </c>
      <c r="BC136">
        <v>54.1</v>
      </c>
      <c r="BD136">
        <v>113.1</v>
      </c>
      <c r="BE136">
        <v>303.25</v>
      </c>
      <c r="BF136">
        <v>345.3</v>
      </c>
      <c r="BG136">
        <v>46.5</v>
      </c>
      <c r="BH136">
        <v>100.02</v>
      </c>
      <c r="BI136">
        <v>195.22</v>
      </c>
      <c r="BJ136">
        <v>75.98</v>
      </c>
      <c r="BK136">
        <v>50.13</v>
      </c>
      <c r="BL136">
        <v>99.63</v>
      </c>
      <c r="BM136">
        <v>66.48</v>
      </c>
      <c r="BN136">
        <v>57.68</v>
      </c>
      <c r="BO136">
        <v>56.26</v>
      </c>
      <c r="BP136">
        <v>179.41</v>
      </c>
      <c r="BQ136">
        <v>175.59</v>
      </c>
      <c r="BR136">
        <v>85.19</v>
      </c>
      <c r="BS136">
        <v>45.42</v>
      </c>
      <c r="BT136">
        <v>45.17</v>
      </c>
      <c r="BU136">
        <v>161.09</v>
      </c>
    </row>
    <row r="137" spans="1:73" x14ac:dyDescent="0.25">
      <c r="A137" s="1">
        <v>46223</v>
      </c>
      <c r="B137">
        <v>97.95</v>
      </c>
      <c r="C137">
        <v>29.03</v>
      </c>
      <c r="D137">
        <v>72.680000000000007</v>
      </c>
      <c r="E137">
        <v>47.82</v>
      </c>
      <c r="F137">
        <v>21.51</v>
      </c>
      <c r="G137">
        <v>57.06</v>
      </c>
      <c r="H137">
        <v>95.63</v>
      </c>
      <c r="I137">
        <v>101.82</v>
      </c>
      <c r="J137">
        <v>95.37</v>
      </c>
      <c r="K137">
        <v>27.07</v>
      </c>
      <c r="L137">
        <v>32.159999999999997</v>
      </c>
      <c r="M137">
        <v>77.430000000000007</v>
      </c>
      <c r="N137">
        <v>94.55</v>
      </c>
      <c r="O137">
        <v>79.989999999999995</v>
      </c>
      <c r="P137">
        <v>30.22</v>
      </c>
      <c r="Q137">
        <v>53.45</v>
      </c>
      <c r="R137">
        <v>270.27999999999997</v>
      </c>
      <c r="S137">
        <v>57.94</v>
      </c>
      <c r="T137">
        <v>79.680000000000007</v>
      </c>
      <c r="U137">
        <v>36.380000000000003</v>
      </c>
      <c r="V137">
        <v>49.8</v>
      </c>
      <c r="W137">
        <v>114.16</v>
      </c>
      <c r="X137">
        <v>114.24</v>
      </c>
      <c r="Y137">
        <v>48.65</v>
      </c>
      <c r="Z137">
        <v>40.68</v>
      </c>
      <c r="AA137">
        <v>61.53</v>
      </c>
      <c r="AB137">
        <v>132.91999999999999</v>
      </c>
      <c r="AC137">
        <v>66.989999999999995</v>
      </c>
      <c r="AD137">
        <v>161.63</v>
      </c>
      <c r="AE137">
        <v>74.48</v>
      </c>
      <c r="AF137">
        <v>105.55</v>
      </c>
      <c r="AG137">
        <v>239.97</v>
      </c>
      <c r="AH137">
        <v>95.95</v>
      </c>
      <c r="AI137">
        <v>93.57</v>
      </c>
      <c r="AJ137">
        <v>106.4</v>
      </c>
      <c r="AK137">
        <v>30.32</v>
      </c>
      <c r="AL137">
        <v>18.5</v>
      </c>
      <c r="AM137">
        <v>30.5</v>
      </c>
      <c r="AN137">
        <v>22.9</v>
      </c>
      <c r="AO137">
        <v>26.07</v>
      </c>
      <c r="AP137">
        <v>25.26</v>
      </c>
      <c r="AQ137">
        <v>28.64</v>
      </c>
      <c r="AR137">
        <v>23.33</v>
      </c>
      <c r="AS137">
        <v>21.75</v>
      </c>
      <c r="AT137">
        <v>22.08</v>
      </c>
      <c r="AU137">
        <v>25.56</v>
      </c>
      <c r="AV137">
        <v>45.32</v>
      </c>
      <c r="AW137">
        <v>36.880000000000003</v>
      </c>
      <c r="AX137">
        <v>50.61</v>
      </c>
      <c r="AY137">
        <v>73.08</v>
      </c>
      <c r="AZ137">
        <v>229.43</v>
      </c>
      <c r="BA137">
        <v>163.47999999999999</v>
      </c>
      <c r="BB137">
        <v>137.35</v>
      </c>
      <c r="BC137">
        <v>53.75</v>
      </c>
      <c r="BD137">
        <v>113.23</v>
      </c>
      <c r="BE137">
        <v>299.49</v>
      </c>
      <c r="BF137">
        <v>342.31</v>
      </c>
      <c r="BG137">
        <v>46.39</v>
      </c>
      <c r="BH137">
        <v>99.48</v>
      </c>
      <c r="BI137">
        <v>194.21</v>
      </c>
      <c r="BJ137">
        <v>75.760000000000005</v>
      </c>
      <c r="BK137">
        <v>50.05</v>
      </c>
      <c r="BL137">
        <v>99.52</v>
      </c>
      <c r="BM137">
        <v>66.36</v>
      </c>
      <c r="BN137">
        <v>57.94</v>
      </c>
      <c r="BO137">
        <v>56.04</v>
      </c>
      <c r="BP137">
        <v>178.12</v>
      </c>
      <c r="BQ137">
        <v>175.71</v>
      </c>
      <c r="BR137">
        <v>84.86</v>
      </c>
      <c r="BS137">
        <v>45.23</v>
      </c>
      <c r="BT137">
        <v>44.94</v>
      </c>
      <c r="BU137">
        <v>159.25</v>
      </c>
    </row>
    <row r="138" spans="1:73" x14ac:dyDescent="0.25">
      <c r="A138" s="1">
        <v>46224</v>
      </c>
      <c r="B138">
        <v>97.74</v>
      </c>
      <c r="C138">
        <v>28.99</v>
      </c>
      <c r="D138">
        <v>72.52</v>
      </c>
      <c r="E138">
        <v>47.83</v>
      </c>
      <c r="F138">
        <v>21.46</v>
      </c>
      <c r="G138">
        <v>57</v>
      </c>
      <c r="H138">
        <v>95.45</v>
      </c>
      <c r="I138">
        <v>103.69</v>
      </c>
      <c r="J138">
        <v>95.38</v>
      </c>
      <c r="K138">
        <v>27.04</v>
      </c>
      <c r="L138">
        <v>32.56</v>
      </c>
      <c r="M138">
        <v>78.03</v>
      </c>
      <c r="N138">
        <v>95.26</v>
      </c>
      <c r="O138">
        <v>80.05</v>
      </c>
      <c r="P138">
        <v>30.24</v>
      </c>
      <c r="Q138">
        <v>53</v>
      </c>
      <c r="R138">
        <v>277.01</v>
      </c>
      <c r="S138">
        <v>57.95</v>
      </c>
      <c r="T138">
        <v>79.650000000000006</v>
      </c>
      <c r="U138">
        <v>36.35</v>
      </c>
      <c r="V138">
        <v>49.78</v>
      </c>
      <c r="W138">
        <v>116.72</v>
      </c>
      <c r="X138">
        <v>114.01</v>
      </c>
      <c r="Y138">
        <v>48.49</v>
      </c>
      <c r="Z138">
        <v>40.58</v>
      </c>
      <c r="AA138">
        <v>62.18</v>
      </c>
      <c r="AB138">
        <v>133.25</v>
      </c>
      <c r="AC138">
        <v>67.42</v>
      </c>
      <c r="AD138">
        <v>162.08000000000001</v>
      </c>
      <c r="AE138">
        <v>74.08</v>
      </c>
      <c r="AF138">
        <v>105.52</v>
      </c>
      <c r="AG138">
        <v>244.45</v>
      </c>
      <c r="AH138">
        <v>95.9</v>
      </c>
      <c r="AI138">
        <v>93.41</v>
      </c>
      <c r="AJ138">
        <v>106.17</v>
      </c>
      <c r="AK138">
        <v>30.32</v>
      </c>
      <c r="AL138">
        <v>18.52</v>
      </c>
      <c r="AM138">
        <v>30.4</v>
      </c>
      <c r="AN138">
        <v>22.85</v>
      </c>
      <c r="AO138">
        <v>26.05</v>
      </c>
      <c r="AP138">
        <v>25.21</v>
      </c>
      <c r="AQ138">
        <v>28.58</v>
      </c>
      <c r="AR138">
        <v>23.32</v>
      </c>
      <c r="AS138">
        <v>21.67</v>
      </c>
      <c r="AT138">
        <v>22.04</v>
      </c>
      <c r="AU138">
        <v>25.48</v>
      </c>
      <c r="AV138">
        <v>45.23</v>
      </c>
      <c r="AW138">
        <v>36.86</v>
      </c>
      <c r="AX138">
        <v>50.5</v>
      </c>
      <c r="AY138">
        <v>72.8</v>
      </c>
      <c r="AZ138">
        <v>227.51</v>
      </c>
      <c r="BA138">
        <v>165.52</v>
      </c>
      <c r="BB138">
        <v>137.44</v>
      </c>
      <c r="BC138">
        <v>53.59</v>
      </c>
      <c r="BD138">
        <v>116.01</v>
      </c>
      <c r="BE138">
        <v>301.92</v>
      </c>
      <c r="BF138">
        <v>344.57</v>
      </c>
      <c r="BG138">
        <v>46.28</v>
      </c>
      <c r="BH138">
        <v>99.52</v>
      </c>
      <c r="BI138">
        <v>194.22</v>
      </c>
      <c r="BJ138">
        <v>75.62</v>
      </c>
      <c r="BK138">
        <v>49.95</v>
      </c>
      <c r="BL138">
        <v>99.39</v>
      </c>
      <c r="BM138">
        <v>66.3</v>
      </c>
      <c r="BN138">
        <v>58.5</v>
      </c>
      <c r="BO138">
        <v>56.11</v>
      </c>
      <c r="BP138">
        <v>178.66</v>
      </c>
      <c r="BQ138">
        <v>180.78</v>
      </c>
      <c r="BR138">
        <v>84.06</v>
      </c>
      <c r="BS138">
        <v>45.2</v>
      </c>
      <c r="BT138">
        <v>44.92</v>
      </c>
      <c r="BU138">
        <v>160.25</v>
      </c>
    </row>
    <row r="139" spans="1:73" x14ac:dyDescent="0.25">
      <c r="A139" s="1">
        <v>46225</v>
      </c>
      <c r="B139">
        <v>97.58</v>
      </c>
      <c r="C139">
        <v>28.94</v>
      </c>
      <c r="D139">
        <v>72.400000000000006</v>
      </c>
      <c r="E139">
        <v>47.8</v>
      </c>
      <c r="F139">
        <v>21.46</v>
      </c>
      <c r="G139">
        <v>56.81</v>
      </c>
      <c r="H139">
        <v>95.27</v>
      </c>
      <c r="I139">
        <v>104</v>
      </c>
      <c r="J139">
        <v>95.09</v>
      </c>
      <c r="K139">
        <v>26.98</v>
      </c>
      <c r="L139">
        <v>32.950000000000003</v>
      </c>
      <c r="M139">
        <v>77.5</v>
      </c>
      <c r="N139">
        <v>95.38</v>
      </c>
      <c r="O139">
        <v>79.89</v>
      </c>
      <c r="P139">
        <v>30.09</v>
      </c>
      <c r="Q139">
        <v>53.14</v>
      </c>
      <c r="R139">
        <v>276.23</v>
      </c>
      <c r="S139">
        <v>59.23</v>
      </c>
      <c r="T139">
        <v>79.52</v>
      </c>
      <c r="U139">
        <v>36.299999999999997</v>
      </c>
      <c r="V139">
        <v>49.75</v>
      </c>
      <c r="W139">
        <v>116.51</v>
      </c>
      <c r="X139">
        <v>116.44</v>
      </c>
      <c r="Y139">
        <v>48.37</v>
      </c>
      <c r="Z139">
        <v>40.549999999999997</v>
      </c>
      <c r="AA139">
        <v>62.94</v>
      </c>
      <c r="AB139">
        <v>133.28</v>
      </c>
      <c r="AC139">
        <v>67.12</v>
      </c>
      <c r="AD139">
        <v>162.03</v>
      </c>
      <c r="AE139">
        <v>74.48</v>
      </c>
      <c r="AF139">
        <v>104.95</v>
      </c>
      <c r="AG139">
        <v>243.28</v>
      </c>
      <c r="AH139">
        <v>95.75</v>
      </c>
      <c r="AI139">
        <v>93.15</v>
      </c>
      <c r="AJ139">
        <v>105.88</v>
      </c>
      <c r="AK139">
        <v>30.45</v>
      </c>
      <c r="AL139">
        <v>18.55</v>
      </c>
      <c r="AM139">
        <v>30.32</v>
      </c>
      <c r="AN139">
        <v>22.82</v>
      </c>
      <c r="AO139">
        <v>26.01</v>
      </c>
      <c r="AP139">
        <v>25.16</v>
      </c>
      <c r="AQ139">
        <v>28.53</v>
      </c>
      <c r="AR139">
        <v>23.29</v>
      </c>
      <c r="AS139">
        <v>21.62</v>
      </c>
      <c r="AT139">
        <v>21.99</v>
      </c>
      <c r="AU139">
        <v>25.4</v>
      </c>
      <c r="AV139">
        <v>45.1</v>
      </c>
      <c r="AW139">
        <v>36.799999999999997</v>
      </c>
      <c r="AX139">
        <v>50.42</v>
      </c>
      <c r="AY139">
        <v>72.64</v>
      </c>
      <c r="AZ139">
        <v>228.03</v>
      </c>
      <c r="BA139">
        <v>167.49</v>
      </c>
      <c r="BB139">
        <v>137.16</v>
      </c>
      <c r="BC139">
        <v>53.42</v>
      </c>
      <c r="BD139">
        <v>115.62</v>
      </c>
      <c r="BE139">
        <v>299.8</v>
      </c>
      <c r="BF139">
        <v>345.01</v>
      </c>
      <c r="BG139">
        <v>46.14</v>
      </c>
      <c r="BH139">
        <v>99.02</v>
      </c>
      <c r="BI139">
        <v>198.41</v>
      </c>
      <c r="BJ139">
        <v>75.48</v>
      </c>
      <c r="BK139">
        <v>49.81</v>
      </c>
      <c r="BL139">
        <v>99.08</v>
      </c>
      <c r="BM139">
        <v>66.12</v>
      </c>
      <c r="BN139">
        <v>59.2</v>
      </c>
      <c r="BO139">
        <v>56.05</v>
      </c>
      <c r="BP139">
        <v>178.85</v>
      </c>
      <c r="BQ139">
        <v>180.27</v>
      </c>
      <c r="BR139">
        <v>84.38</v>
      </c>
      <c r="BS139">
        <v>45.01</v>
      </c>
      <c r="BT139">
        <v>45.93</v>
      </c>
      <c r="BU139">
        <v>159.43</v>
      </c>
    </row>
    <row r="140" spans="1:73" x14ac:dyDescent="0.25">
      <c r="A140" s="1">
        <v>46226</v>
      </c>
      <c r="B140">
        <v>97.34</v>
      </c>
      <c r="C140">
        <v>28.82</v>
      </c>
      <c r="D140">
        <v>72.25</v>
      </c>
      <c r="E140">
        <v>47.71</v>
      </c>
      <c r="F140">
        <v>21.36</v>
      </c>
      <c r="G140">
        <v>56.47</v>
      </c>
      <c r="H140">
        <v>94.99</v>
      </c>
      <c r="I140">
        <v>103.17</v>
      </c>
      <c r="J140">
        <v>94.53</v>
      </c>
      <c r="K140">
        <v>26.86</v>
      </c>
      <c r="L140">
        <v>33.07</v>
      </c>
      <c r="M140">
        <v>78.400000000000006</v>
      </c>
      <c r="N140">
        <v>96.77</v>
      </c>
      <c r="O140">
        <v>79.52</v>
      </c>
      <c r="P140">
        <v>29.97</v>
      </c>
      <c r="Q140">
        <v>52.41</v>
      </c>
      <c r="R140">
        <v>273.3</v>
      </c>
      <c r="S140">
        <v>59.5</v>
      </c>
      <c r="T140">
        <v>79.23</v>
      </c>
      <c r="U140">
        <v>36.17</v>
      </c>
      <c r="V140">
        <v>49.72</v>
      </c>
      <c r="W140">
        <v>115.9</v>
      </c>
      <c r="X140">
        <v>117.03</v>
      </c>
      <c r="Y140">
        <v>48.12</v>
      </c>
      <c r="Z140">
        <v>40.35</v>
      </c>
      <c r="AA140">
        <v>63.23</v>
      </c>
      <c r="AB140">
        <v>132.84</v>
      </c>
      <c r="AC140">
        <v>67.98</v>
      </c>
      <c r="AD140">
        <v>163.68</v>
      </c>
      <c r="AE140">
        <v>73.69</v>
      </c>
      <c r="AF140">
        <v>104.71</v>
      </c>
      <c r="AG140">
        <v>238.54</v>
      </c>
      <c r="AH140">
        <v>95.4</v>
      </c>
      <c r="AI140">
        <v>92.88</v>
      </c>
      <c r="AJ140">
        <v>105.26</v>
      </c>
      <c r="AK140">
        <v>30.14</v>
      </c>
      <c r="AL140">
        <v>18.39</v>
      </c>
      <c r="AM140">
        <v>30.21</v>
      </c>
      <c r="AN140">
        <v>22.76</v>
      </c>
      <c r="AO140">
        <v>25.95</v>
      </c>
      <c r="AP140">
        <v>25.1</v>
      </c>
      <c r="AQ140">
        <v>28.44</v>
      </c>
      <c r="AR140">
        <v>23.2</v>
      </c>
      <c r="AS140">
        <v>21.51</v>
      </c>
      <c r="AT140">
        <v>21.94</v>
      </c>
      <c r="AU140">
        <v>25.31</v>
      </c>
      <c r="AV140">
        <v>44.84</v>
      </c>
      <c r="AW140">
        <v>36.659999999999997</v>
      </c>
      <c r="AX140">
        <v>50.27</v>
      </c>
      <c r="AY140">
        <v>72.260000000000005</v>
      </c>
      <c r="AZ140">
        <v>224.97</v>
      </c>
      <c r="BA140">
        <v>168.17</v>
      </c>
      <c r="BB140">
        <v>136.59</v>
      </c>
      <c r="BC140">
        <v>53.25</v>
      </c>
      <c r="BD140">
        <v>114.39</v>
      </c>
      <c r="BE140">
        <v>303.31</v>
      </c>
      <c r="BF140">
        <v>349.75</v>
      </c>
      <c r="BG140">
        <v>46.07</v>
      </c>
      <c r="BH140">
        <v>98.69</v>
      </c>
      <c r="BI140">
        <v>199.43</v>
      </c>
      <c r="BJ140">
        <v>75.25</v>
      </c>
      <c r="BK140">
        <v>49.51</v>
      </c>
      <c r="BL140">
        <v>98.44</v>
      </c>
      <c r="BM140">
        <v>65.72</v>
      </c>
      <c r="BN140">
        <v>59.38</v>
      </c>
      <c r="BO140">
        <v>55.83</v>
      </c>
      <c r="BP140">
        <v>181.94</v>
      </c>
      <c r="BQ140">
        <v>178.45</v>
      </c>
      <c r="BR140">
        <v>83.21</v>
      </c>
      <c r="BS140">
        <v>44.95</v>
      </c>
      <c r="BT140">
        <v>46.19</v>
      </c>
      <c r="BU140">
        <v>161.44</v>
      </c>
    </row>
    <row r="141" spans="1:73" x14ac:dyDescent="0.25">
      <c r="A141" s="1">
        <v>46227</v>
      </c>
      <c r="B141">
        <v>97.46</v>
      </c>
      <c r="C141">
        <v>28.82</v>
      </c>
      <c r="D141">
        <v>72.31</v>
      </c>
      <c r="E141">
        <v>47.8</v>
      </c>
      <c r="F141">
        <v>21.4</v>
      </c>
      <c r="G141">
        <v>56.52</v>
      </c>
      <c r="H141">
        <v>95.02</v>
      </c>
      <c r="I141">
        <v>101.48</v>
      </c>
      <c r="J141">
        <v>94.64</v>
      </c>
      <c r="K141">
        <v>26.87</v>
      </c>
      <c r="L141">
        <v>33.1</v>
      </c>
      <c r="M141">
        <v>78.84</v>
      </c>
      <c r="N141">
        <v>96.84</v>
      </c>
      <c r="O141">
        <v>80.22</v>
      </c>
      <c r="P141">
        <v>30.59</v>
      </c>
      <c r="Q141">
        <v>52.95</v>
      </c>
      <c r="R141">
        <v>270.52</v>
      </c>
      <c r="S141">
        <v>59.52</v>
      </c>
      <c r="T141">
        <v>79.23</v>
      </c>
      <c r="U141">
        <v>36.17</v>
      </c>
      <c r="V141">
        <v>49.75</v>
      </c>
      <c r="W141">
        <v>113.75</v>
      </c>
      <c r="X141">
        <v>117.16</v>
      </c>
      <c r="Y141">
        <v>48.09</v>
      </c>
      <c r="Z141">
        <v>40.44</v>
      </c>
      <c r="AA141">
        <v>63.35</v>
      </c>
      <c r="AB141">
        <v>134.06</v>
      </c>
      <c r="AC141">
        <v>68.41</v>
      </c>
      <c r="AD141">
        <v>164.5</v>
      </c>
      <c r="AE141">
        <v>74.48</v>
      </c>
      <c r="AF141">
        <v>107</v>
      </c>
      <c r="AG141">
        <v>236.08</v>
      </c>
      <c r="AH141">
        <v>95.39</v>
      </c>
      <c r="AI141">
        <v>93.11</v>
      </c>
      <c r="AJ141">
        <v>105.55</v>
      </c>
      <c r="AK141">
        <v>30.16</v>
      </c>
      <c r="AL141">
        <v>18.36</v>
      </c>
      <c r="AM141">
        <v>30.27</v>
      </c>
      <c r="AN141">
        <v>22.79</v>
      </c>
      <c r="AO141">
        <v>25.92</v>
      </c>
      <c r="AP141">
        <v>25.13</v>
      </c>
      <c r="AQ141">
        <v>28.45</v>
      </c>
      <c r="AR141">
        <v>23.18</v>
      </c>
      <c r="AS141">
        <v>21.49</v>
      </c>
      <c r="AT141">
        <v>21.97</v>
      </c>
      <c r="AU141">
        <v>25.36</v>
      </c>
      <c r="AV141">
        <v>44.89</v>
      </c>
      <c r="AW141">
        <v>36.659999999999997</v>
      </c>
      <c r="AX141">
        <v>50.3</v>
      </c>
      <c r="AY141">
        <v>72.22</v>
      </c>
      <c r="AZ141">
        <v>227.32</v>
      </c>
      <c r="BA141">
        <v>168.23</v>
      </c>
      <c r="BB141">
        <v>137.81</v>
      </c>
      <c r="BC141">
        <v>53.34</v>
      </c>
      <c r="BD141">
        <v>113.3</v>
      </c>
      <c r="BE141">
        <v>305.07</v>
      </c>
      <c r="BF141">
        <v>350.17</v>
      </c>
      <c r="BG141">
        <v>46.19</v>
      </c>
      <c r="BH141">
        <v>100.81</v>
      </c>
      <c r="BI141">
        <v>199.46</v>
      </c>
      <c r="BJ141">
        <v>75.27</v>
      </c>
      <c r="BK141">
        <v>49.61</v>
      </c>
      <c r="BL141">
        <v>98.59</v>
      </c>
      <c r="BM141">
        <v>65.849999999999994</v>
      </c>
      <c r="BN141">
        <v>59.62</v>
      </c>
      <c r="BO141">
        <v>56.31</v>
      </c>
      <c r="BP141">
        <v>182.66</v>
      </c>
      <c r="BQ141">
        <v>175.88</v>
      </c>
      <c r="BR141">
        <v>84.13</v>
      </c>
      <c r="BS141">
        <v>45.95</v>
      </c>
      <c r="BT141">
        <v>46.29</v>
      </c>
      <c r="BU141">
        <v>162.57</v>
      </c>
    </row>
    <row r="142" spans="1:73" x14ac:dyDescent="0.25">
      <c r="A142" s="1">
        <v>46230</v>
      </c>
      <c r="B142">
        <v>97.69</v>
      </c>
      <c r="C142">
        <v>28.89</v>
      </c>
      <c r="D142">
        <v>72.459999999999994</v>
      </c>
      <c r="E142">
        <v>47.92</v>
      </c>
      <c r="F142">
        <v>21.44</v>
      </c>
      <c r="G142">
        <v>56.67</v>
      </c>
      <c r="H142">
        <v>95.2</v>
      </c>
      <c r="I142">
        <v>101.34</v>
      </c>
      <c r="J142">
        <v>94.96</v>
      </c>
      <c r="K142">
        <v>26.89</v>
      </c>
      <c r="L142">
        <v>32.380000000000003</v>
      </c>
      <c r="M142">
        <v>79.260000000000005</v>
      </c>
      <c r="N142">
        <v>97.08</v>
      </c>
      <c r="O142">
        <v>81.03</v>
      </c>
      <c r="P142">
        <v>30.53</v>
      </c>
      <c r="Q142">
        <v>53.78</v>
      </c>
      <c r="R142">
        <v>268.44</v>
      </c>
      <c r="S142">
        <v>58.78</v>
      </c>
      <c r="T142">
        <v>79.27</v>
      </c>
      <c r="U142">
        <v>36.18</v>
      </c>
      <c r="V142">
        <v>49.83</v>
      </c>
      <c r="W142">
        <v>113.44</v>
      </c>
      <c r="X142">
        <v>115.69</v>
      </c>
      <c r="Y142">
        <v>48.3</v>
      </c>
      <c r="Z142">
        <v>40.549999999999997</v>
      </c>
      <c r="AA142">
        <v>62.04</v>
      </c>
      <c r="AB142">
        <v>135.16999999999999</v>
      </c>
      <c r="AC142">
        <v>68.72</v>
      </c>
      <c r="AD142">
        <v>165.62</v>
      </c>
      <c r="AE142">
        <v>75.37</v>
      </c>
      <c r="AF142">
        <v>106.64</v>
      </c>
      <c r="AG142">
        <v>235.05</v>
      </c>
      <c r="AH142">
        <v>95.46</v>
      </c>
      <c r="AI142">
        <v>93.37</v>
      </c>
      <c r="AJ142">
        <v>105.8</v>
      </c>
      <c r="AK142">
        <v>30.28</v>
      </c>
      <c r="AL142">
        <v>18.45</v>
      </c>
      <c r="AM142">
        <v>30.43</v>
      </c>
      <c r="AN142">
        <v>22.83</v>
      </c>
      <c r="AO142">
        <v>25.94</v>
      </c>
      <c r="AP142">
        <v>25.17</v>
      </c>
      <c r="AQ142">
        <v>28.51</v>
      </c>
      <c r="AR142">
        <v>23.21</v>
      </c>
      <c r="AS142">
        <v>21.57</v>
      </c>
      <c r="AT142">
        <v>22.03</v>
      </c>
      <c r="AU142">
        <v>25.49</v>
      </c>
      <c r="AV142">
        <v>45.02</v>
      </c>
      <c r="AW142">
        <v>36.69</v>
      </c>
      <c r="AX142">
        <v>50.39</v>
      </c>
      <c r="AY142">
        <v>72.48</v>
      </c>
      <c r="AZ142">
        <v>230.91</v>
      </c>
      <c r="BA142">
        <v>164.52</v>
      </c>
      <c r="BB142">
        <v>139.18</v>
      </c>
      <c r="BC142">
        <v>53.62</v>
      </c>
      <c r="BD142">
        <v>112.42</v>
      </c>
      <c r="BE142">
        <v>306.67</v>
      </c>
      <c r="BF142">
        <v>351.42</v>
      </c>
      <c r="BG142">
        <v>46.28</v>
      </c>
      <c r="BH142">
        <v>100.54</v>
      </c>
      <c r="BI142">
        <v>197.01</v>
      </c>
      <c r="BJ142">
        <v>75.42</v>
      </c>
      <c r="BK142">
        <v>49.69</v>
      </c>
      <c r="BL142">
        <v>98.77</v>
      </c>
      <c r="BM142">
        <v>66.02</v>
      </c>
      <c r="BN142">
        <v>58.36</v>
      </c>
      <c r="BO142">
        <v>56.88</v>
      </c>
      <c r="BP142">
        <v>183.2</v>
      </c>
      <c r="BQ142">
        <v>174.3</v>
      </c>
      <c r="BR142">
        <v>85.36</v>
      </c>
      <c r="BS142">
        <v>45.76</v>
      </c>
      <c r="BT142">
        <v>45.68</v>
      </c>
      <c r="BU142">
        <v>163.4</v>
      </c>
    </row>
    <row r="143" spans="1:73" x14ac:dyDescent="0.25">
      <c r="A143" s="1">
        <v>46231</v>
      </c>
      <c r="B143">
        <v>97.92</v>
      </c>
      <c r="C143">
        <v>28.92</v>
      </c>
      <c r="D143">
        <v>72.64</v>
      </c>
      <c r="E143">
        <v>47.99</v>
      </c>
      <c r="F143">
        <v>21.47</v>
      </c>
      <c r="G143">
        <v>56.74</v>
      </c>
      <c r="H143">
        <v>95.48</v>
      </c>
      <c r="I143">
        <v>100.31</v>
      </c>
      <c r="J143">
        <v>95.19</v>
      </c>
      <c r="K143">
        <v>26.95</v>
      </c>
      <c r="L143">
        <v>31.89</v>
      </c>
      <c r="M143">
        <v>81</v>
      </c>
      <c r="N143">
        <v>96.59</v>
      </c>
      <c r="O143">
        <v>82.02</v>
      </c>
      <c r="P143">
        <v>30.66</v>
      </c>
      <c r="Q143">
        <v>54.89</v>
      </c>
      <c r="R143">
        <v>264.63</v>
      </c>
      <c r="S143">
        <v>58.57</v>
      </c>
      <c r="T143">
        <v>79.42</v>
      </c>
      <c r="U143">
        <v>36.25</v>
      </c>
      <c r="V143">
        <v>49.93</v>
      </c>
      <c r="W143">
        <v>111.86</v>
      </c>
      <c r="X143">
        <v>115.37</v>
      </c>
      <c r="Y143">
        <v>48.49</v>
      </c>
      <c r="Z143">
        <v>40.659999999999997</v>
      </c>
      <c r="AA143">
        <v>61.1</v>
      </c>
      <c r="AB143">
        <v>136.71</v>
      </c>
      <c r="AC143">
        <v>70.290000000000006</v>
      </c>
      <c r="AD143">
        <v>165.8</v>
      </c>
      <c r="AE143">
        <v>77.040000000000006</v>
      </c>
      <c r="AF143">
        <v>107.26</v>
      </c>
      <c r="AG143">
        <v>232.2</v>
      </c>
      <c r="AH143">
        <v>95.61</v>
      </c>
      <c r="AI143">
        <v>93.67</v>
      </c>
      <c r="AJ143">
        <v>106</v>
      </c>
      <c r="AK143">
        <v>30.36</v>
      </c>
      <c r="AL143">
        <v>18.489999999999998</v>
      </c>
      <c r="AM143">
        <v>30.59</v>
      </c>
      <c r="AN143">
        <v>22.89</v>
      </c>
      <c r="AO143">
        <v>25.96</v>
      </c>
      <c r="AP143">
        <v>25.25</v>
      </c>
      <c r="AQ143">
        <v>28.58</v>
      </c>
      <c r="AR143">
        <v>23.24</v>
      </c>
      <c r="AS143">
        <v>21.67</v>
      </c>
      <c r="AT143">
        <v>22.1</v>
      </c>
      <c r="AU143">
        <v>25.63</v>
      </c>
      <c r="AV143">
        <v>45.09</v>
      </c>
      <c r="AW143">
        <v>36.74</v>
      </c>
      <c r="AX143">
        <v>50.51</v>
      </c>
      <c r="AY143">
        <v>72.819999999999993</v>
      </c>
      <c r="AZ143">
        <v>235.43</v>
      </c>
      <c r="BA143">
        <v>162.02000000000001</v>
      </c>
      <c r="BB143">
        <v>140.93</v>
      </c>
      <c r="BC143">
        <v>53.91</v>
      </c>
      <c r="BD143">
        <v>110.87</v>
      </c>
      <c r="BE143">
        <v>313.23</v>
      </c>
      <c r="BF143">
        <v>349.49</v>
      </c>
      <c r="BG143">
        <v>46.37</v>
      </c>
      <c r="BH143">
        <v>100.95</v>
      </c>
      <c r="BI143">
        <v>196.22</v>
      </c>
      <c r="BJ143">
        <v>75.599999999999994</v>
      </c>
      <c r="BK143">
        <v>49.77</v>
      </c>
      <c r="BL143">
        <v>98.87</v>
      </c>
      <c r="BM143">
        <v>66.13</v>
      </c>
      <c r="BN143">
        <v>57.57</v>
      </c>
      <c r="BO143">
        <v>57.6</v>
      </c>
      <c r="BP143">
        <v>182.49</v>
      </c>
      <c r="BQ143">
        <v>171.09</v>
      </c>
      <c r="BR143">
        <v>87.06</v>
      </c>
      <c r="BS143">
        <v>46.01</v>
      </c>
      <c r="BT143">
        <v>45.52</v>
      </c>
      <c r="BU143">
        <v>167.26</v>
      </c>
    </row>
    <row r="144" spans="1:73" x14ac:dyDescent="0.25">
      <c r="A144" s="1">
        <v>46232</v>
      </c>
      <c r="B144">
        <v>97.55</v>
      </c>
      <c r="C144">
        <v>28.84</v>
      </c>
      <c r="D144">
        <v>72.38</v>
      </c>
      <c r="E144">
        <v>47.81</v>
      </c>
      <c r="F144">
        <v>21.5</v>
      </c>
      <c r="G144">
        <v>56.59</v>
      </c>
      <c r="H144">
        <v>95.1</v>
      </c>
      <c r="I144">
        <v>98.39</v>
      </c>
      <c r="J144">
        <v>94.56</v>
      </c>
      <c r="K144">
        <v>26.86</v>
      </c>
      <c r="L144">
        <v>32.479999999999997</v>
      </c>
      <c r="M144">
        <v>80.5</v>
      </c>
      <c r="N144">
        <v>93.32</v>
      </c>
      <c r="O144">
        <v>80.819999999999993</v>
      </c>
      <c r="P144">
        <v>30.61</v>
      </c>
      <c r="Q144">
        <v>54.97</v>
      </c>
      <c r="R144">
        <v>258.14</v>
      </c>
      <c r="S144">
        <v>57.77</v>
      </c>
      <c r="T144">
        <v>79.239999999999995</v>
      </c>
      <c r="U144">
        <v>36.18</v>
      </c>
      <c r="V144">
        <v>49.77</v>
      </c>
      <c r="W144">
        <v>109.68</v>
      </c>
      <c r="X144">
        <v>113.95</v>
      </c>
      <c r="Y144">
        <v>47.95</v>
      </c>
      <c r="Z144">
        <v>40.68</v>
      </c>
      <c r="AA144">
        <v>62.24</v>
      </c>
      <c r="AB144">
        <v>134.18</v>
      </c>
      <c r="AC144">
        <v>69.87</v>
      </c>
      <c r="AD144">
        <v>161.59</v>
      </c>
      <c r="AE144">
        <v>76.849999999999994</v>
      </c>
      <c r="AF144">
        <v>107.01</v>
      </c>
      <c r="AG144">
        <v>227.34</v>
      </c>
      <c r="AH144">
        <v>95.39</v>
      </c>
      <c r="AI144">
        <v>93.23</v>
      </c>
      <c r="AJ144">
        <v>105.77</v>
      </c>
      <c r="AK144">
        <v>30.1</v>
      </c>
      <c r="AL144">
        <v>18.34</v>
      </c>
      <c r="AM144">
        <v>30.16</v>
      </c>
      <c r="AN144">
        <v>22.82</v>
      </c>
      <c r="AO144">
        <v>25.91</v>
      </c>
      <c r="AP144">
        <v>25.16</v>
      </c>
      <c r="AQ144">
        <v>28.44</v>
      </c>
      <c r="AR144">
        <v>23.19</v>
      </c>
      <c r="AS144">
        <v>21.42</v>
      </c>
      <c r="AT144">
        <v>22.01</v>
      </c>
      <c r="AU144">
        <v>25.26</v>
      </c>
      <c r="AV144">
        <v>45</v>
      </c>
      <c r="AW144">
        <v>36.67</v>
      </c>
      <c r="AX144">
        <v>50.3</v>
      </c>
      <c r="AY144">
        <v>72.010000000000005</v>
      </c>
      <c r="AZ144">
        <v>236.08</v>
      </c>
      <c r="BA144">
        <v>165.14</v>
      </c>
      <c r="BB144">
        <v>138.69999999999999</v>
      </c>
      <c r="BC144">
        <v>53.13</v>
      </c>
      <c r="BD144">
        <v>108.2</v>
      </c>
      <c r="BE144">
        <v>311.32</v>
      </c>
      <c r="BF144">
        <v>337.87</v>
      </c>
      <c r="BG144">
        <v>46.19</v>
      </c>
      <c r="BH144">
        <v>100.66</v>
      </c>
      <c r="BI144">
        <v>193.47</v>
      </c>
      <c r="BJ144">
        <v>75.31</v>
      </c>
      <c r="BK144">
        <v>49.7</v>
      </c>
      <c r="BL144">
        <v>98.86</v>
      </c>
      <c r="BM144">
        <v>65.739999999999995</v>
      </c>
      <c r="BN144">
        <v>58.65</v>
      </c>
      <c r="BO144">
        <v>56.68</v>
      </c>
      <c r="BP144">
        <v>176.66</v>
      </c>
      <c r="BQ144">
        <v>166.57</v>
      </c>
      <c r="BR144">
        <v>87.36</v>
      </c>
      <c r="BS144">
        <v>45.96</v>
      </c>
      <c r="BT144">
        <v>44.91</v>
      </c>
      <c r="BU144">
        <v>166.24</v>
      </c>
    </row>
    <row r="145" spans="1:73" x14ac:dyDescent="0.25">
      <c r="A145" s="1">
        <v>46233</v>
      </c>
      <c r="B145">
        <v>97.62</v>
      </c>
      <c r="C145">
        <v>28.93</v>
      </c>
      <c r="D145">
        <v>72.42</v>
      </c>
      <c r="E145">
        <v>47.88</v>
      </c>
      <c r="F145">
        <v>21.77</v>
      </c>
      <c r="G145">
        <v>56.56</v>
      </c>
      <c r="H145">
        <v>95.27</v>
      </c>
      <c r="I145">
        <v>101.49</v>
      </c>
      <c r="J145">
        <v>94.79</v>
      </c>
      <c r="K145">
        <v>26.95</v>
      </c>
      <c r="L145">
        <v>32.71</v>
      </c>
      <c r="M145">
        <v>79.44</v>
      </c>
      <c r="N145">
        <v>94.44</v>
      </c>
      <c r="O145">
        <v>81.19</v>
      </c>
      <c r="P145">
        <v>30.24</v>
      </c>
      <c r="Q145">
        <v>53.91</v>
      </c>
      <c r="R145">
        <v>271.06</v>
      </c>
      <c r="S145">
        <v>57.49</v>
      </c>
      <c r="T145">
        <v>79.47</v>
      </c>
      <c r="U145">
        <v>36.29</v>
      </c>
      <c r="V145">
        <v>49.83</v>
      </c>
      <c r="W145">
        <v>113.38</v>
      </c>
      <c r="X145">
        <v>113.1</v>
      </c>
      <c r="Y145">
        <v>48.08</v>
      </c>
      <c r="Z145">
        <v>41.15</v>
      </c>
      <c r="AA145">
        <v>62.56</v>
      </c>
      <c r="AB145">
        <v>134.77000000000001</v>
      </c>
      <c r="AC145">
        <v>68.819999999999993</v>
      </c>
      <c r="AD145">
        <v>163.24</v>
      </c>
      <c r="AE145">
        <v>75.34</v>
      </c>
      <c r="AF145">
        <v>105.67</v>
      </c>
      <c r="AG145">
        <v>236.96</v>
      </c>
      <c r="AH145">
        <v>95.66</v>
      </c>
      <c r="AI145">
        <v>93.29</v>
      </c>
      <c r="AJ145">
        <v>105.76</v>
      </c>
      <c r="AK145">
        <v>30.44</v>
      </c>
      <c r="AL145">
        <v>18.52</v>
      </c>
      <c r="AM145">
        <v>30.13</v>
      </c>
      <c r="AN145">
        <v>22.83</v>
      </c>
      <c r="AO145">
        <v>25.99</v>
      </c>
      <c r="AP145">
        <v>25.16</v>
      </c>
      <c r="AQ145">
        <v>28.5</v>
      </c>
      <c r="AR145">
        <v>23.26</v>
      </c>
      <c r="AS145">
        <v>21.49</v>
      </c>
      <c r="AT145">
        <v>22.02</v>
      </c>
      <c r="AU145">
        <v>25.25</v>
      </c>
      <c r="AV145">
        <v>45</v>
      </c>
      <c r="AW145">
        <v>36.79</v>
      </c>
      <c r="AX145">
        <v>50.37</v>
      </c>
      <c r="AY145">
        <v>72.23</v>
      </c>
      <c r="AZ145">
        <v>231.37</v>
      </c>
      <c r="BA145">
        <v>166.28</v>
      </c>
      <c r="BB145">
        <v>139.41999999999999</v>
      </c>
      <c r="BC145">
        <v>53.1</v>
      </c>
      <c r="BD145">
        <v>113.58</v>
      </c>
      <c r="BE145">
        <v>307.14999999999998</v>
      </c>
      <c r="BF145">
        <v>341.98</v>
      </c>
      <c r="BG145">
        <v>46.25</v>
      </c>
      <c r="BH145">
        <v>99.49</v>
      </c>
      <c r="BI145">
        <v>192.58</v>
      </c>
      <c r="BJ145">
        <v>75.400000000000006</v>
      </c>
      <c r="BK145">
        <v>49.65</v>
      </c>
      <c r="BL145">
        <v>98.72</v>
      </c>
      <c r="BM145">
        <v>65.87</v>
      </c>
      <c r="BN145">
        <v>58.96</v>
      </c>
      <c r="BO145">
        <v>57</v>
      </c>
      <c r="BP145">
        <v>178.39</v>
      </c>
      <c r="BQ145">
        <v>175.73</v>
      </c>
      <c r="BR145">
        <v>85.47</v>
      </c>
      <c r="BS145">
        <v>45.3</v>
      </c>
      <c r="BT145">
        <v>44.66</v>
      </c>
      <c r="BU145">
        <v>163.52000000000001</v>
      </c>
    </row>
    <row r="146" spans="1:73" x14ac:dyDescent="0.25">
      <c r="A146" s="1">
        <v>46234</v>
      </c>
      <c r="B146">
        <v>97.37</v>
      </c>
      <c r="C146">
        <v>28.92</v>
      </c>
      <c r="D146">
        <v>72.23</v>
      </c>
      <c r="E146">
        <v>47.77</v>
      </c>
      <c r="F146">
        <v>21.72</v>
      </c>
      <c r="G146">
        <v>56.53</v>
      </c>
      <c r="H146">
        <v>95.08</v>
      </c>
      <c r="I146">
        <v>101.85</v>
      </c>
      <c r="J146">
        <v>94.66</v>
      </c>
      <c r="K146">
        <v>26.92</v>
      </c>
      <c r="L146">
        <v>33.049999999999997</v>
      </c>
      <c r="M146">
        <v>78.75</v>
      </c>
      <c r="N146">
        <v>95.22</v>
      </c>
      <c r="O146">
        <v>81.06</v>
      </c>
      <c r="P146">
        <v>30.05</v>
      </c>
      <c r="Q146">
        <v>53.66</v>
      </c>
      <c r="R146">
        <v>270.10000000000002</v>
      </c>
      <c r="S146">
        <v>57.09</v>
      </c>
      <c r="T146">
        <v>79.48</v>
      </c>
      <c r="U146">
        <v>36.29</v>
      </c>
      <c r="V146">
        <v>49.75</v>
      </c>
      <c r="W146">
        <v>113.23</v>
      </c>
      <c r="X146">
        <v>112.39</v>
      </c>
      <c r="Y146">
        <v>47.94</v>
      </c>
      <c r="Z146">
        <v>41.01</v>
      </c>
      <c r="AA146">
        <v>63.14</v>
      </c>
      <c r="AB146">
        <v>134.65</v>
      </c>
      <c r="AC146">
        <v>68.34</v>
      </c>
      <c r="AD146">
        <v>163.92</v>
      </c>
      <c r="AE146">
        <v>74.72</v>
      </c>
      <c r="AF146">
        <v>105.09</v>
      </c>
      <c r="AG146">
        <v>238.04</v>
      </c>
      <c r="AH146">
        <v>95.68</v>
      </c>
      <c r="AI146">
        <v>92.92</v>
      </c>
      <c r="AJ146">
        <v>105.64</v>
      </c>
      <c r="AK146">
        <v>30.47</v>
      </c>
      <c r="AL146">
        <v>18.52</v>
      </c>
      <c r="AM146">
        <v>29.94</v>
      </c>
      <c r="AN146">
        <v>22.76</v>
      </c>
      <c r="AO146">
        <v>26.01</v>
      </c>
      <c r="AP146">
        <v>25.11</v>
      </c>
      <c r="AQ146">
        <v>28.44</v>
      </c>
      <c r="AR146">
        <v>23.27</v>
      </c>
      <c r="AS146">
        <v>21.41</v>
      </c>
      <c r="AT146">
        <v>21.92</v>
      </c>
      <c r="AU146">
        <v>25.08</v>
      </c>
      <c r="AV146">
        <v>44.9</v>
      </c>
      <c r="AW146">
        <v>36.78</v>
      </c>
      <c r="AX146">
        <v>50.32</v>
      </c>
      <c r="AY146">
        <v>71.989999999999995</v>
      </c>
      <c r="AZ146">
        <v>230.43</v>
      </c>
      <c r="BA146">
        <v>167.97</v>
      </c>
      <c r="BB146">
        <v>139.22999999999999</v>
      </c>
      <c r="BC146">
        <v>52.77</v>
      </c>
      <c r="BD146">
        <v>113.15</v>
      </c>
      <c r="BE146">
        <v>304.81</v>
      </c>
      <c r="BF146">
        <v>344.44</v>
      </c>
      <c r="BG146">
        <v>46.06</v>
      </c>
      <c r="BH146">
        <v>98.95</v>
      </c>
      <c r="BI146">
        <v>191.22</v>
      </c>
      <c r="BJ146">
        <v>75.25</v>
      </c>
      <c r="BK146">
        <v>49.6</v>
      </c>
      <c r="BL146">
        <v>98.66</v>
      </c>
      <c r="BM146">
        <v>65.84</v>
      </c>
      <c r="BN146">
        <v>59.55</v>
      </c>
      <c r="BO146">
        <v>56.94</v>
      </c>
      <c r="BP146">
        <v>179.84</v>
      </c>
      <c r="BQ146">
        <v>175.35</v>
      </c>
      <c r="BR146">
        <v>85.05</v>
      </c>
      <c r="BS146">
        <v>45.07</v>
      </c>
      <c r="BT146">
        <v>44.35</v>
      </c>
      <c r="BU146">
        <v>162.55000000000001</v>
      </c>
    </row>
    <row r="147" spans="1:73" x14ac:dyDescent="0.25">
      <c r="A147" s="1">
        <v>46237</v>
      </c>
      <c r="B147">
        <v>97.26</v>
      </c>
      <c r="C147">
        <v>28.85</v>
      </c>
      <c r="D147">
        <v>72.150000000000006</v>
      </c>
      <c r="E147">
        <v>47.84</v>
      </c>
      <c r="F147">
        <v>21.77</v>
      </c>
      <c r="G147">
        <v>56.37</v>
      </c>
      <c r="H147">
        <v>94.87</v>
      </c>
      <c r="I147">
        <v>103.3</v>
      </c>
      <c r="J147">
        <v>94.75</v>
      </c>
      <c r="K147">
        <v>26.87</v>
      </c>
      <c r="L147">
        <v>32.630000000000003</v>
      </c>
      <c r="M147">
        <v>78.72</v>
      </c>
      <c r="N147">
        <v>97.14</v>
      </c>
      <c r="O147">
        <v>81.81</v>
      </c>
      <c r="P147">
        <v>30.09</v>
      </c>
      <c r="Q147">
        <v>53.56</v>
      </c>
      <c r="R147">
        <v>274.73</v>
      </c>
      <c r="S147">
        <v>57.18</v>
      </c>
      <c r="T147">
        <v>79.31</v>
      </c>
      <c r="U147">
        <v>36.19</v>
      </c>
      <c r="V147">
        <v>49.9</v>
      </c>
      <c r="W147">
        <v>115.11</v>
      </c>
      <c r="X147">
        <v>112.52</v>
      </c>
      <c r="Y147">
        <v>47.96</v>
      </c>
      <c r="Z147">
        <v>41.24</v>
      </c>
      <c r="AA147">
        <v>62.47</v>
      </c>
      <c r="AB147">
        <v>135.91999999999999</v>
      </c>
      <c r="AC147">
        <v>68.239999999999995</v>
      </c>
      <c r="AD147">
        <v>166.73</v>
      </c>
      <c r="AE147">
        <v>74.2</v>
      </c>
      <c r="AF147">
        <v>105.23</v>
      </c>
      <c r="AG147">
        <v>243.68</v>
      </c>
      <c r="AH147">
        <v>95.45</v>
      </c>
      <c r="AI147">
        <v>92.72</v>
      </c>
      <c r="AJ147">
        <v>105.45</v>
      </c>
      <c r="AK147">
        <v>30.62</v>
      </c>
      <c r="AL147">
        <v>18.61</v>
      </c>
      <c r="AM147">
        <v>29.92</v>
      </c>
      <c r="AN147">
        <v>22.73</v>
      </c>
      <c r="AO147">
        <v>25.91</v>
      </c>
      <c r="AP147">
        <v>25.07</v>
      </c>
      <c r="AQ147">
        <v>28.4</v>
      </c>
      <c r="AR147">
        <v>23.2</v>
      </c>
      <c r="AS147">
        <v>21.43</v>
      </c>
      <c r="AT147">
        <v>21.9</v>
      </c>
      <c r="AU147">
        <v>25.08</v>
      </c>
      <c r="AV147">
        <v>44.83</v>
      </c>
      <c r="AW147">
        <v>36.68</v>
      </c>
      <c r="AX147">
        <v>50.22</v>
      </c>
      <c r="AY147">
        <v>72</v>
      </c>
      <c r="AZ147">
        <v>230.1</v>
      </c>
      <c r="BA147">
        <v>165.87</v>
      </c>
      <c r="BB147">
        <v>140.51</v>
      </c>
      <c r="BC147">
        <v>52.75</v>
      </c>
      <c r="BD147">
        <v>115.14</v>
      </c>
      <c r="BE147">
        <v>304.52</v>
      </c>
      <c r="BF147">
        <v>351.63</v>
      </c>
      <c r="BG147">
        <v>46.02</v>
      </c>
      <c r="BH147">
        <v>99.07</v>
      </c>
      <c r="BI147">
        <v>191.55</v>
      </c>
      <c r="BJ147">
        <v>75.13</v>
      </c>
      <c r="BK147">
        <v>49.52</v>
      </c>
      <c r="BL147">
        <v>98.45</v>
      </c>
      <c r="BM147">
        <v>65.81</v>
      </c>
      <c r="BN147">
        <v>58.79</v>
      </c>
      <c r="BO147">
        <v>57.38</v>
      </c>
      <c r="BP147">
        <v>183.16</v>
      </c>
      <c r="BQ147">
        <v>178.04</v>
      </c>
      <c r="BR147">
        <v>84.86</v>
      </c>
      <c r="BS147">
        <v>45.18</v>
      </c>
      <c r="BT147">
        <v>44.36</v>
      </c>
      <c r="BU147">
        <v>162.24</v>
      </c>
    </row>
    <row r="148" spans="1:73" x14ac:dyDescent="0.25">
      <c r="A148" s="1">
        <v>46238</v>
      </c>
      <c r="B148">
        <v>97.66</v>
      </c>
      <c r="C148">
        <v>28.97</v>
      </c>
      <c r="D148">
        <v>72.44</v>
      </c>
      <c r="E148">
        <v>47.97</v>
      </c>
      <c r="F148">
        <v>21.88</v>
      </c>
      <c r="G148">
        <v>56.59</v>
      </c>
      <c r="H148">
        <v>95.31</v>
      </c>
      <c r="I148">
        <v>105.35</v>
      </c>
      <c r="J148">
        <v>95.22</v>
      </c>
      <c r="K148">
        <v>26.98</v>
      </c>
      <c r="L148">
        <v>32.5</v>
      </c>
      <c r="M148">
        <v>78.86</v>
      </c>
      <c r="N148">
        <v>98.98</v>
      </c>
      <c r="O148">
        <v>82.51</v>
      </c>
      <c r="P148">
        <v>30.07</v>
      </c>
      <c r="Q148">
        <v>53.9</v>
      </c>
      <c r="R148">
        <v>286.77</v>
      </c>
      <c r="S148">
        <v>56.88</v>
      </c>
      <c r="T148">
        <v>79.55</v>
      </c>
      <c r="U148">
        <v>36.29</v>
      </c>
      <c r="V148">
        <v>50.03</v>
      </c>
      <c r="W148">
        <v>117.12</v>
      </c>
      <c r="X148">
        <v>111.87</v>
      </c>
      <c r="Y148">
        <v>48.35</v>
      </c>
      <c r="Z148">
        <v>41.38</v>
      </c>
      <c r="AA148">
        <v>62.25</v>
      </c>
      <c r="AB148">
        <v>137.08000000000001</v>
      </c>
      <c r="AC148">
        <v>68.239999999999995</v>
      </c>
      <c r="AD148">
        <v>169.86</v>
      </c>
      <c r="AE148">
        <v>74.61</v>
      </c>
      <c r="AF148">
        <v>105.12</v>
      </c>
      <c r="AG148">
        <v>253.55</v>
      </c>
      <c r="AH148">
        <v>95.75</v>
      </c>
      <c r="AI148">
        <v>93.3</v>
      </c>
      <c r="AJ148">
        <v>105.76</v>
      </c>
      <c r="AK148">
        <v>30.73</v>
      </c>
      <c r="AL148">
        <v>18.670000000000002</v>
      </c>
      <c r="AM148">
        <v>30.15</v>
      </c>
      <c r="AN148">
        <v>22.82</v>
      </c>
      <c r="AO148">
        <v>26</v>
      </c>
      <c r="AP148">
        <v>25.16</v>
      </c>
      <c r="AQ148">
        <v>28.54</v>
      </c>
      <c r="AR148">
        <v>23.27</v>
      </c>
      <c r="AS148">
        <v>21.59</v>
      </c>
      <c r="AT148">
        <v>22.02</v>
      </c>
      <c r="AU148">
        <v>25.29</v>
      </c>
      <c r="AV148">
        <v>44.94</v>
      </c>
      <c r="AW148">
        <v>36.799999999999997</v>
      </c>
      <c r="AX148">
        <v>50.44</v>
      </c>
      <c r="AY148">
        <v>72.59</v>
      </c>
      <c r="AZ148">
        <v>231.38</v>
      </c>
      <c r="BA148">
        <v>165.25</v>
      </c>
      <c r="BB148">
        <v>141.76</v>
      </c>
      <c r="BC148">
        <v>53.16</v>
      </c>
      <c r="BD148">
        <v>120.15</v>
      </c>
      <c r="BE148">
        <v>304.99</v>
      </c>
      <c r="BF148">
        <v>358.35</v>
      </c>
      <c r="BG148">
        <v>46.25</v>
      </c>
      <c r="BH148">
        <v>98.92</v>
      </c>
      <c r="BI148">
        <v>190.54</v>
      </c>
      <c r="BJ148">
        <v>75.53</v>
      </c>
      <c r="BK148">
        <v>49.66</v>
      </c>
      <c r="BL148">
        <v>98.79</v>
      </c>
      <c r="BM148">
        <v>66.13</v>
      </c>
      <c r="BN148">
        <v>58.52</v>
      </c>
      <c r="BO148">
        <v>57.88</v>
      </c>
      <c r="BP148">
        <v>186.4</v>
      </c>
      <c r="BQ148">
        <v>186.9</v>
      </c>
      <c r="BR148">
        <v>85.37</v>
      </c>
      <c r="BS148">
        <v>45.17</v>
      </c>
      <c r="BT148">
        <v>44.11</v>
      </c>
      <c r="BU148">
        <v>162.1</v>
      </c>
    </row>
    <row r="149" spans="1:73" x14ac:dyDescent="0.25">
      <c r="A149" s="1">
        <v>46239</v>
      </c>
      <c r="B149">
        <v>97.71</v>
      </c>
      <c r="C149">
        <v>28.97</v>
      </c>
      <c r="D149">
        <v>72.459999999999994</v>
      </c>
      <c r="E149">
        <v>47.99</v>
      </c>
      <c r="F149">
        <v>21.91</v>
      </c>
      <c r="G149">
        <v>56.68</v>
      </c>
      <c r="H149">
        <v>95.35</v>
      </c>
      <c r="I149">
        <v>104.34</v>
      </c>
      <c r="J149">
        <v>95.17</v>
      </c>
      <c r="K149">
        <v>26.98</v>
      </c>
      <c r="L149">
        <v>31.79</v>
      </c>
      <c r="M149">
        <v>79.72</v>
      </c>
      <c r="N149">
        <v>98.89</v>
      </c>
      <c r="O149">
        <v>82.67</v>
      </c>
      <c r="P149">
        <v>30.06</v>
      </c>
      <c r="Q149">
        <v>53.85</v>
      </c>
      <c r="R149">
        <v>285.70999999999998</v>
      </c>
      <c r="S149">
        <v>56.28</v>
      </c>
      <c r="T149">
        <v>79.52</v>
      </c>
      <c r="U149">
        <v>36.270000000000003</v>
      </c>
      <c r="V149">
        <v>50.05</v>
      </c>
      <c r="W149">
        <v>116.09</v>
      </c>
      <c r="X149">
        <v>110.74</v>
      </c>
      <c r="Y149">
        <v>48.35</v>
      </c>
      <c r="Z149">
        <v>41.46</v>
      </c>
      <c r="AA149">
        <v>60.91</v>
      </c>
      <c r="AB149">
        <v>137.44999999999999</v>
      </c>
      <c r="AC149">
        <v>69.099999999999994</v>
      </c>
      <c r="AD149">
        <v>169.8</v>
      </c>
      <c r="AE149">
        <v>74.75</v>
      </c>
      <c r="AF149">
        <v>105.14</v>
      </c>
      <c r="AG149">
        <v>251.27</v>
      </c>
      <c r="AH149">
        <v>95.67</v>
      </c>
      <c r="AI149">
        <v>93.34</v>
      </c>
      <c r="AJ149">
        <v>105.82</v>
      </c>
      <c r="AK149">
        <v>30.74</v>
      </c>
      <c r="AL149">
        <v>18.62</v>
      </c>
      <c r="AM149">
        <v>30.2</v>
      </c>
      <c r="AN149">
        <v>22.83</v>
      </c>
      <c r="AO149">
        <v>25.98</v>
      </c>
      <c r="AP149">
        <v>25.17</v>
      </c>
      <c r="AQ149">
        <v>28.55</v>
      </c>
      <c r="AR149">
        <v>23.26</v>
      </c>
      <c r="AS149">
        <v>21.61</v>
      </c>
      <c r="AT149">
        <v>22.03</v>
      </c>
      <c r="AU149">
        <v>25.33</v>
      </c>
      <c r="AV149">
        <v>44.98</v>
      </c>
      <c r="AW149">
        <v>36.79</v>
      </c>
      <c r="AX149">
        <v>50.45</v>
      </c>
      <c r="AY149">
        <v>72.599999999999994</v>
      </c>
      <c r="AZ149">
        <v>231.23</v>
      </c>
      <c r="BA149">
        <v>161.57</v>
      </c>
      <c r="BB149">
        <v>142.02000000000001</v>
      </c>
      <c r="BC149">
        <v>53.25</v>
      </c>
      <c r="BD149">
        <v>119.72</v>
      </c>
      <c r="BE149">
        <v>308.54000000000002</v>
      </c>
      <c r="BF149">
        <v>358.04</v>
      </c>
      <c r="BG149">
        <v>46.21</v>
      </c>
      <c r="BH149">
        <v>98.92</v>
      </c>
      <c r="BI149">
        <v>188.61</v>
      </c>
      <c r="BJ149">
        <v>75.52</v>
      </c>
      <c r="BK149">
        <v>49.69</v>
      </c>
      <c r="BL149">
        <v>98.89</v>
      </c>
      <c r="BM149">
        <v>66.16</v>
      </c>
      <c r="BN149">
        <v>57.31</v>
      </c>
      <c r="BO149">
        <v>58</v>
      </c>
      <c r="BP149">
        <v>186.35</v>
      </c>
      <c r="BQ149">
        <v>185.91</v>
      </c>
      <c r="BR149">
        <v>85.33</v>
      </c>
      <c r="BS149">
        <v>45.2</v>
      </c>
      <c r="BT149">
        <v>43.66</v>
      </c>
      <c r="BU149">
        <v>164.16</v>
      </c>
    </row>
    <row r="150" spans="1:73" x14ac:dyDescent="0.25">
      <c r="A150" s="1">
        <v>46240</v>
      </c>
      <c r="B150">
        <v>97.43</v>
      </c>
      <c r="C150">
        <v>28.95</v>
      </c>
      <c r="D150">
        <v>72.25</v>
      </c>
      <c r="E150">
        <v>47.89</v>
      </c>
      <c r="F150">
        <v>21.86</v>
      </c>
      <c r="G150">
        <v>56.66</v>
      </c>
      <c r="H150">
        <v>95.1</v>
      </c>
      <c r="I150">
        <v>102.88</v>
      </c>
      <c r="J150">
        <v>94.95</v>
      </c>
      <c r="K150">
        <v>26.93</v>
      </c>
      <c r="L150">
        <v>32.299999999999997</v>
      </c>
      <c r="M150">
        <v>79.84</v>
      </c>
      <c r="N150">
        <v>98.17</v>
      </c>
      <c r="O150">
        <v>82.28</v>
      </c>
      <c r="P150">
        <v>29.8</v>
      </c>
      <c r="Q150">
        <v>53.77</v>
      </c>
      <c r="R150">
        <v>285.45</v>
      </c>
      <c r="S150">
        <v>55.99</v>
      </c>
      <c r="T150">
        <v>79.459999999999994</v>
      </c>
      <c r="U150">
        <v>36.25</v>
      </c>
      <c r="V150">
        <v>49.96</v>
      </c>
      <c r="W150">
        <v>114.55</v>
      </c>
      <c r="X150">
        <v>110.29</v>
      </c>
      <c r="Y150">
        <v>48.12</v>
      </c>
      <c r="Z150">
        <v>41.27</v>
      </c>
      <c r="AA150">
        <v>61.91</v>
      </c>
      <c r="AB150">
        <v>136.80000000000001</v>
      </c>
      <c r="AC150">
        <v>69.239999999999995</v>
      </c>
      <c r="AD150">
        <v>168.49</v>
      </c>
      <c r="AE150">
        <v>74.55</v>
      </c>
      <c r="AF150">
        <v>104.19</v>
      </c>
      <c r="AG150">
        <v>250.59</v>
      </c>
      <c r="AH150">
        <v>95.61</v>
      </c>
      <c r="AI150">
        <v>93.01</v>
      </c>
      <c r="AJ150">
        <v>105.66</v>
      </c>
      <c r="AK150">
        <v>30.52</v>
      </c>
      <c r="AL150">
        <v>18.510000000000002</v>
      </c>
      <c r="AM150">
        <v>30.04</v>
      </c>
      <c r="AN150">
        <v>22.77</v>
      </c>
      <c r="AO150">
        <v>25.98</v>
      </c>
      <c r="AP150">
        <v>25.1</v>
      </c>
      <c r="AQ150">
        <v>28.47</v>
      </c>
      <c r="AR150">
        <v>23.23</v>
      </c>
      <c r="AS150">
        <v>21.48</v>
      </c>
      <c r="AT150">
        <v>21.96</v>
      </c>
      <c r="AU150">
        <v>25.18</v>
      </c>
      <c r="AV150">
        <v>44.94</v>
      </c>
      <c r="AW150">
        <v>36.76</v>
      </c>
      <c r="AX150">
        <v>50.32</v>
      </c>
      <c r="AY150">
        <v>72.239999999999995</v>
      </c>
      <c r="AZ150">
        <v>230.79</v>
      </c>
      <c r="BA150">
        <v>164.12</v>
      </c>
      <c r="BB150">
        <v>141.38999999999999</v>
      </c>
      <c r="BC150">
        <v>52.94</v>
      </c>
      <c r="BD150">
        <v>119.6</v>
      </c>
      <c r="BE150">
        <v>309.02</v>
      </c>
      <c r="BF150">
        <v>355.45</v>
      </c>
      <c r="BG150">
        <v>46.1</v>
      </c>
      <c r="BH150">
        <v>98.04</v>
      </c>
      <c r="BI150">
        <v>187.64</v>
      </c>
      <c r="BJ150">
        <v>75.28</v>
      </c>
      <c r="BK150">
        <v>49.67</v>
      </c>
      <c r="BL150">
        <v>98.86</v>
      </c>
      <c r="BM150">
        <v>66.03</v>
      </c>
      <c r="BN150">
        <v>58.16</v>
      </c>
      <c r="BO150">
        <v>57.81</v>
      </c>
      <c r="BP150">
        <v>184.76</v>
      </c>
      <c r="BQ150">
        <v>185.33</v>
      </c>
      <c r="BR150">
        <v>85.11</v>
      </c>
      <c r="BS150">
        <v>44.81</v>
      </c>
      <c r="BT150">
        <v>43.38</v>
      </c>
      <c r="BU150">
        <v>164.45</v>
      </c>
    </row>
    <row r="151" spans="1:73" x14ac:dyDescent="0.25">
      <c r="A151" s="1">
        <v>46241</v>
      </c>
      <c r="B151">
        <v>97.6</v>
      </c>
      <c r="C151">
        <v>29.02</v>
      </c>
      <c r="D151">
        <v>72.400000000000006</v>
      </c>
      <c r="E151">
        <v>47.95</v>
      </c>
      <c r="F151">
        <v>21.99</v>
      </c>
      <c r="G151">
        <v>56.83</v>
      </c>
      <c r="H151">
        <v>95.23</v>
      </c>
      <c r="I151">
        <v>103.86</v>
      </c>
      <c r="J151">
        <v>95.24</v>
      </c>
      <c r="K151">
        <v>26.99</v>
      </c>
      <c r="L151">
        <v>31.95</v>
      </c>
      <c r="M151">
        <v>80.67</v>
      </c>
      <c r="N151">
        <v>98.61</v>
      </c>
      <c r="O151">
        <v>82.03</v>
      </c>
      <c r="P151">
        <v>29.91</v>
      </c>
      <c r="Q151">
        <v>53.87</v>
      </c>
      <c r="R151">
        <v>289.83999999999997</v>
      </c>
      <c r="S151">
        <v>56.36</v>
      </c>
      <c r="T151">
        <v>79.61</v>
      </c>
      <c r="U151">
        <v>36.340000000000003</v>
      </c>
      <c r="V151">
        <v>50.03</v>
      </c>
      <c r="W151">
        <v>115.71</v>
      </c>
      <c r="X151">
        <v>110.95</v>
      </c>
      <c r="Y151">
        <v>48.21</v>
      </c>
      <c r="Z151">
        <v>41.45</v>
      </c>
      <c r="AA151">
        <v>61.23</v>
      </c>
      <c r="AB151">
        <v>136.86000000000001</v>
      </c>
      <c r="AC151">
        <v>70</v>
      </c>
      <c r="AD151">
        <v>168.38</v>
      </c>
      <c r="AE151">
        <v>74.45</v>
      </c>
      <c r="AF151">
        <v>104.69</v>
      </c>
      <c r="AG151">
        <v>254.05</v>
      </c>
      <c r="AH151">
        <v>95.81</v>
      </c>
      <c r="AI151">
        <v>93.27</v>
      </c>
      <c r="AJ151">
        <v>105.94</v>
      </c>
      <c r="AK151">
        <v>30.64</v>
      </c>
      <c r="AL151">
        <v>18.600000000000001</v>
      </c>
      <c r="AM151">
        <v>30.11</v>
      </c>
      <c r="AN151">
        <v>22.82</v>
      </c>
      <c r="AO151">
        <v>26.04</v>
      </c>
      <c r="AP151">
        <v>25.16</v>
      </c>
      <c r="AQ151">
        <v>28.51</v>
      </c>
      <c r="AR151">
        <v>23.28</v>
      </c>
      <c r="AS151">
        <v>21.53</v>
      </c>
      <c r="AT151">
        <v>22.03</v>
      </c>
      <c r="AU151">
        <v>25.25</v>
      </c>
      <c r="AV151">
        <v>45.06</v>
      </c>
      <c r="AW151">
        <v>36.82</v>
      </c>
      <c r="AX151">
        <v>50.4</v>
      </c>
      <c r="AY151">
        <v>72.36</v>
      </c>
      <c r="AZ151">
        <v>231.22</v>
      </c>
      <c r="BA151">
        <v>162.37</v>
      </c>
      <c r="BB151">
        <v>140.9</v>
      </c>
      <c r="BC151">
        <v>53.08</v>
      </c>
      <c r="BD151">
        <v>121.45</v>
      </c>
      <c r="BE151">
        <v>312.12</v>
      </c>
      <c r="BF151">
        <v>356.83</v>
      </c>
      <c r="BG151">
        <v>46.24</v>
      </c>
      <c r="BH151">
        <v>98.43</v>
      </c>
      <c r="BI151">
        <v>188.86</v>
      </c>
      <c r="BJ151">
        <v>75.400000000000006</v>
      </c>
      <c r="BK151">
        <v>49.81</v>
      </c>
      <c r="BL151">
        <v>99.14</v>
      </c>
      <c r="BM151">
        <v>66.209999999999994</v>
      </c>
      <c r="BN151">
        <v>57.5</v>
      </c>
      <c r="BO151">
        <v>57.6</v>
      </c>
      <c r="BP151">
        <v>185.18</v>
      </c>
      <c r="BQ151">
        <v>187.97</v>
      </c>
      <c r="BR151">
        <v>85.12</v>
      </c>
      <c r="BS151">
        <v>44.98</v>
      </c>
      <c r="BT151">
        <v>43.61</v>
      </c>
      <c r="BU151">
        <v>165.68</v>
      </c>
    </row>
    <row r="152" spans="1:73" x14ac:dyDescent="0.25">
      <c r="A152" s="1">
        <v>46244</v>
      </c>
      <c r="B152">
        <v>97.24</v>
      </c>
      <c r="C152">
        <v>28.96</v>
      </c>
      <c r="D152">
        <v>72.150000000000006</v>
      </c>
      <c r="E152">
        <v>47.79</v>
      </c>
      <c r="F152">
        <v>21.79</v>
      </c>
      <c r="G152">
        <v>56.79</v>
      </c>
      <c r="H152">
        <v>94.84</v>
      </c>
      <c r="I152">
        <v>103.61</v>
      </c>
      <c r="J152">
        <v>94.84</v>
      </c>
      <c r="K152">
        <v>26.99</v>
      </c>
      <c r="L152">
        <v>33.450000000000003</v>
      </c>
      <c r="M152">
        <v>81.900000000000006</v>
      </c>
      <c r="N152">
        <v>98.05</v>
      </c>
      <c r="O152">
        <v>82.18</v>
      </c>
      <c r="P152">
        <v>29.48</v>
      </c>
      <c r="Q152">
        <v>53.71</v>
      </c>
      <c r="R152">
        <v>286.99</v>
      </c>
      <c r="S152">
        <v>55.76</v>
      </c>
      <c r="T152">
        <v>79.48</v>
      </c>
      <c r="U152">
        <v>36.26</v>
      </c>
      <c r="V152">
        <v>49.9</v>
      </c>
      <c r="W152">
        <v>115.14</v>
      </c>
      <c r="X152">
        <v>109.8</v>
      </c>
      <c r="Y152">
        <v>47.83</v>
      </c>
      <c r="Z152">
        <v>41.19</v>
      </c>
      <c r="AA152">
        <v>63.99</v>
      </c>
      <c r="AB152">
        <v>137.35</v>
      </c>
      <c r="AC152">
        <v>71.14</v>
      </c>
      <c r="AD152">
        <v>167.59</v>
      </c>
      <c r="AE152">
        <v>74.19</v>
      </c>
      <c r="AF152">
        <v>103.35</v>
      </c>
      <c r="AG152">
        <v>252.38</v>
      </c>
      <c r="AH152">
        <v>95.65</v>
      </c>
      <c r="AI152">
        <v>92.92</v>
      </c>
      <c r="AJ152">
        <v>105.85</v>
      </c>
      <c r="AK152">
        <v>30.57</v>
      </c>
      <c r="AL152">
        <v>18.559999999999999</v>
      </c>
      <c r="AM152">
        <v>29.87</v>
      </c>
      <c r="AN152">
        <v>22.74</v>
      </c>
      <c r="AO152">
        <v>25.99</v>
      </c>
      <c r="AP152">
        <v>25.07</v>
      </c>
      <c r="AQ152">
        <v>28.37</v>
      </c>
      <c r="AR152">
        <v>23.24</v>
      </c>
      <c r="AS152">
        <v>21.35</v>
      </c>
      <c r="AT152">
        <v>21.94</v>
      </c>
      <c r="AU152">
        <v>25.05</v>
      </c>
      <c r="AV152">
        <v>45.03</v>
      </c>
      <c r="AW152">
        <v>36.76</v>
      </c>
      <c r="AX152">
        <v>50.18</v>
      </c>
      <c r="AY152">
        <v>71.73</v>
      </c>
      <c r="AZ152">
        <v>230.39</v>
      </c>
      <c r="BA152">
        <v>170.07</v>
      </c>
      <c r="BB152">
        <v>141.19999999999999</v>
      </c>
      <c r="BC152">
        <v>52.68</v>
      </c>
      <c r="BD152">
        <v>120.25</v>
      </c>
      <c r="BE152">
        <v>316.72000000000003</v>
      </c>
      <c r="BF152">
        <v>354.89</v>
      </c>
      <c r="BG152">
        <v>46.03</v>
      </c>
      <c r="BH152">
        <v>97.11</v>
      </c>
      <c r="BI152">
        <v>186.8</v>
      </c>
      <c r="BJ152">
        <v>75.08</v>
      </c>
      <c r="BK152">
        <v>49.78</v>
      </c>
      <c r="BL152">
        <v>99.1</v>
      </c>
      <c r="BM152">
        <v>65.959999999999994</v>
      </c>
      <c r="BN152">
        <v>60.18</v>
      </c>
      <c r="BO152">
        <v>57.81</v>
      </c>
      <c r="BP152">
        <v>184.6</v>
      </c>
      <c r="BQ152">
        <v>186.32</v>
      </c>
      <c r="BR152">
        <v>84.95</v>
      </c>
      <c r="BS152">
        <v>44.4</v>
      </c>
      <c r="BT152">
        <v>43.13</v>
      </c>
      <c r="BU152">
        <v>168.44</v>
      </c>
    </row>
    <row r="153" spans="1:73" x14ac:dyDescent="0.25">
      <c r="A153" s="1">
        <v>46245</v>
      </c>
      <c r="B153">
        <v>97.32</v>
      </c>
      <c r="C153">
        <v>28.96</v>
      </c>
      <c r="D153">
        <v>72.209999999999994</v>
      </c>
      <c r="E153">
        <v>47.82</v>
      </c>
      <c r="F153">
        <v>21.83</v>
      </c>
      <c r="G153">
        <v>56.83</v>
      </c>
      <c r="H153">
        <v>94.92</v>
      </c>
      <c r="I153">
        <v>103.67</v>
      </c>
      <c r="J153">
        <v>94.83</v>
      </c>
      <c r="K153">
        <v>27</v>
      </c>
      <c r="L153">
        <v>33.82</v>
      </c>
      <c r="M153">
        <v>81.61</v>
      </c>
      <c r="N153">
        <v>98.67</v>
      </c>
      <c r="O153">
        <v>82.28</v>
      </c>
      <c r="P153">
        <v>29.29</v>
      </c>
      <c r="Q153">
        <v>53.62</v>
      </c>
      <c r="R153">
        <v>286.79000000000002</v>
      </c>
      <c r="S153">
        <v>56.38</v>
      </c>
      <c r="T153">
        <v>79.510000000000005</v>
      </c>
      <c r="U153">
        <v>36.28</v>
      </c>
      <c r="V153">
        <v>49.91</v>
      </c>
      <c r="W153">
        <v>115.41</v>
      </c>
      <c r="X153">
        <v>110.98</v>
      </c>
      <c r="Y153">
        <v>47.84</v>
      </c>
      <c r="Z153">
        <v>41.24</v>
      </c>
      <c r="AA153">
        <v>64.67</v>
      </c>
      <c r="AB153">
        <v>137.37</v>
      </c>
      <c r="AC153">
        <v>70.89</v>
      </c>
      <c r="AD153">
        <v>168.41</v>
      </c>
      <c r="AE153">
        <v>74.099999999999994</v>
      </c>
      <c r="AF153">
        <v>102.57</v>
      </c>
      <c r="AG153">
        <v>251.02</v>
      </c>
      <c r="AH153">
        <v>95.69</v>
      </c>
      <c r="AI153">
        <v>93.03</v>
      </c>
      <c r="AJ153">
        <v>105.93</v>
      </c>
      <c r="AK153">
        <v>30.59</v>
      </c>
      <c r="AL153">
        <v>18.57</v>
      </c>
      <c r="AM153">
        <v>29.93</v>
      </c>
      <c r="AN153">
        <v>22.76</v>
      </c>
      <c r="AO153">
        <v>26</v>
      </c>
      <c r="AP153">
        <v>25.09</v>
      </c>
      <c r="AQ153">
        <v>28.38</v>
      </c>
      <c r="AR153">
        <v>23.26</v>
      </c>
      <c r="AS153">
        <v>21.35</v>
      </c>
      <c r="AT153">
        <v>21.96</v>
      </c>
      <c r="AU153">
        <v>25.09</v>
      </c>
      <c r="AV153">
        <v>45.07</v>
      </c>
      <c r="AW153">
        <v>36.76</v>
      </c>
      <c r="AX153">
        <v>50.21</v>
      </c>
      <c r="AY153">
        <v>71.78</v>
      </c>
      <c r="AZ153">
        <v>229.95</v>
      </c>
      <c r="BA153">
        <v>171.96</v>
      </c>
      <c r="BB153">
        <v>141.38</v>
      </c>
      <c r="BC153">
        <v>52.76</v>
      </c>
      <c r="BD153">
        <v>120.17</v>
      </c>
      <c r="BE153">
        <v>315.70999999999998</v>
      </c>
      <c r="BF153">
        <v>356.9</v>
      </c>
      <c r="BG153">
        <v>46.12</v>
      </c>
      <c r="BH153">
        <v>96.38</v>
      </c>
      <c r="BI153">
        <v>188.87</v>
      </c>
      <c r="BJ153">
        <v>75.09</v>
      </c>
      <c r="BK153">
        <v>49.83</v>
      </c>
      <c r="BL153">
        <v>99.17</v>
      </c>
      <c r="BM153">
        <v>65.94</v>
      </c>
      <c r="BN153">
        <v>60.93</v>
      </c>
      <c r="BO153">
        <v>57.8</v>
      </c>
      <c r="BP153">
        <v>185.7</v>
      </c>
      <c r="BQ153">
        <v>186.09</v>
      </c>
      <c r="BR153">
        <v>84.69</v>
      </c>
      <c r="BS153">
        <v>44.08</v>
      </c>
      <c r="BT153">
        <v>43.63</v>
      </c>
      <c r="BU153">
        <v>168.01</v>
      </c>
    </row>
    <row r="154" spans="1:73" x14ac:dyDescent="0.25">
      <c r="A154" s="1">
        <v>46246</v>
      </c>
      <c r="B154">
        <v>97.43</v>
      </c>
      <c r="C154">
        <v>29.03</v>
      </c>
      <c r="D154">
        <v>72.28</v>
      </c>
      <c r="E154">
        <v>47.82</v>
      </c>
      <c r="F154">
        <v>21.84</v>
      </c>
      <c r="G154">
        <v>56.85</v>
      </c>
      <c r="H154">
        <v>94.97</v>
      </c>
      <c r="I154">
        <v>105.9</v>
      </c>
      <c r="J154">
        <v>94.94</v>
      </c>
      <c r="K154">
        <v>27.02</v>
      </c>
      <c r="L154">
        <v>33.89</v>
      </c>
      <c r="M154">
        <v>81.89</v>
      </c>
      <c r="N154">
        <v>98.88</v>
      </c>
      <c r="O154">
        <v>82.46</v>
      </c>
      <c r="P154">
        <v>29.54</v>
      </c>
      <c r="Q154">
        <v>53.82</v>
      </c>
      <c r="R154">
        <v>290.2</v>
      </c>
      <c r="S154">
        <v>56.64</v>
      </c>
      <c r="T154">
        <v>79.61</v>
      </c>
      <c r="U154">
        <v>36.33</v>
      </c>
      <c r="V154">
        <v>49.91</v>
      </c>
      <c r="W154">
        <v>118.3</v>
      </c>
      <c r="X154">
        <v>111.49</v>
      </c>
      <c r="Y154">
        <v>47.88</v>
      </c>
      <c r="Z154">
        <v>41.19</v>
      </c>
      <c r="AA154">
        <v>64.8</v>
      </c>
      <c r="AB154">
        <v>137.74</v>
      </c>
      <c r="AC154">
        <v>71.17</v>
      </c>
      <c r="AD154">
        <v>168.75</v>
      </c>
      <c r="AE154">
        <v>73.87</v>
      </c>
      <c r="AF154">
        <v>103.51</v>
      </c>
      <c r="AG154">
        <v>253.08</v>
      </c>
      <c r="AH154">
        <v>95.85</v>
      </c>
      <c r="AI154">
        <v>93.19</v>
      </c>
      <c r="AJ154">
        <v>105.98</v>
      </c>
      <c r="AK154">
        <v>30.77</v>
      </c>
      <c r="AL154">
        <v>18.649999999999999</v>
      </c>
      <c r="AM154">
        <v>29.93</v>
      </c>
      <c r="AN154">
        <v>22.78</v>
      </c>
      <c r="AO154">
        <v>26.03</v>
      </c>
      <c r="AP154">
        <v>25.12</v>
      </c>
      <c r="AQ154">
        <v>28.42</v>
      </c>
      <c r="AR154">
        <v>23.29</v>
      </c>
      <c r="AS154">
        <v>21.38</v>
      </c>
      <c r="AT154">
        <v>22</v>
      </c>
      <c r="AU154">
        <v>25.09</v>
      </c>
      <c r="AV154">
        <v>45.07</v>
      </c>
      <c r="AW154">
        <v>36.82</v>
      </c>
      <c r="AX154">
        <v>50.25</v>
      </c>
      <c r="AY154">
        <v>71.849999999999994</v>
      </c>
      <c r="AZ154">
        <v>231.1</v>
      </c>
      <c r="BA154">
        <v>172.29</v>
      </c>
      <c r="BB154">
        <v>141.68</v>
      </c>
      <c r="BC154">
        <v>52.74</v>
      </c>
      <c r="BD154">
        <v>121.6</v>
      </c>
      <c r="BE154">
        <v>316.68</v>
      </c>
      <c r="BF154">
        <v>357.66</v>
      </c>
      <c r="BG154">
        <v>46.18</v>
      </c>
      <c r="BH154">
        <v>97.31</v>
      </c>
      <c r="BI154">
        <v>189.77</v>
      </c>
      <c r="BJ154">
        <v>75.19</v>
      </c>
      <c r="BK154">
        <v>49.82</v>
      </c>
      <c r="BL154">
        <v>99.21</v>
      </c>
      <c r="BM154">
        <v>65.989999999999995</v>
      </c>
      <c r="BN154">
        <v>61.03</v>
      </c>
      <c r="BO154">
        <v>57.92</v>
      </c>
      <c r="BP154">
        <v>185.88</v>
      </c>
      <c r="BQ154">
        <v>188.86</v>
      </c>
      <c r="BR154">
        <v>85.08</v>
      </c>
      <c r="BS154">
        <v>44.49</v>
      </c>
      <c r="BT154">
        <v>43.84</v>
      </c>
      <c r="BU154">
        <v>168.44</v>
      </c>
    </row>
    <row r="155" spans="1:73" x14ac:dyDescent="0.25">
      <c r="A155" s="1">
        <v>46247</v>
      </c>
      <c r="B155">
        <v>97.69</v>
      </c>
      <c r="C155">
        <v>29.09</v>
      </c>
      <c r="D155">
        <v>72.48</v>
      </c>
      <c r="E155">
        <v>47.91</v>
      </c>
      <c r="F155">
        <v>21.83</v>
      </c>
      <c r="G155">
        <v>56.93</v>
      </c>
      <c r="H155">
        <v>95.27</v>
      </c>
      <c r="I155">
        <v>106.4</v>
      </c>
      <c r="J155">
        <v>95.36</v>
      </c>
      <c r="K155">
        <v>27.12</v>
      </c>
      <c r="L155">
        <v>33.89</v>
      </c>
      <c r="M155">
        <v>81.73</v>
      </c>
      <c r="N155">
        <v>98.83</v>
      </c>
      <c r="O155">
        <v>83.07</v>
      </c>
      <c r="P155">
        <v>29.93</v>
      </c>
      <c r="Q155">
        <v>54.3</v>
      </c>
      <c r="R155">
        <v>293.44</v>
      </c>
      <c r="S155">
        <v>56.87</v>
      </c>
      <c r="T155">
        <v>79.790000000000006</v>
      </c>
      <c r="U155">
        <v>36.409999999999997</v>
      </c>
      <c r="V155">
        <v>49.99</v>
      </c>
      <c r="W155">
        <v>118.53</v>
      </c>
      <c r="X155">
        <v>111.86</v>
      </c>
      <c r="Y155">
        <v>48.13</v>
      </c>
      <c r="Z155">
        <v>41.29</v>
      </c>
      <c r="AA155">
        <v>64.77</v>
      </c>
      <c r="AB155">
        <v>138.51</v>
      </c>
      <c r="AC155">
        <v>71.11</v>
      </c>
      <c r="AD155">
        <v>169.1</v>
      </c>
      <c r="AE155">
        <v>74.430000000000007</v>
      </c>
      <c r="AF155">
        <v>104.89</v>
      </c>
      <c r="AG155">
        <v>256.58999999999997</v>
      </c>
      <c r="AH155">
        <v>96.04</v>
      </c>
      <c r="AI155">
        <v>93.49</v>
      </c>
      <c r="AJ155">
        <v>106.16</v>
      </c>
      <c r="AK155">
        <v>30.89</v>
      </c>
      <c r="AL155">
        <v>18.72</v>
      </c>
      <c r="AM155">
        <v>30.1</v>
      </c>
      <c r="AN155">
        <v>22.85</v>
      </c>
      <c r="AO155">
        <v>26.07</v>
      </c>
      <c r="AP155">
        <v>25.18</v>
      </c>
      <c r="AQ155">
        <v>28.51</v>
      </c>
      <c r="AR155">
        <v>23.33</v>
      </c>
      <c r="AS155">
        <v>21.49</v>
      </c>
      <c r="AT155">
        <v>22.07</v>
      </c>
      <c r="AU155">
        <v>25.24</v>
      </c>
      <c r="AV155">
        <v>45.15</v>
      </c>
      <c r="AW155">
        <v>36.89</v>
      </c>
      <c r="AX155">
        <v>50.41</v>
      </c>
      <c r="AY155">
        <v>72.22</v>
      </c>
      <c r="AZ155">
        <v>233.09</v>
      </c>
      <c r="BA155">
        <v>172.3</v>
      </c>
      <c r="BB155">
        <v>142.74</v>
      </c>
      <c r="BC155">
        <v>53.05</v>
      </c>
      <c r="BD155">
        <v>122.99</v>
      </c>
      <c r="BE155">
        <v>316.22000000000003</v>
      </c>
      <c r="BF155">
        <v>357.65</v>
      </c>
      <c r="BG155">
        <v>46.32</v>
      </c>
      <c r="BH155">
        <v>98.58</v>
      </c>
      <c r="BI155">
        <v>190.62</v>
      </c>
      <c r="BJ155">
        <v>75.400000000000006</v>
      </c>
      <c r="BK155">
        <v>49.91</v>
      </c>
      <c r="BL155">
        <v>99.35</v>
      </c>
      <c r="BM155">
        <v>66.28</v>
      </c>
      <c r="BN155">
        <v>61.06</v>
      </c>
      <c r="BO155">
        <v>58.26</v>
      </c>
      <c r="BP155">
        <v>185.79</v>
      </c>
      <c r="BQ155">
        <v>190.77</v>
      </c>
      <c r="BR155">
        <v>86</v>
      </c>
      <c r="BS155">
        <v>45.12</v>
      </c>
      <c r="BT155">
        <v>44.04</v>
      </c>
      <c r="BU155">
        <v>168.38</v>
      </c>
    </row>
    <row r="156" spans="1:73" x14ac:dyDescent="0.25">
      <c r="A156" s="1">
        <v>46248</v>
      </c>
      <c r="B156">
        <v>97.48</v>
      </c>
      <c r="C156">
        <v>29.04</v>
      </c>
      <c r="D156">
        <v>72.31</v>
      </c>
      <c r="E156">
        <v>47.72</v>
      </c>
      <c r="F156">
        <v>21.78</v>
      </c>
      <c r="G156">
        <v>56.81</v>
      </c>
      <c r="H156">
        <v>95.08</v>
      </c>
      <c r="I156">
        <v>106.6</v>
      </c>
      <c r="J156">
        <v>95.05</v>
      </c>
      <c r="K156">
        <v>27.07</v>
      </c>
      <c r="L156">
        <v>34.369999999999997</v>
      </c>
      <c r="M156">
        <v>81.34</v>
      </c>
      <c r="N156">
        <v>99.3</v>
      </c>
      <c r="O156">
        <v>83.04</v>
      </c>
      <c r="P156">
        <v>30.01</v>
      </c>
      <c r="Q156">
        <v>54.35</v>
      </c>
      <c r="R156">
        <v>292.5</v>
      </c>
      <c r="S156">
        <v>57.2</v>
      </c>
      <c r="T156">
        <v>79.709999999999994</v>
      </c>
      <c r="U156">
        <v>36.39</v>
      </c>
      <c r="V156">
        <v>49.87</v>
      </c>
      <c r="W156">
        <v>119.02</v>
      </c>
      <c r="X156">
        <v>112.53</v>
      </c>
      <c r="Y156">
        <v>47.86</v>
      </c>
      <c r="Z156">
        <v>41.2</v>
      </c>
      <c r="AA156">
        <v>65.66</v>
      </c>
      <c r="AB156">
        <v>138.29</v>
      </c>
      <c r="AC156">
        <v>70.650000000000006</v>
      </c>
      <c r="AD156">
        <v>169.65</v>
      </c>
      <c r="AE156">
        <v>74.84</v>
      </c>
      <c r="AF156">
        <v>105.06</v>
      </c>
      <c r="AG156">
        <v>255.5</v>
      </c>
      <c r="AH156">
        <v>95.97</v>
      </c>
      <c r="AI156">
        <v>93.2</v>
      </c>
      <c r="AJ156">
        <v>105.86</v>
      </c>
      <c r="AK156">
        <v>30.84</v>
      </c>
      <c r="AL156">
        <v>18.66</v>
      </c>
      <c r="AM156">
        <v>29.92</v>
      </c>
      <c r="AN156">
        <v>22.79</v>
      </c>
      <c r="AO156">
        <v>26.05</v>
      </c>
      <c r="AP156">
        <v>25.12</v>
      </c>
      <c r="AQ156">
        <v>28.42</v>
      </c>
      <c r="AR156">
        <v>23.31</v>
      </c>
      <c r="AS156">
        <v>21.36</v>
      </c>
      <c r="AT156">
        <v>22</v>
      </c>
      <c r="AU156">
        <v>25.07</v>
      </c>
      <c r="AV156">
        <v>45.09</v>
      </c>
      <c r="AW156">
        <v>36.869999999999997</v>
      </c>
      <c r="AX156">
        <v>50.28</v>
      </c>
      <c r="AY156">
        <v>71.790000000000006</v>
      </c>
      <c r="AZ156">
        <v>233.28</v>
      </c>
      <c r="BA156">
        <v>174.68</v>
      </c>
      <c r="BB156">
        <v>142.63</v>
      </c>
      <c r="BC156">
        <v>52.72</v>
      </c>
      <c r="BD156">
        <v>122.56</v>
      </c>
      <c r="BE156">
        <v>314.7</v>
      </c>
      <c r="BF156">
        <v>358.97</v>
      </c>
      <c r="BG156">
        <v>46.17</v>
      </c>
      <c r="BH156">
        <v>98.83</v>
      </c>
      <c r="BI156">
        <v>191.73</v>
      </c>
      <c r="BJ156">
        <v>75.180000000000007</v>
      </c>
      <c r="BK156">
        <v>49.76</v>
      </c>
      <c r="BL156">
        <v>99.15</v>
      </c>
      <c r="BM156">
        <v>66.13</v>
      </c>
      <c r="BN156">
        <v>61.91</v>
      </c>
      <c r="BO156">
        <v>58.16</v>
      </c>
      <c r="BP156">
        <v>186.51</v>
      </c>
      <c r="BQ156">
        <v>190.01</v>
      </c>
      <c r="BR156">
        <v>86.09</v>
      </c>
      <c r="BS156">
        <v>45.27</v>
      </c>
      <c r="BT156">
        <v>44.31</v>
      </c>
      <c r="BU156">
        <v>167.37</v>
      </c>
    </row>
    <row r="157" spans="1:73" x14ac:dyDescent="0.25">
      <c r="A157" s="1">
        <v>46251</v>
      </c>
      <c r="B157">
        <v>97.25</v>
      </c>
      <c r="C157">
        <v>29</v>
      </c>
      <c r="D157">
        <v>72.16</v>
      </c>
      <c r="E157">
        <v>47.65</v>
      </c>
      <c r="F157">
        <v>21.77</v>
      </c>
      <c r="G157">
        <v>56.65</v>
      </c>
      <c r="H157">
        <v>94.76</v>
      </c>
      <c r="I157">
        <v>106.5</v>
      </c>
      <c r="J157">
        <v>94.7</v>
      </c>
      <c r="K157">
        <v>27.02</v>
      </c>
      <c r="L157">
        <v>34.74</v>
      </c>
      <c r="M157">
        <v>81.290000000000006</v>
      </c>
      <c r="N157">
        <v>99.19</v>
      </c>
      <c r="O157">
        <v>82.22</v>
      </c>
      <c r="P157">
        <v>29.75</v>
      </c>
      <c r="Q157">
        <v>53.62</v>
      </c>
      <c r="R157">
        <v>292.36</v>
      </c>
      <c r="S157">
        <v>57.01</v>
      </c>
      <c r="T157">
        <v>79.61</v>
      </c>
      <c r="U157">
        <v>36.33</v>
      </c>
      <c r="V157">
        <v>49.78</v>
      </c>
      <c r="W157">
        <v>119.12</v>
      </c>
      <c r="X157">
        <v>112.16</v>
      </c>
      <c r="Y157">
        <v>47.53</v>
      </c>
      <c r="Z157">
        <v>41.22</v>
      </c>
      <c r="AA157">
        <v>66.260000000000005</v>
      </c>
      <c r="AB157">
        <v>137.01</v>
      </c>
      <c r="AC157">
        <v>70.599999999999994</v>
      </c>
      <c r="AD157">
        <v>168.85</v>
      </c>
      <c r="AE157">
        <v>73.64</v>
      </c>
      <c r="AF157">
        <v>104.15</v>
      </c>
      <c r="AG157">
        <v>254.79</v>
      </c>
      <c r="AH157">
        <v>95.85</v>
      </c>
      <c r="AI157">
        <v>93.05</v>
      </c>
      <c r="AJ157">
        <v>105.56</v>
      </c>
      <c r="AK157">
        <v>30.63</v>
      </c>
      <c r="AL157">
        <v>18.53</v>
      </c>
      <c r="AM157">
        <v>29.71</v>
      </c>
      <c r="AN157">
        <v>22.74</v>
      </c>
      <c r="AO157">
        <v>26.02</v>
      </c>
      <c r="AP157">
        <v>25.08</v>
      </c>
      <c r="AQ157">
        <v>28.34</v>
      </c>
      <c r="AR157">
        <v>23.29</v>
      </c>
      <c r="AS157">
        <v>21.22</v>
      </c>
      <c r="AT157">
        <v>21.95</v>
      </c>
      <c r="AU157">
        <v>24.91</v>
      </c>
      <c r="AV157">
        <v>44.92</v>
      </c>
      <c r="AW157">
        <v>36.83</v>
      </c>
      <c r="AX157">
        <v>50.12</v>
      </c>
      <c r="AY157">
        <v>71.27</v>
      </c>
      <c r="AZ157">
        <v>230.22</v>
      </c>
      <c r="BA157">
        <v>176.62</v>
      </c>
      <c r="BB157">
        <v>141.16</v>
      </c>
      <c r="BC157">
        <v>52.37</v>
      </c>
      <c r="BD157">
        <v>122.54</v>
      </c>
      <c r="BE157">
        <v>314.33999999999997</v>
      </c>
      <c r="BF157">
        <v>358.74</v>
      </c>
      <c r="BG157">
        <v>46.11</v>
      </c>
      <c r="BH157">
        <v>97.98</v>
      </c>
      <c r="BI157">
        <v>191.01</v>
      </c>
      <c r="BJ157">
        <v>74.95</v>
      </c>
      <c r="BK157">
        <v>49.64</v>
      </c>
      <c r="BL157">
        <v>98.85</v>
      </c>
      <c r="BM157">
        <v>65.900000000000006</v>
      </c>
      <c r="BN157">
        <v>62.58</v>
      </c>
      <c r="BO157">
        <v>57.58</v>
      </c>
      <c r="BP157">
        <v>186.32</v>
      </c>
      <c r="BQ157">
        <v>190.32</v>
      </c>
      <c r="BR157">
        <v>84.68</v>
      </c>
      <c r="BS157">
        <v>44.83</v>
      </c>
      <c r="BT157">
        <v>44.18</v>
      </c>
      <c r="BU157">
        <v>167.05</v>
      </c>
    </row>
    <row r="158" spans="1:73" x14ac:dyDescent="0.25">
      <c r="A158" s="1">
        <v>46252</v>
      </c>
      <c r="B158">
        <v>97.35</v>
      </c>
      <c r="C158">
        <v>28.99</v>
      </c>
      <c r="D158">
        <v>72.22</v>
      </c>
      <c r="E158">
        <v>47.59</v>
      </c>
      <c r="F158">
        <v>21.74</v>
      </c>
      <c r="G158">
        <v>56.53</v>
      </c>
      <c r="H158">
        <v>94.82</v>
      </c>
      <c r="I158">
        <v>104.45</v>
      </c>
      <c r="J158">
        <v>94.64</v>
      </c>
      <c r="K158">
        <v>26.98</v>
      </c>
      <c r="L158">
        <v>35.24</v>
      </c>
      <c r="M158">
        <v>82.37</v>
      </c>
      <c r="N158">
        <v>97.47</v>
      </c>
      <c r="O158">
        <v>82.41</v>
      </c>
      <c r="P158">
        <v>29.64</v>
      </c>
      <c r="Q158">
        <v>54.06</v>
      </c>
      <c r="R158">
        <v>285.82</v>
      </c>
      <c r="S158">
        <v>56.79</v>
      </c>
      <c r="T158">
        <v>79.53</v>
      </c>
      <c r="U158">
        <v>36.31</v>
      </c>
      <c r="V158">
        <v>49.78</v>
      </c>
      <c r="W158">
        <v>116.42</v>
      </c>
      <c r="X158">
        <v>111.66</v>
      </c>
      <c r="Y158">
        <v>47.63</v>
      </c>
      <c r="Z158">
        <v>41.11</v>
      </c>
      <c r="AA158">
        <v>67.31</v>
      </c>
      <c r="AB158">
        <v>137.18</v>
      </c>
      <c r="AC158">
        <v>71.67</v>
      </c>
      <c r="AD158">
        <v>166.88</v>
      </c>
      <c r="AE158">
        <v>74.44</v>
      </c>
      <c r="AF158">
        <v>103.76</v>
      </c>
      <c r="AG158">
        <v>249.58</v>
      </c>
      <c r="AH158">
        <v>95.74</v>
      </c>
      <c r="AI158">
        <v>93.08</v>
      </c>
      <c r="AJ158">
        <v>105.37</v>
      </c>
      <c r="AK158">
        <v>30.45</v>
      </c>
      <c r="AL158">
        <v>18.41</v>
      </c>
      <c r="AM158">
        <v>29.8</v>
      </c>
      <c r="AN158">
        <v>22.76</v>
      </c>
      <c r="AO158">
        <v>26</v>
      </c>
      <c r="AP158">
        <v>25.1</v>
      </c>
      <c r="AQ158">
        <v>28.37</v>
      </c>
      <c r="AR158">
        <v>23.27</v>
      </c>
      <c r="AS158">
        <v>21.26</v>
      </c>
      <c r="AT158">
        <v>21.98</v>
      </c>
      <c r="AU158">
        <v>24.98</v>
      </c>
      <c r="AV158">
        <v>44.84</v>
      </c>
      <c r="AW158">
        <v>36.79</v>
      </c>
      <c r="AX158">
        <v>50.16</v>
      </c>
      <c r="AY158">
        <v>71.459999999999994</v>
      </c>
      <c r="AZ158">
        <v>232.12</v>
      </c>
      <c r="BA158">
        <v>179.21</v>
      </c>
      <c r="BB158">
        <v>141.56</v>
      </c>
      <c r="BC158">
        <v>52.52</v>
      </c>
      <c r="BD158">
        <v>119.79</v>
      </c>
      <c r="BE158">
        <v>318.83999999999997</v>
      </c>
      <c r="BF158">
        <v>352.33</v>
      </c>
      <c r="BG158">
        <v>46.17</v>
      </c>
      <c r="BH158">
        <v>97.62</v>
      </c>
      <c r="BI158">
        <v>190.24</v>
      </c>
      <c r="BJ158">
        <v>75.03</v>
      </c>
      <c r="BK158">
        <v>49.53</v>
      </c>
      <c r="BL158">
        <v>98.6</v>
      </c>
      <c r="BM158">
        <v>65.83</v>
      </c>
      <c r="BN158">
        <v>63.68</v>
      </c>
      <c r="BO158">
        <v>57.84</v>
      </c>
      <c r="BP158">
        <v>183.57</v>
      </c>
      <c r="BQ158">
        <v>185.62</v>
      </c>
      <c r="BR158">
        <v>85.58</v>
      </c>
      <c r="BS158">
        <v>44.63</v>
      </c>
      <c r="BT158">
        <v>44.02</v>
      </c>
      <c r="BU158">
        <v>169.73</v>
      </c>
    </row>
    <row r="159" spans="1:73" x14ac:dyDescent="0.25">
      <c r="A159" s="1">
        <v>46253</v>
      </c>
      <c r="B159">
        <v>97.82</v>
      </c>
      <c r="C159">
        <v>29.07</v>
      </c>
      <c r="D159">
        <v>72.56</v>
      </c>
      <c r="E159">
        <v>47.74</v>
      </c>
      <c r="F159">
        <v>21.98</v>
      </c>
      <c r="G159">
        <v>56.65</v>
      </c>
      <c r="H159">
        <v>95.28</v>
      </c>
      <c r="I159">
        <v>103.73</v>
      </c>
      <c r="J159">
        <v>95.11</v>
      </c>
      <c r="K159">
        <v>27.07</v>
      </c>
      <c r="L159">
        <v>35.22</v>
      </c>
      <c r="M159">
        <v>85.19</v>
      </c>
      <c r="N159">
        <v>96.63</v>
      </c>
      <c r="O159">
        <v>81.91</v>
      </c>
      <c r="P159">
        <v>29.95</v>
      </c>
      <c r="Q159">
        <v>54.62</v>
      </c>
      <c r="R159">
        <v>283.52999999999997</v>
      </c>
      <c r="S159">
        <v>56.84</v>
      </c>
      <c r="T159">
        <v>79.709999999999994</v>
      </c>
      <c r="U159">
        <v>36.36</v>
      </c>
      <c r="V159">
        <v>49.84</v>
      </c>
      <c r="W159">
        <v>115.84</v>
      </c>
      <c r="X159">
        <v>111.86</v>
      </c>
      <c r="Y159">
        <v>48.23</v>
      </c>
      <c r="Z159">
        <v>41.53</v>
      </c>
      <c r="AA159">
        <v>67.290000000000006</v>
      </c>
      <c r="AB159">
        <v>136.19999999999999</v>
      </c>
      <c r="AC159">
        <v>74.33</v>
      </c>
      <c r="AD159">
        <v>165.97</v>
      </c>
      <c r="AE159">
        <v>75.069999999999993</v>
      </c>
      <c r="AF159">
        <v>104.79</v>
      </c>
      <c r="AG159">
        <v>247.8</v>
      </c>
      <c r="AH159">
        <v>95.96</v>
      </c>
      <c r="AI159">
        <v>93.57</v>
      </c>
      <c r="AJ159">
        <v>105.68</v>
      </c>
      <c r="AK159">
        <v>30.59</v>
      </c>
      <c r="AL159">
        <v>18.48</v>
      </c>
      <c r="AM159">
        <v>30.24</v>
      </c>
      <c r="AN159">
        <v>22.86</v>
      </c>
      <c r="AO159">
        <v>26.04</v>
      </c>
      <c r="AP159">
        <v>25.2</v>
      </c>
      <c r="AQ159">
        <v>28.52</v>
      </c>
      <c r="AR159">
        <v>23.31</v>
      </c>
      <c r="AS159">
        <v>21.53</v>
      </c>
      <c r="AT159">
        <v>22.08</v>
      </c>
      <c r="AU159">
        <v>25.36</v>
      </c>
      <c r="AV159">
        <v>44.93</v>
      </c>
      <c r="AW159">
        <v>36.869999999999997</v>
      </c>
      <c r="AX159">
        <v>50.44</v>
      </c>
      <c r="AY159">
        <v>72.38</v>
      </c>
      <c r="AZ159">
        <v>234.4</v>
      </c>
      <c r="BA159">
        <v>179.06</v>
      </c>
      <c r="BB159">
        <v>140.65</v>
      </c>
      <c r="BC159">
        <v>53.31</v>
      </c>
      <c r="BD159">
        <v>118.8</v>
      </c>
      <c r="BE159">
        <v>329.48</v>
      </c>
      <c r="BF159">
        <v>349.26</v>
      </c>
      <c r="BG159">
        <v>46.4</v>
      </c>
      <c r="BH159">
        <v>98.61</v>
      </c>
      <c r="BI159">
        <v>190.36</v>
      </c>
      <c r="BJ159">
        <v>75.42</v>
      </c>
      <c r="BK159">
        <v>49.66</v>
      </c>
      <c r="BL159">
        <v>98.84</v>
      </c>
      <c r="BM159">
        <v>66.11</v>
      </c>
      <c r="BN159">
        <v>63.58</v>
      </c>
      <c r="BO159">
        <v>57.48</v>
      </c>
      <c r="BP159">
        <v>181.95</v>
      </c>
      <c r="BQ159">
        <v>183.64</v>
      </c>
      <c r="BR159">
        <v>86.54</v>
      </c>
      <c r="BS159">
        <v>44.99</v>
      </c>
      <c r="BT159">
        <v>44.02</v>
      </c>
      <c r="BU159">
        <v>175.68</v>
      </c>
    </row>
    <row r="160" spans="1:73" x14ac:dyDescent="0.25">
      <c r="A160" s="1">
        <v>46254</v>
      </c>
      <c r="B160">
        <v>97.49</v>
      </c>
      <c r="C160">
        <v>28.99</v>
      </c>
      <c r="D160">
        <v>72.34</v>
      </c>
      <c r="E160">
        <v>47.65</v>
      </c>
      <c r="F160">
        <v>21.93</v>
      </c>
      <c r="G160">
        <v>56.58</v>
      </c>
      <c r="H160">
        <v>95.01</v>
      </c>
      <c r="I160">
        <v>103.57</v>
      </c>
      <c r="J160">
        <v>94.67</v>
      </c>
      <c r="K160">
        <v>27</v>
      </c>
      <c r="L160">
        <v>35.35</v>
      </c>
      <c r="M160">
        <v>83.64</v>
      </c>
      <c r="N160">
        <v>95.38</v>
      </c>
      <c r="O160">
        <v>81.17</v>
      </c>
      <c r="P160">
        <v>29.94</v>
      </c>
      <c r="Q160">
        <v>53.64</v>
      </c>
      <c r="R160">
        <v>282.35000000000002</v>
      </c>
      <c r="S160">
        <v>56.51</v>
      </c>
      <c r="T160">
        <v>79.56</v>
      </c>
      <c r="U160">
        <v>36.29</v>
      </c>
      <c r="V160">
        <v>49.79</v>
      </c>
      <c r="W160">
        <v>115.62</v>
      </c>
      <c r="X160">
        <v>111.22</v>
      </c>
      <c r="Y160">
        <v>47.87</v>
      </c>
      <c r="Z160">
        <v>41.46</v>
      </c>
      <c r="AA160">
        <v>67.48</v>
      </c>
      <c r="AB160">
        <v>134.82</v>
      </c>
      <c r="AC160">
        <v>72.98</v>
      </c>
      <c r="AD160">
        <v>163.98</v>
      </c>
      <c r="AE160">
        <v>74.98</v>
      </c>
      <c r="AF160">
        <v>104.78</v>
      </c>
      <c r="AG160">
        <v>246.8</v>
      </c>
      <c r="AH160">
        <v>95.77</v>
      </c>
      <c r="AI160">
        <v>93.3</v>
      </c>
      <c r="AJ160">
        <v>105.47</v>
      </c>
      <c r="AK160">
        <v>30.45</v>
      </c>
      <c r="AL160">
        <v>18.420000000000002</v>
      </c>
      <c r="AM160">
        <v>30.03</v>
      </c>
      <c r="AN160">
        <v>22.8</v>
      </c>
      <c r="AO160">
        <v>26.01</v>
      </c>
      <c r="AP160">
        <v>25.13</v>
      </c>
      <c r="AQ160">
        <v>28.42</v>
      </c>
      <c r="AR160">
        <v>23.27</v>
      </c>
      <c r="AS160">
        <v>21.36</v>
      </c>
      <c r="AT160">
        <v>22</v>
      </c>
      <c r="AU160">
        <v>25.18</v>
      </c>
      <c r="AV160">
        <v>44.91</v>
      </c>
      <c r="AW160">
        <v>36.799999999999997</v>
      </c>
      <c r="AX160">
        <v>50.25</v>
      </c>
      <c r="AY160">
        <v>71.819999999999993</v>
      </c>
      <c r="AZ160">
        <v>230.2</v>
      </c>
      <c r="BA160">
        <v>179.72</v>
      </c>
      <c r="BB160">
        <v>139.30000000000001</v>
      </c>
      <c r="BC160">
        <v>52.94</v>
      </c>
      <c r="BD160">
        <v>118.36</v>
      </c>
      <c r="BE160">
        <v>323.69</v>
      </c>
      <c r="BF160">
        <v>344.77</v>
      </c>
      <c r="BG160">
        <v>46.24</v>
      </c>
      <c r="BH160">
        <v>98.6</v>
      </c>
      <c r="BI160">
        <v>189.31</v>
      </c>
      <c r="BJ160">
        <v>75.14</v>
      </c>
      <c r="BK160">
        <v>49.57</v>
      </c>
      <c r="BL160">
        <v>98.62</v>
      </c>
      <c r="BM160">
        <v>65.88</v>
      </c>
      <c r="BN160">
        <v>63.75</v>
      </c>
      <c r="BO160">
        <v>56.95</v>
      </c>
      <c r="BP160">
        <v>179.77</v>
      </c>
      <c r="BQ160">
        <v>183.1</v>
      </c>
      <c r="BR160">
        <v>85.32</v>
      </c>
      <c r="BS160">
        <v>45.08</v>
      </c>
      <c r="BT160">
        <v>43.77</v>
      </c>
      <c r="BU160">
        <v>172.39</v>
      </c>
    </row>
    <row r="161" spans="1:73" x14ac:dyDescent="0.25">
      <c r="A161" s="1">
        <v>46255</v>
      </c>
      <c r="B161">
        <v>97.35</v>
      </c>
      <c r="C161">
        <v>29</v>
      </c>
      <c r="D161">
        <v>72.23</v>
      </c>
      <c r="E161">
        <v>47.65</v>
      </c>
      <c r="F161">
        <v>21.96</v>
      </c>
      <c r="G161">
        <v>56.51</v>
      </c>
      <c r="H161">
        <v>94.89</v>
      </c>
      <c r="I161">
        <v>103.69</v>
      </c>
      <c r="J161">
        <v>94.72</v>
      </c>
      <c r="K161">
        <v>27</v>
      </c>
      <c r="L161">
        <v>35.32</v>
      </c>
      <c r="M161">
        <v>84.66</v>
      </c>
      <c r="N161">
        <v>95.63</v>
      </c>
      <c r="O161">
        <v>81.93</v>
      </c>
      <c r="P161">
        <v>29.9</v>
      </c>
      <c r="Q161">
        <v>54.04</v>
      </c>
      <c r="R161">
        <v>282.62</v>
      </c>
      <c r="S161">
        <v>55.25</v>
      </c>
      <c r="T161">
        <v>79.61</v>
      </c>
      <c r="U161">
        <v>36.32</v>
      </c>
      <c r="V161">
        <v>49.77</v>
      </c>
      <c r="W161">
        <v>115.86</v>
      </c>
      <c r="X161">
        <v>108.97</v>
      </c>
      <c r="Y161">
        <v>47.79</v>
      </c>
      <c r="Z161">
        <v>41.49</v>
      </c>
      <c r="AA161">
        <v>67.36</v>
      </c>
      <c r="AB161">
        <v>136.16</v>
      </c>
      <c r="AC161">
        <v>73.89</v>
      </c>
      <c r="AD161">
        <v>164.9</v>
      </c>
      <c r="AE161">
        <v>75.319999999999993</v>
      </c>
      <c r="AF161">
        <v>104.73</v>
      </c>
      <c r="AG161">
        <v>247.25</v>
      </c>
      <c r="AH161">
        <v>95.87</v>
      </c>
      <c r="AI161">
        <v>93.12</v>
      </c>
      <c r="AJ161">
        <v>105.34</v>
      </c>
      <c r="AK161">
        <v>30.46</v>
      </c>
      <c r="AL161">
        <v>18.39</v>
      </c>
      <c r="AM161">
        <v>29.93</v>
      </c>
      <c r="AN161">
        <v>22.77</v>
      </c>
      <c r="AO161">
        <v>26.03</v>
      </c>
      <c r="AP161">
        <v>25.09</v>
      </c>
      <c r="AQ161">
        <v>28.39</v>
      </c>
      <c r="AR161">
        <v>23.3</v>
      </c>
      <c r="AS161">
        <v>21.33</v>
      </c>
      <c r="AT161">
        <v>21.96</v>
      </c>
      <c r="AU161">
        <v>25.09</v>
      </c>
      <c r="AV161">
        <v>44.87</v>
      </c>
      <c r="AW161">
        <v>36.840000000000003</v>
      </c>
      <c r="AX161">
        <v>50.2</v>
      </c>
      <c r="AY161">
        <v>71.72</v>
      </c>
      <c r="AZ161">
        <v>231.75</v>
      </c>
      <c r="BA161">
        <v>179.58</v>
      </c>
      <c r="BB161">
        <v>140.72</v>
      </c>
      <c r="BC161">
        <v>52.75</v>
      </c>
      <c r="BD161">
        <v>118.42</v>
      </c>
      <c r="BE161">
        <v>327.7</v>
      </c>
      <c r="BF161">
        <v>345.76</v>
      </c>
      <c r="BG161">
        <v>46.15</v>
      </c>
      <c r="BH161">
        <v>98.5</v>
      </c>
      <c r="BI161">
        <v>185.03</v>
      </c>
      <c r="BJ161">
        <v>75.08</v>
      </c>
      <c r="BK161">
        <v>49.54</v>
      </c>
      <c r="BL161">
        <v>98.55</v>
      </c>
      <c r="BM161">
        <v>65.91</v>
      </c>
      <c r="BN161">
        <v>63.64</v>
      </c>
      <c r="BO161">
        <v>57.48</v>
      </c>
      <c r="BP161">
        <v>180.25</v>
      </c>
      <c r="BQ161">
        <v>183.31</v>
      </c>
      <c r="BR161">
        <v>85.99</v>
      </c>
      <c r="BS161">
        <v>45.08</v>
      </c>
      <c r="BT161">
        <v>42.77</v>
      </c>
      <c r="BU161">
        <v>174.62</v>
      </c>
    </row>
    <row r="162" spans="1:73" x14ac:dyDescent="0.25">
      <c r="A162" s="1">
        <v>46258</v>
      </c>
      <c r="B162">
        <v>97.55</v>
      </c>
      <c r="C162">
        <v>29.03</v>
      </c>
      <c r="D162">
        <v>72.37</v>
      </c>
      <c r="E162">
        <v>47.68</v>
      </c>
      <c r="F162">
        <v>21.95</v>
      </c>
      <c r="G162">
        <v>56.52</v>
      </c>
      <c r="H162">
        <v>95.03</v>
      </c>
      <c r="I162">
        <v>102.66</v>
      </c>
      <c r="J162">
        <v>94.85</v>
      </c>
      <c r="K162">
        <v>27.03</v>
      </c>
      <c r="L162">
        <v>35.020000000000003</v>
      </c>
      <c r="M162">
        <v>84.61</v>
      </c>
      <c r="N162">
        <v>94.84</v>
      </c>
      <c r="O162">
        <v>82.8</v>
      </c>
      <c r="P162">
        <v>30.08</v>
      </c>
      <c r="Q162">
        <v>54.92</v>
      </c>
      <c r="R162">
        <v>277.79000000000002</v>
      </c>
      <c r="S162">
        <v>55.79</v>
      </c>
      <c r="T162">
        <v>79.7</v>
      </c>
      <c r="U162">
        <v>36.36</v>
      </c>
      <c r="V162">
        <v>49.81</v>
      </c>
      <c r="W162">
        <v>114.72</v>
      </c>
      <c r="X162">
        <v>110.03</v>
      </c>
      <c r="Y162">
        <v>47.98</v>
      </c>
      <c r="Z162">
        <v>41.47</v>
      </c>
      <c r="AA162">
        <v>66.81</v>
      </c>
      <c r="AB162">
        <v>137.36000000000001</v>
      </c>
      <c r="AC162">
        <v>73.84</v>
      </c>
      <c r="AD162">
        <v>164.47</v>
      </c>
      <c r="AE162">
        <v>76.23</v>
      </c>
      <c r="AF162">
        <v>105.39</v>
      </c>
      <c r="AG162">
        <v>244.11</v>
      </c>
      <c r="AH162">
        <v>95.95</v>
      </c>
      <c r="AI162">
        <v>93.31</v>
      </c>
      <c r="AJ162">
        <v>105.41</v>
      </c>
      <c r="AK162">
        <v>30.51</v>
      </c>
      <c r="AL162">
        <v>18.399999999999999</v>
      </c>
      <c r="AM162">
        <v>30.09</v>
      </c>
      <c r="AN162">
        <v>22.81</v>
      </c>
      <c r="AO162">
        <v>26.04</v>
      </c>
      <c r="AP162">
        <v>25.15</v>
      </c>
      <c r="AQ162">
        <v>28.45</v>
      </c>
      <c r="AR162">
        <v>23.31</v>
      </c>
      <c r="AS162">
        <v>21.42</v>
      </c>
      <c r="AT162">
        <v>22.02</v>
      </c>
      <c r="AU162">
        <v>25.23</v>
      </c>
      <c r="AV162">
        <v>44.84</v>
      </c>
      <c r="AW162">
        <v>36.86</v>
      </c>
      <c r="AX162">
        <v>50.3</v>
      </c>
      <c r="AY162">
        <v>72</v>
      </c>
      <c r="AZ162">
        <v>235.69</v>
      </c>
      <c r="BA162">
        <v>177.87</v>
      </c>
      <c r="BB162">
        <v>142.21</v>
      </c>
      <c r="BC162">
        <v>53.05</v>
      </c>
      <c r="BD162">
        <v>116.42</v>
      </c>
      <c r="BE162">
        <v>327.49</v>
      </c>
      <c r="BF162">
        <v>342.79</v>
      </c>
      <c r="BG162">
        <v>46.25</v>
      </c>
      <c r="BH162">
        <v>99.1</v>
      </c>
      <c r="BI162">
        <v>186.88</v>
      </c>
      <c r="BJ162">
        <v>75.2</v>
      </c>
      <c r="BK162">
        <v>49.54</v>
      </c>
      <c r="BL162">
        <v>98.63</v>
      </c>
      <c r="BM162">
        <v>65.989999999999995</v>
      </c>
      <c r="BN162">
        <v>63.11</v>
      </c>
      <c r="BO162">
        <v>58.22</v>
      </c>
      <c r="BP162">
        <v>179</v>
      </c>
      <c r="BQ162">
        <v>180.05</v>
      </c>
      <c r="BR162">
        <v>87.45</v>
      </c>
      <c r="BS162">
        <v>45.33</v>
      </c>
      <c r="BT162">
        <v>43.22</v>
      </c>
      <c r="BU162">
        <v>174.7</v>
      </c>
    </row>
    <row r="163" spans="1:73" x14ac:dyDescent="0.25">
      <c r="A163" s="1">
        <v>46259</v>
      </c>
      <c r="B163">
        <v>98.01</v>
      </c>
      <c r="C163">
        <v>29.11</v>
      </c>
      <c r="D163">
        <v>72.67</v>
      </c>
      <c r="E163">
        <v>47.91</v>
      </c>
      <c r="F163">
        <v>22.04</v>
      </c>
      <c r="G163">
        <v>56.56</v>
      </c>
      <c r="H163">
        <v>95.51</v>
      </c>
      <c r="I163">
        <v>103.68</v>
      </c>
      <c r="J163">
        <v>95.38</v>
      </c>
      <c r="K163">
        <v>27.12</v>
      </c>
      <c r="L163">
        <v>34.47</v>
      </c>
      <c r="M163">
        <v>85.01</v>
      </c>
      <c r="N163">
        <v>94.51</v>
      </c>
      <c r="O163">
        <v>82.92</v>
      </c>
      <c r="P163">
        <v>30.13</v>
      </c>
      <c r="Q163">
        <v>54.43</v>
      </c>
      <c r="R163">
        <v>280.41000000000003</v>
      </c>
      <c r="S163">
        <v>55.93</v>
      </c>
      <c r="T163">
        <v>79.92</v>
      </c>
      <c r="U163">
        <v>36.450000000000003</v>
      </c>
      <c r="V163">
        <v>49.98</v>
      </c>
      <c r="W163">
        <v>115.84</v>
      </c>
      <c r="X163">
        <v>110.05</v>
      </c>
      <c r="Y163">
        <v>48.46</v>
      </c>
      <c r="Z163">
        <v>41.72</v>
      </c>
      <c r="AA163">
        <v>65.73</v>
      </c>
      <c r="AB163">
        <v>137.63</v>
      </c>
      <c r="AC163">
        <v>74.13</v>
      </c>
      <c r="AD163">
        <v>164.19</v>
      </c>
      <c r="AE163">
        <v>76</v>
      </c>
      <c r="AF163">
        <v>105.46</v>
      </c>
      <c r="AG163">
        <v>246.04</v>
      </c>
      <c r="AH163">
        <v>96.2</v>
      </c>
      <c r="AI163">
        <v>93.77</v>
      </c>
      <c r="AJ163">
        <v>105.58</v>
      </c>
      <c r="AK163">
        <v>30.68</v>
      </c>
      <c r="AL163">
        <v>18.5</v>
      </c>
      <c r="AM163">
        <v>30.39</v>
      </c>
      <c r="AN163">
        <v>22.9</v>
      </c>
      <c r="AO163">
        <v>26.1</v>
      </c>
      <c r="AP163">
        <v>25.26</v>
      </c>
      <c r="AQ163">
        <v>28.59</v>
      </c>
      <c r="AR163">
        <v>23.37</v>
      </c>
      <c r="AS163">
        <v>21.63</v>
      </c>
      <c r="AT163">
        <v>22.12</v>
      </c>
      <c r="AU163">
        <v>25.47</v>
      </c>
      <c r="AV163">
        <v>44.87</v>
      </c>
      <c r="AW163">
        <v>36.950000000000003</v>
      </c>
      <c r="AX163">
        <v>50.54</v>
      </c>
      <c r="AY163">
        <v>72.69</v>
      </c>
      <c r="AZ163">
        <v>233.53</v>
      </c>
      <c r="BA163">
        <v>175.13</v>
      </c>
      <c r="BB163">
        <v>142.41</v>
      </c>
      <c r="BC163">
        <v>53.56</v>
      </c>
      <c r="BD163">
        <v>117.51</v>
      </c>
      <c r="BE163">
        <v>329.01</v>
      </c>
      <c r="BF163">
        <v>341.9</v>
      </c>
      <c r="BG163">
        <v>46.45</v>
      </c>
      <c r="BH163">
        <v>99.25</v>
      </c>
      <c r="BI163">
        <v>187.32</v>
      </c>
      <c r="BJ163">
        <v>75.61</v>
      </c>
      <c r="BK163">
        <v>49.58</v>
      </c>
      <c r="BL163">
        <v>98.63</v>
      </c>
      <c r="BM163">
        <v>66.31</v>
      </c>
      <c r="BN163">
        <v>62.06</v>
      </c>
      <c r="BO163">
        <v>58.31</v>
      </c>
      <c r="BP163">
        <v>178.4</v>
      </c>
      <c r="BQ163">
        <v>181.74</v>
      </c>
      <c r="BR163">
        <v>86.52</v>
      </c>
      <c r="BS163">
        <v>45.36</v>
      </c>
      <c r="BT163">
        <v>43.31</v>
      </c>
      <c r="BU163">
        <v>175.29</v>
      </c>
    </row>
    <row r="164" spans="1:73" x14ac:dyDescent="0.25">
      <c r="A164" s="1">
        <v>46260</v>
      </c>
      <c r="B164">
        <v>97.86</v>
      </c>
      <c r="C164">
        <v>29.1</v>
      </c>
      <c r="D164">
        <v>72.58</v>
      </c>
      <c r="E164">
        <v>47.78</v>
      </c>
      <c r="F164">
        <v>21.93</v>
      </c>
      <c r="G164">
        <v>56.49</v>
      </c>
      <c r="H164">
        <v>95.46</v>
      </c>
      <c r="I164">
        <v>103.75</v>
      </c>
      <c r="J164">
        <v>95.31</v>
      </c>
      <c r="K164">
        <v>27.09</v>
      </c>
      <c r="L164">
        <v>34.61</v>
      </c>
      <c r="M164">
        <v>84.32</v>
      </c>
      <c r="N164">
        <v>95.52</v>
      </c>
      <c r="O164">
        <v>82.82</v>
      </c>
      <c r="P164">
        <v>29.94</v>
      </c>
      <c r="Q164">
        <v>54.19</v>
      </c>
      <c r="R164">
        <v>281.66000000000003</v>
      </c>
      <c r="S164">
        <v>56.15</v>
      </c>
      <c r="T164">
        <v>79.900000000000006</v>
      </c>
      <c r="U164">
        <v>36.44</v>
      </c>
      <c r="V164">
        <v>49.85</v>
      </c>
      <c r="W164">
        <v>115.5</v>
      </c>
      <c r="X164">
        <v>110.49</v>
      </c>
      <c r="Y164">
        <v>48.41</v>
      </c>
      <c r="Z164">
        <v>41.49</v>
      </c>
      <c r="AA164">
        <v>66.05</v>
      </c>
      <c r="AB164">
        <v>137.55000000000001</v>
      </c>
      <c r="AC164">
        <v>73.400000000000006</v>
      </c>
      <c r="AD164">
        <v>165.38</v>
      </c>
      <c r="AE164">
        <v>75.77</v>
      </c>
      <c r="AF164">
        <v>104.74</v>
      </c>
      <c r="AG164">
        <v>246.67</v>
      </c>
      <c r="AH164">
        <v>96.18</v>
      </c>
      <c r="AI164">
        <v>93.58</v>
      </c>
      <c r="AJ164">
        <v>105.45</v>
      </c>
      <c r="AK164">
        <v>30.69</v>
      </c>
      <c r="AL164">
        <v>18.510000000000002</v>
      </c>
      <c r="AM164">
        <v>30.32</v>
      </c>
      <c r="AN164">
        <v>22.88</v>
      </c>
      <c r="AO164">
        <v>26.1</v>
      </c>
      <c r="AP164">
        <v>25.22</v>
      </c>
      <c r="AQ164">
        <v>28.58</v>
      </c>
      <c r="AR164">
        <v>23.37</v>
      </c>
      <c r="AS164">
        <v>21.62</v>
      </c>
      <c r="AT164">
        <v>22.07</v>
      </c>
      <c r="AU164">
        <v>25.41</v>
      </c>
      <c r="AV164">
        <v>44.8</v>
      </c>
      <c r="AW164">
        <v>36.96</v>
      </c>
      <c r="AX164">
        <v>50.51</v>
      </c>
      <c r="AY164">
        <v>72.67</v>
      </c>
      <c r="AZ164">
        <v>232.75</v>
      </c>
      <c r="BA164">
        <v>175.94</v>
      </c>
      <c r="BB164">
        <v>142.31</v>
      </c>
      <c r="BC164">
        <v>53.46</v>
      </c>
      <c r="BD164">
        <v>117.99</v>
      </c>
      <c r="BE164">
        <v>326.27</v>
      </c>
      <c r="BF164">
        <v>345.51</v>
      </c>
      <c r="BG164">
        <v>46.32</v>
      </c>
      <c r="BH164">
        <v>98.61</v>
      </c>
      <c r="BI164">
        <v>188.05</v>
      </c>
      <c r="BJ164">
        <v>75.56</v>
      </c>
      <c r="BK164">
        <v>49.51</v>
      </c>
      <c r="BL164">
        <v>98.5</v>
      </c>
      <c r="BM164">
        <v>66.239999999999995</v>
      </c>
      <c r="BN164">
        <v>62.43</v>
      </c>
      <c r="BO164">
        <v>58.26</v>
      </c>
      <c r="BP164">
        <v>180.34</v>
      </c>
      <c r="BQ164">
        <v>182.84</v>
      </c>
      <c r="BR164">
        <v>86.27</v>
      </c>
      <c r="BS164">
        <v>45.09</v>
      </c>
      <c r="BT164">
        <v>43.51</v>
      </c>
      <c r="BU164">
        <v>173.54</v>
      </c>
    </row>
    <row r="165" spans="1:73" x14ac:dyDescent="0.25">
      <c r="A165" s="1">
        <v>46261</v>
      </c>
      <c r="B165">
        <v>97.83</v>
      </c>
      <c r="C165">
        <v>29.1</v>
      </c>
      <c r="D165">
        <v>72.540000000000006</v>
      </c>
      <c r="E165">
        <v>47.7</v>
      </c>
      <c r="F165">
        <v>21.91</v>
      </c>
      <c r="G165">
        <v>56.41</v>
      </c>
      <c r="H165">
        <v>95.44</v>
      </c>
      <c r="I165">
        <v>104.04</v>
      </c>
      <c r="J165">
        <v>95.13</v>
      </c>
      <c r="K165">
        <v>27.09</v>
      </c>
      <c r="L165">
        <v>34.590000000000003</v>
      </c>
      <c r="M165">
        <v>83.48</v>
      </c>
      <c r="N165">
        <v>94.91</v>
      </c>
      <c r="O165">
        <v>82.43</v>
      </c>
      <c r="P165">
        <v>29.64</v>
      </c>
      <c r="Q165">
        <v>53.43</v>
      </c>
      <c r="R165">
        <v>291.05</v>
      </c>
      <c r="S165">
        <v>55.75</v>
      </c>
      <c r="T165">
        <v>79.87</v>
      </c>
      <c r="U165">
        <v>36.43</v>
      </c>
      <c r="V165">
        <v>49.78</v>
      </c>
      <c r="W165">
        <v>116.17</v>
      </c>
      <c r="X165">
        <v>109.64</v>
      </c>
      <c r="Y165">
        <v>48.39</v>
      </c>
      <c r="Z165">
        <v>41.42</v>
      </c>
      <c r="AA165">
        <v>65.930000000000007</v>
      </c>
      <c r="AB165">
        <v>136.88</v>
      </c>
      <c r="AC165">
        <v>72.63</v>
      </c>
      <c r="AD165">
        <v>164.32</v>
      </c>
      <c r="AE165">
        <v>74.69</v>
      </c>
      <c r="AF165">
        <v>103.79</v>
      </c>
      <c r="AG165">
        <v>253.81</v>
      </c>
      <c r="AH165">
        <v>96.13</v>
      </c>
      <c r="AI165">
        <v>93.52</v>
      </c>
      <c r="AJ165">
        <v>105.39</v>
      </c>
      <c r="AK165">
        <v>30.64</v>
      </c>
      <c r="AL165">
        <v>18.48</v>
      </c>
      <c r="AM165">
        <v>30.26</v>
      </c>
      <c r="AN165">
        <v>22.85</v>
      </c>
      <c r="AO165">
        <v>26.1</v>
      </c>
      <c r="AP165">
        <v>25.2</v>
      </c>
      <c r="AQ165">
        <v>28.55</v>
      </c>
      <c r="AR165">
        <v>23.36</v>
      </c>
      <c r="AS165">
        <v>21.61</v>
      </c>
      <c r="AT165">
        <v>22.06</v>
      </c>
      <c r="AU165">
        <v>25.37</v>
      </c>
      <c r="AV165">
        <v>44.77</v>
      </c>
      <c r="AW165">
        <v>36.94</v>
      </c>
      <c r="AX165">
        <v>50.49</v>
      </c>
      <c r="AY165">
        <v>72.62</v>
      </c>
      <c r="AZ165">
        <v>229.21</v>
      </c>
      <c r="BA165">
        <v>175.74</v>
      </c>
      <c r="BB165">
        <v>141.56</v>
      </c>
      <c r="BC165">
        <v>53.35</v>
      </c>
      <c r="BD165">
        <v>121.91</v>
      </c>
      <c r="BE165">
        <v>322.93</v>
      </c>
      <c r="BF165">
        <v>343.14</v>
      </c>
      <c r="BG165">
        <v>46.37</v>
      </c>
      <c r="BH165">
        <v>97.65</v>
      </c>
      <c r="BI165">
        <v>186.74</v>
      </c>
      <c r="BJ165">
        <v>75.510000000000005</v>
      </c>
      <c r="BK165">
        <v>49.48</v>
      </c>
      <c r="BL165">
        <v>98.4</v>
      </c>
      <c r="BM165">
        <v>66.2</v>
      </c>
      <c r="BN165">
        <v>62.29</v>
      </c>
      <c r="BO165">
        <v>57.88</v>
      </c>
      <c r="BP165">
        <v>178.8</v>
      </c>
      <c r="BQ165">
        <v>188.61</v>
      </c>
      <c r="BR165">
        <v>85.08</v>
      </c>
      <c r="BS165">
        <v>44.66</v>
      </c>
      <c r="BT165">
        <v>43.18</v>
      </c>
      <c r="BU165">
        <v>171.58</v>
      </c>
    </row>
    <row r="166" spans="1:73" x14ac:dyDescent="0.25">
      <c r="A166" s="1">
        <v>46262</v>
      </c>
      <c r="B166">
        <v>97.49</v>
      </c>
      <c r="C166">
        <v>29.03</v>
      </c>
      <c r="D166">
        <v>72.31</v>
      </c>
      <c r="E166">
        <v>47.6</v>
      </c>
      <c r="F166">
        <v>21.8</v>
      </c>
      <c r="G166">
        <v>56.27</v>
      </c>
      <c r="H166">
        <v>95.09</v>
      </c>
      <c r="I166">
        <v>102.46</v>
      </c>
      <c r="J166">
        <v>94.89</v>
      </c>
      <c r="K166">
        <v>27.03</v>
      </c>
      <c r="L166">
        <v>34.729999999999997</v>
      </c>
      <c r="M166">
        <v>83</v>
      </c>
      <c r="N166">
        <v>93.78</v>
      </c>
      <c r="O166">
        <v>82.63</v>
      </c>
      <c r="P166">
        <v>29.53</v>
      </c>
      <c r="Q166">
        <v>53.68</v>
      </c>
      <c r="R166">
        <v>286.60000000000002</v>
      </c>
      <c r="S166">
        <v>55.14</v>
      </c>
      <c r="T166">
        <v>79.739999999999995</v>
      </c>
      <c r="U166">
        <v>36.369999999999997</v>
      </c>
      <c r="V166">
        <v>49.74</v>
      </c>
      <c r="W166">
        <v>114.25</v>
      </c>
      <c r="X166">
        <v>108.67</v>
      </c>
      <c r="Y166">
        <v>48.21</v>
      </c>
      <c r="Z166">
        <v>41.2</v>
      </c>
      <c r="AA166">
        <v>66.25</v>
      </c>
      <c r="AB166">
        <v>137.34</v>
      </c>
      <c r="AC166">
        <v>72.31</v>
      </c>
      <c r="AD166">
        <v>162.86000000000001</v>
      </c>
      <c r="AE166">
        <v>75.16</v>
      </c>
      <c r="AF166">
        <v>103.43</v>
      </c>
      <c r="AG166">
        <v>251.2</v>
      </c>
      <c r="AH166">
        <v>95.97</v>
      </c>
      <c r="AI166">
        <v>93.17</v>
      </c>
      <c r="AJ166">
        <v>105.22</v>
      </c>
      <c r="AK166">
        <v>30.54</v>
      </c>
      <c r="AL166">
        <v>18.41</v>
      </c>
      <c r="AM166">
        <v>30.17</v>
      </c>
      <c r="AN166">
        <v>22.79</v>
      </c>
      <c r="AO166">
        <v>26.07</v>
      </c>
      <c r="AP166">
        <v>25.12</v>
      </c>
      <c r="AQ166">
        <v>28.45</v>
      </c>
      <c r="AR166">
        <v>23.33</v>
      </c>
      <c r="AS166">
        <v>21.53</v>
      </c>
      <c r="AT166">
        <v>21.99</v>
      </c>
      <c r="AU166">
        <v>25.29</v>
      </c>
      <c r="AV166">
        <v>44.7</v>
      </c>
      <c r="AW166">
        <v>36.869999999999997</v>
      </c>
      <c r="AX166">
        <v>50.32</v>
      </c>
      <c r="AY166">
        <v>72.349999999999994</v>
      </c>
      <c r="AZ166">
        <v>230.35</v>
      </c>
      <c r="BA166">
        <v>176.56</v>
      </c>
      <c r="BB166">
        <v>142</v>
      </c>
      <c r="BC166">
        <v>53.18</v>
      </c>
      <c r="BD166">
        <v>120.07</v>
      </c>
      <c r="BE166">
        <v>320.95999999999998</v>
      </c>
      <c r="BF166">
        <v>339.25</v>
      </c>
      <c r="BG166">
        <v>46.18</v>
      </c>
      <c r="BH166">
        <v>97.24</v>
      </c>
      <c r="BI166">
        <v>184.76</v>
      </c>
      <c r="BJ166">
        <v>75.3</v>
      </c>
      <c r="BK166">
        <v>49.4</v>
      </c>
      <c r="BL166">
        <v>98.31</v>
      </c>
      <c r="BM166">
        <v>66.010000000000005</v>
      </c>
      <c r="BN166">
        <v>62.68</v>
      </c>
      <c r="BO166">
        <v>58.1</v>
      </c>
      <c r="BP166">
        <v>177.14</v>
      </c>
      <c r="BQ166">
        <v>185.69</v>
      </c>
      <c r="BR166">
        <v>85.45</v>
      </c>
      <c r="BS166">
        <v>44.48</v>
      </c>
      <c r="BT166">
        <v>42.73</v>
      </c>
      <c r="BU166">
        <v>171.16</v>
      </c>
    </row>
    <row r="167" spans="1:73" x14ac:dyDescent="0.25">
      <c r="A167" s="1">
        <v>46265</v>
      </c>
      <c r="B167">
        <v>97.41</v>
      </c>
      <c r="C167">
        <v>29.01</v>
      </c>
      <c r="D167">
        <v>72.239999999999995</v>
      </c>
      <c r="E167">
        <v>47.55</v>
      </c>
      <c r="F167">
        <v>21.82</v>
      </c>
      <c r="G167">
        <v>56.19</v>
      </c>
      <c r="H167">
        <v>94.98</v>
      </c>
      <c r="I167">
        <v>102.19</v>
      </c>
      <c r="J167">
        <v>94.77</v>
      </c>
      <c r="K167">
        <v>27.01</v>
      </c>
      <c r="L167">
        <v>35.450000000000003</v>
      </c>
      <c r="M167">
        <v>82.73</v>
      </c>
      <c r="N167">
        <v>92.82</v>
      </c>
      <c r="O167">
        <v>82.06</v>
      </c>
      <c r="P167">
        <v>29.26</v>
      </c>
      <c r="Q167">
        <v>53.47</v>
      </c>
      <c r="R167">
        <v>287.56</v>
      </c>
      <c r="S167">
        <v>54.58</v>
      </c>
      <c r="T167">
        <v>79.81</v>
      </c>
      <c r="U167">
        <v>36.44</v>
      </c>
      <c r="V167">
        <v>49.72</v>
      </c>
      <c r="W167">
        <v>113.84</v>
      </c>
      <c r="X167">
        <v>107.59</v>
      </c>
      <c r="Y167">
        <v>48.09</v>
      </c>
      <c r="Z167">
        <v>41.21</v>
      </c>
      <c r="AA167">
        <v>67.59</v>
      </c>
      <c r="AB167">
        <v>136.47</v>
      </c>
      <c r="AC167">
        <v>72.02</v>
      </c>
      <c r="AD167">
        <v>161.19999999999999</v>
      </c>
      <c r="AE167">
        <v>74.66</v>
      </c>
      <c r="AF167">
        <v>102.63</v>
      </c>
      <c r="AG167">
        <v>251.28</v>
      </c>
      <c r="AH167">
        <v>96.06</v>
      </c>
      <c r="AI167">
        <v>93.1</v>
      </c>
      <c r="AJ167">
        <v>105.1</v>
      </c>
      <c r="AK167">
        <v>30.44</v>
      </c>
      <c r="AL167">
        <v>18.32</v>
      </c>
      <c r="AM167">
        <v>30.05</v>
      </c>
      <c r="AN167">
        <v>22.77</v>
      </c>
      <c r="AO167">
        <v>26.1</v>
      </c>
      <c r="AP167">
        <v>25.1</v>
      </c>
      <c r="AQ167">
        <v>28.44</v>
      </c>
      <c r="AR167">
        <v>23.35</v>
      </c>
      <c r="AS167">
        <v>21.48</v>
      </c>
      <c r="AT167">
        <v>21.97</v>
      </c>
      <c r="AU167">
        <v>25.19</v>
      </c>
      <c r="AV167">
        <v>44.66</v>
      </c>
      <c r="AW167">
        <v>36.92</v>
      </c>
      <c r="AX167">
        <v>50.28</v>
      </c>
      <c r="AY167">
        <v>72.2</v>
      </c>
      <c r="AZ167">
        <v>229.56</v>
      </c>
      <c r="BA167">
        <v>180.17</v>
      </c>
      <c r="BB167">
        <v>140.96</v>
      </c>
      <c r="BC167">
        <v>52.98</v>
      </c>
      <c r="BD167">
        <v>120.49</v>
      </c>
      <c r="BE167">
        <v>319.95999999999998</v>
      </c>
      <c r="BF167">
        <v>335.75</v>
      </c>
      <c r="BG167">
        <v>46.13</v>
      </c>
      <c r="BH167">
        <v>96.44</v>
      </c>
      <c r="BI167">
        <v>182.86</v>
      </c>
      <c r="BJ167">
        <v>75.19</v>
      </c>
      <c r="BK167">
        <v>49.34</v>
      </c>
      <c r="BL167">
        <v>98.13</v>
      </c>
      <c r="BM167">
        <v>65.94</v>
      </c>
      <c r="BN167">
        <v>63.96</v>
      </c>
      <c r="BO167">
        <v>57.71</v>
      </c>
      <c r="BP167">
        <v>175.13</v>
      </c>
      <c r="BQ167">
        <v>186.5</v>
      </c>
      <c r="BR167">
        <v>84.98</v>
      </c>
      <c r="BS167">
        <v>44.11</v>
      </c>
      <c r="BT167">
        <v>42.23</v>
      </c>
      <c r="BU167">
        <v>170.54</v>
      </c>
    </row>
    <row r="168" spans="1:73" x14ac:dyDescent="0.25">
      <c r="A168" s="1">
        <v>46266</v>
      </c>
      <c r="B168">
        <v>96.77</v>
      </c>
      <c r="C168">
        <v>28.72</v>
      </c>
      <c r="D168">
        <v>71.790000000000006</v>
      </c>
      <c r="E168">
        <v>47.27</v>
      </c>
      <c r="F168">
        <v>21.65</v>
      </c>
      <c r="G168">
        <v>55.75</v>
      </c>
      <c r="H168">
        <v>94.2</v>
      </c>
      <c r="I168">
        <v>100.95</v>
      </c>
      <c r="J168">
        <v>94.09</v>
      </c>
      <c r="K168">
        <v>26.77</v>
      </c>
      <c r="L168">
        <v>35.950000000000003</v>
      </c>
      <c r="M168">
        <v>83.11</v>
      </c>
      <c r="N168">
        <v>91.5</v>
      </c>
      <c r="O168">
        <v>81.27</v>
      </c>
      <c r="P168">
        <v>29.23</v>
      </c>
      <c r="Q168">
        <v>53.58</v>
      </c>
      <c r="R168">
        <v>283.68</v>
      </c>
      <c r="S168">
        <v>54.99</v>
      </c>
      <c r="T168">
        <v>79.099999999999994</v>
      </c>
      <c r="U168">
        <v>36.090000000000003</v>
      </c>
      <c r="V168">
        <v>49.58</v>
      </c>
      <c r="W168">
        <v>112.39</v>
      </c>
      <c r="X168">
        <v>108.37</v>
      </c>
      <c r="Y168">
        <v>47.57</v>
      </c>
      <c r="Z168">
        <v>40.92</v>
      </c>
      <c r="AA168">
        <v>68.540000000000006</v>
      </c>
      <c r="AB168">
        <v>135.4</v>
      </c>
      <c r="AC168">
        <v>72.38</v>
      </c>
      <c r="AD168">
        <v>158.71</v>
      </c>
      <c r="AE168">
        <v>75.08</v>
      </c>
      <c r="AF168">
        <v>102.45</v>
      </c>
      <c r="AG168">
        <v>247.94</v>
      </c>
      <c r="AH168">
        <v>95.21</v>
      </c>
      <c r="AI168">
        <v>92.41</v>
      </c>
      <c r="AJ168">
        <v>104.33</v>
      </c>
      <c r="AK168">
        <v>30.1</v>
      </c>
      <c r="AL168">
        <v>18.11</v>
      </c>
      <c r="AM168">
        <v>29.82</v>
      </c>
      <c r="AN168">
        <v>22.62</v>
      </c>
      <c r="AO168">
        <v>25.85</v>
      </c>
      <c r="AP168">
        <v>24.94</v>
      </c>
      <c r="AQ168">
        <v>28.19</v>
      </c>
      <c r="AR168">
        <v>23.14</v>
      </c>
      <c r="AS168">
        <v>21.23</v>
      </c>
      <c r="AT168">
        <v>21.82</v>
      </c>
      <c r="AU168">
        <v>25.01</v>
      </c>
      <c r="AV168">
        <v>44.31</v>
      </c>
      <c r="AW168">
        <v>36.590000000000003</v>
      </c>
      <c r="AX168">
        <v>49.89</v>
      </c>
      <c r="AY168">
        <v>71.37</v>
      </c>
      <c r="AZ168">
        <v>230.08</v>
      </c>
      <c r="BA168">
        <v>182.67</v>
      </c>
      <c r="BB168">
        <v>139.56</v>
      </c>
      <c r="BC168">
        <v>52.56</v>
      </c>
      <c r="BD168">
        <v>118.87</v>
      </c>
      <c r="BE168">
        <v>321.58999999999997</v>
      </c>
      <c r="BF168">
        <v>330.84</v>
      </c>
      <c r="BG168">
        <v>45.82</v>
      </c>
      <c r="BH168">
        <v>96.3</v>
      </c>
      <c r="BI168">
        <v>184.24</v>
      </c>
      <c r="BJ168">
        <v>74.59</v>
      </c>
      <c r="BK168">
        <v>48.98</v>
      </c>
      <c r="BL168">
        <v>97.46</v>
      </c>
      <c r="BM168">
        <v>65.430000000000007</v>
      </c>
      <c r="BN168">
        <v>64.77</v>
      </c>
      <c r="BO168">
        <v>57.2</v>
      </c>
      <c r="BP168">
        <v>172.73</v>
      </c>
      <c r="BQ168">
        <v>183.64</v>
      </c>
      <c r="BR168">
        <v>85.25</v>
      </c>
      <c r="BS168">
        <v>44.04</v>
      </c>
      <c r="BT168">
        <v>42.56</v>
      </c>
      <c r="BU168">
        <v>171.67</v>
      </c>
    </row>
    <row r="169" spans="1:73" x14ac:dyDescent="0.25">
      <c r="A169" s="1">
        <v>46267</v>
      </c>
      <c r="B169">
        <v>96.84</v>
      </c>
      <c r="C169">
        <v>28.77</v>
      </c>
      <c r="D169">
        <v>71.83</v>
      </c>
      <c r="E169">
        <v>47.25</v>
      </c>
      <c r="F169">
        <v>21.72</v>
      </c>
      <c r="G169">
        <v>55.73</v>
      </c>
      <c r="H169">
        <v>94.28</v>
      </c>
      <c r="I169">
        <v>101.31</v>
      </c>
      <c r="J169">
        <v>94.15</v>
      </c>
      <c r="K169">
        <v>26.8</v>
      </c>
      <c r="L169">
        <v>36.11</v>
      </c>
      <c r="M169">
        <v>83.89</v>
      </c>
      <c r="N169">
        <v>91.56</v>
      </c>
      <c r="O169">
        <v>82</v>
      </c>
      <c r="P169">
        <v>29.06</v>
      </c>
      <c r="Q169">
        <v>53.74</v>
      </c>
      <c r="R169">
        <v>284.23</v>
      </c>
      <c r="S169">
        <v>55.12</v>
      </c>
      <c r="T169">
        <v>79.11</v>
      </c>
      <c r="U169">
        <v>36.119999999999997</v>
      </c>
      <c r="V169">
        <v>49.59</v>
      </c>
      <c r="W169">
        <v>112.82</v>
      </c>
      <c r="X169">
        <v>108.58</v>
      </c>
      <c r="Y169">
        <v>47.64</v>
      </c>
      <c r="Z169">
        <v>41.09</v>
      </c>
      <c r="AA169">
        <v>68.8</v>
      </c>
      <c r="AB169">
        <v>136.27000000000001</v>
      </c>
      <c r="AC169">
        <v>73.010000000000005</v>
      </c>
      <c r="AD169">
        <v>159.43</v>
      </c>
      <c r="AE169">
        <v>75.540000000000006</v>
      </c>
      <c r="AF169">
        <v>101.84</v>
      </c>
      <c r="AG169">
        <v>248.38</v>
      </c>
      <c r="AH169">
        <v>95.21</v>
      </c>
      <c r="AI169">
        <v>92.51</v>
      </c>
      <c r="AJ169">
        <v>104.22</v>
      </c>
      <c r="AK169">
        <v>30.2</v>
      </c>
      <c r="AL169">
        <v>18.14</v>
      </c>
      <c r="AM169">
        <v>29.86</v>
      </c>
      <c r="AN169">
        <v>22.63</v>
      </c>
      <c r="AO169">
        <v>25.87</v>
      </c>
      <c r="AP169">
        <v>24.97</v>
      </c>
      <c r="AQ169">
        <v>28.21</v>
      </c>
      <c r="AR169">
        <v>23.14</v>
      </c>
      <c r="AS169">
        <v>21.25</v>
      </c>
      <c r="AT169">
        <v>21.82</v>
      </c>
      <c r="AU169">
        <v>25.03</v>
      </c>
      <c r="AV169">
        <v>44.29</v>
      </c>
      <c r="AW169">
        <v>36.58</v>
      </c>
      <c r="AX169">
        <v>49.93</v>
      </c>
      <c r="AY169">
        <v>71.44</v>
      </c>
      <c r="AZ169">
        <v>230.61</v>
      </c>
      <c r="BA169">
        <v>183.61</v>
      </c>
      <c r="BB169">
        <v>140.86000000000001</v>
      </c>
      <c r="BC169">
        <v>52.62</v>
      </c>
      <c r="BD169">
        <v>119.13</v>
      </c>
      <c r="BE169">
        <v>324.47000000000003</v>
      </c>
      <c r="BF169">
        <v>331.22</v>
      </c>
      <c r="BG169">
        <v>45.81</v>
      </c>
      <c r="BH169">
        <v>95.78</v>
      </c>
      <c r="BI169">
        <v>184.65</v>
      </c>
      <c r="BJ169">
        <v>74.680000000000007</v>
      </c>
      <c r="BK169">
        <v>48.95</v>
      </c>
      <c r="BL169">
        <v>97.42</v>
      </c>
      <c r="BM169">
        <v>65.45</v>
      </c>
      <c r="BN169">
        <v>65.099999999999994</v>
      </c>
      <c r="BO169">
        <v>57.66</v>
      </c>
      <c r="BP169">
        <v>172.78</v>
      </c>
      <c r="BQ169">
        <v>183.6</v>
      </c>
      <c r="BR169">
        <v>85.53</v>
      </c>
      <c r="BS169">
        <v>43.73</v>
      </c>
      <c r="BT169">
        <v>42.67</v>
      </c>
      <c r="BU169">
        <v>172.95</v>
      </c>
    </row>
    <row r="170" spans="1:73" x14ac:dyDescent="0.25">
      <c r="A170" s="1">
        <v>46268</v>
      </c>
      <c r="B170">
        <v>96.95</v>
      </c>
      <c r="C170">
        <v>28.81</v>
      </c>
      <c r="D170">
        <v>71.930000000000007</v>
      </c>
      <c r="E170">
        <v>47.4</v>
      </c>
      <c r="F170">
        <v>21.94</v>
      </c>
      <c r="G170">
        <v>55.74</v>
      </c>
      <c r="H170">
        <v>94.38</v>
      </c>
      <c r="I170">
        <v>102.46</v>
      </c>
      <c r="J170">
        <v>94.45</v>
      </c>
      <c r="K170">
        <v>26.82</v>
      </c>
      <c r="L170">
        <v>35.85</v>
      </c>
      <c r="M170">
        <v>84</v>
      </c>
      <c r="N170">
        <v>92.63</v>
      </c>
      <c r="O170">
        <v>83.33</v>
      </c>
      <c r="P170">
        <v>29.32</v>
      </c>
      <c r="Q170">
        <v>53.6</v>
      </c>
      <c r="R170">
        <v>288.47000000000003</v>
      </c>
      <c r="S170">
        <v>55.53</v>
      </c>
      <c r="T170">
        <v>79.209999999999994</v>
      </c>
      <c r="U170">
        <v>36.15</v>
      </c>
      <c r="V170">
        <v>49.68</v>
      </c>
      <c r="W170">
        <v>114.03</v>
      </c>
      <c r="X170">
        <v>109.53</v>
      </c>
      <c r="Y170">
        <v>47.71</v>
      </c>
      <c r="Z170">
        <v>41.35</v>
      </c>
      <c r="AA170">
        <v>68.37</v>
      </c>
      <c r="AB170">
        <v>138.94</v>
      </c>
      <c r="AC170">
        <v>73.150000000000006</v>
      </c>
      <c r="AD170">
        <v>160.66999999999999</v>
      </c>
      <c r="AE170">
        <v>75.13</v>
      </c>
      <c r="AF170">
        <v>102.88</v>
      </c>
      <c r="AG170">
        <v>252.54</v>
      </c>
      <c r="AH170">
        <v>95.3</v>
      </c>
      <c r="AI170">
        <v>92.66</v>
      </c>
      <c r="AJ170">
        <v>104</v>
      </c>
      <c r="AK170">
        <v>30.36</v>
      </c>
      <c r="AL170">
        <v>18.23</v>
      </c>
      <c r="AM170">
        <v>29.9</v>
      </c>
      <c r="AN170">
        <v>22.66</v>
      </c>
      <c r="AO170">
        <v>25.88</v>
      </c>
      <c r="AP170">
        <v>24.99</v>
      </c>
      <c r="AQ170">
        <v>28.27</v>
      </c>
      <c r="AR170">
        <v>23.17</v>
      </c>
      <c r="AS170">
        <v>21.29</v>
      </c>
      <c r="AT170">
        <v>21.86</v>
      </c>
      <c r="AU170">
        <v>25.07</v>
      </c>
      <c r="AV170">
        <v>44.21</v>
      </c>
      <c r="AW170">
        <v>36.619999999999997</v>
      </c>
      <c r="AX170">
        <v>50</v>
      </c>
      <c r="AY170">
        <v>71.540000000000006</v>
      </c>
      <c r="AZ170">
        <v>230.17</v>
      </c>
      <c r="BA170">
        <v>182.16</v>
      </c>
      <c r="BB170">
        <v>143.09</v>
      </c>
      <c r="BC170">
        <v>52.7</v>
      </c>
      <c r="BD170">
        <v>120.88</v>
      </c>
      <c r="BE170">
        <v>324.8</v>
      </c>
      <c r="BF170">
        <v>334.88</v>
      </c>
      <c r="BG170">
        <v>45.93</v>
      </c>
      <c r="BH170">
        <v>96.66</v>
      </c>
      <c r="BI170">
        <v>186.07</v>
      </c>
      <c r="BJ170">
        <v>74.790000000000006</v>
      </c>
      <c r="BK170">
        <v>48.86</v>
      </c>
      <c r="BL170">
        <v>97.26</v>
      </c>
      <c r="BM170">
        <v>65.62</v>
      </c>
      <c r="BN170">
        <v>64.62</v>
      </c>
      <c r="BO170">
        <v>58.56</v>
      </c>
      <c r="BP170">
        <v>174.56</v>
      </c>
      <c r="BQ170">
        <v>185.97</v>
      </c>
      <c r="BR170">
        <v>85.26</v>
      </c>
      <c r="BS170">
        <v>44.25</v>
      </c>
      <c r="BT170">
        <v>43.03</v>
      </c>
      <c r="BU170">
        <v>173.26</v>
      </c>
    </row>
    <row r="171" spans="1:73" x14ac:dyDescent="0.25">
      <c r="A171" s="1">
        <v>46269</v>
      </c>
      <c r="B171">
        <v>97</v>
      </c>
      <c r="C171">
        <v>28.8</v>
      </c>
      <c r="D171">
        <v>71.95</v>
      </c>
      <c r="E171">
        <v>47.45</v>
      </c>
      <c r="F171">
        <v>21.93</v>
      </c>
      <c r="G171">
        <v>55.7</v>
      </c>
      <c r="H171">
        <v>94.39</v>
      </c>
      <c r="I171">
        <v>102.95</v>
      </c>
      <c r="J171">
        <v>94.47</v>
      </c>
      <c r="K171">
        <v>26.81</v>
      </c>
      <c r="L171">
        <v>35.54</v>
      </c>
      <c r="M171">
        <v>83.14</v>
      </c>
      <c r="N171">
        <v>93.14</v>
      </c>
      <c r="O171">
        <v>82.74</v>
      </c>
      <c r="P171">
        <v>29.14</v>
      </c>
      <c r="Q171">
        <v>53.23</v>
      </c>
      <c r="R171">
        <v>289.31</v>
      </c>
      <c r="S171">
        <v>55.63</v>
      </c>
      <c r="T171">
        <v>79.16</v>
      </c>
      <c r="U171">
        <v>36.15</v>
      </c>
      <c r="V171">
        <v>49.74</v>
      </c>
      <c r="W171">
        <v>114.78</v>
      </c>
      <c r="X171">
        <v>109.61</v>
      </c>
      <c r="Y171">
        <v>47.74</v>
      </c>
      <c r="Z171">
        <v>41.38</v>
      </c>
      <c r="AA171">
        <v>67.73</v>
      </c>
      <c r="AB171">
        <v>138.02000000000001</v>
      </c>
      <c r="AC171">
        <v>72.400000000000006</v>
      </c>
      <c r="AD171">
        <v>161.1</v>
      </c>
      <c r="AE171">
        <v>74.47</v>
      </c>
      <c r="AF171">
        <v>102.14</v>
      </c>
      <c r="AG171">
        <v>253.31</v>
      </c>
      <c r="AH171">
        <v>95.27</v>
      </c>
      <c r="AI171">
        <v>92.72</v>
      </c>
      <c r="AJ171">
        <v>104.03</v>
      </c>
      <c r="AK171">
        <v>30.36</v>
      </c>
      <c r="AL171">
        <v>18.260000000000002</v>
      </c>
      <c r="AM171">
        <v>29.95</v>
      </c>
      <c r="AN171">
        <v>22.67</v>
      </c>
      <c r="AO171">
        <v>25.88</v>
      </c>
      <c r="AP171">
        <v>24.99</v>
      </c>
      <c r="AQ171">
        <v>28.27</v>
      </c>
      <c r="AR171">
        <v>23.16</v>
      </c>
      <c r="AS171">
        <v>21.31</v>
      </c>
      <c r="AT171">
        <v>21.87</v>
      </c>
      <c r="AU171">
        <v>25.12</v>
      </c>
      <c r="AV171">
        <v>44.22</v>
      </c>
      <c r="AW171">
        <v>36.61</v>
      </c>
      <c r="AX171">
        <v>50</v>
      </c>
      <c r="AY171">
        <v>71.62</v>
      </c>
      <c r="AZ171">
        <v>228.34</v>
      </c>
      <c r="BA171">
        <v>180.58</v>
      </c>
      <c r="BB171">
        <v>142.05000000000001</v>
      </c>
      <c r="BC171">
        <v>52.78</v>
      </c>
      <c r="BD171">
        <v>121.27</v>
      </c>
      <c r="BE171">
        <v>321.66000000000003</v>
      </c>
      <c r="BF171">
        <v>336.71</v>
      </c>
      <c r="BG171">
        <v>45.92</v>
      </c>
      <c r="BH171">
        <v>96.02</v>
      </c>
      <c r="BI171">
        <v>186.35</v>
      </c>
      <c r="BJ171">
        <v>74.77</v>
      </c>
      <c r="BK171">
        <v>48.88</v>
      </c>
      <c r="BL171">
        <v>97.28</v>
      </c>
      <c r="BM171">
        <v>65.67</v>
      </c>
      <c r="BN171">
        <v>64.06</v>
      </c>
      <c r="BO171">
        <v>58.1</v>
      </c>
      <c r="BP171">
        <v>175.27</v>
      </c>
      <c r="BQ171">
        <v>187.28</v>
      </c>
      <c r="BR171">
        <v>84.58</v>
      </c>
      <c r="BS171">
        <v>43.93</v>
      </c>
      <c r="BT171">
        <v>43.08</v>
      </c>
      <c r="BU171">
        <v>171.45</v>
      </c>
    </row>
    <row r="172" spans="1:73" x14ac:dyDescent="0.25">
      <c r="A172" s="1">
        <v>46273</v>
      </c>
      <c r="B172">
        <v>96.9</v>
      </c>
      <c r="C172">
        <v>28.79</v>
      </c>
      <c r="D172">
        <v>71.89</v>
      </c>
      <c r="E172">
        <v>47.39</v>
      </c>
      <c r="F172">
        <v>22.01</v>
      </c>
      <c r="G172">
        <v>55.75</v>
      </c>
      <c r="H172">
        <v>94.35</v>
      </c>
      <c r="I172">
        <v>104.13</v>
      </c>
      <c r="J172">
        <v>94.36</v>
      </c>
      <c r="K172">
        <v>26.76</v>
      </c>
      <c r="L172">
        <v>35.869999999999997</v>
      </c>
      <c r="M172">
        <v>81.31</v>
      </c>
      <c r="N172">
        <v>92.83</v>
      </c>
      <c r="O172">
        <v>81.599999999999994</v>
      </c>
      <c r="P172">
        <v>29.09</v>
      </c>
      <c r="Q172">
        <v>52.83</v>
      </c>
      <c r="R172">
        <v>288.98</v>
      </c>
      <c r="S172">
        <v>56.16</v>
      </c>
      <c r="T172">
        <v>79.12</v>
      </c>
      <c r="U172">
        <v>36.119999999999997</v>
      </c>
      <c r="V172">
        <v>49.68</v>
      </c>
      <c r="W172">
        <v>116.09</v>
      </c>
      <c r="X172">
        <v>110.48</v>
      </c>
      <c r="Y172">
        <v>47.72</v>
      </c>
      <c r="Z172">
        <v>41.43</v>
      </c>
      <c r="AA172">
        <v>68.38</v>
      </c>
      <c r="AB172">
        <v>136.07</v>
      </c>
      <c r="AC172">
        <v>70.66</v>
      </c>
      <c r="AD172">
        <v>159.88</v>
      </c>
      <c r="AE172">
        <v>74.11</v>
      </c>
      <c r="AF172">
        <v>102.05</v>
      </c>
      <c r="AG172">
        <v>253.08</v>
      </c>
      <c r="AH172">
        <v>95.21</v>
      </c>
      <c r="AI172">
        <v>92.53</v>
      </c>
      <c r="AJ172">
        <v>104.02</v>
      </c>
      <c r="AK172">
        <v>30.39</v>
      </c>
      <c r="AL172">
        <v>18.29</v>
      </c>
      <c r="AM172">
        <v>29.95</v>
      </c>
      <c r="AN172">
        <v>22.64</v>
      </c>
      <c r="AO172">
        <v>25.88</v>
      </c>
      <c r="AP172">
        <v>24.98</v>
      </c>
      <c r="AQ172">
        <v>28.24</v>
      </c>
      <c r="AR172">
        <v>23.14</v>
      </c>
      <c r="AS172">
        <v>21.3</v>
      </c>
      <c r="AT172">
        <v>21.84</v>
      </c>
      <c r="AU172">
        <v>25.11</v>
      </c>
      <c r="AV172">
        <v>44.25</v>
      </c>
      <c r="AW172">
        <v>36.6</v>
      </c>
      <c r="AX172">
        <v>49.96</v>
      </c>
      <c r="AY172">
        <v>71.59</v>
      </c>
      <c r="AZ172">
        <v>226.73</v>
      </c>
      <c r="BA172">
        <v>182.24</v>
      </c>
      <c r="BB172">
        <v>140.06</v>
      </c>
      <c r="BC172">
        <v>52.76</v>
      </c>
      <c r="BD172">
        <v>121.05</v>
      </c>
      <c r="BE172">
        <v>314.61</v>
      </c>
      <c r="BF172">
        <v>335.51</v>
      </c>
      <c r="BG172">
        <v>45.82</v>
      </c>
      <c r="BH172">
        <v>95.93</v>
      </c>
      <c r="BI172">
        <v>188.09</v>
      </c>
      <c r="BJ172">
        <v>74.73</v>
      </c>
      <c r="BK172">
        <v>48.87</v>
      </c>
      <c r="BL172">
        <v>97.22</v>
      </c>
      <c r="BM172">
        <v>65.56</v>
      </c>
      <c r="BN172">
        <v>64.77</v>
      </c>
      <c r="BO172">
        <v>57.3</v>
      </c>
      <c r="BP172">
        <v>174.42</v>
      </c>
      <c r="BQ172">
        <v>187.87</v>
      </c>
      <c r="BR172">
        <v>84.02</v>
      </c>
      <c r="BS172">
        <v>43.9</v>
      </c>
      <c r="BT172">
        <v>43.45</v>
      </c>
      <c r="BU172">
        <v>167.13</v>
      </c>
    </row>
    <row r="173" spans="1:73" x14ac:dyDescent="0.25">
      <c r="A173" s="1">
        <v>46274</v>
      </c>
      <c r="B173">
        <v>96.68</v>
      </c>
      <c r="C173">
        <v>28.73</v>
      </c>
      <c r="D173">
        <v>71.73</v>
      </c>
      <c r="E173">
        <v>47.23</v>
      </c>
      <c r="F173">
        <v>21.97</v>
      </c>
      <c r="G173">
        <v>55.45</v>
      </c>
      <c r="H173">
        <v>94.24</v>
      </c>
      <c r="I173">
        <v>103.38</v>
      </c>
      <c r="J173">
        <v>94.17</v>
      </c>
      <c r="K173">
        <v>26.7</v>
      </c>
      <c r="L173">
        <v>36.17</v>
      </c>
      <c r="M173">
        <v>80.97</v>
      </c>
      <c r="N173">
        <v>91.47</v>
      </c>
      <c r="O173">
        <v>81.14</v>
      </c>
      <c r="P173">
        <v>28.79</v>
      </c>
      <c r="Q173">
        <v>52.22</v>
      </c>
      <c r="R173">
        <v>288.52</v>
      </c>
      <c r="S173">
        <v>55.47</v>
      </c>
      <c r="T173">
        <v>78.98</v>
      </c>
      <c r="U173">
        <v>36.06</v>
      </c>
      <c r="V173">
        <v>49.55</v>
      </c>
      <c r="W173">
        <v>115.56</v>
      </c>
      <c r="X173">
        <v>109.25</v>
      </c>
      <c r="Y173">
        <v>47.63</v>
      </c>
      <c r="Z173">
        <v>41.25</v>
      </c>
      <c r="AA173">
        <v>68.91</v>
      </c>
      <c r="AB173">
        <v>135.38</v>
      </c>
      <c r="AC173">
        <v>70.430000000000007</v>
      </c>
      <c r="AD173">
        <v>157.71</v>
      </c>
      <c r="AE173">
        <v>73.34</v>
      </c>
      <c r="AF173">
        <v>100.91</v>
      </c>
      <c r="AG173">
        <v>252.88</v>
      </c>
      <c r="AH173">
        <v>95.04</v>
      </c>
      <c r="AI173">
        <v>92.22</v>
      </c>
      <c r="AJ173">
        <v>103.48</v>
      </c>
      <c r="AK173">
        <v>30.18</v>
      </c>
      <c r="AL173">
        <v>18.170000000000002</v>
      </c>
      <c r="AM173">
        <v>29.8</v>
      </c>
      <c r="AN173">
        <v>22.61</v>
      </c>
      <c r="AO173">
        <v>25.83</v>
      </c>
      <c r="AP173">
        <v>24.91</v>
      </c>
      <c r="AQ173">
        <v>28.2</v>
      </c>
      <c r="AR173">
        <v>23.11</v>
      </c>
      <c r="AS173">
        <v>21.27</v>
      </c>
      <c r="AT173">
        <v>21.78</v>
      </c>
      <c r="AU173">
        <v>24.98</v>
      </c>
      <c r="AV173">
        <v>44.04</v>
      </c>
      <c r="AW173">
        <v>36.53</v>
      </c>
      <c r="AX173">
        <v>49.89</v>
      </c>
      <c r="AY173">
        <v>71.45</v>
      </c>
      <c r="AZ173">
        <v>224.11</v>
      </c>
      <c r="BA173">
        <v>183.84</v>
      </c>
      <c r="BB173">
        <v>139.35</v>
      </c>
      <c r="BC173">
        <v>52.5</v>
      </c>
      <c r="BD173">
        <v>120.89</v>
      </c>
      <c r="BE173">
        <v>313.3</v>
      </c>
      <c r="BF173">
        <v>330.32</v>
      </c>
      <c r="BG173">
        <v>45.71</v>
      </c>
      <c r="BH173">
        <v>94.94</v>
      </c>
      <c r="BI173">
        <v>185.89</v>
      </c>
      <c r="BJ173">
        <v>74.61</v>
      </c>
      <c r="BK173">
        <v>48.61</v>
      </c>
      <c r="BL173">
        <v>96.78</v>
      </c>
      <c r="BM173">
        <v>65.38</v>
      </c>
      <c r="BN173">
        <v>65.31</v>
      </c>
      <c r="BO173">
        <v>57.06</v>
      </c>
      <c r="BP173">
        <v>171.79</v>
      </c>
      <c r="BQ173">
        <v>187.87</v>
      </c>
      <c r="BR173">
        <v>83.05</v>
      </c>
      <c r="BS173">
        <v>43.41</v>
      </c>
      <c r="BT173">
        <v>42.94</v>
      </c>
      <c r="BU173">
        <v>166.58</v>
      </c>
    </row>
    <row r="174" spans="1:73" x14ac:dyDescent="0.25">
      <c r="A174" s="1">
        <v>46275</v>
      </c>
      <c r="B174">
        <v>96.05</v>
      </c>
      <c r="C174">
        <v>28.55</v>
      </c>
      <c r="D174">
        <v>71.27</v>
      </c>
      <c r="E174">
        <v>46.97</v>
      </c>
      <c r="F174">
        <v>21.77</v>
      </c>
      <c r="G174">
        <v>55.09</v>
      </c>
      <c r="H174">
        <v>93.59</v>
      </c>
      <c r="I174">
        <v>101.98</v>
      </c>
      <c r="J174">
        <v>93.41</v>
      </c>
      <c r="K174">
        <v>26.52</v>
      </c>
      <c r="L174">
        <v>36</v>
      </c>
      <c r="M174">
        <v>80.459999999999994</v>
      </c>
      <c r="N174">
        <v>90.54</v>
      </c>
      <c r="O174">
        <v>80.89</v>
      </c>
      <c r="P174">
        <v>28.54</v>
      </c>
      <c r="Q174">
        <v>52.23</v>
      </c>
      <c r="R174">
        <v>285.48</v>
      </c>
      <c r="S174">
        <v>54.91</v>
      </c>
      <c r="T174">
        <v>78.62</v>
      </c>
      <c r="U174">
        <v>35.89</v>
      </c>
      <c r="V174">
        <v>49.35</v>
      </c>
      <c r="W174">
        <v>113.94</v>
      </c>
      <c r="X174">
        <v>108.23</v>
      </c>
      <c r="Y174">
        <v>47.07</v>
      </c>
      <c r="Z174">
        <v>40.93</v>
      </c>
      <c r="AA174">
        <v>68.61</v>
      </c>
      <c r="AB174">
        <v>134.91</v>
      </c>
      <c r="AC174">
        <v>70</v>
      </c>
      <c r="AD174">
        <v>156.53</v>
      </c>
      <c r="AE174">
        <v>73.44</v>
      </c>
      <c r="AF174">
        <v>99.97</v>
      </c>
      <c r="AG174">
        <v>250.31</v>
      </c>
      <c r="AH174">
        <v>94.63</v>
      </c>
      <c r="AI174">
        <v>91.48</v>
      </c>
      <c r="AJ174">
        <v>102.72</v>
      </c>
      <c r="AK174">
        <v>29.97</v>
      </c>
      <c r="AL174">
        <v>18.010000000000002</v>
      </c>
      <c r="AM174">
        <v>29.44</v>
      </c>
      <c r="AN174">
        <v>22.45</v>
      </c>
      <c r="AO174">
        <v>25.71</v>
      </c>
      <c r="AP174">
        <v>24.76</v>
      </c>
      <c r="AQ174">
        <v>28.01</v>
      </c>
      <c r="AR174">
        <v>23.01</v>
      </c>
      <c r="AS174">
        <v>21.03</v>
      </c>
      <c r="AT174">
        <v>21.61</v>
      </c>
      <c r="AU174">
        <v>24.7</v>
      </c>
      <c r="AV174">
        <v>43.68</v>
      </c>
      <c r="AW174">
        <v>36.35</v>
      </c>
      <c r="AX174">
        <v>49.53</v>
      </c>
      <c r="AY174">
        <v>70.62</v>
      </c>
      <c r="AZ174">
        <v>224.1</v>
      </c>
      <c r="BA174">
        <v>182.95</v>
      </c>
      <c r="BB174">
        <v>138.91</v>
      </c>
      <c r="BC174">
        <v>51.88</v>
      </c>
      <c r="BD174">
        <v>119.63</v>
      </c>
      <c r="BE174">
        <v>311.27</v>
      </c>
      <c r="BF174">
        <v>327.19</v>
      </c>
      <c r="BG174">
        <v>45.38</v>
      </c>
      <c r="BH174">
        <v>94.12</v>
      </c>
      <c r="BI174">
        <v>184.01</v>
      </c>
      <c r="BJ174">
        <v>74.09</v>
      </c>
      <c r="BK174">
        <v>48.26</v>
      </c>
      <c r="BL174">
        <v>96.13</v>
      </c>
      <c r="BM174">
        <v>64.92</v>
      </c>
      <c r="BN174">
        <v>64.930000000000007</v>
      </c>
      <c r="BO174">
        <v>56.87</v>
      </c>
      <c r="BP174">
        <v>170.55</v>
      </c>
      <c r="BQ174">
        <v>185.22</v>
      </c>
      <c r="BR174">
        <v>83.09</v>
      </c>
      <c r="BS174">
        <v>43.05</v>
      </c>
      <c r="BT174">
        <v>42.52</v>
      </c>
      <c r="BU174">
        <v>165.66</v>
      </c>
    </row>
    <row r="175" spans="1:73" x14ac:dyDescent="0.25">
      <c r="A175" s="1">
        <v>46276</v>
      </c>
      <c r="B175">
        <v>95.98</v>
      </c>
      <c r="C175">
        <v>28.51</v>
      </c>
      <c r="D175">
        <v>71.22</v>
      </c>
      <c r="E175">
        <v>46.99</v>
      </c>
      <c r="F175">
        <v>21.77</v>
      </c>
      <c r="G175">
        <v>55.34</v>
      </c>
      <c r="H175">
        <v>93.48</v>
      </c>
      <c r="I175">
        <v>102.65</v>
      </c>
      <c r="J175">
        <v>93.34</v>
      </c>
      <c r="K175">
        <v>26.52</v>
      </c>
      <c r="L175">
        <v>36.1</v>
      </c>
      <c r="M175">
        <v>80.3</v>
      </c>
      <c r="N175">
        <v>91.58</v>
      </c>
      <c r="O175">
        <v>81.37</v>
      </c>
      <c r="P175">
        <v>28.77</v>
      </c>
      <c r="Q175">
        <v>52.48</v>
      </c>
      <c r="R175">
        <v>289.02</v>
      </c>
      <c r="S175">
        <v>54.7</v>
      </c>
      <c r="T175">
        <v>78.599999999999994</v>
      </c>
      <c r="U175">
        <v>35.880000000000003</v>
      </c>
      <c r="V175">
        <v>49.41</v>
      </c>
      <c r="W175">
        <v>114.16</v>
      </c>
      <c r="X175">
        <v>107.94</v>
      </c>
      <c r="Y175">
        <v>47.11</v>
      </c>
      <c r="Z175">
        <v>40.92</v>
      </c>
      <c r="AA175">
        <v>68.819999999999993</v>
      </c>
      <c r="AB175">
        <v>135.56</v>
      </c>
      <c r="AC175">
        <v>69.92</v>
      </c>
      <c r="AD175">
        <v>158.47</v>
      </c>
      <c r="AE175">
        <v>73.66</v>
      </c>
      <c r="AF175">
        <v>100.75</v>
      </c>
      <c r="AG175">
        <v>253.25</v>
      </c>
      <c r="AH175">
        <v>94.61</v>
      </c>
      <c r="AI175">
        <v>91.38</v>
      </c>
      <c r="AJ175">
        <v>103.17</v>
      </c>
      <c r="AK175">
        <v>30.15</v>
      </c>
      <c r="AL175">
        <v>18.12</v>
      </c>
      <c r="AM175">
        <v>29.46</v>
      </c>
      <c r="AN175">
        <v>22.42</v>
      </c>
      <c r="AO175">
        <v>25.69</v>
      </c>
      <c r="AP175">
        <v>24.74</v>
      </c>
      <c r="AQ175">
        <v>27.98</v>
      </c>
      <c r="AR175">
        <v>23</v>
      </c>
      <c r="AS175">
        <v>21.02</v>
      </c>
      <c r="AT175">
        <v>21.57</v>
      </c>
      <c r="AU175">
        <v>24.69</v>
      </c>
      <c r="AV175">
        <v>43.78</v>
      </c>
      <c r="AW175">
        <v>36.36</v>
      </c>
      <c r="AX175">
        <v>49.5</v>
      </c>
      <c r="AY175">
        <v>70.650000000000006</v>
      </c>
      <c r="AZ175">
        <v>225.21</v>
      </c>
      <c r="BA175">
        <v>183.61</v>
      </c>
      <c r="BB175">
        <v>139.68</v>
      </c>
      <c r="BC175">
        <v>51.9</v>
      </c>
      <c r="BD175">
        <v>121.07</v>
      </c>
      <c r="BE175">
        <v>310.74</v>
      </c>
      <c r="BF175">
        <v>331.15</v>
      </c>
      <c r="BG175">
        <v>45.32</v>
      </c>
      <c r="BH175">
        <v>94.8</v>
      </c>
      <c r="BI175">
        <v>183.19</v>
      </c>
      <c r="BJ175">
        <v>74.03</v>
      </c>
      <c r="BK175">
        <v>48.43</v>
      </c>
      <c r="BL175">
        <v>96.39</v>
      </c>
      <c r="BM175">
        <v>64.88</v>
      </c>
      <c r="BN175">
        <v>65.14</v>
      </c>
      <c r="BO175">
        <v>57.25</v>
      </c>
      <c r="BP175">
        <v>172.37</v>
      </c>
      <c r="BQ175">
        <v>187.67</v>
      </c>
      <c r="BR175">
        <v>83.38</v>
      </c>
      <c r="BS175">
        <v>43.42</v>
      </c>
      <c r="BT175">
        <v>42.39</v>
      </c>
      <c r="BU175">
        <v>165.36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4B0D-7CC3-43C4-AE54-1468839C3661}">
  <dimension ref="A1:T175"/>
  <sheetViews>
    <sheetView workbookViewId="0">
      <selection activeCell="O4" sqref="O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9" width="15.140625" style="13" bestFit="1" customWidth="1"/>
    <col min="10" max="11" width="12" style="10" bestFit="1" customWidth="1"/>
    <col min="12" max="13" width="15.140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8</v>
      </c>
      <c r="C1" s="5" t="s">
        <v>22</v>
      </c>
      <c r="D1" s="12" t="s">
        <v>87</v>
      </c>
      <c r="E1" s="12" t="s">
        <v>88</v>
      </c>
      <c r="F1" s="12" t="str">
        <f>_xlfn.CONCAT(D1," cum")</f>
        <v>CWB div cum</v>
      </c>
      <c r="G1" s="12" t="str">
        <f>_xlfn.CONCAT(E1," cum")</f>
        <v>ICVT div cum</v>
      </c>
      <c r="H1" s="12" t="str">
        <f>_xlfn.CONCAT(B1," + cum div")</f>
        <v>CWB + cum div</v>
      </c>
      <c r="I1" s="12" t="str">
        <f>_xlfn.CONCAT(C1," + cum div")</f>
        <v>ICVT + cum div</v>
      </c>
      <c r="J1" s="9" t="s">
        <v>73</v>
      </c>
      <c r="K1" s="9" t="s">
        <v>74</v>
      </c>
      <c r="L1" s="12" t="str">
        <f>_xlfn.CONCAT(B1,"*")</f>
        <v>CWB*</v>
      </c>
      <c r="M1" s="12" t="str">
        <f>_xlfn.CONCAT(C1,"*")</f>
        <v>ICVT*</v>
      </c>
      <c r="N1" s="12" t="str">
        <f>_xlfn.CONCAT(M1,"-",L1)</f>
        <v>ICVT*-CWB*</v>
      </c>
      <c r="O1" s="4" t="str">
        <f>_xlfn.CONCAT("diff/",L1)</f>
        <v>diff/CWB*</v>
      </c>
    </row>
    <row r="2" spans="1:20" x14ac:dyDescent="0.25">
      <c r="A2" s="1">
        <v>46024</v>
      </c>
      <c r="B2" s="6">
        <v>90.55</v>
      </c>
      <c r="C2" s="6">
        <v>100.03</v>
      </c>
      <c r="S2" s="16">
        <f>AVERAGE(K:K)</f>
        <v>1.1148034535464852</v>
      </c>
      <c r="T2" t="s">
        <v>92</v>
      </c>
    </row>
    <row r="3" spans="1:20" x14ac:dyDescent="0.25">
      <c r="A3" s="1">
        <v>46027</v>
      </c>
      <c r="B3" s="6">
        <v>91.53</v>
      </c>
      <c r="C3" s="6">
        <v>100.93</v>
      </c>
      <c r="F3" s="13">
        <f>F2+D3</f>
        <v>0</v>
      </c>
      <c r="G3" s="13">
        <f>G2+E3</f>
        <v>0</v>
      </c>
      <c r="H3" s="13">
        <f>B3+F3</f>
        <v>91.53</v>
      </c>
      <c r="I3" s="13">
        <f>C3+G3</f>
        <v>100.93</v>
      </c>
      <c r="J3" s="10">
        <f>I3/H3</f>
        <v>1.1026985687752651</v>
      </c>
      <c r="Q3" s="11">
        <v>-5.0000000000000001E-3</v>
      </c>
    </row>
    <row r="4" spans="1:20" x14ac:dyDescent="0.25">
      <c r="A4" s="1">
        <v>46028</v>
      </c>
      <c r="B4" s="6">
        <v>92.69</v>
      </c>
      <c r="C4" s="6">
        <v>102.18</v>
      </c>
      <c r="F4" s="13">
        <f>F3+D4</f>
        <v>0</v>
      </c>
      <c r="G4" s="13">
        <f t="shared" ref="G4:G67" si="0">G3+E4</f>
        <v>0</v>
      </c>
      <c r="H4" s="13">
        <f>B4+F4</f>
        <v>92.69</v>
      </c>
      <c r="I4" s="13">
        <f>C4+G4</f>
        <v>102.18</v>
      </c>
      <c r="J4" s="10">
        <f t="shared" ref="J4:J67" si="1">I4/H4</f>
        <v>1.1023842917251052</v>
      </c>
      <c r="Q4" s="2">
        <v>5.0000000000000001E-3</v>
      </c>
      <c r="S4" s="14">
        <f>MAX(K:K)</f>
        <v>1.1230720511247643</v>
      </c>
      <c r="T4" t="s">
        <v>89</v>
      </c>
    </row>
    <row r="5" spans="1:20" x14ac:dyDescent="0.25">
      <c r="A5" s="1">
        <v>46029</v>
      </c>
      <c r="B5" s="6">
        <v>92.1</v>
      </c>
      <c r="C5" s="6">
        <v>101.62</v>
      </c>
      <c r="F5" s="13">
        <f>F4+D5</f>
        <v>0</v>
      </c>
      <c r="G5" s="13">
        <f t="shared" si="0"/>
        <v>0</v>
      </c>
      <c r="H5" s="13">
        <f>B5+F5</f>
        <v>92.1</v>
      </c>
      <c r="I5" s="13">
        <f>C5+G5</f>
        <v>101.62</v>
      </c>
      <c r="J5" s="10">
        <f t="shared" si="1"/>
        <v>1.1033659066232357</v>
      </c>
      <c r="S5" s="15">
        <f>MIN(K:K)</f>
        <v>1.1039726384206838</v>
      </c>
      <c r="T5" t="s">
        <v>90</v>
      </c>
    </row>
    <row r="6" spans="1:20" x14ac:dyDescent="0.25">
      <c r="A6" s="1">
        <v>46030</v>
      </c>
      <c r="B6" s="6">
        <v>91.83</v>
      </c>
      <c r="C6" s="6">
        <v>101.2</v>
      </c>
      <c r="F6" s="13">
        <f>F5+D6</f>
        <v>0</v>
      </c>
      <c r="G6" s="13">
        <f t="shared" si="0"/>
        <v>0</v>
      </c>
      <c r="H6" s="13">
        <f>B6+F6</f>
        <v>91.83</v>
      </c>
      <c r="I6" s="13">
        <f>C6+G6</f>
        <v>101.2</v>
      </c>
      <c r="J6" s="10">
        <f t="shared" si="1"/>
        <v>1.1020363715561363</v>
      </c>
      <c r="S6" s="14">
        <f>S4-S5</f>
        <v>1.9099412704080443E-2</v>
      </c>
      <c r="T6" t="s">
        <v>91</v>
      </c>
    </row>
    <row r="7" spans="1:20" x14ac:dyDescent="0.25">
      <c r="A7" s="1">
        <v>46031</v>
      </c>
      <c r="B7" s="6">
        <v>92.3</v>
      </c>
      <c r="C7" s="6">
        <v>101.65</v>
      </c>
      <c r="F7" s="13">
        <f>F6+D7</f>
        <v>0</v>
      </c>
      <c r="G7" s="13">
        <f t="shared" si="0"/>
        <v>0</v>
      </c>
      <c r="H7" s="13">
        <f>B7+F7</f>
        <v>92.3</v>
      </c>
      <c r="I7" s="13">
        <f>C7+G7</f>
        <v>101.65</v>
      </c>
      <c r="J7" s="10">
        <f t="shared" si="1"/>
        <v>1.1013001083423619</v>
      </c>
    </row>
    <row r="8" spans="1:20" x14ac:dyDescent="0.25">
      <c r="A8" s="1">
        <v>46034</v>
      </c>
      <c r="B8" s="6">
        <v>93.13</v>
      </c>
      <c r="C8" s="6">
        <v>102.63</v>
      </c>
      <c r="F8" s="13">
        <f>F7+D8</f>
        <v>0</v>
      </c>
      <c r="G8" s="13">
        <f t="shared" si="0"/>
        <v>0</v>
      </c>
      <c r="H8" s="13">
        <f>B8+F8</f>
        <v>93.13</v>
      </c>
      <c r="I8" s="13">
        <f>C8+G8</f>
        <v>102.63</v>
      </c>
      <c r="J8" s="10">
        <f t="shared" si="1"/>
        <v>1.1020079458821004</v>
      </c>
    </row>
    <row r="9" spans="1:20" x14ac:dyDescent="0.25">
      <c r="A9" s="1">
        <v>46035</v>
      </c>
      <c r="B9" s="6">
        <v>93.34</v>
      </c>
      <c r="C9" s="6">
        <v>102.88</v>
      </c>
      <c r="F9" s="13">
        <f>F8+D9</f>
        <v>0</v>
      </c>
      <c r="G9" s="13">
        <f t="shared" si="0"/>
        <v>0</v>
      </c>
      <c r="H9" s="13">
        <f>B9+F9</f>
        <v>93.34</v>
      </c>
      <c r="I9" s="13">
        <f>C9+G9</f>
        <v>102.88</v>
      </c>
      <c r="J9" s="10">
        <f t="shared" si="1"/>
        <v>1.1022069852153418</v>
      </c>
    </row>
    <row r="10" spans="1:20" x14ac:dyDescent="0.25">
      <c r="A10" s="1">
        <v>46036</v>
      </c>
      <c r="B10" s="6">
        <v>93.42</v>
      </c>
      <c r="C10" s="6">
        <v>102.73</v>
      </c>
      <c r="F10" s="13">
        <f>F9+D10</f>
        <v>0</v>
      </c>
      <c r="G10" s="13">
        <f t="shared" si="0"/>
        <v>0</v>
      </c>
      <c r="H10" s="13">
        <f>B10+F10</f>
        <v>93.42</v>
      </c>
      <c r="I10" s="13">
        <f>C10+G10</f>
        <v>102.73</v>
      </c>
      <c r="J10" s="10">
        <f t="shared" si="1"/>
        <v>1.0996574609291372</v>
      </c>
    </row>
    <row r="11" spans="1:20" x14ac:dyDescent="0.25">
      <c r="A11" s="1">
        <v>46037</v>
      </c>
      <c r="B11" s="6">
        <v>93.62</v>
      </c>
      <c r="C11" s="6">
        <v>103.12</v>
      </c>
      <c r="F11" s="13">
        <f>F10+D11</f>
        <v>0</v>
      </c>
      <c r="G11" s="13">
        <f t="shared" si="0"/>
        <v>0</v>
      </c>
      <c r="H11" s="13">
        <f>B11+F11</f>
        <v>93.62</v>
      </c>
      <c r="I11" s="13">
        <f>C11+G11</f>
        <v>103.12</v>
      </c>
      <c r="J11" s="10">
        <f t="shared" si="1"/>
        <v>1.1014740440076907</v>
      </c>
    </row>
    <row r="12" spans="1:20" x14ac:dyDescent="0.25">
      <c r="A12" s="1">
        <v>46038</v>
      </c>
      <c r="B12" s="6">
        <v>93.89</v>
      </c>
      <c r="C12" s="6">
        <v>103.52</v>
      </c>
      <c r="F12" s="13">
        <f>F11+D12</f>
        <v>0</v>
      </c>
      <c r="G12" s="13">
        <f t="shared" si="0"/>
        <v>0</v>
      </c>
      <c r="H12" s="13">
        <f>B12+F12</f>
        <v>93.89</v>
      </c>
      <c r="I12" s="13">
        <f>C12+G12</f>
        <v>103.52</v>
      </c>
      <c r="J12" s="10">
        <f t="shared" si="1"/>
        <v>1.1025668335285972</v>
      </c>
    </row>
    <row r="13" spans="1:20" x14ac:dyDescent="0.25">
      <c r="A13" s="1">
        <v>46042</v>
      </c>
      <c r="B13" s="6">
        <v>93.11</v>
      </c>
      <c r="C13" s="6">
        <v>102.81</v>
      </c>
      <c r="F13" s="13">
        <f>F12+D13</f>
        <v>0</v>
      </c>
      <c r="G13" s="13">
        <f t="shared" si="0"/>
        <v>0</v>
      </c>
      <c r="H13" s="13">
        <f>B13+F13</f>
        <v>93.11</v>
      </c>
      <c r="I13" s="13">
        <f>C13+G13</f>
        <v>102.81</v>
      </c>
      <c r="J13" s="10">
        <f t="shared" si="1"/>
        <v>1.1041778541510041</v>
      </c>
    </row>
    <row r="14" spans="1:20" x14ac:dyDescent="0.25">
      <c r="A14" s="1">
        <v>46043</v>
      </c>
      <c r="B14" s="6">
        <v>93.84</v>
      </c>
      <c r="C14" s="6">
        <v>103.55</v>
      </c>
      <c r="F14" s="13">
        <f>F13+D14</f>
        <v>0</v>
      </c>
      <c r="G14" s="13">
        <f t="shared" si="0"/>
        <v>0</v>
      </c>
      <c r="H14" s="13">
        <f>B14+F14</f>
        <v>93.84</v>
      </c>
      <c r="I14" s="13">
        <f>C14+G14</f>
        <v>103.55</v>
      </c>
      <c r="J14" s="10">
        <f t="shared" si="1"/>
        <v>1.1034739982949702</v>
      </c>
    </row>
    <row r="15" spans="1:20" x14ac:dyDescent="0.25">
      <c r="A15" s="1">
        <v>46044</v>
      </c>
      <c r="B15" s="6">
        <v>94.22</v>
      </c>
      <c r="C15" s="6">
        <v>103.93</v>
      </c>
      <c r="F15" s="13">
        <f>F14+D15</f>
        <v>0</v>
      </c>
      <c r="G15" s="13">
        <f t="shared" si="0"/>
        <v>0</v>
      </c>
      <c r="H15" s="13">
        <f>B15+F15</f>
        <v>94.22</v>
      </c>
      <c r="I15" s="13">
        <f>C15+G15</f>
        <v>103.93</v>
      </c>
      <c r="J15" s="10">
        <f t="shared" si="1"/>
        <v>1.1030566758649969</v>
      </c>
    </row>
    <row r="16" spans="1:20" x14ac:dyDescent="0.25">
      <c r="A16" s="1">
        <v>46045</v>
      </c>
      <c r="B16" s="6">
        <v>93.89</v>
      </c>
      <c r="C16" s="6">
        <v>103.78</v>
      </c>
      <c r="F16" s="13">
        <f>F15+D16</f>
        <v>0</v>
      </c>
      <c r="G16" s="13">
        <f t="shared" si="0"/>
        <v>0</v>
      </c>
      <c r="H16" s="13">
        <f>B16+F16</f>
        <v>93.89</v>
      </c>
      <c r="I16" s="13">
        <f>C16+G16</f>
        <v>103.78</v>
      </c>
      <c r="J16" s="10">
        <f t="shared" si="1"/>
        <v>1.1053360315262541</v>
      </c>
    </row>
    <row r="17" spans="1:15" x14ac:dyDescent="0.25">
      <c r="A17" s="1">
        <v>46048</v>
      </c>
      <c r="B17" s="6">
        <v>93.7</v>
      </c>
      <c r="C17" s="6">
        <v>103.64</v>
      </c>
      <c r="F17" s="13">
        <f>F16+D17</f>
        <v>0</v>
      </c>
      <c r="G17" s="13">
        <f t="shared" si="0"/>
        <v>0</v>
      </c>
      <c r="H17" s="13">
        <f>B17+F17</f>
        <v>93.7</v>
      </c>
      <c r="I17" s="13">
        <f>C17+G17</f>
        <v>103.64</v>
      </c>
      <c r="J17" s="10">
        <f t="shared" si="1"/>
        <v>1.1060832443970117</v>
      </c>
    </row>
    <row r="18" spans="1:15" x14ac:dyDescent="0.25">
      <c r="A18" s="1">
        <v>46049</v>
      </c>
      <c r="B18" s="6">
        <v>94.91</v>
      </c>
      <c r="C18" s="6">
        <v>105</v>
      </c>
      <c r="F18" s="13">
        <f>F17+D18</f>
        <v>0</v>
      </c>
      <c r="G18" s="13">
        <f t="shared" si="0"/>
        <v>0</v>
      </c>
      <c r="H18" s="13">
        <f>B18+F18</f>
        <v>94.91</v>
      </c>
      <c r="I18" s="13">
        <f>C18+G18</f>
        <v>105</v>
      </c>
      <c r="J18" s="10">
        <f t="shared" si="1"/>
        <v>1.1063112422294805</v>
      </c>
    </row>
    <row r="19" spans="1:15" x14ac:dyDescent="0.25">
      <c r="A19" s="1">
        <v>46050</v>
      </c>
      <c r="B19" s="6">
        <v>95.73</v>
      </c>
      <c r="C19" s="6">
        <v>105.91</v>
      </c>
      <c r="F19" s="13">
        <f>F18+D19</f>
        <v>0</v>
      </c>
      <c r="G19" s="13">
        <f t="shared" si="0"/>
        <v>0</v>
      </c>
      <c r="H19" s="13">
        <f>B19+F19</f>
        <v>95.73</v>
      </c>
      <c r="I19" s="13">
        <f>C19+G19</f>
        <v>105.91</v>
      </c>
      <c r="J19" s="10">
        <f t="shared" si="1"/>
        <v>1.1063407500261151</v>
      </c>
    </row>
    <row r="20" spans="1:15" x14ac:dyDescent="0.25">
      <c r="A20" s="1">
        <v>46051</v>
      </c>
      <c r="B20" s="6">
        <v>94.82</v>
      </c>
      <c r="C20" s="6">
        <v>105.08</v>
      </c>
      <c r="F20" s="13">
        <f>F19+D20</f>
        <v>0</v>
      </c>
      <c r="G20" s="13">
        <f t="shared" si="0"/>
        <v>0</v>
      </c>
      <c r="H20" s="13">
        <f>B20+F20</f>
        <v>94.82</v>
      </c>
      <c r="I20" s="13">
        <f>C20+G20</f>
        <v>105.08</v>
      </c>
      <c r="J20" s="10">
        <f t="shared" si="1"/>
        <v>1.1082050200379667</v>
      </c>
    </row>
    <row r="21" spans="1:15" x14ac:dyDescent="0.25">
      <c r="A21" s="1">
        <v>46052</v>
      </c>
      <c r="B21" s="6">
        <v>93.4</v>
      </c>
      <c r="C21" s="6">
        <v>103.52</v>
      </c>
      <c r="F21" s="13">
        <f>F20+D21</f>
        <v>0</v>
      </c>
      <c r="G21" s="13">
        <f t="shared" si="0"/>
        <v>0</v>
      </c>
      <c r="H21" s="13">
        <f>B21+F21</f>
        <v>93.4</v>
      </c>
      <c r="I21" s="13">
        <f>C21+G21</f>
        <v>103.52</v>
      </c>
      <c r="J21" s="10">
        <f t="shared" si="1"/>
        <v>1.1083511777301926</v>
      </c>
    </row>
    <row r="22" spans="1:15" x14ac:dyDescent="0.25">
      <c r="A22" s="1">
        <v>46055</v>
      </c>
      <c r="B22" s="6">
        <v>93.82</v>
      </c>
      <c r="C22" s="6">
        <v>103.98</v>
      </c>
      <c r="D22" s="13">
        <v>8.6249999999999993E-2</v>
      </c>
      <c r="E22" s="13">
        <v>0.107402</v>
      </c>
      <c r="F22" s="13">
        <f>F21+D22</f>
        <v>8.6249999999999993E-2</v>
      </c>
      <c r="G22" s="13">
        <f t="shared" si="0"/>
        <v>0.107402</v>
      </c>
      <c r="H22" s="13">
        <f>B22+F22</f>
        <v>93.90625</v>
      </c>
      <c r="I22" s="13">
        <f>C22+G22</f>
        <v>104.087402</v>
      </c>
      <c r="J22" s="10">
        <f t="shared" si="1"/>
        <v>1.1084182575707155</v>
      </c>
      <c r="K22" s="10">
        <f>AVERAGE(J3:J22)</f>
        <v>1.1039726384206838</v>
      </c>
    </row>
    <row r="23" spans="1:15" x14ac:dyDescent="0.25">
      <c r="A23" s="1">
        <v>46056</v>
      </c>
      <c r="B23" s="6">
        <v>93.85</v>
      </c>
      <c r="C23" s="6">
        <v>104.31</v>
      </c>
      <c r="F23" s="13">
        <f>F22+D23</f>
        <v>8.6249999999999993E-2</v>
      </c>
      <c r="G23" s="13">
        <f t="shared" si="0"/>
        <v>0.107402</v>
      </c>
      <c r="H23" s="13">
        <f>B23+F23</f>
        <v>93.936250000000001</v>
      </c>
      <c r="I23" s="13">
        <f>C23+G23</f>
        <v>104.417402</v>
      </c>
      <c r="J23" s="10">
        <f t="shared" si="1"/>
        <v>1.1115772877882606</v>
      </c>
      <c r="K23" s="10">
        <f t="shared" ref="K23:K86" si="2">AVERAGE(J4:J23)</f>
        <v>1.1044165743713337</v>
      </c>
      <c r="L23" s="13">
        <f>K22*H23</f>
        <v>103.70304975584496</v>
      </c>
      <c r="M23" s="13">
        <f>I23</f>
        <v>104.417402</v>
      </c>
      <c r="N23" s="13">
        <f>M23-L23</f>
        <v>0.7143522441550374</v>
      </c>
      <c r="O23" s="2">
        <f>N23/L23</f>
        <v>6.8884400780583098E-3</v>
      </c>
    </row>
    <row r="24" spans="1:15" x14ac:dyDescent="0.25">
      <c r="A24" s="1">
        <v>46057</v>
      </c>
      <c r="B24" s="6">
        <v>92.81</v>
      </c>
      <c r="C24" s="6">
        <v>102.8</v>
      </c>
      <c r="F24" s="13">
        <f>F23+D24</f>
        <v>8.6249999999999993E-2</v>
      </c>
      <c r="G24" s="13">
        <f t="shared" si="0"/>
        <v>0.107402</v>
      </c>
      <c r="H24" s="13">
        <f>B24+F24</f>
        <v>92.896250000000009</v>
      </c>
      <c r="I24" s="13">
        <f>C24+G24</f>
        <v>102.90740199999999</v>
      </c>
      <c r="J24" s="10">
        <f t="shared" si="1"/>
        <v>1.1077670196590279</v>
      </c>
      <c r="K24" s="10">
        <f t="shared" si="2"/>
        <v>1.1046857107680299</v>
      </c>
      <c r="L24" s="13">
        <f t="shared" ref="L24:L87" si="3">K23*H24</f>
        <v>102.59615819694301</v>
      </c>
      <c r="M24" s="13">
        <f t="shared" ref="M24:M87" si="4">I24</f>
        <v>102.90740199999999</v>
      </c>
      <c r="N24" s="13">
        <f>M24-L24</f>
        <v>0.31124380305698196</v>
      </c>
      <c r="O24" s="2">
        <f>N24/L24</f>
        <v>3.0336789264518082E-3</v>
      </c>
    </row>
    <row r="25" spans="1:15" x14ac:dyDescent="0.25">
      <c r="A25" s="1">
        <v>46058</v>
      </c>
      <c r="B25" s="6">
        <v>91.26</v>
      </c>
      <c r="C25" s="6">
        <v>101.29</v>
      </c>
      <c r="F25" s="13">
        <f>F24+D25</f>
        <v>8.6249999999999993E-2</v>
      </c>
      <c r="G25" s="13">
        <f t="shared" si="0"/>
        <v>0.107402</v>
      </c>
      <c r="H25" s="13">
        <f>B25+F25</f>
        <v>91.346250000000012</v>
      </c>
      <c r="I25" s="13">
        <f>C25+G25</f>
        <v>101.397402</v>
      </c>
      <c r="J25" s="10">
        <f t="shared" si="1"/>
        <v>1.1100335481752124</v>
      </c>
      <c r="K25" s="10">
        <f t="shared" si="2"/>
        <v>1.1050190928456287</v>
      </c>
      <c r="L25" s="13">
        <f t="shared" si="3"/>
        <v>100.90889710724416</v>
      </c>
      <c r="M25" s="13">
        <f t="shared" si="4"/>
        <v>101.397402</v>
      </c>
      <c r="N25" s="13">
        <f>M25-L25</f>
        <v>0.48850489275584152</v>
      </c>
      <c r="O25" s="2">
        <f>N25/L25</f>
        <v>4.8410487752796197E-3</v>
      </c>
    </row>
    <row r="26" spans="1:15" x14ac:dyDescent="0.25">
      <c r="A26" s="1">
        <v>46059</v>
      </c>
      <c r="B26" s="6">
        <v>93.95</v>
      </c>
      <c r="C26" s="6">
        <v>104.41</v>
      </c>
      <c r="F26" s="13">
        <f>F25+D26</f>
        <v>8.6249999999999993E-2</v>
      </c>
      <c r="G26" s="13">
        <f t="shared" si="0"/>
        <v>0.107402</v>
      </c>
      <c r="H26" s="13">
        <f>B26+F26</f>
        <v>94.03625000000001</v>
      </c>
      <c r="I26" s="13">
        <f>C26+G26</f>
        <v>104.51740199999999</v>
      </c>
      <c r="J26" s="10">
        <f t="shared" si="1"/>
        <v>1.1114586343032604</v>
      </c>
      <c r="K26" s="10">
        <f t="shared" si="2"/>
        <v>1.105490205982985</v>
      </c>
      <c r="L26" s="13">
        <f t="shared" si="3"/>
        <v>103.91185166960476</v>
      </c>
      <c r="M26" s="13">
        <f t="shared" si="4"/>
        <v>104.51740199999999</v>
      </c>
      <c r="N26" s="13">
        <f>M26-L26</f>
        <v>0.60555033039523209</v>
      </c>
      <c r="O26" s="2">
        <f>N26/L26</f>
        <v>5.8275386365034005E-3</v>
      </c>
    </row>
    <row r="27" spans="1:15" x14ac:dyDescent="0.25">
      <c r="A27" s="1">
        <v>46062</v>
      </c>
      <c r="B27" s="6">
        <v>95.02</v>
      </c>
      <c r="C27" s="6">
        <v>105.17</v>
      </c>
      <c r="F27" s="13">
        <f>F26+D27</f>
        <v>8.6249999999999993E-2</v>
      </c>
      <c r="G27" s="13">
        <f t="shared" si="0"/>
        <v>0.107402</v>
      </c>
      <c r="H27" s="13">
        <f>B27+F27</f>
        <v>95.106250000000003</v>
      </c>
      <c r="I27" s="13">
        <f>C27+G27</f>
        <v>105.277402</v>
      </c>
      <c r="J27" s="10">
        <f t="shared" si="1"/>
        <v>1.1069451481895247</v>
      </c>
      <c r="K27" s="10">
        <f t="shared" si="2"/>
        <v>1.1057724579753432</v>
      </c>
      <c r="L27" s="13">
        <f t="shared" si="3"/>
        <v>105.13902790276927</v>
      </c>
      <c r="M27" s="13">
        <f t="shared" si="4"/>
        <v>105.277402</v>
      </c>
      <c r="N27" s="13">
        <f>M27-L27</f>
        <v>0.13837409723072369</v>
      </c>
      <c r="O27" s="2">
        <f>N27/L27</f>
        <v>1.3161059217580899E-3</v>
      </c>
    </row>
    <row r="28" spans="1:15" x14ac:dyDescent="0.25">
      <c r="A28" s="1">
        <v>46063</v>
      </c>
      <c r="B28" s="6">
        <v>94.59</v>
      </c>
      <c r="C28" s="6">
        <v>104.68</v>
      </c>
      <c r="F28" s="13">
        <f>F27+D28</f>
        <v>8.6249999999999993E-2</v>
      </c>
      <c r="G28" s="13">
        <f t="shared" si="0"/>
        <v>0.107402</v>
      </c>
      <c r="H28" s="13">
        <f>B28+F28</f>
        <v>94.67625000000001</v>
      </c>
      <c r="I28" s="13">
        <f>C28+G28</f>
        <v>104.787402</v>
      </c>
      <c r="J28" s="10">
        <f t="shared" si="1"/>
        <v>1.1067971323325543</v>
      </c>
      <c r="K28" s="10">
        <f t="shared" si="2"/>
        <v>1.106011917297866</v>
      </c>
      <c r="L28" s="13">
        <f t="shared" si="3"/>
        <v>104.6903896743881</v>
      </c>
      <c r="M28" s="13">
        <f t="shared" si="4"/>
        <v>104.787402</v>
      </c>
      <c r="N28" s="13">
        <f>M28-L28</f>
        <v>9.7012325611899541E-2</v>
      </c>
      <c r="O28" s="2">
        <f>N28/L28</f>
        <v>9.2665932292000099E-4</v>
      </c>
    </row>
    <row r="29" spans="1:15" x14ac:dyDescent="0.25">
      <c r="A29" s="1">
        <v>46064</v>
      </c>
      <c r="B29" s="6">
        <v>94.5</v>
      </c>
      <c r="C29" s="6">
        <v>104.4</v>
      </c>
      <c r="F29" s="13">
        <f>F28+D29</f>
        <v>8.6249999999999993E-2</v>
      </c>
      <c r="G29" s="13">
        <f t="shared" si="0"/>
        <v>0.107402</v>
      </c>
      <c r="H29" s="13">
        <f>B29+F29</f>
        <v>94.586250000000007</v>
      </c>
      <c r="I29" s="13">
        <f>C29+G29</f>
        <v>104.507402</v>
      </c>
      <c r="J29" s="10">
        <f t="shared" si="1"/>
        <v>1.1048900025109356</v>
      </c>
      <c r="K29" s="10">
        <f t="shared" si="2"/>
        <v>1.1061460681626456</v>
      </c>
      <c r="L29" s="13">
        <f t="shared" si="3"/>
        <v>104.61351971251528</v>
      </c>
      <c r="M29" s="13">
        <f t="shared" si="4"/>
        <v>104.507402</v>
      </c>
      <c r="N29" s="13">
        <f>M29-L29</f>
        <v>-0.10611771251528523</v>
      </c>
      <c r="O29" s="2">
        <f>N29/L29</f>
        <v>-1.0143785698722649E-3</v>
      </c>
    </row>
    <row r="30" spans="1:15" x14ac:dyDescent="0.25">
      <c r="A30" s="1">
        <v>46065</v>
      </c>
      <c r="B30" s="6">
        <v>93.91</v>
      </c>
      <c r="C30" s="6">
        <v>103.84</v>
      </c>
      <c r="F30" s="13">
        <f>F29+D30</f>
        <v>8.6249999999999993E-2</v>
      </c>
      <c r="G30" s="13">
        <f t="shared" si="0"/>
        <v>0.107402</v>
      </c>
      <c r="H30" s="13">
        <f>B30+F30</f>
        <v>93.996250000000003</v>
      </c>
      <c r="I30" s="13">
        <f>C30+G30</f>
        <v>103.947402</v>
      </c>
      <c r="J30" s="10">
        <f t="shared" si="1"/>
        <v>1.105867542588135</v>
      </c>
      <c r="K30" s="10">
        <f t="shared" si="2"/>
        <v>1.1064565722455955</v>
      </c>
      <c r="L30" s="13">
        <f t="shared" si="3"/>
        <v>103.97358235953308</v>
      </c>
      <c r="M30" s="13">
        <f t="shared" si="4"/>
        <v>103.947402</v>
      </c>
      <c r="N30" s="13">
        <f>M30-L30</f>
        <v>-2.6180359533086062E-2</v>
      </c>
      <c r="O30" s="2">
        <f>N30/L30</f>
        <v>-2.5179818699096358E-4</v>
      </c>
    </row>
    <row r="31" spans="1:15" x14ac:dyDescent="0.25">
      <c r="A31" s="1">
        <v>46066</v>
      </c>
      <c r="B31" s="6">
        <v>94.51</v>
      </c>
      <c r="C31" s="6">
        <v>104.73</v>
      </c>
      <c r="F31" s="13">
        <f>F30+D31</f>
        <v>8.6249999999999993E-2</v>
      </c>
      <c r="G31" s="13">
        <f t="shared" si="0"/>
        <v>0.107402</v>
      </c>
      <c r="H31" s="13">
        <f>B31+F31</f>
        <v>94.596250000000012</v>
      </c>
      <c r="I31" s="13">
        <f>C31+G31</f>
        <v>104.837402</v>
      </c>
      <c r="J31" s="10">
        <f t="shared" si="1"/>
        <v>1.1082617122771778</v>
      </c>
      <c r="K31" s="10">
        <f t="shared" si="2"/>
        <v>1.1067959556590696</v>
      </c>
      <c r="L31" s="13">
        <f t="shared" si="3"/>
        <v>104.66664252228742</v>
      </c>
      <c r="M31" s="13">
        <f t="shared" si="4"/>
        <v>104.837402</v>
      </c>
      <c r="N31" s="13">
        <f>M31-L31</f>
        <v>0.17075947771257916</v>
      </c>
      <c r="O31" s="2">
        <f>N31/L31</f>
        <v>1.6314603544889492E-3</v>
      </c>
    </row>
    <row r="32" spans="1:15" x14ac:dyDescent="0.25">
      <c r="A32" s="1">
        <v>46070</v>
      </c>
      <c r="B32" s="6">
        <v>94.78</v>
      </c>
      <c r="C32" s="6">
        <v>104.81</v>
      </c>
      <c r="F32" s="13">
        <f>F31+D32</f>
        <v>8.6249999999999993E-2</v>
      </c>
      <c r="G32" s="13">
        <f t="shared" si="0"/>
        <v>0.107402</v>
      </c>
      <c r="H32" s="13">
        <f>B32+F32</f>
        <v>94.866250000000008</v>
      </c>
      <c r="I32" s="13">
        <f>C32+G32</f>
        <v>104.917402</v>
      </c>
      <c r="J32" s="10">
        <f t="shared" si="1"/>
        <v>1.1059507675279669</v>
      </c>
      <c r="K32" s="10">
        <f t="shared" si="2"/>
        <v>1.1069651523590383</v>
      </c>
      <c r="L32" s="13">
        <f t="shared" si="3"/>
        <v>104.99758182854222</v>
      </c>
      <c r="M32" s="13">
        <f t="shared" si="4"/>
        <v>104.917402</v>
      </c>
      <c r="N32" s="13">
        <f>M32-L32</f>
        <v>-8.0179828542227938E-2</v>
      </c>
      <c r="O32" s="2">
        <f>N32/L32</f>
        <v>-7.6363500135802267E-4</v>
      </c>
    </row>
    <row r="33" spans="1:15" x14ac:dyDescent="0.25">
      <c r="A33" s="1">
        <v>46071</v>
      </c>
      <c r="B33" s="6">
        <v>94.91</v>
      </c>
      <c r="C33" s="6">
        <v>105.1</v>
      </c>
      <c r="F33" s="13">
        <f>F32+D33</f>
        <v>8.6249999999999993E-2</v>
      </c>
      <c r="G33" s="13">
        <f t="shared" si="0"/>
        <v>0.107402</v>
      </c>
      <c r="H33" s="13">
        <f>B33+F33</f>
        <v>94.996250000000003</v>
      </c>
      <c r="I33" s="13">
        <f>C33+G33</f>
        <v>105.20740199999999</v>
      </c>
      <c r="J33" s="10">
        <f t="shared" si="1"/>
        <v>1.1074900535547454</v>
      </c>
      <c r="K33" s="10">
        <f t="shared" si="2"/>
        <v>1.1071307623292252</v>
      </c>
      <c r="L33" s="13">
        <f t="shared" si="3"/>
        <v>105.15753835478729</v>
      </c>
      <c r="M33" s="13">
        <f t="shared" si="4"/>
        <v>105.20740199999999</v>
      </c>
      <c r="N33" s="13">
        <f>M33-L33</f>
        <v>4.9863645212695928E-2</v>
      </c>
      <c r="O33" s="2">
        <f>N33/L33</f>
        <v>4.7418041533515878E-4</v>
      </c>
    </row>
    <row r="34" spans="1:15" x14ac:dyDescent="0.25">
      <c r="A34" s="1">
        <v>46072</v>
      </c>
      <c r="B34" s="6">
        <v>94.98</v>
      </c>
      <c r="C34" s="6">
        <v>105.26</v>
      </c>
      <c r="F34" s="13">
        <f>F33+D34</f>
        <v>8.6249999999999993E-2</v>
      </c>
      <c r="G34" s="13">
        <f t="shared" si="0"/>
        <v>0.107402</v>
      </c>
      <c r="H34" s="13">
        <f>B34+F34</f>
        <v>95.066250000000011</v>
      </c>
      <c r="I34" s="13">
        <f>C34+G34</f>
        <v>105.367402</v>
      </c>
      <c r="J34" s="10">
        <f t="shared" si="1"/>
        <v>1.1083576137693449</v>
      </c>
      <c r="K34" s="10">
        <f t="shared" si="2"/>
        <v>1.107374943102944</v>
      </c>
      <c r="L34" s="13">
        <f t="shared" si="3"/>
        <v>105.25076983428072</v>
      </c>
      <c r="M34" s="13">
        <f t="shared" si="4"/>
        <v>105.367402</v>
      </c>
      <c r="N34" s="13">
        <f>M34-L34</f>
        <v>0.11663216571928103</v>
      </c>
      <c r="O34" s="2">
        <f>N34/L34</f>
        <v>1.1081359870613824E-3</v>
      </c>
    </row>
    <row r="35" spans="1:15" x14ac:dyDescent="0.25">
      <c r="A35" s="1">
        <v>46073</v>
      </c>
      <c r="B35" s="6">
        <v>94.64</v>
      </c>
      <c r="C35" s="6">
        <v>105.05</v>
      </c>
      <c r="F35" s="13">
        <f>F34+D35</f>
        <v>8.6249999999999993E-2</v>
      </c>
      <c r="G35" s="13">
        <f t="shared" si="0"/>
        <v>0.107402</v>
      </c>
      <c r="H35" s="13">
        <f>B35+F35</f>
        <v>94.726250000000007</v>
      </c>
      <c r="I35" s="13">
        <f>C35+G35</f>
        <v>105.15740199999999</v>
      </c>
      <c r="J35" s="10">
        <f t="shared" si="1"/>
        <v>1.1101189163510641</v>
      </c>
      <c r="K35" s="10">
        <f t="shared" si="2"/>
        <v>1.1077280551272475</v>
      </c>
      <c r="L35" s="13">
        <f t="shared" si="3"/>
        <v>104.89747570410526</v>
      </c>
      <c r="M35" s="13">
        <f t="shared" si="4"/>
        <v>105.15740199999999</v>
      </c>
      <c r="N35" s="13">
        <f>M35-L35</f>
        <v>0.25992629589472926</v>
      </c>
      <c r="O35" s="2">
        <f>N35/L35</f>
        <v>2.4779080158985828E-3</v>
      </c>
    </row>
    <row r="36" spans="1:15" x14ac:dyDescent="0.25">
      <c r="A36" s="1">
        <v>46076</v>
      </c>
      <c r="B36" s="6">
        <v>94.13</v>
      </c>
      <c r="C36" s="6">
        <v>104.37</v>
      </c>
      <c r="F36" s="13">
        <f>F35+D36</f>
        <v>8.6249999999999993E-2</v>
      </c>
      <c r="G36" s="13">
        <f t="shared" si="0"/>
        <v>0.107402</v>
      </c>
      <c r="H36" s="13">
        <f>B36+F36</f>
        <v>94.216250000000002</v>
      </c>
      <c r="I36" s="13">
        <f>C36+G36</f>
        <v>104.477402</v>
      </c>
      <c r="J36" s="10">
        <f t="shared" si="1"/>
        <v>1.1089106390882677</v>
      </c>
      <c r="K36" s="10">
        <f t="shared" si="2"/>
        <v>1.1079067855053482</v>
      </c>
      <c r="L36" s="13">
        <f t="shared" si="3"/>
        <v>104.36598337388253</v>
      </c>
      <c r="M36" s="13">
        <f t="shared" si="4"/>
        <v>104.477402</v>
      </c>
      <c r="N36" s="13">
        <f>M36-L36</f>
        <v>0.11141862611746944</v>
      </c>
      <c r="O36" s="2">
        <f>N36/L36</f>
        <v>1.0675760675614141E-3</v>
      </c>
    </row>
    <row r="37" spans="1:15" x14ac:dyDescent="0.25">
      <c r="A37" s="1">
        <v>46077</v>
      </c>
      <c r="B37" s="6">
        <v>94.91</v>
      </c>
      <c r="C37" s="6">
        <v>104.9</v>
      </c>
      <c r="F37" s="13">
        <f>F36+D37</f>
        <v>8.6249999999999993E-2</v>
      </c>
      <c r="G37" s="13">
        <f t="shared" si="0"/>
        <v>0.107402</v>
      </c>
      <c r="H37" s="13">
        <f>B37+F37</f>
        <v>94.996250000000003</v>
      </c>
      <c r="I37" s="13">
        <f>C37+G37</f>
        <v>105.007402</v>
      </c>
      <c r="J37" s="10">
        <f t="shared" si="1"/>
        <v>1.1053847072910772</v>
      </c>
      <c r="K37" s="10">
        <f t="shared" si="2"/>
        <v>1.1078718586500513</v>
      </c>
      <c r="L37" s="13">
        <f t="shared" si="3"/>
        <v>105.24698997256243</v>
      </c>
      <c r="M37" s="13">
        <f t="shared" si="4"/>
        <v>105.007402</v>
      </c>
      <c r="N37" s="13">
        <f>M37-L37</f>
        <v>-0.23958797256243258</v>
      </c>
      <c r="O37" s="2">
        <f>N37/L37</f>
        <v>-2.2764353890300563E-3</v>
      </c>
    </row>
    <row r="38" spans="1:15" x14ac:dyDescent="0.25">
      <c r="A38" s="1">
        <v>46078</v>
      </c>
      <c r="B38" s="6">
        <v>95.62</v>
      </c>
      <c r="C38" s="6">
        <v>105.69</v>
      </c>
      <c r="F38" s="13">
        <f>F37+D38</f>
        <v>8.6249999999999993E-2</v>
      </c>
      <c r="G38" s="13">
        <f t="shared" si="0"/>
        <v>0.107402</v>
      </c>
      <c r="H38" s="13">
        <f>B38+F38</f>
        <v>95.706250000000011</v>
      </c>
      <c r="I38" s="13">
        <f>C38+G38</f>
        <v>105.79740199999999</v>
      </c>
      <c r="J38" s="10">
        <f t="shared" si="1"/>
        <v>1.1054387984065823</v>
      </c>
      <c r="K38" s="10">
        <f t="shared" si="2"/>
        <v>1.1078282364589063</v>
      </c>
      <c r="L38" s="13">
        <f t="shared" si="3"/>
        <v>106.03026107192649</v>
      </c>
      <c r="M38" s="13">
        <f t="shared" si="4"/>
        <v>105.79740199999999</v>
      </c>
      <c r="N38" s="13">
        <f>M38-L38</f>
        <v>-0.23285907192649802</v>
      </c>
      <c r="O38" s="2">
        <f>N38/L38</f>
        <v>-2.1961567346187724E-3</v>
      </c>
    </row>
    <row r="39" spans="1:15" x14ac:dyDescent="0.25">
      <c r="A39" s="1">
        <v>46079</v>
      </c>
      <c r="B39" s="6">
        <v>95.07</v>
      </c>
      <c r="C39" s="6">
        <v>105.39</v>
      </c>
      <c r="F39" s="13">
        <f>F38+D39</f>
        <v>8.6249999999999993E-2</v>
      </c>
      <c r="G39" s="13">
        <f t="shared" si="0"/>
        <v>0.107402</v>
      </c>
      <c r="H39" s="13">
        <f>B39+F39</f>
        <v>95.15625</v>
      </c>
      <c r="I39" s="13">
        <f>C39+G39</f>
        <v>105.49740199999999</v>
      </c>
      <c r="J39" s="10">
        <f t="shared" si="1"/>
        <v>1.1086754889983579</v>
      </c>
      <c r="K39" s="10">
        <f t="shared" si="2"/>
        <v>1.1079449734075184</v>
      </c>
      <c r="L39" s="13">
        <f t="shared" si="3"/>
        <v>105.4167806255428</v>
      </c>
      <c r="M39" s="13">
        <f t="shared" si="4"/>
        <v>105.49740199999999</v>
      </c>
      <c r="N39" s="13">
        <f>M39-L39</f>
        <v>8.0621374457194861E-2</v>
      </c>
      <c r="O39" s="2">
        <f>N39/L39</f>
        <v>7.647869151266801E-4</v>
      </c>
    </row>
    <row r="40" spans="1:15" x14ac:dyDescent="0.25">
      <c r="A40" s="1">
        <v>46080</v>
      </c>
      <c r="B40" s="6">
        <v>94.38</v>
      </c>
      <c r="C40" s="6">
        <v>104.78</v>
      </c>
      <c r="F40" s="13">
        <f>F39+D40</f>
        <v>8.6249999999999993E-2</v>
      </c>
      <c r="G40" s="13">
        <f t="shared" si="0"/>
        <v>0.107402</v>
      </c>
      <c r="H40" s="13">
        <f>B40+F40</f>
        <v>94.466250000000002</v>
      </c>
      <c r="I40" s="13">
        <f>C40+G40</f>
        <v>104.88740199999999</v>
      </c>
      <c r="J40" s="10">
        <f t="shared" si="1"/>
        <v>1.1103161393619414</v>
      </c>
      <c r="K40" s="10">
        <f t="shared" si="2"/>
        <v>1.1080505293737171</v>
      </c>
      <c r="L40" s="13">
        <f t="shared" si="3"/>
        <v>104.66340684415799</v>
      </c>
      <c r="M40" s="13">
        <f t="shared" si="4"/>
        <v>104.88740199999999</v>
      </c>
      <c r="N40" s="13">
        <f>M40-L40</f>
        <v>0.22399515584200458</v>
      </c>
      <c r="O40" s="2">
        <f>N40/L40</f>
        <v>2.1401477612469611E-3</v>
      </c>
    </row>
    <row r="41" spans="1:15" x14ac:dyDescent="0.25">
      <c r="A41" s="1">
        <v>46083</v>
      </c>
      <c r="B41" s="6">
        <v>94.74</v>
      </c>
      <c r="C41" s="6">
        <v>105.61</v>
      </c>
      <c r="D41" s="13">
        <v>0.14646999999999999</v>
      </c>
      <c r="E41" s="13">
        <v>0.129662</v>
      </c>
      <c r="F41" s="13">
        <f>F40+D41</f>
        <v>0.23271999999999998</v>
      </c>
      <c r="G41" s="13">
        <f t="shared" si="0"/>
        <v>0.237064</v>
      </c>
      <c r="H41" s="13">
        <f>B41+F41</f>
        <v>94.972719999999995</v>
      </c>
      <c r="I41" s="13">
        <f>C41+G41</f>
        <v>105.847064</v>
      </c>
      <c r="J41" s="10">
        <f t="shared" si="1"/>
        <v>1.114499658428231</v>
      </c>
      <c r="K41" s="10">
        <f t="shared" si="2"/>
        <v>1.108357953408619</v>
      </c>
      <c r="L41" s="13">
        <f t="shared" si="3"/>
        <v>105.2345726720618</v>
      </c>
      <c r="M41" s="13">
        <f t="shared" si="4"/>
        <v>105.847064</v>
      </c>
      <c r="N41" s="13">
        <f>M41-L41</f>
        <v>0.61249132793820138</v>
      </c>
      <c r="O41" s="2">
        <f>N41/L41</f>
        <v>5.8202481597647866E-3</v>
      </c>
    </row>
    <row r="42" spans="1:15" x14ac:dyDescent="0.25">
      <c r="A42" s="1">
        <v>46084</v>
      </c>
      <c r="B42" s="6">
        <v>93.08</v>
      </c>
      <c r="C42" s="6">
        <v>103.31</v>
      </c>
      <c r="F42" s="13">
        <f>F41+D42</f>
        <v>0.23271999999999998</v>
      </c>
      <c r="G42" s="13">
        <f t="shared" si="0"/>
        <v>0.237064</v>
      </c>
      <c r="H42" s="13">
        <f>B42+F42</f>
        <v>93.312719999999999</v>
      </c>
      <c r="I42" s="13">
        <f>C42+G42</f>
        <v>103.54706400000001</v>
      </c>
      <c r="J42" s="10">
        <f t="shared" si="1"/>
        <v>1.109677908863872</v>
      </c>
      <c r="K42" s="10">
        <f t="shared" si="2"/>
        <v>1.1084209359732768</v>
      </c>
      <c r="L42" s="13">
        <f t="shared" si="3"/>
        <v>103.4238953661915</v>
      </c>
      <c r="M42" s="13">
        <f t="shared" si="4"/>
        <v>103.54706400000001</v>
      </c>
      <c r="N42" s="13">
        <f>M42-L42</f>
        <v>0.12316863380850407</v>
      </c>
      <c r="O42" s="2">
        <f>N42/L42</f>
        <v>1.1909107984417204E-3</v>
      </c>
    </row>
    <row r="43" spans="1:15" x14ac:dyDescent="0.25">
      <c r="A43" s="1">
        <v>46085</v>
      </c>
      <c r="B43" s="6">
        <v>93.99</v>
      </c>
      <c r="C43" s="6">
        <v>104.42</v>
      </c>
      <c r="F43" s="13">
        <f>F42+D43</f>
        <v>0.23271999999999998</v>
      </c>
      <c r="G43" s="13">
        <f t="shared" si="0"/>
        <v>0.237064</v>
      </c>
      <c r="H43" s="13">
        <f>B43+F43</f>
        <v>94.222719999999995</v>
      </c>
      <c r="I43" s="13">
        <f>C43+G43</f>
        <v>104.65706400000001</v>
      </c>
      <c r="J43" s="10">
        <f t="shared" si="1"/>
        <v>1.1107412734423292</v>
      </c>
      <c r="K43" s="10">
        <f t="shared" si="2"/>
        <v>1.1083791352559804</v>
      </c>
      <c r="L43" s="13">
        <f t="shared" si="3"/>
        <v>104.43843549234799</v>
      </c>
      <c r="M43" s="13">
        <f t="shared" si="4"/>
        <v>104.65706400000001</v>
      </c>
      <c r="N43" s="13">
        <f>M43-L43</f>
        <v>0.21862850765201358</v>
      </c>
      <c r="O43" s="2">
        <f>N43/L43</f>
        <v>2.093372105981347E-3</v>
      </c>
    </row>
    <row r="44" spans="1:15" x14ac:dyDescent="0.25">
      <c r="A44" s="1">
        <v>46086</v>
      </c>
      <c r="B44" s="6">
        <v>93.04</v>
      </c>
      <c r="C44" s="6">
        <v>103.31</v>
      </c>
      <c r="F44" s="13">
        <f>F43+D44</f>
        <v>0.23271999999999998</v>
      </c>
      <c r="G44" s="13">
        <f t="shared" si="0"/>
        <v>0.237064</v>
      </c>
      <c r="H44" s="13">
        <f>B44+F44</f>
        <v>93.272720000000007</v>
      </c>
      <c r="I44" s="13">
        <f>C44+G44</f>
        <v>103.54706400000001</v>
      </c>
      <c r="J44" s="10">
        <f t="shared" si="1"/>
        <v>1.1101537941640385</v>
      </c>
      <c r="K44" s="10">
        <f t="shared" si="2"/>
        <v>1.1084984739812307</v>
      </c>
      <c r="L44" s="13">
        <f t="shared" si="3"/>
        <v>103.3815367365732</v>
      </c>
      <c r="M44" s="13">
        <f t="shared" si="4"/>
        <v>103.54706400000001</v>
      </c>
      <c r="N44" s="13">
        <f>M44-L44</f>
        <v>0.16552726342681012</v>
      </c>
      <c r="O44" s="2">
        <f>N44/L44</f>
        <v>1.6011298405109863E-3</v>
      </c>
    </row>
    <row r="45" spans="1:15" x14ac:dyDescent="0.25">
      <c r="A45" s="1">
        <v>46087</v>
      </c>
      <c r="B45" s="6">
        <v>91.34</v>
      </c>
      <c r="C45" s="6">
        <v>101.28</v>
      </c>
      <c r="F45" s="13">
        <f>F44+D45</f>
        <v>0.23271999999999998</v>
      </c>
      <c r="G45" s="13">
        <f t="shared" si="0"/>
        <v>0.237064</v>
      </c>
      <c r="H45" s="13">
        <f>B45+F45</f>
        <v>91.572720000000004</v>
      </c>
      <c r="I45" s="13">
        <f>C45+G45</f>
        <v>101.517064</v>
      </c>
      <c r="J45" s="10">
        <f t="shared" si="1"/>
        <v>1.1085950488311367</v>
      </c>
      <c r="K45" s="10">
        <f t="shared" si="2"/>
        <v>1.1084265490140273</v>
      </c>
      <c r="L45" s="13">
        <f t="shared" si="3"/>
        <v>101.50822037831053</v>
      </c>
      <c r="M45" s="13">
        <f t="shared" si="4"/>
        <v>101.517064</v>
      </c>
      <c r="N45" s="13">
        <f>M45-L45</f>
        <v>8.8436216894791642E-3</v>
      </c>
      <c r="O45" s="2">
        <f>N45/L45</f>
        <v>8.7122221791692444E-5</v>
      </c>
    </row>
    <row r="46" spans="1:15" x14ac:dyDescent="0.25">
      <c r="A46" s="1">
        <v>46090</v>
      </c>
      <c r="B46" s="6">
        <v>92.87</v>
      </c>
      <c r="C46" s="6">
        <v>103.18</v>
      </c>
      <c r="F46" s="13">
        <f>F45+D46</f>
        <v>0.23271999999999998</v>
      </c>
      <c r="G46" s="13">
        <f t="shared" si="0"/>
        <v>0.237064</v>
      </c>
      <c r="H46" s="13">
        <f>B46+F46</f>
        <v>93.102720000000005</v>
      </c>
      <c r="I46" s="13">
        <f>C46+G46</f>
        <v>103.41706400000001</v>
      </c>
      <c r="J46" s="10">
        <f t="shared" si="1"/>
        <v>1.1107845613962728</v>
      </c>
      <c r="K46" s="10">
        <f t="shared" si="2"/>
        <v>1.108392845368678</v>
      </c>
      <c r="L46" s="13">
        <f t="shared" si="3"/>
        <v>103.19752663341926</v>
      </c>
      <c r="M46" s="13">
        <f t="shared" si="4"/>
        <v>103.41706400000001</v>
      </c>
      <c r="N46" s="13">
        <f>M46-L46</f>
        <v>0.21953736658075229</v>
      </c>
      <c r="O46" s="2">
        <f>N46/L46</f>
        <v>2.1273510494161183E-3</v>
      </c>
    </row>
    <row r="47" spans="1:15" x14ac:dyDescent="0.25">
      <c r="A47" s="1">
        <v>46091</v>
      </c>
      <c r="B47" s="6">
        <v>93.01</v>
      </c>
      <c r="C47" s="6">
        <v>103.5</v>
      </c>
      <c r="F47" s="13">
        <f>F46+D47</f>
        <v>0.23271999999999998</v>
      </c>
      <c r="G47" s="13">
        <f t="shared" si="0"/>
        <v>0.237064</v>
      </c>
      <c r="H47" s="13">
        <f>B47+F47</f>
        <v>93.242720000000006</v>
      </c>
      <c r="I47" s="13">
        <f>C47+G47</f>
        <v>103.737064</v>
      </c>
      <c r="J47" s="10">
        <f t="shared" si="1"/>
        <v>1.1125486686789059</v>
      </c>
      <c r="K47" s="10">
        <f t="shared" si="2"/>
        <v>1.1086730213931468</v>
      </c>
      <c r="L47" s="13">
        <f t="shared" si="3"/>
        <v>103.34956373071495</v>
      </c>
      <c r="M47" s="13">
        <f t="shared" si="4"/>
        <v>103.737064</v>
      </c>
      <c r="N47" s="13">
        <f>M47-L47</f>
        <v>0.38750026928505577</v>
      </c>
      <c r="O47" s="2">
        <f>N47/L47</f>
        <v>3.7494136917183012E-3</v>
      </c>
    </row>
    <row r="48" spans="1:15" x14ac:dyDescent="0.25">
      <c r="A48" s="1">
        <v>46092</v>
      </c>
      <c r="B48" s="6">
        <v>93.45</v>
      </c>
      <c r="C48" s="6">
        <v>104.1</v>
      </c>
      <c r="F48" s="13">
        <f>F47+D48</f>
        <v>0.23271999999999998</v>
      </c>
      <c r="G48" s="13">
        <f t="shared" si="0"/>
        <v>0.237064</v>
      </c>
      <c r="H48" s="13">
        <f>B48+F48</f>
        <v>93.682720000000003</v>
      </c>
      <c r="I48" s="13">
        <f>C48+G48</f>
        <v>104.337064</v>
      </c>
      <c r="J48" s="10">
        <f t="shared" si="1"/>
        <v>1.1137279532447393</v>
      </c>
      <c r="K48" s="10">
        <f t="shared" si="2"/>
        <v>1.1090195624387562</v>
      </c>
      <c r="L48" s="13">
        <f t="shared" si="3"/>
        <v>103.86350423472818</v>
      </c>
      <c r="M48" s="13">
        <f t="shared" si="4"/>
        <v>104.337064</v>
      </c>
      <c r="N48" s="13">
        <f>M48-L48</f>
        <v>0.47355976527181554</v>
      </c>
      <c r="O48" s="2">
        <f>N48/L48</f>
        <v>4.5594433652227416E-3</v>
      </c>
    </row>
    <row r="49" spans="1:15" x14ac:dyDescent="0.25">
      <c r="A49" s="1">
        <v>46093</v>
      </c>
      <c r="B49" s="6">
        <v>92.03</v>
      </c>
      <c r="C49" s="6">
        <v>102.03</v>
      </c>
      <c r="F49" s="13">
        <f>F48+D49</f>
        <v>0.23271999999999998</v>
      </c>
      <c r="G49" s="13">
        <f t="shared" si="0"/>
        <v>0.237064</v>
      </c>
      <c r="H49" s="13">
        <f>B49+F49</f>
        <v>92.262720000000002</v>
      </c>
      <c r="I49" s="13">
        <f>C49+G49</f>
        <v>102.267064</v>
      </c>
      <c r="J49" s="10">
        <f t="shared" si="1"/>
        <v>1.1084332219990913</v>
      </c>
      <c r="K49" s="10">
        <f t="shared" si="2"/>
        <v>1.1091967234131641</v>
      </c>
      <c r="L49" s="13">
        <f t="shared" si="3"/>
        <v>102.32116136380948</v>
      </c>
      <c r="M49" s="13">
        <f t="shared" si="4"/>
        <v>102.267064</v>
      </c>
      <c r="N49" s="13">
        <f>M49-L49</f>
        <v>-5.4097363809475496E-2</v>
      </c>
      <c r="O49" s="2">
        <f>N49/L49</f>
        <v>-5.2870162035327994E-4</v>
      </c>
    </row>
    <row r="50" spans="1:15" x14ac:dyDescent="0.25">
      <c r="A50" s="1">
        <v>46094</v>
      </c>
      <c r="B50" s="6">
        <v>92.05</v>
      </c>
      <c r="C50" s="6">
        <v>102.4</v>
      </c>
      <c r="F50" s="13">
        <f>F49+D50</f>
        <v>0.23271999999999998</v>
      </c>
      <c r="G50" s="13">
        <f t="shared" si="0"/>
        <v>0.237064</v>
      </c>
      <c r="H50" s="13">
        <f>B50+F50</f>
        <v>92.282719999999998</v>
      </c>
      <c r="I50" s="13">
        <f>C50+G50</f>
        <v>102.63706400000001</v>
      </c>
      <c r="J50" s="10">
        <f t="shared" si="1"/>
        <v>1.112202414493201</v>
      </c>
      <c r="K50" s="10">
        <f t="shared" si="2"/>
        <v>1.1095134670084172</v>
      </c>
      <c r="L50" s="13">
        <f t="shared" si="3"/>
        <v>102.35969065165446</v>
      </c>
      <c r="M50" s="13">
        <f t="shared" si="4"/>
        <v>102.63706400000001</v>
      </c>
      <c r="N50" s="13">
        <f>M50-L50</f>
        <v>0.27737334834554872</v>
      </c>
      <c r="O50" s="2">
        <f>N50/L50</f>
        <v>2.7097908031931462E-3</v>
      </c>
    </row>
    <row r="51" spans="1:15" x14ac:dyDescent="0.25">
      <c r="A51" s="1">
        <v>46097</v>
      </c>
      <c r="B51" s="6">
        <v>93.22</v>
      </c>
      <c r="C51" s="6">
        <v>103.76</v>
      </c>
      <c r="F51" s="13">
        <f>F50+D51</f>
        <v>0.23271999999999998</v>
      </c>
      <c r="G51" s="13">
        <f t="shared" si="0"/>
        <v>0.237064</v>
      </c>
      <c r="H51" s="13">
        <f>B51+F51</f>
        <v>93.452719999999999</v>
      </c>
      <c r="I51" s="13">
        <f>C51+G51</f>
        <v>103.99706400000001</v>
      </c>
      <c r="J51" s="10">
        <f t="shared" si="1"/>
        <v>1.1128307875897032</v>
      </c>
      <c r="K51" s="10">
        <f t="shared" si="2"/>
        <v>1.1097419207740435</v>
      </c>
      <c r="L51" s="13">
        <f t="shared" si="3"/>
        <v>103.68705136856686</v>
      </c>
      <c r="M51" s="13">
        <f t="shared" si="4"/>
        <v>103.99706400000001</v>
      </c>
      <c r="N51" s="13">
        <f>M51-L51</f>
        <v>0.31001263143315327</v>
      </c>
      <c r="O51" s="2">
        <f>N51/L51</f>
        <v>2.989887621851448E-3</v>
      </c>
    </row>
    <row r="52" spans="1:15" x14ac:dyDescent="0.25">
      <c r="A52" s="1">
        <v>46098</v>
      </c>
      <c r="B52" s="6">
        <v>93.91</v>
      </c>
      <c r="C52" s="6">
        <v>104.42</v>
      </c>
      <c r="F52" s="13">
        <f>F51+D52</f>
        <v>0.23271999999999998</v>
      </c>
      <c r="G52" s="13">
        <f t="shared" si="0"/>
        <v>0.237064</v>
      </c>
      <c r="H52" s="13">
        <f>B52+F52</f>
        <v>94.142719999999997</v>
      </c>
      <c r="I52" s="13">
        <f>C52+G52</f>
        <v>104.65706400000001</v>
      </c>
      <c r="J52" s="10">
        <f t="shared" si="1"/>
        <v>1.1116851520754871</v>
      </c>
      <c r="K52" s="10">
        <f t="shared" si="2"/>
        <v>1.1100286400014197</v>
      </c>
      <c r="L52" s="13">
        <f t="shared" si="3"/>
        <v>104.47412291969296</v>
      </c>
      <c r="M52" s="13">
        <f t="shared" si="4"/>
        <v>104.65706400000001</v>
      </c>
      <c r="N52" s="13">
        <f>M52-L52</f>
        <v>0.18294108030704592</v>
      </c>
      <c r="O52" s="2">
        <f>N52/L52</f>
        <v>1.7510659596316387E-3</v>
      </c>
    </row>
    <row r="53" spans="1:15" x14ac:dyDescent="0.25">
      <c r="A53" s="1">
        <v>46099</v>
      </c>
      <c r="B53" s="6">
        <v>93.63</v>
      </c>
      <c r="C53" s="6">
        <v>104.23</v>
      </c>
      <c r="F53" s="13">
        <f>F52+D53</f>
        <v>0.23271999999999998</v>
      </c>
      <c r="G53" s="13">
        <f t="shared" si="0"/>
        <v>0.237064</v>
      </c>
      <c r="H53" s="13">
        <f>B53+F53</f>
        <v>93.862719999999996</v>
      </c>
      <c r="I53" s="13">
        <f>C53+G53</f>
        <v>104.46706400000001</v>
      </c>
      <c r="J53" s="10">
        <f t="shared" si="1"/>
        <v>1.112977164948981</v>
      </c>
      <c r="K53" s="10">
        <f t="shared" si="2"/>
        <v>1.1103029955711312</v>
      </c>
      <c r="L53" s="13">
        <f t="shared" si="3"/>
        <v>104.19030742843405</v>
      </c>
      <c r="M53" s="13">
        <f t="shared" si="4"/>
        <v>104.46706400000001</v>
      </c>
      <c r="N53" s="13">
        <f>M53-L53</f>
        <v>0.27675657156595435</v>
      </c>
      <c r="O53" s="2">
        <f>N53/L53</f>
        <v>2.656260245282913E-3</v>
      </c>
    </row>
    <row r="54" spans="1:15" x14ac:dyDescent="0.25">
      <c r="A54" s="1">
        <v>46100</v>
      </c>
      <c r="B54" s="6">
        <v>94.11</v>
      </c>
      <c r="C54" s="6">
        <v>104.79</v>
      </c>
      <c r="F54" s="13">
        <f>F53+D54</f>
        <v>0.23271999999999998</v>
      </c>
      <c r="G54" s="13">
        <f t="shared" si="0"/>
        <v>0.237064</v>
      </c>
      <c r="H54" s="13">
        <f>B54+F54</f>
        <v>94.34272</v>
      </c>
      <c r="I54" s="13">
        <f>C54+G54</f>
        <v>105.02706400000001</v>
      </c>
      <c r="J54" s="10">
        <f t="shared" si="1"/>
        <v>1.1132503281652257</v>
      </c>
      <c r="K54" s="10">
        <f t="shared" si="2"/>
        <v>1.1105476312909253</v>
      </c>
      <c r="L54" s="13">
        <f t="shared" si="3"/>
        <v>104.74900462632847</v>
      </c>
      <c r="M54" s="13">
        <f t="shared" si="4"/>
        <v>105.02706400000001</v>
      </c>
      <c r="N54" s="13">
        <f>M54-L54</f>
        <v>0.27805937367153888</v>
      </c>
      <c r="O54" s="2">
        <f>N54/L54</f>
        <v>2.6545299849240682E-3</v>
      </c>
    </row>
    <row r="55" spans="1:15" x14ac:dyDescent="0.25">
      <c r="A55" s="1">
        <v>46101</v>
      </c>
      <c r="B55" s="6">
        <v>91.98</v>
      </c>
      <c r="C55" s="6">
        <v>102.46</v>
      </c>
      <c r="F55" s="13">
        <f>F54+D55</f>
        <v>0.23271999999999998</v>
      </c>
      <c r="G55" s="13">
        <f t="shared" si="0"/>
        <v>0.237064</v>
      </c>
      <c r="H55" s="13">
        <f>B55+F55</f>
        <v>92.212720000000004</v>
      </c>
      <c r="I55" s="13">
        <f>C55+G55</f>
        <v>102.697064</v>
      </c>
      <c r="J55" s="10">
        <f t="shared" si="1"/>
        <v>1.1136973727702641</v>
      </c>
      <c r="K55" s="10">
        <f t="shared" si="2"/>
        <v>1.1107265541118854</v>
      </c>
      <c r="L55" s="13">
        <f t="shared" si="3"/>
        <v>102.40661777089333</v>
      </c>
      <c r="M55" s="13">
        <f t="shared" si="4"/>
        <v>102.697064</v>
      </c>
      <c r="N55" s="13">
        <f>M55-L55</f>
        <v>0.29044622910666362</v>
      </c>
      <c r="O55" s="2">
        <f>N55/L55</f>
        <v>2.8362056615955939E-3</v>
      </c>
    </row>
    <row r="56" spans="1:15" x14ac:dyDescent="0.25">
      <c r="A56" s="1">
        <v>46104</v>
      </c>
      <c r="B56" s="6">
        <v>92.72</v>
      </c>
      <c r="C56" s="6">
        <v>103.16</v>
      </c>
      <c r="F56" s="13">
        <f>F55+D56</f>
        <v>0.23271999999999998</v>
      </c>
      <c r="G56" s="13">
        <f t="shared" si="0"/>
        <v>0.237064</v>
      </c>
      <c r="H56" s="13">
        <f>B56+F56</f>
        <v>92.952719999999999</v>
      </c>
      <c r="I56" s="13">
        <f>C56+G56</f>
        <v>103.397064</v>
      </c>
      <c r="J56" s="10">
        <f t="shared" si="1"/>
        <v>1.112361897532423</v>
      </c>
      <c r="K56" s="10">
        <f t="shared" si="2"/>
        <v>1.1108991170340929</v>
      </c>
      <c r="L56" s="13">
        <f t="shared" si="3"/>
        <v>103.24505438092693</v>
      </c>
      <c r="M56" s="13">
        <f t="shared" si="4"/>
        <v>103.397064</v>
      </c>
      <c r="N56" s="13">
        <f>M56-L56</f>
        <v>0.15200961907306976</v>
      </c>
      <c r="O56" s="2">
        <f>N56/L56</f>
        <v>1.4723186498815132E-3</v>
      </c>
    </row>
    <row r="57" spans="1:15" x14ac:dyDescent="0.25">
      <c r="A57" s="1">
        <v>46105</v>
      </c>
      <c r="B57" s="6">
        <v>92.97</v>
      </c>
      <c r="C57" s="6">
        <v>103.66</v>
      </c>
      <c r="F57" s="13">
        <f>F56+D57</f>
        <v>0.23271999999999998</v>
      </c>
      <c r="G57" s="13">
        <f t="shared" si="0"/>
        <v>0.237064</v>
      </c>
      <c r="H57" s="13">
        <f>B57+F57</f>
        <v>93.202719999999999</v>
      </c>
      <c r="I57" s="13">
        <f>C57+G57</f>
        <v>103.897064</v>
      </c>
      <c r="J57" s="10">
        <f t="shared" si="1"/>
        <v>1.1147428315396803</v>
      </c>
      <c r="K57" s="10">
        <f t="shared" si="2"/>
        <v>1.1113670232465229</v>
      </c>
      <c r="L57" s="13">
        <f t="shared" si="3"/>
        <v>103.5388193531758</v>
      </c>
      <c r="M57" s="13">
        <f t="shared" si="4"/>
        <v>103.897064</v>
      </c>
      <c r="N57" s="13">
        <f>M57-L57</f>
        <v>0.35824464682420398</v>
      </c>
      <c r="O57" s="2">
        <f>N57/L57</f>
        <v>3.4600032051960591E-3</v>
      </c>
    </row>
    <row r="58" spans="1:15" x14ac:dyDescent="0.25">
      <c r="A58" s="1">
        <v>46106</v>
      </c>
      <c r="B58" s="6">
        <v>93.49</v>
      </c>
      <c r="C58" s="6">
        <v>104.32</v>
      </c>
      <c r="F58" s="13">
        <f>F57+D58</f>
        <v>0.23271999999999998</v>
      </c>
      <c r="G58" s="13">
        <f t="shared" si="0"/>
        <v>0.237064</v>
      </c>
      <c r="H58" s="13">
        <f>B58+F58</f>
        <v>93.722719999999995</v>
      </c>
      <c r="I58" s="13">
        <f>C58+G58</f>
        <v>104.557064</v>
      </c>
      <c r="J58" s="10">
        <f t="shared" si="1"/>
        <v>1.115599974051116</v>
      </c>
      <c r="K58" s="10">
        <f t="shared" si="2"/>
        <v>1.1118750820287497</v>
      </c>
      <c r="L58" s="13">
        <f t="shared" si="3"/>
        <v>104.16034033696735</v>
      </c>
      <c r="M58" s="13">
        <f t="shared" si="4"/>
        <v>104.557064</v>
      </c>
      <c r="N58" s="13">
        <f>M58-L58</f>
        <v>0.39672366303264539</v>
      </c>
      <c r="O58" s="2">
        <f>N58/L58</f>
        <v>3.8087784827623584E-3</v>
      </c>
    </row>
    <row r="59" spans="1:15" x14ac:dyDescent="0.25">
      <c r="A59" s="1">
        <v>46107</v>
      </c>
      <c r="B59" s="6">
        <v>91.43</v>
      </c>
      <c r="C59" s="6">
        <v>102</v>
      </c>
      <c r="F59" s="13">
        <f>F58+D59</f>
        <v>0.23271999999999998</v>
      </c>
      <c r="G59" s="13">
        <f t="shared" si="0"/>
        <v>0.237064</v>
      </c>
      <c r="H59" s="13">
        <f>B59+F59</f>
        <v>91.662720000000007</v>
      </c>
      <c r="I59" s="13">
        <f>C59+G59</f>
        <v>102.237064</v>
      </c>
      <c r="J59" s="10">
        <f t="shared" si="1"/>
        <v>1.1153614468346564</v>
      </c>
      <c r="K59" s="10">
        <f t="shared" si="2"/>
        <v>1.1122093799205648</v>
      </c>
      <c r="L59" s="13">
        <f t="shared" si="3"/>
        <v>101.91749431897833</v>
      </c>
      <c r="M59" s="13">
        <f t="shared" si="4"/>
        <v>102.237064</v>
      </c>
      <c r="N59" s="13">
        <f>M59-L59</f>
        <v>0.31956968102167593</v>
      </c>
      <c r="O59" s="2">
        <f>N59/L59</f>
        <v>3.1355723878129923E-3</v>
      </c>
    </row>
    <row r="60" spans="1:15" x14ac:dyDescent="0.25">
      <c r="A60" s="1">
        <v>46108</v>
      </c>
      <c r="B60" s="6">
        <v>89.81</v>
      </c>
      <c r="C60" s="6">
        <v>100.84</v>
      </c>
      <c r="F60" s="13">
        <f>F59+D60</f>
        <v>0.23271999999999998</v>
      </c>
      <c r="G60" s="13">
        <f t="shared" si="0"/>
        <v>0.237064</v>
      </c>
      <c r="H60" s="13">
        <f>B60+F60</f>
        <v>90.042720000000003</v>
      </c>
      <c r="I60" s="13">
        <f>C60+G60</f>
        <v>101.07706400000001</v>
      </c>
      <c r="J60" s="10">
        <f t="shared" si="1"/>
        <v>1.1225456538851781</v>
      </c>
      <c r="K60" s="10">
        <f t="shared" si="2"/>
        <v>1.1128208556467265</v>
      </c>
      <c r="L60" s="13">
        <f t="shared" si="3"/>
        <v>100.14635777756104</v>
      </c>
      <c r="M60" s="13">
        <f t="shared" si="4"/>
        <v>101.07706400000001</v>
      </c>
      <c r="N60" s="13">
        <f>M60-L60</f>
        <v>0.93070622243897105</v>
      </c>
      <c r="O60" s="2">
        <f>N60/L60</f>
        <v>9.2934605221110366E-3</v>
      </c>
    </row>
    <row r="61" spans="1:15" x14ac:dyDescent="0.25">
      <c r="A61" s="1">
        <v>46111</v>
      </c>
      <c r="B61" s="6">
        <v>89.04</v>
      </c>
      <c r="C61" s="6">
        <v>99.15</v>
      </c>
      <c r="F61" s="13">
        <f>F60+D61</f>
        <v>0.23271999999999998</v>
      </c>
      <c r="G61" s="13">
        <f t="shared" si="0"/>
        <v>0.237064</v>
      </c>
      <c r="H61" s="13">
        <f>B61+F61</f>
        <v>89.272720000000007</v>
      </c>
      <c r="I61" s="13">
        <f>C61+G61</f>
        <v>99.387064000000009</v>
      </c>
      <c r="J61" s="10">
        <f t="shared" si="1"/>
        <v>1.1132971416128017</v>
      </c>
      <c r="K61" s="10">
        <f t="shared" si="2"/>
        <v>1.1127607298059552</v>
      </c>
      <c r="L61" s="13">
        <f t="shared" si="3"/>
        <v>99.344544656310646</v>
      </c>
      <c r="M61" s="13">
        <f t="shared" si="4"/>
        <v>99.387064000000009</v>
      </c>
      <c r="N61" s="13">
        <f>M61-L61</f>
        <v>4.2519343689363609E-2</v>
      </c>
      <c r="O61" s="2">
        <f>N61/L61</f>
        <v>4.2799877775334552E-4</v>
      </c>
    </row>
    <row r="62" spans="1:15" x14ac:dyDescent="0.25">
      <c r="A62" s="1">
        <v>46112</v>
      </c>
      <c r="B62" s="6">
        <v>91.52</v>
      </c>
      <c r="C62" s="6">
        <v>101.79</v>
      </c>
      <c r="F62" s="13">
        <f>F61+D62</f>
        <v>0.23271999999999998</v>
      </c>
      <c r="G62" s="13">
        <f t="shared" si="0"/>
        <v>0.237064</v>
      </c>
      <c r="H62" s="13">
        <f>B62+F62</f>
        <v>91.752719999999997</v>
      </c>
      <c r="I62" s="13">
        <f>C62+G62</f>
        <v>102.02706400000001</v>
      </c>
      <c r="J62" s="10">
        <f t="shared" si="1"/>
        <v>1.111978631260196</v>
      </c>
      <c r="K62" s="10">
        <f t="shared" si="2"/>
        <v>1.1128757659257713</v>
      </c>
      <c r="L62" s="13">
        <f t="shared" si="3"/>
        <v>102.09882366888145</v>
      </c>
      <c r="M62" s="13">
        <f t="shared" si="4"/>
        <v>102.02706400000001</v>
      </c>
      <c r="N62" s="13">
        <f>M62-L62</f>
        <v>-7.175966888144103E-2</v>
      </c>
      <c r="O62" s="2">
        <f>N62/L62</f>
        <v>-7.0284520724906796E-4</v>
      </c>
    </row>
    <row r="63" spans="1:15" x14ac:dyDescent="0.25">
      <c r="A63" s="1">
        <v>46113</v>
      </c>
      <c r="B63" s="6">
        <v>92.47</v>
      </c>
      <c r="C63" s="6">
        <v>102.82</v>
      </c>
      <c r="D63" s="13">
        <v>0.10198</v>
      </c>
      <c r="E63" s="13">
        <v>0.133766</v>
      </c>
      <c r="F63" s="13">
        <f>F62+D63</f>
        <v>0.3347</v>
      </c>
      <c r="G63" s="13">
        <f t="shared" si="0"/>
        <v>0.37082999999999999</v>
      </c>
      <c r="H63" s="13">
        <f>B63+F63</f>
        <v>92.804699999999997</v>
      </c>
      <c r="I63" s="13">
        <f>C63+G63</f>
        <v>103.19082999999999</v>
      </c>
      <c r="J63" s="10">
        <f t="shared" si="1"/>
        <v>1.1119138362604479</v>
      </c>
      <c r="K63" s="10">
        <f t="shared" si="2"/>
        <v>1.1129343940666774</v>
      </c>
      <c r="L63" s="13">
        <f t="shared" si="3"/>
        <v>103.28010159401143</v>
      </c>
      <c r="M63" s="13">
        <f t="shared" si="4"/>
        <v>103.19082999999999</v>
      </c>
      <c r="N63" s="13">
        <f>M63-L63</f>
        <v>-8.9271594011435695E-2</v>
      </c>
      <c r="O63" s="2">
        <f>N63/L63</f>
        <v>-8.6436392522499226E-4</v>
      </c>
    </row>
    <row r="64" spans="1:15" x14ac:dyDescent="0.25">
      <c r="A64" s="1">
        <v>46114</v>
      </c>
      <c r="B64" s="6">
        <v>93.3</v>
      </c>
      <c r="C64" s="6">
        <v>103.89</v>
      </c>
      <c r="F64" s="13">
        <f>F63+D64</f>
        <v>0.3347</v>
      </c>
      <c r="G64" s="13">
        <f t="shared" si="0"/>
        <v>0.37082999999999999</v>
      </c>
      <c r="H64" s="13">
        <f>B64+F64</f>
        <v>93.634699999999995</v>
      </c>
      <c r="I64" s="13">
        <f>C64+G64</f>
        <v>104.26083</v>
      </c>
      <c r="J64" s="10">
        <f t="shared" si="1"/>
        <v>1.1134849580337205</v>
      </c>
      <c r="K64" s="10">
        <f t="shared" si="2"/>
        <v>1.1131009522601616</v>
      </c>
      <c r="L64" s="13">
        <f t="shared" si="3"/>
        <v>104.20927810811511</v>
      </c>
      <c r="M64" s="13">
        <f t="shared" si="4"/>
        <v>104.26083</v>
      </c>
      <c r="N64" s="13">
        <f>M64-L64</f>
        <v>5.1551891884884071E-2</v>
      </c>
      <c r="O64" s="2">
        <f>N64/L64</f>
        <v>4.9469579696541008E-4</v>
      </c>
    </row>
    <row r="65" spans="1:15" x14ac:dyDescent="0.25">
      <c r="A65" s="1">
        <v>46118</v>
      </c>
      <c r="B65" s="6">
        <v>93.22</v>
      </c>
      <c r="C65" s="6">
        <v>103.94</v>
      </c>
      <c r="F65" s="13">
        <f>F64+D65</f>
        <v>0.3347</v>
      </c>
      <c r="G65" s="13">
        <f t="shared" si="0"/>
        <v>0.37082999999999999</v>
      </c>
      <c r="H65" s="13">
        <f>B65+F65</f>
        <v>93.554699999999997</v>
      </c>
      <c r="I65" s="13">
        <f>C65+G65</f>
        <v>104.31083</v>
      </c>
      <c r="J65" s="10">
        <f t="shared" si="1"/>
        <v>1.1149715620914824</v>
      </c>
      <c r="K65" s="10">
        <f t="shared" si="2"/>
        <v>1.1134197779231789</v>
      </c>
      <c r="L65" s="13">
        <f t="shared" si="3"/>
        <v>104.13582565841374</v>
      </c>
      <c r="M65" s="13">
        <f t="shared" si="4"/>
        <v>104.31083</v>
      </c>
      <c r="N65" s="13">
        <f>M65-L65</f>
        <v>0.17500434158625922</v>
      </c>
      <c r="O65" s="2">
        <f>N65/L65</f>
        <v>1.6805392426647516E-3</v>
      </c>
    </row>
    <row r="66" spans="1:15" x14ac:dyDescent="0.25">
      <c r="A66" s="1">
        <v>46119</v>
      </c>
      <c r="B66" s="6">
        <v>93.84</v>
      </c>
      <c r="C66" s="6">
        <v>104.53</v>
      </c>
      <c r="F66" s="13">
        <f>F65+D66</f>
        <v>0.3347</v>
      </c>
      <c r="G66" s="13">
        <f t="shared" si="0"/>
        <v>0.37082999999999999</v>
      </c>
      <c r="H66" s="13">
        <f>B66+F66</f>
        <v>94.174700000000001</v>
      </c>
      <c r="I66" s="13">
        <f>C66+G66</f>
        <v>104.90083</v>
      </c>
      <c r="J66" s="10">
        <f t="shared" si="1"/>
        <v>1.1138960888646314</v>
      </c>
      <c r="K66" s="10">
        <f t="shared" si="2"/>
        <v>1.1135753542965969</v>
      </c>
      <c r="L66" s="13">
        <f t="shared" si="3"/>
        <v>104.855973559982</v>
      </c>
      <c r="M66" s="13">
        <f t="shared" si="4"/>
        <v>104.90083</v>
      </c>
      <c r="N66" s="13">
        <f>M66-L66</f>
        <v>4.4856440017994714E-2</v>
      </c>
      <c r="O66" s="2">
        <f>N66/L66</f>
        <v>4.2779098314637225E-4</v>
      </c>
    </row>
    <row r="67" spans="1:15" x14ac:dyDescent="0.25">
      <c r="A67" s="1">
        <v>46120</v>
      </c>
      <c r="B67" s="6">
        <v>96.39</v>
      </c>
      <c r="C67" s="6">
        <v>107.39</v>
      </c>
      <c r="F67" s="13">
        <f>F66+D67</f>
        <v>0.3347</v>
      </c>
      <c r="G67" s="13">
        <f t="shared" si="0"/>
        <v>0.37082999999999999</v>
      </c>
      <c r="H67" s="13">
        <f>B67+F67</f>
        <v>96.724699999999999</v>
      </c>
      <c r="I67" s="13">
        <f>C67+G67</f>
        <v>107.76083</v>
      </c>
      <c r="J67" s="10">
        <f t="shared" si="1"/>
        <v>1.1140983637064783</v>
      </c>
      <c r="K67" s="10">
        <f t="shared" si="2"/>
        <v>1.1136528390479754</v>
      </c>
      <c r="L67" s="13">
        <f t="shared" si="3"/>
        <v>107.71024207173205</v>
      </c>
      <c r="M67" s="13">
        <f t="shared" si="4"/>
        <v>107.76083</v>
      </c>
      <c r="N67" s="13">
        <f>M67-L67</f>
        <v>5.0587928267944449E-2</v>
      </c>
      <c r="O67" s="2">
        <f>N67/L67</f>
        <v>4.6966683292991101E-4</v>
      </c>
    </row>
    <row r="68" spans="1:15" x14ac:dyDescent="0.25">
      <c r="A68" s="1">
        <v>46121</v>
      </c>
      <c r="B68" s="6">
        <v>96.51</v>
      </c>
      <c r="C68" s="6">
        <v>107.56</v>
      </c>
      <c r="F68" s="13">
        <f>F67+D68</f>
        <v>0.3347</v>
      </c>
      <c r="G68" s="13">
        <f t="shared" ref="G68:G131" si="5">G67+E68</f>
        <v>0.37082999999999999</v>
      </c>
      <c r="H68" s="13">
        <f>B68+F68</f>
        <v>96.844700000000003</v>
      </c>
      <c r="I68" s="13">
        <f>C68+G68</f>
        <v>107.93083</v>
      </c>
      <c r="J68" s="10">
        <f t="shared" ref="J68:J131" si="6">I68/H68</f>
        <v>1.1144732752540922</v>
      </c>
      <c r="K68" s="10">
        <f t="shared" si="2"/>
        <v>1.1136901051484431</v>
      </c>
      <c r="L68" s="13">
        <f t="shared" si="3"/>
        <v>107.85137510174947</v>
      </c>
      <c r="M68" s="13">
        <f t="shared" si="4"/>
        <v>107.93083</v>
      </c>
      <c r="N68" s="13">
        <f>M68-L68</f>
        <v>7.9454898250531869E-2</v>
      </c>
      <c r="O68" s="2">
        <f>N68/L68</f>
        <v>7.3670732687063372E-4</v>
      </c>
    </row>
    <row r="69" spans="1:15" x14ac:dyDescent="0.25">
      <c r="A69" s="1">
        <v>46122</v>
      </c>
      <c r="B69" s="6">
        <v>96.5</v>
      </c>
      <c r="C69" s="6">
        <v>107.64</v>
      </c>
      <c r="F69" s="13">
        <f>F68+D69</f>
        <v>0.3347</v>
      </c>
      <c r="G69" s="13">
        <f t="shared" si="5"/>
        <v>0.37082999999999999</v>
      </c>
      <c r="H69" s="13">
        <f>B69+F69</f>
        <v>96.834699999999998</v>
      </c>
      <c r="I69" s="13">
        <f>C69+G69</f>
        <v>108.01083</v>
      </c>
      <c r="J69" s="10">
        <f t="shared" si="6"/>
        <v>1.1154145156643229</v>
      </c>
      <c r="K69" s="10">
        <f t="shared" si="2"/>
        <v>1.1140391698317047</v>
      </c>
      <c r="L69" s="13">
        <f t="shared" si="3"/>
        <v>107.84384722501794</v>
      </c>
      <c r="M69" s="13">
        <f t="shared" si="4"/>
        <v>108.01083</v>
      </c>
      <c r="N69" s="13">
        <f>M69-L69</f>
        <v>0.16698277498205982</v>
      </c>
      <c r="O69" s="2">
        <f>N69/L69</f>
        <v>1.5483755381393946E-3</v>
      </c>
    </row>
    <row r="70" spans="1:15" x14ac:dyDescent="0.25">
      <c r="A70" s="1">
        <v>46125</v>
      </c>
      <c r="B70" s="6">
        <v>97.88</v>
      </c>
      <c r="C70" s="6">
        <v>108.59</v>
      </c>
      <c r="F70" s="13">
        <f>F69+D70</f>
        <v>0.3347</v>
      </c>
      <c r="G70" s="13">
        <f t="shared" si="5"/>
        <v>0.37082999999999999</v>
      </c>
      <c r="H70" s="13">
        <f>B70+F70</f>
        <v>98.214699999999993</v>
      </c>
      <c r="I70" s="13">
        <f>C70+G70</f>
        <v>108.96083</v>
      </c>
      <c r="J70" s="10">
        <f t="shared" si="6"/>
        <v>1.1094146802871669</v>
      </c>
      <c r="K70" s="10">
        <f t="shared" si="2"/>
        <v>1.1138997831214028</v>
      </c>
      <c r="L70" s="13">
        <f t="shared" si="3"/>
        <v>109.41502285326992</v>
      </c>
      <c r="M70" s="13">
        <f t="shared" si="4"/>
        <v>108.96083</v>
      </c>
      <c r="N70" s="13">
        <f>M70-L70</f>
        <v>-0.45419285326991599</v>
      </c>
      <c r="O70" s="2">
        <f>N70/L70</f>
        <v>-4.151101388325874E-3</v>
      </c>
    </row>
    <row r="71" spans="1:15" x14ac:dyDescent="0.25">
      <c r="A71" s="1">
        <v>46126</v>
      </c>
      <c r="B71" s="6">
        <v>98.84</v>
      </c>
      <c r="C71" s="6">
        <v>109.8</v>
      </c>
      <c r="F71" s="13">
        <f>F70+D71</f>
        <v>0.3347</v>
      </c>
      <c r="G71" s="13">
        <f t="shared" si="5"/>
        <v>0.37082999999999999</v>
      </c>
      <c r="H71" s="13">
        <f>B71+F71</f>
        <v>99.174700000000001</v>
      </c>
      <c r="I71" s="13">
        <f>C71+G71</f>
        <v>110.17083</v>
      </c>
      <c r="J71" s="10">
        <f t="shared" si="6"/>
        <v>1.1108763626207085</v>
      </c>
      <c r="K71" s="10">
        <f t="shared" si="2"/>
        <v>1.1138020618729532</v>
      </c>
      <c r="L71" s="13">
        <f t="shared" si="3"/>
        <v>110.47067682113018</v>
      </c>
      <c r="M71" s="13">
        <f t="shared" si="4"/>
        <v>110.17083</v>
      </c>
      <c r="N71" s="13">
        <f>M71-L71</f>
        <v>-0.29984682113018835</v>
      </c>
      <c r="O71" s="2">
        <f>N71/L71</f>
        <v>-2.7142661723317642E-3</v>
      </c>
    </row>
    <row r="72" spans="1:15" x14ac:dyDescent="0.25">
      <c r="A72" s="1">
        <v>46127</v>
      </c>
      <c r="B72" s="6">
        <v>99.03</v>
      </c>
      <c r="C72" s="6">
        <v>110.31</v>
      </c>
      <c r="F72" s="13">
        <f>F71+D72</f>
        <v>0.3347</v>
      </c>
      <c r="G72" s="13">
        <f t="shared" si="5"/>
        <v>0.37082999999999999</v>
      </c>
      <c r="H72" s="13">
        <f>B72+F72</f>
        <v>99.364699999999999</v>
      </c>
      <c r="I72" s="13">
        <f>C72+G72</f>
        <v>110.68083</v>
      </c>
      <c r="J72" s="10">
        <f t="shared" si="6"/>
        <v>1.1138848101991956</v>
      </c>
      <c r="K72" s="10">
        <f t="shared" si="2"/>
        <v>1.1139120447791384</v>
      </c>
      <c r="L72" s="13">
        <f t="shared" si="3"/>
        <v>110.67260773738742</v>
      </c>
      <c r="M72" s="13">
        <f t="shared" si="4"/>
        <v>110.68083</v>
      </c>
      <c r="N72" s="13">
        <f>M72-L72</f>
        <v>8.2222626125769693E-3</v>
      </c>
      <c r="O72" s="2">
        <f>N72/L72</f>
        <v>7.429356532455975E-5</v>
      </c>
    </row>
    <row r="73" spans="1:15" x14ac:dyDescent="0.25">
      <c r="A73" s="1">
        <v>46128</v>
      </c>
      <c r="B73" s="6">
        <v>100.14</v>
      </c>
      <c r="C73" s="6">
        <v>111.2</v>
      </c>
      <c r="F73" s="13">
        <f>F72+D73</f>
        <v>0.3347</v>
      </c>
      <c r="G73" s="13">
        <f t="shared" si="5"/>
        <v>0.37082999999999999</v>
      </c>
      <c r="H73" s="13">
        <f>B73+F73</f>
        <v>100.4747</v>
      </c>
      <c r="I73" s="13">
        <f>C73+G73</f>
        <v>111.57083</v>
      </c>
      <c r="J73" s="10">
        <f t="shared" si="6"/>
        <v>1.1104370552984981</v>
      </c>
      <c r="K73" s="10">
        <f t="shared" si="2"/>
        <v>1.1137850392966144</v>
      </c>
      <c r="L73" s="13">
        <f t="shared" si="3"/>
        <v>111.9199785255705</v>
      </c>
      <c r="M73" s="13">
        <f t="shared" si="4"/>
        <v>111.57083</v>
      </c>
      <c r="N73" s="13">
        <f>M73-L73</f>
        <v>-0.34914852557049869</v>
      </c>
      <c r="O73" s="2">
        <f>N73/L73</f>
        <v>-3.1196264524901447E-3</v>
      </c>
    </row>
    <row r="74" spans="1:15" x14ac:dyDescent="0.25">
      <c r="A74" s="1">
        <v>46129</v>
      </c>
      <c r="B74" s="6">
        <v>100.51</v>
      </c>
      <c r="C74" s="6">
        <v>112.06</v>
      </c>
      <c r="F74" s="13">
        <f>F73+D74</f>
        <v>0.3347</v>
      </c>
      <c r="G74" s="13">
        <f t="shared" si="5"/>
        <v>0.37082999999999999</v>
      </c>
      <c r="H74" s="13">
        <f>B74+F74</f>
        <v>100.8447</v>
      </c>
      <c r="I74" s="13">
        <f>C74+G74</f>
        <v>112.43083</v>
      </c>
      <c r="J74" s="10">
        <f t="shared" si="6"/>
        <v>1.1148908172665495</v>
      </c>
      <c r="K74" s="10">
        <f t="shared" si="2"/>
        <v>1.1138670637516803</v>
      </c>
      <c r="L74" s="13">
        <f t="shared" si="3"/>
        <v>112.31931815235529</v>
      </c>
      <c r="M74" s="13">
        <f t="shared" si="4"/>
        <v>112.43083</v>
      </c>
      <c r="N74" s="13">
        <f>M74-L74</f>
        <v>0.11151184764470656</v>
      </c>
      <c r="O74" s="2">
        <f>N74/L74</f>
        <v>9.9281093830579136E-4</v>
      </c>
    </row>
    <row r="75" spans="1:15" x14ac:dyDescent="0.25">
      <c r="A75" s="1">
        <v>46132</v>
      </c>
      <c r="B75" s="6">
        <v>100.89</v>
      </c>
      <c r="C75" s="6">
        <v>112.35</v>
      </c>
      <c r="F75" s="13">
        <f>F74+D75</f>
        <v>0.3347</v>
      </c>
      <c r="G75" s="13">
        <f t="shared" si="5"/>
        <v>0.37082999999999999</v>
      </c>
      <c r="H75" s="13">
        <f>B75+F75</f>
        <v>101.2247</v>
      </c>
      <c r="I75" s="13">
        <f>C75+G75</f>
        <v>112.72082999999999</v>
      </c>
      <c r="J75" s="10">
        <f t="shared" si="6"/>
        <v>1.1135704032711382</v>
      </c>
      <c r="K75" s="10">
        <f t="shared" si="2"/>
        <v>1.1138607152767239</v>
      </c>
      <c r="L75" s="13">
        <f t="shared" si="3"/>
        <v>112.75085936814472</v>
      </c>
      <c r="M75" s="13">
        <f t="shared" si="4"/>
        <v>112.72082999999999</v>
      </c>
      <c r="N75" s="13">
        <f>M75-L75</f>
        <v>-3.0029368144724344E-2</v>
      </c>
      <c r="O75" s="2">
        <f>N75/L75</f>
        <v>-2.6633382940945003E-4</v>
      </c>
    </row>
    <row r="76" spans="1:15" x14ac:dyDescent="0.25">
      <c r="A76" s="1">
        <v>46133</v>
      </c>
      <c r="B76" s="6">
        <v>99.9</v>
      </c>
      <c r="C76" s="6">
        <v>111.32</v>
      </c>
      <c r="F76" s="13">
        <f>F75+D76</f>
        <v>0.3347</v>
      </c>
      <c r="G76" s="13">
        <f t="shared" si="5"/>
        <v>0.37082999999999999</v>
      </c>
      <c r="H76" s="13">
        <f>B76+F76</f>
        <v>100.2347</v>
      </c>
      <c r="I76" s="13">
        <f>C76+G76</f>
        <v>111.69082999999999</v>
      </c>
      <c r="J76" s="10">
        <f t="shared" si="6"/>
        <v>1.1142930542017884</v>
      </c>
      <c r="K76" s="10">
        <f t="shared" si="2"/>
        <v>1.1139572731101921</v>
      </c>
      <c r="L76" s="13">
        <f t="shared" si="3"/>
        <v>111.64749463754784</v>
      </c>
      <c r="M76" s="13">
        <f t="shared" si="4"/>
        <v>111.69082999999999</v>
      </c>
      <c r="N76" s="13">
        <f>M76-L76</f>
        <v>4.3335362452154413E-2</v>
      </c>
      <c r="O76" s="2">
        <f>N76/L76</f>
        <v>3.8814451316474436E-4</v>
      </c>
    </row>
    <row r="77" spans="1:15" x14ac:dyDescent="0.25">
      <c r="A77" s="1">
        <v>46134</v>
      </c>
      <c r="B77" s="6">
        <v>101</v>
      </c>
      <c r="C77" s="6">
        <v>112.33</v>
      </c>
      <c r="F77" s="13">
        <f>F76+D77</f>
        <v>0.3347</v>
      </c>
      <c r="G77" s="13">
        <f t="shared" si="5"/>
        <v>0.37082999999999999</v>
      </c>
      <c r="H77" s="13">
        <f>B77+F77</f>
        <v>101.3347</v>
      </c>
      <c r="I77" s="13">
        <f>C77+G77</f>
        <v>112.70083</v>
      </c>
      <c r="J77" s="10">
        <f t="shared" si="6"/>
        <v>1.1121642438375008</v>
      </c>
      <c r="K77" s="10">
        <f t="shared" si="2"/>
        <v>1.1138283437250833</v>
      </c>
      <c r="L77" s="13">
        <f t="shared" si="3"/>
        <v>112.88252608343939</v>
      </c>
      <c r="M77" s="13">
        <f t="shared" si="4"/>
        <v>112.70083</v>
      </c>
      <c r="N77" s="13">
        <f>M77-L77</f>
        <v>-0.18169608343939103</v>
      </c>
      <c r="O77" s="2">
        <f>N77/L77</f>
        <v>-1.6096032729200861E-3</v>
      </c>
    </row>
    <row r="78" spans="1:15" x14ac:dyDescent="0.25">
      <c r="A78" s="1">
        <v>46135</v>
      </c>
      <c r="B78" s="6">
        <v>100.92</v>
      </c>
      <c r="C78" s="6">
        <v>112.01</v>
      </c>
      <c r="F78" s="13">
        <f>F77+D78</f>
        <v>0.3347</v>
      </c>
      <c r="G78" s="13">
        <f t="shared" si="5"/>
        <v>0.37082999999999999</v>
      </c>
      <c r="H78" s="13">
        <f>B78+F78</f>
        <v>101.2547</v>
      </c>
      <c r="I78" s="13">
        <f>C78+G78</f>
        <v>112.38083</v>
      </c>
      <c r="J78" s="10">
        <f t="shared" si="6"/>
        <v>1.109882602980405</v>
      </c>
      <c r="K78" s="10">
        <f t="shared" si="2"/>
        <v>1.1135424751715477</v>
      </c>
      <c r="L78" s="13">
        <f t="shared" si="3"/>
        <v>112.78035479538019</v>
      </c>
      <c r="M78" s="13">
        <f t="shared" si="4"/>
        <v>112.38083</v>
      </c>
      <c r="N78" s="13">
        <f>M78-L78</f>
        <v>-0.39952479538018792</v>
      </c>
      <c r="O78" s="2">
        <f>N78/L78</f>
        <v>-3.5425034449045162E-3</v>
      </c>
    </row>
    <row r="79" spans="1:15" x14ac:dyDescent="0.25">
      <c r="A79" s="1">
        <v>46136</v>
      </c>
      <c r="B79" s="6">
        <v>100.78</v>
      </c>
      <c r="C79" s="6">
        <v>112.19</v>
      </c>
      <c r="F79" s="13">
        <f>F78+D79</f>
        <v>0.3347</v>
      </c>
      <c r="G79" s="13">
        <f t="shared" si="5"/>
        <v>0.37082999999999999</v>
      </c>
      <c r="H79" s="13">
        <f>B79+F79</f>
        <v>101.1147</v>
      </c>
      <c r="I79" s="13">
        <f>C79+G79</f>
        <v>112.56083</v>
      </c>
      <c r="J79" s="10">
        <f t="shared" si="6"/>
        <v>1.1131994655574313</v>
      </c>
      <c r="K79" s="10">
        <f t="shared" si="2"/>
        <v>1.1134343761076866</v>
      </c>
      <c r="L79" s="13">
        <f t="shared" si="3"/>
        <v>112.5955133142285</v>
      </c>
      <c r="M79" s="13">
        <f t="shared" si="4"/>
        <v>112.56083</v>
      </c>
      <c r="N79" s="13">
        <f>M79-L79</f>
        <v>-3.4683314228502127E-2</v>
      </c>
      <c r="O79" s="2">
        <f>N79/L79</f>
        <v>-3.0803460286831213E-4</v>
      </c>
    </row>
    <row r="80" spans="1:15" x14ac:dyDescent="0.25">
      <c r="A80" s="1">
        <v>46139</v>
      </c>
      <c r="B80" s="6">
        <v>100.71</v>
      </c>
      <c r="C80" s="6">
        <v>111.95</v>
      </c>
      <c r="F80" s="13">
        <f>F79+D80</f>
        <v>0.3347</v>
      </c>
      <c r="G80" s="13">
        <f t="shared" si="5"/>
        <v>0.37082999999999999</v>
      </c>
      <c r="H80" s="13">
        <f>B80+F80</f>
        <v>101.04469999999999</v>
      </c>
      <c r="I80" s="13">
        <f>C80+G80</f>
        <v>112.32083</v>
      </c>
      <c r="J80" s="10">
        <f t="shared" si="6"/>
        <v>1.1115954622063307</v>
      </c>
      <c r="K80" s="10">
        <f t="shared" si="2"/>
        <v>1.1128868665237444</v>
      </c>
      <c r="L80" s="13">
        <f t="shared" si="3"/>
        <v>112.50664250348835</v>
      </c>
      <c r="M80" s="13">
        <f t="shared" si="4"/>
        <v>112.32083</v>
      </c>
      <c r="N80" s="13">
        <f>M80-L80</f>
        <v>-0.18581250348834999</v>
      </c>
      <c r="O80" s="2">
        <f>N80/L80</f>
        <v>-1.6515691816382195E-3</v>
      </c>
    </row>
    <row r="81" spans="1:15" x14ac:dyDescent="0.25">
      <c r="A81" s="1">
        <v>46140</v>
      </c>
      <c r="B81" s="6">
        <v>99.17</v>
      </c>
      <c r="C81" s="6">
        <v>110.1</v>
      </c>
      <c r="F81" s="13">
        <f>F80+D81</f>
        <v>0.3347</v>
      </c>
      <c r="G81" s="13">
        <f t="shared" si="5"/>
        <v>0.37082999999999999</v>
      </c>
      <c r="H81" s="13">
        <f>B81+F81</f>
        <v>99.5047</v>
      </c>
      <c r="I81" s="13">
        <f>C81+G81</f>
        <v>110.47082999999999</v>
      </c>
      <c r="J81" s="10">
        <f t="shared" si="6"/>
        <v>1.1102071560438853</v>
      </c>
      <c r="K81" s="10">
        <f t="shared" si="2"/>
        <v>1.1127323672452987</v>
      </c>
      <c r="L81" s="13">
        <f t="shared" si="3"/>
        <v>110.73747378738523</v>
      </c>
      <c r="M81" s="13">
        <f t="shared" si="4"/>
        <v>110.47082999999999</v>
      </c>
      <c r="N81" s="13">
        <f>M81-L81</f>
        <v>-0.26664378738523453</v>
      </c>
      <c r="O81" s="2">
        <f>N81/L81</f>
        <v>-2.4078911886430401E-3</v>
      </c>
    </row>
    <row r="82" spans="1:15" x14ac:dyDescent="0.25">
      <c r="A82" s="1">
        <v>46141</v>
      </c>
      <c r="B82" s="6">
        <v>99.75</v>
      </c>
      <c r="C82" s="6">
        <v>111.18</v>
      </c>
      <c r="F82" s="13">
        <f>F81+D82</f>
        <v>0.3347</v>
      </c>
      <c r="G82" s="13">
        <f t="shared" si="5"/>
        <v>0.37082999999999999</v>
      </c>
      <c r="H82" s="13">
        <f>B82+F82</f>
        <v>100.0847</v>
      </c>
      <c r="I82" s="13">
        <f>C82+G82</f>
        <v>111.55083</v>
      </c>
      <c r="J82" s="10">
        <f t="shared" si="6"/>
        <v>1.1145642640683342</v>
      </c>
      <c r="K82" s="10">
        <f t="shared" si="2"/>
        <v>1.1128616488857053</v>
      </c>
      <c r="L82" s="13">
        <f t="shared" si="3"/>
        <v>111.36748515603554</v>
      </c>
      <c r="M82" s="13">
        <f t="shared" si="4"/>
        <v>111.55083</v>
      </c>
      <c r="N82" s="13">
        <f>M82-L82</f>
        <v>0.18334484396446271</v>
      </c>
      <c r="O82" s="2">
        <f>N82/L82</f>
        <v>1.6463049669082554E-3</v>
      </c>
    </row>
    <row r="83" spans="1:15" x14ac:dyDescent="0.25">
      <c r="A83" s="1">
        <v>46142</v>
      </c>
      <c r="B83" s="6">
        <v>101.04</v>
      </c>
      <c r="C83" s="6">
        <v>112.71</v>
      </c>
      <c r="F83" s="13">
        <f>F82+D83</f>
        <v>0.3347</v>
      </c>
      <c r="G83" s="13">
        <f t="shared" si="5"/>
        <v>0.37082999999999999</v>
      </c>
      <c r="H83" s="13">
        <f>B83+F83</f>
        <v>101.3747</v>
      </c>
      <c r="I83" s="13">
        <f>C83+G83</f>
        <v>113.08082999999999</v>
      </c>
      <c r="J83" s="10">
        <f t="shared" si="6"/>
        <v>1.1154738805638882</v>
      </c>
      <c r="K83" s="10">
        <f t="shared" si="2"/>
        <v>1.1130396511008775</v>
      </c>
      <c r="L83" s="13">
        <f t="shared" si="3"/>
        <v>112.81601579729372</v>
      </c>
      <c r="M83" s="13">
        <f t="shared" si="4"/>
        <v>113.08082999999999</v>
      </c>
      <c r="N83" s="13">
        <f>M83-L83</f>
        <v>0.26481420270627609</v>
      </c>
      <c r="O83" s="2">
        <f>N83/L83</f>
        <v>2.347310360455298E-3</v>
      </c>
    </row>
    <row r="84" spans="1:15" x14ac:dyDescent="0.25">
      <c r="A84" s="1">
        <v>46143</v>
      </c>
      <c r="B84" s="6">
        <v>101.87</v>
      </c>
      <c r="C84" s="6">
        <v>113.59</v>
      </c>
      <c r="D84" s="13">
        <v>0.12466000000000001</v>
      </c>
      <c r="E84" s="13">
        <v>0.12153</v>
      </c>
      <c r="F84" s="13">
        <f>F83+D84</f>
        <v>0.45935999999999999</v>
      </c>
      <c r="G84" s="13">
        <f t="shared" si="5"/>
        <v>0.49236000000000002</v>
      </c>
      <c r="H84" s="13">
        <f>B84+F84</f>
        <v>102.32936000000001</v>
      </c>
      <c r="I84" s="13">
        <f>C84+G84</f>
        <v>114.08236000000001</v>
      </c>
      <c r="J84" s="10">
        <f t="shared" si="6"/>
        <v>1.1148546223683995</v>
      </c>
      <c r="K84" s="10">
        <f t="shared" si="2"/>
        <v>1.1131081343176112</v>
      </c>
      <c r="L84" s="13">
        <f t="shared" si="3"/>
        <v>113.89663515177611</v>
      </c>
      <c r="M84" s="13">
        <f t="shared" si="4"/>
        <v>114.08236000000001</v>
      </c>
      <c r="N84" s="13">
        <f>M84-L84</f>
        <v>0.18572484822389868</v>
      </c>
      <c r="O84" s="2">
        <f>N84/L84</f>
        <v>1.6306438550744357E-3</v>
      </c>
    </row>
    <row r="85" spans="1:15" x14ac:dyDescent="0.25">
      <c r="A85" s="1">
        <v>46146</v>
      </c>
      <c r="B85" s="6">
        <v>102.42</v>
      </c>
      <c r="C85" s="6">
        <v>114.62</v>
      </c>
      <c r="F85" s="13">
        <f>F84+D85</f>
        <v>0.45935999999999999</v>
      </c>
      <c r="G85" s="13">
        <f t="shared" si="5"/>
        <v>0.49236000000000002</v>
      </c>
      <c r="H85" s="13">
        <f>B85+F85</f>
        <v>102.87936000000001</v>
      </c>
      <c r="I85" s="13">
        <f>C85+G85</f>
        <v>115.11236000000001</v>
      </c>
      <c r="J85" s="10">
        <f t="shared" si="6"/>
        <v>1.1189062606921349</v>
      </c>
      <c r="K85" s="10">
        <f t="shared" si="2"/>
        <v>1.1133048692476439</v>
      </c>
      <c r="L85" s="13">
        <f t="shared" si="3"/>
        <v>114.51585246938988</v>
      </c>
      <c r="M85" s="13">
        <f t="shared" si="4"/>
        <v>115.11236000000001</v>
      </c>
      <c r="N85" s="13">
        <f>M85-L85</f>
        <v>0.59650753061012551</v>
      </c>
      <c r="O85" s="2">
        <f>N85/L85</f>
        <v>5.2089515796039862E-3</v>
      </c>
    </row>
    <row r="86" spans="1:15" x14ac:dyDescent="0.25">
      <c r="A86" s="1">
        <v>46147</v>
      </c>
      <c r="B86" s="6">
        <v>103.9</v>
      </c>
      <c r="C86" s="6">
        <v>115.91</v>
      </c>
      <c r="F86" s="13">
        <f>F85+D86</f>
        <v>0.45935999999999999</v>
      </c>
      <c r="G86" s="13">
        <f t="shared" si="5"/>
        <v>0.49236000000000002</v>
      </c>
      <c r="H86" s="13">
        <f>B86+F86</f>
        <v>104.35936000000001</v>
      </c>
      <c r="I86" s="13">
        <f>C86+G86</f>
        <v>116.40236</v>
      </c>
      <c r="J86" s="10">
        <f t="shared" si="6"/>
        <v>1.1153993278609604</v>
      </c>
      <c r="K86" s="10">
        <f t="shared" si="2"/>
        <v>1.1133800311974604</v>
      </c>
      <c r="L86" s="13">
        <f t="shared" si="3"/>
        <v>116.18378363956781</v>
      </c>
      <c r="M86" s="13">
        <f t="shared" si="4"/>
        <v>116.40236</v>
      </c>
      <c r="N86" s="13">
        <f>M86-L86</f>
        <v>0.21857636043219486</v>
      </c>
      <c r="O86" s="2">
        <f>N86/L86</f>
        <v>1.8812983497789619E-3</v>
      </c>
    </row>
    <row r="87" spans="1:15" x14ac:dyDescent="0.25">
      <c r="A87" s="1">
        <v>46148</v>
      </c>
      <c r="B87" s="6">
        <v>105.65</v>
      </c>
      <c r="C87" s="6">
        <v>118.29</v>
      </c>
      <c r="F87" s="13">
        <f>F86+D87</f>
        <v>0.45935999999999999</v>
      </c>
      <c r="G87" s="13">
        <f t="shared" si="5"/>
        <v>0.49236000000000002</v>
      </c>
      <c r="H87" s="13">
        <f>B87+F87</f>
        <v>106.10936000000001</v>
      </c>
      <c r="I87" s="13">
        <f>C87+G87</f>
        <v>118.78236000000001</v>
      </c>
      <c r="J87" s="10">
        <f t="shared" si="6"/>
        <v>1.1194333845760638</v>
      </c>
      <c r="K87" s="10">
        <f t="shared" ref="K87:K150" si="7">AVERAGE(J68:J87)</f>
        <v>1.1136467822409395</v>
      </c>
      <c r="L87" s="13">
        <f t="shared" si="3"/>
        <v>118.14004254714257</v>
      </c>
      <c r="M87" s="13">
        <f t="shared" si="4"/>
        <v>118.78236000000001</v>
      </c>
      <c r="N87" s="13">
        <f>M87-L87</f>
        <v>0.64231745285744068</v>
      </c>
      <c r="O87" s="2">
        <f>N87/L87</f>
        <v>5.4369157062147703E-3</v>
      </c>
    </row>
    <row r="88" spans="1:15" x14ac:dyDescent="0.25">
      <c r="A88" s="1">
        <v>46149</v>
      </c>
      <c r="B88" s="6">
        <v>104.28</v>
      </c>
      <c r="C88" s="6">
        <v>116.45</v>
      </c>
      <c r="F88" s="13">
        <f>F87+D88</f>
        <v>0.45935999999999999</v>
      </c>
      <c r="G88" s="13">
        <f t="shared" si="5"/>
        <v>0.49236000000000002</v>
      </c>
      <c r="H88" s="13">
        <f>B88+F88</f>
        <v>104.73936</v>
      </c>
      <c r="I88" s="13">
        <f>C88+G88</f>
        <v>116.94236000000001</v>
      </c>
      <c r="J88" s="10">
        <f t="shared" si="6"/>
        <v>1.1165082543945275</v>
      </c>
      <c r="K88" s="10">
        <f t="shared" si="7"/>
        <v>1.1137485311979614</v>
      </c>
      <c r="L88" s="13">
        <f t="shared" ref="L88:L151" si="8">K87*H88</f>
        <v>116.64265123797537</v>
      </c>
      <c r="M88" s="13">
        <f t="shared" ref="M88:M151" si="9">I88</f>
        <v>116.94236000000001</v>
      </c>
      <c r="N88" s="13">
        <f>M88-L88</f>
        <v>0.29970876202463614</v>
      </c>
      <c r="O88" s="2">
        <f>N88/L88</f>
        <v>2.5694611605935436E-3</v>
      </c>
    </row>
    <row r="89" spans="1:15" x14ac:dyDescent="0.25">
      <c r="A89" s="1">
        <v>46150</v>
      </c>
      <c r="B89" s="6">
        <v>104.68</v>
      </c>
      <c r="C89" s="6">
        <v>116.76</v>
      </c>
      <c r="F89" s="13">
        <f>F88+D89</f>
        <v>0.45935999999999999</v>
      </c>
      <c r="G89" s="13">
        <f t="shared" si="5"/>
        <v>0.49236000000000002</v>
      </c>
      <c r="H89" s="13">
        <f>B89+F89</f>
        <v>105.13936000000001</v>
      </c>
      <c r="I89" s="13">
        <f>C89+G89</f>
        <v>117.25236000000001</v>
      </c>
      <c r="J89" s="10">
        <f t="shared" si="6"/>
        <v>1.1152089949948336</v>
      </c>
      <c r="K89" s="10">
        <f t="shared" si="7"/>
        <v>1.113738255164487</v>
      </c>
      <c r="L89" s="13">
        <f t="shared" si="8"/>
        <v>117.0988077710937</v>
      </c>
      <c r="M89" s="13">
        <f t="shared" si="9"/>
        <v>117.25236000000001</v>
      </c>
      <c r="N89" s="13">
        <f>M89-L89</f>
        <v>0.15355222890630671</v>
      </c>
      <c r="O89" s="2">
        <f>N89/L89</f>
        <v>1.3113048017232816E-3</v>
      </c>
    </row>
    <row r="90" spans="1:15" x14ac:dyDescent="0.25">
      <c r="A90" s="1">
        <v>46153</v>
      </c>
      <c r="B90" s="6">
        <v>106</v>
      </c>
      <c r="C90" s="6">
        <v>118.47</v>
      </c>
      <c r="F90" s="13">
        <f>F89+D90</f>
        <v>0.45935999999999999</v>
      </c>
      <c r="G90" s="13">
        <f t="shared" si="5"/>
        <v>0.49236000000000002</v>
      </c>
      <c r="H90" s="13">
        <f>B90+F90</f>
        <v>106.45936</v>
      </c>
      <c r="I90" s="13">
        <f>C90+G90</f>
        <v>118.96236</v>
      </c>
      <c r="J90" s="10">
        <f t="shared" si="6"/>
        <v>1.1174438771752901</v>
      </c>
      <c r="K90" s="10">
        <f t="shared" si="7"/>
        <v>1.1141397150088932</v>
      </c>
      <c r="L90" s="13">
        <f t="shared" si="8"/>
        <v>118.56786185232798</v>
      </c>
      <c r="M90" s="13">
        <f t="shared" si="9"/>
        <v>118.96236</v>
      </c>
      <c r="N90" s="13">
        <f>M90-L90</f>
        <v>0.3944981476720244</v>
      </c>
      <c r="O90" s="2">
        <f>N90/L90</f>
        <v>3.3271928961943979E-3</v>
      </c>
    </row>
    <row r="91" spans="1:15" x14ac:dyDescent="0.25">
      <c r="A91" s="1">
        <v>46154</v>
      </c>
      <c r="B91" s="6">
        <v>104.81</v>
      </c>
      <c r="C91" s="6">
        <v>116.96</v>
      </c>
      <c r="F91" s="13">
        <f>F90+D91</f>
        <v>0.45935999999999999</v>
      </c>
      <c r="G91" s="13">
        <f t="shared" si="5"/>
        <v>0.49236000000000002</v>
      </c>
      <c r="H91" s="13">
        <f>B91+F91</f>
        <v>105.26936000000001</v>
      </c>
      <c r="I91" s="13">
        <f>C91+G91</f>
        <v>117.45236</v>
      </c>
      <c r="J91" s="10">
        <f t="shared" si="6"/>
        <v>1.1157316810893501</v>
      </c>
      <c r="K91" s="10">
        <f t="shared" si="7"/>
        <v>1.1143824809323255</v>
      </c>
      <c r="L91" s="13">
        <f t="shared" si="8"/>
        <v>117.28477474956858</v>
      </c>
      <c r="M91" s="13">
        <f t="shared" si="9"/>
        <v>117.45236</v>
      </c>
      <c r="N91" s="13">
        <f>M91-L91</f>
        <v>0.16758525043141503</v>
      </c>
      <c r="O91" s="2">
        <f>N91/L91</f>
        <v>1.4288747264020428E-3</v>
      </c>
    </row>
    <row r="92" spans="1:15" x14ac:dyDescent="0.25">
      <c r="A92" s="1">
        <v>46155</v>
      </c>
      <c r="B92" s="6">
        <v>106.04</v>
      </c>
      <c r="C92" s="6">
        <v>118.62</v>
      </c>
      <c r="F92" s="13">
        <f>F91+D92</f>
        <v>0.45935999999999999</v>
      </c>
      <c r="G92" s="13">
        <f t="shared" si="5"/>
        <v>0.49236000000000002</v>
      </c>
      <c r="H92" s="13">
        <f>B92+F92</f>
        <v>106.49936000000001</v>
      </c>
      <c r="I92" s="13">
        <f>C92+G92</f>
        <v>119.11236000000001</v>
      </c>
      <c r="J92" s="10">
        <f t="shared" si="6"/>
        <v>1.1184326365904922</v>
      </c>
      <c r="K92" s="10">
        <f t="shared" si="7"/>
        <v>1.1146098722518902</v>
      </c>
      <c r="L92" s="13">
        <f t="shared" si="8"/>
        <v>118.68102101450488</v>
      </c>
      <c r="M92" s="13">
        <f t="shared" si="9"/>
        <v>119.11236000000001</v>
      </c>
      <c r="N92" s="13">
        <f>M92-L92</f>
        <v>0.43133898549513106</v>
      </c>
      <c r="O92" s="2">
        <f>N92/L92</f>
        <v>3.6344394563509355E-3</v>
      </c>
    </row>
    <row r="93" spans="1:15" x14ac:dyDescent="0.25">
      <c r="A93" s="1">
        <v>46156</v>
      </c>
      <c r="B93" s="6">
        <v>106.57</v>
      </c>
      <c r="C93" s="6">
        <v>119.18</v>
      </c>
      <c r="F93" s="13">
        <f>F92+D93</f>
        <v>0.45935999999999999</v>
      </c>
      <c r="G93" s="13">
        <f t="shared" si="5"/>
        <v>0.49236000000000002</v>
      </c>
      <c r="H93" s="13">
        <f>B93+F93</f>
        <v>107.02936</v>
      </c>
      <c r="I93" s="13">
        <f>C93+G93</f>
        <v>119.67236000000001</v>
      </c>
      <c r="J93" s="10">
        <f t="shared" si="6"/>
        <v>1.1181264654857324</v>
      </c>
      <c r="K93" s="10">
        <f t="shared" si="7"/>
        <v>1.1149943427612519</v>
      </c>
      <c r="L93" s="13">
        <f t="shared" si="8"/>
        <v>119.29598127680157</v>
      </c>
      <c r="M93" s="13">
        <f t="shared" si="9"/>
        <v>119.67236000000001</v>
      </c>
      <c r="N93" s="13">
        <f>M93-L93</f>
        <v>0.37637872319844234</v>
      </c>
      <c r="O93" s="2">
        <f>N93/L93</f>
        <v>3.1549991807782161E-3</v>
      </c>
    </row>
    <row r="94" spans="1:15" x14ac:dyDescent="0.25">
      <c r="A94" s="1">
        <v>46157</v>
      </c>
      <c r="B94" s="6">
        <v>104.5</v>
      </c>
      <c r="C94" s="6">
        <v>117.19</v>
      </c>
      <c r="F94" s="13">
        <f>F93+D94</f>
        <v>0.45935999999999999</v>
      </c>
      <c r="G94" s="13">
        <f t="shared" si="5"/>
        <v>0.49236000000000002</v>
      </c>
      <c r="H94" s="13">
        <f>B94+F94</f>
        <v>104.95936</v>
      </c>
      <c r="I94" s="13">
        <f>C94+G94</f>
        <v>117.68236</v>
      </c>
      <c r="J94" s="10">
        <f t="shared" si="6"/>
        <v>1.1212183458435723</v>
      </c>
      <c r="K94" s="10">
        <f t="shared" si="7"/>
        <v>1.1153107191901031</v>
      </c>
      <c r="L94" s="13">
        <f t="shared" si="8"/>
        <v>117.02909261984163</v>
      </c>
      <c r="M94" s="13">
        <f t="shared" si="9"/>
        <v>117.68236</v>
      </c>
      <c r="N94" s="13">
        <f>M94-L94</f>
        <v>0.65326738015836838</v>
      </c>
      <c r="O94" s="2">
        <f>N94/L94</f>
        <v>5.5820938668681985E-3</v>
      </c>
    </row>
    <row r="95" spans="1:15" x14ac:dyDescent="0.25">
      <c r="A95" s="1">
        <v>46160</v>
      </c>
      <c r="B95" s="6">
        <v>102.86</v>
      </c>
      <c r="C95" s="6">
        <v>115.36</v>
      </c>
      <c r="F95" s="13">
        <f>F94+D95</f>
        <v>0.45935999999999999</v>
      </c>
      <c r="G95" s="13">
        <f t="shared" si="5"/>
        <v>0.49236000000000002</v>
      </c>
      <c r="H95" s="13">
        <f>B95+F95</f>
        <v>103.31936</v>
      </c>
      <c r="I95" s="13">
        <f>C95+G95</f>
        <v>115.85236</v>
      </c>
      <c r="J95" s="10">
        <f t="shared" si="6"/>
        <v>1.1213035001378251</v>
      </c>
      <c r="K95" s="10">
        <f t="shared" si="7"/>
        <v>1.1156973740334375</v>
      </c>
      <c r="L95" s="13">
        <f t="shared" si="8"/>
        <v>115.23318970786117</v>
      </c>
      <c r="M95" s="13">
        <f t="shared" si="9"/>
        <v>115.85236</v>
      </c>
      <c r="N95" s="13">
        <f>M95-L95</f>
        <v>0.61917029213883268</v>
      </c>
      <c r="O95" s="2">
        <f>N95/L95</f>
        <v>5.3731940746285971E-3</v>
      </c>
    </row>
    <row r="96" spans="1:15" x14ac:dyDescent="0.25">
      <c r="A96" s="1">
        <v>46161</v>
      </c>
      <c r="B96" s="6">
        <v>102.44</v>
      </c>
      <c r="C96" s="6">
        <v>114.64</v>
      </c>
      <c r="F96" s="13">
        <f>F95+D96</f>
        <v>0.45935999999999999</v>
      </c>
      <c r="G96" s="13">
        <f t="shared" si="5"/>
        <v>0.49236000000000002</v>
      </c>
      <c r="H96" s="13">
        <f>B96+F96</f>
        <v>102.89936</v>
      </c>
      <c r="I96" s="13">
        <f>C96+G96</f>
        <v>115.13236000000001</v>
      </c>
      <c r="J96" s="10">
        <f t="shared" si="6"/>
        <v>1.1188831495161875</v>
      </c>
      <c r="K96" s="10">
        <f t="shared" si="7"/>
        <v>1.1159268787991572</v>
      </c>
      <c r="L96" s="13">
        <f t="shared" si="8"/>
        <v>114.80454574172134</v>
      </c>
      <c r="M96" s="13">
        <f t="shared" si="9"/>
        <v>115.13236000000001</v>
      </c>
      <c r="N96" s="13">
        <f>M96-L96</f>
        <v>0.32781425827866428</v>
      </c>
      <c r="O96" s="2">
        <f>N96/L96</f>
        <v>2.855411832003205E-3</v>
      </c>
    </row>
    <row r="97" spans="1:15" x14ac:dyDescent="0.25">
      <c r="A97" s="1">
        <v>46162</v>
      </c>
      <c r="B97" s="6">
        <v>103.11</v>
      </c>
      <c r="C97" s="6">
        <v>115.57</v>
      </c>
      <c r="F97" s="13">
        <f>F96+D97</f>
        <v>0.45935999999999999</v>
      </c>
      <c r="G97" s="13">
        <f t="shared" si="5"/>
        <v>0.49236000000000002</v>
      </c>
      <c r="H97" s="13">
        <f>B97+F97</f>
        <v>103.56936</v>
      </c>
      <c r="I97" s="13">
        <f>C97+G97</f>
        <v>116.06236</v>
      </c>
      <c r="J97" s="10">
        <f t="shared" si="6"/>
        <v>1.1206244781275079</v>
      </c>
      <c r="K97" s="10">
        <f t="shared" si="7"/>
        <v>1.1163498905136575</v>
      </c>
      <c r="L97" s="13">
        <f t="shared" si="8"/>
        <v>115.57583264402628</v>
      </c>
      <c r="M97" s="13">
        <f t="shared" si="9"/>
        <v>116.06236</v>
      </c>
      <c r="N97" s="13">
        <f>M97-L97</f>
        <v>0.48652735597372043</v>
      </c>
      <c r="O97" s="2">
        <f>N97/L97</f>
        <v>4.2095942105147997E-3</v>
      </c>
    </row>
    <row r="98" spans="1:15" x14ac:dyDescent="0.25">
      <c r="A98" s="1">
        <v>46163</v>
      </c>
      <c r="B98" s="6">
        <v>105.37</v>
      </c>
      <c r="C98" s="6">
        <v>117.99</v>
      </c>
      <c r="F98" s="13">
        <f>F97+D98</f>
        <v>0.45935999999999999</v>
      </c>
      <c r="G98" s="13">
        <f t="shared" si="5"/>
        <v>0.49236000000000002</v>
      </c>
      <c r="H98" s="13">
        <f>B98+F98</f>
        <v>105.82936000000001</v>
      </c>
      <c r="I98" s="13">
        <f>C98+G98</f>
        <v>118.48236</v>
      </c>
      <c r="J98" s="10">
        <f t="shared" si="6"/>
        <v>1.1195603942044059</v>
      </c>
      <c r="K98" s="10">
        <f t="shared" si="7"/>
        <v>1.1168337800748576</v>
      </c>
      <c r="L98" s="13">
        <f t="shared" si="8"/>
        <v>118.14259444913046</v>
      </c>
      <c r="M98" s="13">
        <f t="shared" si="9"/>
        <v>118.48236</v>
      </c>
      <c r="N98" s="13">
        <f>M98-L98</f>
        <v>0.33976555086954363</v>
      </c>
      <c r="O98" s="2">
        <f>N98/L98</f>
        <v>2.8758937659511029E-3</v>
      </c>
    </row>
    <row r="99" spans="1:15" x14ac:dyDescent="0.25">
      <c r="A99" s="1">
        <v>46164</v>
      </c>
      <c r="B99" s="6">
        <v>105.65</v>
      </c>
      <c r="C99" s="6">
        <v>118.38</v>
      </c>
      <c r="F99" s="13">
        <f>F98+D99</f>
        <v>0.45935999999999999</v>
      </c>
      <c r="G99" s="13">
        <f t="shared" si="5"/>
        <v>0.49236000000000002</v>
      </c>
      <c r="H99" s="13">
        <f>B99+F99</f>
        <v>106.10936000000001</v>
      </c>
      <c r="I99" s="13">
        <f>C99+G99</f>
        <v>118.87236</v>
      </c>
      <c r="J99" s="10">
        <f t="shared" si="6"/>
        <v>1.1202815661125465</v>
      </c>
      <c r="K99" s="10">
        <f t="shared" si="7"/>
        <v>1.1171878851026134</v>
      </c>
      <c r="L99" s="13">
        <f t="shared" si="8"/>
        <v>118.50651763012389</v>
      </c>
      <c r="M99" s="13">
        <f t="shared" si="9"/>
        <v>118.87236</v>
      </c>
      <c r="N99" s="13">
        <f>M99-L99</f>
        <v>0.36584236987610552</v>
      </c>
      <c r="O99" s="2">
        <f>N99/L99</f>
        <v>3.0871075886134201E-3</v>
      </c>
    </row>
    <row r="100" spans="1:15" x14ac:dyDescent="0.25">
      <c r="A100" s="1">
        <v>46168</v>
      </c>
      <c r="B100" s="6">
        <v>106.75</v>
      </c>
      <c r="C100" s="6">
        <v>119.9</v>
      </c>
      <c r="F100" s="13">
        <f>F99+D100</f>
        <v>0.45935999999999999</v>
      </c>
      <c r="G100" s="13">
        <f t="shared" si="5"/>
        <v>0.49236000000000002</v>
      </c>
      <c r="H100" s="13">
        <f>B100+F100</f>
        <v>107.20936</v>
      </c>
      <c r="I100" s="13">
        <f>C100+G100</f>
        <v>120.39236000000001</v>
      </c>
      <c r="J100" s="10">
        <f t="shared" si="6"/>
        <v>1.1229650097715349</v>
      </c>
      <c r="K100" s="10">
        <f t="shared" si="7"/>
        <v>1.1177563624808733</v>
      </c>
      <c r="L100" s="13">
        <f t="shared" si="8"/>
        <v>119.77299816160472</v>
      </c>
      <c r="M100" s="13">
        <f t="shared" si="9"/>
        <v>120.39236000000001</v>
      </c>
      <c r="N100" s="13">
        <f>M100-L100</f>
        <v>0.61936183839529235</v>
      </c>
      <c r="O100" s="2">
        <f>N100/L100</f>
        <v>5.1711307882567423E-3</v>
      </c>
    </row>
    <row r="101" spans="1:15" x14ac:dyDescent="0.25">
      <c r="A101" s="1">
        <v>46169</v>
      </c>
      <c r="B101" s="6">
        <v>106.91</v>
      </c>
      <c r="C101" s="6">
        <v>119.94</v>
      </c>
      <c r="F101" s="13">
        <f>F100+D101</f>
        <v>0.45935999999999999</v>
      </c>
      <c r="G101" s="13">
        <f t="shared" si="5"/>
        <v>0.49236000000000002</v>
      </c>
      <c r="H101" s="13">
        <f>B101+F101</f>
        <v>107.36936</v>
      </c>
      <c r="I101" s="13">
        <f>C101+G101</f>
        <v>120.43236</v>
      </c>
      <c r="J101" s="10">
        <f t="shared" si="6"/>
        <v>1.1216641321136682</v>
      </c>
      <c r="K101" s="10">
        <f t="shared" si="7"/>
        <v>1.1183292112843626</v>
      </c>
      <c r="L101" s="13">
        <f t="shared" si="8"/>
        <v>120.01278527549938</v>
      </c>
      <c r="M101" s="13">
        <f t="shared" si="9"/>
        <v>120.43236</v>
      </c>
      <c r="N101" s="13">
        <f>M101-L101</f>
        <v>0.41957472450062028</v>
      </c>
      <c r="O101" s="2">
        <f>N101/L101</f>
        <v>3.4960835509104419E-3</v>
      </c>
    </row>
    <row r="102" spans="1:15" x14ac:dyDescent="0.25">
      <c r="A102" s="1">
        <v>46170</v>
      </c>
      <c r="B102" s="6">
        <v>107.72</v>
      </c>
      <c r="C102" s="6">
        <v>120.41</v>
      </c>
      <c r="F102" s="13">
        <f>F101+D102</f>
        <v>0.45935999999999999</v>
      </c>
      <c r="G102" s="13">
        <f t="shared" si="5"/>
        <v>0.49236000000000002</v>
      </c>
      <c r="H102" s="13">
        <f>B102+F102</f>
        <v>108.17936</v>
      </c>
      <c r="I102" s="13">
        <f>C102+G102</f>
        <v>120.90236</v>
      </c>
      <c r="J102" s="10">
        <f t="shared" si="6"/>
        <v>1.1176102354460222</v>
      </c>
      <c r="K102" s="10">
        <f t="shared" si="7"/>
        <v>1.1184815098532472</v>
      </c>
      <c r="L102" s="13">
        <f t="shared" si="8"/>
        <v>120.98013834604713</v>
      </c>
      <c r="M102" s="13">
        <f t="shared" si="9"/>
        <v>120.90236</v>
      </c>
      <c r="N102" s="13">
        <f>M102-L102</f>
        <v>-7.7778346047125524E-2</v>
      </c>
      <c r="O102" s="2">
        <f>N102/L102</f>
        <v>-6.4290177801459619E-4</v>
      </c>
    </row>
    <row r="103" spans="1:15" x14ac:dyDescent="0.25">
      <c r="A103" s="1">
        <v>46171</v>
      </c>
      <c r="B103" s="6">
        <v>108.1</v>
      </c>
      <c r="C103" s="6">
        <v>120.68</v>
      </c>
      <c r="F103" s="13">
        <f>F102+D103</f>
        <v>0.45935999999999999</v>
      </c>
      <c r="G103" s="13">
        <f t="shared" si="5"/>
        <v>0.49236000000000002</v>
      </c>
      <c r="H103" s="13">
        <f>B103+F103</f>
        <v>108.55936</v>
      </c>
      <c r="I103" s="13">
        <f>C103+G103</f>
        <v>121.17236000000001</v>
      </c>
      <c r="J103" s="10">
        <f t="shared" si="6"/>
        <v>1.1161852833325474</v>
      </c>
      <c r="K103" s="10">
        <f t="shared" si="7"/>
        <v>1.1185170799916802</v>
      </c>
      <c r="L103" s="13">
        <f t="shared" si="8"/>
        <v>121.42163688150221</v>
      </c>
      <c r="M103" s="13">
        <f t="shared" si="9"/>
        <v>121.17236000000001</v>
      </c>
      <c r="N103" s="13">
        <f>M103-L103</f>
        <v>-0.24927688150219751</v>
      </c>
      <c r="O103" s="2">
        <f>N103/L103</f>
        <v>-2.0529856778777555E-3</v>
      </c>
    </row>
    <row r="104" spans="1:15" x14ac:dyDescent="0.25">
      <c r="A104" s="1">
        <v>46174</v>
      </c>
      <c r="B104" s="6">
        <v>109.43</v>
      </c>
      <c r="C104" s="6">
        <v>122.63</v>
      </c>
      <c r="D104" s="13">
        <v>0.15523000000000001</v>
      </c>
      <c r="E104" s="13">
        <v>0.12951599999999999</v>
      </c>
      <c r="F104" s="13">
        <f>F103+D104</f>
        <v>0.61458999999999997</v>
      </c>
      <c r="G104" s="13">
        <f t="shared" si="5"/>
        <v>0.62187599999999998</v>
      </c>
      <c r="H104" s="13">
        <f>B104+F104</f>
        <v>110.04459000000001</v>
      </c>
      <c r="I104" s="13">
        <f>C104+G104</f>
        <v>123.251876</v>
      </c>
      <c r="J104" s="10">
        <f t="shared" si="6"/>
        <v>1.1200175855987102</v>
      </c>
      <c r="K104" s="10">
        <f t="shared" si="7"/>
        <v>1.1187752281531957</v>
      </c>
      <c r="L104" s="13">
        <f t="shared" si="8"/>
        <v>123.08675347568166</v>
      </c>
      <c r="M104" s="13">
        <f t="shared" si="9"/>
        <v>123.251876</v>
      </c>
      <c r="N104" s="13">
        <f>M104-L104</f>
        <v>0.16512252431833474</v>
      </c>
      <c r="O104" s="2">
        <f>N104/L104</f>
        <v>1.3415133607448514E-3</v>
      </c>
    </row>
    <row r="105" spans="1:15" x14ac:dyDescent="0.25">
      <c r="A105" s="1">
        <v>46175</v>
      </c>
      <c r="B105" s="6">
        <v>110.74</v>
      </c>
      <c r="C105" s="6">
        <v>123.9</v>
      </c>
      <c r="F105" s="13">
        <f>F104+D105</f>
        <v>0.61458999999999997</v>
      </c>
      <c r="G105" s="13">
        <f t="shared" si="5"/>
        <v>0.62187599999999998</v>
      </c>
      <c r="H105" s="13">
        <f>B105+F105</f>
        <v>111.35459</v>
      </c>
      <c r="I105" s="13">
        <f>C105+G105</f>
        <v>124.52187600000001</v>
      </c>
      <c r="J105" s="10">
        <f t="shared" si="6"/>
        <v>1.1182464593511592</v>
      </c>
      <c r="K105" s="10">
        <f t="shared" si="7"/>
        <v>1.1187422380861469</v>
      </c>
      <c r="L105" s="13">
        <f t="shared" si="8"/>
        <v>124.58075683315558</v>
      </c>
      <c r="M105" s="13">
        <f t="shared" si="9"/>
        <v>124.52187600000001</v>
      </c>
      <c r="N105" s="13">
        <f>M105-L105</f>
        <v>-5.888083315556969E-2</v>
      </c>
      <c r="O105" s="2">
        <f>N105/L105</f>
        <v>-4.7263184662159081E-4</v>
      </c>
    </row>
    <row r="106" spans="1:15" x14ac:dyDescent="0.25">
      <c r="A106" s="1">
        <v>46176</v>
      </c>
      <c r="B106" s="6">
        <v>109.46</v>
      </c>
      <c r="C106" s="6">
        <v>122.7</v>
      </c>
      <c r="F106" s="13">
        <f>F105+D106</f>
        <v>0.61458999999999997</v>
      </c>
      <c r="G106" s="13">
        <f t="shared" si="5"/>
        <v>0.62187599999999998</v>
      </c>
      <c r="H106" s="13">
        <f>B106+F106</f>
        <v>110.07459</v>
      </c>
      <c r="I106" s="13">
        <f>C106+G106</f>
        <v>123.321876</v>
      </c>
      <c r="J106" s="10">
        <f t="shared" si="6"/>
        <v>1.1203482656624022</v>
      </c>
      <c r="K106" s="10">
        <f t="shared" si="7"/>
        <v>1.1189896849762193</v>
      </c>
      <c r="L106" s="13">
        <f t="shared" si="8"/>
        <v>123.14509317301501</v>
      </c>
      <c r="M106" s="13">
        <f t="shared" si="9"/>
        <v>123.321876</v>
      </c>
      <c r="N106" s="13">
        <f>M106-L106</f>
        <v>0.17678282698499004</v>
      </c>
      <c r="O106" s="2">
        <f>N106/L106</f>
        <v>1.4355653354097974E-3</v>
      </c>
    </row>
    <row r="107" spans="1:15" x14ac:dyDescent="0.25">
      <c r="A107" s="1">
        <v>46177</v>
      </c>
      <c r="B107" s="6">
        <v>109.66</v>
      </c>
      <c r="C107" s="6">
        <v>122.8</v>
      </c>
      <c r="F107" s="13">
        <f>F106+D107</f>
        <v>0.61458999999999997</v>
      </c>
      <c r="G107" s="13">
        <f t="shared" si="5"/>
        <v>0.62187599999999998</v>
      </c>
      <c r="H107" s="13">
        <f>B107+F107</f>
        <v>110.27459</v>
      </c>
      <c r="I107" s="13">
        <f>C107+G107</f>
        <v>123.421876</v>
      </c>
      <c r="J107" s="10">
        <f t="shared" si="6"/>
        <v>1.1192231682747584</v>
      </c>
      <c r="K107" s="10">
        <f t="shared" si="7"/>
        <v>1.1189791741611537</v>
      </c>
      <c r="L107" s="13">
        <f t="shared" si="8"/>
        <v>123.39612872498175</v>
      </c>
      <c r="M107" s="13">
        <f t="shared" si="9"/>
        <v>123.421876</v>
      </c>
      <c r="N107" s="13">
        <f>M107-L107</f>
        <v>2.5747275018247251E-2</v>
      </c>
      <c r="O107" s="2">
        <f>N107/L107</f>
        <v>2.0865545203311287E-4</v>
      </c>
    </row>
    <row r="108" spans="1:15" x14ac:dyDescent="0.25">
      <c r="A108" s="1">
        <v>46178</v>
      </c>
      <c r="B108" s="6">
        <v>105.23</v>
      </c>
      <c r="C108" s="6">
        <v>117.65</v>
      </c>
      <c r="F108" s="13">
        <f>F107+D108</f>
        <v>0.61458999999999997</v>
      </c>
      <c r="G108" s="13">
        <f t="shared" si="5"/>
        <v>0.62187599999999998</v>
      </c>
      <c r="H108" s="13">
        <f>B108+F108</f>
        <v>105.84459000000001</v>
      </c>
      <c r="I108" s="13">
        <f>C108+G108</f>
        <v>118.27187600000001</v>
      </c>
      <c r="J108" s="10">
        <f t="shared" si="6"/>
        <v>1.1174106867436493</v>
      </c>
      <c r="K108" s="10">
        <f t="shared" si="7"/>
        <v>1.1190242957786098</v>
      </c>
      <c r="L108" s="13">
        <f t="shared" si="8"/>
        <v>118.43789190762591</v>
      </c>
      <c r="M108" s="13">
        <f t="shared" si="9"/>
        <v>118.27187600000001</v>
      </c>
      <c r="N108" s="13">
        <f>M108-L108</f>
        <v>-0.1660159076259049</v>
      </c>
      <c r="O108" s="2">
        <f>N108/L108</f>
        <v>-1.4017127876219449E-3</v>
      </c>
    </row>
    <row r="109" spans="1:15" x14ac:dyDescent="0.25">
      <c r="A109" s="1">
        <v>46181</v>
      </c>
      <c r="B109" s="6">
        <v>105.56</v>
      </c>
      <c r="C109" s="6">
        <v>118.25</v>
      </c>
      <c r="F109" s="13">
        <f>F108+D109</f>
        <v>0.61458999999999997</v>
      </c>
      <c r="G109" s="13">
        <f t="shared" si="5"/>
        <v>0.62187599999999998</v>
      </c>
      <c r="H109" s="13">
        <f>B109+F109</f>
        <v>106.17459000000001</v>
      </c>
      <c r="I109" s="13">
        <f>C109+G109</f>
        <v>118.871876</v>
      </c>
      <c r="J109" s="10">
        <f t="shared" si="6"/>
        <v>1.1195887452920703</v>
      </c>
      <c r="K109" s="10">
        <f t="shared" si="7"/>
        <v>1.1192432832934716</v>
      </c>
      <c r="L109" s="13">
        <f t="shared" si="8"/>
        <v>118.81194580433264</v>
      </c>
      <c r="M109" s="13">
        <f t="shared" si="9"/>
        <v>118.871876</v>
      </c>
      <c r="N109" s="13">
        <f>M109-L109</f>
        <v>5.9930195667362796E-2</v>
      </c>
      <c r="O109" s="2">
        <f>N109/L109</f>
        <v>5.0441220587414508E-4</v>
      </c>
    </row>
    <row r="110" spans="1:15" x14ac:dyDescent="0.25">
      <c r="A110" s="1">
        <v>46182</v>
      </c>
      <c r="B110" s="6">
        <v>104.68</v>
      </c>
      <c r="C110" s="6">
        <v>117.37</v>
      </c>
      <c r="F110" s="13">
        <f>F109+D110</f>
        <v>0.61458999999999997</v>
      </c>
      <c r="G110" s="13">
        <f t="shared" si="5"/>
        <v>0.62187599999999998</v>
      </c>
      <c r="H110" s="13">
        <f>B110+F110</f>
        <v>105.29459000000001</v>
      </c>
      <c r="I110" s="13">
        <f>C110+G110</f>
        <v>117.991876</v>
      </c>
      <c r="J110" s="10">
        <f t="shared" si="6"/>
        <v>1.1205882087579238</v>
      </c>
      <c r="K110" s="10">
        <f t="shared" si="7"/>
        <v>1.119400499872603</v>
      </c>
      <c r="L110" s="13">
        <f t="shared" si="8"/>
        <v>117.85026262463995</v>
      </c>
      <c r="M110" s="13">
        <f t="shared" si="9"/>
        <v>117.991876</v>
      </c>
      <c r="N110" s="13">
        <f>M110-L110</f>
        <v>0.14161337536005192</v>
      </c>
      <c r="O110" s="2">
        <f>N110/L110</f>
        <v>1.2016381822677722E-3</v>
      </c>
    </row>
    <row r="111" spans="1:15" x14ac:dyDescent="0.25">
      <c r="A111" s="1">
        <v>46183</v>
      </c>
      <c r="B111" s="6">
        <v>103.36</v>
      </c>
      <c r="C111" s="6">
        <v>115.55</v>
      </c>
      <c r="F111" s="13">
        <f>F110+D111</f>
        <v>0.61458999999999997</v>
      </c>
      <c r="G111" s="13">
        <f t="shared" si="5"/>
        <v>0.62187599999999998</v>
      </c>
      <c r="H111" s="13">
        <f>B111+F111</f>
        <v>103.97459000000001</v>
      </c>
      <c r="I111" s="13">
        <f>C111+G111</f>
        <v>116.171876</v>
      </c>
      <c r="J111" s="10">
        <f t="shared" si="6"/>
        <v>1.1173102582082794</v>
      </c>
      <c r="K111" s="10">
        <f t="shared" si="7"/>
        <v>1.1194794287285497</v>
      </c>
      <c r="L111" s="13">
        <f t="shared" si="8"/>
        <v>116.38920802004895</v>
      </c>
      <c r="M111" s="13">
        <f t="shared" si="9"/>
        <v>116.171876</v>
      </c>
      <c r="N111" s="13">
        <f>M111-L111</f>
        <v>-0.21733202004895702</v>
      </c>
      <c r="O111" s="2">
        <f>N111/L111</f>
        <v>-1.8672866990513406E-3</v>
      </c>
    </row>
    <row r="112" spans="1:15" x14ac:dyDescent="0.25">
      <c r="A112" s="1">
        <v>46184</v>
      </c>
      <c r="B112" s="6">
        <v>105.62</v>
      </c>
      <c r="C112" s="6">
        <v>118.15</v>
      </c>
      <c r="F112" s="13">
        <f>F111+D112</f>
        <v>0.61458999999999997</v>
      </c>
      <c r="G112" s="13">
        <f t="shared" si="5"/>
        <v>0.62187599999999998</v>
      </c>
      <c r="H112" s="13">
        <f>B112+F112</f>
        <v>106.23459000000001</v>
      </c>
      <c r="I112" s="13">
        <f>C112+G112</f>
        <v>118.77187600000001</v>
      </c>
      <c r="J112" s="10">
        <f t="shared" si="6"/>
        <v>1.1180151022374163</v>
      </c>
      <c r="K112" s="10">
        <f t="shared" si="7"/>
        <v>1.1194585520108959</v>
      </c>
      <c r="L112" s="13">
        <f t="shared" si="8"/>
        <v>118.92743812441171</v>
      </c>
      <c r="M112" s="13">
        <f t="shared" si="9"/>
        <v>118.77187600000001</v>
      </c>
      <c r="N112" s="13">
        <f>M112-L112</f>
        <v>-0.15556212441170203</v>
      </c>
      <c r="O112" s="2">
        <f>N112/L112</f>
        <v>-1.3080423396404641E-3</v>
      </c>
    </row>
    <row r="113" spans="1:15" x14ac:dyDescent="0.25">
      <c r="A113" s="1">
        <v>46185</v>
      </c>
      <c r="B113" s="6">
        <v>106.88</v>
      </c>
      <c r="C113" s="6">
        <v>119.75</v>
      </c>
      <c r="F113" s="13">
        <f>F112+D113</f>
        <v>0.61458999999999997</v>
      </c>
      <c r="G113" s="13">
        <f t="shared" si="5"/>
        <v>0.62187599999999998</v>
      </c>
      <c r="H113" s="13">
        <f>B113+F113</f>
        <v>107.49459</v>
      </c>
      <c r="I113" s="13">
        <f>C113+G113</f>
        <v>120.371876</v>
      </c>
      <c r="J113" s="10">
        <f t="shared" si="6"/>
        <v>1.1197947357164673</v>
      </c>
      <c r="K113" s="10">
        <f t="shared" si="7"/>
        <v>1.1195419655224328</v>
      </c>
      <c r="L113" s="13">
        <f t="shared" si="8"/>
        <v>120.33573807040494</v>
      </c>
      <c r="M113" s="13">
        <f t="shared" si="9"/>
        <v>120.371876</v>
      </c>
      <c r="N113" s="13">
        <f>M113-L113</f>
        <v>3.6137929595057017E-2</v>
      </c>
      <c r="O113" s="2">
        <f>N113/L113</f>
        <v>3.0030920302257809E-4</v>
      </c>
    </row>
    <row r="114" spans="1:15" x14ac:dyDescent="0.25">
      <c r="A114" s="1">
        <v>46188</v>
      </c>
      <c r="B114" s="6">
        <v>109.77</v>
      </c>
      <c r="C114" s="6">
        <v>123.18</v>
      </c>
      <c r="F114" s="13">
        <f>F113+D114</f>
        <v>0.61458999999999997</v>
      </c>
      <c r="G114" s="13">
        <f t="shared" si="5"/>
        <v>0.62187599999999998</v>
      </c>
      <c r="H114" s="13">
        <f>B114+F114</f>
        <v>110.38459</v>
      </c>
      <c r="I114" s="13">
        <f>C114+G114</f>
        <v>123.80187600000001</v>
      </c>
      <c r="J114" s="10">
        <f t="shared" si="6"/>
        <v>1.1215503540847505</v>
      </c>
      <c r="K114" s="10">
        <f t="shared" si="7"/>
        <v>1.1195585659344915</v>
      </c>
      <c r="L114" s="13">
        <f t="shared" si="8"/>
        <v>123.58018085198788</v>
      </c>
      <c r="M114" s="13">
        <f t="shared" si="9"/>
        <v>123.80187600000001</v>
      </c>
      <c r="N114" s="13">
        <f>M114-L114</f>
        <v>0.22169514801213097</v>
      </c>
      <c r="O114" s="2">
        <f>N114/L114</f>
        <v>1.7939377211112475E-3</v>
      </c>
    </row>
    <row r="115" spans="1:15" x14ac:dyDescent="0.25">
      <c r="A115" s="1">
        <v>46189</v>
      </c>
      <c r="B115" s="6">
        <v>109.48</v>
      </c>
      <c r="C115" s="6">
        <v>122.76</v>
      </c>
      <c r="F115" s="13">
        <f>F114+D115</f>
        <v>0.61458999999999997</v>
      </c>
      <c r="G115" s="13">
        <f t="shared" si="5"/>
        <v>0.62187599999999998</v>
      </c>
      <c r="H115" s="13">
        <f>B115+F115</f>
        <v>110.09459000000001</v>
      </c>
      <c r="I115" s="13">
        <f>C115+G115</f>
        <v>123.38187600000001</v>
      </c>
      <c r="J115" s="10">
        <f t="shared" si="6"/>
        <v>1.1206897268975704</v>
      </c>
      <c r="K115" s="10">
        <f t="shared" si="7"/>
        <v>1.1195278772724788</v>
      </c>
      <c r="L115" s="13">
        <f t="shared" si="8"/>
        <v>123.25734129754582</v>
      </c>
      <c r="M115" s="13">
        <f t="shared" si="9"/>
        <v>123.38187600000001</v>
      </c>
      <c r="N115" s="13">
        <f>M115-L115</f>
        <v>0.1245347024541843</v>
      </c>
      <c r="O115" s="2">
        <f>N115/L115</f>
        <v>1.010363367757178E-3</v>
      </c>
    </row>
    <row r="116" spans="1:15" x14ac:dyDescent="0.25">
      <c r="A116" s="1">
        <v>46190</v>
      </c>
      <c r="B116" s="6">
        <v>109.54</v>
      </c>
      <c r="C116" s="6">
        <v>122.97</v>
      </c>
      <c r="F116" s="13">
        <f>F115+D116</f>
        <v>0.61458999999999997</v>
      </c>
      <c r="G116" s="13">
        <f t="shared" si="5"/>
        <v>0.62187599999999998</v>
      </c>
      <c r="H116" s="13">
        <f>B116+F116</f>
        <v>110.15459000000001</v>
      </c>
      <c r="I116" s="13">
        <f>C116+G116</f>
        <v>123.591876</v>
      </c>
      <c r="J116" s="10">
        <f t="shared" si="6"/>
        <v>1.1219857111719083</v>
      </c>
      <c r="K116" s="10">
        <f t="shared" si="7"/>
        <v>1.1196830053552651</v>
      </c>
      <c r="L116" s="13">
        <f t="shared" si="8"/>
        <v>123.32113431452024</v>
      </c>
      <c r="M116" s="13">
        <f t="shared" si="9"/>
        <v>123.591876</v>
      </c>
      <c r="N116" s="13">
        <f>M116-L116</f>
        <v>0.27074168547976285</v>
      </c>
      <c r="O116" s="2">
        <f>N116/L116</f>
        <v>2.1954200063491048E-3</v>
      </c>
    </row>
    <row r="117" spans="1:15" x14ac:dyDescent="0.25">
      <c r="A117" s="1">
        <v>46191</v>
      </c>
      <c r="B117" s="6">
        <v>110.58</v>
      </c>
      <c r="C117" s="6">
        <v>124.25</v>
      </c>
      <c r="F117" s="13">
        <f>F116+D117</f>
        <v>0.61458999999999997</v>
      </c>
      <c r="G117" s="13">
        <f t="shared" si="5"/>
        <v>0.62187599999999998</v>
      </c>
      <c r="H117" s="13">
        <f>B117+F117</f>
        <v>111.19459000000001</v>
      </c>
      <c r="I117" s="13">
        <f>C117+G117</f>
        <v>124.871876</v>
      </c>
      <c r="J117" s="10">
        <f t="shared" si="6"/>
        <v>1.123003160495488</v>
      </c>
      <c r="K117" s="10">
        <f t="shared" si="7"/>
        <v>1.119801939473664</v>
      </c>
      <c r="L117" s="13">
        <f t="shared" si="8"/>
        <v>124.50269271044651</v>
      </c>
      <c r="M117" s="13">
        <f t="shared" si="9"/>
        <v>124.871876</v>
      </c>
      <c r="N117" s="13">
        <f>M117-L117</f>
        <v>0.36918328955349011</v>
      </c>
      <c r="O117" s="2">
        <f>N117/L117</f>
        <v>2.9652634936345713E-3</v>
      </c>
    </row>
    <row r="118" spans="1:15" x14ac:dyDescent="0.25">
      <c r="A118" s="1">
        <v>46195</v>
      </c>
      <c r="B118" s="6">
        <v>110.42</v>
      </c>
      <c r="C118" s="6">
        <v>124.27</v>
      </c>
      <c r="F118" s="13">
        <f>F117+D118</f>
        <v>0.61458999999999997</v>
      </c>
      <c r="G118" s="13">
        <f t="shared" si="5"/>
        <v>0.62187599999999998</v>
      </c>
      <c r="H118" s="13">
        <f>B118+F118</f>
        <v>111.03459000000001</v>
      </c>
      <c r="I118" s="13">
        <f>C118+G118</f>
        <v>124.891876</v>
      </c>
      <c r="J118" s="10">
        <f t="shared" si="6"/>
        <v>1.1248015235612614</v>
      </c>
      <c r="K118" s="10">
        <f t="shared" si="7"/>
        <v>1.1200639959415066</v>
      </c>
      <c r="L118" s="13">
        <f t="shared" si="8"/>
        <v>124.33674923066312</v>
      </c>
      <c r="M118" s="13">
        <f t="shared" si="9"/>
        <v>124.891876</v>
      </c>
      <c r="N118" s="13">
        <f>M118-L118</f>
        <v>0.55512676933687999</v>
      </c>
      <c r="O118" s="2">
        <f>N118/L118</f>
        <v>4.4647039010730248E-3</v>
      </c>
    </row>
    <row r="119" spans="1:15" x14ac:dyDescent="0.25">
      <c r="A119" s="1">
        <v>46196</v>
      </c>
      <c r="B119" s="6">
        <v>108.24</v>
      </c>
      <c r="C119" s="6">
        <v>121.85</v>
      </c>
      <c r="F119" s="13">
        <f>F118+D119</f>
        <v>0.61458999999999997</v>
      </c>
      <c r="G119" s="13">
        <f t="shared" si="5"/>
        <v>0.62187599999999998</v>
      </c>
      <c r="H119" s="13">
        <f>B119+F119</f>
        <v>108.85459</v>
      </c>
      <c r="I119" s="13">
        <f>C119+G119</f>
        <v>122.47187599999999</v>
      </c>
      <c r="J119" s="10">
        <f t="shared" si="6"/>
        <v>1.1250961121621053</v>
      </c>
      <c r="K119" s="10">
        <f t="shared" si="7"/>
        <v>1.1203047232439849</v>
      </c>
      <c r="L119" s="13">
        <f t="shared" si="8"/>
        <v>121.92410705197437</v>
      </c>
      <c r="M119" s="13">
        <f t="shared" si="9"/>
        <v>122.47187599999999</v>
      </c>
      <c r="N119" s="13">
        <f>M119-L119</f>
        <v>0.54776894802562026</v>
      </c>
      <c r="O119" s="2">
        <f>N119/L119</f>
        <v>4.4927042015744665E-3</v>
      </c>
    </row>
    <row r="120" spans="1:15" x14ac:dyDescent="0.25">
      <c r="A120" s="1">
        <v>46197</v>
      </c>
      <c r="B120" s="6">
        <v>107.13</v>
      </c>
      <c r="C120" s="6">
        <v>120.56</v>
      </c>
      <c r="F120" s="13">
        <f>F119+D120</f>
        <v>0.61458999999999997</v>
      </c>
      <c r="G120" s="13">
        <f t="shared" si="5"/>
        <v>0.62187599999999998</v>
      </c>
      <c r="H120" s="13">
        <f>B120+F120</f>
        <v>107.74459</v>
      </c>
      <c r="I120" s="13">
        <f>C120+G120</f>
        <v>121.181876</v>
      </c>
      <c r="J120" s="10">
        <f t="shared" si="6"/>
        <v>1.1247142524743006</v>
      </c>
      <c r="K120" s="10">
        <f t="shared" si="7"/>
        <v>1.120392185379123</v>
      </c>
      <c r="L120" s="13">
        <f t="shared" si="8"/>
        <v>120.70677308098662</v>
      </c>
      <c r="M120" s="13">
        <f t="shared" si="9"/>
        <v>121.181876</v>
      </c>
      <c r="N120" s="13">
        <f>M120-L120</f>
        <v>0.47510291901338064</v>
      </c>
      <c r="O120" s="2">
        <f>N120/L120</f>
        <v>3.9360087829919581E-3</v>
      </c>
    </row>
    <row r="121" spans="1:15" x14ac:dyDescent="0.25">
      <c r="A121" s="1">
        <v>46198</v>
      </c>
      <c r="B121" s="6">
        <v>107.52</v>
      </c>
      <c r="C121" s="6">
        <v>121.04</v>
      </c>
      <c r="F121" s="13">
        <f>F120+D121</f>
        <v>0.61458999999999997</v>
      </c>
      <c r="G121" s="13">
        <f t="shared" si="5"/>
        <v>0.62187599999999998</v>
      </c>
      <c r="H121" s="13">
        <f>B121+F121</f>
        <v>108.13459</v>
      </c>
      <c r="I121" s="13">
        <f>C121+G121</f>
        <v>121.66187600000001</v>
      </c>
      <c r="J121" s="10">
        <f t="shared" si="6"/>
        <v>1.1250967521123445</v>
      </c>
      <c r="K121" s="10">
        <f t="shared" si="7"/>
        <v>1.120563816379057</v>
      </c>
      <c r="L121" s="13">
        <f t="shared" si="8"/>
        <v>121.15314960517546</v>
      </c>
      <c r="M121" s="13">
        <f t="shared" si="9"/>
        <v>121.66187600000001</v>
      </c>
      <c r="N121" s="13">
        <f>M121-L121</f>
        <v>0.50872639482454929</v>
      </c>
      <c r="O121" s="2">
        <f>N121/L121</f>
        <v>4.1990356543138299E-3</v>
      </c>
    </row>
    <row r="122" spans="1:15" x14ac:dyDescent="0.25">
      <c r="A122" s="1">
        <v>46199</v>
      </c>
      <c r="B122" s="6">
        <v>105.5</v>
      </c>
      <c r="C122" s="6">
        <v>118.81</v>
      </c>
      <c r="F122" s="13">
        <f>F121+D122</f>
        <v>0.61458999999999997</v>
      </c>
      <c r="G122" s="13">
        <f t="shared" si="5"/>
        <v>0.62187599999999998</v>
      </c>
      <c r="H122" s="13">
        <f>B122+F122</f>
        <v>106.11459000000001</v>
      </c>
      <c r="I122" s="13">
        <f>C122+G122</f>
        <v>119.431876</v>
      </c>
      <c r="J122" s="10">
        <f t="shared" si="6"/>
        <v>1.1254991043173233</v>
      </c>
      <c r="K122" s="10">
        <f t="shared" si="7"/>
        <v>1.1209582598226218</v>
      </c>
      <c r="L122" s="13">
        <f t="shared" si="8"/>
        <v>118.90816994389893</v>
      </c>
      <c r="M122" s="13">
        <f t="shared" si="9"/>
        <v>119.431876</v>
      </c>
      <c r="N122" s="13">
        <f>M122-L122</f>
        <v>0.52370605610107646</v>
      </c>
      <c r="O122" s="2">
        <f>N122/L122</f>
        <v>4.4042899352345751E-3</v>
      </c>
    </row>
    <row r="123" spans="1:15" x14ac:dyDescent="0.25">
      <c r="A123" s="1">
        <v>46202</v>
      </c>
      <c r="B123" s="6">
        <v>107.14</v>
      </c>
      <c r="C123" s="6">
        <v>120.81</v>
      </c>
      <c r="F123" s="13">
        <f>F122+D123</f>
        <v>0.61458999999999997</v>
      </c>
      <c r="G123" s="13">
        <f t="shared" si="5"/>
        <v>0.62187599999999998</v>
      </c>
      <c r="H123" s="13">
        <f>B123+F123</f>
        <v>107.75459000000001</v>
      </c>
      <c r="I123" s="13">
        <f>C123+G123</f>
        <v>121.431876</v>
      </c>
      <c r="J123" s="10">
        <f t="shared" si="6"/>
        <v>1.1269299618698376</v>
      </c>
      <c r="K123" s="10">
        <f t="shared" si="7"/>
        <v>1.1214954937494863</v>
      </c>
      <c r="L123" s="13">
        <f t="shared" si="8"/>
        <v>120.78839769430009</v>
      </c>
      <c r="M123" s="13">
        <f t="shared" si="9"/>
        <v>121.431876</v>
      </c>
      <c r="N123" s="13">
        <f>M123-L123</f>
        <v>0.64347830569991515</v>
      </c>
      <c r="O123" s="2">
        <f>N123/L123</f>
        <v>5.3273188318010154E-3</v>
      </c>
    </row>
    <row r="124" spans="1:15" x14ac:dyDescent="0.25">
      <c r="A124" s="1">
        <v>46203</v>
      </c>
      <c r="B124" s="6">
        <v>107.82</v>
      </c>
      <c r="C124" s="6">
        <v>121.74</v>
      </c>
      <c r="F124" s="13">
        <f>F123+D124</f>
        <v>0.61458999999999997</v>
      </c>
      <c r="G124" s="13">
        <f t="shared" si="5"/>
        <v>0.62187599999999998</v>
      </c>
      <c r="H124" s="13">
        <f>B124+F124</f>
        <v>108.43459</v>
      </c>
      <c r="I124" s="13">
        <f>C124+G124</f>
        <v>122.361876</v>
      </c>
      <c r="J124" s="10">
        <f t="shared" si="6"/>
        <v>1.1284395136275243</v>
      </c>
      <c r="K124" s="10">
        <f t="shared" si="7"/>
        <v>1.1219165901509269</v>
      </c>
      <c r="L124" s="13">
        <f t="shared" si="8"/>
        <v>121.60890405157311</v>
      </c>
      <c r="M124" s="13">
        <f t="shared" si="9"/>
        <v>122.361876</v>
      </c>
      <c r="N124" s="13">
        <f>M124-L124</f>
        <v>0.75297194842688953</v>
      </c>
      <c r="O124" s="2">
        <f>N124/L124</f>
        <v>6.1917501378645906E-3</v>
      </c>
    </row>
    <row r="125" spans="1:15" x14ac:dyDescent="0.25">
      <c r="A125" s="1">
        <v>46204</v>
      </c>
      <c r="B125" s="6">
        <v>105.85</v>
      </c>
      <c r="C125" s="6">
        <v>119.43</v>
      </c>
      <c r="D125" s="13">
        <v>9.1050000000000006E-2</v>
      </c>
      <c r="E125" s="13">
        <v>0.12010999999999999</v>
      </c>
      <c r="F125" s="13">
        <f>F124+D125</f>
        <v>0.70563999999999993</v>
      </c>
      <c r="G125" s="13">
        <f t="shared" si="5"/>
        <v>0.74198600000000003</v>
      </c>
      <c r="H125" s="13">
        <f>B125+F125</f>
        <v>106.55564</v>
      </c>
      <c r="I125" s="13">
        <f>C125+G125</f>
        <v>120.171986</v>
      </c>
      <c r="J125" s="10">
        <f t="shared" si="6"/>
        <v>1.1277862532663687</v>
      </c>
      <c r="K125" s="10">
        <f t="shared" si="7"/>
        <v>1.1223935798466873</v>
      </c>
      <c r="L125" s="13">
        <f t="shared" si="8"/>
        <v>119.54654029014971</v>
      </c>
      <c r="M125" s="13">
        <f t="shared" si="9"/>
        <v>120.171986</v>
      </c>
      <c r="N125" s="13">
        <f>M125-L125</f>
        <v>0.62544570985029679</v>
      </c>
      <c r="O125" s="2">
        <f>N125/L125</f>
        <v>5.2318177366930604E-3</v>
      </c>
    </row>
    <row r="126" spans="1:15" x14ac:dyDescent="0.25">
      <c r="A126" s="1">
        <v>46205</v>
      </c>
      <c r="B126" s="6">
        <v>104.38</v>
      </c>
      <c r="C126" s="6">
        <v>117.43</v>
      </c>
      <c r="F126" s="13">
        <f>F125+D126</f>
        <v>0.70563999999999993</v>
      </c>
      <c r="G126" s="13">
        <f t="shared" si="5"/>
        <v>0.74198600000000003</v>
      </c>
      <c r="H126" s="13">
        <f>B126+F126</f>
        <v>105.08564</v>
      </c>
      <c r="I126" s="13">
        <f>C126+G126</f>
        <v>118.171986</v>
      </c>
      <c r="J126" s="10">
        <f t="shared" si="6"/>
        <v>1.1245302973841145</v>
      </c>
      <c r="K126" s="10">
        <f t="shared" si="7"/>
        <v>1.122602681432773</v>
      </c>
      <c r="L126" s="13">
        <f t="shared" si="8"/>
        <v>117.94744767008024</v>
      </c>
      <c r="M126" s="13">
        <f t="shared" si="9"/>
        <v>118.171986</v>
      </c>
      <c r="N126" s="13">
        <f>M126-L126</f>
        <v>0.22453832991976697</v>
      </c>
      <c r="O126" s="2">
        <f>N126/L126</f>
        <v>1.9037150388183065E-3</v>
      </c>
    </row>
    <row r="127" spans="1:15" x14ac:dyDescent="0.25">
      <c r="A127" s="1">
        <v>46209</v>
      </c>
      <c r="B127" s="6">
        <v>105.33</v>
      </c>
      <c r="C127" s="6">
        <v>118.19</v>
      </c>
      <c r="F127" s="13">
        <f>F126+D127</f>
        <v>0.70563999999999993</v>
      </c>
      <c r="G127" s="13">
        <f t="shared" si="5"/>
        <v>0.74198600000000003</v>
      </c>
      <c r="H127" s="13">
        <f>B127+F127</f>
        <v>106.03564</v>
      </c>
      <c r="I127" s="13">
        <f>C127+G127</f>
        <v>118.93198599999999</v>
      </c>
      <c r="J127" s="10">
        <f t="shared" si="6"/>
        <v>1.121622748728635</v>
      </c>
      <c r="K127" s="10">
        <f t="shared" si="7"/>
        <v>1.122722660455467</v>
      </c>
      <c r="L127" s="13">
        <f t="shared" si="8"/>
        <v>119.0358937914402</v>
      </c>
      <c r="M127" s="13">
        <f t="shared" si="9"/>
        <v>118.93198599999999</v>
      </c>
      <c r="N127" s="13">
        <f>M127-L127</f>
        <v>-0.10390779144020712</v>
      </c>
      <c r="O127" s="2">
        <f>N127/L127</f>
        <v>-8.7291142302221337E-4</v>
      </c>
    </row>
    <row r="128" spans="1:15" x14ac:dyDescent="0.25">
      <c r="A128" s="1">
        <v>46210</v>
      </c>
      <c r="B128" s="6">
        <v>103.85</v>
      </c>
      <c r="C128" s="6">
        <v>116.3</v>
      </c>
      <c r="F128" s="13">
        <f>F127+D128</f>
        <v>0.70563999999999993</v>
      </c>
      <c r="G128" s="13">
        <f t="shared" si="5"/>
        <v>0.74198600000000003</v>
      </c>
      <c r="H128" s="13">
        <f>B128+F128</f>
        <v>104.55564</v>
      </c>
      <c r="I128" s="13">
        <f>C128+G128</f>
        <v>117.04198599999999</v>
      </c>
      <c r="J128" s="10">
        <f t="shared" si="6"/>
        <v>1.1194229789995069</v>
      </c>
      <c r="K128" s="10">
        <f t="shared" si="7"/>
        <v>1.1228232750682596</v>
      </c>
      <c r="L128" s="13">
        <f t="shared" si="8"/>
        <v>117.38698630642403</v>
      </c>
      <c r="M128" s="13">
        <f t="shared" si="9"/>
        <v>117.04198599999999</v>
      </c>
      <c r="N128" s="13">
        <f>M128-L128</f>
        <v>-0.34500030642404056</v>
      </c>
      <c r="O128" s="2">
        <f>N128/L128</f>
        <v>-2.938999605317922E-3</v>
      </c>
    </row>
    <row r="129" spans="1:15" x14ac:dyDescent="0.25">
      <c r="A129" s="1">
        <v>46211</v>
      </c>
      <c r="B129" s="6">
        <v>104.65</v>
      </c>
      <c r="C129" s="6">
        <v>117.08</v>
      </c>
      <c r="F129" s="13">
        <f>F128+D129</f>
        <v>0.70563999999999993</v>
      </c>
      <c r="G129" s="13">
        <f t="shared" si="5"/>
        <v>0.74198600000000003</v>
      </c>
      <c r="H129" s="13">
        <f>B129+F129</f>
        <v>105.35564000000001</v>
      </c>
      <c r="I129" s="13">
        <f>C129+G129</f>
        <v>117.821986</v>
      </c>
      <c r="J129" s="10">
        <f t="shared" si="6"/>
        <v>1.1183263278548732</v>
      </c>
      <c r="K129" s="10">
        <f t="shared" si="7"/>
        <v>1.1227601541963996</v>
      </c>
      <c r="L129" s="13">
        <f t="shared" si="8"/>
        <v>118.29576475171254</v>
      </c>
      <c r="M129" s="13">
        <f t="shared" si="9"/>
        <v>117.821986</v>
      </c>
      <c r="N129" s="13">
        <f>M129-L129</f>
        <v>-0.47377875171254402</v>
      </c>
      <c r="O129" s="2">
        <f>N129/L129</f>
        <v>-4.0050356215790492E-3</v>
      </c>
    </row>
    <row r="130" spans="1:15" x14ac:dyDescent="0.25">
      <c r="A130" s="1">
        <v>46212</v>
      </c>
      <c r="B130" s="6">
        <v>105.62</v>
      </c>
      <c r="C130" s="6">
        <v>118.56</v>
      </c>
      <c r="F130" s="13">
        <f>F129+D130</f>
        <v>0.70563999999999993</v>
      </c>
      <c r="G130" s="13">
        <f t="shared" si="5"/>
        <v>0.74198600000000003</v>
      </c>
      <c r="H130" s="13">
        <f>B130+F130</f>
        <v>106.32564000000001</v>
      </c>
      <c r="I130" s="13">
        <f>C130+G130</f>
        <v>119.301986</v>
      </c>
      <c r="J130" s="10">
        <f t="shared" si="6"/>
        <v>1.122043431857076</v>
      </c>
      <c r="K130" s="10">
        <f t="shared" si="7"/>
        <v>1.1228329153513577</v>
      </c>
      <c r="L130" s="13">
        <f t="shared" si="8"/>
        <v>119.37819196143089</v>
      </c>
      <c r="M130" s="13">
        <f t="shared" si="9"/>
        <v>119.301986</v>
      </c>
      <c r="N130" s="13">
        <f>M130-L130</f>
        <v>-7.6205961430886759E-2</v>
      </c>
      <c r="O130" s="2">
        <f>N130/L130</f>
        <v>-6.3835747701311845E-4</v>
      </c>
    </row>
    <row r="131" spans="1:15" x14ac:dyDescent="0.25">
      <c r="A131" s="1">
        <v>46213</v>
      </c>
      <c r="B131" s="6">
        <v>105.24</v>
      </c>
      <c r="C131" s="6">
        <v>117.92</v>
      </c>
      <c r="F131" s="13">
        <f>F130+D131</f>
        <v>0.70563999999999993</v>
      </c>
      <c r="G131" s="13">
        <f t="shared" si="5"/>
        <v>0.74198600000000003</v>
      </c>
      <c r="H131" s="13">
        <f>B131+F131</f>
        <v>105.94564</v>
      </c>
      <c r="I131" s="13">
        <f>C131+G131</f>
        <v>118.661986</v>
      </c>
      <c r="J131" s="10">
        <f t="shared" si="6"/>
        <v>1.1200270818128994</v>
      </c>
      <c r="K131" s="10">
        <f t="shared" si="7"/>
        <v>1.1229687565315885</v>
      </c>
      <c r="L131" s="13">
        <f t="shared" si="8"/>
        <v>118.95925182996541</v>
      </c>
      <c r="M131" s="13">
        <f t="shared" si="9"/>
        <v>118.661986</v>
      </c>
      <c r="N131" s="13">
        <f>M131-L131</f>
        <v>-0.2972658299654114</v>
      </c>
      <c r="O131" s="2">
        <f>N131/L131</f>
        <v>-2.4988878577540887E-3</v>
      </c>
    </row>
    <row r="132" spans="1:15" x14ac:dyDescent="0.25">
      <c r="A132" s="1">
        <v>46216</v>
      </c>
      <c r="B132" s="6">
        <v>103.86</v>
      </c>
      <c r="C132" s="6">
        <v>116.38</v>
      </c>
      <c r="F132" s="13">
        <f>F131+D132</f>
        <v>0.70563999999999993</v>
      </c>
      <c r="G132" s="13">
        <f t="shared" ref="G132:G175" si="10">G131+E132</f>
        <v>0.74198600000000003</v>
      </c>
      <c r="H132" s="13">
        <f>B132+F132</f>
        <v>104.56564</v>
      </c>
      <c r="I132" s="13">
        <f>C132+G132</f>
        <v>117.12198599999999</v>
      </c>
      <c r="J132" s="10">
        <f t="shared" ref="J132:J175" si="11">I132/H132</f>
        <v>1.1200809941009302</v>
      </c>
      <c r="K132" s="10">
        <f t="shared" si="7"/>
        <v>1.1230720511247643</v>
      </c>
      <c r="L132" s="13">
        <f t="shared" si="8"/>
        <v>117.42394672672972</v>
      </c>
      <c r="M132" s="13">
        <f t="shared" si="9"/>
        <v>117.12198599999999</v>
      </c>
      <c r="N132" s="13">
        <f>M132-L132</f>
        <v>-0.30196072672973173</v>
      </c>
      <c r="O132" s="2">
        <f>N132/L132</f>
        <v>-2.5715429871596635E-3</v>
      </c>
    </row>
    <row r="133" spans="1:15" x14ac:dyDescent="0.25">
      <c r="A133" s="1">
        <v>46217</v>
      </c>
      <c r="B133" s="6">
        <v>104.14</v>
      </c>
      <c r="C133" s="6">
        <v>116.57</v>
      </c>
      <c r="F133" s="13">
        <f>F132+D133</f>
        <v>0.70563999999999993</v>
      </c>
      <c r="G133" s="13">
        <f t="shared" si="10"/>
        <v>0.74198600000000003</v>
      </c>
      <c r="H133" s="13">
        <f>B133+F133</f>
        <v>104.84564</v>
      </c>
      <c r="I133" s="13">
        <f>C133+G133</f>
        <v>117.31198599999999</v>
      </c>
      <c r="J133" s="10">
        <f t="shared" si="11"/>
        <v>1.1189019018816613</v>
      </c>
      <c r="K133" s="10">
        <f t="shared" si="7"/>
        <v>1.1230274094330241</v>
      </c>
      <c r="L133" s="13">
        <f t="shared" si="8"/>
        <v>117.74920796628864</v>
      </c>
      <c r="M133" s="13">
        <f t="shared" si="9"/>
        <v>117.31198599999999</v>
      </c>
      <c r="N133" s="13">
        <f>M133-L133</f>
        <v>-0.43722196628864651</v>
      </c>
      <c r="O133" s="2">
        <f>N133/L133</f>
        <v>-3.7131626941713466E-3</v>
      </c>
    </row>
    <row r="134" spans="1:15" x14ac:dyDescent="0.25">
      <c r="A134" s="1">
        <v>46218</v>
      </c>
      <c r="B134" s="6">
        <v>103.59</v>
      </c>
      <c r="C134" s="6">
        <v>116</v>
      </c>
      <c r="F134" s="13">
        <f>F133+D134</f>
        <v>0.70563999999999993</v>
      </c>
      <c r="G134" s="13">
        <f t="shared" si="10"/>
        <v>0.74198600000000003</v>
      </c>
      <c r="H134" s="13">
        <f>B134+F134</f>
        <v>104.29564000000001</v>
      </c>
      <c r="I134" s="13">
        <f>C134+G134</f>
        <v>116.741986</v>
      </c>
      <c r="J134" s="10">
        <f t="shared" si="11"/>
        <v>1.1193371650051718</v>
      </c>
      <c r="K134" s="10">
        <f t="shared" si="7"/>
        <v>1.1229167499790449</v>
      </c>
      <c r="L134" s="13">
        <f t="shared" si="8"/>
        <v>117.1268624043593</v>
      </c>
      <c r="M134" s="13">
        <f t="shared" si="9"/>
        <v>116.741986</v>
      </c>
      <c r="N134" s="13">
        <f>M134-L134</f>
        <v>-0.38487640435930359</v>
      </c>
      <c r="O134" s="2">
        <f>N134/L134</f>
        <v>-3.2859789501624953E-3</v>
      </c>
    </row>
    <row r="135" spans="1:15" x14ac:dyDescent="0.25">
      <c r="A135" s="1">
        <v>46219</v>
      </c>
      <c r="B135" s="6">
        <v>101.54</v>
      </c>
      <c r="C135" s="6">
        <v>113.65</v>
      </c>
      <c r="F135" s="13">
        <f>F134+D135</f>
        <v>0.70563999999999993</v>
      </c>
      <c r="G135" s="13">
        <f t="shared" si="10"/>
        <v>0.74198600000000003</v>
      </c>
      <c r="H135" s="13">
        <f>B135+F135</f>
        <v>102.24564000000001</v>
      </c>
      <c r="I135" s="13">
        <f>C135+G135</f>
        <v>114.391986</v>
      </c>
      <c r="J135" s="10">
        <f t="shared" si="11"/>
        <v>1.1187957354465188</v>
      </c>
      <c r="K135" s="10">
        <f t="shared" si="7"/>
        <v>1.1228220504064923</v>
      </c>
      <c r="L135" s="13">
        <f t="shared" si="8"/>
        <v>114.81334176832745</v>
      </c>
      <c r="M135" s="13">
        <f t="shared" si="9"/>
        <v>114.391986</v>
      </c>
      <c r="N135" s="13">
        <f>M135-L135</f>
        <v>-0.42135576832744448</v>
      </c>
      <c r="O135" s="2">
        <f>N135/L135</f>
        <v>-3.6699199051070581E-3</v>
      </c>
    </row>
    <row r="136" spans="1:15" x14ac:dyDescent="0.25">
      <c r="A136" s="1">
        <v>46220</v>
      </c>
      <c r="B136" s="6">
        <v>101.49</v>
      </c>
      <c r="C136" s="6">
        <v>113.74</v>
      </c>
      <c r="F136" s="13">
        <f>F135+D136</f>
        <v>0.70563999999999993</v>
      </c>
      <c r="G136" s="13">
        <f t="shared" si="10"/>
        <v>0.74198600000000003</v>
      </c>
      <c r="H136" s="13">
        <f>B136+F136</f>
        <v>102.19564</v>
      </c>
      <c r="I136" s="13">
        <f>C136+G136</f>
        <v>114.48198599999999</v>
      </c>
      <c r="J136" s="10">
        <f t="shared" si="11"/>
        <v>1.1202237786269551</v>
      </c>
      <c r="K136" s="10">
        <f t="shared" si="7"/>
        <v>1.1227339537792447</v>
      </c>
      <c r="L136" s="13">
        <f t="shared" si="8"/>
        <v>114.74751804740374</v>
      </c>
      <c r="M136" s="13">
        <f t="shared" si="9"/>
        <v>114.48198599999999</v>
      </c>
      <c r="N136" s="13">
        <f>M136-L136</f>
        <v>-0.26553204740375236</v>
      </c>
      <c r="O136" s="2">
        <f>N136/L136</f>
        <v>-2.314054821595858E-3</v>
      </c>
    </row>
    <row r="137" spans="1:15" x14ac:dyDescent="0.25">
      <c r="A137" s="1">
        <v>46223</v>
      </c>
      <c r="B137" s="6">
        <v>101.82</v>
      </c>
      <c r="C137" s="6">
        <v>114.16</v>
      </c>
      <c r="F137" s="13">
        <f>F136+D137</f>
        <v>0.70563999999999993</v>
      </c>
      <c r="G137" s="13">
        <f t="shared" si="10"/>
        <v>0.74198600000000003</v>
      </c>
      <c r="H137" s="13">
        <f>B137+F137</f>
        <v>102.52564</v>
      </c>
      <c r="I137" s="13">
        <f>C137+G137</f>
        <v>114.90198599999999</v>
      </c>
      <c r="J137" s="10">
        <f t="shared" si="11"/>
        <v>1.1207146426981582</v>
      </c>
      <c r="K137" s="10">
        <f t="shared" si="7"/>
        <v>1.122619527889378</v>
      </c>
      <c r="L137" s="13">
        <f t="shared" si="8"/>
        <v>115.10901716094747</v>
      </c>
      <c r="M137" s="13">
        <f t="shared" si="9"/>
        <v>114.90198599999999</v>
      </c>
      <c r="N137" s="13">
        <f>M137-L137</f>
        <v>-0.20703116094747998</v>
      </c>
      <c r="O137" s="2">
        <f>N137/L137</f>
        <v>-1.7985659686243808E-3</v>
      </c>
    </row>
    <row r="138" spans="1:15" x14ac:dyDescent="0.25">
      <c r="A138" s="1">
        <v>46224</v>
      </c>
      <c r="B138" s="6">
        <v>103.69</v>
      </c>
      <c r="C138" s="6">
        <v>116.72</v>
      </c>
      <c r="F138" s="13">
        <f>F137+D138</f>
        <v>0.70563999999999993</v>
      </c>
      <c r="G138" s="13">
        <f t="shared" si="10"/>
        <v>0.74198600000000003</v>
      </c>
      <c r="H138" s="13">
        <f>B138+F138</f>
        <v>104.39564</v>
      </c>
      <c r="I138" s="13">
        <f>C138+G138</f>
        <v>117.461986</v>
      </c>
      <c r="J138" s="10">
        <f t="shared" si="11"/>
        <v>1.1251617979448183</v>
      </c>
      <c r="K138" s="10">
        <f t="shared" si="7"/>
        <v>1.1226375416085559</v>
      </c>
      <c r="L138" s="13">
        <f t="shared" si="8"/>
        <v>117.19658409050946</v>
      </c>
      <c r="M138" s="13">
        <f t="shared" si="9"/>
        <v>117.461986</v>
      </c>
      <c r="N138" s="13">
        <f>M138-L138</f>
        <v>0.2654019094905351</v>
      </c>
      <c r="O138" s="2">
        <f>N138/L138</f>
        <v>2.2645874156670687E-3</v>
      </c>
    </row>
    <row r="139" spans="1:15" x14ac:dyDescent="0.25">
      <c r="A139" s="1">
        <v>46225</v>
      </c>
      <c r="B139" s="6">
        <v>104</v>
      </c>
      <c r="C139" s="6">
        <v>116.51</v>
      </c>
      <c r="F139" s="13">
        <f>F138+D139</f>
        <v>0.70563999999999993</v>
      </c>
      <c r="G139" s="13">
        <f t="shared" si="10"/>
        <v>0.74198600000000003</v>
      </c>
      <c r="H139" s="13">
        <f>B139+F139</f>
        <v>104.70564</v>
      </c>
      <c r="I139" s="13">
        <f>C139+G139</f>
        <v>117.251986</v>
      </c>
      <c r="J139" s="10">
        <f t="shared" si="11"/>
        <v>1.1198249301565799</v>
      </c>
      <c r="K139" s="10">
        <f t="shared" si="7"/>
        <v>1.1223739825082799</v>
      </c>
      <c r="L139" s="13">
        <f t="shared" si="8"/>
        <v>117.54648228215048</v>
      </c>
      <c r="M139" s="13">
        <f t="shared" si="9"/>
        <v>117.251986</v>
      </c>
      <c r="N139" s="13">
        <f>M139-L139</f>
        <v>-0.29449628215047596</v>
      </c>
      <c r="O139" s="2">
        <f>N139/L139</f>
        <v>-2.505360232249123E-3</v>
      </c>
    </row>
    <row r="140" spans="1:15" x14ac:dyDescent="0.25">
      <c r="A140" s="1">
        <v>46226</v>
      </c>
      <c r="B140" s="6">
        <v>103.17</v>
      </c>
      <c r="C140" s="6">
        <v>115.9</v>
      </c>
      <c r="F140" s="13">
        <f>F139+D140</f>
        <v>0.70563999999999993</v>
      </c>
      <c r="G140" s="13">
        <f t="shared" si="10"/>
        <v>0.74198600000000003</v>
      </c>
      <c r="H140" s="13">
        <f>B140+F140</f>
        <v>103.87564</v>
      </c>
      <c r="I140" s="13">
        <f>C140+G140</f>
        <v>116.641986</v>
      </c>
      <c r="J140" s="10">
        <f t="shared" si="11"/>
        <v>1.1229002873050891</v>
      </c>
      <c r="K140" s="10">
        <f t="shared" si="7"/>
        <v>1.1222832842498192</v>
      </c>
      <c r="L140" s="13">
        <f t="shared" si="8"/>
        <v>116.58731575239639</v>
      </c>
      <c r="M140" s="13">
        <f t="shared" si="9"/>
        <v>116.641986</v>
      </c>
      <c r="N140" s="13">
        <f>M140-L140</f>
        <v>5.4670247603610278E-2</v>
      </c>
      <c r="O140" s="2">
        <f>N140/L140</f>
        <v>4.6892105930045449E-4</v>
      </c>
    </row>
    <row r="141" spans="1:15" x14ac:dyDescent="0.25">
      <c r="A141" s="1">
        <v>46227</v>
      </c>
      <c r="B141" s="6">
        <v>101.48</v>
      </c>
      <c r="C141" s="6">
        <v>113.75</v>
      </c>
      <c r="F141" s="13">
        <f>F140+D141</f>
        <v>0.70563999999999993</v>
      </c>
      <c r="G141" s="13">
        <f t="shared" si="10"/>
        <v>0.74198600000000003</v>
      </c>
      <c r="H141" s="13">
        <f>B141+F141</f>
        <v>102.18564000000001</v>
      </c>
      <c r="I141" s="13">
        <f>C141+G141</f>
        <v>114.491986</v>
      </c>
      <c r="J141" s="10">
        <f t="shared" si="11"/>
        <v>1.1204312660761335</v>
      </c>
      <c r="K141" s="10">
        <f t="shared" si="7"/>
        <v>1.1220500099480089</v>
      </c>
      <c r="L141" s="13">
        <f t="shared" si="8"/>
        <v>114.6812356623697</v>
      </c>
      <c r="M141" s="13">
        <f t="shared" si="9"/>
        <v>114.491986</v>
      </c>
      <c r="N141" s="13">
        <f>M141-L141</f>
        <v>-0.1892496623697042</v>
      </c>
      <c r="O141" s="2">
        <f>N141/L141</f>
        <v>-1.6502234326012115E-3</v>
      </c>
    </row>
    <row r="142" spans="1:15" x14ac:dyDescent="0.25">
      <c r="A142" s="1">
        <v>46230</v>
      </c>
      <c r="B142" s="6">
        <v>101.34</v>
      </c>
      <c r="C142" s="6">
        <v>113.44</v>
      </c>
      <c r="F142" s="13">
        <f>F141+D142</f>
        <v>0.70563999999999993</v>
      </c>
      <c r="G142" s="13">
        <f t="shared" si="10"/>
        <v>0.74198600000000003</v>
      </c>
      <c r="H142" s="13">
        <f>B142+F142</f>
        <v>102.04564000000001</v>
      </c>
      <c r="I142" s="13">
        <f>C142+G142</f>
        <v>114.18198599999999</v>
      </c>
      <c r="J142" s="10">
        <f t="shared" si="11"/>
        <v>1.1189305687141555</v>
      </c>
      <c r="K142" s="10">
        <f t="shared" si="7"/>
        <v>1.1217215831678504</v>
      </c>
      <c r="L142" s="13">
        <f t="shared" si="8"/>
        <v>114.50031137715094</v>
      </c>
      <c r="M142" s="13">
        <f t="shared" si="9"/>
        <v>114.18198599999999</v>
      </c>
      <c r="N142" s="13">
        <f>M142-L142</f>
        <v>-0.31832537715094134</v>
      </c>
      <c r="O142" s="2">
        <f>N142/L142</f>
        <v>-2.7801267378427812E-3</v>
      </c>
    </row>
    <row r="143" spans="1:15" x14ac:dyDescent="0.25">
      <c r="A143" s="1">
        <v>46231</v>
      </c>
      <c r="B143" s="6">
        <v>100.31</v>
      </c>
      <c r="C143" s="6">
        <v>111.86</v>
      </c>
      <c r="F143" s="13">
        <f>F142+D143</f>
        <v>0.70563999999999993</v>
      </c>
      <c r="G143" s="13">
        <f t="shared" si="10"/>
        <v>0.74198600000000003</v>
      </c>
      <c r="H143" s="13">
        <f>B143+F143</f>
        <v>101.01564</v>
      </c>
      <c r="I143" s="13">
        <f>C143+G143</f>
        <v>112.601986</v>
      </c>
      <c r="J143" s="10">
        <f t="shared" si="11"/>
        <v>1.1146985357910912</v>
      </c>
      <c r="K143" s="10">
        <f t="shared" si="7"/>
        <v>1.121110011863913</v>
      </c>
      <c r="L143" s="13">
        <f t="shared" si="8"/>
        <v>113.31142362551364</v>
      </c>
      <c r="M143" s="13">
        <f t="shared" si="9"/>
        <v>112.601986</v>
      </c>
      <c r="N143" s="13">
        <f>M143-L143</f>
        <v>-0.70943762551364387</v>
      </c>
      <c r="O143" s="2">
        <f>N143/L143</f>
        <v>-6.2609541281405641E-3</v>
      </c>
    </row>
    <row r="144" spans="1:15" x14ac:dyDescent="0.25">
      <c r="A144" s="1">
        <v>46232</v>
      </c>
      <c r="B144" s="6">
        <v>98.39</v>
      </c>
      <c r="C144" s="6">
        <v>109.68</v>
      </c>
      <c r="F144" s="13">
        <f>F143+D144</f>
        <v>0.70563999999999993</v>
      </c>
      <c r="G144" s="13">
        <f t="shared" si="10"/>
        <v>0.74198600000000003</v>
      </c>
      <c r="H144" s="13">
        <f>B144+F144</f>
        <v>99.095640000000003</v>
      </c>
      <c r="I144" s="13">
        <f>C144+G144</f>
        <v>110.421986</v>
      </c>
      <c r="J144" s="10">
        <f t="shared" si="11"/>
        <v>1.1142971174110183</v>
      </c>
      <c r="K144" s="10">
        <f t="shared" si="7"/>
        <v>1.1204028920530877</v>
      </c>
      <c r="L144" s="13">
        <f t="shared" si="8"/>
        <v>111.09711413606206</v>
      </c>
      <c r="M144" s="13">
        <f t="shared" si="9"/>
        <v>110.421986</v>
      </c>
      <c r="N144" s="13">
        <f>M144-L144</f>
        <v>-0.67512813606205668</v>
      </c>
      <c r="O144" s="2">
        <f>N144/L144</f>
        <v>-6.0769187508796906E-3</v>
      </c>
    </row>
    <row r="145" spans="1:15" x14ac:dyDescent="0.25">
      <c r="A145" s="1">
        <v>46233</v>
      </c>
      <c r="B145" s="6">
        <v>101.49</v>
      </c>
      <c r="C145" s="6">
        <v>113.38</v>
      </c>
      <c r="F145" s="13">
        <f>F144+D145</f>
        <v>0.70563999999999993</v>
      </c>
      <c r="G145" s="13">
        <f t="shared" si="10"/>
        <v>0.74198600000000003</v>
      </c>
      <c r="H145" s="13">
        <f>B145+F145</f>
        <v>102.19564</v>
      </c>
      <c r="I145" s="13">
        <f>C145+G145</f>
        <v>114.12198599999999</v>
      </c>
      <c r="J145" s="10">
        <f t="shared" si="11"/>
        <v>1.1167011234530162</v>
      </c>
      <c r="K145" s="10">
        <f t="shared" si="7"/>
        <v>1.1198486355624202</v>
      </c>
      <c r="L145" s="13">
        <f t="shared" si="8"/>
        <v>114.50029061121622</v>
      </c>
      <c r="M145" s="13">
        <f t="shared" si="9"/>
        <v>114.12198599999999</v>
      </c>
      <c r="N145" s="13">
        <f>M145-L145</f>
        <v>-0.3783046112162225</v>
      </c>
      <c r="O145" s="2">
        <f>N145/L145</f>
        <v>-3.3039620178847351E-3</v>
      </c>
    </row>
    <row r="146" spans="1:15" x14ac:dyDescent="0.25">
      <c r="A146" s="1">
        <v>46234</v>
      </c>
      <c r="B146" s="6">
        <v>101.85</v>
      </c>
      <c r="C146" s="6">
        <v>113.23</v>
      </c>
      <c r="F146" s="13">
        <f>F145+D146</f>
        <v>0.70563999999999993</v>
      </c>
      <c r="G146" s="13">
        <f t="shared" si="10"/>
        <v>0.74198600000000003</v>
      </c>
      <c r="H146" s="13">
        <f>B146+F146</f>
        <v>102.55564</v>
      </c>
      <c r="I146" s="13">
        <f>C146+G146</f>
        <v>113.971986</v>
      </c>
      <c r="J146" s="10">
        <f t="shared" si="11"/>
        <v>1.1113185583942531</v>
      </c>
      <c r="K146" s="10">
        <f t="shared" si="7"/>
        <v>1.1191880486129269</v>
      </c>
      <c r="L146" s="13">
        <f t="shared" si="8"/>
        <v>114.84679352323076</v>
      </c>
      <c r="M146" s="13">
        <f t="shared" si="9"/>
        <v>113.971986</v>
      </c>
      <c r="N146" s="13">
        <f>M146-L146</f>
        <v>-0.87480752323075706</v>
      </c>
      <c r="O146" s="2">
        <f>N146/L146</f>
        <v>-7.6171697649861196E-3</v>
      </c>
    </row>
    <row r="147" spans="1:15" x14ac:dyDescent="0.25">
      <c r="A147" s="1">
        <v>46237</v>
      </c>
      <c r="B147" s="6">
        <v>103.3</v>
      </c>
      <c r="C147" s="6">
        <v>115.11</v>
      </c>
      <c r="D147" s="13">
        <v>0.21054</v>
      </c>
      <c r="E147" s="13">
        <v>0.13896</v>
      </c>
      <c r="F147" s="13">
        <f>F146+D147</f>
        <v>0.91617999999999999</v>
      </c>
      <c r="G147" s="13">
        <f t="shared" si="10"/>
        <v>0.88094600000000001</v>
      </c>
      <c r="H147" s="13">
        <f>B147+F147</f>
        <v>104.21617999999999</v>
      </c>
      <c r="I147" s="13">
        <f>C147+G147</f>
        <v>115.99094599999999</v>
      </c>
      <c r="J147" s="10">
        <f t="shared" si="11"/>
        <v>1.1129840491179008</v>
      </c>
      <c r="K147" s="10">
        <f t="shared" si="7"/>
        <v>1.1187561136323905</v>
      </c>
      <c r="L147" s="13">
        <f t="shared" si="8"/>
        <v>116.63750312809353</v>
      </c>
      <c r="M147" s="13">
        <f t="shared" si="9"/>
        <v>115.99094599999999</v>
      </c>
      <c r="N147" s="13">
        <f>M147-L147</f>
        <v>-0.64655712809353361</v>
      </c>
      <c r="O147" s="2">
        <f>N147/L147</f>
        <v>-5.5433039181529142E-3</v>
      </c>
    </row>
    <row r="148" spans="1:15" x14ac:dyDescent="0.25">
      <c r="A148" s="1">
        <v>46238</v>
      </c>
      <c r="B148" s="6">
        <v>105.35</v>
      </c>
      <c r="C148" s="6">
        <v>117.12</v>
      </c>
      <c r="F148" s="13">
        <f>F147+D148</f>
        <v>0.91617999999999999</v>
      </c>
      <c r="G148" s="13">
        <f t="shared" si="10"/>
        <v>0.88094600000000001</v>
      </c>
      <c r="H148" s="13">
        <f>B148+F148</f>
        <v>106.26617999999999</v>
      </c>
      <c r="I148" s="13">
        <f>C148+G148</f>
        <v>118.000946</v>
      </c>
      <c r="J148" s="10">
        <f t="shared" si="11"/>
        <v>1.1104280402287916</v>
      </c>
      <c r="K148" s="10">
        <f t="shared" si="7"/>
        <v>1.1183063666938544</v>
      </c>
      <c r="L148" s="13">
        <f t="shared" si="8"/>
        <v>118.88593854736006</v>
      </c>
      <c r="M148" s="13">
        <f t="shared" si="9"/>
        <v>118.000946</v>
      </c>
      <c r="N148" s="13">
        <f>M148-L148</f>
        <v>-0.88499254736005639</v>
      </c>
      <c r="O148" s="2">
        <f>N148/L148</f>
        <v>-7.4440472790439039E-3</v>
      </c>
    </row>
    <row r="149" spans="1:15" x14ac:dyDescent="0.25">
      <c r="A149" s="1">
        <v>46239</v>
      </c>
      <c r="B149" s="6">
        <v>104.34</v>
      </c>
      <c r="C149" s="6">
        <v>116.09</v>
      </c>
      <c r="F149" s="13">
        <f>F148+D149</f>
        <v>0.91617999999999999</v>
      </c>
      <c r="G149" s="13">
        <f t="shared" si="10"/>
        <v>0.88094600000000001</v>
      </c>
      <c r="H149" s="13">
        <f>B149+F149</f>
        <v>105.25618</v>
      </c>
      <c r="I149" s="13">
        <f>C149+G149</f>
        <v>116.970946</v>
      </c>
      <c r="J149" s="10">
        <f t="shared" si="11"/>
        <v>1.1112976549215448</v>
      </c>
      <c r="K149" s="10">
        <f t="shared" si="7"/>
        <v>1.1179549330471878</v>
      </c>
      <c r="L149" s="13">
        <f t="shared" si="8"/>
        <v>117.70865622787434</v>
      </c>
      <c r="M149" s="13">
        <f t="shared" si="9"/>
        <v>116.970946</v>
      </c>
      <c r="N149" s="13">
        <f>M149-L149</f>
        <v>-0.73771022787434504</v>
      </c>
      <c r="O149" s="2">
        <f>N149/L149</f>
        <v>-6.267255540205967E-3</v>
      </c>
    </row>
    <row r="150" spans="1:15" x14ac:dyDescent="0.25">
      <c r="A150" s="1">
        <v>46240</v>
      </c>
      <c r="B150" s="6">
        <v>102.88</v>
      </c>
      <c r="C150" s="6">
        <v>114.55</v>
      </c>
      <c r="F150" s="13">
        <f>F149+D150</f>
        <v>0.91617999999999999</v>
      </c>
      <c r="G150" s="13">
        <f t="shared" si="10"/>
        <v>0.88094600000000001</v>
      </c>
      <c r="H150" s="13">
        <f>B150+F150</f>
        <v>103.79617999999999</v>
      </c>
      <c r="I150" s="13">
        <f>C150+G150</f>
        <v>115.43094599999999</v>
      </c>
      <c r="J150" s="10">
        <f t="shared" si="11"/>
        <v>1.1120924296057908</v>
      </c>
      <c r="K150" s="10">
        <f t="shared" si="7"/>
        <v>1.1174573829346239</v>
      </c>
      <c r="L150" s="13">
        <f t="shared" si="8"/>
        <v>116.03945146245385</v>
      </c>
      <c r="M150" s="13">
        <f t="shared" si="9"/>
        <v>115.43094599999999</v>
      </c>
      <c r="N150" s="13">
        <f>M150-L150</f>
        <v>-0.60850546245386283</v>
      </c>
      <c r="O150" s="2">
        <f>N150/L150</f>
        <v>-5.2439532829983522E-3</v>
      </c>
    </row>
    <row r="151" spans="1:15" x14ac:dyDescent="0.25">
      <c r="A151" s="1">
        <v>46241</v>
      </c>
      <c r="B151" s="6">
        <v>103.86</v>
      </c>
      <c r="C151" s="6">
        <v>115.71</v>
      </c>
      <c r="F151" s="13">
        <f>F150+D151</f>
        <v>0.91617999999999999</v>
      </c>
      <c r="G151" s="13">
        <f t="shared" si="10"/>
        <v>0.88094600000000001</v>
      </c>
      <c r="H151" s="13">
        <f>B151+F151</f>
        <v>104.77618</v>
      </c>
      <c r="I151" s="13">
        <f>C151+G151</f>
        <v>116.59094599999999</v>
      </c>
      <c r="J151" s="10">
        <f t="shared" si="11"/>
        <v>1.1127619464653129</v>
      </c>
      <c r="K151" s="10">
        <f t="shared" ref="K151:K175" si="12">AVERAGE(J132:J151)</f>
        <v>1.1170941261672445</v>
      </c>
      <c r="L151" s="13">
        <f t="shared" si="8"/>
        <v>117.08291589668708</v>
      </c>
      <c r="M151" s="13">
        <f t="shared" si="9"/>
        <v>116.59094599999999</v>
      </c>
      <c r="N151" s="13">
        <f>M151-L151</f>
        <v>-0.49196989668709534</v>
      </c>
      <c r="O151" s="2">
        <f>N151/L151</f>
        <v>-4.2018931021602264E-3</v>
      </c>
    </row>
    <row r="152" spans="1:15" x14ac:dyDescent="0.25">
      <c r="A152" s="1">
        <v>46244</v>
      </c>
      <c r="B152" s="6">
        <v>103.61</v>
      </c>
      <c r="C152" s="6">
        <v>115.14</v>
      </c>
      <c r="F152" s="13">
        <f>F151+D152</f>
        <v>0.91617999999999999</v>
      </c>
      <c r="G152" s="13">
        <f t="shared" si="10"/>
        <v>0.88094600000000001</v>
      </c>
      <c r="H152" s="13">
        <f>B152+F152</f>
        <v>104.52618</v>
      </c>
      <c r="I152" s="13">
        <f>C152+G152</f>
        <v>116.020946</v>
      </c>
      <c r="J152" s="10">
        <f t="shared" si="11"/>
        <v>1.1099702103339086</v>
      </c>
      <c r="K152" s="10">
        <f t="shared" si="12"/>
        <v>1.1165885869788934</v>
      </c>
      <c r="L152" s="13">
        <f t="shared" ref="L152:L175" si="13">K151*H152</f>
        <v>116.7655817087001</v>
      </c>
      <c r="M152" s="13">
        <f t="shared" ref="M152:M175" si="14">I152</f>
        <v>116.020946</v>
      </c>
      <c r="N152" s="13">
        <f>M152-L152</f>
        <v>-0.74463570870010187</v>
      </c>
      <c r="O152" s="2">
        <f>N152/L152</f>
        <v>-6.377184935863851E-3</v>
      </c>
    </row>
    <row r="153" spans="1:15" x14ac:dyDescent="0.25">
      <c r="A153" s="1">
        <v>46245</v>
      </c>
      <c r="B153" s="6">
        <v>103.67</v>
      </c>
      <c r="C153" s="6">
        <v>115.41</v>
      </c>
      <c r="F153" s="13">
        <f>F152+D153</f>
        <v>0.91617999999999999</v>
      </c>
      <c r="G153" s="13">
        <f t="shared" si="10"/>
        <v>0.88094600000000001</v>
      </c>
      <c r="H153" s="13">
        <f>B153+F153</f>
        <v>104.58618</v>
      </c>
      <c r="I153" s="13">
        <f>C153+G153</f>
        <v>116.29094599999999</v>
      </c>
      <c r="J153" s="10">
        <f t="shared" si="11"/>
        <v>1.1119150350457392</v>
      </c>
      <c r="K153" s="10">
        <f t="shared" si="12"/>
        <v>1.1162392436370971</v>
      </c>
      <c r="L153" s="13">
        <f t="shared" si="13"/>
        <v>116.7797349437202</v>
      </c>
      <c r="M153" s="13">
        <f t="shared" si="14"/>
        <v>116.29094599999999</v>
      </c>
      <c r="N153" s="13">
        <f>M153-L153</f>
        <v>-0.48878894372020909</v>
      </c>
      <c r="O153" s="2">
        <f>N153/L153</f>
        <v>-4.1855630512928612E-3</v>
      </c>
    </row>
    <row r="154" spans="1:15" x14ac:dyDescent="0.25">
      <c r="A154" s="1">
        <v>46246</v>
      </c>
      <c r="B154" s="6">
        <v>105.9</v>
      </c>
      <c r="C154" s="6">
        <v>118.3</v>
      </c>
      <c r="F154" s="13">
        <f>F153+D154</f>
        <v>0.91617999999999999</v>
      </c>
      <c r="G154" s="13">
        <f t="shared" si="10"/>
        <v>0.88094600000000001</v>
      </c>
      <c r="H154" s="13">
        <f>B154+F154</f>
        <v>106.81618</v>
      </c>
      <c r="I154" s="13">
        <f>C154+G154</f>
        <v>119.18094599999999</v>
      </c>
      <c r="J154" s="10">
        <f t="shared" si="11"/>
        <v>1.1157574255136253</v>
      </c>
      <c r="K154" s="10">
        <f t="shared" si="12"/>
        <v>1.1160602566625202</v>
      </c>
      <c r="L154" s="13">
        <f t="shared" si="13"/>
        <v>119.23241197140402</v>
      </c>
      <c r="M154" s="13">
        <f t="shared" si="14"/>
        <v>119.18094599999999</v>
      </c>
      <c r="N154" s="13">
        <f>M154-L154</f>
        <v>-5.1465971404027755E-2</v>
      </c>
      <c r="O154" s="2">
        <f>N154/L154</f>
        <v>-4.3164413562623427E-4</v>
      </c>
    </row>
    <row r="155" spans="1:15" x14ac:dyDescent="0.25">
      <c r="A155" s="1">
        <v>46247</v>
      </c>
      <c r="B155" s="6">
        <v>106.4</v>
      </c>
      <c r="C155" s="6">
        <v>118.53</v>
      </c>
      <c r="F155" s="13">
        <f>F154+D155</f>
        <v>0.91617999999999999</v>
      </c>
      <c r="G155" s="13">
        <f t="shared" si="10"/>
        <v>0.88094600000000001</v>
      </c>
      <c r="H155" s="13">
        <f>B155+F155</f>
        <v>107.31618</v>
      </c>
      <c r="I155" s="13">
        <f>C155+G155</f>
        <v>119.410946</v>
      </c>
      <c r="J155" s="10">
        <f t="shared" si="11"/>
        <v>1.1127021666257595</v>
      </c>
      <c r="K155" s="10">
        <f t="shared" si="12"/>
        <v>1.1157555782214819</v>
      </c>
      <c r="L155" s="13">
        <f t="shared" si="13"/>
        <v>119.77132339484122</v>
      </c>
      <c r="M155" s="13">
        <f t="shared" si="14"/>
        <v>119.410946</v>
      </c>
      <c r="N155" s="13">
        <f>M155-L155</f>
        <v>-0.36037739484122255</v>
      </c>
      <c r="O155" s="2">
        <f>N155/L155</f>
        <v>-3.0088787919057484E-3</v>
      </c>
    </row>
    <row r="156" spans="1:15" x14ac:dyDescent="0.25">
      <c r="A156" s="1">
        <v>46248</v>
      </c>
      <c r="B156" s="6">
        <v>106.6</v>
      </c>
      <c r="C156" s="6">
        <v>119.02</v>
      </c>
      <c r="F156" s="13">
        <f>F155+D156</f>
        <v>0.91617999999999999</v>
      </c>
      <c r="G156" s="13">
        <f t="shared" si="10"/>
        <v>0.88094600000000001</v>
      </c>
      <c r="H156" s="13">
        <f>B156+F156</f>
        <v>107.51617999999999</v>
      </c>
      <c r="I156" s="13">
        <f>C156+G156</f>
        <v>119.90094599999999</v>
      </c>
      <c r="J156" s="10">
        <f t="shared" si="11"/>
        <v>1.1151897881788584</v>
      </c>
      <c r="K156" s="10">
        <f t="shared" si="12"/>
        <v>1.1155038786990774</v>
      </c>
      <c r="L156" s="13">
        <f t="shared" si="13"/>
        <v>119.96177758406492</v>
      </c>
      <c r="M156" s="13">
        <f t="shared" si="14"/>
        <v>119.90094599999999</v>
      </c>
      <c r="N156" s="13">
        <f>M156-L156</f>
        <v>-6.0831584064928279E-2</v>
      </c>
      <c r="O156" s="2">
        <f>N156/L156</f>
        <v>-5.0709138602334967E-4</v>
      </c>
    </row>
    <row r="157" spans="1:15" x14ac:dyDescent="0.25">
      <c r="A157" s="1">
        <v>46251</v>
      </c>
      <c r="B157" s="6">
        <v>106.5</v>
      </c>
      <c r="C157" s="6">
        <v>119.12</v>
      </c>
      <c r="F157" s="13">
        <f>F156+D157</f>
        <v>0.91617999999999999</v>
      </c>
      <c r="G157" s="13">
        <f t="shared" si="10"/>
        <v>0.88094600000000001</v>
      </c>
      <c r="H157" s="13">
        <f>B157+F157</f>
        <v>107.41618</v>
      </c>
      <c r="I157" s="13">
        <f>C157+G157</f>
        <v>120.000946</v>
      </c>
      <c r="J157" s="10">
        <f t="shared" si="11"/>
        <v>1.1171589419768977</v>
      </c>
      <c r="K157" s="10">
        <f t="shared" si="12"/>
        <v>1.1153260936630143</v>
      </c>
      <c r="L157" s="13">
        <f t="shared" si="13"/>
        <v>119.82316542503825</v>
      </c>
      <c r="M157" s="13">
        <f t="shared" si="14"/>
        <v>120.000946</v>
      </c>
      <c r="N157" s="13">
        <f>M157-L157</f>
        <v>0.17778057496174426</v>
      </c>
      <c r="O157" s="2">
        <f>N157/L157</f>
        <v>1.4836911905232912E-3</v>
      </c>
    </row>
    <row r="158" spans="1:15" x14ac:dyDescent="0.25">
      <c r="A158" s="1">
        <v>46252</v>
      </c>
      <c r="B158" s="6">
        <v>104.45</v>
      </c>
      <c r="C158" s="6">
        <v>116.42</v>
      </c>
      <c r="F158" s="13">
        <f>F157+D158</f>
        <v>0.91617999999999999</v>
      </c>
      <c r="G158" s="13">
        <f t="shared" si="10"/>
        <v>0.88094600000000001</v>
      </c>
      <c r="H158" s="13">
        <f>B158+F158</f>
        <v>105.36618</v>
      </c>
      <c r="I158" s="13">
        <f>C158+G158</f>
        <v>117.300946</v>
      </c>
      <c r="J158" s="10">
        <f t="shared" si="11"/>
        <v>1.1132694190868455</v>
      </c>
      <c r="K158" s="10">
        <f t="shared" si="12"/>
        <v>1.1147314747201156</v>
      </c>
      <c r="L158" s="13">
        <f t="shared" si="13"/>
        <v>117.51764994359402</v>
      </c>
      <c r="M158" s="13">
        <f t="shared" si="14"/>
        <v>117.300946</v>
      </c>
      <c r="N158" s="13">
        <f>M158-L158</f>
        <v>-0.21670394359402678</v>
      </c>
      <c r="O158" s="2">
        <f>N158/L158</f>
        <v>-1.8440118884102948E-3</v>
      </c>
    </row>
    <row r="159" spans="1:15" x14ac:dyDescent="0.25">
      <c r="A159" s="1">
        <v>46253</v>
      </c>
      <c r="B159" s="6">
        <v>103.73</v>
      </c>
      <c r="C159" s="6">
        <v>115.84</v>
      </c>
      <c r="F159" s="13">
        <f>F158+D159</f>
        <v>0.91617999999999999</v>
      </c>
      <c r="G159" s="13">
        <f t="shared" si="10"/>
        <v>0.88094600000000001</v>
      </c>
      <c r="H159" s="13">
        <f>B159+F159</f>
        <v>104.64618</v>
      </c>
      <c r="I159" s="13">
        <f>C159+G159</f>
        <v>116.720946</v>
      </c>
      <c r="J159" s="10">
        <f t="shared" si="11"/>
        <v>1.1153865912735659</v>
      </c>
      <c r="K159" s="10">
        <f t="shared" si="12"/>
        <v>1.1145095577759647</v>
      </c>
      <c r="L159" s="13">
        <f t="shared" si="13"/>
        <v>116.65239055522666</v>
      </c>
      <c r="M159" s="13">
        <f t="shared" si="14"/>
        <v>116.720946</v>
      </c>
      <c r="N159" s="13">
        <f>M159-L159</f>
        <v>6.8555444773338081E-2</v>
      </c>
      <c r="O159" s="2">
        <f>N159/L159</f>
        <v>5.876900117266086E-4</v>
      </c>
    </row>
    <row r="160" spans="1:15" x14ac:dyDescent="0.25">
      <c r="A160" s="1">
        <v>46254</v>
      </c>
      <c r="B160" s="6">
        <v>103.57</v>
      </c>
      <c r="C160" s="6">
        <v>115.62</v>
      </c>
      <c r="F160" s="13">
        <f>F159+D160</f>
        <v>0.91617999999999999</v>
      </c>
      <c r="G160" s="13">
        <f t="shared" si="10"/>
        <v>0.88094600000000001</v>
      </c>
      <c r="H160" s="13">
        <f>B160+F160</f>
        <v>104.48617999999999</v>
      </c>
      <c r="I160" s="13">
        <f>C160+G160</f>
        <v>116.500946</v>
      </c>
      <c r="J160" s="10">
        <f t="shared" si="11"/>
        <v>1.1149890444841606</v>
      </c>
      <c r="K160" s="10">
        <f t="shared" si="12"/>
        <v>1.1141139956349186</v>
      </c>
      <c r="L160" s="13">
        <f t="shared" si="13"/>
        <v>116.45084626549983</v>
      </c>
      <c r="M160" s="13">
        <f t="shared" si="14"/>
        <v>116.500946</v>
      </c>
      <c r="N160" s="13">
        <f>M160-L160</f>
        <v>5.0099734500165027E-2</v>
      </c>
      <c r="O160" s="2">
        <f>N160/L160</f>
        <v>4.3022215902099257E-4</v>
      </c>
    </row>
    <row r="161" spans="1:15" x14ac:dyDescent="0.25">
      <c r="A161" s="1">
        <v>46255</v>
      </c>
      <c r="B161" s="6">
        <v>103.69</v>
      </c>
      <c r="C161" s="6">
        <v>115.86</v>
      </c>
      <c r="F161" s="13">
        <f>F160+D161</f>
        <v>0.91617999999999999</v>
      </c>
      <c r="G161" s="13">
        <f t="shared" si="10"/>
        <v>0.88094600000000001</v>
      </c>
      <c r="H161" s="13">
        <f>B161+F161</f>
        <v>104.60617999999999</v>
      </c>
      <c r="I161" s="13">
        <f>C161+G161</f>
        <v>116.74094599999999</v>
      </c>
      <c r="J161" s="10">
        <f t="shared" si="11"/>
        <v>1.1160042934365828</v>
      </c>
      <c r="K161" s="10">
        <f t="shared" si="12"/>
        <v>1.1138926470029409</v>
      </c>
      <c r="L161" s="13">
        <f t="shared" si="13"/>
        <v>116.5432091679055</v>
      </c>
      <c r="M161" s="13">
        <f t="shared" si="14"/>
        <v>116.74094599999999</v>
      </c>
      <c r="N161" s="13">
        <f>M161-L161</f>
        <v>0.19773683209449189</v>
      </c>
      <c r="O161" s="2">
        <f>N161/L161</f>
        <v>1.6966825738392835E-3</v>
      </c>
    </row>
    <row r="162" spans="1:15" x14ac:dyDescent="0.25">
      <c r="A162" s="1">
        <v>46258</v>
      </c>
      <c r="B162" s="6">
        <v>102.66</v>
      </c>
      <c r="C162" s="6">
        <v>114.72</v>
      </c>
      <c r="F162" s="13">
        <f>F161+D162</f>
        <v>0.91617999999999999</v>
      </c>
      <c r="G162" s="13">
        <f t="shared" si="10"/>
        <v>0.88094600000000001</v>
      </c>
      <c r="H162" s="13">
        <f>B162+F162</f>
        <v>103.57617999999999</v>
      </c>
      <c r="I162" s="13">
        <f>C162+G162</f>
        <v>115.60094599999999</v>
      </c>
      <c r="J162" s="10">
        <f t="shared" si="11"/>
        <v>1.1160958629677209</v>
      </c>
      <c r="K162" s="10">
        <f t="shared" si="12"/>
        <v>1.113750911715619</v>
      </c>
      <c r="L162" s="13">
        <f t="shared" si="13"/>
        <v>115.37274530665306</v>
      </c>
      <c r="M162" s="13">
        <f t="shared" si="14"/>
        <v>115.60094599999999</v>
      </c>
      <c r="N162" s="13">
        <f>M162-L162</f>
        <v>0.22820069334693471</v>
      </c>
      <c r="O162" s="2">
        <f>N162/L162</f>
        <v>1.9779428212477091E-3</v>
      </c>
    </row>
    <row r="163" spans="1:15" x14ac:dyDescent="0.25">
      <c r="A163" s="1">
        <v>46259</v>
      </c>
      <c r="B163" s="6">
        <v>103.68</v>
      </c>
      <c r="C163" s="6">
        <v>115.84</v>
      </c>
      <c r="F163" s="13">
        <f>F162+D163</f>
        <v>0.91617999999999999</v>
      </c>
      <c r="G163" s="13">
        <f t="shared" si="10"/>
        <v>0.88094600000000001</v>
      </c>
      <c r="H163" s="13">
        <f>B163+F163</f>
        <v>104.59618</v>
      </c>
      <c r="I163" s="13">
        <f>C163+G163</f>
        <v>116.720946</v>
      </c>
      <c r="J163" s="10">
        <f t="shared" si="11"/>
        <v>1.1159197783322488</v>
      </c>
      <c r="K163" s="10">
        <f t="shared" si="12"/>
        <v>1.113811973842677</v>
      </c>
      <c r="L163" s="13">
        <f t="shared" si="13"/>
        <v>116.494090836971</v>
      </c>
      <c r="M163" s="13">
        <f t="shared" si="14"/>
        <v>116.720946</v>
      </c>
      <c r="N163" s="13">
        <f>M163-L163</f>
        <v>0.22685516302900055</v>
      </c>
      <c r="O163" s="2">
        <f>N163/L163</f>
        <v>1.9473533927697297E-3</v>
      </c>
    </row>
    <row r="164" spans="1:15" x14ac:dyDescent="0.25">
      <c r="A164" s="1">
        <v>46260</v>
      </c>
      <c r="B164" s="6">
        <v>103.75</v>
      </c>
      <c r="C164" s="6">
        <v>115.5</v>
      </c>
      <c r="F164" s="13">
        <f>F163+D164</f>
        <v>0.91617999999999999</v>
      </c>
      <c r="G164" s="13">
        <f t="shared" si="10"/>
        <v>0.88094600000000001</v>
      </c>
      <c r="H164" s="13">
        <f>B164+F164</f>
        <v>104.66618</v>
      </c>
      <c r="I164" s="13">
        <f>C164+G164</f>
        <v>116.38094599999999</v>
      </c>
      <c r="J164" s="10">
        <f t="shared" si="11"/>
        <v>1.1119250363393409</v>
      </c>
      <c r="K164" s="10">
        <f t="shared" si="12"/>
        <v>1.1136933697890932</v>
      </c>
      <c r="L164" s="13">
        <f t="shared" si="13"/>
        <v>116.57844454037293</v>
      </c>
      <c r="M164" s="13">
        <f t="shared" si="14"/>
        <v>116.38094599999999</v>
      </c>
      <c r="N164" s="13">
        <f>M164-L164</f>
        <v>-0.19749854037293346</v>
      </c>
      <c r="O164" s="2">
        <f>N164/L164</f>
        <v>-1.6941257121039785E-3</v>
      </c>
    </row>
    <row r="165" spans="1:15" x14ac:dyDescent="0.25">
      <c r="A165" s="1">
        <v>46261</v>
      </c>
      <c r="B165" s="6">
        <v>104.04</v>
      </c>
      <c r="C165" s="6">
        <v>116.17</v>
      </c>
      <c r="F165" s="13">
        <f>F164+D165</f>
        <v>0.91617999999999999</v>
      </c>
      <c r="G165" s="13">
        <f t="shared" si="10"/>
        <v>0.88094600000000001</v>
      </c>
      <c r="H165" s="13">
        <f>B165+F165</f>
        <v>104.95618</v>
      </c>
      <c r="I165" s="13">
        <f>C165+G165</f>
        <v>117.050946</v>
      </c>
      <c r="J165" s="10">
        <f t="shared" si="11"/>
        <v>1.1152363395847675</v>
      </c>
      <c r="K165" s="10">
        <f t="shared" si="12"/>
        <v>1.1136201305956808</v>
      </c>
      <c r="L165" s="13">
        <f t="shared" si="13"/>
        <v>116.88900178439063</v>
      </c>
      <c r="M165" s="13">
        <f t="shared" si="14"/>
        <v>117.050946</v>
      </c>
      <c r="N165" s="13">
        <f>M165-L165</f>
        <v>0.16194421560936689</v>
      </c>
      <c r="O165" s="2">
        <f>N165/L165</f>
        <v>1.3854529779292969E-3</v>
      </c>
    </row>
    <row r="166" spans="1:15" x14ac:dyDescent="0.25">
      <c r="A166" s="1">
        <v>46262</v>
      </c>
      <c r="B166" s="6">
        <v>102.46</v>
      </c>
      <c r="C166" s="6">
        <v>114.25</v>
      </c>
      <c r="F166" s="13">
        <f>F165+D166</f>
        <v>0.91617999999999999</v>
      </c>
      <c r="G166" s="13">
        <f t="shared" si="10"/>
        <v>0.88094600000000001</v>
      </c>
      <c r="H166" s="13">
        <f>B166+F166</f>
        <v>103.37617999999999</v>
      </c>
      <c r="I166" s="13">
        <f>C166+G166</f>
        <v>115.13094599999999</v>
      </c>
      <c r="J166" s="10">
        <f t="shared" si="11"/>
        <v>1.113708651257959</v>
      </c>
      <c r="K166" s="10">
        <f t="shared" si="12"/>
        <v>1.1137396352388662</v>
      </c>
      <c r="L166" s="13">
        <f t="shared" si="13"/>
        <v>115.12179507208259</v>
      </c>
      <c r="M166" s="13">
        <f t="shared" si="14"/>
        <v>115.13094599999999</v>
      </c>
      <c r="N166" s="13">
        <f>M166-L166</f>
        <v>9.1509279174033509E-3</v>
      </c>
      <c r="O166" s="2">
        <f>N166/L166</f>
        <v>7.948910031913219E-5</v>
      </c>
    </row>
    <row r="167" spans="1:15" x14ac:dyDescent="0.25">
      <c r="A167" s="1">
        <v>46265</v>
      </c>
      <c r="B167" s="6">
        <v>102.19</v>
      </c>
      <c r="C167" s="6">
        <v>113.84</v>
      </c>
      <c r="F167" s="13">
        <f>F166+D167</f>
        <v>0.91617999999999999</v>
      </c>
      <c r="G167" s="13">
        <f t="shared" si="10"/>
        <v>0.88094600000000001</v>
      </c>
      <c r="H167" s="13">
        <f>B167+F167</f>
        <v>103.10617999999999</v>
      </c>
      <c r="I167" s="13">
        <f>C167+G167</f>
        <v>114.720946</v>
      </c>
      <c r="J167" s="10">
        <f t="shared" si="11"/>
        <v>1.1126485919660685</v>
      </c>
      <c r="K167" s="10">
        <f t="shared" si="12"/>
        <v>1.1137228623812745</v>
      </c>
      <c r="L167" s="13">
        <f t="shared" si="13"/>
        <v>114.83343930407288</v>
      </c>
      <c r="M167" s="13">
        <f t="shared" si="14"/>
        <v>114.720946</v>
      </c>
      <c r="N167" s="13">
        <f>M167-L167</f>
        <v>-0.11249330407288483</v>
      </c>
      <c r="O167" s="2">
        <f>N167/L167</f>
        <v>-9.7962148268509563E-4</v>
      </c>
    </row>
    <row r="168" spans="1:15" x14ac:dyDescent="0.25">
      <c r="A168" s="1">
        <v>46266</v>
      </c>
      <c r="B168" s="6">
        <v>100.95</v>
      </c>
      <c r="C168" s="6">
        <v>112.39</v>
      </c>
      <c r="D168" s="13">
        <v>0.154807</v>
      </c>
      <c r="E168" s="13">
        <v>0.134461</v>
      </c>
      <c r="F168" s="13">
        <f>F167+D168</f>
        <v>1.0709869999999999</v>
      </c>
      <c r="G168" s="13">
        <f t="shared" si="10"/>
        <v>1.0154069999999999</v>
      </c>
      <c r="H168" s="13">
        <f>B168+F168</f>
        <v>102.02098700000001</v>
      </c>
      <c r="I168" s="13">
        <f>C168+G168</f>
        <v>113.405407</v>
      </c>
      <c r="J168" s="10">
        <f t="shared" si="11"/>
        <v>1.1115890008003941</v>
      </c>
      <c r="K168" s="10">
        <f t="shared" si="12"/>
        <v>1.1137809104098546</v>
      </c>
      <c r="L168" s="13">
        <f t="shared" si="13"/>
        <v>113.6231056646028</v>
      </c>
      <c r="M168" s="13">
        <f t="shared" si="14"/>
        <v>113.405407</v>
      </c>
      <c r="N168" s="13">
        <f>M168-L168</f>
        <v>-0.21769866460280696</v>
      </c>
      <c r="O168" s="2">
        <f>N168/L168</f>
        <v>-1.9159717852231439E-3</v>
      </c>
    </row>
    <row r="169" spans="1:15" x14ac:dyDescent="0.25">
      <c r="A169" s="1">
        <v>46267</v>
      </c>
      <c r="B169" s="6">
        <v>101.31</v>
      </c>
      <c r="C169" s="6">
        <v>112.82</v>
      </c>
      <c r="F169" s="13">
        <f>F168+D169</f>
        <v>1.0709869999999999</v>
      </c>
      <c r="G169" s="13">
        <f t="shared" si="10"/>
        <v>1.0154069999999999</v>
      </c>
      <c r="H169" s="13">
        <f>B169+F169</f>
        <v>102.380987</v>
      </c>
      <c r="I169" s="13">
        <f>C169+G169</f>
        <v>113.83540699999999</v>
      </c>
      <c r="J169" s="10">
        <f t="shared" si="11"/>
        <v>1.1118803435641813</v>
      </c>
      <c r="K169" s="10">
        <f t="shared" si="12"/>
        <v>1.1138100448419863</v>
      </c>
      <c r="L169" s="13">
        <f t="shared" si="13"/>
        <v>114.02998890951949</v>
      </c>
      <c r="M169" s="13">
        <f t="shared" si="14"/>
        <v>113.83540699999999</v>
      </c>
      <c r="N169" s="13">
        <f>M169-L169</f>
        <v>-0.19458190951949916</v>
      </c>
      <c r="O169" s="2">
        <f>N169/L169</f>
        <v>-1.7064099661878948E-3</v>
      </c>
    </row>
    <row r="170" spans="1:15" x14ac:dyDescent="0.25">
      <c r="A170" s="1">
        <v>46268</v>
      </c>
      <c r="B170" s="6">
        <v>102.46</v>
      </c>
      <c r="C170" s="6">
        <v>114.03</v>
      </c>
      <c r="F170" s="13">
        <f>F169+D170</f>
        <v>1.0709869999999999</v>
      </c>
      <c r="G170" s="13">
        <f t="shared" si="10"/>
        <v>1.0154069999999999</v>
      </c>
      <c r="H170" s="13">
        <f>B170+F170</f>
        <v>103.530987</v>
      </c>
      <c r="I170" s="13">
        <f>C170+G170</f>
        <v>115.045407</v>
      </c>
      <c r="J170" s="10">
        <f t="shared" si="11"/>
        <v>1.1112171373387951</v>
      </c>
      <c r="K170" s="10">
        <f t="shared" si="12"/>
        <v>1.1137662802286363</v>
      </c>
      <c r="L170" s="13">
        <f t="shared" si="13"/>
        <v>115.31385327300509</v>
      </c>
      <c r="M170" s="13">
        <f t="shared" si="14"/>
        <v>115.045407</v>
      </c>
      <c r="N170" s="13">
        <f>M170-L170</f>
        <v>-0.26844627300509671</v>
      </c>
      <c r="O170" s="2">
        <f>N170/L170</f>
        <v>-2.3279620391276944E-3</v>
      </c>
    </row>
    <row r="171" spans="1:15" x14ac:dyDescent="0.25">
      <c r="A171" s="1">
        <v>46269</v>
      </c>
      <c r="B171" s="6">
        <v>102.95</v>
      </c>
      <c r="C171" s="6">
        <v>114.78</v>
      </c>
      <c r="F171" s="13">
        <f>F170+D171</f>
        <v>1.0709869999999999</v>
      </c>
      <c r="G171" s="13">
        <f t="shared" si="10"/>
        <v>1.0154069999999999</v>
      </c>
      <c r="H171" s="13">
        <f>B171+F171</f>
        <v>104.02098700000001</v>
      </c>
      <c r="I171" s="13">
        <f>C171+G171</f>
        <v>115.795407</v>
      </c>
      <c r="J171" s="10">
        <f t="shared" si="11"/>
        <v>1.1131927348468631</v>
      </c>
      <c r="K171" s="10">
        <f t="shared" si="12"/>
        <v>1.113787819647714</v>
      </c>
      <c r="L171" s="13">
        <f t="shared" si="13"/>
        <v>115.85506775670135</v>
      </c>
      <c r="M171" s="13">
        <f t="shared" si="14"/>
        <v>115.795407</v>
      </c>
      <c r="N171" s="13">
        <f>M171-L171</f>
        <v>-5.966075670134785E-2</v>
      </c>
      <c r="O171" s="2">
        <f>N171/L171</f>
        <v>-5.1496026765645664E-4</v>
      </c>
    </row>
    <row r="172" spans="1:15" x14ac:dyDescent="0.25">
      <c r="A172" s="1">
        <v>46273</v>
      </c>
      <c r="B172" s="6">
        <v>104.13</v>
      </c>
      <c r="C172" s="6">
        <v>116.09</v>
      </c>
      <c r="F172" s="13">
        <f>F171+D172</f>
        <v>1.0709869999999999</v>
      </c>
      <c r="G172" s="13">
        <f t="shared" si="10"/>
        <v>1.0154069999999999</v>
      </c>
      <c r="H172" s="13">
        <f>B172+F172</f>
        <v>105.200987</v>
      </c>
      <c r="I172" s="13">
        <f>C172+G172</f>
        <v>117.105407</v>
      </c>
      <c r="J172" s="10">
        <f t="shared" si="11"/>
        <v>1.1131588242608408</v>
      </c>
      <c r="K172" s="10">
        <f t="shared" si="12"/>
        <v>1.1139472503440604</v>
      </c>
      <c r="L172" s="13">
        <f t="shared" si="13"/>
        <v>117.1715779355175</v>
      </c>
      <c r="M172" s="13">
        <f t="shared" si="14"/>
        <v>117.105407</v>
      </c>
      <c r="N172" s="13">
        <f>M172-L172</f>
        <v>-6.6170935517504859E-2</v>
      </c>
      <c r="O172" s="2">
        <f>N172/L172</f>
        <v>-5.647353793760498E-4</v>
      </c>
    </row>
    <row r="173" spans="1:15" x14ac:dyDescent="0.25">
      <c r="A173" s="1">
        <v>46274</v>
      </c>
      <c r="B173" s="6">
        <v>103.38</v>
      </c>
      <c r="C173" s="6">
        <v>115.56</v>
      </c>
      <c r="F173" s="13">
        <f>F172+D173</f>
        <v>1.0709869999999999</v>
      </c>
      <c r="G173" s="13">
        <f t="shared" si="10"/>
        <v>1.0154069999999999</v>
      </c>
      <c r="H173" s="13">
        <f>B173+F173</f>
        <v>104.450987</v>
      </c>
      <c r="I173" s="13">
        <f>C173+G173</f>
        <v>116.575407</v>
      </c>
      <c r="J173" s="10">
        <f t="shared" si="11"/>
        <v>1.1160776010666131</v>
      </c>
      <c r="K173" s="10">
        <f t="shared" si="12"/>
        <v>1.1141553786451044</v>
      </c>
      <c r="L173" s="13">
        <f t="shared" si="13"/>
        <v>116.35288976437319</v>
      </c>
      <c r="M173" s="13">
        <f t="shared" si="14"/>
        <v>116.575407</v>
      </c>
      <c r="N173" s="13">
        <f>M173-L173</f>
        <v>0.22251723562681036</v>
      </c>
      <c r="O173" s="2">
        <f>N173/L173</f>
        <v>1.9124341138190132E-3</v>
      </c>
    </row>
    <row r="174" spans="1:15" x14ac:dyDescent="0.25">
      <c r="A174" s="1">
        <v>46275</v>
      </c>
      <c r="B174" s="6">
        <v>101.98</v>
      </c>
      <c r="C174" s="6">
        <v>113.94</v>
      </c>
      <c r="F174" s="13">
        <f>F173+D174</f>
        <v>1.0709869999999999</v>
      </c>
      <c r="G174" s="13">
        <f t="shared" si="10"/>
        <v>1.0154069999999999</v>
      </c>
      <c r="H174" s="13">
        <f>B174+F174</f>
        <v>103.05098700000001</v>
      </c>
      <c r="I174" s="13">
        <f>C174+G174</f>
        <v>114.95540699999999</v>
      </c>
      <c r="J174" s="10">
        <f t="shared" si="11"/>
        <v>1.1155197087049733</v>
      </c>
      <c r="K174" s="10">
        <f t="shared" si="12"/>
        <v>1.1141434928046716</v>
      </c>
      <c r="L174" s="13">
        <f t="shared" si="13"/>
        <v>114.81481144073673</v>
      </c>
      <c r="M174" s="13">
        <f t="shared" si="14"/>
        <v>114.95540699999999</v>
      </c>
      <c r="N174" s="13">
        <f>M174-L174</f>
        <v>0.14059555926326084</v>
      </c>
      <c r="O174" s="2">
        <f>N174/L174</f>
        <v>1.224542003762565E-3</v>
      </c>
    </row>
    <row r="175" spans="1:15" x14ac:dyDescent="0.25">
      <c r="A175" s="1">
        <v>46276</v>
      </c>
      <c r="B175" s="6">
        <v>102.65</v>
      </c>
      <c r="C175" s="6">
        <v>114.16</v>
      </c>
      <c r="F175" s="13">
        <f>F174+D175</f>
        <v>1.0709869999999999</v>
      </c>
      <c r="G175" s="13">
        <f t="shared" si="10"/>
        <v>1.0154069999999999</v>
      </c>
      <c r="H175" s="13">
        <f>B175+F175</f>
        <v>103.72098700000001</v>
      </c>
      <c r="I175" s="13">
        <f>C175+G175</f>
        <v>115.17540699999999</v>
      </c>
      <c r="J175" s="10">
        <f t="shared" si="11"/>
        <v>1.1104349305893124</v>
      </c>
      <c r="K175" s="10">
        <f t="shared" si="12"/>
        <v>1.1140301310028495</v>
      </c>
      <c r="L175" s="13">
        <f t="shared" si="13"/>
        <v>115.56006273332795</v>
      </c>
      <c r="M175" s="13">
        <f t="shared" si="14"/>
        <v>115.17540699999999</v>
      </c>
      <c r="N175" s="13">
        <f>M175-L175</f>
        <v>-0.38465573332796055</v>
      </c>
      <c r="O175" s="2">
        <f>N175/L175</f>
        <v>-3.3286217074458579E-3</v>
      </c>
    </row>
  </sheetData>
  <conditionalFormatting sqref="O23:O175">
    <cfRule type="cellIs" dxfId="13" priority="3" operator="lessThan">
      <formula>$Q$3</formula>
    </cfRule>
    <cfRule type="cellIs" dxfId="12" priority="4" operator="greaterThan">
      <formula>$Q$4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B6E1-B0DF-49C1-A22F-A7C9055E16E6}">
  <dimension ref="A1:T175"/>
  <sheetViews>
    <sheetView workbookViewId="0">
      <selection activeCell="Q3" sqref="Q3:Q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4" width="13.140625" style="13" bestFit="1" customWidth="1"/>
    <col min="5" max="5" width="12.140625" style="13" bestFit="1" customWidth="1"/>
    <col min="6" max="6" width="13.140625" style="13" bestFit="1" customWidth="1"/>
    <col min="7" max="7" width="12.85546875" style="13" bestFit="1" customWidth="1"/>
    <col min="8" max="8" width="14.5703125" style="13" bestFit="1" customWidth="1"/>
    <col min="9" max="9" width="14.42578125" style="13" bestFit="1" customWidth="1"/>
    <col min="10" max="11" width="12" style="10" bestFit="1" customWidth="1"/>
    <col min="12" max="13" width="14.28515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5</v>
      </c>
      <c r="C1" s="5" t="s">
        <v>25</v>
      </c>
      <c r="D1" s="12" t="s">
        <v>85</v>
      </c>
      <c r="E1" s="12" t="s">
        <v>86</v>
      </c>
      <c r="F1" s="12" t="str">
        <f>_xlfn.CONCAT(D1," cum")</f>
        <v>BWX div cum</v>
      </c>
      <c r="G1" s="12" t="str">
        <f>_xlfn.CONCAT(E1," cum")</f>
        <v>IGOV div cum</v>
      </c>
      <c r="H1" s="12" t="str">
        <f>_xlfn.CONCAT(B1," + cum div")</f>
        <v>BWX + cum div</v>
      </c>
      <c r="I1" s="12" t="str">
        <f>_xlfn.CONCAT(C1," + cum div")</f>
        <v>IGOV + cum div</v>
      </c>
      <c r="J1" s="9" t="s">
        <v>73</v>
      </c>
      <c r="K1" s="9" t="s">
        <v>74</v>
      </c>
      <c r="L1" s="12" t="str">
        <f>_xlfn.CONCAT(B1,"*")</f>
        <v>BWX*</v>
      </c>
      <c r="M1" s="12" t="str">
        <f>_xlfn.CONCAT(C1,"*")</f>
        <v>IGOV*</v>
      </c>
      <c r="N1" s="12" t="str">
        <f>_xlfn.CONCAT(M1,"-",L1)</f>
        <v>IGOV*-BWX*</v>
      </c>
      <c r="O1" s="4" t="str">
        <f>_xlfn.CONCAT("diff/",L1)</f>
        <v>diff/BWX*</v>
      </c>
    </row>
    <row r="2" spans="1:20" x14ac:dyDescent="0.25">
      <c r="A2" s="1">
        <v>46024</v>
      </c>
      <c r="B2" s="6">
        <v>22.48</v>
      </c>
      <c r="C2" s="6">
        <v>41.6</v>
      </c>
      <c r="S2" s="16">
        <f>AVERAGE(K:K)</f>
        <v>1.8664327326616852</v>
      </c>
      <c r="T2" t="s">
        <v>92</v>
      </c>
    </row>
    <row r="3" spans="1:20" x14ac:dyDescent="0.25">
      <c r="A3" s="1">
        <v>46027</v>
      </c>
      <c r="B3" s="6">
        <v>22.52</v>
      </c>
      <c r="C3" s="6">
        <v>41.73</v>
      </c>
      <c r="F3" s="13">
        <f>F2+D3</f>
        <v>0</v>
      </c>
      <c r="G3" s="13">
        <f>G2+E3</f>
        <v>0</v>
      </c>
      <c r="H3" s="13">
        <f>B3+F3</f>
        <v>22.52</v>
      </c>
      <c r="I3" s="13">
        <f>C3+G3</f>
        <v>41.73</v>
      </c>
      <c r="J3" s="10">
        <f>I3/H3</f>
        <v>1.853019538188277</v>
      </c>
      <c r="Q3" s="11">
        <v>-2.5000000000000001E-3</v>
      </c>
    </row>
    <row r="4" spans="1:20" x14ac:dyDescent="0.25">
      <c r="A4" s="1">
        <v>46028</v>
      </c>
      <c r="B4" s="6">
        <v>22.48</v>
      </c>
      <c r="C4" s="6">
        <v>41.69</v>
      </c>
      <c r="F4" s="13">
        <f>F3+D4</f>
        <v>0</v>
      </c>
      <c r="G4" s="13">
        <f t="shared" ref="G4:G67" si="0">G3+E4</f>
        <v>0</v>
      </c>
      <c r="H4" s="13">
        <f>B4+F4</f>
        <v>22.48</v>
      </c>
      <c r="I4" s="13">
        <f>C4+G4</f>
        <v>41.69</v>
      </c>
      <c r="J4" s="10">
        <f t="shared" ref="J4:J67" si="1">I4/H4</f>
        <v>1.8545373665480425</v>
      </c>
      <c r="Q4" s="2">
        <v>2.5000000000000001E-3</v>
      </c>
      <c r="S4" s="14">
        <f>MAX(K:K)</f>
        <v>1.875169104831595</v>
      </c>
      <c r="T4" t="s">
        <v>89</v>
      </c>
    </row>
    <row r="5" spans="1:20" x14ac:dyDescent="0.25">
      <c r="A5" s="1">
        <v>46029</v>
      </c>
      <c r="B5" s="6">
        <v>22.49</v>
      </c>
      <c r="C5" s="6">
        <v>41.7</v>
      </c>
      <c r="F5" s="13">
        <f>F4+D5</f>
        <v>0</v>
      </c>
      <c r="G5" s="13">
        <f t="shared" si="0"/>
        <v>0</v>
      </c>
      <c r="H5" s="13">
        <f>B5+F5</f>
        <v>22.49</v>
      </c>
      <c r="I5" s="13">
        <f>C5+G5</f>
        <v>41.7</v>
      </c>
      <c r="J5" s="10">
        <f t="shared" si="1"/>
        <v>1.8541574032903516</v>
      </c>
      <c r="S5" s="15">
        <f>MIN(K:K)</f>
        <v>1.8589034606456125</v>
      </c>
      <c r="T5" t="s">
        <v>90</v>
      </c>
    </row>
    <row r="6" spans="1:20" x14ac:dyDescent="0.25">
      <c r="A6" s="1">
        <v>46030</v>
      </c>
      <c r="B6" s="6">
        <v>22.45</v>
      </c>
      <c r="C6" s="6">
        <v>41.57</v>
      </c>
      <c r="F6" s="13">
        <f>F5+D6</f>
        <v>0</v>
      </c>
      <c r="G6" s="13">
        <f t="shared" si="0"/>
        <v>0</v>
      </c>
      <c r="H6" s="13">
        <f>B6+F6</f>
        <v>22.45</v>
      </c>
      <c r="I6" s="13">
        <f>C6+G6</f>
        <v>41.57</v>
      </c>
      <c r="J6" s="10">
        <f t="shared" si="1"/>
        <v>1.8516703786191537</v>
      </c>
      <c r="S6" s="14">
        <f>S4-S5</f>
        <v>1.6265644185982531E-2</v>
      </c>
      <c r="T6" t="s">
        <v>91</v>
      </c>
    </row>
    <row r="7" spans="1:20" x14ac:dyDescent="0.25">
      <c r="A7" s="1">
        <v>46031</v>
      </c>
      <c r="B7" s="6">
        <v>22.39</v>
      </c>
      <c r="C7" s="6">
        <v>41.55</v>
      </c>
      <c r="F7" s="13">
        <f>F6+D7</f>
        <v>0</v>
      </c>
      <c r="G7" s="13">
        <f t="shared" si="0"/>
        <v>0</v>
      </c>
      <c r="H7" s="13">
        <f>B7+F7</f>
        <v>22.39</v>
      </c>
      <c r="I7" s="13">
        <f>C7+G7</f>
        <v>41.55</v>
      </c>
      <c r="J7" s="10">
        <f t="shared" si="1"/>
        <v>1.8557391692719962</v>
      </c>
    </row>
    <row r="8" spans="1:20" x14ac:dyDescent="0.25">
      <c r="A8" s="1">
        <v>46034</v>
      </c>
      <c r="B8" s="6">
        <v>22.44</v>
      </c>
      <c r="C8" s="6">
        <v>41.69</v>
      </c>
      <c r="F8" s="13">
        <f>F7+D8</f>
        <v>0</v>
      </c>
      <c r="G8" s="13">
        <f t="shared" si="0"/>
        <v>0</v>
      </c>
      <c r="H8" s="13">
        <f>B8+F8</f>
        <v>22.44</v>
      </c>
      <c r="I8" s="13">
        <f>C8+G8</f>
        <v>41.69</v>
      </c>
      <c r="J8" s="10">
        <f t="shared" si="1"/>
        <v>1.8578431372549018</v>
      </c>
    </row>
    <row r="9" spans="1:20" x14ac:dyDescent="0.25">
      <c r="A9" s="1">
        <v>46035</v>
      </c>
      <c r="B9" s="6">
        <v>22.33</v>
      </c>
      <c r="C9" s="6">
        <v>41.54</v>
      </c>
      <c r="F9" s="13">
        <f>F8+D9</f>
        <v>0</v>
      </c>
      <c r="G9" s="13">
        <f t="shared" si="0"/>
        <v>0</v>
      </c>
      <c r="H9" s="13">
        <f>B9+F9</f>
        <v>22.33</v>
      </c>
      <c r="I9" s="13">
        <f>C9+G9</f>
        <v>41.54</v>
      </c>
      <c r="J9" s="10">
        <f t="shared" si="1"/>
        <v>1.8602776533811018</v>
      </c>
    </row>
    <row r="10" spans="1:20" x14ac:dyDescent="0.25">
      <c r="A10" s="1">
        <v>46036</v>
      </c>
      <c r="B10" s="6">
        <v>22.4</v>
      </c>
      <c r="C10" s="6">
        <v>41.65</v>
      </c>
      <c r="F10" s="13">
        <f>F9+D10</f>
        <v>0</v>
      </c>
      <c r="G10" s="13">
        <f t="shared" si="0"/>
        <v>0</v>
      </c>
      <c r="H10" s="13">
        <f>B10+F10</f>
        <v>22.4</v>
      </c>
      <c r="I10" s="13">
        <f>C10+G10</f>
        <v>41.65</v>
      </c>
      <c r="J10" s="10">
        <f t="shared" si="1"/>
        <v>1.859375</v>
      </c>
    </row>
    <row r="11" spans="1:20" x14ac:dyDescent="0.25">
      <c r="A11" s="1">
        <v>46037</v>
      </c>
      <c r="B11" s="6">
        <v>22.32</v>
      </c>
      <c r="C11" s="6">
        <v>41.52</v>
      </c>
      <c r="F11" s="13">
        <f>F10+D11</f>
        <v>0</v>
      </c>
      <c r="G11" s="13">
        <f t="shared" si="0"/>
        <v>0</v>
      </c>
      <c r="H11" s="13">
        <f>B11+F11</f>
        <v>22.32</v>
      </c>
      <c r="I11" s="13">
        <f>C11+G11</f>
        <v>41.52</v>
      </c>
      <c r="J11" s="10">
        <f t="shared" si="1"/>
        <v>1.860215053763441</v>
      </c>
    </row>
    <row r="12" spans="1:20" x14ac:dyDescent="0.25">
      <c r="A12" s="1">
        <v>46038</v>
      </c>
      <c r="B12" s="6">
        <v>22.34</v>
      </c>
      <c r="C12" s="6">
        <v>41.51</v>
      </c>
      <c r="F12" s="13">
        <f>F11+D12</f>
        <v>0</v>
      </c>
      <c r="G12" s="13">
        <f t="shared" si="0"/>
        <v>0</v>
      </c>
      <c r="H12" s="13">
        <f>B12+F12</f>
        <v>22.34</v>
      </c>
      <c r="I12" s="13">
        <f>C12+G12</f>
        <v>41.51</v>
      </c>
      <c r="J12" s="10">
        <f t="shared" si="1"/>
        <v>1.8581020590868396</v>
      </c>
    </row>
    <row r="13" spans="1:20" x14ac:dyDescent="0.25">
      <c r="A13" s="1">
        <v>46042</v>
      </c>
      <c r="B13" s="6">
        <v>22.33</v>
      </c>
      <c r="C13" s="6">
        <v>41.64</v>
      </c>
      <c r="F13" s="13">
        <f>F12+D13</f>
        <v>0</v>
      </c>
      <c r="G13" s="13">
        <f t="shared" si="0"/>
        <v>0</v>
      </c>
      <c r="H13" s="13">
        <f>B13+F13</f>
        <v>22.33</v>
      </c>
      <c r="I13" s="13">
        <f>C13+G13</f>
        <v>41.64</v>
      </c>
      <c r="J13" s="10">
        <f t="shared" si="1"/>
        <v>1.8647559337214512</v>
      </c>
    </row>
    <row r="14" spans="1:20" x14ac:dyDescent="0.25">
      <c r="A14" s="1">
        <v>46043</v>
      </c>
      <c r="B14" s="6">
        <v>22.32</v>
      </c>
      <c r="C14" s="6">
        <v>41.63</v>
      </c>
      <c r="F14" s="13">
        <f>F13+D14</f>
        <v>0</v>
      </c>
      <c r="G14" s="13">
        <f t="shared" si="0"/>
        <v>0</v>
      </c>
      <c r="H14" s="13">
        <f>B14+F14</f>
        <v>22.32</v>
      </c>
      <c r="I14" s="13">
        <f>C14+G14</f>
        <v>41.63</v>
      </c>
      <c r="J14" s="10">
        <f t="shared" si="1"/>
        <v>1.8651433691756274</v>
      </c>
    </row>
    <row r="15" spans="1:20" x14ac:dyDescent="0.25">
      <c r="A15" s="1">
        <v>46044</v>
      </c>
      <c r="B15" s="6">
        <v>22.46</v>
      </c>
      <c r="C15" s="6">
        <v>41.86</v>
      </c>
      <c r="F15" s="13">
        <f>F14+D15</f>
        <v>0</v>
      </c>
      <c r="G15" s="13">
        <f t="shared" si="0"/>
        <v>0</v>
      </c>
      <c r="H15" s="13">
        <f>B15+F15</f>
        <v>22.46</v>
      </c>
      <c r="I15" s="13">
        <f>C15+G15</f>
        <v>41.86</v>
      </c>
      <c r="J15" s="10">
        <f t="shared" si="1"/>
        <v>1.8637577916295636</v>
      </c>
    </row>
    <row r="16" spans="1:20" x14ac:dyDescent="0.25">
      <c r="A16" s="1">
        <v>46045</v>
      </c>
      <c r="B16" s="6">
        <v>22.64</v>
      </c>
      <c r="C16" s="6">
        <v>42.14</v>
      </c>
      <c r="F16" s="13">
        <f>F15+D16</f>
        <v>0</v>
      </c>
      <c r="G16" s="13">
        <f t="shared" si="0"/>
        <v>0</v>
      </c>
      <c r="H16" s="13">
        <f>B16+F16</f>
        <v>22.64</v>
      </c>
      <c r="I16" s="13">
        <f>C16+G16</f>
        <v>42.14</v>
      </c>
      <c r="J16" s="10">
        <f t="shared" si="1"/>
        <v>1.8613074204946995</v>
      </c>
    </row>
    <row r="17" spans="1:15" x14ac:dyDescent="0.25">
      <c r="A17" s="1">
        <v>46048</v>
      </c>
      <c r="B17" s="6">
        <v>22.81</v>
      </c>
      <c r="C17" s="6">
        <v>42.41</v>
      </c>
      <c r="F17" s="13">
        <f>F16+D17</f>
        <v>0</v>
      </c>
      <c r="G17" s="13">
        <f t="shared" si="0"/>
        <v>0</v>
      </c>
      <c r="H17" s="13">
        <f>B17+F17</f>
        <v>22.81</v>
      </c>
      <c r="I17" s="13">
        <f>C17+G17</f>
        <v>42.41</v>
      </c>
      <c r="J17" s="10">
        <f t="shared" si="1"/>
        <v>1.8592722490135905</v>
      </c>
    </row>
    <row r="18" spans="1:15" x14ac:dyDescent="0.25">
      <c r="A18" s="1">
        <v>46049</v>
      </c>
      <c r="B18" s="6">
        <v>23.04</v>
      </c>
      <c r="C18" s="6">
        <v>42.91</v>
      </c>
      <c r="F18" s="13">
        <f>F17+D18</f>
        <v>0</v>
      </c>
      <c r="G18" s="13">
        <f t="shared" si="0"/>
        <v>0</v>
      </c>
      <c r="H18" s="13">
        <f>B18+F18</f>
        <v>23.04</v>
      </c>
      <c r="I18" s="13">
        <f>C18+G18</f>
        <v>42.91</v>
      </c>
      <c r="J18" s="10">
        <f t="shared" si="1"/>
        <v>1.8624131944444444</v>
      </c>
    </row>
    <row r="19" spans="1:15" x14ac:dyDescent="0.25">
      <c r="A19" s="1">
        <v>46050</v>
      </c>
      <c r="B19" s="6">
        <v>22.99</v>
      </c>
      <c r="C19" s="6">
        <v>42.73</v>
      </c>
      <c r="F19" s="13">
        <f>F18+D19</f>
        <v>0</v>
      </c>
      <c r="G19" s="13">
        <f t="shared" si="0"/>
        <v>0</v>
      </c>
      <c r="H19" s="13">
        <f>B19+F19</f>
        <v>22.99</v>
      </c>
      <c r="I19" s="13">
        <f>C19+G19</f>
        <v>42.73</v>
      </c>
      <c r="J19" s="10">
        <f t="shared" si="1"/>
        <v>1.8586341887777293</v>
      </c>
    </row>
    <row r="20" spans="1:15" x14ac:dyDescent="0.25">
      <c r="A20" s="1">
        <v>46051</v>
      </c>
      <c r="B20" s="6">
        <v>22.99</v>
      </c>
      <c r="C20" s="6">
        <v>42.84</v>
      </c>
      <c r="F20" s="13">
        <f>F19+D20</f>
        <v>0</v>
      </c>
      <c r="G20" s="13">
        <f t="shared" si="0"/>
        <v>0</v>
      </c>
      <c r="H20" s="13">
        <f>B20+F20</f>
        <v>22.99</v>
      </c>
      <c r="I20" s="13">
        <f>C20+G20</f>
        <v>42.84</v>
      </c>
      <c r="J20" s="10">
        <f t="shared" si="1"/>
        <v>1.863418877772945</v>
      </c>
    </row>
    <row r="21" spans="1:15" x14ac:dyDescent="0.25">
      <c r="A21" s="1">
        <v>46052</v>
      </c>
      <c r="B21" s="6">
        <v>22.84</v>
      </c>
      <c r="C21" s="6">
        <v>42.41</v>
      </c>
      <c r="F21" s="13">
        <f>F20+D21</f>
        <v>0</v>
      </c>
      <c r="G21" s="13">
        <f t="shared" si="0"/>
        <v>0</v>
      </c>
      <c r="H21" s="13">
        <f>B21+F21</f>
        <v>22.84</v>
      </c>
      <c r="I21" s="13">
        <f>C21+G21</f>
        <v>42.41</v>
      </c>
      <c r="J21" s="10">
        <f t="shared" si="1"/>
        <v>1.8568301225919439</v>
      </c>
    </row>
    <row r="22" spans="1:15" x14ac:dyDescent="0.25">
      <c r="A22" s="1">
        <v>46055</v>
      </c>
      <c r="B22" s="6">
        <v>22.69</v>
      </c>
      <c r="C22" s="6">
        <v>42.22</v>
      </c>
      <c r="D22" s="13">
        <v>3.8260000000000002E-2</v>
      </c>
      <c r="E22" s="13">
        <v>0</v>
      </c>
      <c r="F22" s="13">
        <f>F21+D22</f>
        <v>3.8260000000000002E-2</v>
      </c>
      <c r="G22" s="13">
        <f t="shared" si="0"/>
        <v>0</v>
      </c>
      <c r="H22" s="13">
        <f>B22+F22</f>
        <v>22.728260000000002</v>
      </c>
      <c r="I22" s="13">
        <f>C22+G22</f>
        <v>42.22</v>
      </c>
      <c r="J22" s="10">
        <f t="shared" si="1"/>
        <v>1.857599305886152</v>
      </c>
      <c r="K22" s="10">
        <f>AVERAGE(J3:J22)</f>
        <v>1.8589034606456125</v>
      </c>
    </row>
    <row r="23" spans="1:15" x14ac:dyDescent="0.25">
      <c r="A23" s="1">
        <v>46056</v>
      </c>
      <c r="B23" s="6">
        <v>22.7</v>
      </c>
      <c r="C23" s="6">
        <v>42.38</v>
      </c>
      <c r="F23" s="13">
        <f>F22+D23</f>
        <v>3.8260000000000002E-2</v>
      </c>
      <c r="G23" s="13">
        <f t="shared" si="0"/>
        <v>0</v>
      </c>
      <c r="H23" s="13">
        <f>B23+F23</f>
        <v>22.73826</v>
      </c>
      <c r="I23" s="13">
        <f>C23+G23</f>
        <v>42.38</v>
      </c>
      <c r="J23" s="10">
        <f t="shared" si="1"/>
        <v>1.8638189553642188</v>
      </c>
      <c r="K23" s="10">
        <f t="shared" ref="K23:K86" si="2">AVERAGE(J4:J23)</f>
        <v>1.8594434315044093</v>
      </c>
      <c r="L23" s="13">
        <f>K22*H23</f>
        <v>42.268230203059709</v>
      </c>
      <c r="M23" s="13">
        <f>I23</f>
        <v>42.38</v>
      </c>
      <c r="N23" s="13">
        <f>M23-L23</f>
        <v>0.11176979694029399</v>
      </c>
      <c r="O23" s="2">
        <f>N23/L23</f>
        <v>2.6442980082994629E-3</v>
      </c>
    </row>
    <row r="24" spans="1:15" x14ac:dyDescent="0.25">
      <c r="A24" s="1">
        <v>46057</v>
      </c>
      <c r="B24" s="6">
        <v>22.64</v>
      </c>
      <c r="C24" s="6">
        <v>42.27</v>
      </c>
      <c r="F24" s="13">
        <f>F23+D24</f>
        <v>3.8260000000000002E-2</v>
      </c>
      <c r="G24" s="13">
        <f t="shared" si="0"/>
        <v>0</v>
      </c>
      <c r="H24" s="13">
        <f>B24+F24</f>
        <v>22.678260000000002</v>
      </c>
      <c r="I24" s="13">
        <f>C24+G24</f>
        <v>42.27</v>
      </c>
      <c r="J24" s="10">
        <f t="shared" si="1"/>
        <v>1.8638996113458439</v>
      </c>
      <c r="K24" s="10">
        <f t="shared" si="2"/>
        <v>1.8599115437442992</v>
      </c>
      <c r="L24" s="13">
        <f t="shared" ref="L24:L87" si="3">K23*H24</f>
        <v>42.168941594949189</v>
      </c>
      <c r="M24" s="13">
        <f t="shared" ref="M24:M87" si="4">I24</f>
        <v>42.27</v>
      </c>
      <c r="N24" s="13">
        <f>M24-L24</f>
        <v>0.10105840505081432</v>
      </c>
      <c r="O24" s="2">
        <f>N24/L24</f>
        <v>2.3965127230729131E-3</v>
      </c>
    </row>
    <row r="25" spans="1:15" x14ac:dyDescent="0.25">
      <c r="A25" s="1">
        <v>46058</v>
      </c>
      <c r="B25" s="6">
        <v>22.64</v>
      </c>
      <c r="C25" s="6">
        <v>42.18</v>
      </c>
      <c r="F25" s="13">
        <f>F24+D25</f>
        <v>3.8260000000000002E-2</v>
      </c>
      <c r="G25" s="13">
        <f t="shared" si="0"/>
        <v>0</v>
      </c>
      <c r="H25" s="13">
        <f>B25+F25</f>
        <v>22.678260000000002</v>
      </c>
      <c r="I25" s="13">
        <f>C25+G25</f>
        <v>42.18</v>
      </c>
      <c r="J25" s="10">
        <f t="shared" si="1"/>
        <v>1.8599310529114665</v>
      </c>
      <c r="K25" s="10">
        <f t="shared" si="2"/>
        <v>1.860200226225355</v>
      </c>
      <c r="L25" s="13">
        <f t="shared" si="3"/>
        <v>42.179557566034596</v>
      </c>
      <c r="M25" s="13">
        <f t="shared" si="4"/>
        <v>42.18</v>
      </c>
      <c r="N25" s="13">
        <f>M25-L25</f>
        <v>4.4243396540366575E-4</v>
      </c>
      <c r="O25" s="2">
        <f>N25/L25</f>
        <v>1.0489298393208823E-5</v>
      </c>
    </row>
    <row r="26" spans="1:15" x14ac:dyDescent="0.25">
      <c r="A26" s="1">
        <v>46059</v>
      </c>
      <c r="B26" s="6">
        <v>22.68</v>
      </c>
      <c r="C26" s="6">
        <v>42.36</v>
      </c>
      <c r="F26" s="13">
        <f>F25+D26</f>
        <v>3.8260000000000002E-2</v>
      </c>
      <c r="G26" s="13">
        <f t="shared" si="0"/>
        <v>0</v>
      </c>
      <c r="H26" s="13">
        <f>B26+F26</f>
        <v>22.718260000000001</v>
      </c>
      <c r="I26" s="13">
        <f>C26+G26</f>
        <v>42.36</v>
      </c>
      <c r="J26" s="10">
        <f t="shared" si="1"/>
        <v>1.8645794176138488</v>
      </c>
      <c r="K26" s="10">
        <f t="shared" si="2"/>
        <v>1.8608456781750899</v>
      </c>
      <c r="L26" s="13">
        <f t="shared" si="3"/>
        <v>42.260512391446433</v>
      </c>
      <c r="M26" s="13">
        <f t="shared" si="4"/>
        <v>42.36</v>
      </c>
      <c r="N26" s="13">
        <f>M26-L26</f>
        <v>9.9487608553566531E-2</v>
      </c>
      <c r="O26" s="2">
        <f>N26/L26</f>
        <v>2.3541505515134956E-3</v>
      </c>
    </row>
    <row r="27" spans="1:15" x14ac:dyDescent="0.25">
      <c r="A27" s="1">
        <v>46062</v>
      </c>
      <c r="B27" s="6">
        <v>22.83</v>
      </c>
      <c r="C27" s="6">
        <v>42.7</v>
      </c>
      <c r="F27" s="13">
        <f>F26+D27</f>
        <v>3.8260000000000002E-2</v>
      </c>
      <c r="G27" s="13">
        <f t="shared" si="0"/>
        <v>0</v>
      </c>
      <c r="H27" s="13">
        <f>B27+F27</f>
        <v>22.868259999999999</v>
      </c>
      <c r="I27" s="13">
        <f>C27+G27</f>
        <v>42.7</v>
      </c>
      <c r="J27" s="10">
        <f t="shared" si="1"/>
        <v>1.8672168324131353</v>
      </c>
      <c r="K27" s="10">
        <f t="shared" si="2"/>
        <v>1.8614195613321467</v>
      </c>
      <c r="L27" s="13">
        <f t="shared" si="3"/>
        <v>42.554302788384284</v>
      </c>
      <c r="M27" s="13">
        <f t="shared" si="4"/>
        <v>42.7</v>
      </c>
      <c r="N27" s="13">
        <f>M27-L27</f>
        <v>0.14569721161571891</v>
      </c>
      <c r="O27" s="2">
        <f>N27/L27</f>
        <v>3.42379505875699E-3</v>
      </c>
    </row>
    <row r="28" spans="1:15" x14ac:dyDescent="0.25">
      <c r="A28" s="1">
        <v>46063</v>
      </c>
      <c r="B28" s="6">
        <v>22.93</v>
      </c>
      <c r="C28" s="6">
        <v>42.79</v>
      </c>
      <c r="F28" s="13">
        <f>F27+D28</f>
        <v>3.8260000000000002E-2</v>
      </c>
      <c r="G28" s="13">
        <f t="shared" si="0"/>
        <v>0</v>
      </c>
      <c r="H28" s="13">
        <f>B28+F28</f>
        <v>22.968260000000001</v>
      </c>
      <c r="I28" s="13">
        <f>C28+G28</f>
        <v>42.79</v>
      </c>
      <c r="J28" s="10">
        <f t="shared" si="1"/>
        <v>1.8630057305168088</v>
      </c>
      <c r="K28" s="10">
        <f t="shared" si="2"/>
        <v>1.8616776909952424</v>
      </c>
      <c r="L28" s="13">
        <f t="shared" si="3"/>
        <v>42.753568453762696</v>
      </c>
      <c r="M28" s="13">
        <f t="shared" si="4"/>
        <v>42.79</v>
      </c>
      <c r="N28" s="13">
        <f>M28-L28</f>
        <v>3.6431546237302825E-2</v>
      </c>
      <c r="O28" s="2">
        <f>N28/L28</f>
        <v>8.5212878257642896E-4</v>
      </c>
    </row>
    <row r="29" spans="1:15" x14ac:dyDescent="0.25">
      <c r="A29" s="1">
        <v>46064</v>
      </c>
      <c r="B29" s="6">
        <v>22.97</v>
      </c>
      <c r="C29" s="6">
        <v>42.86</v>
      </c>
      <c r="F29" s="13">
        <f>F28+D29</f>
        <v>3.8260000000000002E-2</v>
      </c>
      <c r="G29" s="13">
        <f t="shared" si="0"/>
        <v>0</v>
      </c>
      <c r="H29" s="13">
        <f>B29+F29</f>
        <v>23.00826</v>
      </c>
      <c r="I29" s="13">
        <f>C29+G29</f>
        <v>42.86</v>
      </c>
      <c r="J29" s="10">
        <f t="shared" si="1"/>
        <v>1.8628092693667404</v>
      </c>
      <c r="K29" s="10">
        <f t="shared" si="2"/>
        <v>1.8618042717945247</v>
      </c>
      <c r="L29" s="13">
        <f t="shared" si="3"/>
        <v>42.833964350618196</v>
      </c>
      <c r="M29" s="13">
        <f t="shared" si="4"/>
        <v>42.86</v>
      </c>
      <c r="N29" s="13">
        <f>M29-L29</f>
        <v>2.6035649381803694E-2</v>
      </c>
      <c r="O29" s="2">
        <f>N29/L29</f>
        <v>6.0782721787524521E-4</v>
      </c>
    </row>
    <row r="30" spans="1:15" x14ac:dyDescent="0.25">
      <c r="A30" s="1">
        <v>46065</v>
      </c>
      <c r="B30" s="6">
        <v>23.04</v>
      </c>
      <c r="C30" s="6">
        <v>42.88</v>
      </c>
      <c r="F30" s="13">
        <f>F29+D30</f>
        <v>3.8260000000000002E-2</v>
      </c>
      <c r="G30" s="13">
        <f t="shared" si="0"/>
        <v>0</v>
      </c>
      <c r="H30" s="13">
        <f>B30+F30</f>
        <v>23.07826</v>
      </c>
      <c r="I30" s="13">
        <f>C30+G30</f>
        <v>42.88</v>
      </c>
      <c r="J30" s="10">
        <f t="shared" si="1"/>
        <v>1.8580256917115936</v>
      </c>
      <c r="K30" s="10">
        <f t="shared" si="2"/>
        <v>1.8617368063801045</v>
      </c>
      <c r="L30" s="13">
        <f t="shared" si="3"/>
        <v>42.967203053584704</v>
      </c>
      <c r="M30" s="13">
        <f t="shared" si="4"/>
        <v>42.88</v>
      </c>
      <c r="N30" s="13">
        <f>M30-L30</f>
        <v>-8.7203053584701706E-2</v>
      </c>
      <c r="O30" s="2">
        <f>N30/L30</f>
        <v>-2.0295259497331059E-3</v>
      </c>
    </row>
    <row r="31" spans="1:15" x14ac:dyDescent="0.25">
      <c r="A31" s="1">
        <v>46066</v>
      </c>
      <c r="B31" s="6">
        <v>23.08</v>
      </c>
      <c r="C31" s="6">
        <v>42.94</v>
      </c>
      <c r="F31" s="13">
        <f>F30+D31</f>
        <v>3.8260000000000002E-2</v>
      </c>
      <c r="G31" s="13">
        <f t="shared" si="0"/>
        <v>0</v>
      </c>
      <c r="H31" s="13">
        <f>B31+F31</f>
        <v>23.118259999999999</v>
      </c>
      <c r="I31" s="13">
        <f>C31+G31</f>
        <v>42.94</v>
      </c>
      <c r="J31" s="10">
        <f t="shared" si="1"/>
        <v>1.8574062234787565</v>
      </c>
      <c r="K31" s="10">
        <f t="shared" si="2"/>
        <v>1.86159636486587</v>
      </c>
      <c r="L31" s="13">
        <f t="shared" si="3"/>
        <v>43.040115541464914</v>
      </c>
      <c r="M31" s="13">
        <f t="shared" si="4"/>
        <v>42.94</v>
      </c>
      <c r="N31" s="13">
        <f>M31-L31</f>
        <v>-0.10011554146491619</v>
      </c>
      <c r="O31" s="2">
        <f>N31/L31</f>
        <v>-2.3260983434968876E-3</v>
      </c>
    </row>
    <row r="32" spans="1:15" x14ac:dyDescent="0.25">
      <c r="A32" s="1">
        <v>46070</v>
      </c>
      <c r="B32" s="6">
        <v>23.07</v>
      </c>
      <c r="C32" s="6">
        <v>42.97</v>
      </c>
      <c r="F32" s="13">
        <f>F31+D32</f>
        <v>3.8260000000000002E-2</v>
      </c>
      <c r="G32" s="13">
        <f t="shared" si="0"/>
        <v>0</v>
      </c>
      <c r="H32" s="13">
        <f>B32+F32</f>
        <v>23.108260000000001</v>
      </c>
      <c r="I32" s="13">
        <f>C32+G32</f>
        <v>42.97</v>
      </c>
      <c r="J32" s="10">
        <f t="shared" si="1"/>
        <v>1.8595082451036986</v>
      </c>
      <c r="K32" s="10">
        <f t="shared" si="2"/>
        <v>1.8616666741667127</v>
      </c>
      <c r="L32" s="13">
        <f t="shared" si="3"/>
        <v>43.018252814375394</v>
      </c>
      <c r="M32" s="13">
        <f t="shared" si="4"/>
        <v>42.97</v>
      </c>
      <c r="N32" s="13">
        <f>M32-L32</f>
        <v>-4.8252814375395303E-2</v>
      </c>
      <c r="O32" s="2">
        <f>N32/L32</f>
        <v>-1.1216823375790538E-3</v>
      </c>
    </row>
    <row r="33" spans="1:15" x14ac:dyDescent="0.25">
      <c r="A33" s="1">
        <v>46071</v>
      </c>
      <c r="B33" s="6">
        <v>22.93</v>
      </c>
      <c r="C33" s="6">
        <v>42.67</v>
      </c>
      <c r="F33" s="13">
        <f>F32+D33</f>
        <v>3.8260000000000002E-2</v>
      </c>
      <c r="G33" s="13">
        <f t="shared" si="0"/>
        <v>0</v>
      </c>
      <c r="H33" s="13">
        <f>B33+F33</f>
        <v>22.968260000000001</v>
      </c>
      <c r="I33" s="13">
        <f>C33+G33</f>
        <v>42.67</v>
      </c>
      <c r="J33" s="10">
        <f t="shared" si="1"/>
        <v>1.8577811292627304</v>
      </c>
      <c r="K33" s="10">
        <f t="shared" si="2"/>
        <v>1.8613179339437766</v>
      </c>
      <c r="L33" s="13">
        <f t="shared" si="3"/>
        <v>42.759244205596346</v>
      </c>
      <c r="M33" s="13">
        <f t="shared" si="4"/>
        <v>42.67</v>
      </c>
      <c r="N33" s="13">
        <f>M33-L33</f>
        <v>-8.9244205596344273E-2</v>
      </c>
      <c r="O33" s="2">
        <f>N33/L33</f>
        <v>-2.0871324377773719E-3</v>
      </c>
    </row>
    <row r="34" spans="1:15" x14ac:dyDescent="0.25">
      <c r="A34" s="1">
        <v>46072</v>
      </c>
      <c r="B34" s="6">
        <v>22.92</v>
      </c>
      <c r="C34" s="6">
        <v>42.67</v>
      </c>
      <c r="F34" s="13">
        <f>F33+D34</f>
        <v>3.8260000000000002E-2</v>
      </c>
      <c r="G34" s="13">
        <f t="shared" si="0"/>
        <v>0</v>
      </c>
      <c r="H34" s="13">
        <f>B34+F34</f>
        <v>22.958260000000003</v>
      </c>
      <c r="I34" s="13">
        <f>C34+G34</f>
        <v>42.67</v>
      </c>
      <c r="J34" s="10">
        <f t="shared" si="1"/>
        <v>1.8585903287095797</v>
      </c>
      <c r="K34" s="10">
        <f t="shared" si="2"/>
        <v>1.8609902819204744</v>
      </c>
      <c r="L34" s="13">
        <f t="shared" si="3"/>
        <v>42.732621070144056</v>
      </c>
      <c r="M34" s="13">
        <f t="shared" si="4"/>
        <v>42.67</v>
      </c>
      <c r="N34" s="13">
        <f>M34-L34</f>
        <v>-6.2621070144054158E-2</v>
      </c>
      <c r="O34" s="2">
        <f>N34/L34</f>
        <v>-1.465416082043363E-3</v>
      </c>
    </row>
    <row r="35" spans="1:15" x14ac:dyDescent="0.25">
      <c r="A35" s="1">
        <v>46073</v>
      </c>
      <c r="B35" s="6">
        <v>22.93</v>
      </c>
      <c r="C35" s="6">
        <v>42.77</v>
      </c>
      <c r="F35" s="13">
        <f>F34+D35</f>
        <v>3.8260000000000002E-2</v>
      </c>
      <c r="G35" s="13">
        <f t="shared" si="0"/>
        <v>0</v>
      </c>
      <c r="H35" s="13">
        <f>B35+F35</f>
        <v>22.968260000000001</v>
      </c>
      <c r="I35" s="13">
        <f>C35+G35</f>
        <v>42.77</v>
      </c>
      <c r="J35" s="10">
        <f t="shared" si="1"/>
        <v>1.8621349636411291</v>
      </c>
      <c r="K35" s="10">
        <f t="shared" si="2"/>
        <v>1.8609091405210532</v>
      </c>
      <c r="L35" s="13">
        <f t="shared" si="3"/>
        <v>42.743708652622757</v>
      </c>
      <c r="M35" s="13">
        <f t="shared" si="4"/>
        <v>42.77</v>
      </c>
      <c r="N35" s="13">
        <f>M35-L35</f>
        <v>2.62913473772457E-2</v>
      </c>
      <c r="O35" s="2">
        <f>N35/L35</f>
        <v>6.150927985897279E-4</v>
      </c>
    </row>
    <row r="36" spans="1:15" x14ac:dyDescent="0.25">
      <c r="A36" s="1">
        <v>46076</v>
      </c>
      <c r="B36" s="6">
        <v>23.05</v>
      </c>
      <c r="C36" s="6">
        <v>42.82</v>
      </c>
      <c r="F36" s="13">
        <f>F35+D36</f>
        <v>3.8260000000000002E-2</v>
      </c>
      <c r="G36" s="13">
        <f t="shared" si="0"/>
        <v>0</v>
      </c>
      <c r="H36" s="13">
        <f>B36+F36</f>
        <v>23.088260000000002</v>
      </c>
      <c r="I36" s="13">
        <f>C36+G36</f>
        <v>42.82</v>
      </c>
      <c r="J36" s="10">
        <f t="shared" si="1"/>
        <v>1.8546222192577526</v>
      </c>
      <c r="K36" s="10">
        <f t="shared" si="2"/>
        <v>1.8605748804592053</v>
      </c>
      <c r="L36" s="13">
        <f t="shared" si="3"/>
        <v>42.965154072726612</v>
      </c>
      <c r="M36" s="13">
        <f t="shared" si="4"/>
        <v>42.82</v>
      </c>
      <c r="N36" s="13">
        <f>M36-L36</f>
        <v>-0.14515407272661207</v>
      </c>
      <c r="O36" s="2">
        <f>N36/L36</f>
        <v>-3.378413876531467E-3</v>
      </c>
    </row>
    <row r="37" spans="1:15" x14ac:dyDescent="0.25">
      <c r="A37" s="1">
        <v>46077</v>
      </c>
      <c r="B37" s="6">
        <v>22.99</v>
      </c>
      <c r="C37" s="6">
        <v>42.74</v>
      </c>
      <c r="F37" s="13">
        <f>F36+D37</f>
        <v>3.8260000000000002E-2</v>
      </c>
      <c r="G37" s="13">
        <f t="shared" si="0"/>
        <v>0</v>
      </c>
      <c r="H37" s="13">
        <f>B37+F37</f>
        <v>23.02826</v>
      </c>
      <c r="I37" s="13">
        <f>C37+G37</f>
        <v>42.74</v>
      </c>
      <c r="J37" s="10">
        <f t="shared" si="1"/>
        <v>1.8559804344748585</v>
      </c>
      <c r="K37" s="10">
        <f t="shared" si="2"/>
        <v>1.8604102897322687</v>
      </c>
      <c r="L37" s="13">
        <f t="shared" si="3"/>
        <v>42.845802096683499</v>
      </c>
      <c r="M37" s="13">
        <f t="shared" si="4"/>
        <v>42.74</v>
      </c>
      <c r="N37" s="13">
        <f>M37-L37</f>
        <v>-0.10580209668349738</v>
      </c>
      <c r="O37" s="2">
        <f>N37/L37</f>
        <v>-2.4693690281430637E-3</v>
      </c>
    </row>
    <row r="38" spans="1:15" x14ac:dyDescent="0.25">
      <c r="A38" s="1">
        <v>46078</v>
      </c>
      <c r="B38" s="6">
        <v>22.98</v>
      </c>
      <c r="C38" s="6">
        <v>42.81</v>
      </c>
      <c r="F38" s="13">
        <f>F37+D38</f>
        <v>3.8260000000000002E-2</v>
      </c>
      <c r="G38" s="13">
        <f t="shared" si="0"/>
        <v>0</v>
      </c>
      <c r="H38" s="13">
        <f>B38+F38</f>
        <v>23.018260000000001</v>
      </c>
      <c r="I38" s="13">
        <f>C38+G38</f>
        <v>42.81</v>
      </c>
      <c r="J38" s="10">
        <f t="shared" si="1"/>
        <v>1.8598278062720639</v>
      </c>
      <c r="K38" s="10">
        <f t="shared" si="2"/>
        <v>1.8602810203236495</v>
      </c>
      <c r="L38" s="13">
        <f t="shared" si="3"/>
        <v>42.823407755732696</v>
      </c>
      <c r="M38" s="13">
        <f t="shared" si="4"/>
        <v>42.81</v>
      </c>
      <c r="N38" s="13">
        <f>M38-L38</f>
        <v>-1.3407755732693261E-2</v>
      </c>
      <c r="O38" s="2">
        <f>N38/L38</f>
        <v>-3.1309408651389699E-4</v>
      </c>
    </row>
    <row r="39" spans="1:15" x14ac:dyDescent="0.25">
      <c r="A39" s="1">
        <v>46079</v>
      </c>
      <c r="B39" s="6">
        <v>23.03</v>
      </c>
      <c r="C39" s="6">
        <v>42.86</v>
      </c>
      <c r="F39" s="13">
        <f>F38+D39</f>
        <v>3.8260000000000002E-2</v>
      </c>
      <c r="G39" s="13">
        <f t="shared" si="0"/>
        <v>0</v>
      </c>
      <c r="H39" s="13">
        <f>B39+F39</f>
        <v>23.068260000000002</v>
      </c>
      <c r="I39" s="13">
        <f>C39+G39</f>
        <v>42.86</v>
      </c>
      <c r="J39" s="10">
        <f t="shared" si="1"/>
        <v>1.8579641464072278</v>
      </c>
      <c r="K39" s="10">
        <f t="shared" si="2"/>
        <v>1.8602475182051244</v>
      </c>
      <c r="L39" s="13">
        <f t="shared" si="3"/>
        <v>42.913446249891237</v>
      </c>
      <c r="M39" s="13">
        <f t="shared" si="4"/>
        <v>42.86</v>
      </c>
      <c r="N39" s="13">
        <f>M39-L39</f>
        <v>-5.3446249891237585E-2</v>
      </c>
      <c r="O39" s="2">
        <f>N39/L39</f>
        <v>-1.245442968621357E-3</v>
      </c>
    </row>
    <row r="40" spans="1:15" x14ac:dyDescent="0.25">
      <c r="A40" s="1">
        <v>46080</v>
      </c>
      <c r="B40" s="6">
        <v>23.03</v>
      </c>
      <c r="C40" s="6">
        <v>42.99</v>
      </c>
      <c r="F40" s="13">
        <f>F39+D40</f>
        <v>3.8260000000000002E-2</v>
      </c>
      <c r="G40" s="13">
        <f t="shared" si="0"/>
        <v>0</v>
      </c>
      <c r="H40" s="13">
        <f>B40+F40</f>
        <v>23.068260000000002</v>
      </c>
      <c r="I40" s="13">
        <f>C40+G40</f>
        <v>42.99</v>
      </c>
      <c r="J40" s="10">
        <f t="shared" si="1"/>
        <v>1.8635995952880711</v>
      </c>
      <c r="K40" s="10">
        <f t="shared" si="2"/>
        <v>1.8602565540808809</v>
      </c>
      <c r="L40" s="13">
        <f t="shared" si="3"/>
        <v>42.912673414310547</v>
      </c>
      <c r="M40" s="13">
        <f t="shared" si="4"/>
        <v>42.99</v>
      </c>
      <c r="N40" s="13">
        <f>M40-L40</f>
        <v>7.7326585689455385E-2</v>
      </c>
      <c r="O40" s="2">
        <f>N40/L40</f>
        <v>1.8019521865460953E-3</v>
      </c>
    </row>
    <row r="41" spans="1:15" x14ac:dyDescent="0.25">
      <c r="A41" s="1">
        <v>46083</v>
      </c>
      <c r="B41" s="6">
        <v>22.72</v>
      </c>
      <c r="C41" s="6">
        <v>42.49</v>
      </c>
      <c r="D41" s="13">
        <v>4.0980000000000003E-2</v>
      </c>
      <c r="E41" s="13">
        <v>0</v>
      </c>
      <c r="F41" s="13">
        <f>F40+D41</f>
        <v>7.9240000000000005E-2</v>
      </c>
      <c r="G41" s="13">
        <f t="shared" si="0"/>
        <v>0</v>
      </c>
      <c r="H41" s="13">
        <f>B41+F41</f>
        <v>22.799239999999998</v>
      </c>
      <c r="I41" s="13">
        <f>C41+G41</f>
        <v>42.49</v>
      </c>
      <c r="J41" s="10">
        <f t="shared" si="1"/>
        <v>1.8636586131818431</v>
      </c>
      <c r="K41" s="10">
        <f t="shared" si="2"/>
        <v>1.8605979786103757</v>
      </c>
      <c r="L41" s="13">
        <f t="shared" si="3"/>
        <v>42.412435638062981</v>
      </c>
      <c r="M41" s="13">
        <f t="shared" si="4"/>
        <v>42.49</v>
      </c>
      <c r="N41" s="13">
        <f>M41-L41</f>
        <v>7.7564361937021431E-2</v>
      </c>
      <c r="O41" s="2">
        <f>N41/L41</f>
        <v>1.8288117805573846E-3</v>
      </c>
    </row>
    <row r="42" spans="1:15" x14ac:dyDescent="0.25">
      <c r="A42" s="1">
        <v>46084</v>
      </c>
      <c r="B42" s="6">
        <v>22.49</v>
      </c>
      <c r="C42" s="6">
        <v>42.13</v>
      </c>
      <c r="F42" s="13">
        <f>F41+D42</f>
        <v>7.9240000000000005E-2</v>
      </c>
      <c r="G42" s="13">
        <f t="shared" si="0"/>
        <v>0</v>
      </c>
      <c r="H42" s="13">
        <f>B42+F42</f>
        <v>22.569239999999997</v>
      </c>
      <c r="I42" s="13">
        <f>C42+G42</f>
        <v>42.13</v>
      </c>
      <c r="J42" s="10">
        <f t="shared" si="1"/>
        <v>1.8666999863531075</v>
      </c>
      <c r="K42" s="10">
        <f t="shared" si="2"/>
        <v>1.8610530126337235</v>
      </c>
      <c r="L42" s="13">
        <f t="shared" si="3"/>
        <v>41.992282322772432</v>
      </c>
      <c r="M42" s="13">
        <f t="shared" si="4"/>
        <v>42.13</v>
      </c>
      <c r="N42" s="13">
        <f>M42-L42</f>
        <v>0.13771767722757033</v>
      </c>
      <c r="O42" s="2">
        <f>N42/L42</f>
        <v>3.2795949543539334E-3</v>
      </c>
    </row>
    <row r="43" spans="1:15" x14ac:dyDescent="0.25">
      <c r="A43" s="1">
        <v>46085</v>
      </c>
      <c r="B43" s="6">
        <v>22.57</v>
      </c>
      <c r="C43" s="6">
        <v>42.22</v>
      </c>
      <c r="F43" s="13">
        <f>F42+D43</f>
        <v>7.9240000000000005E-2</v>
      </c>
      <c r="G43" s="13">
        <f t="shared" si="0"/>
        <v>0</v>
      </c>
      <c r="H43" s="13">
        <f>B43+F43</f>
        <v>22.649239999999999</v>
      </c>
      <c r="I43" s="13">
        <f>C43+G43</f>
        <v>42.22</v>
      </c>
      <c r="J43" s="10">
        <f t="shared" si="1"/>
        <v>1.8640802075478029</v>
      </c>
      <c r="K43" s="10">
        <f t="shared" si="2"/>
        <v>1.8610660752429027</v>
      </c>
      <c r="L43" s="13">
        <f t="shared" si="3"/>
        <v>42.151436335864233</v>
      </c>
      <c r="M43" s="13">
        <f t="shared" si="4"/>
        <v>42.22</v>
      </c>
      <c r="N43" s="13">
        <f>M43-L43</f>
        <v>6.8563664135766089E-2</v>
      </c>
      <c r="O43" s="2">
        <f>N43/L43</f>
        <v>1.6266032689716248E-3</v>
      </c>
    </row>
    <row r="44" spans="1:15" x14ac:dyDescent="0.25">
      <c r="A44" s="1">
        <v>46086</v>
      </c>
      <c r="B44" s="6">
        <v>22.4</v>
      </c>
      <c r="C44" s="6">
        <v>41.88</v>
      </c>
      <c r="F44" s="13">
        <f>F43+D44</f>
        <v>7.9240000000000005E-2</v>
      </c>
      <c r="G44" s="13">
        <f t="shared" si="0"/>
        <v>0</v>
      </c>
      <c r="H44" s="13">
        <f>B44+F44</f>
        <v>22.479239999999997</v>
      </c>
      <c r="I44" s="13">
        <f>C44+G44</f>
        <v>41.88</v>
      </c>
      <c r="J44" s="10">
        <f t="shared" si="1"/>
        <v>1.8630523095976559</v>
      </c>
      <c r="K44" s="10">
        <f t="shared" si="2"/>
        <v>1.8610237101554934</v>
      </c>
      <c r="L44" s="13">
        <f t="shared" si="3"/>
        <v>41.835350961243265</v>
      </c>
      <c r="M44" s="13">
        <f t="shared" si="4"/>
        <v>41.88</v>
      </c>
      <c r="N44" s="13">
        <f>M44-L44</f>
        <v>4.464903875673798E-2</v>
      </c>
      <c r="O44" s="2">
        <f>N44/L44</f>
        <v>1.0672562254372229E-3</v>
      </c>
    </row>
    <row r="45" spans="1:15" x14ac:dyDescent="0.25">
      <c r="A45" s="1">
        <v>46087</v>
      </c>
      <c r="B45" s="6">
        <v>22.36</v>
      </c>
      <c r="C45" s="6">
        <v>41.83</v>
      </c>
      <c r="F45" s="13">
        <f>F44+D45</f>
        <v>7.9240000000000005E-2</v>
      </c>
      <c r="G45" s="13">
        <f t="shared" si="0"/>
        <v>0</v>
      </c>
      <c r="H45" s="13">
        <f>B45+F45</f>
        <v>22.439239999999998</v>
      </c>
      <c r="I45" s="13">
        <f>C45+G45</f>
        <v>41.83</v>
      </c>
      <c r="J45" s="10">
        <f t="shared" si="1"/>
        <v>1.864145131475041</v>
      </c>
      <c r="K45" s="10">
        <f t="shared" si="2"/>
        <v>1.8612344140836723</v>
      </c>
      <c r="L45" s="13">
        <f t="shared" si="3"/>
        <v>41.759957677869551</v>
      </c>
      <c r="M45" s="13">
        <f t="shared" si="4"/>
        <v>41.83</v>
      </c>
      <c r="N45" s="13">
        <f>M45-L45</f>
        <v>7.0042322130447587E-2</v>
      </c>
      <c r="O45" s="2">
        <f>N45/L45</f>
        <v>1.6772603715440573E-3</v>
      </c>
    </row>
    <row r="46" spans="1:15" x14ac:dyDescent="0.25">
      <c r="A46" s="1">
        <v>46090</v>
      </c>
      <c r="B46" s="6">
        <v>22.41</v>
      </c>
      <c r="C46" s="6">
        <v>41.84</v>
      </c>
      <c r="F46" s="13">
        <f>F45+D46</f>
        <v>7.9240000000000005E-2</v>
      </c>
      <c r="G46" s="13">
        <f t="shared" si="0"/>
        <v>0</v>
      </c>
      <c r="H46" s="13">
        <f>B46+F46</f>
        <v>22.489239999999999</v>
      </c>
      <c r="I46" s="13">
        <f>C46+G46</f>
        <v>41.84</v>
      </c>
      <c r="J46" s="10">
        <f t="shared" si="1"/>
        <v>1.8604452618229876</v>
      </c>
      <c r="K46" s="10">
        <f t="shared" si="2"/>
        <v>1.8610277062941296</v>
      </c>
      <c r="L46" s="13">
        <f t="shared" si="3"/>
        <v>41.857747434587083</v>
      </c>
      <c r="M46" s="13">
        <f t="shared" si="4"/>
        <v>41.84</v>
      </c>
      <c r="N46" s="13">
        <f>M46-L46</f>
        <v>-1.7747434587079169E-2</v>
      </c>
      <c r="O46" s="2">
        <f>N46/L46</f>
        <v>-4.2399401962119092E-4</v>
      </c>
    </row>
    <row r="47" spans="1:15" x14ac:dyDescent="0.25">
      <c r="A47" s="1">
        <v>46091</v>
      </c>
      <c r="B47" s="6">
        <v>22.39</v>
      </c>
      <c r="C47" s="6">
        <v>41.85</v>
      </c>
      <c r="F47" s="13">
        <f>F46+D47</f>
        <v>7.9240000000000005E-2</v>
      </c>
      <c r="G47" s="13">
        <f t="shared" si="0"/>
        <v>0</v>
      </c>
      <c r="H47" s="13">
        <f>B47+F47</f>
        <v>22.469239999999999</v>
      </c>
      <c r="I47" s="13">
        <f>C47+G47</f>
        <v>41.85</v>
      </c>
      <c r="J47" s="10">
        <f t="shared" si="1"/>
        <v>1.8625463077522872</v>
      </c>
      <c r="K47" s="10">
        <f t="shared" si="2"/>
        <v>1.860794180061087</v>
      </c>
      <c r="L47" s="13">
        <f t="shared" si="3"/>
        <v>41.815878179372305</v>
      </c>
      <c r="M47" s="13">
        <f t="shared" si="4"/>
        <v>41.85</v>
      </c>
      <c r="N47" s="13">
        <f>M47-L47</f>
        <v>3.4121820627696309E-2</v>
      </c>
      <c r="O47" s="2">
        <f>N47/L47</f>
        <v>8.1600153131612424E-4</v>
      </c>
    </row>
    <row r="48" spans="1:15" x14ac:dyDescent="0.25">
      <c r="A48" s="1">
        <v>46092</v>
      </c>
      <c r="B48" s="6">
        <v>22.28</v>
      </c>
      <c r="C48" s="6">
        <v>41.52</v>
      </c>
      <c r="F48" s="13">
        <f>F47+D48</f>
        <v>7.9240000000000005E-2</v>
      </c>
      <c r="G48" s="13">
        <f t="shared" si="0"/>
        <v>0</v>
      </c>
      <c r="H48" s="13">
        <f>B48+F48</f>
        <v>22.35924</v>
      </c>
      <c r="I48" s="13">
        <f>C48+G48</f>
        <v>41.52</v>
      </c>
      <c r="J48" s="10">
        <f t="shared" si="1"/>
        <v>1.8569504151303893</v>
      </c>
      <c r="K48" s="10">
        <f t="shared" si="2"/>
        <v>1.8604914142917661</v>
      </c>
      <c r="L48" s="13">
        <f t="shared" si="3"/>
        <v>41.605943662589056</v>
      </c>
      <c r="M48" s="13">
        <f t="shared" si="4"/>
        <v>41.52</v>
      </c>
      <c r="N48" s="13">
        <f>M48-L48</f>
        <v>-8.5943662589052394E-2</v>
      </c>
      <c r="O48" s="2">
        <f>N48/L48</f>
        <v>-2.065658293584881E-3</v>
      </c>
    </row>
    <row r="49" spans="1:15" x14ac:dyDescent="0.25">
      <c r="A49" s="1">
        <v>46093</v>
      </c>
      <c r="B49" s="6">
        <v>22.07</v>
      </c>
      <c r="C49" s="6">
        <v>41.21</v>
      </c>
      <c r="F49" s="13">
        <f>F48+D49</f>
        <v>7.9240000000000005E-2</v>
      </c>
      <c r="G49" s="13">
        <f t="shared" si="0"/>
        <v>0</v>
      </c>
      <c r="H49" s="13">
        <f>B49+F49</f>
        <v>22.149239999999999</v>
      </c>
      <c r="I49" s="13">
        <f>C49+G49</f>
        <v>41.21</v>
      </c>
      <c r="J49" s="10">
        <f t="shared" si="1"/>
        <v>1.8605604526385557</v>
      </c>
      <c r="K49" s="10">
        <f t="shared" si="2"/>
        <v>1.8603789734553569</v>
      </c>
      <c r="L49" s="13">
        <f t="shared" si="3"/>
        <v>41.208470853087753</v>
      </c>
      <c r="M49" s="13">
        <f t="shared" si="4"/>
        <v>41.21</v>
      </c>
      <c r="N49" s="13">
        <f>M49-L49</f>
        <v>1.52914691224737E-3</v>
      </c>
      <c r="O49" s="2">
        <f>N49/L49</f>
        <v>3.7107586876953741E-5</v>
      </c>
    </row>
    <row r="50" spans="1:15" x14ac:dyDescent="0.25">
      <c r="A50" s="1">
        <v>46094</v>
      </c>
      <c r="B50" s="6">
        <v>21.9</v>
      </c>
      <c r="C50" s="6">
        <v>40.799999999999997</v>
      </c>
      <c r="F50" s="13">
        <f>F49+D50</f>
        <v>7.9240000000000005E-2</v>
      </c>
      <c r="G50" s="13">
        <f t="shared" si="0"/>
        <v>0</v>
      </c>
      <c r="H50" s="13">
        <f>B50+F50</f>
        <v>21.979239999999997</v>
      </c>
      <c r="I50" s="13">
        <f>C50+G50</f>
        <v>40.799999999999997</v>
      </c>
      <c r="J50" s="10">
        <f t="shared" si="1"/>
        <v>1.8562971240133872</v>
      </c>
      <c r="K50" s="10">
        <f t="shared" si="2"/>
        <v>1.8602925450704464</v>
      </c>
      <c r="L50" s="13">
        <f t="shared" si="3"/>
        <v>40.889715948528909</v>
      </c>
      <c r="M50" s="13">
        <f t="shared" si="4"/>
        <v>40.799999999999997</v>
      </c>
      <c r="N50" s="13">
        <f>M50-L50</f>
        <v>-8.9715948528912293E-2</v>
      </c>
      <c r="O50" s="2">
        <f>N50/L50</f>
        <v>-2.1940956655664909E-3</v>
      </c>
    </row>
    <row r="51" spans="1:15" x14ac:dyDescent="0.25">
      <c r="A51" s="1">
        <v>46097</v>
      </c>
      <c r="B51" s="6">
        <v>22.09</v>
      </c>
      <c r="C51" s="6">
        <v>41.24</v>
      </c>
      <c r="F51" s="13">
        <f>F50+D51</f>
        <v>7.9240000000000005E-2</v>
      </c>
      <c r="G51" s="13">
        <f t="shared" si="0"/>
        <v>0</v>
      </c>
      <c r="H51" s="13">
        <f>B51+F51</f>
        <v>22.169239999999999</v>
      </c>
      <c r="I51" s="13">
        <f>C51+G51</f>
        <v>41.24</v>
      </c>
      <c r="J51" s="10">
        <f t="shared" si="1"/>
        <v>1.8602351726987485</v>
      </c>
      <c r="K51" s="10">
        <f t="shared" si="2"/>
        <v>1.8604339925314464</v>
      </c>
      <c r="L51" s="13">
        <f t="shared" si="3"/>
        <v>41.241271901877539</v>
      </c>
      <c r="M51" s="13">
        <f t="shared" si="4"/>
        <v>41.24</v>
      </c>
      <c r="N51" s="13">
        <f>M51-L51</f>
        <v>-1.2719018775371183E-3</v>
      </c>
      <c r="O51" s="2">
        <f>N51/L51</f>
        <v>-3.084051046154117E-5</v>
      </c>
    </row>
    <row r="52" spans="1:15" x14ac:dyDescent="0.25">
      <c r="A52" s="1">
        <v>46098</v>
      </c>
      <c r="B52" s="6">
        <v>22.16</v>
      </c>
      <c r="C52" s="6">
        <v>41.44</v>
      </c>
      <c r="F52" s="13">
        <f>F51+D52</f>
        <v>7.9240000000000005E-2</v>
      </c>
      <c r="G52" s="13">
        <f t="shared" si="0"/>
        <v>0</v>
      </c>
      <c r="H52" s="13">
        <f>B52+F52</f>
        <v>22.239239999999999</v>
      </c>
      <c r="I52" s="13">
        <f>C52+G52</f>
        <v>41.44</v>
      </c>
      <c r="J52" s="10">
        <f t="shared" si="1"/>
        <v>1.8633730289344419</v>
      </c>
      <c r="K52" s="10">
        <f t="shared" si="2"/>
        <v>1.8606272317229831</v>
      </c>
      <c r="L52" s="13">
        <f t="shared" si="3"/>
        <v>41.374638064065039</v>
      </c>
      <c r="M52" s="13">
        <f t="shared" si="4"/>
        <v>41.44</v>
      </c>
      <c r="N52" s="13">
        <f>M52-L52</f>
        <v>6.5361935934959092E-2</v>
      </c>
      <c r="O52" s="2">
        <f>N52/L52</f>
        <v>1.5797584944127318E-3</v>
      </c>
    </row>
    <row r="53" spans="1:15" x14ac:dyDescent="0.25">
      <c r="A53" s="1">
        <v>46099</v>
      </c>
      <c r="B53" s="6">
        <v>21.97</v>
      </c>
      <c r="C53" s="6">
        <v>41.04</v>
      </c>
      <c r="F53" s="13">
        <f>F52+D53</f>
        <v>7.9240000000000005E-2</v>
      </c>
      <c r="G53" s="13">
        <f t="shared" si="0"/>
        <v>0</v>
      </c>
      <c r="H53" s="13">
        <f>B53+F53</f>
        <v>22.049239999999998</v>
      </c>
      <c r="I53" s="13">
        <f>C53+G53</f>
        <v>41.04</v>
      </c>
      <c r="J53" s="10">
        <f t="shared" si="1"/>
        <v>1.8612886430552711</v>
      </c>
      <c r="K53" s="10">
        <f t="shared" si="2"/>
        <v>1.8608026074126098</v>
      </c>
      <c r="L53" s="13">
        <f t="shared" si="3"/>
        <v>41.025416382795662</v>
      </c>
      <c r="M53" s="13">
        <f t="shared" si="4"/>
        <v>41.04</v>
      </c>
      <c r="N53" s="13">
        <f>M53-L53</f>
        <v>1.4583617204337429E-2</v>
      </c>
      <c r="O53" s="2">
        <f>N53/L53</f>
        <v>3.554776158336125E-4</v>
      </c>
    </row>
    <row r="54" spans="1:15" x14ac:dyDescent="0.25">
      <c r="A54" s="1">
        <v>46100</v>
      </c>
      <c r="B54" s="6">
        <v>22.19</v>
      </c>
      <c r="C54" s="6">
        <v>41.49</v>
      </c>
      <c r="F54" s="13">
        <f>F53+D54</f>
        <v>7.9240000000000005E-2</v>
      </c>
      <c r="G54" s="13">
        <f t="shared" si="0"/>
        <v>0</v>
      </c>
      <c r="H54" s="13">
        <f>B54+F54</f>
        <v>22.26924</v>
      </c>
      <c r="I54" s="13">
        <f>C54+G54</f>
        <v>41.49</v>
      </c>
      <c r="J54" s="10">
        <f t="shared" si="1"/>
        <v>1.8631080360173944</v>
      </c>
      <c r="K54" s="10">
        <f t="shared" si="2"/>
        <v>1.8610284927780008</v>
      </c>
      <c r="L54" s="13">
        <f t="shared" si="3"/>
        <v>41.438659857097186</v>
      </c>
      <c r="M54" s="13">
        <f t="shared" si="4"/>
        <v>41.49</v>
      </c>
      <c r="N54" s="13">
        <f>M54-L54</f>
        <v>5.134014290281641E-2</v>
      </c>
      <c r="O54" s="2">
        <f>N54/L54</f>
        <v>1.2389431289492679E-3</v>
      </c>
    </row>
    <row r="55" spans="1:15" x14ac:dyDescent="0.25">
      <c r="A55" s="1">
        <v>46101</v>
      </c>
      <c r="B55" s="6">
        <v>21.92</v>
      </c>
      <c r="C55" s="6">
        <v>40.950000000000003</v>
      </c>
      <c r="F55" s="13">
        <f>F54+D55</f>
        <v>7.9240000000000005E-2</v>
      </c>
      <c r="G55" s="13">
        <f t="shared" si="0"/>
        <v>0</v>
      </c>
      <c r="H55" s="13">
        <f>B55+F55</f>
        <v>21.99924</v>
      </c>
      <c r="I55" s="13">
        <f>C55+G55</f>
        <v>40.950000000000003</v>
      </c>
      <c r="J55" s="10">
        <f t="shared" si="1"/>
        <v>1.8614279402379357</v>
      </c>
      <c r="K55" s="10">
        <f t="shared" si="2"/>
        <v>1.8609931416078411</v>
      </c>
      <c r="L55" s="13">
        <f t="shared" si="3"/>
        <v>40.941212459461504</v>
      </c>
      <c r="M55" s="13">
        <f t="shared" si="4"/>
        <v>40.950000000000003</v>
      </c>
      <c r="N55" s="13">
        <f>M55-L55</f>
        <v>8.7875405384991723E-3</v>
      </c>
      <c r="O55" s="2">
        <f>N55/L55</f>
        <v>2.1463801413307618E-4</v>
      </c>
    </row>
    <row r="56" spans="1:15" x14ac:dyDescent="0.25">
      <c r="A56" s="1">
        <v>46104</v>
      </c>
      <c r="B56" s="6">
        <v>22.12</v>
      </c>
      <c r="C56" s="6">
        <v>41.26</v>
      </c>
      <c r="F56" s="13">
        <f>F55+D56</f>
        <v>7.9240000000000005E-2</v>
      </c>
      <c r="G56" s="13">
        <f t="shared" si="0"/>
        <v>0</v>
      </c>
      <c r="H56" s="13">
        <f>B56+F56</f>
        <v>22.19924</v>
      </c>
      <c r="I56" s="13">
        <f>C56+G56</f>
        <v>41.26</v>
      </c>
      <c r="J56" s="10">
        <f t="shared" si="1"/>
        <v>1.8586221870658635</v>
      </c>
      <c r="K56" s="10">
        <f t="shared" si="2"/>
        <v>1.8611931399982466</v>
      </c>
      <c r="L56" s="13">
        <f t="shared" si="3"/>
        <v>41.312633388906448</v>
      </c>
      <c r="M56" s="13">
        <f t="shared" si="4"/>
        <v>41.26</v>
      </c>
      <c r="N56" s="13">
        <f>M56-L56</f>
        <v>-5.2633388906450307E-2</v>
      </c>
      <c r="O56" s="2">
        <f>N56/L56</f>
        <v>-1.2740264802529821E-3</v>
      </c>
    </row>
    <row r="57" spans="1:15" x14ac:dyDescent="0.25">
      <c r="A57" s="1">
        <v>46105</v>
      </c>
      <c r="B57" s="6">
        <v>21.98</v>
      </c>
      <c r="C57" s="6">
        <v>41.07</v>
      </c>
      <c r="F57" s="13">
        <f>F56+D57</f>
        <v>7.9240000000000005E-2</v>
      </c>
      <c r="G57" s="13">
        <f t="shared" si="0"/>
        <v>0</v>
      </c>
      <c r="H57" s="13">
        <f>B57+F57</f>
        <v>22.059239999999999</v>
      </c>
      <c r="I57" s="13">
        <f>C57+G57</f>
        <v>41.07</v>
      </c>
      <c r="J57" s="10">
        <f t="shared" si="1"/>
        <v>1.8618048491244485</v>
      </c>
      <c r="K57" s="10">
        <f t="shared" si="2"/>
        <v>1.8614843607307261</v>
      </c>
      <c r="L57" s="13">
        <f t="shared" si="3"/>
        <v>41.056506161574923</v>
      </c>
      <c r="M57" s="13">
        <f t="shared" si="4"/>
        <v>41.07</v>
      </c>
      <c r="N57" s="13">
        <f>M57-L57</f>
        <v>1.3493838425077342E-2</v>
      </c>
      <c r="O57" s="2">
        <f>N57/L57</f>
        <v>3.2866504451141833E-4</v>
      </c>
    </row>
    <row r="58" spans="1:15" x14ac:dyDescent="0.25">
      <c r="A58" s="1">
        <v>46106</v>
      </c>
      <c r="B58" s="6">
        <v>22.04</v>
      </c>
      <c r="C58" s="6">
        <v>41.22</v>
      </c>
      <c r="F58" s="13">
        <f>F57+D58</f>
        <v>7.9240000000000005E-2</v>
      </c>
      <c r="G58" s="13">
        <f t="shared" si="0"/>
        <v>0</v>
      </c>
      <c r="H58" s="13">
        <f>B58+F58</f>
        <v>22.119239999999998</v>
      </c>
      <c r="I58" s="13">
        <f>C58+G58</f>
        <v>41.22</v>
      </c>
      <c r="J58" s="10">
        <f t="shared" si="1"/>
        <v>1.8635359985243618</v>
      </c>
      <c r="K58" s="10">
        <f t="shared" si="2"/>
        <v>1.8616697703433409</v>
      </c>
      <c r="L58" s="13">
        <f t="shared" si="3"/>
        <v>41.174619331249502</v>
      </c>
      <c r="M58" s="13">
        <f t="shared" si="4"/>
        <v>41.22</v>
      </c>
      <c r="N58" s="13">
        <f>M58-L58</f>
        <v>4.5380668750496511E-2</v>
      </c>
      <c r="O58" s="2">
        <f>N58/L58</f>
        <v>1.1021515071070694E-3</v>
      </c>
    </row>
    <row r="59" spans="1:15" x14ac:dyDescent="0.25">
      <c r="A59" s="1">
        <v>46107</v>
      </c>
      <c r="B59" s="6">
        <v>21.8</v>
      </c>
      <c r="C59" s="6">
        <v>40.69</v>
      </c>
      <c r="F59" s="13">
        <f>F58+D59</f>
        <v>7.9240000000000005E-2</v>
      </c>
      <c r="G59" s="13">
        <f t="shared" si="0"/>
        <v>0</v>
      </c>
      <c r="H59" s="13">
        <f>B59+F59</f>
        <v>21.879239999999999</v>
      </c>
      <c r="I59" s="13">
        <f>C59+G59</f>
        <v>40.69</v>
      </c>
      <c r="J59" s="10">
        <f t="shared" si="1"/>
        <v>1.8597538122896407</v>
      </c>
      <c r="K59" s="10">
        <f t="shared" si="2"/>
        <v>1.8617592536374616</v>
      </c>
      <c r="L59" s="13">
        <f t="shared" si="3"/>
        <v>40.731919706086835</v>
      </c>
      <c r="M59" s="13">
        <f t="shared" si="4"/>
        <v>40.69</v>
      </c>
      <c r="N59" s="13">
        <f>M59-L59</f>
        <v>-4.1919706086837039E-2</v>
      </c>
      <c r="O59" s="2">
        <f>N59/L59</f>
        <v>-1.0291610704656453E-3</v>
      </c>
    </row>
    <row r="60" spans="1:15" x14ac:dyDescent="0.25">
      <c r="A60" s="1">
        <v>46108</v>
      </c>
      <c r="B60" s="6">
        <v>21.73</v>
      </c>
      <c r="C60" s="6">
        <v>40.54</v>
      </c>
      <c r="F60" s="13">
        <f>F59+D60</f>
        <v>7.9240000000000005E-2</v>
      </c>
      <c r="G60" s="13">
        <f t="shared" si="0"/>
        <v>0</v>
      </c>
      <c r="H60" s="13">
        <f>B60+F60</f>
        <v>21.809239999999999</v>
      </c>
      <c r="I60" s="13">
        <f>C60+G60</f>
        <v>40.54</v>
      </c>
      <c r="J60" s="10">
        <f t="shared" si="1"/>
        <v>1.8588451500373238</v>
      </c>
      <c r="K60" s="10">
        <f t="shared" si="2"/>
        <v>1.8615215313749243</v>
      </c>
      <c r="L60" s="13">
        <f t="shared" si="3"/>
        <v>40.603554384800269</v>
      </c>
      <c r="M60" s="13">
        <f t="shared" si="4"/>
        <v>40.54</v>
      </c>
      <c r="N60" s="13">
        <f>M60-L60</f>
        <v>-6.3554384800269759E-2</v>
      </c>
      <c r="O60" s="2">
        <f>N60/L60</f>
        <v>-1.5652419046363344E-3</v>
      </c>
    </row>
    <row r="61" spans="1:15" x14ac:dyDescent="0.25">
      <c r="A61" s="1">
        <v>46111</v>
      </c>
      <c r="B61" s="6">
        <v>21.72</v>
      </c>
      <c r="C61" s="6">
        <v>40.56</v>
      </c>
      <c r="F61" s="13">
        <f>F60+D61</f>
        <v>7.9240000000000005E-2</v>
      </c>
      <c r="G61" s="13">
        <f t="shared" si="0"/>
        <v>0</v>
      </c>
      <c r="H61" s="13">
        <f>B61+F61</f>
        <v>21.799239999999998</v>
      </c>
      <c r="I61" s="13">
        <f>C61+G61</f>
        <v>40.56</v>
      </c>
      <c r="J61" s="10">
        <f t="shared" si="1"/>
        <v>1.8606153242039634</v>
      </c>
      <c r="K61" s="10">
        <f t="shared" si="2"/>
        <v>1.8613693669260303</v>
      </c>
      <c r="L61" s="13">
        <f t="shared" si="3"/>
        <v>40.579754627609496</v>
      </c>
      <c r="M61" s="13">
        <f t="shared" si="4"/>
        <v>40.56</v>
      </c>
      <c r="N61" s="13">
        <f>M61-L61</f>
        <v>-1.975462760949398E-2</v>
      </c>
      <c r="O61" s="2">
        <f>N61/L61</f>
        <v>-4.8680993245960643E-4</v>
      </c>
    </row>
    <row r="62" spans="1:15" x14ac:dyDescent="0.25">
      <c r="A62" s="1">
        <v>46112</v>
      </c>
      <c r="B62" s="6">
        <v>21.95</v>
      </c>
      <c r="C62" s="6">
        <v>41.06</v>
      </c>
      <c r="F62" s="13">
        <f>F61+D62</f>
        <v>7.9240000000000005E-2</v>
      </c>
      <c r="G62" s="13">
        <f t="shared" si="0"/>
        <v>0</v>
      </c>
      <c r="H62" s="13">
        <f>B62+F62</f>
        <v>22.029239999999998</v>
      </c>
      <c r="I62" s="13">
        <f>C62+G62</f>
        <v>41.06</v>
      </c>
      <c r="J62" s="10">
        <f t="shared" si="1"/>
        <v>1.8638863619443977</v>
      </c>
      <c r="K62" s="10">
        <f t="shared" si="2"/>
        <v>1.8612286857055949</v>
      </c>
      <c r="L62" s="13">
        <f t="shared" si="3"/>
        <v>41.004552512661583</v>
      </c>
      <c r="M62" s="13">
        <f t="shared" si="4"/>
        <v>41.06</v>
      </c>
      <c r="N62" s="13">
        <f>M62-L62</f>
        <v>5.5447487338419421E-2</v>
      </c>
      <c r="O62" s="2">
        <f>N62/L62</f>
        <v>1.3522275928093126E-3</v>
      </c>
    </row>
    <row r="63" spans="1:15" x14ac:dyDescent="0.25">
      <c r="A63" s="1">
        <v>46113</v>
      </c>
      <c r="B63" s="6">
        <v>21.96</v>
      </c>
      <c r="C63" s="6">
        <v>41.16</v>
      </c>
      <c r="D63" s="13">
        <v>4.5359999999999998E-2</v>
      </c>
      <c r="E63" s="13">
        <v>0</v>
      </c>
      <c r="F63" s="13">
        <f>F62+D63</f>
        <v>0.1246</v>
      </c>
      <c r="G63" s="13">
        <f t="shared" si="0"/>
        <v>0</v>
      </c>
      <c r="H63" s="13">
        <f>B63+F63</f>
        <v>22.084600000000002</v>
      </c>
      <c r="I63" s="13">
        <f>C63+G63</f>
        <v>41.16</v>
      </c>
      <c r="J63" s="10">
        <f t="shared" si="1"/>
        <v>1.8637421551669486</v>
      </c>
      <c r="K63" s="10">
        <f t="shared" si="2"/>
        <v>1.8612117830865522</v>
      </c>
      <c r="L63" s="13">
        <f t="shared" si="3"/>
        <v>41.104491032333783</v>
      </c>
      <c r="M63" s="13">
        <f t="shared" si="4"/>
        <v>41.16</v>
      </c>
      <c r="N63" s="13">
        <f>M63-L63</f>
        <v>5.5508967666213493E-2</v>
      </c>
      <c r="O63" s="2">
        <f>N63/L63</f>
        <v>1.3504355916376339E-3</v>
      </c>
    </row>
    <row r="64" spans="1:15" x14ac:dyDescent="0.25">
      <c r="A64" s="1">
        <v>46114</v>
      </c>
      <c r="B64" s="6">
        <v>21.88</v>
      </c>
      <c r="C64" s="6">
        <v>40.99</v>
      </c>
      <c r="F64" s="13">
        <f>F63+D64</f>
        <v>0.1246</v>
      </c>
      <c r="G64" s="13">
        <f t="shared" si="0"/>
        <v>0</v>
      </c>
      <c r="H64" s="13">
        <f>B64+F64</f>
        <v>22.0046</v>
      </c>
      <c r="I64" s="13">
        <f>C64+G64</f>
        <v>40.99</v>
      </c>
      <c r="J64" s="10">
        <f t="shared" si="1"/>
        <v>1.8627923252410861</v>
      </c>
      <c r="K64" s="10">
        <f t="shared" si="2"/>
        <v>1.8611987838687234</v>
      </c>
      <c r="L64" s="13">
        <f t="shared" si="3"/>
        <v>40.955220802106346</v>
      </c>
      <c r="M64" s="13">
        <f t="shared" si="4"/>
        <v>40.99</v>
      </c>
      <c r="N64" s="13">
        <f>M64-L64</f>
        <v>3.4779197893655578E-2</v>
      </c>
      <c r="O64" s="2">
        <f>N64/L64</f>
        <v>8.4920059549201273E-4</v>
      </c>
    </row>
    <row r="65" spans="1:15" x14ac:dyDescent="0.25">
      <c r="A65" s="1">
        <v>46118</v>
      </c>
      <c r="B65" s="6">
        <v>21.86</v>
      </c>
      <c r="C65" s="6">
        <v>40.89</v>
      </c>
      <c r="F65" s="13">
        <f>F64+D65</f>
        <v>0.1246</v>
      </c>
      <c r="G65" s="13">
        <f t="shared" si="0"/>
        <v>0</v>
      </c>
      <c r="H65" s="13">
        <f>B65+F65</f>
        <v>21.9846</v>
      </c>
      <c r="I65" s="13">
        <f>C65+G65</f>
        <v>40.89</v>
      </c>
      <c r="J65" s="10">
        <f t="shared" si="1"/>
        <v>1.8599383204606861</v>
      </c>
      <c r="K65" s="10">
        <f t="shared" si="2"/>
        <v>1.8609884433180059</v>
      </c>
      <c r="L65" s="13">
        <f t="shared" si="3"/>
        <v>40.917710783840334</v>
      </c>
      <c r="M65" s="13">
        <f t="shared" si="4"/>
        <v>40.89</v>
      </c>
      <c r="N65" s="13">
        <f>M65-L65</f>
        <v>-2.7710783840333875E-2</v>
      </c>
      <c r="O65" s="2">
        <f>N65/L65</f>
        <v>-6.7723201785955525E-4</v>
      </c>
    </row>
    <row r="66" spans="1:15" x14ac:dyDescent="0.25">
      <c r="A66" s="1">
        <v>46119</v>
      </c>
      <c r="B66" s="6">
        <v>21.93</v>
      </c>
      <c r="C66" s="6">
        <v>41.1</v>
      </c>
      <c r="F66" s="13">
        <f>F65+D66</f>
        <v>0.1246</v>
      </c>
      <c r="G66" s="13">
        <f t="shared" si="0"/>
        <v>0</v>
      </c>
      <c r="H66" s="13">
        <f>B66+F66</f>
        <v>22.054600000000001</v>
      </c>
      <c r="I66" s="13">
        <f>C66+G66</f>
        <v>41.1</v>
      </c>
      <c r="J66" s="10">
        <f t="shared" si="1"/>
        <v>1.8635568090103651</v>
      </c>
      <c r="K66" s="10">
        <f t="shared" si="2"/>
        <v>1.8611440206773746</v>
      </c>
      <c r="L66" s="13">
        <f t="shared" si="3"/>
        <v>41.043355722001294</v>
      </c>
      <c r="M66" s="13">
        <f t="shared" si="4"/>
        <v>41.1</v>
      </c>
      <c r="N66" s="13">
        <f>M66-L66</f>
        <v>5.6644277998707082E-2</v>
      </c>
      <c r="O66" s="2">
        <f>N66/L66</f>
        <v>1.3801083513340238E-3</v>
      </c>
    </row>
    <row r="67" spans="1:15" x14ac:dyDescent="0.25">
      <c r="A67" s="1">
        <v>46120</v>
      </c>
      <c r="B67" s="6">
        <v>22.25</v>
      </c>
      <c r="C67" s="6">
        <v>41.68</v>
      </c>
      <c r="F67" s="13">
        <f>F66+D67</f>
        <v>0.1246</v>
      </c>
      <c r="G67" s="13">
        <f t="shared" si="0"/>
        <v>0</v>
      </c>
      <c r="H67" s="13">
        <f>B67+F67</f>
        <v>22.374600000000001</v>
      </c>
      <c r="I67" s="13">
        <f>C67+G67</f>
        <v>41.68</v>
      </c>
      <c r="J67" s="10">
        <f t="shared" si="1"/>
        <v>1.8628265980173946</v>
      </c>
      <c r="K67" s="10">
        <f t="shared" si="2"/>
        <v>1.8611580351906301</v>
      </c>
      <c r="L67" s="13">
        <f t="shared" si="3"/>
        <v>41.642353005047987</v>
      </c>
      <c r="M67" s="13">
        <f t="shared" si="4"/>
        <v>41.68</v>
      </c>
      <c r="N67" s="13">
        <f>M67-L67</f>
        <v>3.7646994952012847E-2</v>
      </c>
      <c r="O67" s="2">
        <f>N67/L67</f>
        <v>9.040554203901299E-4</v>
      </c>
    </row>
    <row r="68" spans="1:15" x14ac:dyDescent="0.25">
      <c r="A68" s="1">
        <v>46121</v>
      </c>
      <c r="B68" s="6">
        <v>22.22</v>
      </c>
      <c r="C68" s="6">
        <v>41.7</v>
      </c>
      <c r="F68" s="13">
        <f>F67+D68</f>
        <v>0.1246</v>
      </c>
      <c r="G68" s="13">
        <f t="shared" ref="G68:G131" si="5">G67+E68</f>
        <v>0</v>
      </c>
      <c r="H68" s="13">
        <f>B68+F68</f>
        <v>22.3446</v>
      </c>
      <c r="I68" s="13">
        <f>C68+G68</f>
        <v>41.7</v>
      </c>
      <c r="J68" s="10">
        <f t="shared" ref="J68:J131" si="6">I68/H68</f>
        <v>1.8662227115276175</v>
      </c>
      <c r="K68" s="10">
        <f t="shared" si="2"/>
        <v>1.8616216500104916</v>
      </c>
      <c r="L68" s="13">
        <f t="shared" si="3"/>
        <v>41.586831833120549</v>
      </c>
      <c r="M68" s="13">
        <f t="shared" si="4"/>
        <v>41.7</v>
      </c>
      <c r="N68" s="13">
        <f>M68-L68</f>
        <v>0.11316816687945419</v>
      </c>
      <c r="O68" s="2">
        <f>N68/L68</f>
        <v>2.721250018120517E-3</v>
      </c>
    </row>
    <row r="69" spans="1:15" x14ac:dyDescent="0.25">
      <c r="A69" s="1">
        <v>46122</v>
      </c>
      <c r="B69" s="6">
        <v>22.17</v>
      </c>
      <c r="C69" s="6">
        <v>41.62</v>
      </c>
      <c r="F69" s="13">
        <f>F68+D69</f>
        <v>0.1246</v>
      </c>
      <c r="G69" s="13">
        <f t="shared" si="5"/>
        <v>0</v>
      </c>
      <c r="H69" s="13">
        <f>B69+F69</f>
        <v>22.294600000000003</v>
      </c>
      <c r="I69" s="13">
        <f>C69+G69</f>
        <v>41.62</v>
      </c>
      <c r="J69" s="10">
        <f t="shared" si="6"/>
        <v>1.8668197680155729</v>
      </c>
      <c r="K69" s="10">
        <f t="shared" si="2"/>
        <v>1.8619346157793426</v>
      </c>
      <c r="L69" s="13">
        <f t="shared" si="3"/>
        <v>41.504110038323908</v>
      </c>
      <c r="M69" s="13">
        <f t="shared" si="4"/>
        <v>41.62</v>
      </c>
      <c r="N69" s="13">
        <f>M69-L69</f>
        <v>0.11588996167608911</v>
      </c>
      <c r="O69" s="2">
        <f>N69/L69</f>
        <v>2.7922526604974565E-3</v>
      </c>
    </row>
    <row r="70" spans="1:15" x14ac:dyDescent="0.25">
      <c r="A70" s="1">
        <v>46125</v>
      </c>
      <c r="B70" s="6">
        <v>22.21</v>
      </c>
      <c r="C70" s="6">
        <v>41.69</v>
      </c>
      <c r="F70" s="13">
        <f>F69+D70</f>
        <v>0.1246</v>
      </c>
      <c r="G70" s="13">
        <f t="shared" si="5"/>
        <v>0</v>
      </c>
      <c r="H70" s="13">
        <f>B70+F70</f>
        <v>22.334600000000002</v>
      </c>
      <c r="I70" s="13">
        <f>C70+G70</f>
        <v>41.69</v>
      </c>
      <c r="J70" s="10">
        <f t="shared" si="6"/>
        <v>1.8666105504463923</v>
      </c>
      <c r="K70" s="10">
        <f t="shared" si="2"/>
        <v>1.8624502871009931</v>
      </c>
      <c r="L70" s="13">
        <f t="shared" si="3"/>
        <v>41.585564869585312</v>
      </c>
      <c r="M70" s="13">
        <f t="shared" si="4"/>
        <v>41.69</v>
      </c>
      <c r="N70" s="13">
        <f>M70-L70</f>
        <v>0.10443513041468577</v>
      </c>
      <c r="O70" s="2">
        <f>N70/L70</f>
        <v>2.5113312934957181E-3</v>
      </c>
    </row>
    <row r="71" spans="1:15" x14ac:dyDescent="0.25">
      <c r="A71" s="1">
        <v>46126</v>
      </c>
      <c r="B71" s="6">
        <v>22.38</v>
      </c>
      <c r="C71" s="6">
        <v>41.98</v>
      </c>
      <c r="F71" s="13">
        <f>F70+D71</f>
        <v>0.1246</v>
      </c>
      <c r="G71" s="13">
        <f t="shared" si="5"/>
        <v>0</v>
      </c>
      <c r="H71" s="13">
        <f>B71+F71</f>
        <v>22.5046</v>
      </c>
      <c r="I71" s="13">
        <f>C71+G71</f>
        <v>41.98</v>
      </c>
      <c r="J71" s="10">
        <f t="shared" si="6"/>
        <v>1.865396407845507</v>
      </c>
      <c r="K71" s="10">
        <f t="shared" si="2"/>
        <v>1.8627083488583309</v>
      </c>
      <c r="L71" s="13">
        <f t="shared" si="3"/>
        <v>41.913698731093007</v>
      </c>
      <c r="M71" s="13">
        <f t="shared" si="4"/>
        <v>41.98</v>
      </c>
      <c r="N71" s="13">
        <f>M71-L71</f>
        <v>6.6301268906990174E-2</v>
      </c>
      <c r="O71" s="2">
        <f>N71/L71</f>
        <v>1.5818520176985869E-3</v>
      </c>
    </row>
    <row r="72" spans="1:15" x14ac:dyDescent="0.25">
      <c r="A72" s="1">
        <v>46127</v>
      </c>
      <c r="B72" s="6">
        <v>22.34</v>
      </c>
      <c r="C72" s="6">
        <v>41.97</v>
      </c>
      <c r="F72" s="13">
        <f>F71+D72</f>
        <v>0.1246</v>
      </c>
      <c r="G72" s="13">
        <f t="shared" si="5"/>
        <v>0</v>
      </c>
      <c r="H72" s="13">
        <f>B72+F72</f>
        <v>22.464600000000001</v>
      </c>
      <c r="I72" s="13">
        <f>C72+G72</f>
        <v>41.97</v>
      </c>
      <c r="J72" s="10">
        <f t="shared" si="6"/>
        <v>1.8682727491252904</v>
      </c>
      <c r="K72" s="10">
        <f t="shared" si="2"/>
        <v>1.8629533348678735</v>
      </c>
      <c r="L72" s="13">
        <f t="shared" si="3"/>
        <v>41.844997973762865</v>
      </c>
      <c r="M72" s="13">
        <f t="shared" si="4"/>
        <v>41.97</v>
      </c>
      <c r="N72" s="13">
        <f>M72-L72</f>
        <v>0.12500202623713363</v>
      </c>
      <c r="O72" s="2">
        <f>N72/L72</f>
        <v>2.9872632880878825E-3</v>
      </c>
    </row>
    <row r="73" spans="1:15" x14ac:dyDescent="0.25">
      <c r="A73" s="1">
        <v>46128</v>
      </c>
      <c r="B73" s="6">
        <v>22.27</v>
      </c>
      <c r="C73" s="6">
        <v>41.86</v>
      </c>
      <c r="F73" s="13">
        <f>F72+D73</f>
        <v>0.1246</v>
      </c>
      <c r="G73" s="13">
        <f t="shared" si="5"/>
        <v>0</v>
      </c>
      <c r="H73" s="13">
        <f>B73+F73</f>
        <v>22.394600000000001</v>
      </c>
      <c r="I73" s="13">
        <f>C73+G73</f>
        <v>41.86</v>
      </c>
      <c r="J73" s="10">
        <f t="shared" si="6"/>
        <v>1.8692006108615469</v>
      </c>
      <c r="K73" s="10">
        <f t="shared" si="2"/>
        <v>1.863348933258187</v>
      </c>
      <c r="L73" s="13">
        <f t="shared" si="3"/>
        <v>41.720094753032079</v>
      </c>
      <c r="M73" s="13">
        <f t="shared" si="4"/>
        <v>41.86</v>
      </c>
      <c r="N73" s="13">
        <f>M73-L73</f>
        <v>0.1399052469679205</v>
      </c>
      <c r="O73" s="2">
        <f>N73/L73</f>
        <v>3.353425916122893E-3</v>
      </c>
    </row>
    <row r="74" spans="1:15" x14ac:dyDescent="0.25">
      <c r="A74" s="1">
        <v>46129</v>
      </c>
      <c r="B74" s="6">
        <v>22.42</v>
      </c>
      <c r="C74" s="6">
        <v>42.13</v>
      </c>
      <c r="F74" s="13">
        <f>F73+D74</f>
        <v>0.1246</v>
      </c>
      <c r="G74" s="13">
        <f t="shared" si="5"/>
        <v>0</v>
      </c>
      <c r="H74" s="13">
        <f>B74+F74</f>
        <v>22.544600000000003</v>
      </c>
      <c r="I74" s="13">
        <f>C74+G74</f>
        <v>42.13</v>
      </c>
      <c r="J74" s="10">
        <f t="shared" si="6"/>
        <v>1.8687401861199577</v>
      </c>
      <c r="K74" s="10">
        <f t="shared" si="2"/>
        <v>1.8636305407633149</v>
      </c>
      <c r="L74" s="13">
        <f t="shared" si="3"/>
        <v>42.008456360732524</v>
      </c>
      <c r="M74" s="13">
        <f t="shared" si="4"/>
        <v>42.13</v>
      </c>
      <c r="N74" s="13">
        <f>M74-L74</f>
        <v>0.12154363926747891</v>
      </c>
      <c r="O74" s="2">
        <f>N74/L74</f>
        <v>2.8933136277078733E-3</v>
      </c>
    </row>
    <row r="75" spans="1:15" x14ac:dyDescent="0.25">
      <c r="A75" s="1">
        <v>46132</v>
      </c>
      <c r="B75" s="6">
        <v>22.45</v>
      </c>
      <c r="C75" s="6">
        <v>42.11</v>
      </c>
      <c r="F75" s="13">
        <f>F74+D75</f>
        <v>0.1246</v>
      </c>
      <c r="G75" s="13">
        <f t="shared" si="5"/>
        <v>0</v>
      </c>
      <c r="H75" s="13">
        <f>B75+F75</f>
        <v>22.5746</v>
      </c>
      <c r="I75" s="13">
        <f>C75+G75</f>
        <v>42.11</v>
      </c>
      <c r="J75" s="10">
        <f t="shared" si="6"/>
        <v>1.8653708149867549</v>
      </c>
      <c r="K75" s="10">
        <f t="shared" si="2"/>
        <v>1.8638276845007558</v>
      </c>
      <c r="L75" s="13">
        <f t="shared" si="3"/>
        <v>42.070714005515526</v>
      </c>
      <c r="M75" s="13">
        <f t="shared" si="4"/>
        <v>42.11</v>
      </c>
      <c r="N75" s="13">
        <f>M75-L75</f>
        <v>3.9285994484473008E-2</v>
      </c>
      <c r="O75" s="2">
        <f>N75/L75</f>
        <v>9.3380859852586673E-4</v>
      </c>
    </row>
    <row r="76" spans="1:15" x14ac:dyDescent="0.25">
      <c r="A76" s="1">
        <v>46133</v>
      </c>
      <c r="B76" s="6">
        <v>22.24</v>
      </c>
      <c r="C76" s="6">
        <v>41.76</v>
      </c>
      <c r="F76" s="13">
        <f>F75+D76</f>
        <v>0.1246</v>
      </c>
      <c r="G76" s="13">
        <f t="shared" si="5"/>
        <v>0</v>
      </c>
      <c r="H76" s="13">
        <f>B76+F76</f>
        <v>22.364599999999999</v>
      </c>
      <c r="I76" s="13">
        <f>C76+G76</f>
        <v>41.76</v>
      </c>
      <c r="J76" s="10">
        <f t="shared" si="6"/>
        <v>1.867236615007646</v>
      </c>
      <c r="K76" s="10">
        <f t="shared" si="2"/>
        <v>1.8642584058978451</v>
      </c>
      <c r="L76" s="13">
        <f t="shared" si="3"/>
        <v>41.683760632785599</v>
      </c>
      <c r="M76" s="13">
        <f t="shared" si="4"/>
        <v>41.76</v>
      </c>
      <c r="N76" s="13">
        <f>M76-L76</f>
        <v>7.6239367214398612E-2</v>
      </c>
      <c r="O76" s="2">
        <f>N76/L76</f>
        <v>1.8289944586821643E-3</v>
      </c>
    </row>
    <row r="77" spans="1:15" x14ac:dyDescent="0.25">
      <c r="A77" s="1">
        <v>46134</v>
      </c>
      <c r="B77" s="6">
        <v>22.25</v>
      </c>
      <c r="C77" s="6">
        <v>41.73</v>
      </c>
      <c r="F77" s="13">
        <f>F76+D77</f>
        <v>0.1246</v>
      </c>
      <c r="G77" s="13">
        <f t="shared" si="5"/>
        <v>0</v>
      </c>
      <c r="H77" s="13">
        <f>B77+F77</f>
        <v>22.374600000000001</v>
      </c>
      <c r="I77" s="13">
        <f>C77+G77</f>
        <v>41.73</v>
      </c>
      <c r="J77" s="10">
        <f t="shared" si="6"/>
        <v>1.8650612748384328</v>
      </c>
      <c r="K77" s="10">
        <f t="shared" si="2"/>
        <v>1.8644212271835443</v>
      </c>
      <c r="L77" s="13">
        <f t="shared" si="3"/>
        <v>41.712036128601923</v>
      </c>
      <c r="M77" s="13">
        <f t="shared" si="4"/>
        <v>41.73</v>
      </c>
      <c r="N77" s="13">
        <f>M77-L77</f>
        <v>1.796387139807365E-2</v>
      </c>
      <c r="O77" s="2">
        <f>N77/L77</f>
        <v>4.3066397772310692E-4</v>
      </c>
    </row>
    <row r="78" spans="1:15" x14ac:dyDescent="0.25">
      <c r="A78" s="1">
        <v>46135</v>
      </c>
      <c r="B78" s="6">
        <v>22.17</v>
      </c>
      <c r="C78" s="6">
        <v>41.65</v>
      </c>
      <c r="F78" s="13">
        <f>F77+D78</f>
        <v>0.1246</v>
      </c>
      <c r="G78" s="13">
        <f t="shared" si="5"/>
        <v>0</v>
      </c>
      <c r="H78" s="13">
        <f>B78+F78</f>
        <v>22.294600000000003</v>
      </c>
      <c r="I78" s="13">
        <f>C78+G78</f>
        <v>41.65</v>
      </c>
      <c r="J78" s="10">
        <f t="shared" si="6"/>
        <v>1.8681653853399476</v>
      </c>
      <c r="K78" s="10">
        <f t="shared" si="2"/>
        <v>1.8646526965243235</v>
      </c>
      <c r="L78" s="13">
        <f t="shared" si="3"/>
        <v>41.566525491566253</v>
      </c>
      <c r="M78" s="13">
        <f t="shared" si="4"/>
        <v>41.65</v>
      </c>
      <c r="N78" s="13">
        <f>M78-L78</f>
        <v>8.3474508433745598E-2</v>
      </c>
      <c r="O78" s="2">
        <f>N78/L78</f>
        <v>2.0082147219806085E-3</v>
      </c>
    </row>
    <row r="79" spans="1:15" x14ac:dyDescent="0.25">
      <c r="A79" s="1">
        <v>46136</v>
      </c>
      <c r="B79" s="6">
        <v>22.25</v>
      </c>
      <c r="C79" s="6">
        <v>41.83</v>
      </c>
      <c r="F79" s="13">
        <f>F78+D79</f>
        <v>0.1246</v>
      </c>
      <c r="G79" s="13">
        <f t="shared" si="5"/>
        <v>0</v>
      </c>
      <c r="H79" s="13">
        <f>B79+F79</f>
        <v>22.374600000000001</v>
      </c>
      <c r="I79" s="13">
        <f>C79+G79</f>
        <v>41.83</v>
      </c>
      <c r="J79" s="10">
        <f t="shared" si="6"/>
        <v>1.8695306284805091</v>
      </c>
      <c r="K79" s="10">
        <f t="shared" si="2"/>
        <v>1.8651415373338671</v>
      </c>
      <c r="L79" s="13">
        <f t="shared" si="3"/>
        <v>41.720858223653131</v>
      </c>
      <c r="M79" s="13">
        <f t="shared" si="4"/>
        <v>41.83</v>
      </c>
      <c r="N79" s="13">
        <f>M79-L79</f>
        <v>0.10914177634686695</v>
      </c>
      <c r="O79" s="2">
        <f>N79/L79</f>
        <v>2.6160002692607689E-3</v>
      </c>
    </row>
    <row r="80" spans="1:15" x14ac:dyDescent="0.25">
      <c r="A80" s="1">
        <v>46139</v>
      </c>
      <c r="B80" s="6">
        <v>22.19</v>
      </c>
      <c r="C80" s="6">
        <v>41.71</v>
      </c>
      <c r="F80" s="13">
        <f>F79+D80</f>
        <v>0.1246</v>
      </c>
      <c r="G80" s="13">
        <f t="shared" si="5"/>
        <v>0</v>
      </c>
      <c r="H80" s="13">
        <f>B80+F80</f>
        <v>22.314600000000002</v>
      </c>
      <c r="I80" s="13">
        <f>C80+G80</f>
        <v>41.71</v>
      </c>
      <c r="J80" s="10">
        <f t="shared" si="6"/>
        <v>1.8691798194903784</v>
      </c>
      <c r="K80" s="10">
        <f t="shared" si="2"/>
        <v>1.8656582708065195</v>
      </c>
      <c r="L80" s="13">
        <f t="shared" si="3"/>
        <v>41.619887348990318</v>
      </c>
      <c r="M80" s="13">
        <f t="shared" si="4"/>
        <v>41.71</v>
      </c>
      <c r="N80" s="13">
        <f>M80-L80</f>
        <v>9.011265100968302E-2</v>
      </c>
      <c r="O80" s="2">
        <f>N80/L80</f>
        <v>2.1651344285022224E-3</v>
      </c>
    </row>
    <row r="81" spans="1:15" x14ac:dyDescent="0.25">
      <c r="A81" s="1">
        <v>46140</v>
      </c>
      <c r="B81" s="6">
        <v>22.13</v>
      </c>
      <c r="C81" s="6">
        <v>41.6</v>
      </c>
      <c r="F81" s="13">
        <f>F80+D81</f>
        <v>0.1246</v>
      </c>
      <c r="G81" s="13">
        <f t="shared" si="5"/>
        <v>0</v>
      </c>
      <c r="H81" s="13">
        <f>B81+F81</f>
        <v>22.2546</v>
      </c>
      <c r="I81" s="13">
        <f>C81+G81</f>
        <v>41.6</v>
      </c>
      <c r="J81" s="10">
        <f t="shared" si="6"/>
        <v>1.8692764641916728</v>
      </c>
      <c r="K81" s="10">
        <f t="shared" si="2"/>
        <v>1.8660913278059048</v>
      </c>
      <c r="L81" s="13">
        <f t="shared" si="3"/>
        <v>41.519478553490771</v>
      </c>
      <c r="M81" s="13">
        <f t="shared" si="4"/>
        <v>41.6</v>
      </c>
      <c r="N81" s="13">
        <f>M81-L81</f>
        <v>8.0521446509230543E-2</v>
      </c>
      <c r="O81" s="2">
        <f>N81/L81</f>
        <v>1.9393655535796864E-3</v>
      </c>
    </row>
    <row r="82" spans="1:15" x14ac:dyDescent="0.25">
      <c r="A82" s="1">
        <v>46141</v>
      </c>
      <c r="B82" s="6">
        <v>21.98</v>
      </c>
      <c r="C82" s="6">
        <v>41.31</v>
      </c>
      <c r="F82" s="13">
        <f>F81+D82</f>
        <v>0.1246</v>
      </c>
      <c r="G82" s="13">
        <f t="shared" si="5"/>
        <v>0</v>
      </c>
      <c r="H82" s="13">
        <f>B82+F82</f>
        <v>22.104600000000001</v>
      </c>
      <c r="I82" s="13">
        <f>C82+G82</f>
        <v>41.31</v>
      </c>
      <c r="J82" s="10">
        <f t="shared" si="6"/>
        <v>1.8688417795391004</v>
      </c>
      <c r="K82" s="10">
        <f t="shared" si="2"/>
        <v>1.8663390986856399</v>
      </c>
      <c r="L82" s="13">
        <f t="shared" si="3"/>
        <v>41.249202364618405</v>
      </c>
      <c r="M82" s="13">
        <f t="shared" si="4"/>
        <v>41.31</v>
      </c>
      <c r="N82" s="13">
        <f>M82-L82</f>
        <v>6.0797635381597104E-2</v>
      </c>
      <c r="O82" s="2">
        <f>N82/L82</f>
        <v>1.4739105702986008E-3</v>
      </c>
    </row>
    <row r="83" spans="1:15" x14ac:dyDescent="0.25">
      <c r="A83" s="1">
        <v>46142</v>
      </c>
      <c r="B83" s="6">
        <v>22.27</v>
      </c>
      <c r="C83" s="6">
        <v>41.88</v>
      </c>
      <c r="F83" s="13">
        <f>F82+D83</f>
        <v>0.1246</v>
      </c>
      <c r="G83" s="13">
        <f t="shared" si="5"/>
        <v>0</v>
      </c>
      <c r="H83" s="13">
        <f>B83+F83</f>
        <v>22.394600000000001</v>
      </c>
      <c r="I83" s="13">
        <f>C83+G83</f>
        <v>41.88</v>
      </c>
      <c r="J83" s="10">
        <f t="shared" si="6"/>
        <v>1.8700936832986523</v>
      </c>
      <c r="K83" s="10">
        <f t="shared" si="2"/>
        <v>1.8666566750922253</v>
      </c>
      <c r="L83" s="13">
        <f t="shared" si="3"/>
        <v>41.795917579425428</v>
      </c>
      <c r="M83" s="13">
        <f t="shared" si="4"/>
        <v>41.88</v>
      </c>
      <c r="N83" s="13">
        <f>M83-L83</f>
        <v>8.4082420574574712E-2</v>
      </c>
      <c r="O83" s="2">
        <f>N83/L83</f>
        <v>2.0117376395623232E-3</v>
      </c>
    </row>
    <row r="84" spans="1:15" x14ac:dyDescent="0.25">
      <c r="A84" s="1">
        <v>46143</v>
      </c>
      <c r="B84" s="6">
        <v>22.23</v>
      </c>
      <c r="C84" s="6">
        <v>41.82</v>
      </c>
      <c r="D84" s="13">
        <v>4.3720000000000002E-2</v>
      </c>
      <c r="E84" s="13">
        <v>0</v>
      </c>
      <c r="F84" s="13">
        <f>F83+D84</f>
        <v>0.16832</v>
      </c>
      <c r="G84" s="13">
        <f t="shared" si="5"/>
        <v>0</v>
      </c>
      <c r="H84" s="13">
        <f>B84+F84</f>
        <v>22.398320000000002</v>
      </c>
      <c r="I84" s="13">
        <f>C84+G84</f>
        <v>41.82</v>
      </c>
      <c r="J84" s="10">
        <f t="shared" si="6"/>
        <v>1.8671043185381759</v>
      </c>
      <c r="K84" s="10">
        <f t="shared" si="2"/>
        <v>1.8668722747570801</v>
      </c>
      <c r="L84" s="13">
        <f t="shared" si="3"/>
        <v>41.809973538851693</v>
      </c>
      <c r="M84" s="13">
        <f t="shared" si="4"/>
        <v>41.82</v>
      </c>
      <c r="N84" s="13">
        <f>M84-L84</f>
        <v>1.0026461148306964E-2</v>
      </c>
      <c r="O84" s="2">
        <f>N84/L84</f>
        <v>2.3981027251763096E-4</v>
      </c>
    </row>
    <row r="85" spans="1:15" x14ac:dyDescent="0.25">
      <c r="A85" s="1">
        <v>46146</v>
      </c>
      <c r="B85" s="6">
        <v>22.13</v>
      </c>
      <c r="C85" s="6">
        <v>41.63</v>
      </c>
      <c r="F85" s="13">
        <f>F84+D85</f>
        <v>0.16832</v>
      </c>
      <c r="G85" s="13">
        <f t="shared" si="5"/>
        <v>0</v>
      </c>
      <c r="H85" s="13">
        <f>B85+F85</f>
        <v>22.29832</v>
      </c>
      <c r="I85" s="13">
        <f>C85+G85</f>
        <v>41.63</v>
      </c>
      <c r="J85" s="10">
        <f t="shared" si="6"/>
        <v>1.8669567931575115</v>
      </c>
      <c r="K85" s="10">
        <f t="shared" si="2"/>
        <v>1.8672231983919212</v>
      </c>
      <c r="L85" s="13">
        <f t="shared" si="3"/>
        <v>41.628115381661296</v>
      </c>
      <c r="M85" s="13">
        <f t="shared" si="4"/>
        <v>41.63</v>
      </c>
      <c r="N85" s="13">
        <f>M85-L85</f>
        <v>1.8846183387069004E-3</v>
      </c>
      <c r="O85" s="2">
        <f>N85/L85</f>
        <v>4.5272727852991965E-5</v>
      </c>
    </row>
    <row r="86" spans="1:15" x14ac:dyDescent="0.25">
      <c r="A86" s="1">
        <v>46147</v>
      </c>
      <c r="B86" s="6">
        <v>22.13</v>
      </c>
      <c r="C86" s="6">
        <v>41.78</v>
      </c>
      <c r="F86" s="13">
        <f>F85+D86</f>
        <v>0.16832</v>
      </c>
      <c r="G86" s="13">
        <f t="shared" si="5"/>
        <v>0</v>
      </c>
      <c r="H86" s="13">
        <f>B86+F86</f>
        <v>22.29832</v>
      </c>
      <c r="I86" s="13">
        <f>C86+G86</f>
        <v>41.78</v>
      </c>
      <c r="J86" s="10">
        <f t="shared" si="6"/>
        <v>1.8736837573413603</v>
      </c>
      <c r="K86" s="10">
        <f t="shared" si="2"/>
        <v>1.8677295458084706</v>
      </c>
      <c r="L86" s="13">
        <f t="shared" si="3"/>
        <v>41.635940389166542</v>
      </c>
      <c r="M86" s="13">
        <f t="shared" si="4"/>
        <v>41.78</v>
      </c>
      <c r="N86" s="13">
        <f>M86-L86</f>
        <v>0.14405961083345886</v>
      </c>
      <c r="O86" s="2">
        <f>N86/L86</f>
        <v>3.459982156928595E-3</v>
      </c>
    </row>
    <row r="87" spans="1:15" x14ac:dyDescent="0.25">
      <c r="A87" s="1">
        <v>46148</v>
      </c>
      <c r="B87" s="6">
        <v>22.34</v>
      </c>
      <c r="C87" s="6">
        <v>42.18</v>
      </c>
      <c r="F87" s="13">
        <f>F86+D87</f>
        <v>0.16832</v>
      </c>
      <c r="G87" s="13">
        <f t="shared" si="5"/>
        <v>0</v>
      </c>
      <c r="H87" s="13">
        <f>B87+F87</f>
        <v>22.508320000000001</v>
      </c>
      <c r="I87" s="13">
        <f>C87+G87</f>
        <v>42.18</v>
      </c>
      <c r="J87" s="10">
        <f t="shared" si="6"/>
        <v>1.8739737128315217</v>
      </c>
      <c r="K87" s="10">
        <f t="shared" ref="K87:K150" si="7">AVERAGE(J68:J87)</f>
        <v>1.8682869015491772</v>
      </c>
      <c r="L87" s="13">
        <f t="shared" si="3"/>
        <v>42.039454290511721</v>
      </c>
      <c r="M87" s="13">
        <f t="shared" si="4"/>
        <v>42.18</v>
      </c>
      <c r="N87" s="13">
        <f>M87-L87</f>
        <v>0.14054570948827916</v>
      </c>
      <c r="O87" s="2">
        <f>N87/L87</f>
        <v>3.3431858681381658E-3</v>
      </c>
    </row>
    <row r="88" spans="1:15" x14ac:dyDescent="0.25">
      <c r="A88" s="1">
        <v>46149</v>
      </c>
      <c r="B88" s="6">
        <v>22.31</v>
      </c>
      <c r="C88" s="6">
        <v>42.06</v>
      </c>
      <c r="F88" s="13">
        <f>F87+D88</f>
        <v>0.16832</v>
      </c>
      <c r="G88" s="13">
        <f t="shared" si="5"/>
        <v>0</v>
      </c>
      <c r="H88" s="13">
        <f>B88+F88</f>
        <v>22.47832</v>
      </c>
      <c r="I88" s="13">
        <f>C88+G88</f>
        <v>42.06</v>
      </c>
      <c r="J88" s="10">
        <f t="shared" si="6"/>
        <v>1.8711362770883235</v>
      </c>
      <c r="K88" s="10">
        <f t="shared" si="7"/>
        <v>1.8685325798272128</v>
      </c>
      <c r="L88" s="13">
        <f t="shared" ref="L88:L151" si="8">K87*H88</f>
        <v>41.995950824830899</v>
      </c>
      <c r="M88" s="13">
        <f t="shared" ref="M88:M151" si="9">I88</f>
        <v>42.06</v>
      </c>
      <c r="N88" s="13">
        <f>M88-L88</f>
        <v>6.4049175169103023E-2</v>
      </c>
      <c r="O88" s="2">
        <f>N88/L88</f>
        <v>1.5251273970735468E-3</v>
      </c>
    </row>
    <row r="89" spans="1:15" x14ac:dyDescent="0.25">
      <c r="A89" s="1">
        <v>46150</v>
      </c>
      <c r="B89" s="6">
        <v>22.39</v>
      </c>
      <c r="C89" s="6">
        <v>42.27</v>
      </c>
      <c r="F89" s="13">
        <f>F88+D89</f>
        <v>0.16832</v>
      </c>
      <c r="G89" s="13">
        <f t="shared" si="5"/>
        <v>0</v>
      </c>
      <c r="H89" s="13">
        <f>B89+F89</f>
        <v>22.558320000000002</v>
      </c>
      <c r="I89" s="13">
        <f>C89+G89</f>
        <v>42.27</v>
      </c>
      <c r="J89" s="10">
        <f t="shared" si="6"/>
        <v>1.873809751790027</v>
      </c>
      <c r="K89" s="10">
        <f t="shared" si="7"/>
        <v>1.8688820790159355</v>
      </c>
      <c r="L89" s="13">
        <f t="shared" si="8"/>
        <v>42.150955866167813</v>
      </c>
      <c r="M89" s="13">
        <f t="shared" si="9"/>
        <v>42.27</v>
      </c>
      <c r="N89" s="13">
        <f>M89-L89</f>
        <v>0.11904413383219037</v>
      </c>
      <c r="O89" s="2">
        <f>N89/L89</f>
        <v>2.8242333153763745E-3</v>
      </c>
    </row>
    <row r="90" spans="1:15" x14ac:dyDescent="0.25">
      <c r="A90" s="1">
        <v>46153</v>
      </c>
      <c r="B90" s="6">
        <v>22.29</v>
      </c>
      <c r="C90" s="6">
        <v>42.07</v>
      </c>
      <c r="F90" s="13">
        <f>F89+D90</f>
        <v>0.16832</v>
      </c>
      <c r="G90" s="13">
        <f t="shared" si="5"/>
        <v>0</v>
      </c>
      <c r="H90" s="13">
        <f>B90+F90</f>
        <v>22.458320000000001</v>
      </c>
      <c r="I90" s="13">
        <f>C90+G90</f>
        <v>42.07</v>
      </c>
      <c r="J90" s="10">
        <f t="shared" si="6"/>
        <v>1.8732478653790665</v>
      </c>
      <c r="K90" s="10">
        <f t="shared" si="7"/>
        <v>1.8692139447625693</v>
      </c>
      <c r="L90" s="13">
        <f t="shared" si="8"/>
        <v>41.971951772805163</v>
      </c>
      <c r="M90" s="13">
        <f t="shared" si="9"/>
        <v>42.07</v>
      </c>
      <c r="N90" s="13">
        <f>M90-L90</f>
        <v>9.8048227194837523E-2</v>
      </c>
      <c r="O90" s="2">
        <f>N90/L90</f>
        <v>2.3360416433711286E-3</v>
      </c>
    </row>
    <row r="91" spans="1:15" x14ac:dyDescent="0.25">
      <c r="A91" s="1">
        <v>46154</v>
      </c>
      <c r="B91" s="6">
        <v>22.14</v>
      </c>
      <c r="C91" s="6">
        <v>41.71</v>
      </c>
      <c r="F91" s="13">
        <f>F90+D91</f>
        <v>0.16832</v>
      </c>
      <c r="G91" s="13">
        <f t="shared" si="5"/>
        <v>0</v>
      </c>
      <c r="H91" s="13">
        <f>B91+F91</f>
        <v>22.308320000000002</v>
      </c>
      <c r="I91" s="13">
        <f>C91+G91</f>
        <v>41.71</v>
      </c>
      <c r="J91" s="10">
        <f t="shared" si="6"/>
        <v>1.8697060110308619</v>
      </c>
      <c r="K91" s="10">
        <f t="shared" si="7"/>
        <v>1.8694294249218366</v>
      </c>
      <c r="L91" s="13">
        <f t="shared" si="8"/>
        <v>41.699022828225722</v>
      </c>
      <c r="M91" s="13">
        <f t="shared" si="9"/>
        <v>41.71</v>
      </c>
      <c r="N91" s="13">
        <f>M91-L91</f>
        <v>1.0977171774278816E-2</v>
      </c>
      <c r="O91" s="2">
        <f>N91/L91</f>
        <v>2.6324769814146481E-4</v>
      </c>
    </row>
    <row r="92" spans="1:15" x14ac:dyDescent="0.25">
      <c r="A92" s="1">
        <v>46155</v>
      </c>
      <c r="B92" s="6">
        <v>22.11</v>
      </c>
      <c r="C92" s="6">
        <v>41.74</v>
      </c>
      <c r="F92" s="13">
        <f>F91+D92</f>
        <v>0.16832</v>
      </c>
      <c r="G92" s="13">
        <f t="shared" si="5"/>
        <v>0</v>
      </c>
      <c r="H92" s="13">
        <f>B92+F92</f>
        <v>22.278320000000001</v>
      </c>
      <c r="I92" s="13">
        <f>C92+G92</f>
        <v>41.74</v>
      </c>
      <c r="J92" s="10">
        <f t="shared" si="6"/>
        <v>1.8735703589857764</v>
      </c>
      <c r="K92" s="10">
        <f t="shared" si="7"/>
        <v>1.8696943054148611</v>
      </c>
      <c r="L92" s="13">
        <f t="shared" si="8"/>
        <v>41.64774694582465</v>
      </c>
      <c r="M92" s="13">
        <f t="shared" si="9"/>
        <v>41.74</v>
      </c>
      <c r="N92" s="13">
        <f>M92-L92</f>
        <v>9.2253054175351679E-2</v>
      </c>
      <c r="O92" s="2">
        <f>N92/L92</f>
        <v>2.2150791084894548E-3</v>
      </c>
    </row>
    <row r="93" spans="1:15" x14ac:dyDescent="0.25">
      <c r="A93" s="1">
        <v>46156</v>
      </c>
      <c r="B93" s="6">
        <v>22.05</v>
      </c>
      <c r="C93" s="6">
        <v>41.52</v>
      </c>
      <c r="F93" s="13">
        <f>F92+D93</f>
        <v>0.16832</v>
      </c>
      <c r="G93" s="13">
        <f t="shared" si="5"/>
        <v>0</v>
      </c>
      <c r="H93" s="13">
        <f>B93+F93</f>
        <v>22.218320000000002</v>
      </c>
      <c r="I93" s="13">
        <f>C93+G93</f>
        <v>41.52</v>
      </c>
      <c r="J93" s="10">
        <f t="shared" si="6"/>
        <v>1.8687281486629053</v>
      </c>
      <c r="K93" s="10">
        <f t="shared" si="7"/>
        <v>1.8696706823049289</v>
      </c>
      <c r="L93" s="13">
        <f t="shared" si="8"/>
        <v>41.541466379885122</v>
      </c>
      <c r="M93" s="13">
        <f t="shared" si="9"/>
        <v>41.52</v>
      </c>
      <c r="N93" s="13">
        <f>M93-L93</f>
        <v>-2.1466379885119125E-2</v>
      </c>
      <c r="O93" s="2">
        <f>N93/L93</f>
        <v>-5.1674583869560763E-4</v>
      </c>
    </row>
    <row r="94" spans="1:15" x14ac:dyDescent="0.25">
      <c r="A94" s="1">
        <v>46157</v>
      </c>
      <c r="B94" s="6">
        <v>21.81</v>
      </c>
      <c r="C94" s="6">
        <v>41.01</v>
      </c>
      <c r="F94" s="13">
        <f>F93+D94</f>
        <v>0.16832</v>
      </c>
      <c r="G94" s="13">
        <f t="shared" si="5"/>
        <v>0</v>
      </c>
      <c r="H94" s="13">
        <f>B94+F94</f>
        <v>21.97832</v>
      </c>
      <c r="I94" s="13">
        <f>C94+G94</f>
        <v>41.01</v>
      </c>
      <c r="J94" s="10">
        <f t="shared" si="6"/>
        <v>1.8659296979932951</v>
      </c>
      <c r="K94" s="10">
        <f t="shared" si="7"/>
        <v>1.8695301578985959</v>
      </c>
      <c r="L94" s="13">
        <f t="shared" si="8"/>
        <v>41.092220550316064</v>
      </c>
      <c r="M94" s="13">
        <f t="shared" si="9"/>
        <v>41.01</v>
      </c>
      <c r="N94" s="13">
        <f>M94-L94</f>
        <v>-8.222055031606601E-2</v>
      </c>
      <c r="O94" s="2">
        <f>N94/L94</f>
        <v>-2.0008787360466362E-3</v>
      </c>
    </row>
    <row r="95" spans="1:15" x14ac:dyDescent="0.25">
      <c r="A95" s="1">
        <v>46160</v>
      </c>
      <c r="B95" s="6">
        <v>21.9</v>
      </c>
      <c r="C95" s="6">
        <v>41.27</v>
      </c>
      <c r="F95" s="13">
        <f>F94+D95</f>
        <v>0.16832</v>
      </c>
      <c r="G95" s="13">
        <f t="shared" si="5"/>
        <v>0</v>
      </c>
      <c r="H95" s="13">
        <f>B95+F95</f>
        <v>22.06832</v>
      </c>
      <c r="I95" s="13">
        <f>C95+G95</f>
        <v>41.27</v>
      </c>
      <c r="J95" s="10">
        <f t="shared" si="6"/>
        <v>1.8701015754710826</v>
      </c>
      <c r="K95" s="10">
        <f t="shared" si="7"/>
        <v>1.8697666959228123</v>
      </c>
      <c r="L95" s="13">
        <f t="shared" si="8"/>
        <v>41.257389774156742</v>
      </c>
      <c r="M95" s="13">
        <f t="shared" si="9"/>
        <v>41.27</v>
      </c>
      <c r="N95" s="13">
        <f>M95-L95</f>
        <v>1.2610225843260991E-2</v>
      </c>
      <c r="O95" s="2">
        <f>N95/L95</f>
        <v>3.0564768911192544E-4</v>
      </c>
    </row>
    <row r="96" spans="1:15" x14ac:dyDescent="0.25">
      <c r="A96" s="1">
        <v>46161</v>
      </c>
      <c r="B96" s="6">
        <v>21.74</v>
      </c>
      <c r="C96" s="6">
        <v>41.03</v>
      </c>
      <c r="F96" s="13">
        <f>F95+D96</f>
        <v>0.16832</v>
      </c>
      <c r="G96" s="13">
        <f t="shared" si="5"/>
        <v>0</v>
      </c>
      <c r="H96" s="13">
        <f>B96+F96</f>
        <v>21.90832</v>
      </c>
      <c r="I96" s="13">
        <f>C96+G96</f>
        <v>41.03</v>
      </c>
      <c r="J96" s="10">
        <f t="shared" si="6"/>
        <v>1.8728044870624494</v>
      </c>
      <c r="K96" s="10">
        <f t="shared" si="7"/>
        <v>1.8700450895255529</v>
      </c>
      <c r="L96" s="13">
        <f t="shared" si="8"/>
        <v>40.963447099619664</v>
      </c>
      <c r="M96" s="13">
        <f t="shared" si="9"/>
        <v>41.03</v>
      </c>
      <c r="N96" s="13">
        <f>M96-L96</f>
        <v>6.6552900380337121E-2</v>
      </c>
      <c r="O96" s="2">
        <f>N96/L96</f>
        <v>1.6246899392642923E-3</v>
      </c>
    </row>
    <row r="97" spans="1:15" x14ac:dyDescent="0.25">
      <c r="A97" s="1">
        <v>46162</v>
      </c>
      <c r="B97" s="6">
        <v>21.95</v>
      </c>
      <c r="C97" s="6">
        <v>41.42</v>
      </c>
      <c r="F97" s="13">
        <f>F96+D97</f>
        <v>0.16832</v>
      </c>
      <c r="G97" s="13">
        <f t="shared" si="5"/>
        <v>0</v>
      </c>
      <c r="H97" s="13">
        <f>B97+F97</f>
        <v>22.118320000000001</v>
      </c>
      <c r="I97" s="13">
        <f>C97+G97</f>
        <v>41.42</v>
      </c>
      <c r="J97" s="10">
        <f t="shared" si="6"/>
        <v>1.8726557894089606</v>
      </c>
      <c r="K97" s="10">
        <f t="shared" si="7"/>
        <v>1.8704248152540788</v>
      </c>
      <c r="L97" s="13">
        <f t="shared" si="8"/>
        <v>41.362255704554826</v>
      </c>
      <c r="M97" s="13">
        <f t="shared" si="9"/>
        <v>41.42</v>
      </c>
      <c r="N97" s="13">
        <f>M97-L97</f>
        <v>5.7744295445175453E-2</v>
      </c>
      <c r="O97" s="2">
        <f>N97/L97</f>
        <v>1.3960625324120472E-3</v>
      </c>
    </row>
    <row r="98" spans="1:15" x14ac:dyDescent="0.25">
      <c r="A98" s="1">
        <v>46163</v>
      </c>
      <c r="B98" s="6">
        <v>21.94</v>
      </c>
      <c r="C98" s="6">
        <v>41.43</v>
      </c>
      <c r="F98" s="13">
        <f>F97+D98</f>
        <v>0.16832</v>
      </c>
      <c r="G98" s="13">
        <f t="shared" si="5"/>
        <v>0</v>
      </c>
      <c r="H98" s="13">
        <f>B98+F98</f>
        <v>22.108320000000003</v>
      </c>
      <c r="I98" s="13">
        <f>C98+G98</f>
        <v>41.43</v>
      </c>
      <c r="J98" s="10">
        <f t="shared" si="6"/>
        <v>1.8739551444885905</v>
      </c>
      <c r="K98" s="10">
        <f t="shared" si="7"/>
        <v>1.870714303211511</v>
      </c>
      <c r="L98" s="13">
        <f t="shared" si="8"/>
        <v>41.351950351578061</v>
      </c>
      <c r="M98" s="13">
        <f t="shared" si="9"/>
        <v>41.43</v>
      </c>
      <c r="N98" s="13">
        <f>M98-L98</f>
        <v>7.80496484219384E-2</v>
      </c>
      <c r="O98" s="2">
        <f>N98/L98</f>
        <v>1.8874478170522347E-3</v>
      </c>
    </row>
    <row r="99" spans="1:15" x14ac:dyDescent="0.25">
      <c r="A99" s="1">
        <v>46164</v>
      </c>
      <c r="B99" s="6">
        <v>21.93</v>
      </c>
      <c r="C99" s="6">
        <v>41.43</v>
      </c>
      <c r="F99" s="13">
        <f>F98+D99</f>
        <v>0.16832</v>
      </c>
      <c r="G99" s="13">
        <f t="shared" si="5"/>
        <v>0</v>
      </c>
      <c r="H99" s="13">
        <f>B99+F99</f>
        <v>22.098320000000001</v>
      </c>
      <c r="I99" s="13">
        <f>C99+G99</f>
        <v>41.43</v>
      </c>
      <c r="J99" s="10">
        <f t="shared" si="6"/>
        <v>1.8748031524568383</v>
      </c>
      <c r="K99" s="10">
        <f t="shared" si="7"/>
        <v>1.8709779294103277</v>
      </c>
      <c r="L99" s="13">
        <f t="shared" si="8"/>
        <v>41.339643300944999</v>
      </c>
      <c r="M99" s="13">
        <f t="shared" si="9"/>
        <v>41.43</v>
      </c>
      <c r="N99" s="13">
        <f>M99-L99</f>
        <v>9.0356699055000433E-2</v>
      </c>
      <c r="O99" s="2">
        <f>N99/L99</f>
        <v>2.1857154982499556E-3</v>
      </c>
    </row>
    <row r="100" spans="1:15" x14ac:dyDescent="0.25">
      <c r="A100" s="1">
        <v>46168</v>
      </c>
      <c r="B100" s="6">
        <v>22.04</v>
      </c>
      <c r="C100" s="6">
        <v>41.68</v>
      </c>
      <c r="F100" s="13">
        <f>F99+D100</f>
        <v>0.16832</v>
      </c>
      <c r="G100" s="13">
        <f t="shared" si="5"/>
        <v>0</v>
      </c>
      <c r="H100" s="13">
        <f>B100+F100</f>
        <v>22.208320000000001</v>
      </c>
      <c r="I100" s="13">
        <f>C100+G100</f>
        <v>41.68</v>
      </c>
      <c r="J100" s="10">
        <f t="shared" si="6"/>
        <v>1.8767741098831427</v>
      </c>
      <c r="K100" s="10">
        <f t="shared" si="7"/>
        <v>1.8713576439299657</v>
      </c>
      <c r="L100" s="13">
        <f t="shared" si="8"/>
        <v>41.551276569281967</v>
      </c>
      <c r="M100" s="13">
        <f t="shared" si="9"/>
        <v>41.68</v>
      </c>
      <c r="N100" s="13">
        <f>M100-L100</f>
        <v>0.12872343071803272</v>
      </c>
      <c r="O100" s="2">
        <f>N100/L100</f>
        <v>3.0979416601894581E-3</v>
      </c>
    </row>
    <row r="101" spans="1:15" x14ac:dyDescent="0.25">
      <c r="A101" s="1">
        <v>46169</v>
      </c>
      <c r="B101" s="6">
        <v>22.04</v>
      </c>
      <c r="C101" s="6">
        <v>41.68</v>
      </c>
      <c r="F101" s="13">
        <f>F100+D101</f>
        <v>0.16832</v>
      </c>
      <c r="G101" s="13">
        <f t="shared" si="5"/>
        <v>0</v>
      </c>
      <c r="H101" s="13">
        <f>B101+F101</f>
        <v>22.208320000000001</v>
      </c>
      <c r="I101" s="13">
        <f>C101+G101</f>
        <v>41.68</v>
      </c>
      <c r="J101" s="10">
        <f t="shared" si="6"/>
        <v>1.8767741098831427</v>
      </c>
      <c r="K101" s="10">
        <f t="shared" si="7"/>
        <v>1.8717325262145394</v>
      </c>
      <c r="L101" s="13">
        <f t="shared" si="8"/>
        <v>41.559709390842734</v>
      </c>
      <c r="M101" s="13">
        <f t="shared" si="9"/>
        <v>41.68</v>
      </c>
      <c r="N101" s="13">
        <f>M101-L101</f>
        <v>0.12029060915726575</v>
      </c>
      <c r="O101" s="2">
        <f>N101/L101</f>
        <v>2.8944044826206263E-3</v>
      </c>
    </row>
    <row r="102" spans="1:15" x14ac:dyDescent="0.25">
      <c r="A102" s="1">
        <v>46170</v>
      </c>
      <c r="B102" s="6">
        <v>22.11</v>
      </c>
      <c r="C102" s="6">
        <v>41.93</v>
      </c>
      <c r="F102" s="13">
        <f>F101+D102</f>
        <v>0.16832</v>
      </c>
      <c r="G102" s="13">
        <f t="shared" si="5"/>
        <v>0</v>
      </c>
      <c r="H102" s="13">
        <f>B102+F102</f>
        <v>22.278320000000001</v>
      </c>
      <c r="I102" s="13">
        <f>C102+G102</f>
        <v>41.93</v>
      </c>
      <c r="J102" s="10">
        <f t="shared" si="6"/>
        <v>1.8820988297142691</v>
      </c>
      <c r="K102" s="10">
        <f t="shared" si="7"/>
        <v>1.8723953787232976</v>
      </c>
      <c r="L102" s="13">
        <f t="shared" si="8"/>
        <v>41.699056173415897</v>
      </c>
      <c r="M102" s="13">
        <f t="shared" si="9"/>
        <v>41.93</v>
      </c>
      <c r="N102" s="13">
        <f>M102-L102</f>
        <v>0.2309438265841024</v>
      </c>
      <c r="O102" s="2">
        <f>N102/L102</f>
        <v>5.5383466144572928E-3</v>
      </c>
    </row>
    <row r="103" spans="1:15" x14ac:dyDescent="0.25">
      <c r="A103" s="1">
        <v>46171</v>
      </c>
      <c r="B103" s="6">
        <v>22.17</v>
      </c>
      <c r="C103" s="6">
        <v>41.98</v>
      </c>
      <c r="F103" s="13">
        <f>F102+D103</f>
        <v>0.16832</v>
      </c>
      <c r="G103" s="13">
        <f t="shared" si="5"/>
        <v>0</v>
      </c>
      <c r="H103" s="13">
        <f>B103+F103</f>
        <v>22.338320000000003</v>
      </c>
      <c r="I103" s="13">
        <f>C103+G103</f>
        <v>41.98</v>
      </c>
      <c r="J103" s="10">
        <f t="shared" si="6"/>
        <v>1.8792818797474471</v>
      </c>
      <c r="K103" s="10">
        <f t="shared" si="7"/>
        <v>1.8728547885457374</v>
      </c>
      <c r="L103" s="13">
        <f t="shared" si="8"/>
        <v>41.826167136442223</v>
      </c>
      <c r="M103" s="13">
        <f t="shared" si="9"/>
        <v>41.98</v>
      </c>
      <c r="N103" s="13">
        <f>M103-L103</f>
        <v>0.15383286355777415</v>
      </c>
      <c r="O103" s="2">
        <f>N103/L103</f>
        <v>3.6779096457954653E-3</v>
      </c>
    </row>
    <row r="104" spans="1:15" x14ac:dyDescent="0.25">
      <c r="A104" s="1">
        <v>46174</v>
      </c>
      <c r="B104" s="6">
        <v>22.03</v>
      </c>
      <c r="C104" s="6">
        <v>41.77</v>
      </c>
      <c r="D104" s="13">
        <v>4.5019999999999998E-2</v>
      </c>
      <c r="E104" s="13">
        <v>0</v>
      </c>
      <c r="F104" s="13">
        <f>F103+D104</f>
        <v>0.21334</v>
      </c>
      <c r="G104" s="13">
        <f t="shared" si="5"/>
        <v>0</v>
      </c>
      <c r="H104" s="13">
        <f>B104+F104</f>
        <v>22.24334</v>
      </c>
      <c r="I104" s="13">
        <f>C104+G104</f>
        <v>41.77</v>
      </c>
      <c r="J104" s="10">
        <f t="shared" si="6"/>
        <v>1.8778654644491342</v>
      </c>
      <c r="K104" s="10">
        <f t="shared" si="7"/>
        <v>1.8733928458412854</v>
      </c>
      <c r="L104" s="13">
        <f t="shared" si="8"/>
        <v>41.658545832250944</v>
      </c>
      <c r="M104" s="13">
        <f t="shared" si="9"/>
        <v>41.77</v>
      </c>
      <c r="N104" s="13">
        <f>M104-L104</f>
        <v>0.11145416774905925</v>
      </c>
      <c r="O104" s="2">
        <f>N104/L104</f>
        <v>2.6754214656905854E-3</v>
      </c>
    </row>
    <row r="105" spans="1:15" x14ac:dyDescent="0.25">
      <c r="A105" s="1">
        <v>46175</v>
      </c>
      <c r="B105" s="6">
        <v>22.02</v>
      </c>
      <c r="C105" s="6">
        <v>41.8</v>
      </c>
      <c r="F105" s="13">
        <f>F104+D105</f>
        <v>0.21334</v>
      </c>
      <c r="G105" s="13">
        <f t="shared" si="5"/>
        <v>0</v>
      </c>
      <c r="H105" s="13">
        <f>B105+F105</f>
        <v>22.233339999999998</v>
      </c>
      <c r="I105" s="13">
        <f>C105+G105</f>
        <v>41.8</v>
      </c>
      <c r="J105" s="10">
        <f t="shared" si="6"/>
        <v>1.8800594062790386</v>
      </c>
      <c r="K105" s="10">
        <f t="shared" si="7"/>
        <v>1.8740479764973621</v>
      </c>
      <c r="L105" s="13">
        <f t="shared" si="8"/>
        <v>41.65178009515688</v>
      </c>
      <c r="M105" s="13">
        <f t="shared" si="9"/>
        <v>41.8</v>
      </c>
      <c r="N105" s="13">
        <f>M105-L105</f>
        <v>0.14821990484311698</v>
      </c>
      <c r="O105" s="2">
        <f>N105/L105</f>
        <v>3.5585491065326992E-3</v>
      </c>
    </row>
    <row r="106" spans="1:15" x14ac:dyDescent="0.25">
      <c r="A106" s="1">
        <v>46176</v>
      </c>
      <c r="B106" s="6">
        <v>21.89</v>
      </c>
      <c r="C106" s="6">
        <v>41.45</v>
      </c>
      <c r="F106" s="13">
        <f>F105+D106</f>
        <v>0.21334</v>
      </c>
      <c r="G106" s="13">
        <f t="shared" si="5"/>
        <v>0</v>
      </c>
      <c r="H106" s="13">
        <f>B106+F106</f>
        <v>22.103339999999999</v>
      </c>
      <c r="I106" s="13">
        <f>C106+G106</f>
        <v>41.45</v>
      </c>
      <c r="J106" s="10">
        <f t="shared" si="6"/>
        <v>1.8752821971702016</v>
      </c>
      <c r="K106" s="10">
        <f t="shared" si="7"/>
        <v>1.8741278984888037</v>
      </c>
      <c r="L106" s="13">
        <f t="shared" si="8"/>
        <v>41.422719600833204</v>
      </c>
      <c r="M106" s="13">
        <f t="shared" si="9"/>
        <v>41.45</v>
      </c>
      <c r="N106" s="13">
        <f>M106-L106</f>
        <v>2.7280399166798475E-2</v>
      </c>
      <c r="O106" s="2">
        <f>N106/L106</f>
        <v>6.5858541953990244E-4</v>
      </c>
    </row>
    <row r="107" spans="1:15" x14ac:dyDescent="0.25">
      <c r="A107" s="1">
        <v>46177</v>
      </c>
      <c r="B107" s="6">
        <v>21.93</v>
      </c>
      <c r="C107" s="6">
        <v>41.54</v>
      </c>
      <c r="F107" s="13">
        <f>F106+D107</f>
        <v>0.21334</v>
      </c>
      <c r="G107" s="13">
        <f t="shared" si="5"/>
        <v>0</v>
      </c>
      <c r="H107" s="13">
        <f>B107+F107</f>
        <v>22.143339999999998</v>
      </c>
      <c r="I107" s="13">
        <f>C107+G107</f>
        <v>41.54</v>
      </c>
      <c r="J107" s="10">
        <f t="shared" si="6"/>
        <v>1.8759590919888329</v>
      </c>
      <c r="K107" s="10">
        <f t="shared" si="7"/>
        <v>1.8742271674466693</v>
      </c>
      <c r="L107" s="13">
        <f t="shared" si="8"/>
        <v>41.499451259723067</v>
      </c>
      <c r="M107" s="13">
        <f t="shared" si="9"/>
        <v>41.54</v>
      </c>
      <c r="N107" s="13">
        <f>M107-L107</f>
        <v>4.0548740276932449E-2</v>
      </c>
      <c r="O107" s="2">
        <f>N107/L107</f>
        <v>9.7709099870163041E-4</v>
      </c>
    </row>
    <row r="108" spans="1:15" x14ac:dyDescent="0.25">
      <c r="A108" s="1">
        <v>46178</v>
      </c>
      <c r="B108" s="6">
        <v>21.74</v>
      </c>
      <c r="C108" s="6">
        <v>41.17</v>
      </c>
      <c r="F108" s="13">
        <f>F107+D108</f>
        <v>0.21334</v>
      </c>
      <c r="G108" s="13">
        <f t="shared" si="5"/>
        <v>0</v>
      </c>
      <c r="H108" s="13">
        <f>B108+F108</f>
        <v>21.953339999999997</v>
      </c>
      <c r="I108" s="13">
        <f>C108+G108</f>
        <v>41.17</v>
      </c>
      <c r="J108" s="10">
        <f t="shared" si="6"/>
        <v>1.8753410642754136</v>
      </c>
      <c r="K108" s="10">
        <f t="shared" si="7"/>
        <v>1.8744374068060239</v>
      </c>
      <c r="L108" s="13">
        <f t="shared" si="8"/>
        <v>41.14554624419366</v>
      </c>
      <c r="M108" s="13">
        <f t="shared" si="9"/>
        <v>41.17</v>
      </c>
      <c r="N108" s="13">
        <f>M108-L108</f>
        <v>2.4453755806341348E-2</v>
      </c>
      <c r="O108" s="2">
        <f>N108/L108</f>
        <v>5.9432327526316871E-4</v>
      </c>
    </row>
    <row r="109" spans="1:15" x14ac:dyDescent="0.25">
      <c r="A109" s="1">
        <v>46181</v>
      </c>
      <c r="B109" s="6">
        <v>21.7</v>
      </c>
      <c r="C109" s="6">
        <v>41.08</v>
      </c>
      <c r="F109" s="13">
        <f>F108+D109</f>
        <v>0.21334</v>
      </c>
      <c r="G109" s="13">
        <f t="shared" si="5"/>
        <v>0</v>
      </c>
      <c r="H109" s="13">
        <f>B109+F109</f>
        <v>21.913339999999998</v>
      </c>
      <c r="I109" s="13">
        <f>C109+G109</f>
        <v>41.08</v>
      </c>
      <c r="J109" s="10">
        <f t="shared" si="6"/>
        <v>1.8746571722977876</v>
      </c>
      <c r="K109" s="10">
        <f t="shared" si="7"/>
        <v>1.874479777831412</v>
      </c>
      <c r="L109" s="13">
        <f t="shared" si="8"/>
        <v>41.075184204058715</v>
      </c>
      <c r="M109" s="13">
        <f t="shared" si="9"/>
        <v>41.08</v>
      </c>
      <c r="N109" s="13">
        <f>M109-L109</f>
        <v>4.8157959412833407E-3</v>
      </c>
      <c r="O109" s="2">
        <f>N109/L109</f>
        <v>1.1724344113367319E-4</v>
      </c>
    </row>
    <row r="110" spans="1:15" x14ac:dyDescent="0.25">
      <c r="A110" s="1">
        <v>46182</v>
      </c>
      <c r="B110" s="6">
        <v>21.78</v>
      </c>
      <c r="C110" s="6">
        <v>41.15</v>
      </c>
      <c r="F110" s="13">
        <f>F109+D110</f>
        <v>0.21334</v>
      </c>
      <c r="G110" s="13">
        <f t="shared" si="5"/>
        <v>0</v>
      </c>
      <c r="H110" s="13">
        <f>B110+F110</f>
        <v>21.99334</v>
      </c>
      <c r="I110" s="13">
        <f>C110+G110</f>
        <v>41.15</v>
      </c>
      <c r="J110" s="10">
        <f t="shared" si="6"/>
        <v>1.8710209545253245</v>
      </c>
      <c r="K110" s="10">
        <f t="shared" si="7"/>
        <v>1.8743684322887251</v>
      </c>
      <c r="L110" s="13">
        <f t="shared" si="8"/>
        <v>41.226071076970705</v>
      </c>
      <c r="M110" s="13">
        <f t="shared" si="9"/>
        <v>41.15</v>
      </c>
      <c r="N110" s="13">
        <f>M110-L110</f>
        <v>-7.6071076970706031E-2</v>
      </c>
      <c r="O110" s="2">
        <f>N110/L110</f>
        <v>-1.8452177222679873E-3</v>
      </c>
    </row>
    <row r="111" spans="1:15" x14ac:dyDescent="0.25">
      <c r="A111" s="1">
        <v>46183</v>
      </c>
      <c r="B111" s="6">
        <v>21.72</v>
      </c>
      <c r="C111" s="6">
        <v>41.08</v>
      </c>
      <c r="F111" s="13">
        <f>F110+D111</f>
        <v>0.21334</v>
      </c>
      <c r="G111" s="13">
        <f t="shared" si="5"/>
        <v>0</v>
      </c>
      <c r="H111" s="13">
        <f>B111+F111</f>
        <v>21.933339999999998</v>
      </c>
      <c r="I111" s="13">
        <f>C111+G111</f>
        <v>41.08</v>
      </c>
      <c r="J111" s="10">
        <f t="shared" si="6"/>
        <v>1.8729477589824441</v>
      </c>
      <c r="K111" s="10">
        <f t="shared" si="7"/>
        <v>1.874530519686304</v>
      </c>
      <c r="L111" s="13">
        <f t="shared" si="8"/>
        <v>41.111160110655582</v>
      </c>
      <c r="M111" s="13">
        <f t="shared" si="9"/>
        <v>41.08</v>
      </c>
      <c r="N111" s="13">
        <f>M111-L111</f>
        <v>-3.1160110655584106E-2</v>
      </c>
      <c r="O111" s="2">
        <f>N111/L111</f>
        <v>-7.5794773418490159E-4</v>
      </c>
    </row>
    <row r="112" spans="1:15" x14ac:dyDescent="0.25">
      <c r="A112" s="1">
        <v>46184</v>
      </c>
      <c r="B112" s="6">
        <v>21.94</v>
      </c>
      <c r="C112" s="6">
        <v>41.5</v>
      </c>
      <c r="F112" s="13">
        <f>F111+D112</f>
        <v>0.21334</v>
      </c>
      <c r="G112" s="13">
        <f t="shared" si="5"/>
        <v>0</v>
      </c>
      <c r="H112" s="13">
        <f>B112+F112</f>
        <v>22.15334</v>
      </c>
      <c r="I112" s="13">
        <f>C112+G112</f>
        <v>41.5</v>
      </c>
      <c r="J112" s="10">
        <f t="shared" si="6"/>
        <v>1.8733066887430969</v>
      </c>
      <c r="K112" s="10">
        <f t="shared" si="7"/>
        <v>1.8745173361741698</v>
      </c>
      <c r="L112" s="13">
        <f t="shared" si="8"/>
        <v>41.527111942987389</v>
      </c>
      <c r="M112" s="13">
        <f t="shared" si="9"/>
        <v>41.5</v>
      </c>
      <c r="N112" s="13">
        <f>M112-L112</f>
        <v>-2.711194298738917E-2</v>
      </c>
      <c r="O112" s="2">
        <f>N112/L112</f>
        <v>-6.5287330899897831E-4</v>
      </c>
    </row>
    <row r="113" spans="1:15" x14ac:dyDescent="0.25">
      <c r="A113" s="1">
        <v>46185</v>
      </c>
      <c r="B113" s="6">
        <v>21.94</v>
      </c>
      <c r="C113" s="6">
        <v>41.49</v>
      </c>
      <c r="F113" s="13">
        <f>F112+D113</f>
        <v>0.21334</v>
      </c>
      <c r="G113" s="13">
        <f t="shared" si="5"/>
        <v>0</v>
      </c>
      <c r="H113" s="13">
        <f>B113+F113</f>
        <v>22.15334</v>
      </c>
      <c r="I113" s="13">
        <f>C113+G113</f>
        <v>41.49</v>
      </c>
      <c r="J113" s="10">
        <f t="shared" si="6"/>
        <v>1.8728552895409902</v>
      </c>
      <c r="K113" s="10">
        <f t="shared" si="7"/>
        <v>1.8747236932180744</v>
      </c>
      <c r="L113" s="13">
        <f t="shared" si="8"/>
        <v>41.52681988416068</v>
      </c>
      <c r="M113" s="13">
        <f t="shared" si="9"/>
        <v>41.49</v>
      </c>
      <c r="N113" s="13">
        <f>M113-L113</f>
        <v>-3.6819884160678384E-2</v>
      </c>
      <c r="O113" s="2">
        <f>N113/L113</f>
        <v>-8.8665311390055093E-4</v>
      </c>
    </row>
    <row r="114" spans="1:15" x14ac:dyDescent="0.25">
      <c r="A114" s="1">
        <v>46188</v>
      </c>
      <c r="B114" s="6">
        <v>22</v>
      </c>
      <c r="C114" s="6">
        <v>41.58</v>
      </c>
      <c r="F114" s="13">
        <f>F113+D114</f>
        <v>0.21334</v>
      </c>
      <c r="G114" s="13">
        <f t="shared" si="5"/>
        <v>0</v>
      </c>
      <c r="H114" s="13">
        <f>B114+F114</f>
        <v>22.213339999999999</v>
      </c>
      <c r="I114" s="13">
        <f>C114+G114</f>
        <v>41.58</v>
      </c>
      <c r="J114" s="10">
        <f t="shared" si="6"/>
        <v>1.8718481777166334</v>
      </c>
      <c r="K114" s="10">
        <f t="shared" si="7"/>
        <v>1.8750196172042415</v>
      </c>
      <c r="L114" s="13">
        <f t="shared" si="8"/>
        <v>41.64387480350878</v>
      </c>
      <c r="M114" s="13">
        <f t="shared" si="9"/>
        <v>41.58</v>
      </c>
      <c r="N114" s="13">
        <f>M114-L114</f>
        <v>-6.3874803508781497E-2</v>
      </c>
      <c r="O114" s="2">
        <f>N114/L114</f>
        <v>-1.533834298805442E-3</v>
      </c>
    </row>
    <row r="115" spans="1:15" x14ac:dyDescent="0.25">
      <c r="A115" s="1">
        <v>46189</v>
      </c>
      <c r="B115" s="6">
        <v>22.06</v>
      </c>
      <c r="C115" s="6">
        <v>41.72</v>
      </c>
      <c r="F115" s="13">
        <f>F114+D115</f>
        <v>0.21334</v>
      </c>
      <c r="G115" s="13">
        <f t="shared" si="5"/>
        <v>0</v>
      </c>
      <c r="H115" s="13">
        <f>B115+F115</f>
        <v>22.273339999999997</v>
      </c>
      <c r="I115" s="13">
        <f>C115+G115</f>
        <v>41.72</v>
      </c>
      <c r="J115" s="10">
        <f t="shared" si="6"/>
        <v>1.87309132801816</v>
      </c>
      <c r="K115" s="10">
        <f t="shared" si="7"/>
        <v>1.875169104831595</v>
      </c>
      <c r="L115" s="13">
        <f t="shared" si="8"/>
        <v>41.762949440659916</v>
      </c>
      <c r="M115" s="13">
        <f t="shared" si="9"/>
        <v>41.72</v>
      </c>
      <c r="N115" s="13">
        <f>M115-L115</f>
        <v>-4.294944065991757E-2</v>
      </c>
      <c r="O115" s="2">
        <f>N115/L115</f>
        <v>-1.0284101394932251E-3</v>
      </c>
    </row>
    <row r="116" spans="1:15" x14ac:dyDescent="0.25">
      <c r="A116" s="1">
        <v>46190</v>
      </c>
      <c r="B116" s="6">
        <v>21.87</v>
      </c>
      <c r="C116" s="6">
        <v>41.33</v>
      </c>
      <c r="F116" s="13">
        <f>F115+D116</f>
        <v>0.21334</v>
      </c>
      <c r="G116" s="13">
        <f t="shared" si="5"/>
        <v>0</v>
      </c>
      <c r="H116" s="13">
        <f>B116+F116</f>
        <v>22.08334</v>
      </c>
      <c r="I116" s="13">
        <f>C116+G116</f>
        <v>41.33</v>
      </c>
      <c r="J116" s="10">
        <f t="shared" si="6"/>
        <v>1.8715466048161193</v>
      </c>
      <c r="K116" s="10">
        <f t="shared" si="7"/>
        <v>1.8751062107192784</v>
      </c>
      <c r="L116" s="13">
        <f t="shared" si="8"/>
        <v>41.409996899491759</v>
      </c>
      <c r="M116" s="13">
        <f t="shared" si="9"/>
        <v>41.33</v>
      </c>
      <c r="N116" s="13">
        <f>M116-L116</f>
        <v>-7.9996899491760587E-2</v>
      </c>
      <c r="O116" s="2">
        <f>N116/L116</f>
        <v>-1.9318257783482813E-3</v>
      </c>
    </row>
    <row r="117" spans="1:15" x14ac:dyDescent="0.25">
      <c r="A117" s="1">
        <v>46191</v>
      </c>
      <c r="B117" s="6">
        <v>21.82</v>
      </c>
      <c r="C117" s="6">
        <v>41.2</v>
      </c>
      <c r="F117" s="13">
        <f>F116+D117</f>
        <v>0.21334</v>
      </c>
      <c r="G117" s="13">
        <f t="shared" si="5"/>
        <v>0</v>
      </c>
      <c r="H117" s="13">
        <f>B117+F117</f>
        <v>22.033339999999999</v>
      </c>
      <c r="I117" s="13">
        <f>C117+G117</f>
        <v>41.2</v>
      </c>
      <c r="J117" s="10">
        <f t="shared" si="6"/>
        <v>1.8698935340715481</v>
      </c>
      <c r="K117" s="10">
        <f t="shared" si="7"/>
        <v>1.8749680979524075</v>
      </c>
      <c r="L117" s="13">
        <f t="shared" si="8"/>
        <v>41.314852676889501</v>
      </c>
      <c r="M117" s="13">
        <f t="shared" si="9"/>
        <v>41.2</v>
      </c>
      <c r="N117" s="13">
        <f>M117-L117</f>
        <v>-0.11485267688949818</v>
      </c>
      <c r="O117" s="2">
        <f>N117/L117</f>
        <v>-2.779936740612993E-3</v>
      </c>
    </row>
    <row r="118" spans="1:15" x14ac:dyDescent="0.25">
      <c r="A118" s="1">
        <v>46195</v>
      </c>
      <c r="B118" s="6">
        <v>21.72</v>
      </c>
      <c r="C118" s="6">
        <v>41.02</v>
      </c>
      <c r="F118" s="13">
        <f>F117+D118</f>
        <v>0.21334</v>
      </c>
      <c r="G118" s="13">
        <f t="shared" si="5"/>
        <v>0</v>
      </c>
      <c r="H118" s="13">
        <f>B118+F118</f>
        <v>21.933339999999998</v>
      </c>
      <c r="I118" s="13">
        <f>C118+G118</f>
        <v>41.02</v>
      </c>
      <c r="J118" s="10">
        <f t="shared" si="6"/>
        <v>1.8702121975038917</v>
      </c>
      <c r="K118" s="10">
        <f t="shared" si="7"/>
        <v>1.874780950603173</v>
      </c>
      <c r="L118" s="13">
        <f t="shared" si="8"/>
        <v>41.124312781543452</v>
      </c>
      <c r="M118" s="13">
        <f t="shared" si="9"/>
        <v>41.02</v>
      </c>
      <c r="N118" s="13">
        <f>M118-L118</f>
        <v>-0.10431278154344881</v>
      </c>
      <c r="O118" s="2">
        <f>N118/L118</f>
        <v>-2.5365233966964736E-3</v>
      </c>
    </row>
    <row r="119" spans="1:15" x14ac:dyDescent="0.25">
      <c r="A119" s="1">
        <v>46196</v>
      </c>
      <c r="B119" s="6">
        <v>21.67</v>
      </c>
      <c r="C119" s="6">
        <v>40.909999999999997</v>
      </c>
      <c r="F119" s="13">
        <f>F118+D119</f>
        <v>0.21334</v>
      </c>
      <c r="G119" s="13">
        <f t="shared" si="5"/>
        <v>0</v>
      </c>
      <c r="H119" s="13">
        <f>B119+F119</f>
        <v>21.88334</v>
      </c>
      <c r="I119" s="13">
        <f>C119+G119</f>
        <v>40.909999999999997</v>
      </c>
      <c r="J119" s="10">
        <f t="shared" si="6"/>
        <v>1.8694586840948408</v>
      </c>
      <c r="K119" s="10">
        <f t="shared" si="7"/>
        <v>1.8745137271850727</v>
      </c>
      <c r="L119" s="13">
        <f t="shared" si="8"/>
        <v>41.026468967572441</v>
      </c>
      <c r="M119" s="13">
        <f t="shared" si="9"/>
        <v>40.909999999999997</v>
      </c>
      <c r="N119" s="13">
        <f>M119-L119</f>
        <v>-0.11646896757244463</v>
      </c>
      <c r="O119" s="2">
        <f>N119/L119</f>
        <v>-2.8388737930262137E-3</v>
      </c>
    </row>
    <row r="120" spans="1:15" x14ac:dyDescent="0.25">
      <c r="A120" s="1">
        <v>46197</v>
      </c>
      <c r="B120" s="6">
        <v>21.66</v>
      </c>
      <c r="C120" s="6">
        <v>40.97</v>
      </c>
      <c r="F120" s="13">
        <f>F119+D120</f>
        <v>0.21334</v>
      </c>
      <c r="G120" s="13">
        <f t="shared" si="5"/>
        <v>0</v>
      </c>
      <c r="H120" s="13">
        <f>B120+F120</f>
        <v>21.873339999999999</v>
      </c>
      <c r="I120" s="13">
        <f>C120+G120</f>
        <v>40.97</v>
      </c>
      <c r="J120" s="10">
        <f t="shared" si="6"/>
        <v>1.8730564239389138</v>
      </c>
      <c r="K120" s="10">
        <f t="shared" si="7"/>
        <v>1.8743278428878611</v>
      </c>
      <c r="L120" s="13">
        <f t="shared" si="8"/>
        <v>41.001876089386336</v>
      </c>
      <c r="M120" s="13">
        <f t="shared" si="9"/>
        <v>40.97</v>
      </c>
      <c r="N120" s="13">
        <f>M120-L120</f>
        <v>-3.1876089386337014E-2</v>
      </c>
      <c r="O120" s="2">
        <f>N120/L120</f>
        <v>-7.7743002092990556E-4</v>
      </c>
    </row>
    <row r="121" spans="1:15" x14ac:dyDescent="0.25">
      <c r="A121" s="1">
        <v>46198</v>
      </c>
      <c r="B121" s="6">
        <v>21.68</v>
      </c>
      <c r="C121" s="6">
        <v>41</v>
      </c>
      <c r="F121" s="13">
        <f>F120+D121</f>
        <v>0.21334</v>
      </c>
      <c r="G121" s="13">
        <f t="shared" si="5"/>
        <v>0</v>
      </c>
      <c r="H121" s="13">
        <f>B121+F121</f>
        <v>21.893339999999998</v>
      </c>
      <c r="I121" s="13">
        <f>C121+G121</f>
        <v>41</v>
      </c>
      <c r="J121" s="10">
        <f t="shared" si="6"/>
        <v>1.87271562950194</v>
      </c>
      <c r="K121" s="10">
        <f t="shared" si="7"/>
        <v>1.8741249188688009</v>
      </c>
      <c r="L121" s="13">
        <f t="shared" si="8"/>
        <v>41.035296735810526</v>
      </c>
      <c r="M121" s="13">
        <f t="shared" si="9"/>
        <v>41</v>
      </c>
      <c r="N121" s="13">
        <f>M121-L121</f>
        <v>-3.5296735810526059E-2</v>
      </c>
      <c r="O121" s="2">
        <f>N121/L121</f>
        <v>-8.6015549096111294E-4</v>
      </c>
    </row>
    <row r="122" spans="1:15" x14ac:dyDescent="0.25">
      <c r="A122" s="1">
        <v>46199</v>
      </c>
      <c r="B122" s="6">
        <v>21.73</v>
      </c>
      <c r="C122" s="6">
        <v>41.04</v>
      </c>
      <c r="F122" s="13">
        <f>F121+D122</f>
        <v>0.21334</v>
      </c>
      <c r="G122" s="13">
        <f t="shared" si="5"/>
        <v>0</v>
      </c>
      <c r="H122" s="13">
        <f>B122+F122</f>
        <v>21.943339999999999</v>
      </c>
      <c r="I122" s="13">
        <f>C122+G122</f>
        <v>41.04</v>
      </c>
      <c r="J122" s="10">
        <f t="shared" si="6"/>
        <v>1.870271344289429</v>
      </c>
      <c r="K122" s="10">
        <f t="shared" si="7"/>
        <v>1.8735335445975594</v>
      </c>
      <c r="L122" s="13">
        <f t="shared" si="8"/>
        <v>41.124560297210515</v>
      </c>
      <c r="M122" s="13">
        <f t="shared" si="9"/>
        <v>41.04</v>
      </c>
      <c r="N122" s="13">
        <f>M122-L122</f>
        <v>-8.45602972105155E-2</v>
      </c>
      <c r="O122" s="2">
        <f>N122/L122</f>
        <v>-2.0561994243681004E-3</v>
      </c>
    </row>
    <row r="123" spans="1:15" x14ac:dyDescent="0.25">
      <c r="A123" s="1">
        <v>46202</v>
      </c>
      <c r="B123" s="6">
        <v>21.75</v>
      </c>
      <c r="C123" s="6">
        <v>41.16</v>
      </c>
      <c r="F123" s="13">
        <f>F122+D123</f>
        <v>0.21334</v>
      </c>
      <c r="G123" s="13">
        <f t="shared" si="5"/>
        <v>0</v>
      </c>
      <c r="H123" s="13">
        <f>B123+F123</f>
        <v>21.963339999999999</v>
      </c>
      <c r="I123" s="13">
        <f>C123+G123</f>
        <v>41.16</v>
      </c>
      <c r="J123" s="10">
        <f t="shared" si="6"/>
        <v>1.8740319095365277</v>
      </c>
      <c r="K123" s="10">
        <f t="shared" si="7"/>
        <v>1.8732710460870134</v>
      </c>
      <c r="L123" s="13">
        <f t="shared" si="8"/>
        <v>41.149054241401359</v>
      </c>
      <c r="M123" s="13">
        <f t="shared" si="9"/>
        <v>41.16</v>
      </c>
      <c r="N123" s="13">
        <f>M123-L123</f>
        <v>1.0945758598637667E-2</v>
      </c>
      <c r="O123" s="2">
        <f>N123/L123</f>
        <v>2.6600267735011013E-4</v>
      </c>
    </row>
    <row r="124" spans="1:15" x14ac:dyDescent="0.25">
      <c r="A124" s="1">
        <v>46203</v>
      </c>
      <c r="B124" s="6">
        <v>21.68</v>
      </c>
      <c r="C124" s="6">
        <v>41.03</v>
      </c>
      <c r="F124" s="13">
        <f>F123+D124</f>
        <v>0.21334</v>
      </c>
      <c r="G124" s="13">
        <f t="shared" si="5"/>
        <v>0</v>
      </c>
      <c r="H124" s="13">
        <f>B124+F124</f>
        <v>21.893339999999998</v>
      </c>
      <c r="I124" s="13">
        <f>C124+G124</f>
        <v>41.03</v>
      </c>
      <c r="J124" s="10">
        <f t="shared" si="6"/>
        <v>1.8740859092308439</v>
      </c>
      <c r="K124" s="10">
        <f t="shared" si="7"/>
        <v>1.8730820683260987</v>
      </c>
      <c r="L124" s="13">
        <f t="shared" si="8"/>
        <v>41.012159924138651</v>
      </c>
      <c r="M124" s="13">
        <f t="shared" si="9"/>
        <v>41.03</v>
      </c>
      <c r="N124" s="13">
        <f>M124-L124</f>
        <v>1.7840075861350613E-2</v>
      </c>
      <c r="O124" s="2">
        <f>N124/L124</f>
        <v>4.3499478921251415E-4</v>
      </c>
    </row>
    <row r="125" spans="1:15" x14ac:dyDescent="0.25">
      <c r="A125" s="1">
        <v>46204</v>
      </c>
      <c r="B125" s="6">
        <v>21.59</v>
      </c>
      <c r="C125" s="6">
        <v>40.9</v>
      </c>
      <c r="D125" s="13">
        <v>4.4130000000000003E-2</v>
      </c>
      <c r="E125" s="13">
        <v>0</v>
      </c>
      <c r="F125" s="13">
        <f>F124+D125</f>
        <v>0.25746999999999998</v>
      </c>
      <c r="G125" s="13">
        <f t="shared" si="5"/>
        <v>0</v>
      </c>
      <c r="H125" s="13">
        <f>B125+F125</f>
        <v>21.847470000000001</v>
      </c>
      <c r="I125" s="13">
        <f>C125+G125</f>
        <v>40.9</v>
      </c>
      <c r="J125" s="10">
        <f t="shared" si="6"/>
        <v>1.8720703129469909</v>
      </c>
      <c r="K125" s="10">
        <f t="shared" si="7"/>
        <v>1.8726826136594963</v>
      </c>
      <c r="L125" s="13">
        <f t="shared" si="8"/>
        <v>40.922104295292392</v>
      </c>
      <c r="M125" s="13">
        <f t="shared" si="9"/>
        <v>40.9</v>
      </c>
      <c r="N125" s="13">
        <f>M125-L125</f>
        <v>-2.2104295292393772E-2</v>
      </c>
      <c r="O125" s="2">
        <f>N125/L125</f>
        <v>-5.4015539212964208E-4</v>
      </c>
    </row>
    <row r="126" spans="1:15" x14ac:dyDescent="0.25">
      <c r="A126" s="1">
        <v>46205</v>
      </c>
      <c r="B126" s="6">
        <v>21.68</v>
      </c>
      <c r="C126" s="6">
        <v>41.04</v>
      </c>
      <c r="F126" s="13">
        <f>F125+D126</f>
        <v>0.25746999999999998</v>
      </c>
      <c r="G126" s="13">
        <f t="shared" si="5"/>
        <v>0</v>
      </c>
      <c r="H126" s="13">
        <f>B126+F126</f>
        <v>21.937470000000001</v>
      </c>
      <c r="I126" s="13">
        <f>C126+G126</f>
        <v>41.04</v>
      </c>
      <c r="J126" s="10">
        <f t="shared" si="6"/>
        <v>1.870771789089626</v>
      </c>
      <c r="K126" s="10">
        <f t="shared" si="7"/>
        <v>1.8724570932554674</v>
      </c>
      <c r="L126" s="13">
        <f t="shared" si="8"/>
        <v>41.081918656676791</v>
      </c>
      <c r="M126" s="13">
        <f t="shared" si="9"/>
        <v>41.04</v>
      </c>
      <c r="N126" s="13">
        <f>M126-L126</f>
        <v>-4.1918656676791954E-2</v>
      </c>
      <c r="O126" s="2">
        <f>N126/L126</f>
        <v>-1.0203675497025301E-3</v>
      </c>
    </row>
    <row r="127" spans="1:15" x14ac:dyDescent="0.25">
      <c r="A127" s="1">
        <v>46209</v>
      </c>
      <c r="B127" s="6">
        <v>21.67</v>
      </c>
      <c r="C127" s="6">
        <v>40.97</v>
      </c>
      <c r="F127" s="13">
        <f>F126+D127</f>
        <v>0.25746999999999998</v>
      </c>
      <c r="G127" s="13">
        <f t="shared" si="5"/>
        <v>0</v>
      </c>
      <c r="H127" s="13">
        <f>B127+F127</f>
        <v>21.927470000000003</v>
      </c>
      <c r="I127" s="13">
        <f>C127+G127</f>
        <v>40.97</v>
      </c>
      <c r="J127" s="10">
        <f t="shared" si="6"/>
        <v>1.8684326098724564</v>
      </c>
      <c r="K127" s="10">
        <f t="shared" si="7"/>
        <v>1.8720807691496486</v>
      </c>
      <c r="L127" s="13">
        <f t="shared" si="8"/>
        <v>41.058246738646467</v>
      </c>
      <c r="M127" s="13">
        <f t="shared" si="9"/>
        <v>40.97</v>
      </c>
      <c r="N127" s="13">
        <f>M127-L127</f>
        <v>-8.8246738646468259E-2</v>
      </c>
      <c r="O127" s="2">
        <f>N127/L127</f>
        <v>-2.1493060628768926E-3</v>
      </c>
    </row>
    <row r="128" spans="1:15" x14ac:dyDescent="0.25">
      <c r="A128" s="1">
        <v>46210</v>
      </c>
      <c r="B128" s="6">
        <v>21.55</v>
      </c>
      <c r="C128" s="6">
        <v>40.75</v>
      </c>
      <c r="F128" s="13">
        <f>F127+D128</f>
        <v>0.25746999999999998</v>
      </c>
      <c r="G128" s="13">
        <f t="shared" si="5"/>
        <v>0</v>
      </c>
      <c r="H128" s="13">
        <f>B128+F128</f>
        <v>21.807470000000002</v>
      </c>
      <c r="I128" s="13">
        <f>C128+G128</f>
        <v>40.75</v>
      </c>
      <c r="J128" s="10">
        <f t="shared" si="6"/>
        <v>1.8686257507175292</v>
      </c>
      <c r="K128" s="10">
        <f t="shared" si="7"/>
        <v>1.8717450034717544</v>
      </c>
      <c r="L128" s="13">
        <f t="shared" si="8"/>
        <v>40.825345210807889</v>
      </c>
      <c r="M128" s="13">
        <f t="shared" si="9"/>
        <v>40.75</v>
      </c>
      <c r="N128" s="13">
        <f>M128-L128</f>
        <v>-7.5345210807888918E-2</v>
      </c>
      <c r="O128" s="2">
        <f>N128/L128</f>
        <v>-1.8455498764023291E-3</v>
      </c>
    </row>
    <row r="129" spans="1:15" x14ac:dyDescent="0.25">
      <c r="A129" s="1">
        <v>46211</v>
      </c>
      <c r="B129" s="6">
        <v>21.5</v>
      </c>
      <c r="C129" s="6">
        <v>40.659999999999997</v>
      </c>
      <c r="F129" s="13">
        <f>F128+D129</f>
        <v>0.25746999999999998</v>
      </c>
      <c r="G129" s="13">
        <f t="shared" si="5"/>
        <v>0</v>
      </c>
      <c r="H129" s="13">
        <f>B129+F129</f>
        <v>21.757470000000001</v>
      </c>
      <c r="I129" s="13">
        <f>C129+G129</f>
        <v>40.659999999999997</v>
      </c>
      <c r="J129" s="10">
        <f t="shared" si="6"/>
        <v>1.8687834569000896</v>
      </c>
      <c r="K129" s="10">
        <f t="shared" si="7"/>
        <v>1.8714513177018695</v>
      </c>
      <c r="L129" s="13">
        <f t="shared" si="8"/>
        <v>40.724435760686596</v>
      </c>
      <c r="M129" s="13">
        <f t="shared" si="9"/>
        <v>40.659999999999997</v>
      </c>
      <c r="N129" s="13">
        <f>M129-L129</f>
        <v>-6.4435760686599508E-2</v>
      </c>
      <c r="O129" s="2">
        <f>N129/L129</f>
        <v>-1.582238267590749E-3</v>
      </c>
    </row>
    <row r="130" spans="1:15" x14ac:dyDescent="0.25">
      <c r="A130" s="1">
        <v>46212</v>
      </c>
      <c r="B130" s="6">
        <v>21.52</v>
      </c>
      <c r="C130" s="6">
        <v>40.75</v>
      </c>
      <c r="F130" s="13">
        <f>F129+D130</f>
        <v>0.25746999999999998</v>
      </c>
      <c r="G130" s="13">
        <f t="shared" si="5"/>
        <v>0</v>
      </c>
      <c r="H130" s="13">
        <f>B130+F130</f>
        <v>21.777470000000001</v>
      </c>
      <c r="I130" s="13">
        <f>C130+G130</f>
        <v>40.75</v>
      </c>
      <c r="J130" s="10">
        <f t="shared" si="6"/>
        <v>1.8711999144069535</v>
      </c>
      <c r="K130" s="10">
        <f t="shared" si="7"/>
        <v>1.8714602656959509</v>
      </c>
      <c r="L130" s="13">
        <f t="shared" si="8"/>
        <v>40.755474927712932</v>
      </c>
      <c r="M130" s="13">
        <f t="shared" si="9"/>
        <v>40.75</v>
      </c>
      <c r="N130" s="13">
        <f>M130-L130</f>
        <v>-5.4749277129317875E-3</v>
      </c>
      <c r="O130" s="2">
        <f>N130/L130</f>
        <v>-1.3433600571806717E-4</v>
      </c>
    </row>
    <row r="131" spans="1:15" x14ac:dyDescent="0.25">
      <c r="A131" s="1">
        <v>46213</v>
      </c>
      <c r="B131" s="6">
        <v>21.59</v>
      </c>
      <c r="C131" s="6">
        <v>40.840000000000003</v>
      </c>
      <c r="F131" s="13">
        <f>F130+D131</f>
        <v>0.25746999999999998</v>
      </c>
      <c r="G131" s="13">
        <f t="shared" si="5"/>
        <v>0</v>
      </c>
      <c r="H131" s="13">
        <f>B131+F131</f>
        <v>21.847470000000001</v>
      </c>
      <c r="I131" s="13">
        <f>C131+G131</f>
        <v>40.840000000000003</v>
      </c>
      <c r="J131" s="10">
        <f t="shared" si="6"/>
        <v>1.869323999529465</v>
      </c>
      <c r="K131" s="10">
        <f t="shared" si="7"/>
        <v>1.8712790777233022</v>
      </c>
      <c r="L131" s="13">
        <f t="shared" si="8"/>
        <v>40.88667201098432</v>
      </c>
      <c r="M131" s="13">
        <f t="shared" si="9"/>
        <v>40.840000000000003</v>
      </c>
      <c r="N131" s="13">
        <f>M131-L131</f>
        <v>-4.6672010984316614E-2</v>
      </c>
      <c r="O131" s="2">
        <f>N131/L131</f>
        <v>-1.1414969399264887E-3</v>
      </c>
    </row>
    <row r="132" spans="1:15" x14ac:dyDescent="0.25">
      <c r="A132" s="1">
        <v>46216</v>
      </c>
      <c r="B132" s="6">
        <v>21.45</v>
      </c>
      <c r="C132" s="6">
        <v>40.58</v>
      </c>
      <c r="F132" s="13">
        <f>F131+D132</f>
        <v>0.25746999999999998</v>
      </c>
      <c r="G132" s="13">
        <f t="shared" ref="G132:G175" si="10">G131+E132</f>
        <v>0</v>
      </c>
      <c r="H132" s="13">
        <f>B132+F132</f>
        <v>21.707470000000001</v>
      </c>
      <c r="I132" s="13">
        <f>C132+G132</f>
        <v>40.58</v>
      </c>
      <c r="J132" s="10">
        <f t="shared" ref="J132:J175" si="11">I132/H132</f>
        <v>1.8694025605010625</v>
      </c>
      <c r="K132" s="10">
        <f t="shared" si="7"/>
        <v>1.8710838713112008</v>
      </c>
      <c r="L132" s="13">
        <f t="shared" si="8"/>
        <v>40.620734441306254</v>
      </c>
      <c r="M132" s="13">
        <f t="shared" si="9"/>
        <v>40.58</v>
      </c>
      <c r="N132" s="13">
        <f>M132-L132</f>
        <v>-4.0734441306256031E-2</v>
      </c>
      <c r="O132" s="2">
        <f>N132/L132</f>
        <v>-1.0027992321289532E-3</v>
      </c>
    </row>
    <row r="133" spans="1:15" x14ac:dyDescent="0.25">
      <c r="A133" s="1">
        <v>46217</v>
      </c>
      <c r="B133" s="6">
        <v>21.59</v>
      </c>
      <c r="C133" s="6">
        <v>40.799999999999997</v>
      </c>
      <c r="F133" s="13">
        <f>F132+D133</f>
        <v>0.25746999999999998</v>
      </c>
      <c r="G133" s="13">
        <f t="shared" si="10"/>
        <v>0</v>
      </c>
      <c r="H133" s="13">
        <f>B133+F133</f>
        <v>21.847470000000001</v>
      </c>
      <c r="I133" s="13">
        <f>C133+G133</f>
        <v>40.799999999999997</v>
      </c>
      <c r="J133" s="10">
        <f t="shared" si="11"/>
        <v>1.8674931239177806</v>
      </c>
      <c r="K133" s="10">
        <f t="shared" si="7"/>
        <v>1.8708157630300406</v>
      </c>
      <c r="L133" s="13">
        <f t="shared" si="8"/>
        <v>40.878448745955325</v>
      </c>
      <c r="M133" s="13">
        <f t="shared" si="9"/>
        <v>40.799999999999997</v>
      </c>
      <c r="N133" s="13">
        <f>M133-L133</f>
        <v>-7.8448745955327581E-2</v>
      </c>
      <c r="O133" s="2">
        <f>N133/L133</f>
        <v>-1.9190734570887944E-3</v>
      </c>
    </row>
    <row r="134" spans="1:15" x14ac:dyDescent="0.25">
      <c r="A134" s="1">
        <v>46218</v>
      </c>
      <c r="B134" s="6">
        <v>21.66</v>
      </c>
      <c r="C134" s="6">
        <v>41</v>
      </c>
      <c r="F134" s="13">
        <f>F133+D134</f>
        <v>0.25746999999999998</v>
      </c>
      <c r="G134" s="13">
        <f t="shared" si="10"/>
        <v>0</v>
      </c>
      <c r="H134" s="13">
        <f>B134+F134</f>
        <v>21.917470000000002</v>
      </c>
      <c r="I134" s="13">
        <f>C134+G134</f>
        <v>41</v>
      </c>
      <c r="J134" s="10">
        <f t="shared" si="11"/>
        <v>1.8706538665274777</v>
      </c>
      <c r="K134" s="10">
        <f t="shared" si="7"/>
        <v>1.8707560474705827</v>
      </c>
      <c r="L134" s="13">
        <f t="shared" si="8"/>
        <v>41.003548361738027</v>
      </c>
      <c r="M134" s="13">
        <f t="shared" si="9"/>
        <v>41</v>
      </c>
      <c r="N134" s="13">
        <f>M134-L134</f>
        <v>-3.5483617380265287E-3</v>
      </c>
      <c r="O134" s="2">
        <f>N134/L134</f>
        <v>-8.6537918785039588E-5</v>
      </c>
    </row>
    <row r="135" spans="1:15" x14ac:dyDescent="0.25">
      <c r="A135" s="1">
        <v>46219</v>
      </c>
      <c r="B135" s="6">
        <v>21.59</v>
      </c>
      <c r="C135" s="6">
        <v>40.85</v>
      </c>
      <c r="F135" s="13">
        <f>F134+D135</f>
        <v>0.25746999999999998</v>
      </c>
      <c r="G135" s="13">
        <f t="shared" si="10"/>
        <v>0</v>
      </c>
      <c r="H135" s="13">
        <f>B135+F135</f>
        <v>21.847470000000001</v>
      </c>
      <c r="I135" s="13">
        <f>C135+G135</f>
        <v>40.85</v>
      </c>
      <c r="J135" s="10">
        <f t="shared" si="11"/>
        <v>1.8697817184323859</v>
      </c>
      <c r="K135" s="10">
        <f t="shared" si="7"/>
        <v>1.8705905669912937</v>
      </c>
      <c r="L135" s="13">
        <f t="shared" si="8"/>
        <v>40.87128662443213</v>
      </c>
      <c r="M135" s="13">
        <f t="shared" si="9"/>
        <v>40.85</v>
      </c>
      <c r="N135" s="13">
        <f>M135-L135</f>
        <v>-2.1286624432129031E-2</v>
      </c>
      <c r="O135" s="2">
        <f>N135/L135</f>
        <v>-5.2082100149507564E-4</v>
      </c>
    </row>
    <row r="136" spans="1:15" x14ac:dyDescent="0.25">
      <c r="A136" s="1">
        <v>46220</v>
      </c>
      <c r="B136" s="6">
        <v>21.56</v>
      </c>
      <c r="C136" s="6">
        <v>40.770000000000003</v>
      </c>
      <c r="F136" s="13">
        <f>F135+D136</f>
        <v>0.25746999999999998</v>
      </c>
      <c r="G136" s="13">
        <f t="shared" si="10"/>
        <v>0</v>
      </c>
      <c r="H136" s="13">
        <f>B136+F136</f>
        <v>21.81747</v>
      </c>
      <c r="I136" s="13">
        <f>C136+G136</f>
        <v>40.770000000000003</v>
      </c>
      <c r="J136" s="10">
        <f t="shared" si="11"/>
        <v>1.8686859658796369</v>
      </c>
      <c r="K136" s="10">
        <f t="shared" si="7"/>
        <v>1.8704475350444696</v>
      </c>
      <c r="L136" s="13">
        <f t="shared" si="8"/>
        <v>40.811553577615541</v>
      </c>
      <c r="M136" s="13">
        <f t="shared" si="9"/>
        <v>40.770000000000003</v>
      </c>
      <c r="N136" s="13">
        <f>M136-L136</f>
        <v>-4.1553577615538018E-2</v>
      </c>
      <c r="O136" s="2">
        <f>N136/L136</f>
        <v>-1.0181817150506484E-3</v>
      </c>
    </row>
    <row r="137" spans="1:15" x14ac:dyDescent="0.25">
      <c r="A137" s="1">
        <v>46223</v>
      </c>
      <c r="B137" s="6">
        <v>21.51</v>
      </c>
      <c r="C137" s="6">
        <v>40.68</v>
      </c>
      <c r="F137" s="13">
        <f>F136+D137</f>
        <v>0.25746999999999998</v>
      </c>
      <c r="G137" s="13">
        <f t="shared" si="10"/>
        <v>0</v>
      </c>
      <c r="H137" s="13">
        <f>B137+F137</f>
        <v>21.767470000000003</v>
      </c>
      <c r="I137" s="13">
        <f>C137+G137</f>
        <v>40.68</v>
      </c>
      <c r="J137" s="10">
        <f t="shared" si="11"/>
        <v>1.8688437379263643</v>
      </c>
      <c r="K137" s="10">
        <f t="shared" si="7"/>
        <v>1.8703950452372102</v>
      </c>
      <c r="L137" s="13">
        <f t="shared" si="8"/>
        <v>40.714910605654445</v>
      </c>
      <c r="M137" s="13">
        <f t="shared" si="9"/>
        <v>40.68</v>
      </c>
      <c r="N137" s="13">
        <f>M137-L137</f>
        <v>-3.4910605654445703E-2</v>
      </c>
      <c r="O137" s="2">
        <f>N137/L137</f>
        <v>-8.5744031204129309E-4</v>
      </c>
    </row>
    <row r="138" spans="1:15" x14ac:dyDescent="0.25">
      <c r="A138" s="1">
        <v>46224</v>
      </c>
      <c r="B138" s="6">
        <v>21.46</v>
      </c>
      <c r="C138" s="6">
        <v>40.58</v>
      </c>
      <c r="F138" s="13">
        <f>F137+D138</f>
        <v>0.25746999999999998</v>
      </c>
      <c r="G138" s="13">
        <f t="shared" si="10"/>
        <v>0</v>
      </c>
      <c r="H138" s="13">
        <f>B138+F138</f>
        <v>21.717470000000002</v>
      </c>
      <c r="I138" s="13">
        <f>C138+G138</f>
        <v>40.58</v>
      </c>
      <c r="J138" s="10">
        <f t="shared" si="11"/>
        <v>1.868541777656421</v>
      </c>
      <c r="K138" s="10">
        <f t="shared" si="7"/>
        <v>1.8703115242448363</v>
      </c>
      <c r="L138" s="13">
        <f t="shared" si="8"/>
        <v>40.620248283087761</v>
      </c>
      <c r="M138" s="13">
        <f t="shared" si="9"/>
        <v>40.58</v>
      </c>
      <c r="N138" s="13">
        <f>M138-L138</f>
        <v>-4.024828308776307E-2</v>
      </c>
      <c r="O138" s="2">
        <f>N138/L138</f>
        <v>-9.9084286258586062E-4</v>
      </c>
    </row>
    <row r="139" spans="1:15" x14ac:dyDescent="0.25">
      <c r="A139" s="1">
        <v>46225</v>
      </c>
      <c r="B139" s="6">
        <v>21.46</v>
      </c>
      <c r="C139" s="6">
        <v>40.549999999999997</v>
      </c>
      <c r="F139" s="13">
        <f>F138+D139</f>
        <v>0.25746999999999998</v>
      </c>
      <c r="G139" s="13">
        <f t="shared" si="10"/>
        <v>0</v>
      </c>
      <c r="H139" s="13">
        <f>B139+F139</f>
        <v>21.717470000000002</v>
      </c>
      <c r="I139" s="13">
        <f>C139+G139</f>
        <v>40.549999999999997</v>
      </c>
      <c r="J139" s="10">
        <f t="shared" si="11"/>
        <v>1.8671604012806278</v>
      </c>
      <c r="K139" s="10">
        <f t="shared" si="7"/>
        <v>1.8701966101041259</v>
      </c>
      <c r="L139" s="13">
        <f t="shared" si="8"/>
        <v>40.61843441844151</v>
      </c>
      <c r="M139" s="13">
        <f t="shared" si="9"/>
        <v>40.549999999999997</v>
      </c>
      <c r="N139" s="13">
        <f>M139-L139</f>
        <v>-6.8434418441512435E-2</v>
      </c>
      <c r="O139" s="2">
        <f>N139/L139</f>
        <v>-1.6848118205767665E-3</v>
      </c>
    </row>
    <row r="140" spans="1:15" x14ac:dyDescent="0.25">
      <c r="A140" s="1">
        <v>46226</v>
      </c>
      <c r="B140" s="6">
        <v>21.36</v>
      </c>
      <c r="C140" s="6">
        <v>40.35</v>
      </c>
      <c r="F140" s="13">
        <f>F139+D140</f>
        <v>0.25746999999999998</v>
      </c>
      <c r="G140" s="13">
        <f t="shared" si="10"/>
        <v>0</v>
      </c>
      <c r="H140" s="13">
        <f>B140+F140</f>
        <v>21.617470000000001</v>
      </c>
      <c r="I140" s="13">
        <f>C140+G140</f>
        <v>40.35</v>
      </c>
      <c r="J140" s="10">
        <f t="shared" si="11"/>
        <v>1.8665459001446516</v>
      </c>
      <c r="K140" s="10">
        <f t="shared" si="7"/>
        <v>1.8698710839144126</v>
      </c>
      <c r="L140" s="13">
        <f t="shared" si="8"/>
        <v>40.428919113027639</v>
      </c>
      <c r="M140" s="13">
        <f t="shared" si="9"/>
        <v>40.35</v>
      </c>
      <c r="N140" s="13">
        <f>M140-L140</f>
        <v>-7.8919113027637877E-2</v>
      </c>
      <c r="O140" s="2">
        <f>N140/L140</f>
        <v>-1.9520460788724704E-3</v>
      </c>
    </row>
    <row r="141" spans="1:15" x14ac:dyDescent="0.25">
      <c r="A141" s="1">
        <v>46227</v>
      </c>
      <c r="B141" s="6">
        <v>21.4</v>
      </c>
      <c r="C141" s="6">
        <v>40.44</v>
      </c>
      <c r="F141" s="13">
        <f>F140+D141</f>
        <v>0.25746999999999998</v>
      </c>
      <c r="G141" s="13">
        <f t="shared" si="10"/>
        <v>0</v>
      </c>
      <c r="H141" s="13">
        <f>B141+F141</f>
        <v>21.65747</v>
      </c>
      <c r="I141" s="13">
        <f>C141+G141</f>
        <v>40.44</v>
      </c>
      <c r="J141" s="10">
        <f t="shared" si="11"/>
        <v>1.8672541160163212</v>
      </c>
      <c r="K141" s="10">
        <f t="shared" si="7"/>
        <v>1.8695980082401316</v>
      </c>
      <c r="L141" s="13">
        <f t="shared" si="8"/>
        <v>40.496676903743875</v>
      </c>
      <c r="M141" s="13">
        <f t="shared" si="9"/>
        <v>40.44</v>
      </c>
      <c r="N141" s="13">
        <f>M141-L141</f>
        <v>-5.667690374387746E-2</v>
      </c>
      <c r="O141" s="2">
        <f>N141/L141</f>
        <v>-1.3995445571643372E-3</v>
      </c>
    </row>
    <row r="142" spans="1:15" x14ac:dyDescent="0.25">
      <c r="A142" s="1">
        <v>46230</v>
      </c>
      <c r="B142" s="6">
        <v>21.44</v>
      </c>
      <c r="C142" s="6">
        <v>40.549999999999997</v>
      </c>
      <c r="F142" s="13">
        <f>F141+D142</f>
        <v>0.25746999999999998</v>
      </c>
      <c r="G142" s="13">
        <f t="shared" si="10"/>
        <v>0</v>
      </c>
      <c r="H142" s="13">
        <f>B142+F142</f>
        <v>21.697470000000003</v>
      </c>
      <c r="I142" s="13">
        <f>C142+G142</f>
        <v>40.549999999999997</v>
      </c>
      <c r="J142" s="10">
        <f t="shared" si="11"/>
        <v>1.8688814871042565</v>
      </c>
      <c r="K142" s="10">
        <f t="shared" si="7"/>
        <v>1.8695285153808729</v>
      </c>
      <c r="L142" s="13">
        <f t="shared" si="8"/>
        <v>40.56554669585001</v>
      </c>
      <c r="M142" s="13">
        <f t="shared" si="9"/>
        <v>40.549999999999997</v>
      </c>
      <c r="N142" s="13">
        <f>M142-L142</f>
        <v>-1.5546695850012782E-2</v>
      </c>
      <c r="O142" s="2">
        <f>N142/L142</f>
        <v>-3.8324876937017243E-4</v>
      </c>
    </row>
    <row r="143" spans="1:15" x14ac:dyDescent="0.25">
      <c r="A143" s="1">
        <v>46231</v>
      </c>
      <c r="B143" s="6">
        <v>21.47</v>
      </c>
      <c r="C143" s="6">
        <v>40.659999999999997</v>
      </c>
      <c r="F143" s="13">
        <f>F142+D143</f>
        <v>0.25746999999999998</v>
      </c>
      <c r="G143" s="13">
        <f t="shared" si="10"/>
        <v>0</v>
      </c>
      <c r="H143" s="13">
        <f>B143+F143</f>
        <v>21.72747</v>
      </c>
      <c r="I143" s="13">
        <f>C143+G143</f>
        <v>40.659999999999997</v>
      </c>
      <c r="J143" s="10">
        <f t="shared" si="11"/>
        <v>1.8713637620947121</v>
      </c>
      <c r="K143" s="10">
        <f t="shared" si="7"/>
        <v>1.8693951080087821</v>
      </c>
      <c r="L143" s="13">
        <f t="shared" si="8"/>
        <v>40.620124732082459</v>
      </c>
      <c r="M143" s="13">
        <f t="shared" si="9"/>
        <v>40.659999999999997</v>
      </c>
      <c r="N143" s="13">
        <f>M143-L143</f>
        <v>3.9875267917537371E-2</v>
      </c>
      <c r="O143" s="2">
        <f>N143/L143</f>
        <v>9.8166286244914499E-4</v>
      </c>
    </row>
    <row r="144" spans="1:15" x14ac:dyDescent="0.25">
      <c r="A144" s="1">
        <v>46232</v>
      </c>
      <c r="B144" s="6">
        <v>21.5</v>
      </c>
      <c r="C144" s="6">
        <v>40.68</v>
      </c>
      <c r="F144" s="13">
        <f>F143+D144</f>
        <v>0.25746999999999998</v>
      </c>
      <c r="G144" s="13">
        <f t="shared" si="10"/>
        <v>0</v>
      </c>
      <c r="H144" s="13">
        <f>B144+F144</f>
        <v>21.757470000000001</v>
      </c>
      <c r="I144" s="13">
        <f>C144+G144</f>
        <v>40.68</v>
      </c>
      <c r="J144" s="10">
        <f t="shared" si="11"/>
        <v>1.8697026814238971</v>
      </c>
      <c r="K144" s="10">
        <f t="shared" si="7"/>
        <v>1.869175946618435</v>
      </c>
      <c r="L144" s="13">
        <f t="shared" si="8"/>
        <v>40.673307980647841</v>
      </c>
      <c r="M144" s="13">
        <f t="shared" si="9"/>
        <v>40.68</v>
      </c>
      <c r="N144" s="13">
        <f>M144-L144</f>
        <v>6.6920193521582405E-3</v>
      </c>
      <c r="O144" s="2">
        <f>N144/L144</f>
        <v>1.6453098320260231E-4</v>
      </c>
    </row>
    <row r="145" spans="1:15" x14ac:dyDescent="0.25">
      <c r="A145" s="1">
        <v>46233</v>
      </c>
      <c r="B145" s="6">
        <v>21.77</v>
      </c>
      <c r="C145" s="6">
        <v>41.15</v>
      </c>
      <c r="F145" s="13">
        <f>F144+D145</f>
        <v>0.25746999999999998</v>
      </c>
      <c r="G145" s="13">
        <f t="shared" si="10"/>
        <v>0</v>
      </c>
      <c r="H145" s="13">
        <f>B145+F145</f>
        <v>22.027470000000001</v>
      </c>
      <c r="I145" s="13">
        <f>C145+G145</f>
        <v>41.15</v>
      </c>
      <c r="J145" s="10">
        <f t="shared" si="11"/>
        <v>1.8681219404679701</v>
      </c>
      <c r="K145" s="10">
        <f t="shared" si="7"/>
        <v>1.8689785279944844</v>
      </c>
      <c r="L145" s="13">
        <f t="shared" si="8"/>
        <v>41.173217088859182</v>
      </c>
      <c r="M145" s="13">
        <f t="shared" si="9"/>
        <v>41.15</v>
      </c>
      <c r="N145" s="13">
        <f>M145-L145</f>
        <v>-2.3217088859183832E-2</v>
      </c>
      <c r="O145" s="2">
        <f>N145/L145</f>
        <v>-5.6388814138757224E-4</v>
      </c>
    </row>
    <row r="146" spans="1:15" x14ac:dyDescent="0.25">
      <c r="A146" s="1">
        <v>46234</v>
      </c>
      <c r="B146" s="6">
        <v>21.72</v>
      </c>
      <c r="C146" s="6">
        <v>41.01</v>
      </c>
      <c r="F146" s="13">
        <f>F145+D146</f>
        <v>0.25746999999999998</v>
      </c>
      <c r="G146" s="13">
        <f t="shared" si="10"/>
        <v>0</v>
      </c>
      <c r="H146" s="13">
        <f>B146+F146</f>
        <v>21.97747</v>
      </c>
      <c r="I146" s="13">
        <f>C146+G146</f>
        <v>41.01</v>
      </c>
      <c r="J146" s="10">
        <f t="shared" si="11"/>
        <v>1.8660018646368302</v>
      </c>
      <c r="K146" s="10">
        <f t="shared" si="7"/>
        <v>1.868740031771845</v>
      </c>
      <c r="L146" s="13">
        <f t="shared" si="8"/>
        <v>41.075419529642943</v>
      </c>
      <c r="M146" s="13">
        <f t="shared" si="9"/>
        <v>41.01</v>
      </c>
      <c r="N146" s="13">
        <f>M146-L146</f>
        <v>-6.5419529642944951E-2</v>
      </c>
      <c r="O146" s="2">
        <f>N146/L146</f>
        <v>-1.5926685689901126E-3</v>
      </c>
    </row>
    <row r="147" spans="1:15" x14ac:dyDescent="0.25">
      <c r="A147" s="1">
        <v>46237</v>
      </c>
      <c r="B147" s="6">
        <v>21.77</v>
      </c>
      <c r="C147" s="6">
        <v>41.24</v>
      </c>
      <c r="D147" s="13">
        <v>4.546E-2</v>
      </c>
      <c r="E147" s="13">
        <v>0</v>
      </c>
      <c r="F147" s="13">
        <f>F146+D147</f>
        <v>0.30292999999999998</v>
      </c>
      <c r="G147" s="13">
        <f t="shared" si="10"/>
        <v>0</v>
      </c>
      <c r="H147" s="13">
        <f>B147+F147</f>
        <v>22.072929999999999</v>
      </c>
      <c r="I147" s="13">
        <f>C147+G147</f>
        <v>41.24</v>
      </c>
      <c r="J147" s="10">
        <f t="shared" si="11"/>
        <v>1.8683518681026943</v>
      </c>
      <c r="K147" s="10">
        <f t="shared" si="7"/>
        <v>1.8687359946833566</v>
      </c>
      <c r="L147" s="13">
        <f t="shared" si="8"/>
        <v>41.248567909497709</v>
      </c>
      <c r="M147" s="13">
        <f t="shared" si="9"/>
        <v>41.24</v>
      </c>
      <c r="N147" s="13">
        <f>M147-L147</f>
        <v>-8.5679094977066939E-3</v>
      </c>
      <c r="O147" s="2">
        <f>N147/L147</f>
        <v>-2.0771410819656324E-4</v>
      </c>
    </row>
    <row r="148" spans="1:15" x14ac:dyDescent="0.25">
      <c r="A148" s="1">
        <v>46238</v>
      </c>
      <c r="B148" s="6">
        <v>21.88</v>
      </c>
      <c r="C148" s="6">
        <v>41.38</v>
      </c>
      <c r="F148" s="13">
        <f>F147+D148</f>
        <v>0.30292999999999998</v>
      </c>
      <c r="G148" s="13">
        <f t="shared" si="10"/>
        <v>0</v>
      </c>
      <c r="H148" s="13">
        <f>B148+F148</f>
        <v>22.182929999999999</v>
      </c>
      <c r="I148" s="13">
        <f>C148+G148</f>
        <v>41.38</v>
      </c>
      <c r="J148" s="10">
        <f t="shared" si="11"/>
        <v>1.8653983040112376</v>
      </c>
      <c r="K148" s="10">
        <f t="shared" si="7"/>
        <v>1.8685746223480417</v>
      </c>
      <c r="L148" s="13">
        <f t="shared" si="8"/>
        <v>41.454039758541271</v>
      </c>
      <c r="M148" s="13">
        <f t="shared" si="9"/>
        <v>41.38</v>
      </c>
      <c r="N148" s="13">
        <f>M148-L148</f>
        <v>-7.4039758541267986E-2</v>
      </c>
      <c r="O148" s="2">
        <f>N148/L148</f>
        <v>-1.786068594822841E-3</v>
      </c>
    </row>
    <row r="149" spans="1:15" x14ac:dyDescent="0.25">
      <c r="A149" s="1">
        <v>46239</v>
      </c>
      <c r="B149" s="6">
        <v>21.91</v>
      </c>
      <c r="C149" s="6">
        <v>41.46</v>
      </c>
      <c r="F149" s="13">
        <f>F148+D149</f>
        <v>0.30292999999999998</v>
      </c>
      <c r="G149" s="13">
        <f t="shared" si="10"/>
        <v>0</v>
      </c>
      <c r="H149" s="13">
        <f>B149+F149</f>
        <v>22.21293</v>
      </c>
      <c r="I149" s="13">
        <f>C149+G149</f>
        <v>41.46</v>
      </c>
      <c r="J149" s="10">
        <f t="shared" si="11"/>
        <v>1.8664804688080321</v>
      </c>
      <c r="K149" s="10">
        <f t="shared" si="7"/>
        <v>1.8684594729434392</v>
      </c>
      <c r="L149" s="13">
        <f t="shared" si="8"/>
        <v>41.506517285993489</v>
      </c>
      <c r="M149" s="13">
        <f t="shared" si="9"/>
        <v>41.46</v>
      </c>
      <c r="N149" s="13">
        <f>M149-L149</f>
        <v>-4.6517285993488144E-2</v>
      </c>
      <c r="O149" s="2">
        <f>N149/L149</f>
        <v>-1.1207224560174207E-3</v>
      </c>
    </row>
    <row r="150" spans="1:15" x14ac:dyDescent="0.25">
      <c r="A150" s="1">
        <v>46240</v>
      </c>
      <c r="B150" s="6">
        <v>21.86</v>
      </c>
      <c r="C150" s="6">
        <v>41.27</v>
      </c>
      <c r="F150" s="13">
        <f>F149+D150</f>
        <v>0.30292999999999998</v>
      </c>
      <c r="G150" s="13">
        <f t="shared" si="10"/>
        <v>0</v>
      </c>
      <c r="H150" s="13">
        <f>B150+F150</f>
        <v>22.162929999999999</v>
      </c>
      <c r="I150" s="13">
        <f>C150+G150</f>
        <v>41.27</v>
      </c>
      <c r="J150" s="10">
        <f t="shared" si="11"/>
        <v>1.8621184112389475</v>
      </c>
      <c r="K150" s="10">
        <f t="shared" si="7"/>
        <v>1.8680053977850384</v>
      </c>
      <c r="L150" s="13">
        <f t="shared" si="8"/>
        <v>41.410536506682334</v>
      </c>
      <c r="M150" s="13">
        <f t="shared" si="9"/>
        <v>41.27</v>
      </c>
      <c r="N150" s="13">
        <f>M150-L150</f>
        <v>-0.14053650668233075</v>
      </c>
      <c r="O150" s="2">
        <f>N150/L150</f>
        <v>-3.3937378874493128E-3</v>
      </c>
    </row>
    <row r="151" spans="1:15" x14ac:dyDescent="0.25">
      <c r="A151" s="1">
        <v>46241</v>
      </c>
      <c r="B151" s="6">
        <v>21.99</v>
      </c>
      <c r="C151" s="6">
        <v>41.45</v>
      </c>
      <c r="F151" s="13">
        <f>F150+D151</f>
        <v>0.30292999999999998</v>
      </c>
      <c r="G151" s="13">
        <f t="shared" si="10"/>
        <v>0</v>
      </c>
      <c r="H151" s="13">
        <f>B151+F151</f>
        <v>22.292929999999998</v>
      </c>
      <c r="I151" s="13">
        <f>C151+G151</f>
        <v>41.45</v>
      </c>
      <c r="J151" s="10">
        <f t="shared" si="11"/>
        <v>1.8593338784986992</v>
      </c>
      <c r="K151" s="10">
        <f t="shared" ref="K151:K175" si="12">AVERAGE(J132:J151)</f>
        <v>1.8675058917335008</v>
      </c>
      <c r="L151" s="13">
        <f t="shared" si="8"/>
        <v>41.643313572444015</v>
      </c>
      <c r="M151" s="13">
        <f t="shared" si="9"/>
        <v>41.45</v>
      </c>
      <c r="N151" s="13">
        <f>M151-L151</f>
        <v>-0.19331357244401204</v>
      </c>
      <c r="O151" s="2">
        <f>N151/L151</f>
        <v>-4.6421275316556564E-3</v>
      </c>
    </row>
    <row r="152" spans="1:15" x14ac:dyDescent="0.25">
      <c r="A152" s="1">
        <v>46244</v>
      </c>
      <c r="B152" s="6">
        <v>21.79</v>
      </c>
      <c r="C152" s="6">
        <v>41.19</v>
      </c>
      <c r="F152" s="13">
        <f>F151+D152</f>
        <v>0.30292999999999998</v>
      </c>
      <c r="G152" s="13">
        <f t="shared" si="10"/>
        <v>0</v>
      </c>
      <c r="H152" s="13">
        <f>B152+F152</f>
        <v>22.092929999999999</v>
      </c>
      <c r="I152" s="13">
        <f>C152+G152</f>
        <v>41.19</v>
      </c>
      <c r="J152" s="10">
        <f t="shared" si="11"/>
        <v>1.8643973434035233</v>
      </c>
      <c r="K152" s="10">
        <f t="shared" si="12"/>
        <v>1.8672556308786237</v>
      </c>
      <c r="L152" s="13">
        <f t="shared" ref="L152:L175" si="13">K151*H152</f>
        <v>41.25867694065581</v>
      </c>
      <c r="M152" s="13">
        <f t="shared" ref="M152:M175" si="14">I152</f>
        <v>41.19</v>
      </c>
      <c r="N152" s="13">
        <f>M152-L152</f>
        <v>-6.8676940655812757E-2</v>
      </c>
      <c r="O152" s="2">
        <f>N152/L152</f>
        <v>-1.6645453937990753E-3</v>
      </c>
    </row>
    <row r="153" spans="1:15" x14ac:dyDescent="0.25">
      <c r="A153" s="1">
        <v>46245</v>
      </c>
      <c r="B153" s="6">
        <v>21.83</v>
      </c>
      <c r="C153" s="6">
        <v>41.24</v>
      </c>
      <c r="F153" s="13">
        <f>F152+D153</f>
        <v>0.30292999999999998</v>
      </c>
      <c r="G153" s="13">
        <f t="shared" si="10"/>
        <v>0</v>
      </c>
      <c r="H153" s="13">
        <f>B153+F153</f>
        <v>22.132929999999998</v>
      </c>
      <c r="I153" s="13">
        <f>C153+G153</f>
        <v>41.24</v>
      </c>
      <c r="J153" s="10">
        <f t="shared" si="11"/>
        <v>1.8632869665245408</v>
      </c>
      <c r="K153" s="10">
        <f t="shared" si="12"/>
        <v>1.8670453230089616</v>
      </c>
      <c r="L153" s="13">
        <f t="shared" si="13"/>
        <v>41.32783817034241</v>
      </c>
      <c r="M153" s="13">
        <f t="shared" si="14"/>
        <v>41.24</v>
      </c>
      <c r="N153" s="13">
        <f>M153-L153</f>
        <v>-8.7838170342408262E-2</v>
      </c>
      <c r="O153" s="2">
        <f>N153/L153</f>
        <v>-2.1253995909576149E-3</v>
      </c>
    </row>
    <row r="154" spans="1:15" x14ac:dyDescent="0.25">
      <c r="A154" s="1">
        <v>46246</v>
      </c>
      <c r="B154" s="6">
        <v>21.84</v>
      </c>
      <c r="C154" s="6">
        <v>41.19</v>
      </c>
      <c r="F154" s="13">
        <f>F153+D154</f>
        <v>0.30292999999999998</v>
      </c>
      <c r="G154" s="13">
        <f t="shared" si="10"/>
        <v>0</v>
      </c>
      <c r="H154" s="13">
        <f>B154+F154</f>
        <v>22.14293</v>
      </c>
      <c r="I154" s="13">
        <f>C154+G154</f>
        <v>41.19</v>
      </c>
      <c r="J154" s="10">
        <f t="shared" si="11"/>
        <v>1.8601874277703989</v>
      </c>
      <c r="K154" s="10">
        <f t="shared" si="12"/>
        <v>1.8665220010711074</v>
      </c>
      <c r="L154" s="13">
        <f t="shared" si="13"/>
        <v>41.341853894214829</v>
      </c>
      <c r="M154" s="13">
        <f t="shared" si="14"/>
        <v>41.19</v>
      </c>
      <c r="N154" s="13">
        <f>M154-L154</f>
        <v>-0.15185389421483109</v>
      </c>
      <c r="O154" s="2">
        <f>N154/L154</f>
        <v>-3.6731273494264066E-3</v>
      </c>
    </row>
    <row r="155" spans="1:15" x14ac:dyDescent="0.25">
      <c r="A155" s="1">
        <v>46247</v>
      </c>
      <c r="B155" s="6">
        <v>21.83</v>
      </c>
      <c r="C155" s="6">
        <v>41.29</v>
      </c>
      <c r="F155" s="13">
        <f>F154+D155</f>
        <v>0.30292999999999998</v>
      </c>
      <c r="G155" s="13">
        <f t="shared" si="10"/>
        <v>0</v>
      </c>
      <c r="H155" s="13">
        <f>B155+F155</f>
        <v>22.132929999999998</v>
      </c>
      <c r="I155" s="13">
        <f>C155+G155</f>
        <v>41.29</v>
      </c>
      <c r="J155" s="10">
        <f t="shared" si="11"/>
        <v>1.8655460438360398</v>
      </c>
      <c r="K155" s="10">
        <f t="shared" si="12"/>
        <v>1.8663102173412898</v>
      </c>
      <c r="L155" s="13">
        <f t="shared" si="13"/>
        <v>41.31160079316674</v>
      </c>
      <c r="M155" s="13">
        <f t="shared" si="14"/>
        <v>41.29</v>
      </c>
      <c r="N155" s="13">
        <f>M155-L155</f>
        <v>-2.1600793166740573E-2</v>
      </c>
      <c r="O155" s="2">
        <f>N155/L155</f>
        <v>-5.2287475556535474E-4</v>
      </c>
    </row>
    <row r="156" spans="1:15" x14ac:dyDescent="0.25">
      <c r="A156" s="1">
        <v>46248</v>
      </c>
      <c r="B156" s="6">
        <v>21.78</v>
      </c>
      <c r="C156" s="6">
        <v>41.2</v>
      </c>
      <c r="F156" s="13">
        <f>F155+D156</f>
        <v>0.30292999999999998</v>
      </c>
      <c r="G156" s="13">
        <f t="shared" si="10"/>
        <v>0</v>
      </c>
      <c r="H156" s="13">
        <f>B156+F156</f>
        <v>22.082930000000001</v>
      </c>
      <c r="I156" s="13">
        <f>C156+G156</f>
        <v>41.2</v>
      </c>
      <c r="J156" s="10">
        <f t="shared" si="11"/>
        <v>1.8656944526835886</v>
      </c>
      <c r="K156" s="10">
        <f t="shared" si="12"/>
        <v>1.866160641681488</v>
      </c>
      <c r="L156" s="13">
        <f t="shared" si="13"/>
        <v>41.213597887832492</v>
      </c>
      <c r="M156" s="13">
        <f t="shared" si="14"/>
        <v>41.2</v>
      </c>
      <c r="N156" s="13">
        <f>M156-L156</f>
        <v>-1.3597887832489164E-2</v>
      </c>
      <c r="O156" s="2">
        <f>N156/L156</f>
        <v>-3.2993692687295504E-4</v>
      </c>
    </row>
    <row r="157" spans="1:15" x14ac:dyDescent="0.25">
      <c r="A157" s="1">
        <v>46251</v>
      </c>
      <c r="B157" s="6">
        <v>21.77</v>
      </c>
      <c r="C157" s="6">
        <v>41.22</v>
      </c>
      <c r="F157" s="13">
        <f>F156+D157</f>
        <v>0.30292999999999998</v>
      </c>
      <c r="G157" s="13">
        <f t="shared" si="10"/>
        <v>0</v>
      </c>
      <c r="H157" s="13">
        <f>B157+F157</f>
        <v>22.072929999999999</v>
      </c>
      <c r="I157" s="13">
        <f>C157+G157</f>
        <v>41.22</v>
      </c>
      <c r="J157" s="10">
        <f t="shared" si="11"/>
        <v>1.8674457808727705</v>
      </c>
      <c r="K157" s="10">
        <f t="shared" si="12"/>
        <v>1.8660907438288081</v>
      </c>
      <c r="L157" s="13">
        <f t="shared" si="13"/>
        <v>41.191633212590567</v>
      </c>
      <c r="M157" s="13">
        <f t="shared" si="14"/>
        <v>41.22</v>
      </c>
      <c r="N157" s="13">
        <f>M157-L157</f>
        <v>2.8366787409431993E-2</v>
      </c>
      <c r="O157" s="2">
        <f>N157/L157</f>
        <v>6.8865410757156984E-4</v>
      </c>
    </row>
    <row r="158" spans="1:15" x14ac:dyDescent="0.25">
      <c r="A158" s="1">
        <v>46252</v>
      </c>
      <c r="B158" s="6">
        <v>21.74</v>
      </c>
      <c r="C158" s="6">
        <v>41.11</v>
      </c>
      <c r="F158" s="13">
        <f>F157+D158</f>
        <v>0.30292999999999998</v>
      </c>
      <c r="G158" s="13">
        <f t="shared" si="10"/>
        <v>0</v>
      </c>
      <c r="H158" s="13">
        <f>B158+F158</f>
        <v>22.042929999999998</v>
      </c>
      <c r="I158" s="13">
        <f>C158+G158</f>
        <v>41.11</v>
      </c>
      <c r="J158" s="10">
        <f t="shared" si="11"/>
        <v>1.8649970761600205</v>
      </c>
      <c r="K158" s="10">
        <f t="shared" si="12"/>
        <v>1.865913508753988</v>
      </c>
      <c r="L158" s="13">
        <f t="shared" si="13"/>
        <v>41.134107639866343</v>
      </c>
      <c r="M158" s="13">
        <f t="shared" si="14"/>
        <v>41.11</v>
      </c>
      <c r="N158" s="13">
        <f>M158-L158</f>
        <v>-2.4107639866343789E-2</v>
      </c>
      <c r="O158" s="2">
        <f>N158/L158</f>
        <v>-5.8607421552471343E-4</v>
      </c>
    </row>
    <row r="159" spans="1:15" x14ac:dyDescent="0.25">
      <c r="A159" s="1">
        <v>46253</v>
      </c>
      <c r="B159" s="6">
        <v>21.98</v>
      </c>
      <c r="C159" s="6">
        <v>41.53</v>
      </c>
      <c r="F159" s="13">
        <f>F158+D159</f>
        <v>0.30292999999999998</v>
      </c>
      <c r="G159" s="13">
        <f t="shared" si="10"/>
        <v>0</v>
      </c>
      <c r="H159" s="13">
        <f>B159+F159</f>
        <v>22.28293</v>
      </c>
      <c r="I159" s="13">
        <f>C159+G159</f>
        <v>41.53</v>
      </c>
      <c r="J159" s="10">
        <f t="shared" si="11"/>
        <v>1.8637584913653635</v>
      </c>
      <c r="K159" s="10">
        <f t="shared" si="12"/>
        <v>1.8657434132582253</v>
      </c>
      <c r="L159" s="13">
        <f t="shared" si="13"/>
        <v>41.578020101619501</v>
      </c>
      <c r="M159" s="13">
        <f t="shared" si="14"/>
        <v>41.53</v>
      </c>
      <c r="N159" s="13">
        <f>M159-L159</f>
        <v>-4.8020101619499655E-2</v>
      </c>
      <c r="O159" s="2">
        <f>N159/L159</f>
        <v>-1.1549395931344318E-3</v>
      </c>
    </row>
    <row r="160" spans="1:15" x14ac:dyDescent="0.25">
      <c r="A160" s="1">
        <v>46254</v>
      </c>
      <c r="B160" s="6">
        <v>21.93</v>
      </c>
      <c r="C160" s="6">
        <v>41.46</v>
      </c>
      <c r="F160" s="13">
        <f>F159+D160</f>
        <v>0.30292999999999998</v>
      </c>
      <c r="G160" s="13">
        <f t="shared" si="10"/>
        <v>0</v>
      </c>
      <c r="H160" s="13">
        <f>B160+F160</f>
        <v>22.23293</v>
      </c>
      <c r="I160" s="13">
        <f>C160+G160</f>
        <v>41.46</v>
      </c>
      <c r="J160" s="10">
        <f t="shared" si="11"/>
        <v>1.8648014454235227</v>
      </c>
      <c r="K160" s="10">
        <f t="shared" si="12"/>
        <v>1.8656561905221689</v>
      </c>
      <c r="L160" s="13">
        <f t="shared" si="13"/>
        <v>41.480942704931195</v>
      </c>
      <c r="M160" s="13">
        <f t="shared" si="14"/>
        <v>41.46</v>
      </c>
      <c r="N160" s="13">
        <f>M160-L160</f>
        <v>-2.09427049311941E-2</v>
      </c>
      <c r="O160" s="2">
        <f>N160/L160</f>
        <v>-5.0487533709556848E-4</v>
      </c>
    </row>
    <row r="161" spans="1:15" x14ac:dyDescent="0.25">
      <c r="A161" s="1">
        <v>46255</v>
      </c>
      <c r="B161" s="6">
        <v>21.96</v>
      </c>
      <c r="C161" s="6">
        <v>41.49</v>
      </c>
      <c r="F161" s="13">
        <f>F160+D161</f>
        <v>0.30292999999999998</v>
      </c>
      <c r="G161" s="13">
        <f t="shared" si="10"/>
        <v>0</v>
      </c>
      <c r="H161" s="13">
        <f>B161+F161</f>
        <v>22.262930000000001</v>
      </c>
      <c r="I161" s="13">
        <f>C161+G161</f>
        <v>41.49</v>
      </c>
      <c r="J161" s="10">
        <f t="shared" si="11"/>
        <v>1.8636360982134876</v>
      </c>
      <c r="K161" s="10">
        <f t="shared" si="12"/>
        <v>1.8654752896320268</v>
      </c>
      <c r="L161" s="13">
        <f t="shared" si="13"/>
        <v>41.534973173661712</v>
      </c>
      <c r="M161" s="13">
        <f t="shared" si="14"/>
        <v>41.49</v>
      </c>
      <c r="N161" s="13">
        <f>M161-L161</f>
        <v>-4.4973173661709609E-2</v>
      </c>
      <c r="O161" s="2">
        <f>N161/L161</f>
        <v>-1.0827784448944374E-3</v>
      </c>
    </row>
    <row r="162" spans="1:15" x14ac:dyDescent="0.25">
      <c r="A162" s="1">
        <v>46258</v>
      </c>
      <c r="B162" s="6">
        <v>21.95</v>
      </c>
      <c r="C162" s="6">
        <v>41.47</v>
      </c>
      <c r="F162" s="13">
        <f>F161+D162</f>
        <v>0.30292999999999998</v>
      </c>
      <c r="G162" s="13">
        <f t="shared" si="10"/>
        <v>0</v>
      </c>
      <c r="H162" s="13">
        <f>B162+F162</f>
        <v>22.252929999999999</v>
      </c>
      <c r="I162" s="13">
        <f>C162+G162</f>
        <v>41.47</v>
      </c>
      <c r="J162" s="10">
        <f t="shared" si="11"/>
        <v>1.8635748191361767</v>
      </c>
      <c r="K162" s="10">
        <f t="shared" si="12"/>
        <v>1.8652099562336228</v>
      </c>
      <c r="L162" s="13">
        <f t="shared" si="13"/>
        <v>41.512291036911215</v>
      </c>
      <c r="M162" s="13">
        <f t="shared" si="14"/>
        <v>41.47</v>
      </c>
      <c r="N162" s="13">
        <f>M162-L162</f>
        <v>-4.229103691121594E-2</v>
      </c>
      <c r="O162" s="2">
        <f>N162/L162</f>
        <v>-1.0187594048618586E-3</v>
      </c>
    </row>
    <row r="163" spans="1:15" x14ac:dyDescent="0.25">
      <c r="A163" s="1">
        <v>46259</v>
      </c>
      <c r="B163" s="6">
        <v>22.04</v>
      </c>
      <c r="C163" s="6">
        <v>41.72</v>
      </c>
      <c r="F163" s="13">
        <f>F162+D163</f>
        <v>0.30292999999999998</v>
      </c>
      <c r="G163" s="13">
        <f t="shared" si="10"/>
        <v>0</v>
      </c>
      <c r="H163" s="13">
        <f>B163+F163</f>
        <v>22.342929999999999</v>
      </c>
      <c r="I163" s="13">
        <f>C163+G163</f>
        <v>41.72</v>
      </c>
      <c r="J163" s="10">
        <f t="shared" si="11"/>
        <v>1.8672573382273498</v>
      </c>
      <c r="K163" s="10">
        <f t="shared" si="12"/>
        <v>1.8650046350402545</v>
      </c>
      <c r="L163" s="13">
        <f t="shared" si="13"/>
        <v>41.674255487430898</v>
      </c>
      <c r="M163" s="13">
        <f t="shared" si="14"/>
        <v>41.72</v>
      </c>
      <c r="N163" s="13">
        <f>M163-L163</f>
        <v>4.5744512569100948E-2</v>
      </c>
      <c r="O163" s="2">
        <f>N163/L163</f>
        <v>1.0976683814518931E-3</v>
      </c>
    </row>
    <row r="164" spans="1:15" x14ac:dyDescent="0.25">
      <c r="A164" s="1">
        <v>46260</v>
      </c>
      <c r="B164" s="6">
        <v>21.93</v>
      </c>
      <c r="C164" s="6">
        <v>41.49</v>
      </c>
      <c r="F164" s="13">
        <f>F163+D164</f>
        <v>0.30292999999999998</v>
      </c>
      <c r="G164" s="13">
        <f t="shared" si="10"/>
        <v>0</v>
      </c>
      <c r="H164" s="13">
        <f>B164+F164</f>
        <v>22.23293</v>
      </c>
      <c r="I164" s="13">
        <f>C164+G164</f>
        <v>41.49</v>
      </c>
      <c r="J164" s="10">
        <f t="shared" si="11"/>
        <v>1.8661507952393142</v>
      </c>
      <c r="K164" s="10">
        <f t="shared" si="12"/>
        <v>1.864827040731025</v>
      </c>
      <c r="L164" s="13">
        <f t="shared" si="13"/>
        <v>41.464517500525524</v>
      </c>
      <c r="M164" s="13">
        <f t="shared" si="14"/>
        <v>41.49</v>
      </c>
      <c r="N164" s="13">
        <f>M164-L164</f>
        <v>2.5482499474478004E-2</v>
      </c>
      <c r="O164" s="2">
        <f>N164/L164</f>
        <v>6.1456158206001164E-4</v>
      </c>
    </row>
    <row r="165" spans="1:15" x14ac:dyDescent="0.25">
      <c r="A165" s="1">
        <v>46261</v>
      </c>
      <c r="B165" s="6">
        <v>21.91</v>
      </c>
      <c r="C165" s="6">
        <v>41.42</v>
      </c>
      <c r="F165" s="13">
        <f>F164+D165</f>
        <v>0.30292999999999998</v>
      </c>
      <c r="G165" s="13">
        <f t="shared" si="10"/>
        <v>0</v>
      </c>
      <c r="H165" s="13">
        <f>B165+F165</f>
        <v>22.21293</v>
      </c>
      <c r="I165" s="13">
        <f>C165+G165</f>
        <v>41.42</v>
      </c>
      <c r="J165" s="10">
        <f t="shared" si="11"/>
        <v>1.8646797158231716</v>
      </c>
      <c r="K165" s="10">
        <f t="shared" si="12"/>
        <v>1.8646549294987853</v>
      </c>
      <c r="L165" s="13">
        <f t="shared" si="13"/>
        <v>41.423272517865406</v>
      </c>
      <c r="M165" s="13">
        <f t="shared" si="14"/>
        <v>41.42</v>
      </c>
      <c r="N165" s="13">
        <f>M165-L165</f>
        <v>-3.2725178654047227E-3</v>
      </c>
      <c r="O165" s="2">
        <f>N165/L165</f>
        <v>-7.9001915263776456E-5</v>
      </c>
    </row>
    <row r="166" spans="1:15" x14ac:dyDescent="0.25">
      <c r="A166" s="1">
        <v>46262</v>
      </c>
      <c r="B166" s="6">
        <v>21.8</v>
      </c>
      <c r="C166" s="6">
        <v>41.2</v>
      </c>
      <c r="F166" s="13">
        <f>F165+D166</f>
        <v>0.30292999999999998</v>
      </c>
      <c r="G166" s="13">
        <f t="shared" si="10"/>
        <v>0</v>
      </c>
      <c r="H166" s="13">
        <f>B166+F166</f>
        <v>22.102930000000001</v>
      </c>
      <c r="I166" s="13">
        <f>C166+G166</f>
        <v>41.2</v>
      </c>
      <c r="J166" s="10">
        <f t="shared" si="11"/>
        <v>1.864006265232709</v>
      </c>
      <c r="K166" s="10">
        <f t="shared" si="12"/>
        <v>1.8645551495285795</v>
      </c>
      <c r="L166" s="13">
        <f t="shared" si="13"/>
        <v>41.214337380866588</v>
      </c>
      <c r="M166" s="13">
        <f t="shared" si="14"/>
        <v>41.2</v>
      </c>
      <c r="N166" s="13">
        <f>M166-L166</f>
        <v>-1.4337380866585647E-2</v>
      </c>
      <c r="O166" s="2">
        <f>N166/L166</f>
        <v>-3.4787362305724356E-4</v>
      </c>
    </row>
    <row r="167" spans="1:15" x14ac:dyDescent="0.25">
      <c r="A167" s="1">
        <v>46265</v>
      </c>
      <c r="B167" s="6">
        <v>21.82</v>
      </c>
      <c r="C167" s="6">
        <v>41.21</v>
      </c>
      <c r="F167" s="13">
        <f>F166+D167</f>
        <v>0.30292999999999998</v>
      </c>
      <c r="G167" s="13">
        <f t="shared" si="10"/>
        <v>0</v>
      </c>
      <c r="H167" s="13">
        <f>B167+F167</f>
        <v>22.12293</v>
      </c>
      <c r="I167" s="13">
        <f>C167+G167</f>
        <v>41.21</v>
      </c>
      <c r="J167" s="10">
        <f t="shared" si="11"/>
        <v>1.8627731498495002</v>
      </c>
      <c r="K167" s="10">
        <f t="shared" si="12"/>
        <v>1.8642762136159194</v>
      </c>
      <c r="L167" s="13">
        <f t="shared" si="13"/>
        <v>41.249423054160296</v>
      </c>
      <c r="M167" s="13">
        <f t="shared" si="14"/>
        <v>41.21</v>
      </c>
      <c r="N167" s="13">
        <f>M167-L167</f>
        <v>-3.9423054160295123E-2</v>
      </c>
      <c r="O167" s="2">
        <f>N167/L167</f>
        <v>-9.5572377117936517E-4</v>
      </c>
    </row>
    <row r="168" spans="1:15" x14ac:dyDescent="0.25">
      <c r="A168" s="1">
        <v>46266</v>
      </c>
      <c r="B168" s="6">
        <v>21.65</v>
      </c>
      <c r="C168" s="6">
        <v>40.92</v>
      </c>
      <c r="D168" s="13">
        <v>4.4215999999999998E-2</v>
      </c>
      <c r="E168" s="13">
        <v>0</v>
      </c>
      <c r="F168" s="13">
        <f>F167+D168</f>
        <v>0.34714599999999995</v>
      </c>
      <c r="G168" s="13">
        <f t="shared" si="10"/>
        <v>0</v>
      </c>
      <c r="H168" s="13">
        <f>B168+F168</f>
        <v>21.997145999999997</v>
      </c>
      <c r="I168" s="13">
        <f>C168+G168</f>
        <v>40.92</v>
      </c>
      <c r="J168" s="10">
        <f t="shared" si="11"/>
        <v>1.8602413240335818</v>
      </c>
      <c r="K168" s="10">
        <f t="shared" si="12"/>
        <v>1.8640183646170367</v>
      </c>
      <c r="L168" s="13">
        <f t="shared" si="13"/>
        <v>41.00875605523656</v>
      </c>
      <c r="M168" s="13">
        <f t="shared" si="14"/>
        <v>40.92</v>
      </c>
      <c r="N168" s="13">
        <f>M168-L168</f>
        <v>-8.8756055236558495E-2</v>
      </c>
      <c r="O168" s="2">
        <f>N168/L168</f>
        <v>-2.1643196179130359E-3</v>
      </c>
    </row>
    <row r="169" spans="1:15" x14ac:dyDescent="0.25">
      <c r="A169" s="1">
        <v>46267</v>
      </c>
      <c r="B169" s="6">
        <v>21.72</v>
      </c>
      <c r="C169" s="6">
        <v>41.09</v>
      </c>
      <c r="F169" s="13">
        <f>F168+D169</f>
        <v>0.34714599999999995</v>
      </c>
      <c r="G169" s="13">
        <f t="shared" si="10"/>
        <v>0</v>
      </c>
      <c r="H169" s="13">
        <f>B169+F169</f>
        <v>22.067145999999997</v>
      </c>
      <c r="I169" s="13">
        <f>C169+G169</f>
        <v>41.09</v>
      </c>
      <c r="J169" s="10">
        <f t="shared" si="11"/>
        <v>1.8620441447208447</v>
      </c>
      <c r="K169" s="10">
        <f t="shared" si="12"/>
        <v>1.8637965484126777</v>
      </c>
      <c r="L169" s="13">
        <f t="shared" si="13"/>
        <v>41.133565398685377</v>
      </c>
      <c r="M169" s="13">
        <f t="shared" si="14"/>
        <v>41.09</v>
      </c>
      <c r="N169" s="13">
        <f>M169-L169</f>
        <v>-4.356539868537368E-2</v>
      </c>
      <c r="O169" s="2">
        <f>N169/L169</f>
        <v>-1.0591204108644087E-3</v>
      </c>
    </row>
    <row r="170" spans="1:15" x14ac:dyDescent="0.25">
      <c r="A170" s="1">
        <v>46268</v>
      </c>
      <c r="B170" s="6">
        <v>21.94</v>
      </c>
      <c r="C170" s="6">
        <v>41.35</v>
      </c>
      <c r="F170" s="13">
        <f>F169+D170</f>
        <v>0.34714599999999995</v>
      </c>
      <c r="G170" s="13">
        <f t="shared" si="10"/>
        <v>0</v>
      </c>
      <c r="H170" s="13">
        <f>B170+F170</f>
        <v>22.287146</v>
      </c>
      <c r="I170" s="13">
        <f>C170+G170</f>
        <v>41.35</v>
      </c>
      <c r="J170" s="10">
        <f t="shared" si="11"/>
        <v>1.8553295249198798</v>
      </c>
      <c r="K170" s="10">
        <f t="shared" si="12"/>
        <v>1.8634571040967245</v>
      </c>
      <c r="L170" s="13">
        <f t="shared" si="13"/>
        <v>41.53870578876942</v>
      </c>
      <c r="M170" s="13">
        <f t="shared" si="14"/>
        <v>41.35</v>
      </c>
      <c r="N170" s="13">
        <f>M170-L170</f>
        <v>-0.18870578876941835</v>
      </c>
      <c r="O170" s="2">
        <f>N170/L170</f>
        <v>-4.5428904243915479E-3</v>
      </c>
    </row>
    <row r="171" spans="1:15" x14ac:dyDescent="0.25">
      <c r="A171" s="1">
        <v>46269</v>
      </c>
      <c r="B171" s="6">
        <v>21.93</v>
      </c>
      <c r="C171" s="6">
        <v>41.38</v>
      </c>
      <c r="F171" s="13">
        <f>F170+D171</f>
        <v>0.34714599999999995</v>
      </c>
      <c r="G171" s="13">
        <f t="shared" si="10"/>
        <v>0</v>
      </c>
      <c r="H171" s="13">
        <f>B171+F171</f>
        <v>22.277145999999998</v>
      </c>
      <c r="I171" s="13">
        <f>C171+G171</f>
        <v>41.38</v>
      </c>
      <c r="J171" s="10">
        <f t="shared" si="11"/>
        <v>1.8575090363909275</v>
      </c>
      <c r="K171" s="10">
        <f t="shared" si="12"/>
        <v>1.8633658619913358</v>
      </c>
      <c r="L171" s="13">
        <f t="shared" si="13"/>
        <v>41.512505972699927</v>
      </c>
      <c r="M171" s="13">
        <f t="shared" si="14"/>
        <v>41.38</v>
      </c>
      <c r="N171" s="13">
        <f>M171-L171</f>
        <v>-0.13250597269992426</v>
      </c>
      <c r="O171" s="2">
        <f>N171/L171</f>
        <v>-3.1919531137692531E-3</v>
      </c>
    </row>
    <row r="172" spans="1:15" x14ac:dyDescent="0.25">
      <c r="A172" s="1">
        <v>46273</v>
      </c>
      <c r="B172" s="6">
        <v>22.01</v>
      </c>
      <c r="C172" s="6">
        <v>41.43</v>
      </c>
      <c r="F172" s="13">
        <f>F171+D172</f>
        <v>0.34714599999999995</v>
      </c>
      <c r="G172" s="13">
        <f t="shared" si="10"/>
        <v>0</v>
      </c>
      <c r="H172" s="13">
        <f>B172+F172</f>
        <v>22.357146</v>
      </c>
      <c r="I172" s="13">
        <f>C172+G172</f>
        <v>41.43</v>
      </c>
      <c r="J172" s="10">
        <f t="shared" si="11"/>
        <v>1.8530987810340371</v>
      </c>
      <c r="K172" s="10">
        <f t="shared" si="12"/>
        <v>1.8628009338728611</v>
      </c>
      <c r="L172" s="13">
        <f t="shared" si="13"/>
        <v>41.659542627956142</v>
      </c>
      <c r="M172" s="13">
        <f t="shared" si="14"/>
        <v>41.43</v>
      </c>
      <c r="N172" s="13">
        <f>M172-L172</f>
        <v>-0.22954262795614255</v>
      </c>
      <c r="O172" s="2">
        <f>N172/L172</f>
        <v>-5.50996514786759E-3</v>
      </c>
    </row>
    <row r="173" spans="1:15" x14ac:dyDescent="0.25">
      <c r="A173" s="1">
        <v>46274</v>
      </c>
      <c r="B173" s="6">
        <v>21.97</v>
      </c>
      <c r="C173" s="6">
        <v>41.25</v>
      </c>
      <c r="F173" s="13">
        <f>F172+D173</f>
        <v>0.34714599999999995</v>
      </c>
      <c r="G173" s="13">
        <f t="shared" si="10"/>
        <v>0</v>
      </c>
      <c r="H173" s="13">
        <f>B173+F173</f>
        <v>22.317145999999997</v>
      </c>
      <c r="I173" s="13">
        <f>C173+G173</f>
        <v>41.25</v>
      </c>
      <c r="J173" s="10">
        <f t="shared" si="11"/>
        <v>1.8483546238394464</v>
      </c>
      <c r="K173" s="10">
        <f t="shared" si="12"/>
        <v>1.8620543167386063</v>
      </c>
      <c r="L173" s="13">
        <f t="shared" si="13"/>
        <v>41.572400410176982</v>
      </c>
      <c r="M173" s="13">
        <f t="shared" si="14"/>
        <v>41.25</v>
      </c>
      <c r="N173" s="13">
        <f>M173-L173</f>
        <v>-0.32240041017698218</v>
      </c>
      <c r="O173" s="2">
        <f>N173/L173</f>
        <v>-7.7551550306452378E-3</v>
      </c>
    </row>
    <row r="174" spans="1:15" x14ac:dyDescent="0.25">
      <c r="A174" s="1">
        <v>46275</v>
      </c>
      <c r="B174" s="6">
        <v>21.77</v>
      </c>
      <c r="C174" s="6">
        <v>40.93</v>
      </c>
      <c r="F174" s="13">
        <f>F173+D174</f>
        <v>0.34714599999999995</v>
      </c>
      <c r="G174" s="13">
        <f t="shared" si="10"/>
        <v>0</v>
      </c>
      <c r="H174" s="13">
        <f>B174+F174</f>
        <v>22.117145999999998</v>
      </c>
      <c r="I174" s="13">
        <f>C174+G174</f>
        <v>40.93</v>
      </c>
      <c r="J174" s="10">
        <f t="shared" si="11"/>
        <v>1.8506004346130374</v>
      </c>
      <c r="K174" s="10">
        <f t="shared" si="12"/>
        <v>1.8615749670807382</v>
      </c>
      <c r="L174" s="13">
        <f t="shared" si="13"/>
        <v>41.183327183237999</v>
      </c>
      <c r="M174" s="13">
        <f t="shared" si="14"/>
        <v>40.93</v>
      </c>
      <c r="N174" s="13">
        <f>M174-L174</f>
        <v>-0.25332718323799952</v>
      </c>
      <c r="O174" s="2">
        <f>N174/L174</f>
        <v>-6.1512073104454286E-3</v>
      </c>
    </row>
    <row r="175" spans="1:15" x14ac:dyDescent="0.25">
      <c r="A175" s="1">
        <v>46276</v>
      </c>
      <c r="B175" s="6">
        <v>21.77</v>
      </c>
      <c r="C175" s="6">
        <v>40.92</v>
      </c>
      <c r="F175" s="13">
        <f>F174+D175</f>
        <v>0.34714599999999995</v>
      </c>
      <c r="G175" s="13">
        <f t="shared" si="10"/>
        <v>0</v>
      </c>
      <c r="H175" s="13">
        <f>B175+F175</f>
        <v>22.117145999999998</v>
      </c>
      <c r="I175" s="13">
        <f>C175+G175</f>
        <v>40.92</v>
      </c>
      <c r="J175" s="10">
        <f t="shared" si="11"/>
        <v>1.8501482967106155</v>
      </c>
      <c r="K175" s="10">
        <f t="shared" si="12"/>
        <v>1.8608050797244673</v>
      </c>
      <c r="L175" s="13">
        <f t="shared" si="13"/>
        <v>41.172725336869881</v>
      </c>
      <c r="M175" s="13">
        <f t="shared" si="14"/>
        <v>40.92</v>
      </c>
      <c r="N175" s="13">
        <f>M175-L175</f>
        <v>-0.25272533686987941</v>
      </c>
      <c r="O175" s="2">
        <f>N175/L175</f>
        <v>-6.1381736283453083E-3</v>
      </c>
    </row>
  </sheetData>
  <conditionalFormatting sqref="O23:O175">
    <cfRule type="cellIs" dxfId="11" priority="5" operator="lessThan">
      <formula>$Q$3</formula>
    </cfRule>
    <cfRule type="cellIs" dxfId="10" priority="6" operator="greaterThan">
      <formula>$Q$4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C1A1-E031-4D13-864C-D458191936CC}">
  <dimension ref="A1:T175"/>
  <sheetViews>
    <sheetView workbookViewId="0">
      <selection activeCell="Q3" sqref="Q3:Q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8" width="14.5703125" style="13" bestFit="1" customWidth="1"/>
    <col min="9" max="9" width="14.42578125" style="13" bestFit="1" customWidth="1"/>
    <col min="10" max="11" width="12" style="10" bestFit="1" customWidth="1"/>
    <col min="12" max="13" width="14.28515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64</v>
      </c>
      <c r="C1" s="5" t="s">
        <v>9</v>
      </c>
      <c r="D1" s="12" t="s">
        <v>83</v>
      </c>
      <c r="E1" s="12" t="s">
        <v>84</v>
      </c>
      <c r="F1" s="12" t="str">
        <f>_xlfn.CONCAT(D1," cum")</f>
        <v>VWOB div cum</v>
      </c>
      <c r="G1" s="12" t="str">
        <f>_xlfn.CONCAT(E1," cum")</f>
        <v>EMB div cum</v>
      </c>
      <c r="H1" s="12" t="str">
        <f>_xlfn.CONCAT(B1," + cum div")</f>
        <v>VWOB + cum div</v>
      </c>
      <c r="I1" s="12" t="str">
        <f>_xlfn.CONCAT(C1," + cum div")</f>
        <v>EMB + cum div</v>
      </c>
      <c r="J1" s="9" t="s">
        <v>73</v>
      </c>
      <c r="K1" s="9" t="s">
        <v>74</v>
      </c>
      <c r="L1" s="12" t="str">
        <f>_xlfn.CONCAT(B1,"*")</f>
        <v>VWOB*</v>
      </c>
      <c r="M1" s="12" t="str">
        <f>_xlfn.CONCAT(C1,"*")</f>
        <v>EMB*</v>
      </c>
      <c r="N1" s="12" t="str">
        <f>_xlfn.CONCAT(M1,"-",L1)</f>
        <v>EMB*-VWOB*</v>
      </c>
      <c r="O1" s="4" t="str">
        <f>_xlfn.CONCAT("diff/",L1)</f>
        <v>diff/VWOB*</v>
      </c>
    </row>
    <row r="2" spans="1:20" x14ac:dyDescent="0.25">
      <c r="A2" s="1">
        <v>46024</v>
      </c>
      <c r="B2" s="6">
        <v>67.45</v>
      </c>
      <c r="C2" s="6">
        <v>96.3</v>
      </c>
      <c r="S2" s="16">
        <f>AVERAGE(K:K)</f>
        <v>1.4304325222712624</v>
      </c>
      <c r="T2" t="s">
        <v>92</v>
      </c>
    </row>
    <row r="3" spans="1:20" x14ac:dyDescent="0.25">
      <c r="A3" s="1">
        <v>46027</v>
      </c>
      <c r="B3" s="6">
        <v>67.53</v>
      </c>
      <c r="C3" s="6">
        <v>96.45</v>
      </c>
      <c r="F3" s="13">
        <f>F2+D3</f>
        <v>0</v>
      </c>
      <c r="G3" s="13">
        <f>G2+E3</f>
        <v>0</v>
      </c>
      <c r="H3" s="13">
        <f>B3+F3</f>
        <v>67.53</v>
      </c>
      <c r="I3" s="13">
        <f>C3+G3</f>
        <v>96.45</v>
      </c>
      <c r="J3" s="10">
        <f>I3/H3</f>
        <v>1.4282541092847623</v>
      </c>
      <c r="Q3" s="11">
        <v>-1E-3</v>
      </c>
    </row>
    <row r="4" spans="1:20" x14ac:dyDescent="0.25">
      <c r="A4" s="1">
        <v>46028</v>
      </c>
      <c r="B4" s="6">
        <v>67.47</v>
      </c>
      <c r="C4" s="6">
        <v>96.35</v>
      </c>
      <c r="F4" s="13">
        <f>F3+D4</f>
        <v>0</v>
      </c>
      <c r="G4" s="13">
        <f t="shared" ref="G4:G67" si="0">G3+E4</f>
        <v>0</v>
      </c>
      <c r="H4" s="13">
        <f>B4+F4</f>
        <v>67.47</v>
      </c>
      <c r="I4" s="13">
        <f>C4+G4</f>
        <v>96.35</v>
      </c>
      <c r="J4" s="10">
        <f t="shared" ref="J4:J67" si="1">I4/H4</f>
        <v>1.428042092781977</v>
      </c>
      <c r="Q4" s="2">
        <v>1E-3</v>
      </c>
      <c r="S4" s="14">
        <f>MAX(K:K)</f>
        <v>1.4335024598673913</v>
      </c>
      <c r="T4" t="s">
        <v>89</v>
      </c>
    </row>
    <row r="5" spans="1:20" x14ac:dyDescent="0.25">
      <c r="A5" s="1">
        <v>46029</v>
      </c>
      <c r="B5" s="6">
        <v>67.37</v>
      </c>
      <c r="C5" s="6">
        <v>96.16</v>
      </c>
      <c r="F5" s="13">
        <f>F4+D5</f>
        <v>0</v>
      </c>
      <c r="G5" s="13">
        <f t="shared" si="0"/>
        <v>0</v>
      </c>
      <c r="H5" s="13">
        <f>B5+F5</f>
        <v>67.37</v>
      </c>
      <c r="I5" s="13">
        <f>C5+G5</f>
        <v>96.16</v>
      </c>
      <c r="J5" s="10">
        <f t="shared" si="1"/>
        <v>1.4273415466824995</v>
      </c>
      <c r="S5" s="15">
        <f>MIN(K:K)</f>
        <v>1.4278306037700601</v>
      </c>
      <c r="T5" t="s">
        <v>90</v>
      </c>
    </row>
    <row r="6" spans="1:20" x14ac:dyDescent="0.25">
      <c r="A6" s="1">
        <v>46030</v>
      </c>
      <c r="B6" s="6">
        <v>67.290000000000006</v>
      </c>
      <c r="C6" s="6">
        <v>96.01</v>
      </c>
      <c r="F6" s="13">
        <f>F5+D6</f>
        <v>0</v>
      </c>
      <c r="G6" s="13">
        <f t="shared" si="0"/>
        <v>0</v>
      </c>
      <c r="H6" s="13">
        <f>B6+F6</f>
        <v>67.290000000000006</v>
      </c>
      <c r="I6" s="13">
        <f>C6+G6</f>
        <v>96.01</v>
      </c>
      <c r="J6" s="10">
        <f t="shared" si="1"/>
        <v>1.4268093327388913</v>
      </c>
      <c r="S6" s="14">
        <f>S4-S5</f>
        <v>5.6718560973312293E-3</v>
      </c>
      <c r="T6" t="s">
        <v>91</v>
      </c>
    </row>
    <row r="7" spans="1:20" x14ac:dyDescent="0.25">
      <c r="A7" s="1">
        <v>46031</v>
      </c>
      <c r="B7" s="6">
        <v>67.430000000000007</v>
      </c>
      <c r="C7" s="6">
        <v>96.36</v>
      </c>
      <c r="F7" s="13">
        <f>F6+D7</f>
        <v>0</v>
      </c>
      <c r="G7" s="13">
        <f t="shared" si="0"/>
        <v>0</v>
      </c>
      <c r="H7" s="13">
        <f>B7+F7</f>
        <v>67.430000000000007</v>
      </c>
      <c r="I7" s="13">
        <f>C7+G7</f>
        <v>96.36</v>
      </c>
      <c r="J7" s="10">
        <f t="shared" si="1"/>
        <v>1.4290375203915169</v>
      </c>
    </row>
    <row r="8" spans="1:20" x14ac:dyDescent="0.25">
      <c r="A8" s="1">
        <v>46034</v>
      </c>
      <c r="B8" s="6">
        <v>67.39</v>
      </c>
      <c r="C8" s="6">
        <v>96.28</v>
      </c>
      <c r="F8" s="13">
        <f>F7+D8</f>
        <v>0</v>
      </c>
      <c r="G8" s="13">
        <f t="shared" si="0"/>
        <v>0</v>
      </c>
      <c r="H8" s="13">
        <f>B8+F8</f>
        <v>67.39</v>
      </c>
      <c r="I8" s="13">
        <f>C8+G8</f>
        <v>96.28</v>
      </c>
      <c r="J8" s="10">
        <f t="shared" si="1"/>
        <v>1.4286986199732898</v>
      </c>
    </row>
    <row r="9" spans="1:20" x14ac:dyDescent="0.25">
      <c r="A9" s="1">
        <v>46035</v>
      </c>
      <c r="B9" s="6">
        <v>67.37</v>
      </c>
      <c r="C9" s="6">
        <v>96.16</v>
      </c>
      <c r="F9" s="13">
        <f>F8+D9</f>
        <v>0</v>
      </c>
      <c r="G9" s="13">
        <f t="shared" si="0"/>
        <v>0</v>
      </c>
      <c r="H9" s="13">
        <f>B9+F9</f>
        <v>67.37</v>
      </c>
      <c r="I9" s="13">
        <f>C9+G9</f>
        <v>96.16</v>
      </c>
      <c r="J9" s="10">
        <f t="shared" si="1"/>
        <v>1.4273415466824995</v>
      </c>
    </row>
    <row r="10" spans="1:20" x14ac:dyDescent="0.25">
      <c r="A10" s="1">
        <v>46036</v>
      </c>
      <c r="B10" s="6">
        <v>67.48</v>
      </c>
      <c r="C10" s="6">
        <v>96.36</v>
      </c>
      <c r="F10" s="13">
        <f>F9+D10</f>
        <v>0</v>
      </c>
      <c r="G10" s="13">
        <f t="shared" si="0"/>
        <v>0</v>
      </c>
      <c r="H10" s="13">
        <f>B10+F10</f>
        <v>67.48</v>
      </c>
      <c r="I10" s="13">
        <f>C10+G10</f>
        <v>96.36</v>
      </c>
      <c r="J10" s="10">
        <f t="shared" si="1"/>
        <v>1.4279786603438054</v>
      </c>
    </row>
    <row r="11" spans="1:20" x14ac:dyDescent="0.25">
      <c r="A11" s="1">
        <v>46037</v>
      </c>
      <c r="B11" s="6">
        <v>67.5</v>
      </c>
      <c r="C11" s="6">
        <v>96.4</v>
      </c>
      <c r="F11" s="13">
        <f>F10+D11</f>
        <v>0</v>
      </c>
      <c r="G11" s="13">
        <f t="shared" si="0"/>
        <v>0</v>
      </c>
      <c r="H11" s="13">
        <f>B11+F11</f>
        <v>67.5</v>
      </c>
      <c r="I11" s="13">
        <f>C11+G11</f>
        <v>96.4</v>
      </c>
      <c r="J11" s="10">
        <f t="shared" si="1"/>
        <v>1.4281481481481482</v>
      </c>
    </row>
    <row r="12" spans="1:20" x14ac:dyDescent="0.25">
      <c r="A12" s="1">
        <v>46038</v>
      </c>
      <c r="B12" s="6">
        <v>67.41</v>
      </c>
      <c r="C12" s="6">
        <v>96.21</v>
      </c>
      <c r="F12" s="13">
        <f>F11+D12</f>
        <v>0</v>
      </c>
      <c r="G12" s="13">
        <f t="shared" si="0"/>
        <v>0</v>
      </c>
      <c r="H12" s="13">
        <f>B12+F12</f>
        <v>67.41</v>
      </c>
      <c r="I12" s="13">
        <f>C12+G12</f>
        <v>96.21</v>
      </c>
      <c r="J12" s="10">
        <f t="shared" si="1"/>
        <v>1.4272363150867824</v>
      </c>
    </row>
    <row r="13" spans="1:20" x14ac:dyDescent="0.25">
      <c r="A13" s="1">
        <v>46042</v>
      </c>
      <c r="B13" s="6">
        <v>67.099999999999994</v>
      </c>
      <c r="C13" s="6">
        <v>95.73</v>
      </c>
      <c r="F13" s="13">
        <f>F12+D13</f>
        <v>0</v>
      </c>
      <c r="G13" s="13">
        <f t="shared" si="0"/>
        <v>0</v>
      </c>
      <c r="H13" s="13">
        <f>B13+F13</f>
        <v>67.099999999999994</v>
      </c>
      <c r="I13" s="13">
        <f>C13+G13</f>
        <v>95.73</v>
      </c>
      <c r="J13" s="10">
        <f t="shared" si="1"/>
        <v>1.4266766020864383</v>
      </c>
    </row>
    <row r="14" spans="1:20" x14ac:dyDescent="0.25">
      <c r="A14" s="1">
        <v>46043</v>
      </c>
      <c r="B14" s="6">
        <v>67.55</v>
      </c>
      <c r="C14" s="6">
        <v>96.5</v>
      </c>
      <c r="F14" s="13">
        <f>F13+D14</f>
        <v>0</v>
      </c>
      <c r="G14" s="13">
        <f t="shared" si="0"/>
        <v>0</v>
      </c>
      <c r="H14" s="13">
        <f>B14+F14</f>
        <v>67.55</v>
      </c>
      <c r="I14" s="13">
        <f>C14+G14</f>
        <v>96.5</v>
      </c>
      <c r="J14" s="10">
        <f t="shared" si="1"/>
        <v>1.4285714285714286</v>
      </c>
    </row>
    <row r="15" spans="1:20" x14ac:dyDescent="0.25">
      <c r="A15" s="1">
        <v>46044</v>
      </c>
      <c r="B15" s="6">
        <v>67.569999999999993</v>
      </c>
      <c r="C15" s="6">
        <v>96.48</v>
      </c>
      <c r="F15" s="13">
        <f>F14+D15</f>
        <v>0</v>
      </c>
      <c r="G15" s="13">
        <f t="shared" si="0"/>
        <v>0</v>
      </c>
      <c r="H15" s="13">
        <f>B15+F15</f>
        <v>67.569999999999993</v>
      </c>
      <c r="I15" s="13">
        <f>C15+G15</f>
        <v>96.48</v>
      </c>
      <c r="J15" s="10">
        <f t="shared" si="1"/>
        <v>1.4278525973064973</v>
      </c>
    </row>
    <row r="16" spans="1:20" x14ac:dyDescent="0.25">
      <c r="A16" s="1">
        <v>46045</v>
      </c>
      <c r="B16" s="6">
        <v>67.72</v>
      </c>
      <c r="C16" s="6">
        <v>96.72</v>
      </c>
      <c r="F16" s="13">
        <f>F15+D16</f>
        <v>0</v>
      </c>
      <c r="G16" s="13">
        <f t="shared" si="0"/>
        <v>0</v>
      </c>
      <c r="H16" s="13">
        <f>B16+F16</f>
        <v>67.72</v>
      </c>
      <c r="I16" s="13">
        <f>C16+G16</f>
        <v>96.72</v>
      </c>
      <c r="J16" s="10">
        <f t="shared" si="1"/>
        <v>1.4282339043118724</v>
      </c>
    </row>
    <row r="17" spans="1:15" x14ac:dyDescent="0.25">
      <c r="A17" s="1">
        <v>46048</v>
      </c>
      <c r="B17" s="6">
        <v>67.77</v>
      </c>
      <c r="C17" s="6">
        <v>96.82</v>
      </c>
      <c r="F17" s="13">
        <f>F16+D17</f>
        <v>0</v>
      </c>
      <c r="G17" s="13">
        <f t="shared" si="0"/>
        <v>0</v>
      </c>
      <c r="H17" s="13">
        <f>B17+F17</f>
        <v>67.77</v>
      </c>
      <c r="I17" s="13">
        <f>C17+G17</f>
        <v>96.82</v>
      </c>
      <c r="J17" s="10">
        <f t="shared" si="1"/>
        <v>1.428655747380847</v>
      </c>
    </row>
    <row r="18" spans="1:15" x14ac:dyDescent="0.25">
      <c r="A18" s="1">
        <v>46049</v>
      </c>
      <c r="B18" s="6">
        <v>67.739999999999995</v>
      </c>
      <c r="C18" s="6">
        <v>96.78</v>
      </c>
      <c r="F18" s="13">
        <f>F17+D18</f>
        <v>0</v>
      </c>
      <c r="G18" s="13">
        <f t="shared" si="0"/>
        <v>0</v>
      </c>
      <c r="H18" s="13">
        <f>B18+F18</f>
        <v>67.739999999999995</v>
      </c>
      <c r="I18" s="13">
        <f>C18+G18</f>
        <v>96.78</v>
      </c>
      <c r="J18" s="10">
        <f t="shared" si="1"/>
        <v>1.4286979627989371</v>
      </c>
    </row>
    <row r="19" spans="1:15" x14ac:dyDescent="0.25">
      <c r="A19" s="1">
        <v>46050</v>
      </c>
      <c r="B19" s="6">
        <v>67.67</v>
      </c>
      <c r="C19" s="6">
        <v>96.66</v>
      </c>
      <c r="F19" s="13">
        <f>F18+D19</f>
        <v>0</v>
      </c>
      <c r="G19" s="13">
        <f t="shared" si="0"/>
        <v>0</v>
      </c>
      <c r="H19" s="13">
        <f>B19+F19</f>
        <v>67.67</v>
      </c>
      <c r="I19" s="13">
        <f>C19+G19</f>
        <v>96.66</v>
      </c>
      <c r="J19" s="10">
        <f t="shared" si="1"/>
        <v>1.4284025417467119</v>
      </c>
    </row>
    <row r="20" spans="1:15" x14ac:dyDescent="0.25">
      <c r="A20" s="1">
        <v>46051</v>
      </c>
      <c r="B20" s="6">
        <v>67.73</v>
      </c>
      <c r="C20" s="6">
        <v>96.67</v>
      </c>
      <c r="F20" s="13">
        <f>F19+D20</f>
        <v>0</v>
      </c>
      <c r="G20" s="13">
        <f t="shared" si="0"/>
        <v>0</v>
      </c>
      <c r="H20" s="13">
        <f>B20+F20</f>
        <v>67.73</v>
      </c>
      <c r="I20" s="13">
        <f>C20+G20</f>
        <v>96.67</v>
      </c>
      <c r="J20" s="10">
        <f t="shared" si="1"/>
        <v>1.427284807323195</v>
      </c>
    </row>
    <row r="21" spans="1:15" x14ac:dyDescent="0.25">
      <c r="A21" s="1">
        <v>46052</v>
      </c>
      <c r="B21" s="6">
        <v>67.66</v>
      </c>
      <c r="C21" s="6">
        <v>96.58</v>
      </c>
      <c r="F21" s="13">
        <f>F20+D21</f>
        <v>0</v>
      </c>
      <c r="G21" s="13">
        <f t="shared" si="0"/>
        <v>0</v>
      </c>
      <c r="H21" s="13">
        <f>B21+F21</f>
        <v>67.66</v>
      </c>
      <c r="I21" s="13">
        <f>C21+G21</f>
        <v>96.58</v>
      </c>
      <c r="J21" s="10">
        <f t="shared" si="1"/>
        <v>1.4274312740171446</v>
      </c>
    </row>
    <row r="22" spans="1:15" x14ac:dyDescent="0.25">
      <c r="A22" s="1">
        <v>46055</v>
      </c>
      <c r="B22" s="6">
        <v>67.290000000000006</v>
      </c>
      <c r="C22" s="6">
        <v>96.14</v>
      </c>
      <c r="D22" s="13">
        <v>0.33960000000000001</v>
      </c>
      <c r="E22" s="13">
        <v>0.41458</v>
      </c>
      <c r="F22" s="13">
        <f>F21+D22</f>
        <v>0.33960000000000001</v>
      </c>
      <c r="G22" s="13">
        <f t="shared" si="0"/>
        <v>0.41458</v>
      </c>
      <c r="H22" s="13">
        <f>B22+F22</f>
        <v>67.629600000000011</v>
      </c>
      <c r="I22" s="13">
        <f>C22+G22</f>
        <v>96.554580000000001</v>
      </c>
      <c r="J22" s="10">
        <f t="shared" si="1"/>
        <v>1.4276970438979379</v>
      </c>
      <c r="K22" s="10">
        <f>AVERAGE(J3:J22)</f>
        <v>1.4279195900777595</v>
      </c>
    </row>
    <row r="23" spans="1:15" x14ac:dyDescent="0.25">
      <c r="A23" s="1">
        <v>46056</v>
      </c>
      <c r="B23" s="6">
        <v>67.28</v>
      </c>
      <c r="C23" s="6">
        <v>96.16</v>
      </c>
      <c r="F23" s="13">
        <f>F22+D23</f>
        <v>0.33960000000000001</v>
      </c>
      <c r="G23" s="13">
        <f t="shared" si="0"/>
        <v>0.41458</v>
      </c>
      <c r="H23" s="13">
        <f>B23+F23</f>
        <v>67.619600000000005</v>
      </c>
      <c r="I23" s="13">
        <f>C23+G23</f>
        <v>96.574579999999997</v>
      </c>
      <c r="J23" s="10">
        <f t="shared" si="1"/>
        <v>1.4282039527001045</v>
      </c>
      <c r="K23" s="10">
        <f t="shared" ref="K23:K86" si="2">AVERAGE(J4:J23)</f>
        <v>1.4279170822485265</v>
      </c>
      <c r="L23" s="13">
        <f>K22*H23</f>
        <v>96.555351513222078</v>
      </c>
      <c r="M23" s="13">
        <f>I23</f>
        <v>96.574579999999997</v>
      </c>
      <c r="N23" s="13">
        <f>M23-L23</f>
        <v>1.9228486777919329E-2</v>
      </c>
      <c r="O23" s="2">
        <f>N23/L23</f>
        <v>1.991447027696463E-4</v>
      </c>
    </row>
    <row r="24" spans="1:15" x14ac:dyDescent="0.25">
      <c r="A24" s="1">
        <v>46057</v>
      </c>
      <c r="B24" s="6">
        <v>67.23</v>
      </c>
      <c r="C24" s="6">
        <v>96.2</v>
      </c>
      <c r="F24" s="13">
        <f>F23+D24</f>
        <v>0.33960000000000001</v>
      </c>
      <c r="G24" s="13">
        <f t="shared" si="0"/>
        <v>0.41458</v>
      </c>
      <c r="H24" s="13">
        <f>B24+F24</f>
        <v>67.569600000000008</v>
      </c>
      <c r="I24" s="13">
        <f>C24+G24</f>
        <v>96.614580000000004</v>
      </c>
      <c r="J24" s="10">
        <f t="shared" si="1"/>
        <v>1.4298527740285571</v>
      </c>
      <c r="K24" s="10">
        <f t="shared" si="2"/>
        <v>1.4280076163108553</v>
      </c>
      <c r="L24" s="13">
        <f t="shared" ref="L24:L87" si="3">K23*H24</f>
        <v>96.483786080700057</v>
      </c>
      <c r="M24" s="13">
        <f t="shared" ref="M24:M87" si="4">I24</f>
        <v>96.614580000000004</v>
      </c>
      <c r="N24" s="13">
        <f>M24-L24</f>
        <v>0.13079391929994699</v>
      </c>
      <c r="O24" s="2">
        <f>N24/L24</f>
        <v>1.3556051707024595E-3</v>
      </c>
    </row>
    <row r="25" spans="1:15" x14ac:dyDescent="0.25">
      <c r="A25" s="1">
        <v>46058</v>
      </c>
      <c r="B25" s="6">
        <v>67.48</v>
      </c>
      <c r="C25" s="6">
        <v>96.44</v>
      </c>
      <c r="F25" s="13">
        <f>F24+D25</f>
        <v>0.33960000000000001</v>
      </c>
      <c r="G25" s="13">
        <f t="shared" si="0"/>
        <v>0.41458</v>
      </c>
      <c r="H25" s="13">
        <f>B25+F25</f>
        <v>67.819600000000008</v>
      </c>
      <c r="I25" s="13">
        <f>C25+G25</f>
        <v>96.854579999999999</v>
      </c>
      <c r="J25" s="10">
        <f t="shared" si="1"/>
        <v>1.4281207792437582</v>
      </c>
      <c r="K25" s="10">
        <f t="shared" si="2"/>
        <v>1.4280465779389184</v>
      </c>
      <c r="L25" s="13">
        <f t="shared" si="3"/>
        <v>96.846905335155697</v>
      </c>
      <c r="M25" s="13">
        <f t="shared" si="4"/>
        <v>96.854579999999999</v>
      </c>
      <c r="N25" s="13">
        <f>M25-L25</f>
        <v>7.6746648443020149E-3</v>
      </c>
      <c r="O25" s="2">
        <f>N25/L25</f>
        <v>7.9245328673564647E-5</v>
      </c>
    </row>
    <row r="26" spans="1:15" x14ac:dyDescent="0.25">
      <c r="A26" s="1">
        <v>46059</v>
      </c>
      <c r="B26" s="6">
        <v>67.58</v>
      </c>
      <c r="C26" s="6">
        <v>96.69</v>
      </c>
      <c r="F26" s="13">
        <f>F25+D26</f>
        <v>0.33960000000000001</v>
      </c>
      <c r="G26" s="13">
        <f t="shared" si="0"/>
        <v>0.41458</v>
      </c>
      <c r="H26" s="13">
        <f>B26+F26</f>
        <v>67.919600000000003</v>
      </c>
      <c r="I26" s="13">
        <f>C26+G26</f>
        <v>97.104579999999999</v>
      </c>
      <c r="J26" s="10">
        <f t="shared" si="1"/>
        <v>1.4296989381562906</v>
      </c>
      <c r="K26" s="10">
        <f t="shared" si="2"/>
        <v>1.4281910582097883</v>
      </c>
      <c r="L26" s="13">
        <f t="shared" si="3"/>
        <v>96.99235235498017</v>
      </c>
      <c r="M26" s="13">
        <f t="shared" si="4"/>
        <v>97.104579999999999</v>
      </c>
      <c r="N26" s="13">
        <f>M26-L26</f>
        <v>0.11222764501982851</v>
      </c>
      <c r="O26" s="2">
        <f>N26/L26</f>
        <v>1.1570772570716609E-3</v>
      </c>
    </row>
    <row r="27" spans="1:15" x14ac:dyDescent="0.25">
      <c r="A27" s="1">
        <v>46062</v>
      </c>
      <c r="B27" s="6">
        <v>67.62</v>
      </c>
      <c r="C27" s="6">
        <v>96.72</v>
      </c>
      <c r="F27" s="13">
        <f>F26+D27</f>
        <v>0.33960000000000001</v>
      </c>
      <c r="G27" s="13">
        <f t="shared" si="0"/>
        <v>0.41458</v>
      </c>
      <c r="H27" s="13">
        <f>B27+F27</f>
        <v>67.959600000000009</v>
      </c>
      <c r="I27" s="13">
        <f>C27+G27</f>
        <v>97.13458</v>
      </c>
      <c r="J27" s="10">
        <f t="shared" si="1"/>
        <v>1.4292988775684374</v>
      </c>
      <c r="K27" s="10">
        <f t="shared" si="2"/>
        <v>1.4282041260686342</v>
      </c>
      <c r="L27" s="13">
        <f t="shared" si="3"/>
        <v>97.059293039513946</v>
      </c>
      <c r="M27" s="13">
        <f t="shared" si="4"/>
        <v>97.13458</v>
      </c>
      <c r="N27" s="13">
        <f>M27-L27</f>
        <v>7.5286960486053545E-2</v>
      </c>
      <c r="O27" s="2">
        <f>N27/L27</f>
        <v>7.7568008305400871E-4</v>
      </c>
    </row>
    <row r="28" spans="1:15" x14ac:dyDescent="0.25">
      <c r="A28" s="1">
        <v>46063</v>
      </c>
      <c r="B28" s="6">
        <v>67.83</v>
      </c>
      <c r="C28" s="6">
        <v>96.97</v>
      </c>
      <c r="F28" s="13">
        <f>F27+D28</f>
        <v>0.33960000000000001</v>
      </c>
      <c r="G28" s="13">
        <f t="shared" si="0"/>
        <v>0.41458</v>
      </c>
      <c r="H28" s="13">
        <f>B28+F28</f>
        <v>68.169600000000003</v>
      </c>
      <c r="I28" s="13">
        <f>C28+G28</f>
        <v>97.38458</v>
      </c>
      <c r="J28" s="10">
        <f t="shared" si="1"/>
        <v>1.4285631718537295</v>
      </c>
      <c r="K28" s="10">
        <f t="shared" si="2"/>
        <v>1.428197353662656</v>
      </c>
      <c r="L28" s="13">
        <f t="shared" si="3"/>
        <v>97.360103992448373</v>
      </c>
      <c r="M28" s="13">
        <f t="shared" si="4"/>
        <v>97.38458</v>
      </c>
      <c r="N28" s="13">
        <f>M28-L28</f>
        <v>2.4476007551626822E-2</v>
      </c>
      <c r="O28" s="2">
        <f>N28/L28</f>
        <v>2.5139668660918105E-4</v>
      </c>
    </row>
    <row r="29" spans="1:15" x14ac:dyDescent="0.25">
      <c r="A29" s="1">
        <v>46064</v>
      </c>
      <c r="B29" s="6">
        <v>67.83</v>
      </c>
      <c r="C29" s="6">
        <v>96.98</v>
      </c>
      <c r="F29" s="13">
        <f>F28+D29</f>
        <v>0.33960000000000001</v>
      </c>
      <c r="G29" s="13">
        <f t="shared" si="0"/>
        <v>0.41458</v>
      </c>
      <c r="H29" s="13">
        <f>B29+F29</f>
        <v>68.169600000000003</v>
      </c>
      <c r="I29" s="13">
        <f>C29+G29</f>
        <v>97.394580000000005</v>
      </c>
      <c r="J29" s="10">
        <f t="shared" si="1"/>
        <v>1.4287098648077736</v>
      </c>
      <c r="K29" s="10">
        <f t="shared" si="2"/>
        <v>1.4282657695689198</v>
      </c>
      <c r="L29" s="13">
        <f t="shared" si="3"/>
        <v>97.359642320241804</v>
      </c>
      <c r="M29" s="13">
        <f t="shared" si="4"/>
        <v>97.394580000000005</v>
      </c>
      <c r="N29" s="13">
        <f>M29-L29</f>
        <v>3.4937679758201057E-2</v>
      </c>
      <c r="O29" s="2">
        <f>N29/L29</f>
        <v>3.5885176779185075E-4</v>
      </c>
    </row>
    <row r="30" spans="1:15" x14ac:dyDescent="0.25">
      <c r="A30" s="1">
        <v>46065</v>
      </c>
      <c r="B30" s="6">
        <v>68.05</v>
      </c>
      <c r="C30" s="6">
        <v>97.25</v>
      </c>
      <c r="F30" s="13">
        <f>F29+D30</f>
        <v>0.33960000000000001</v>
      </c>
      <c r="G30" s="13">
        <f t="shared" si="0"/>
        <v>0.41458</v>
      </c>
      <c r="H30" s="13">
        <f>B30+F30</f>
        <v>68.389600000000002</v>
      </c>
      <c r="I30" s="13">
        <f>C30+G30</f>
        <v>97.664580000000001</v>
      </c>
      <c r="J30" s="10">
        <f t="shared" si="1"/>
        <v>1.4280618690561138</v>
      </c>
      <c r="K30" s="10">
        <f t="shared" si="2"/>
        <v>1.4282699300045354</v>
      </c>
      <c r="L30" s="13">
        <f t="shared" si="3"/>
        <v>97.678524674510598</v>
      </c>
      <c r="M30" s="13">
        <f t="shared" si="4"/>
        <v>97.664580000000001</v>
      </c>
      <c r="N30" s="13">
        <f>M30-L30</f>
        <v>-1.394467451059711E-2</v>
      </c>
      <c r="O30" s="2">
        <f>N30/L30</f>
        <v>-1.4276090427311707E-4</v>
      </c>
    </row>
    <row r="31" spans="1:15" x14ac:dyDescent="0.25">
      <c r="A31" s="1">
        <v>46066</v>
      </c>
      <c r="B31" s="6">
        <v>68.150000000000006</v>
      </c>
      <c r="C31" s="6">
        <v>97.42</v>
      </c>
      <c r="F31" s="13">
        <f>F30+D31</f>
        <v>0.33960000000000001</v>
      </c>
      <c r="G31" s="13">
        <f t="shared" si="0"/>
        <v>0.41458</v>
      </c>
      <c r="H31" s="13">
        <f>B31+F31</f>
        <v>68.48960000000001</v>
      </c>
      <c r="I31" s="13">
        <f>C31+G31</f>
        <v>97.834580000000003</v>
      </c>
      <c r="J31" s="10">
        <f t="shared" si="1"/>
        <v>1.4284589193103769</v>
      </c>
      <c r="K31" s="10">
        <f t="shared" si="2"/>
        <v>1.4282854685626467</v>
      </c>
      <c r="L31" s="13">
        <f t="shared" si="3"/>
        <v>97.821636198038647</v>
      </c>
      <c r="M31" s="13">
        <f t="shared" si="4"/>
        <v>97.834580000000003</v>
      </c>
      <c r="N31" s="13">
        <f>M31-L31</f>
        <v>1.2943801961355916E-2</v>
      </c>
      <c r="O31" s="2">
        <f>N31/L31</f>
        <v>1.3232044018514835E-4</v>
      </c>
    </row>
    <row r="32" spans="1:15" x14ac:dyDescent="0.25">
      <c r="A32" s="1">
        <v>46070</v>
      </c>
      <c r="B32" s="6">
        <v>68.31</v>
      </c>
      <c r="C32" s="6">
        <v>97.62</v>
      </c>
      <c r="F32" s="13">
        <f>F31+D32</f>
        <v>0.33960000000000001</v>
      </c>
      <c r="G32" s="13">
        <f t="shared" si="0"/>
        <v>0.41458</v>
      </c>
      <c r="H32" s="13">
        <f>B32+F32</f>
        <v>68.649600000000007</v>
      </c>
      <c r="I32" s="13">
        <f>C32+G32</f>
        <v>98.034580000000005</v>
      </c>
      <c r="J32" s="10">
        <f t="shared" si="1"/>
        <v>1.4280429893255022</v>
      </c>
      <c r="K32" s="10">
        <f t="shared" si="2"/>
        <v>1.4283258022745826</v>
      </c>
      <c r="L32" s="13">
        <f t="shared" si="3"/>
        <v>98.051226102638282</v>
      </c>
      <c r="M32" s="13">
        <f t="shared" si="4"/>
        <v>98.034580000000005</v>
      </c>
      <c r="N32" s="13">
        <f>M32-L32</f>
        <v>-1.6646102638276261E-2</v>
      </c>
      <c r="O32" s="2">
        <f>N32/L32</f>
        <v>-1.697694490923695E-4</v>
      </c>
    </row>
    <row r="33" spans="1:15" x14ac:dyDescent="0.25">
      <c r="A33" s="1">
        <v>46071</v>
      </c>
      <c r="B33" s="6">
        <v>68.34</v>
      </c>
      <c r="C33" s="6">
        <v>97.66</v>
      </c>
      <c r="F33" s="13">
        <f>F32+D33</f>
        <v>0.33960000000000001</v>
      </c>
      <c r="G33" s="13">
        <f t="shared" si="0"/>
        <v>0.41458</v>
      </c>
      <c r="H33" s="13">
        <f>B33+F33</f>
        <v>68.679600000000008</v>
      </c>
      <c r="I33" s="13">
        <f>C33+G33</f>
        <v>98.074579999999997</v>
      </c>
      <c r="J33" s="10">
        <f t="shared" si="1"/>
        <v>1.4280016191125164</v>
      </c>
      <c r="K33" s="10">
        <f t="shared" si="2"/>
        <v>1.4283920531258867</v>
      </c>
      <c r="L33" s="13">
        <f t="shared" si="3"/>
        <v>98.09684476989743</v>
      </c>
      <c r="M33" s="13">
        <f t="shared" si="4"/>
        <v>98.074579999999997</v>
      </c>
      <c r="N33" s="13">
        <f>M33-L33</f>
        <v>-2.2264769897432757E-2</v>
      </c>
      <c r="O33" s="2">
        <f>N33/L33</f>
        <v>-2.269672378317417E-4</v>
      </c>
    </row>
    <row r="34" spans="1:15" x14ac:dyDescent="0.25">
      <c r="A34" s="1">
        <v>46072</v>
      </c>
      <c r="B34" s="6">
        <v>68.260000000000005</v>
      </c>
      <c r="C34" s="6">
        <v>97.55</v>
      </c>
      <c r="F34" s="13">
        <f>F33+D34</f>
        <v>0.33960000000000001</v>
      </c>
      <c r="G34" s="13">
        <f t="shared" si="0"/>
        <v>0.41458</v>
      </c>
      <c r="H34" s="13">
        <f>B34+F34</f>
        <v>68.599600000000009</v>
      </c>
      <c r="I34" s="13">
        <f>C34+G34</f>
        <v>97.964579999999998</v>
      </c>
      <c r="J34" s="10">
        <f t="shared" si="1"/>
        <v>1.4280634289412764</v>
      </c>
      <c r="K34" s="10">
        <f t="shared" si="2"/>
        <v>1.4283666531443788</v>
      </c>
      <c r="L34" s="13">
        <f t="shared" si="3"/>
        <v>97.987123487614596</v>
      </c>
      <c r="M34" s="13">
        <f t="shared" si="4"/>
        <v>97.964579999999998</v>
      </c>
      <c r="N34" s="13">
        <f>M34-L34</f>
        <v>-2.2543487614598234E-2</v>
      </c>
      <c r="O34" s="2">
        <f>N34/L34</f>
        <v>-2.3006581693815813E-4</v>
      </c>
    </row>
    <row r="35" spans="1:15" x14ac:dyDescent="0.25">
      <c r="A35" s="1">
        <v>46073</v>
      </c>
      <c r="B35" s="6">
        <v>68.3</v>
      </c>
      <c r="C35" s="6">
        <v>97.65</v>
      </c>
      <c r="F35" s="13">
        <f>F34+D35</f>
        <v>0.33960000000000001</v>
      </c>
      <c r="G35" s="13">
        <f t="shared" si="0"/>
        <v>0.41458</v>
      </c>
      <c r="H35" s="13">
        <f>B35+F35</f>
        <v>68.639600000000002</v>
      </c>
      <c r="I35" s="13">
        <f>C35+G35</f>
        <v>98.064580000000007</v>
      </c>
      <c r="J35" s="10">
        <f t="shared" si="1"/>
        <v>1.4286881042430317</v>
      </c>
      <c r="K35" s="10">
        <f t="shared" si="2"/>
        <v>1.4284084284912058</v>
      </c>
      <c r="L35" s="13">
        <f t="shared" si="3"/>
        <v>98.042515725168911</v>
      </c>
      <c r="M35" s="13">
        <f t="shared" si="4"/>
        <v>98.064580000000007</v>
      </c>
      <c r="N35" s="13">
        <f>M35-L35</f>
        <v>2.2064274831095076E-2</v>
      </c>
      <c r="O35" s="2">
        <f>N35/L35</f>
        <v>2.2504802807126319E-4</v>
      </c>
    </row>
    <row r="36" spans="1:15" x14ac:dyDescent="0.25">
      <c r="A36" s="1">
        <v>46076</v>
      </c>
      <c r="B36" s="6">
        <v>68.37</v>
      </c>
      <c r="C36" s="6">
        <v>97.71</v>
      </c>
      <c r="F36" s="13">
        <f>F35+D36</f>
        <v>0.33960000000000001</v>
      </c>
      <c r="G36" s="13">
        <f t="shared" si="0"/>
        <v>0.41458</v>
      </c>
      <c r="H36" s="13">
        <f>B36+F36</f>
        <v>68.709600000000009</v>
      </c>
      <c r="I36" s="13">
        <f>C36+G36</f>
        <v>98.124579999999995</v>
      </c>
      <c r="J36" s="10">
        <f t="shared" si="1"/>
        <v>1.428105825095765</v>
      </c>
      <c r="K36" s="10">
        <f t="shared" si="2"/>
        <v>1.4284020245304003</v>
      </c>
      <c r="L36" s="13">
        <f t="shared" si="3"/>
        <v>98.145371758259358</v>
      </c>
      <c r="M36" s="13">
        <f t="shared" si="4"/>
        <v>98.124579999999995</v>
      </c>
      <c r="N36" s="13">
        <f>M36-L36</f>
        <v>-2.0791758259363746E-2</v>
      </c>
      <c r="O36" s="2">
        <f>N36/L36</f>
        <v>-2.1184654851148424E-4</v>
      </c>
    </row>
    <row r="37" spans="1:15" x14ac:dyDescent="0.25">
      <c r="A37" s="1">
        <v>46077</v>
      </c>
      <c r="B37" s="6">
        <v>68.28</v>
      </c>
      <c r="C37" s="6">
        <v>97.65</v>
      </c>
      <c r="F37" s="13">
        <f>F36+D37</f>
        <v>0.33960000000000001</v>
      </c>
      <c r="G37" s="13">
        <f t="shared" si="0"/>
        <v>0.41458</v>
      </c>
      <c r="H37" s="13">
        <f>B37+F37</f>
        <v>68.619600000000005</v>
      </c>
      <c r="I37" s="13">
        <f>C37+G37</f>
        <v>98.064580000000007</v>
      </c>
      <c r="J37" s="10">
        <f t="shared" si="1"/>
        <v>1.429104512413363</v>
      </c>
      <c r="K37" s="10">
        <f t="shared" si="2"/>
        <v>1.4284244627820262</v>
      </c>
      <c r="L37" s="13">
        <f t="shared" si="3"/>
        <v>98.016375562466266</v>
      </c>
      <c r="M37" s="13">
        <f t="shared" si="4"/>
        <v>98.064580000000007</v>
      </c>
      <c r="N37" s="13">
        <f>M37-L37</f>
        <v>4.8204437533740929E-2</v>
      </c>
      <c r="O37" s="2">
        <f>N37/L37</f>
        <v>4.9179983708967114E-4</v>
      </c>
    </row>
    <row r="38" spans="1:15" x14ac:dyDescent="0.25">
      <c r="A38" s="1">
        <v>46078</v>
      </c>
      <c r="B38" s="6">
        <v>68.349999999999994</v>
      </c>
      <c r="C38" s="6">
        <v>97.74</v>
      </c>
      <c r="F38" s="13">
        <f>F37+D38</f>
        <v>0.33960000000000001</v>
      </c>
      <c r="G38" s="13">
        <f t="shared" si="0"/>
        <v>0.41458</v>
      </c>
      <c r="H38" s="13">
        <f>B38+F38</f>
        <v>68.689599999999999</v>
      </c>
      <c r="I38" s="13">
        <f>C38+G38</f>
        <v>98.154579999999996</v>
      </c>
      <c r="J38" s="10">
        <f t="shared" si="1"/>
        <v>1.4289583867135636</v>
      </c>
      <c r="K38" s="10">
        <f t="shared" si="2"/>
        <v>1.4284374839777576</v>
      </c>
      <c r="L38" s="13">
        <f t="shared" si="3"/>
        <v>98.117904978712261</v>
      </c>
      <c r="M38" s="13">
        <f t="shared" si="4"/>
        <v>98.154579999999996</v>
      </c>
      <c r="N38" s="13">
        <f>M38-L38</f>
        <v>3.6675021287734921E-2</v>
      </c>
      <c r="O38" s="2">
        <f>N38/L38</f>
        <v>3.7378520562268388E-4</v>
      </c>
    </row>
    <row r="39" spans="1:15" x14ac:dyDescent="0.25">
      <c r="A39" s="1">
        <v>46079</v>
      </c>
      <c r="B39" s="6">
        <v>68.33</v>
      </c>
      <c r="C39" s="6">
        <v>97.68</v>
      </c>
      <c r="F39" s="13">
        <f>F38+D39</f>
        <v>0.33960000000000001</v>
      </c>
      <c r="G39" s="13">
        <f t="shared" si="0"/>
        <v>0.41458</v>
      </c>
      <c r="H39" s="13">
        <f>B39+F39</f>
        <v>68.669600000000003</v>
      </c>
      <c r="I39" s="13">
        <f>C39+G39</f>
        <v>98.094580000000008</v>
      </c>
      <c r="J39" s="10">
        <f t="shared" si="1"/>
        <v>1.4285008213241377</v>
      </c>
      <c r="K39" s="10">
        <f t="shared" si="2"/>
        <v>1.428442397956629</v>
      </c>
      <c r="L39" s="13">
        <f t="shared" si="3"/>
        <v>98.090230649759022</v>
      </c>
      <c r="M39" s="13">
        <f t="shared" si="4"/>
        <v>98.094580000000008</v>
      </c>
      <c r="N39" s="13">
        <f>M39-L39</f>
        <v>4.3493502409859275E-3</v>
      </c>
      <c r="O39" s="2">
        <f>N39/L39</f>
        <v>4.4340299866514919E-5</v>
      </c>
    </row>
    <row r="40" spans="1:15" x14ac:dyDescent="0.25">
      <c r="A40" s="1">
        <v>46080</v>
      </c>
      <c r="B40" s="6">
        <v>68.349999999999994</v>
      </c>
      <c r="C40" s="6">
        <v>97.73</v>
      </c>
      <c r="F40" s="13">
        <f>F39+D40</f>
        <v>0.33960000000000001</v>
      </c>
      <c r="G40" s="13">
        <f t="shared" si="0"/>
        <v>0.41458</v>
      </c>
      <c r="H40" s="13">
        <f>B40+F40</f>
        <v>68.689599999999999</v>
      </c>
      <c r="I40" s="13">
        <f>C40+G40</f>
        <v>98.144580000000005</v>
      </c>
      <c r="J40" s="10">
        <f t="shared" si="1"/>
        <v>1.4288128042673127</v>
      </c>
      <c r="K40" s="10">
        <f t="shared" si="2"/>
        <v>1.4285187978038347</v>
      </c>
      <c r="L40" s="13">
        <f t="shared" si="3"/>
        <v>98.119136938681663</v>
      </c>
      <c r="M40" s="13">
        <f t="shared" si="4"/>
        <v>98.144580000000005</v>
      </c>
      <c r="N40" s="13">
        <f>M40-L40</f>
        <v>2.544306131834162E-2</v>
      </c>
      <c r="O40" s="2">
        <f>N40/L40</f>
        <v>2.5930783853349569E-4</v>
      </c>
    </row>
    <row r="41" spans="1:15" x14ac:dyDescent="0.25">
      <c r="A41" s="1">
        <v>46083</v>
      </c>
      <c r="B41" s="6">
        <v>67.72</v>
      </c>
      <c r="C41" s="6">
        <v>96.99</v>
      </c>
      <c r="D41" s="13">
        <v>0.3196</v>
      </c>
      <c r="E41" s="13">
        <v>0.40295999999999998</v>
      </c>
      <c r="F41" s="13">
        <f>F40+D41</f>
        <v>0.65920000000000001</v>
      </c>
      <c r="G41" s="13">
        <f t="shared" si="0"/>
        <v>0.81753999999999993</v>
      </c>
      <c r="H41" s="13">
        <f>B41+F41</f>
        <v>68.379199999999997</v>
      </c>
      <c r="I41" s="13">
        <f>C41+G41</f>
        <v>97.807539999999989</v>
      </c>
      <c r="J41" s="10">
        <f t="shared" si="1"/>
        <v>1.4303697615649202</v>
      </c>
      <c r="K41" s="10">
        <f t="shared" si="2"/>
        <v>1.4286657221812238</v>
      </c>
      <c r="L41" s="13">
        <f t="shared" si="3"/>
        <v>97.680972578787973</v>
      </c>
      <c r="M41" s="13">
        <f t="shared" si="4"/>
        <v>97.807539999999989</v>
      </c>
      <c r="N41" s="13">
        <f>M41-L41</f>
        <v>0.12656742121201603</v>
      </c>
      <c r="O41" s="2">
        <f>N41/L41</f>
        <v>1.2957223691638482E-3</v>
      </c>
    </row>
    <row r="42" spans="1:15" x14ac:dyDescent="0.25">
      <c r="A42" s="1">
        <v>46084</v>
      </c>
      <c r="B42" s="6">
        <v>67.45</v>
      </c>
      <c r="C42" s="6">
        <v>96.55</v>
      </c>
      <c r="F42" s="13">
        <f>F41+D42</f>
        <v>0.65920000000000001</v>
      </c>
      <c r="G42" s="13">
        <f t="shared" si="0"/>
        <v>0.81753999999999993</v>
      </c>
      <c r="H42" s="13">
        <f>B42+F42</f>
        <v>68.109200000000001</v>
      </c>
      <c r="I42" s="13">
        <f>C42+G42</f>
        <v>97.367539999999991</v>
      </c>
      <c r="J42" s="10">
        <f t="shared" si="1"/>
        <v>1.4295798511801634</v>
      </c>
      <c r="K42" s="10">
        <f t="shared" si="2"/>
        <v>1.4287598625453348</v>
      </c>
      <c r="L42" s="13">
        <f t="shared" si="3"/>
        <v>97.305279405185402</v>
      </c>
      <c r="M42" s="13">
        <f t="shared" si="4"/>
        <v>97.367539999999991</v>
      </c>
      <c r="N42" s="13">
        <f>M42-L42</f>
        <v>6.2260594814588899E-2</v>
      </c>
      <c r="O42" s="2">
        <f>N42/L42</f>
        <v>6.3984806574915432E-4</v>
      </c>
    </row>
    <row r="43" spans="1:15" x14ac:dyDescent="0.25">
      <c r="A43" s="1">
        <v>46085</v>
      </c>
      <c r="B43" s="6">
        <v>67.61</v>
      </c>
      <c r="C43" s="6">
        <v>96.87</v>
      </c>
      <c r="F43" s="13">
        <f>F42+D43</f>
        <v>0.65920000000000001</v>
      </c>
      <c r="G43" s="13">
        <f t="shared" si="0"/>
        <v>0.81753999999999993</v>
      </c>
      <c r="H43" s="13">
        <f>B43+F43</f>
        <v>68.269199999999998</v>
      </c>
      <c r="I43" s="13">
        <f>C43+G43</f>
        <v>97.687539999999998</v>
      </c>
      <c r="J43" s="10">
        <f t="shared" si="1"/>
        <v>1.430916723793453</v>
      </c>
      <c r="K43" s="10">
        <f t="shared" si="2"/>
        <v>1.4288955011000024</v>
      </c>
      <c r="L43" s="13">
        <f t="shared" si="3"/>
        <v>97.540292808079968</v>
      </c>
      <c r="M43" s="13">
        <f t="shared" si="4"/>
        <v>97.687539999999998</v>
      </c>
      <c r="N43" s="13">
        <f>M43-L43</f>
        <v>0.14724719192003022</v>
      </c>
      <c r="O43" s="2">
        <f>N43/L43</f>
        <v>1.509603751239023E-3</v>
      </c>
    </row>
    <row r="44" spans="1:15" x14ac:dyDescent="0.25">
      <c r="A44" s="1">
        <v>46086</v>
      </c>
      <c r="B44" s="6">
        <v>67.39</v>
      </c>
      <c r="C44" s="6">
        <v>96.38</v>
      </c>
      <c r="F44" s="13">
        <f>F43+D44</f>
        <v>0.65920000000000001</v>
      </c>
      <c r="G44" s="13">
        <f t="shared" si="0"/>
        <v>0.81753999999999993</v>
      </c>
      <c r="H44" s="13">
        <f>B44+F44</f>
        <v>68.049199999999999</v>
      </c>
      <c r="I44" s="13">
        <f>C44+G44</f>
        <v>97.197539999999989</v>
      </c>
      <c r="J44" s="10">
        <f t="shared" si="1"/>
        <v>1.4283421406864443</v>
      </c>
      <c r="K44" s="10">
        <f t="shared" si="2"/>
        <v>1.4288199694328965</v>
      </c>
      <c r="L44" s="13">
        <f t="shared" si="3"/>
        <v>97.235195733454276</v>
      </c>
      <c r="M44" s="13">
        <f t="shared" si="4"/>
        <v>97.197539999999989</v>
      </c>
      <c r="N44" s="13">
        <f>M44-L44</f>
        <v>-3.7655733454286633E-2</v>
      </c>
      <c r="O44" s="2">
        <f>N44/L44</f>
        <v>-3.8726443825454226E-4</v>
      </c>
    </row>
    <row r="45" spans="1:15" x14ac:dyDescent="0.25">
      <c r="A45" s="1">
        <v>46087</v>
      </c>
      <c r="B45" s="6">
        <v>66.94</v>
      </c>
      <c r="C45" s="6">
        <v>95.75</v>
      </c>
      <c r="F45" s="13">
        <f>F44+D45</f>
        <v>0.65920000000000001</v>
      </c>
      <c r="G45" s="13">
        <f t="shared" si="0"/>
        <v>0.81753999999999993</v>
      </c>
      <c r="H45" s="13">
        <f>B45+F45</f>
        <v>67.599199999999996</v>
      </c>
      <c r="I45" s="13">
        <f>C45+G45</f>
        <v>96.567539999999994</v>
      </c>
      <c r="J45" s="10">
        <f t="shared" si="1"/>
        <v>1.428530811015515</v>
      </c>
      <c r="K45" s="10">
        <f t="shared" si="2"/>
        <v>1.4288404710214846</v>
      </c>
      <c r="L45" s="13">
        <f t="shared" si="3"/>
        <v>96.58708687768825</v>
      </c>
      <c r="M45" s="13">
        <f t="shared" si="4"/>
        <v>96.567539999999994</v>
      </c>
      <c r="N45" s="13">
        <f>M45-L45</f>
        <v>-1.9546877688256359E-2</v>
      </c>
      <c r="O45" s="2">
        <f>N45/L45</f>
        <v>-2.0237568312842153E-4</v>
      </c>
    </row>
    <row r="46" spans="1:15" x14ac:dyDescent="0.25">
      <c r="A46" s="1">
        <v>46090</v>
      </c>
      <c r="B46" s="6">
        <v>67.08</v>
      </c>
      <c r="C46" s="6">
        <v>95.96</v>
      </c>
      <c r="F46" s="13">
        <f>F45+D46</f>
        <v>0.65920000000000001</v>
      </c>
      <c r="G46" s="13">
        <f t="shared" si="0"/>
        <v>0.81753999999999993</v>
      </c>
      <c r="H46" s="13">
        <f>B46+F46</f>
        <v>67.739199999999997</v>
      </c>
      <c r="I46" s="13">
        <f>C46+G46</f>
        <v>96.777539999999988</v>
      </c>
      <c r="J46" s="10">
        <f t="shared" si="1"/>
        <v>1.428678519970711</v>
      </c>
      <c r="K46" s="10">
        <f t="shared" si="2"/>
        <v>1.4287894501122054</v>
      </c>
      <c r="L46" s="13">
        <f t="shared" si="3"/>
        <v>96.788510434618544</v>
      </c>
      <c r="M46" s="13">
        <f t="shared" si="4"/>
        <v>96.777539999999988</v>
      </c>
      <c r="N46" s="13">
        <f>M46-L46</f>
        <v>-1.0970434618556624E-2</v>
      </c>
      <c r="O46" s="2">
        <f>N46/L46</f>
        <v>-1.1334438942489197E-4</v>
      </c>
    </row>
    <row r="47" spans="1:15" x14ac:dyDescent="0.25">
      <c r="A47" s="1">
        <v>46091</v>
      </c>
      <c r="B47" s="6">
        <v>67.09</v>
      </c>
      <c r="C47" s="6">
        <v>95.95</v>
      </c>
      <c r="F47" s="13">
        <f>F46+D47</f>
        <v>0.65920000000000001</v>
      </c>
      <c r="G47" s="13">
        <f t="shared" si="0"/>
        <v>0.81753999999999993</v>
      </c>
      <c r="H47" s="13">
        <f>B47+F47</f>
        <v>67.749200000000002</v>
      </c>
      <c r="I47" s="13">
        <f>C47+G47</f>
        <v>96.767539999999997</v>
      </c>
      <c r="J47" s="10">
        <f t="shared" si="1"/>
        <v>1.4283200392034148</v>
      </c>
      <c r="K47" s="10">
        <f t="shared" si="2"/>
        <v>1.4287405081939544</v>
      </c>
      <c r="L47" s="13">
        <f t="shared" si="3"/>
        <v>96.79934221354182</v>
      </c>
      <c r="M47" s="13">
        <f t="shared" si="4"/>
        <v>96.767539999999997</v>
      </c>
      <c r="N47" s="13">
        <f>M47-L47</f>
        <v>-3.1802213541823221E-2</v>
      </c>
      <c r="O47" s="2">
        <f>N47/L47</f>
        <v>-3.2853749637747255E-4</v>
      </c>
    </row>
    <row r="48" spans="1:15" x14ac:dyDescent="0.25">
      <c r="A48" s="1">
        <v>46092</v>
      </c>
      <c r="B48" s="6">
        <v>66.94</v>
      </c>
      <c r="C48" s="6">
        <v>95.64</v>
      </c>
      <c r="F48" s="13">
        <f>F47+D48</f>
        <v>0.65920000000000001</v>
      </c>
      <c r="G48" s="13">
        <f t="shared" si="0"/>
        <v>0.81753999999999993</v>
      </c>
      <c r="H48" s="13">
        <f>B48+F48</f>
        <v>67.599199999999996</v>
      </c>
      <c r="I48" s="13">
        <f>C48+G48</f>
        <v>96.457539999999995</v>
      </c>
      <c r="J48" s="10">
        <f t="shared" si="1"/>
        <v>1.426903572823347</v>
      </c>
      <c r="K48" s="10">
        <f t="shared" si="2"/>
        <v>1.4286575282424345</v>
      </c>
      <c r="L48" s="13">
        <f t="shared" si="3"/>
        <v>96.581715361504749</v>
      </c>
      <c r="M48" s="13">
        <f t="shared" si="4"/>
        <v>96.457539999999995</v>
      </c>
      <c r="N48" s="13">
        <f>M48-L48</f>
        <v>-0.12417536150475428</v>
      </c>
      <c r="O48" s="2">
        <f>N48/L48</f>
        <v>-1.2857025891491645E-3</v>
      </c>
    </row>
    <row r="49" spans="1:15" x14ac:dyDescent="0.25">
      <c r="A49" s="1">
        <v>46093</v>
      </c>
      <c r="B49" s="6">
        <v>66.41</v>
      </c>
      <c r="C49" s="6">
        <v>94.84</v>
      </c>
      <c r="F49" s="13">
        <f>F48+D49</f>
        <v>0.65920000000000001</v>
      </c>
      <c r="G49" s="13">
        <f t="shared" si="0"/>
        <v>0.81753999999999993</v>
      </c>
      <c r="H49" s="13">
        <f>B49+F49</f>
        <v>67.069199999999995</v>
      </c>
      <c r="I49" s="13">
        <f>C49+G49</f>
        <v>95.657539999999997</v>
      </c>
      <c r="J49" s="10">
        <f t="shared" si="1"/>
        <v>1.4262513940825297</v>
      </c>
      <c r="K49" s="10">
        <f t="shared" si="2"/>
        <v>1.4285346047061727</v>
      </c>
      <c r="L49" s="13">
        <f t="shared" si="3"/>
        <v>95.818917493197489</v>
      </c>
      <c r="M49" s="13">
        <f t="shared" si="4"/>
        <v>95.657539999999997</v>
      </c>
      <c r="N49" s="13">
        <f>M49-L49</f>
        <v>-0.16137749319749162</v>
      </c>
      <c r="O49" s="2">
        <f>N49/L49</f>
        <v>-1.6841924060449582E-3</v>
      </c>
    </row>
    <row r="50" spans="1:15" x14ac:dyDescent="0.25">
      <c r="A50" s="1">
        <v>46094</v>
      </c>
      <c r="B50" s="6">
        <v>65.989999999999995</v>
      </c>
      <c r="C50" s="6">
        <v>94.38</v>
      </c>
      <c r="F50" s="13">
        <f>F49+D50</f>
        <v>0.65920000000000001</v>
      </c>
      <c r="G50" s="13">
        <f t="shared" si="0"/>
        <v>0.81753999999999993</v>
      </c>
      <c r="H50" s="13">
        <f>B50+F50</f>
        <v>66.649199999999993</v>
      </c>
      <c r="I50" s="13">
        <f>C50+G50</f>
        <v>95.197539999999989</v>
      </c>
      <c r="J50" s="10">
        <f t="shared" si="1"/>
        <v>1.4283373243789872</v>
      </c>
      <c r="K50" s="10">
        <f t="shared" si="2"/>
        <v>1.4285483774723162</v>
      </c>
      <c r="L50" s="13">
        <f t="shared" si="3"/>
        <v>95.21068857598263</v>
      </c>
      <c r="M50" s="13">
        <f t="shared" si="4"/>
        <v>95.197539999999989</v>
      </c>
      <c r="N50" s="13">
        <f>M50-L50</f>
        <v>-1.3148575982640409E-2</v>
      </c>
      <c r="O50" s="2">
        <f>N50/L50</f>
        <v>-1.3809978878734003E-4</v>
      </c>
    </row>
    <row r="51" spans="1:15" x14ac:dyDescent="0.25">
      <c r="A51" s="1">
        <v>46097</v>
      </c>
      <c r="B51" s="6">
        <v>66.290000000000006</v>
      </c>
      <c r="C51" s="6">
        <v>94.75</v>
      </c>
      <c r="F51" s="13">
        <f>F50+D51</f>
        <v>0.65920000000000001</v>
      </c>
      <c r="G51" s="13">
        <f t="shared" si="0"/>
        <v>0.81753999999999993</v>
      </c>
      <c r="H51" s="13">
        <f>B51+F51</f>
        <v>66.949200000000005</v>
      </c>
      <c r="I51" s="13">
        <f>C51+G51</f>
        <v>95.567539999999994</v>
      </c>
      <c r="J51" s="10">
        <f t="shared" si="1"/>
        <v>1.4274635096461195</v>
      </c>
      <c r="K51" s="10">
        <f t="shared" si="2"/>
        <v>1.4284986069891035</v>
      </c>
      <c r="L51" s="13">
        <f t="shared" si="3"/>
        <v>95.640171033069606</v>
      </c>
      <c r="M51" s="13">
        <f t="shared" si="4"/>
        <v>95.567539999999994</v>
      </c>
      <c r="N51" s="13">
        <f>M51-L51</f>
        <v>-7.2631033069612272E-2</v>
      </c>
      <c r="O51" s="2">
        <f>N51/L51</f>
        <v>-7.5941973215939312E-4</v>
      </c>
    </row>
    <row r="52" spans="1:15" x14ac:dyDescent="0.25">
      <c r="A52" s="1">
        <v>46098</v>
      </c>
      <c r="B52" s="6">
        <v>66.55</v>
      </c>
      <c r="C52" s="6">
        <v>95.1</v>
      </c>
      <c r="F52" s="13">
        <f>F51+D52</f>
        <v>0.65920000000000001</v>
      </c>
      <c r="G52" s="13">
        <f t="shared" si="0"/>
        <v>0.81753999999999993</v>
      </c>
      <c r="H52" s="13">
        <f>B52+F52</f>
        <v>67.209199999999996</v>
      </c>
      <c r="I52" s="13">
        <f>C52+G52</f>
        <v>95.917539999999988</v>
      </c>
      <c r="J52" s="10">
        <f t="shared" si="1"/>
        <v>1.4271489617492843</v>
      </c>
      <c r="K52" s="10">
        <f t="shared" si="2"/>
        <v>1.4284539056102927</v>
      </c>
      <c r="L52" s="13">
        <f t="shared" si="3"/>
        <v>96.00824857685204</v>
      </c>
      <c r="M52" s="13">
        <f t="shared" si="4"/>
        <v>95.917539999999988</v>
      </c>
      <c r="N52" s="13">
        <f>M52-L52</f>
        <v>-9.0708576852051692E-2</v>
      </c>
      <c r="O52" s="2">
        <f>N52/L52</f>
        <v>-9.4479982914636655E-4</v>
      </c>
    </row>
    <row r="53" spans="1:15" x14ac:dyDescent="0.25">
      <c r="A53" s="1">
        <v>46099</v>
      </c>
      <c r="B53" s="6">
        <v>66.010000000000005</v>
      </c>
      <c r="C53" s="6">
        <v>94.36</v>
      </c>
      <c r="F53" s="13">
        <f>F52+D53</f>
        <v>0.65920000000000001</v>
      </c>
      <c r="G53" s="13">
        <f t="shared" si="0"/>
        <v>0.81753999999999993</v>
      </c>
      <c r="H53" s="13">
        <f>B53+F53</f>
        <v>66.669200000000004</v>
      </c>
      <c r="I53" s="13">
        <f>C53+G53</f>
        <v>95.177539999999993</v>
      </c>
      <c r="J53" s="10">
        <f t="shared" si="1"/>
        <v>1.4276088508636671</v>
      </c>
      <c r="K53" s="10">
        <f t="shared" si="2"/>
        <v>1.4284342671978503</v>
      </c>
      <c r="L53" s="13">
        <f t="shared" si="3"/>
        <v>95.233879123913738</v>
      </c>
      <c r="M53" s="13">
        <f t="shared" si="4"/>
        <v>95.177539999999993</v>
      </c>
      <c r="N53" s="13">
        <f>M53-L53</f>
        <v>-5.6339123913744515E-2</v>
      </c>
      <c r="O53" s="2">
        <f>N53/L53</f>
        <v>-5.9158699017645554E-4</v>
      </c>
    </row>
    <row r="54" spans="1:15" x14ac:dyDescent="0.25">
      <c r="A54" s="1">
        <v>46100</v>
      </c>
      <c r="B54" s="6">
        <v>66.14</v>
      </c>
      <c r="C54" s="6">
        <v>94.63</v>
      </c>
      <c r="F54" s="13">
        <f>F53+D54</f>
        <v>0.65920000000000001</v>
      </c>
      <c r="G54" s="13">
        <f t="shared" si="0"/>
        <v>0.81753999999999993</v>
      </c>
      <c r="H54" s="13">
        <f>B54+F54</f>
        <v>66.799199999999999</v>
      </c>
      <c r="I54" s="13">
        <f>C54+G54</f>
        <v>95.447539999999989</v>
      </c>
      <c r="J54" s="10">
        <f t="shared" si="1"/>
        <v>1.4288725014670833</v>
      </c>
      <c r="K54" s="10">
        <f t="shared" si="2"/>
        <v>1.4284747208241406</v>
      </c>
      <c r="L54" s="13">
        <f t="shared" si="3"/>
        <v>95.418266301402639</v>
      </c>
      <c r="M54" s="13">
        <f t="shared" si="4"/>
        <v>95.447539999999989</v>
      </c>
      <c r="N54" s="13">
        <f>M54-L54</f>
        <v>2.9273698597350517E-2</v>
      </c>
      <c r="O54" s="2">
        <f>N54/L54</f>
        <v>3.0679344461030303E-4</v>
      </c>
    </row>
    <row r="55" spans="1:15" x14ac:dyDescent="0.25">
      <c r="A55" s="1">
        <v>46101</v>
      </c>
      <c r="B55" s="6">
        <v>65.2</v>
      </c>
      <c r="C55" s="6">
        <v>93.15</v>
      </c>
      <c r="F55" s="13">
        <f>F54+D55</f>
        <v>0.65920000000000001</v>
      </c>
      <c r="G55" s="13">
        <f t="shared" si="0"/>
        <v>0.81753999999999993</v>
      </c>
      <c r="H55" s="13">
        <f>B55+F55</f>
        <v>65.859200000000001</v>
      </c>
      <c r="I55" s="13">
        <f>C55+G55</f>
        <v>93.96754</v>
      </c>
      <c r="J55" s="10">
        <f t="shared" si="1"/>
        <v>1.4267944341868715</v>
      </c>
      <c r="K55" s="10">
        <f t="shared" si="2"/>
        <v>1.4283800373213327</v>
      </c>
      <c r="L55" s="13">
        <f t="shared" si="3"/>
        <v>94.078202333701242</v>
      </c>
      <c r="M55" s="13">
        <f t="shared" si="4"/>
        <v>93.96754</v>
      </c>
      <c r="N55" s="13">
        <f>M55-L55</f>
        <v>-0.11066233370124223</v>
      </c>
      <c r="O55" s="2">
        <f>N55/L55</f>
        <v>-1.1762802748793608E-3</v>
      </c>
    </row>
    <row r="56" spans="1:15" x14ac:dyDescent="0.25">
      <c r="A56" s="1">
        <v>46104</v>
      </c>
      <c r="B56" s="6">
        <v>65.7</v>
      </c>
      <c r="C56" s="6">
        <v>94.06</v>
      </c>
      <c r="F56" s="13">
        <f>F55+D56</f>
        <v>0.65920000000000001</v>
      </c>
      <c r="G56" s="13">
        <f t="shared" si="0"/>
        <v>0.81753999999999993</v>
      </c>
      <c r="H56" s="13">
        <f>B56+F56</f>
        <v>66.359200000000001</v>
      </c>
      <c r="I56" s="13">
        <f>C56+G56</f>
        <v>94.877539999999996</v>
      </c>
      <c r="J56" s="10">
        <f t="shared" si="1"/>
        <v>1.429757139929354</v>
      </c>
      <c r="K56" s="10">
        <f t="shared" si="2"/>
        <v>1.4284626030630121</v>
      </c>
      <c r="L56" s="13">
        <f t="shared" si="3"/>
        <v>94.786156572613777</v>
      </c>
      <c r="M56" s="13">
        <f t="shared" si="4"/>
        <v>94.877539999999996</v>
      </c>
      <c r="N56" s="13">
        <f>M56-L56</f>
        <v>9.1383427386219296E-2</v>
      </c>
      <c r="O56" s="2">
        <f>N56/L56</f>
        <v>9.6410098996062028E-4</v>
      </c>
    </row>
    <row r="57" spans="1:15" x14ac:dyDescent="0.25">
      <c r="A57" s="1">
        <v>46105</v>
      </c>
      <c r="B57" s="6">
        <v>65.44</v>
      </c>
      <c r="C57" s="6">
        <v>93.58</v>
      </c>
      <c r="F57" s="13">
        <f>F56+D57</f>
        <v>0.65920000000000001</v>
      </c>
      <c r="G57" s="13">
        <f t="shared" si="0"/>
        <v>0.81753999999999993</v>
      </c>
      <c r="H57" s="13">
        <f>B57+F57</f>
        <v>66.099199999999996</v>
      </c>
      <c r="I57" s="13">
        <f>C57+G57</f>
        <v>94.397539999999992</v>
      </c>
      <c r="J57" s="10">
        <f t="shared" si="1"/>
        <v>1.4281192510650658</v>
      </c>
      <c r="K57" s="10">
        <f t="shared" si="2"/>
        <v>1.4284133399955974</v>
      </c>
      <c r="L57" s="13">
        <f t="shared" si="3"/>
        <v>94.420235292382642</v>
      </c>
      <c r="M57" s="13">
        <f t="shared" si="4"/>
        <v>94.397539999999992</v>
      </c>
      <c r="N57" s="13">
        <f>M57-L57</f>
        <v>-2.2695292382650223E-2</v>
      </c>
      <c r="O57" s="2">
        <f>N57/L57</f>
        <v>-2.4036470903055637E-4</v>
      </c>
    </row>
    <row r="58" spans="1:15" x14ac:dyDescent="0.25">
      <c r="A58" s="1">
        <v>46106</v>
      </c>
      <c r="B58" s="6">
        <v>66.010000000000005</v>
      </c>
      <c r="C58" s="6">
        <v>94.43</v>
      </c>
      <c r="F58" s="13">
        <f>F57+D58</f>
        <v>0.65920000000000001</v>
      </c>
      <c r="G58" s="13">
        <f t="shared" si="0"/>
        <v>0.81753999999999993</v>
      </c>
      <c r="H58" s="13">
        <f>B58+F58</f>
        <v>66.669200000000004</v>
      </c>
      <c r="I58" s="13">
        <f>C58+G58</f>
        <v>95.247540000000001</v>
      </c>
      <c r="J58" s="10">
        <f t="shared" si="1"/>
        <v>1.4286588109651832</v>
      </c>
      <c r="K58" s="10">
        <f t="shared" si="2"/>
        <v>1.4283983612081781</v>
      </c>
      <c r="L58" s="13">
        <f t="shared" si="3"/>
        <v>95.231174646834489</v>
      </c>
      <c r="M58" s="13">
        <f t="shared" si="4"/>
        <v>95.247540000000001</v>
      </c>
      <c r="N58" s="13">
        <f>M58-L58</f>
        <v>1.6365353165511465E-2</v>
      </c>
      <c r="O58" s="2">
        <f>N58/L58</f>
        <v>1.7184869583098704E-4</v>
      </c>
    </row>
    <row r="59" spans="1:15" x14ac:dyDescent="0.25">
      <c r="A59" s="1">
        <v>46107</v>
      </c>
      <c r="B59" s="6">
        <v>65.33</v>
      </c>
      <c r="C59" s="6">
        <v>93.46</v>
      </c>
      <c r="F59" s="13">
        <f>F58+D59</f>
        <v>0.65920000000000001</v>
      </c>
      <c r="G59" s="13">
        <f t="shared" si="0"/>
        <v>0.81753999999999993</v>
      </c>
      <c r="H59" s="13">
        <f>B59+F59</f>
        <v>65.989199999999997</v>
      </c>
      <c r="I59" s="13">
        <f>C59+G59</f>
        <v>94.277539999999988</v>
      </c>
      <c r="J59" s="10">
        <f t="shared" si="1"/>
        <v>1.4286813599801178</v>
      </c>
      <c r="K59" s="10">
        <f t="shared" si="2"/>
        <v>1.4284073881409771</v>
      </c>
      <c r="L59" s="13">
        <f t="shared" si="3"/>
        <v>94.258865137438704</v>
      </c>
      <c r="M59" s="13">
        <f t="shared" si="4"/>
        <v>94.277539999999988</v>
      </c>
      <c r="N59" s="13">
        <f>M59-L59</f>
        <v>1.8674862561283589E-2</v>
      </c>
      <c r="O59" s="2">
        <f>N59/L59</f>
        <v>1.9812314241269297E-4</v>
      </c>
    </row>
    <row r="60" spans="1:15" x14ac:dyDescent="0.25">
      <c r="A60" s="1">
        <v>46108</v>
      </c>
      <c r="B60" s="6">
        <v>65</v>
      </c>
      <c r="C60" s="6">
        <v>92.95</v>
      </c>
      <c r="F60" s="13">
        <f>F59+D60</f>
        <v>0.65920000000000001</v>
      </c>
      <c r="G60" s="13">
        <f t="shared" si="0"/>
        <v>0.81753999999999993</v>
      </c>
      <c r="H60" s="13">
        <f>B60+F60</f>
        <v>65.659199999999998</v>
      </c>
      <c r="I60" s="13">
        <f>C60+G60</f>
        <v>93.767539999999997</v>
      </c>
      <c r="J60" s="10">
        <f t="shared" si="1"/>
        <v>1.4280944635329094</v>
      </c>
      <c r="K60" s="10">
        <f t="shared" si="2"/>
        <v>1.4283714711042568</v>
      </c>
      <c r="L60" s="13">
        <f t="shared" si="3"/>
        <v>93.788086379426048</v>
      </c>
      <c r="M60" s="13">
        <f t="shared" si="4"/>
        <v>93.767539999999997</v>
      </c>
      <c r="N60" s="13">
        <f>M60-L60</f>
        <v>-2.0546379426050976E-2</v>
      </c>
      <c r="O60" s="2">
        <f>N60/L60</f>
        <v>-2.1907238135693703E-4</v>
      </c>
    </row>
    <row r="61" spans="1:15" x14ac:dyDescent="0.25">
      <c r="A61" s="1">
        <v>46111</v>
      </c>
      <c r="B61" s="6">
        <v>65.13</v>
      </c>
      <c r="C61" s="6">
        <v>93.11</v>
      </c>
      <c r="F61" s="13">
        <f>F60+D61</f>
        <v>0.65920000000000001</v>
      </c>
      <c r="G61" s="13">
        <f t="shared" si="0"/>
        <v>0.81753999999999993</v>
      </c>
      <c r="H61" s="13">
        <f>B61+F61</f>
        <v>65.789199999999994</v>
      </c>
      <c r="I61" s="13">
        <f>C61+G61</f>
        <v>93.927539999999993</v>
      </c>
      <c r="J61" s="10">
        <f t="shared" si="1"/>
        <v>1.4277045472509167</v>
      </c>
      <c r="K61" s="10">
        <f t="shared" si="2"/>
        <v>1.4282382103885567</v>
      </c>
      <c r="L61" s="13">
        <f t="shared" si="3"/>
        <v>93.971416386772162</v>
      </c>
      <c r="M61" s="13">
        <f t="shared" si="4"/>
        <v>93.927539999999993</v>
      </c>
      <c r="N61" s="13">
        <f>M61-L61</f>
        <v>-4.3876386772168985E-2</v>
      </c>
      <c r="O61" s="2">
        <f>N61/L61</f>
        <v>-4.6691205112393326E-4</v>
      </c>
    </row>
    <row r="62" spans="1:15" x14ac:dyDescent="0.25">
      <c r="A62" s="1">
        <v>46112</v>
      </c>
      <c r="B62" s="6">
        <v>65.69</v>
      </c>
      <c r="C62" s="6">
        <v>93.93</v>
      </c>
      <c r="F62" s="13">
        <f>F61+D62</f>
        <v>0.65920000000000001</v>
      </c>
      <c r="G62" s="13">
        <f t="shared" si="0"/>
        <v>0.81753999999999993</v>
      </c>
      <c r="H62" s="13">
        <f>B62+F62</f>
        <v>66.349199999999996</v>
      </c>
      <c r="I62" s="13">
        <f>C62+G62</f>
        <v>94.747540000000001</v>
      </c>
      <c r="J62" s="10">
        <f t="shared" si="1"/>
        <v>1.4280132993314163</v>
      </c>
      <c r="K62" s="10">
        <f t="shared" si="2"/>
        <v>1.4281598827961193</v>
      </c>
      <c r="L62" s="13">
        <f t="shared" si="3"/>
        <v>94.762462668712416</v>
      </c>
      <c r="M62" s="13">
        <f t="shared" si="4"/>
        <v>94.747540000000001</v>
      </c>
      <c r="N62" s="13">
        <f>M62-L62</f>
        <v>-1.4922668712415543E-2</v>
      </c>
      <c r="O62" s="2">
        <f>N62/L62</f>
        <v>-1.5747447134826877E-4</v>
      </c>
    </row>
    <row r="63" spans="1:15" x14ac:dyDescent="0.25">
      <c r="A63" s="1">
        <v>46113</v>
      </c>
      <c r="B63" s="6">
        <v>65.599999999999994</v>
      </c>
      <c r="C63" s="6">
        <v>93.86</v>
      </c>
      <c r="D63" s="13">
        <v>0.32879999999999998</v>
      </c>
      <c r="E63" s="13">
        <v>0.45540000000000003</v>
      </c>
      <c r="F63" s="13">
        <f>F62+D63</f>
        <v>0.98799999999999999</v>
      </c>
      <c r="G63" s="13">
        <f t="shared" si="0"/>
        <v>1.27294</v>
      </c>
      <c r="H63" s="13">
        <f>B63+F63</f>
        <v>66.587999999999994</v>
      </c>
      <c r="I63" s="13">
        <f>C63+G63</f>
        <v>95.132940000000005</v>
      </c>
      <c r="J63" s="10">
        <f t="shared" si="1"/>
        <v>1.4286799423319518</v>
      </c>
      <c r="K63" s="10">
        <f t="shared" si="2"/>
        <v>1.4280480437230441</v>
      </c>
      <c r="L63" s="13">
        <f t="shared" si="3"/>
        <v>95.098310275627981</v>
      </c>
      <c r="M63" s="13">
        <f t="shared" si="4"/>
        <v>95.132940000000005</v>
      </c>
      <c r="N63" s="13">
        <f>M63-L63</f>
        <v>3.4629724372024384E-2</v>
      </c>
      <c r="O63" s="2">
        <f>N63/L63</f>
        <v>3.641465791732303E-4</v>
      </c>
    </row>
    <row r="64" spans="1:15" x14ac:dyDescent="0.25">
      <c r="A64" s="1">
        <v>46114</v>
      </c>
      <c r="B64" s="6">
        <v>65.72</v>
      </c>
      <c r="C64" s="6">
        <v>93.97</v>
      </c>
      <c r="F64" s="13">
        <f>F63+D64</f>
        <v>0.98799999999999999</v>
      </c>
      <c r="G64" s="13">
        <f t="shared" si="0"/>
        <v>1.27294</v>
      </c>
      <c r="H64" s="13">
        <f>B64+F64</f>
        <v>66.707999999999998</v>
      </c>
      <c r="I64" s="13">
        <f>C64+G64</f>
        <v>95.242940000000004</v>
      </c>
      <c r="J64" s="10">
        <f t="shared" si="1"/>
        <v>1.4277588894885171</v>
      </c>
      <c r="K64" s="10">
        <f t="shared" si="2"/>
        <v>1.428018881163148</v>
      </c>
      <c r="L64" s="13">
        <f t="shared" si="3"/>
        <v>95.262228900676817</v>
      </c>
      <c r="M64" s="13">
        <f t="shared" si="4"/>
        <v>95.242940000000004</v>
      </c>
      <c r="N64" s="13">
        <f>M64-L64</f>
        <v>-1.9288900676812659E-2</v>
      </c>
      <c r="O64" s="2">
        <f>N64/L64</f>
        <v>-2.0248214743037171E-4</v>
      </c>
    </row>
    <row r="65" spans="1:15" x14ac:dyDescent="0.25">
      <c r="A65" s="1">
        <v>46118</v>
      </c>
      <c r="B65" s="6">
        <v>65.72</v>
      </c>
      <c r="C65" s="6">
        <v>93.94</v>
      </c>
      <c r="F65" s="13">
        <f>F64+D65</f>
        <v>0.98799999999999999</v>
      </c>
      <c r="G65" s="13">
        <f t="shared" si="0"/>
        <v>1.27294</v>
      </c>
      <c r="H65" s="13">
        <f>B65+F65</f>
        <v>66.707999999999998</v>
      </c>
      <c r="I65" s="13">
        <f>C65+G65</f>
        <v>95.212940000000003</v>
      </c>
      <c r="J65" s="10">
        <f t="shared" si="1"/>
        <v>1.4273091683156445</v>
      </c>
      <c r="K65" s="10">
        <f t="shared" si="2"/>
        <v>1.4279577990281542</v>
      </c>
      <c r="L65" s="13">
        <f t="shared" si="3"/>
        <v>95.260283524631276</v>
      </c>
      <c r="M65" s="13">
        <f t="shared" si="4"/>
        <v>95.212940000000003</v>
      </c>
      <c r="N65" s="13">
        <f>M65-L65</f>
        <v>-4.7343524631273226E-2</v>
      </c>
      <c r="O65" s="2">
        <f>N65/L65</f>
        <v>-4.9699122110036232E-4</v>
      </c>
    </row>
    <row r="66" spans="1:15" x14ac:dyDescent="0.25">
      <c r="A66" s="1">
        <v>46119</v>
      </c>
      <c r="B66" s="6">
        <v>65.81</v>
      </c>
      <c r="C66" s="6">
        <v>93.99</v>
      </c>
      <c r="F66" s="13">
        <f>F65+D66</f>
        <v>0.98799999999999999</v>
      </c>
      <c r="G66" s="13">
        <f t="shared" si="0"/>
        <v>1.27294</v>
      </c>
      <c r="H66" s="13">
        <f>B66+F66</f>
        <v>66.798000000000002</v>
      </c>
      <c r="I66" s="13">
        <f>C66+G66</f>
        <v>95.26294</v>
      </c>
      <c r="J66" s="10">
        <f t="shared" si="1"/>
        <v>1.4261346148088265</v>
      </c>
      <c r="K66" s="10">
        <f t="shared" si="2"/>
        <v>1.4278306037700601</v>
      </c>
      <c r="L66" s="13">
        <f t="shared" si="3"/>
        <v>95.384725059482648</v>
      </c>
      <c r="M66" s="13">
        <f t="shared" si="4"/>
        <v>95.26294</v>
      </c>
      <c r="N66" s="13">
        <f>M66-L66</f>
        <v>-0.12178505948264728</v>
      </c>
      <c r="O66" s="2">
        <f>N66/L66</f>
        <v>-1.2767773813543121E-3</v>
      </c>
    </row>
    <row r="67" spans="1:15" x14ac:dyDescent="0.25">
      <c r="A67" s="1">
        <v>46120</v>
      </c>
      <c r="B67" s="6">
        <v>66.38</v>
      </c>
      <c r="C67" s="6">
        <v>95.11</v>
      </c>
      <c r="F67" s="13">
        <f>F66+D67</f>
        <v>0.98799999999999999</v>
      </c>
      <c r="G67" s="13">
        <f t="shared" si="0"/>
        <v>1.27294</v>
      </c>
      <c r="H67" s="13">
        <f>B67+F67</f>
        <v>67.367999999999995</v>
      </c>
      <c r="I67" s="13">
        <f>C67+G67</f>
        <v>96.382940000000005</v>
      </c>
      <c r="J67" s="10">
        <f t="shared" si="1"/>
        <v>1.4306932074575467</v>
      </c>
      <c r="K67" s="10">
        <f t="shared" si="2"/>
        <v>1.4279492621827667</v>
      </c>
      <c r="L67" s="13">
        <f t="shared" si="3"/>
        <v>96.190092114781407</v>
      </c>
      <c r="M67" s="13">
        <f t="shared" si="4"/>
        <v>96.382940000000005</v>
      </c>
      <c r="N67" s="13">
        <f>M67-L67</f>
        <v>0.19284788521859753</v>
      </c>
      <c r="O67" s="2">
        <f>N67/L67</f>
        <v>2.0048622574191594E-3</v>
      </c>
    </row>
    <row r="68" spans="1:15" x14ac:dyDescent="0.25">
      <c r="A68" s="1">
        <v>46121</v>
      </c>
      <c r="B68" s="6">
        <v>66.680000000000007</v>
      </c>
      <c r="C68" s="6">
        <v>95.51</v>
      </c>
      <c r="F68" s="13">
        <f>F67+D68</f>
        <v>0.98799999999999999</v>
      </c>
      <c r="G68" s="13">
        <f t="shared" ref="G68:G131" si="5">G67+E68</f>
        <v>1.27294</v>
      </c>
      <c r="H68" s="13">
        <f>B68+F68</f>
        <v>67.668000000000006</v>
      </c>
      <c r="I68" s="13">
        <f>C68+G68</f>
        <v>96.782940000000011</v>
      </c>
      <c r="J68" s="10">
        <f t="shared" ref="J68:J131" si="6">I68/H68</f>
        <v>1.4302615712005675</v>
      </c>
      <c r="K68" s="10">
        <f t="shared" si="2"/>
        <v>1.428117162101628</v>
      </c>
      <c r="L68" s="13">
        <f t="shared" si="3"/>
        <v>96.626470673383466</v>
      </c>
      <c r="M68" s="13">
        <f t="shared" si="4"/>
        <v>96.782940000000011</v>
      </c>
      <c r="N68" s="13">
        <f>M68-L68</f>
        <v>0.15646932661654489</v>
      </c>
      <c r="O68" s="2">
        <f>N68/L68</f>
        <v>1.6193215536707544E-3</v>
      </c>
    </row>
    <row r="69" spans="1:15" x14ac:dyDescent="0.25">
      <c r="A69" s="1">
        <v>46122</v>
      </c>
      <c r="B69" s="6">
        <v>66.69</v>
      </c>
      <c r="C69" s="6">
        <v>95.5</v>
      </c>
      <c r="F69" s="13">
        <f>F68+D69</f>
        <v>0.98799999999999999</v>
      </c>
      <c r="G69" s="13">
        <f t="shared" si="5"/>
        <v>1.27294</v>
      </c>
      <c r="H69" s="13">
        <f>B69+F69</f>
        <v>67.677999999999997</v>
      </c>
      <c r="I69" s="13">
        <f>C69+G69</f>
        <v>96.772940000000006</v>
      </c>
      <c r="J69" s="10">
        <f t="shared" si="6"/>
        <v>1.4299024793876889</v>
      </c>
      <c r="K69" s="10">
        <f t="shared" si="2"/>
        <v>1.4282997163668858</v>
      </c>
      <c r="L69" s="13">
        <f t="shared" si="3"/>
        <v>96.652113296713978</v>
      </c>
      <c r="M69" s="13">
        <f t="shared" si="4"/>
        <v>96.772940000000006</v>
      </c>
      <c r="N69" s="13">
        <f>M69-L69</f>
        <v>0.12082670328602774</v>
      </c>
      <c r="O69" s="2">
        <f>N69/L69</f>
        <v>1.2501196214416933E-3</v>
      </c>
    </row>
    <row r="70" spans="1:15" x14ac:dyDescent="0.25">
      <c r="A70" s="1">
        <v>46125</v>
      </c>
      <c r="B70" s="6">
        <v>67.040000000000006</v>
      </c>
      <c r="C70" s="6">
        <v>96.03</v>
      </c>
      <c r="F70" s="13">
        <f>F69+D70</f>
        <v>0.98799999999999999</v>
      </c>
      <c r="G70" s="13">
        <f t="shared" si="5"/>
        <v>1.27294</v>
      </c>
      <c r="H70" s="13">
        <f>B70+F70</f>
        <v>68.028000000000006</v>
      </c>
      <c r="I70" s="13">
        <f>C70+G70</f>
        <v>97.302940000000007</v>
      </c>
      <c r="J70" s="10">
        <f t="shared" si="6"/>
        <v>1.4303366260951373</v>
      </c>
      <c r="K70" s="10">
        <f t="shared" si="2"/>
        <v>1.4283996814526936</v>
      </c>
      <c r="L70" s="13">
        <f t="shared" si="3"/>
        <v>97.164373105006518</v>
      </c>
      <c r="M70" s="13">
        <f t="shared" si="4"/>
        <v>97.302940000000007</v>
      </c>
      <c r="N70" s="13">
        <f>M70-L70</f>
        <v>0.13856689499348818</v>
      </c>
      <c r="O70" s="2">
        <f>N70/L70</f>
        <v>1.4261080534501832E-3</v>
      </c>
    </row>
    <row r="71" spans="1:15" x14ac:dyDescent="0.25">
      <c r="A71" s="1">
        <v>46126</v>
      </c>
      <c r="B71" s="6">
        <v>67.319999999999993</v>
      </c>
      <c r="C71" s="6">
        <v>96.46</v>
      </c>
      <c r="F71" s="13">
        <f>F70+D71</f>
        <v>0.98799999999999999</v>
      </c>
      <c r="G71" s="13">
        <f t="shared" si="5"/>
        <v>1.27294</v>
      </c>
      <c r="H71" s="13">
        <f>B71+F71</f>
        <v>68.307999999999993</v>
      </c>
      <c r="I71" s="13">
        <f>C71+G71</f>
        <v>97.732939999999999</v>
      </c>
      <c r="J71" s="10">
        <f t="shared" si="6"/>
        <v>1.4307685776190198</v>
      </c>
      <c r="K71" s="10">
        <f t="shared" si="2"/>
        <v>1.4285649348513385</v>
      </c>
      <c r="L71" s="13">
        <f t="shared" si="3"/>
        <v>97.571125440670585</v>
      </c>
      <c r="M71" s="13">
        <f t="shared" si="4"/>
        <v>97.732939999999999</v>
      </c>
      <c r="N71" s="13">
        <f>M71-L71</f>
        <v>0.16181455932941446</v>
      </c>
      <c r="O71" s="2">
        <f>N71/L71</f>
        <v>1.6584266974332272E-3</v>
      </c>
    </row>
    <row r="72" spans="1:15" x14ac:dyDescent="0.25">
      <c r="A72" s="1">
        <v>46127</v>
      </c>
      <c r="B72" s="6">
        <v>67.260000000000005</v>
      </c>
      <c r="C72" s="6">
        <v>96.25</v>
      </c>
      <c r="F72" s="13">
        <f>F71+D72</f>
        <v>0.98799999999999999</v>
      </c>
      <c r="G72" s="13">
        <f t="shared" si="5"/>
        <v>1.27294</v>
      </c>
      <c r="H72" s="13">
        <f>B72+F72</f>
        <v>68.248000000000005</v>
      </c>
      <c r="I72" s="13">
        <f>C72+G72</f>
        <v>97.522940000000006</v>
      </c>
      <c r="J72" s="10">
        <f t="shared" si="6"/>
        <v>1.4289494197632164</v>
      </c>
      <c r="K72" s="10">
        <f t="shared" si="2"/>
        <v>1.4286549577520353</v>
      </c>
      <c r="L72" s="13">
        <f t="shared" si="3"/>
        <v>97.496699673734156</v>
      </c>
      <c r="M72" s="13">
        <f t="shared" si="4"/>
        <v>97.522940000000006</v>
      </c>
      <c r="N72" s="13">
        <f>M72-L72</f>
        <v>2.624032626584949E-2</v>
      </c>
      <c r="O72" s="2">
        <f>N72/L72</f>
        <v>2.6914066172148285E-4</v>
      </c>
    </row>
    <row r="73" spans="1:15" x14ac:dyDescent="0.25">
      <c r="A73" s="1">
        <v>46128</v>
      </c>
      <c r="B73" s="6">
        <v>67</v>
      </c>
      <c r="C73" s="6">
        <v>95.95</v>
      </c>
      <c r="F73" s="13">
        <f>F72+D73</f>
        <v>0.98799999999999999</v>
      </c>
      <c r="G73" s="13">
        <f t="shared" si="5"/>
        <v>1.27294</v>
      </c>
      <c r="H73" s="13">
        <f>B73+F73</f>
        <v>67.988</v>
      </c>
      <c r="I73" s="13">
        <f>C73+G73</f>
        <v>97.222940000000008</v>
      </c>
      <c r="J73" s="10">
        <f t="shared" si="6"/>
        <v>1.4300014708477968</v>
      </c>
      <c r="K73" s="10">
        <f t="shared" si="2"/>
        <v>1.4287745887512417</v>
      </c>
      <c r="L73" s="13">
        <f t="shared" si="3"/>
        <v>97.131393267645379</v>
      </c>
      <c r="M73" s="13">
        <f t="shared" si="4"/>
        <v>97.222940000000008</v>
      </c>
      <c r="N73" s="13">
        <f>M73-L73</f>
        <v>9.1546732354629512E-2</v>
      </c>
      <c r="O73" s="2">
        <f>N73/L73</f>
        <v>9.4250405841881269E-4</v>
      </c>
    </row>
    <row r="74" spans="1:15" x14ac:dyDescent="0.25">
      <c r="A74" s="1">
        <v>46129</v>
      </c>
      <c r="B74" s="6">
        <v>67.510000000000005</v>
      </c>
      <c r="C74" s="6">
        <v>96.67</v>
      </c>
      <c r="F74" s="13">
        <f>F73+D74</f>
        <v>0.98799999999999999</v>
      </c>
      <c r="G74" s="13">
        <f t="shared" si="5"/>
        <v>1.27294</v>
      </c>
      <c r="H74" s="13">
        <f>B74+F74</f>
        <v>68.498000000000005</v>
      </c>
      <c r="I74" s="13">
        <f>C74+G74</f>
        <v>97.942940000000007</v>
      </c>
      <c r="J74" s="10">
        <f t="shared" si="6"/>
        <v>1.4298656895091828</v>
      </c>
      <c r="K74" s="10">
        <f t="shared" si="2"/>
        <v>1.4288242481533466</v>
      </c>
      <c r="L74" s="13">
        <f t="shared" si="3"/>
        <v>97.868201780282561</v>
      </c>
      <c r="M74" s="13">
        <f t="shared" si="4"/>
        <v>97.942940000000007</v>
      </c>
      <c r="N74" s="13">
        <f>M74-L74</f>
        <v>7.4738219717445986E-2</v>
      </c>
      <c r="O74" s="2">
        <f>N74/L74</f>
        <v>7.6366192857242675E-4</v>
      </c>
    </row>
    <row r="75" spans="1:15" x14ac:dyDescent="0.25">
      <c r="A75" s="1">
        <v>46132</v>
      </c>
      <c r="B75" s="6">
        <v>67.489999999999995</v>
      </c>
      <c r="C75" s="6">
        <v>96.59</v>
      </c>
      <c r="F75" s="13">
        <f>F74+D75</f>
        <v>0.98799999999999999</v>
      </c>
      <c r="G75" s="13">
        <f t="shared" si="5"/>
        <v>1.27294</v>
      </c>
      <c r="H75" s="13">
        <f>B75+F75</f>
        <v>68.477999999999994</v>
      </c>
      <c r="I75" s="13">
        <f>C75+G75</f>
        <v>97.862940000000009</v>
      </c>
      <c r="J75" s="10">
        <f t="shared" si="6"/>
        <v>1.4291150442477878</v>
      </c>
      <c r="K75" s="10">
        <f t="shared" si="2"/>
        <v>1.4289402786563925</v>
      </c>
      <c r="L75" s="13">
        <f t="shared" si="3"/>
        <v>97.843026865044862</v>
      </c>
      <c r="M75" s="13">
        <f t="shared" si="4"/>
        <v>97.862940000000009</v>
      </c>
      <c r="N75" s="13">
        <f>M75-L75</f>
        <v>1.9913134955146461E-2</v>
      </c>
      <c r="O75" s="2">
        <f>N75/L75</f>
        <v>2.0352124819904334E-4</v>
      </c>
    </row>
    <row r="76" spans="1:15" x14ac:dyDescent="0.25">
      <c r="A76" s="1">
        <v>46133</v>
      </c>
      <c r="B76" s="6">
        <v>67.17</v>
      </c>
      <c r="C76" s="6">
        <v>96.13</v>
      </c>
      <c r="F76" s="13">
        <f>F75+D76</f>
        <v>0.98799999999999999</v>
      </c>
      <c r="G76" s="13">
        <f t="shared" si="5"/>
        <v>1.27294</v>
      </c>
      <c r="H76" s="13">
        <f>B76+F76</f>
        <v>68.158000000000001</v>
      </c>
      <c r="I76" s="13">
        <f>C76+G76</f>
        <v>97.402940000000001</v>
      </c>
      <c r="J76" s="10">
        <f t="shared" si="6"/>
        <v>1.4290756771032014</v>
      </c>
      <c r="K76" s="10">
        <f t="shared" si="2"/>
        <v>1.4289062055150847</v>
      </c>
      <c r="L76" s="13">
        <f t="shared" si="3"/>
        <v>97.393711512662406</v>
      </c>
      <c r="M76" s="13">
        <f t="shared" si="4"/>
        <v>97.402940000000001</v>
      </c>
      <c r="N76" s="13">
        <f>M76-L76</f>
        <v>9.2284873375945153E-3</v>
      </c>
      <c r="O76" s="2">
        <f>N76/L76</f>
        <v>9.4754447635920472E-5</v>
      </c>
    </row>
    <row r="77" spans="1:15" x14ac:dyDescent="0.25">
      <c r="A77" s="1">
        <v>46134</v>
      </c>
      <c r="B77" s="6">
        <v>67.31</v>
      </c>
      <c r="C77" s="6">
        <v>96.38</v>
      </c>
      <c r="F77" s="13">
        <f>F76+D77</f>
        <v>0.98799999999999999</v>
      </c>
      <c r="G77" s="13">
        <f t="shared" si="5"/>
        <v>1.27294</v>
      </c>
      <c r="H77" s="13">
        <f>B77+F77</f>
        <v>68.298000000000002</v>
      </c>
      <c r="I77" s="13">
        <f>C77+G77</f>
        <v>97.652940000000001</v>
      </c>
      <c r="J77" s="10">
        <f t="shared" si="6"/>
        <v>1.4298067293332162</v>
      </c>
      <c r="K77" s="10">
        <f t="shared" si="2"/>
        <v>1.4289905794284921</v>
      </c>
      <c r="L77" s="13">
        <f t="shared" si="3"/>
        <v>97.591436024269257</v>
      </c>
      <c r="M77" s="13">
        <f t="shared" si="4"/>
        <v>97.652940000000001</v>
      </c>
      <c r="N77" s="13">
        <f>M77-L77</f>
        <v>6.1503975730744287E-2</v>
      </c>
      <c r="O77" s="2">
        <f>N77/L77</f>
        <v>6.3021898474215857E-4</v>
      </c>
    </row>
    <row r="78" spans="1:15" x14ac:dyDescent="0.25">
      <c r="A78" s="1">
        <v>46135</v>
      </c>
      <c r="B78" s="6">
        <v>67.08</v>
      </c>
      <c r="C78" s="6">
        <v>95.93</v>
      </c>
      <c r="F78" s="13">
        <f>F77+D78</f>
        <v>0.98799999999999999</v>
      </c>
      <c r="G78" s="13">
        <f t="shared" si="5"/>
        <v>1.27294</v>
      </c>
      <c r="H78" s="13">
        <f>B78+F78</f>
        <v>68.067999999999998</v>
      </c>
      <c r="I78" s="13">
        <f>C78+G78</f>
        <v>97.202940000000012</v>
      </c>
      <c r="J78" s="10">
        <f t="shared" si="6"/>
        <v>1.4280269730269732</v>
      </c>
      <c r="K78" s="10">
        <f t="shared" si="2"/>
        <v>1.4289589875315818</v>
      </c>
      <c r="L78" s="13">
        <f t="shared" si="3"/>
        <v>97.268530760538596</v>
      </c>
      <c r="M78" s="13">
        <f t="shared" si="4"/>
        <v>97.202940000000012</v>
      </c>
      <c r="N78" s="13">
        <f>M78-L78</f>
        <v>-6.5590760538583481E-2</v>
      </c>
      <c r="O78" s="2">
        <f>N78/L78</f>
        <v>-6.7432662985378777E-4</v>
      </c>
    </row>
    <row r="79" spans="1:15" x14ac:dyDescent="0.25">
      <c r="A79" s="1">
        <v>46136</v>
      </c>
      <c r="B79" s="6">
        <v>67.2</v>
      </c>
      <c r="C79" s="6">
        <v>96.2</v>
      </c>
      <c r="F79" s="13">
        <f>F78+D79</f>
        <v>0.98799999999999999</v>
      </c>
      <c r="G79" s="13">
        <f t="shared" si="5"/>
        <v>1.27294</v>
      </c>
      <c r="H79" s="13">
        <f>B79+F79</f>
        <v>68.188000000000002</v>
      </c>
      <c r="I79" s="13">
        <f>C79+G79</f>
        <v>97.472940000000008</v>
      </c>
      <c r="J79" s="10">
        <f t="shared" si="6"/>
        <v>1.4294735144013611</v>
      </c>
      <c r="K79" s="10">
        <f t="shared" si="2"/>
        <v>1.4289985952526438</v>
      </c>
      <c r="L79" s="13">
        <f t="shared" si="3"/>
        <v>97.437855441803507</v>
      </c>
      <c r="M79" s="13">
        <f t="shared" si="4"/>
        <v>97.472940000000008</v>
      </c>
      <c r="N79" s="13">
        <f>M79-L79</f>
        <v>3.5084558196501803E-2</v>
      </c>
      <c r="O79" s="2">
        <f>N79/L79</f>
        <v>3.6007112469194975E-4</v>
      </c>
    </row>
    <row r="80" spans="1:15" x14ac:dyDescent="0.25">
      <c r="A80" s="1">
        <v>46139</v>
      </c>
      <c r="B80" s="6">
        <v>67.069999999999993</v>
      </c>
      <c r="C80" s="6">
        <v>96.03</v>
      </c>
      <c r="F80" s="13">
        <f>F79+D80</f>
        <v>0.98799999999999999</v>
      </c>
      <c r="G80" s="13">
        <f t="shared" si="5"/>
        <v>1.27294</v>
      </c>
      <c r="H80" s="13">
        <f>B80+F80</f>
        <v>68.057999999999993</v>
      </c>
      <c r="I80" s="13">
        <f>C80+G80</f>
        <v>97.302940000000007</v>
      </c>
      <c r="J80" s="10">
        <f t="shared" si="6"/>
        <v>1.4297061330042025</v>
      </c>
      <c r="K80" s="10">
        <f t="shared" si="2"/>
        <v>1.4290791787262085</v>
      </c>
      <c r="L80" s="13">
        <f t="shared" si="3"/>
        <v>97.254786395704429</v>
      </c>
      <c r="M80" s="13">
        <f t="shared" si="4"/>
        <v>97.302940000000007</v>
      </c>
      <c r="N80" s="13">
        <f>M80-L80</f>
        <v>4.8153604295578134E-2</v>
      </c>
      <c r="O80" s="2">
        <f>N80/L80</f>
        <v>4.9512837444990777E-4</v>
      </c>
    </row>
    <row r="81" spans="1:15" x14ac:dyDescent="0.25">
      <c r="A81" s="1">
        <v>46140</v>
      </c>
      <c r="B81" s="6">
        <v>66.989999999999995</v>
      </c>
      <c r="C81" s="6">
        <v>95.95</v>
      </c>
      <c r="F81" s="13">
        <f>F80+D81</f>
        <v>0.98799999999999999</v>
      </c>
      <c r="G81" s="13">
        <f t="shared" si="5"/>
        <v>1.27294</v>
      </c>
      <c r="H81" s="13">
        <f>B81+F81</f>
        <v>67.977999999999994</v>
      </c>
      <c r="I81" s="13">
        <f>C81+G81</f>
        <v>97.222940000000008</v>
      </c>
      <c r="J81" s="10">
        <f t="shared" si="6"/>
        <v>1.4302118332401661</v>
      </c>
      <c r="K81" s="10">
        <f t="shared" si="2"/>
        <v>1.4292045430256708</v>
      </c>
      <c r="L81" s="13">
        <f t="shared" si="3"/>
        <v>97.145944411450188</v>
      </c>
      <c r="M81" s="13">
        <f t="shared" si="4"/>
        <v>97.222940000000008</v>
      </c>
      <c r="N81" s="13">
        <f>M81-L81</f>
        <v>7.6995588549820582E-2</v>
      </c>
      <c r="O81" s="2">
        <f>N81/L81</f>
        <v>7.925764581969047E-4</v>
      </c>
    </row>
    <row r="82" spans="1:15" x14ac:dyDescent="0.25">
      <c r="A82" s="1">
        <v>46141</v>
      </c>
      <c r="B82" s="6">
        <v>66.75</v>
      </c>
      <c r="C82" s="6">
        <v>95.5</v>
      </c>
      <c r="F82" s="13">
        <f>F81+D82</f>
        <v>0.98799999999999999</v>
      </c>
      <c r="G82" s="13">
        <f t="shared" si="5"/>
        <v>1.27294</v>
      </c>
      <c r="H82" s="13">
        <f>B82+F82</f>
        <v>67.738</v>
      </c>
      <c r="I82" s="13">
        <f>C82+G82</f>
        <v>96.772940000000006</v>
      </c>
      <c r="J82" s="10">
        <f t="shared" si="6"/>
        <v>1.4286359207534916</v>
      </c>
      <c r="K82" s="10">
        <f t="shared" si="2"/>
        <v>1.4292356740967749</v>
      </c>
      <c r="L82" s="13">
        <f t="shared" si="3"/>
        <v>96.81145733547288</v>
      </c>
      <c r="M82" s="13">
        <f t="shared" si="4"/>
        <v>96.772940000000006</v>
      </c>
      <c r="N82" s="13">
        <f>M82-L82</f>
        <v>-3.8517335472874947E-2</v>
      </c>
      <c r="O82" s="2">
        <f>N82/L82</f>
        <v>-3.9785926720846637E-4</v>
      </c>
    </row>
    <row r="83" spans="1:15" x14ac:dyDescent="0.25">
      <c r="A83" s="1">
        <v>46142</v>
      </c>
      <c r="B83" s="6">
        <v>66.930000000000007</v>
      </c>
      <c r="C83" s="6">
        <v>95.8</v>
      </c>
      <c r="F83" s="13">
        <f>F82+D83</f>
        <v>0.98799999999999999</v>
      </c>
      <c r="G83" s="13">
        <f t="shared" si="5"/>
        <v>1.27294</v>
      </c>
      <c r="H83" s="13">
        <f>B83+F83</f>
        <v>67.918000000000006</v>
      </c>
      <c r="I83" s="13">
        <f>C83+G83</f>
        <v>97.072940000000003</v>
      </c>
      <c r="J83" s="10">
        <f t="shared" si="6"/>
        <v>1.4292667628610971</v>
      </c>
      <c r="K83" s="10">
        <f t="shared" si="2"/>
        <v>1.4292650151232322</v>
      </c>
      <c r="L83" s="13">
        <f t="shared" si="3"/>
        <v>97.070828513304761</v>
      </c>
      <c r="M83" s="13">
        <f t="shared" si="4"/>
        <v>97.072940000000003</v>
      </c>
      <c r="N83" s="13">
        <f>M83-L83</f>
        <v>2.1114866952416378E-3</v>
      </c>
      <c r="O83" s="2">
        <f>N83/L83</f>
        <v>2.1752020947799289E-5</v>
      </c>
    </row>
    <row r="84" spans="1:15" x14ac:dyDescent="0.25">
      <c r="A84" s="1">
        <v>46143</v>
      </c>
      <c r="B84" s="6">
        <v>66.709999999999994</v>
      </c>
      <c r="C84" s="6">
        <v>95.57</v>
      </c>
      <c r="D84" s="13">
        <v>0.318</v>
      </c>
      <c r="E84" s="13">
        <v>0.41008</v>
      </c>
      <c r="F84" s="13">
        <f>F83+D84</f>
        <v>1.306</v>
      </c>
      <c r="G84" s="13">
        <f t="shared" si="5"/>
        <v>1.68302</v>
      </c>
      <c r="H84" s="13">
        <f>B84+F84</f>
        <v>68.015999999999991</v>
      </c>
      <c r="I84" s="13">
        <f>C84+G84</f>
        <v>97.253019999999992</v>
      </c>
      <c r="J84" s="10">
        <f t="shared" si="6"/>
        <v>1.4298550341096214</v>
      </c>
      <c r="K84" s="10">
        <f t="shared" si="2"/>
        <v>1.4293698223542874</v>
      </c>
      <c r="L84" s="13">
        <f t="shared" si="3"/>
        <v>97.212889268621751</v>
      </c>
      <c r="M84" s="13">
        <f t="shared" si="4"/>
        <v>97.253019999999992</v>
      </c>
      <c r="N84" s="13">
        <f>M84-L84</f>
        <v>4.013073137824108E-2</v>
      </c>
      <c r="O84" s="2">
        <f>N84/L84</f>
        <v>4.1281286545604632E-4</v>
      </c>
    </row>
    <row r="85" spans="1:15" x14ac:dyDescent="0.25">
      <c r="A85" s="1">
        <v>46146</v>
      </c>
      <c r="B85" s="6">
        <v>66.400000000000006</v>
      </c>
      <c r="C85" s="6">
        <v>95.08</v>
      </c>
      <c r="F85" s="13">
        <f>F84+D85</f>
        <v>1.306</v>
      </c>
      <c r="G85" s="13">
        <f t="shared" si="5"/>
        <v>1.68302</v>
      </c>
      <c r="H85" s="13">
        <f>B85+F85</f>
        <v>67.706000000000003</v>
      </c>
      <c r="I85" s="13">
        <f>C85+G85</f>
        <v>96.763019999999997</v>
      </c>
      <c r="J85" s="10">
        <f t="shared" si="6"/>
        <v>1.4291646235193334</v>
      </c>
      <c r="K85" s="10">
        <f t="shared" si="2"/>
        <v>1.4294625951144719</v>
      </c>
      <c r="L85" s="13">
        <f t="shared" si="3"/>
        <v>96.776913192319384</v>
      </c>
      <c r="M85" s="13">
        <f t="shared" si="4"/>
        <v>96.763019999999997</v>
      </c>
      <c r="N85" s="13">
        <f>M85-L85</f>
        <v>-1.3893192319386571E-2</v>
      </c>
      <c r="O85" s="2">
        <f>N85/L85</f>
        <v>-1.435589528648987E-4</v>
      </c>
    </row>
    <row r="86" spans="1:15" x14ac:dyDescent="0.25">
      <c r="A86" s="1">
        <v>46147</v>
      </c>
      <c r="B86" s="6">
        <v>66.680000000000007</v>
      </c>
      <c r="C86" s="6">
        <v>95.52</v>
      </c>
      <c r="F86" s="13">
        <f>F85+D86</f>
        <v>1.306</v>
      </c>
      <c r="G86" s="13">
        <f t="shared" si="5"/>
        <v>1.68302</v>
      </c>
      <c r="H86" s="13">
        <f>B86+F86</f>
        <v>67.986000000000004</v>
      </c>
      <c r="I86" s="13">
        <f>C86+G86</f>
        <v>97.203019999999995</v>
      </c>
      <c r="J86" s="10">
        <f t="shared" si="6"/>
        <v>1.4297505368752388</v>
      </c>
      <c r="K86" s="10">
        <f t="shared" si="2"/>
        <v>1.4296433912177924</v>
      </c>
      <c r="L86" s="13">
        <f t="shared" si="3"/>
        <v>97.183443991452492</v>
      </c>
      <c r="M86" s="13">
        <f t="shared" si="4"/>
        <v>97.203019999999995</v>
      </c>
      <c r="N86" s="13">
        <f>M86-L86</f>
        <v>1.9576008547502965E-2</v>
      </c>
      <c r="O86" s="2">
        <f>N86/L86</f>
        <v>2.0143357493303818E-4</v>
      </c>
    </row>
    <row r="87" spans="1:15" x14ac:dyDescent="0.25">
      <c r="A87" s="1">
        <v>46148</v>
      </c>
      <c r="B87" s="6">
        <v>67.16</v>
      </c>
      <c r="C87" s="6">
        <v>96.27</v>
      </c>
      <c r="F87" s="13">
        <f>F86+D87</f>
        <v>1.306</v>
      </c>
      <c r="G87" s="13">
        <f t="shared" si="5"/>
        <v>1.68302</v>
      </c>
      <c r="H87" s="13">
        <f>B87+F87</f>
        <v>68.465999999999994</v>
      </c>
      <c r="I87" s="13">
        <f>C87+G87</f>
        <v>97.953019999999995</v>
      </c>
      <c r="J87" s="10">
        <f t="shared" si="6"/>
        <v>1.4306812140332428</v>
      </c>
      <c r="K87" s="10">
        <f t="shared" ref="K87:K150" si="7">AVERAGE(J68:J87)</f>
        <v>1.4296427915465773</v>
      </c>
      <c r="L87" s="13">
        <f t="shared" si="3"/>
        <v>97.881964423117367</v>
      </c>
      <c r="M87" s="13">
        <f t="shared" si="4"/>
        <v>97.953019999999995</v>
      </c>
      <c r="N87" s="13">
        <f>M87-L87</f>
        <v>7.1055576882628202E-2</v>
      </c>
      <c r="O87" s="2">
        <f>N87/L87</f>
        <v>7.2593125098587192E-4</v>
      </c>
    </row>
    <row r="88" spans="1:15" x14ac:dyDescent="0.25">
      <c r="A88" s="1">
        <v>46149</v>
      </c>
      <c r="B88" s="6">
        <v>66.94</v>
      </c>
      <c r="C88" s="6">
        <v>95.9</v>
      </c>
      <c r="F88" s="13">
        <f>F87+D88</f>
        <v>1.306</v>
      </c>
      <c r="G88" s="13">
        <f t="shared" si="5"/>
        <v>1.68302</v>
      </c>
      <c r="H88" s="13">
        <f>B88+F88</f>
        <v>68.245999999999995</v>
      </c>
      <c r="I88" s="13">
        <f>C88+G88</f>
        <v>97.583020000000005</v>
      </c>
      <c r="J88" s="10">
        <f t="shared" si="6"/>
        <v>1.4298716408287666</v>
      </c>
      <c r="K88" s="10">
        <f t="shared" si="7"/>
        <v>1.429623295027987</v>
      </c>
      <c r="L88" s="13">
        <f t="shared" ref="L88:L151" si="8">K87*H88</f>
        <v>97.567401951887703</v>
      </c>
      <c r="M88" s="13">
        <f t="shared" ref="M88:M151" si="9">I88</f>
        <v>97.583020000000005</v>
      </c>
      <c r="N88" s="13">
        <f>M88-L88</f>
        <v>1.5618048112301608E-2</v>
      </c>
      <c r="O88" s="2">
        <f>N88/L88</f>
        <v>1.6007444904603648E-4</v>
      </c>
    </row>
    <row r="89" spans="1:15" x14ac:dyDescent="0.25">
      <c r="A89" s="1">
        <v>46150</v>
      </c>
      <c r="B89" s="6">
        <v>67.08</v>
      </c>
      <c r="C89" s="6">
        <v>96.15</v>
      </c>
      <c r="F89" s="13">
        <f>F88+D89</f>
        <v>1.306</v>
      </c>
      <c r="G89" s="13">
        <f t="shared" si="5"/>
        <v>1.68302</v>
      </c>
      <c r="H89" s="13">
        <f>B89+F89</f>
        <v>68.385999999999996</v>
      </c>
      <c r="I89" s="13">
        <f>C89+G89</f>
        <v>97.833020000000005</v>
      </c>
      <c r="J89" s="10">
        <f t="shared" si="6"/>
        <v>1.4306001228321588</v>
      </c>
      <c r="K89" s="10">
        <f t="shared" si="7"/>
        <v>1.4296581772002106</v>
      </c>
      <c r="L89" s="13">
        <f t="shared" si="8"/>
        <v>97.766218653783909</v>
      </c>
      <c r="M89" s="13">
        <f t="shared" si="9"/>
        <v>97.833020000000005</v>
      </c>
      <c r="N89" s="13">
        <f>M89-L89</f>
        <v>6.6801346216095681E-2</v>
      </c>
      <c r="O89" s="2">
        <f>N89/L89</f>
        <v>6.8327636208020839E-4</v>
      </c>
    </row>
    <row r="90" spans="1:15" x14ac:dyDescent="0.25">
      <c r="A90" s="1">
        <v>46153</v>
      </c>
      <c r="B90" s="6">
        <v>66.959999999999994</v>
      </c>
      <c r="C90" s="6">
        <v>95.97</v>
      </c>
      <c r="F90" s="13">
        <f>F89+D90</f>
        <v>1.306</v>
      </c>
      <c r="G90" s="13">
        <f t="shared" si="5"/>
        <v>1.68302</v>
      </c>
      <c r="H90" s="13">
        <f>B90+F90</f>
        <v>68.265999999999991</v>
      </c>
      <c r="I90" s="13">
        <f>C90+G90</f>
        <v>97.653019999999998</v>
      </c>
      <c r="J90" s="10">
        <f t="shared" si="6"/>
        <v>1.4304781296692353</v>
      </c>
      <c r="K90" s="10">
        <f t="shared" si="7"/>
        <v>1.4296652523789157</v>
      </c>
      <c r="L90" s="13">
        <f t="shared" si="8"/>
        <v>97.59704512474957</v>
      </c>
      <c r="M90" s="13">
        <f t="shared" si="9"/>
        <v>97.653019999999998</v>
      </c>
      <c r="N90" s="13">
        <f>M90-L90</f>
        <v>5.5974875250427658E-2</v>
      </c>
      <c r="O90" s="2">
        <f>N90/L90</f>
        <v>5.7353042993135684E-4</v>
      </c>
    </row>
    <row r="91" spans="1:15" x14ac:dyDescent="0.25">
      <c r="A91" s="1">
        <v>46154</v>
      </c>
      <c r="B91" s="6">
        <v>66.760000000000005</v>
      </c>
      <c r="C91" s="6">
        <v>95.72</v>
      </c>
      <c r="F91" s="13">
        <f>F90+D91</f>
        <v>1.306</v>
      </c>
      <c r="G91" s="13">
        <f t="shared" si="5"/>
        <v>1.68302</v>
      </c>
      <c r="H91" s="13">
        <f>B91+F91</f>
        <v>68.066000000000003</v>
      </c>
      <c r="I91" s="13">
        <f>C91+G91</f>
        <v>97.403019999999998</v>
      </c>
      <c r="J91" s="10">
        <f t="shared" si="6"/>
        <v>1.4310084329915083</v>
      </c>
      <c r="K91" s="10">
        <f t="shared" si="7"/>
        <v>1.4296772451475401</v>
      </c>
      <c r="L91" s="13">
        <f t="shared" si="8"/>
        <v>97.311595068423287</v>
      </c>
      <c r="M91" s="13">
        <f t="shared" si="9"/>
        <v>97.403019999999998</v>
      </c>
      <c r="N91" s="13">
        <f>M91-L91</f>
        <v>9.1424931576710833E-2</v>
      </c>
      <c r="O91" s="2">
        <f>N91/L91</f>
        <v>9.3950707017418299E-4</v>
      </c>
    </row>
    <row r="92" spans="1:15" x14ac:dyDescent="0.25">
      <c r="A92" s="1">
        <v>46155</v>
      </c>
      <c r="B92" s="6">
        <v>66.599999999999994</v>
      </c>
      <c r="C92" s="6">
        <v>95.54</v>
      </c>
      <c r="F92" s="13">
        <f>F91+D92</f>
        <v>1.306</v>
      </c>
      <c r="G92" s="13">
        <f t="shared" si="5"/>
        <v>1.68302</v>
      </c>
      <c r="H92" s="13">
        <f>B92+F92</f>
        <v>67.905999999999992</v>
      </c>
      <c r="I92" s="13">
        <f>C92+G92</f>
        <v>97.223020000000005</v>
      </c>
      <c r="J92" s="10">
        <f t="shared" si="6"/>
        <v>1.4317294495331785</v>
      </c>
      <c r="K92" s="10">
        <f t="shared" si="7"/>
        <v>1.429816246636038</v>
      </c>
      <c r="L92" s="13">
        <f t="shared" si="8"/>
        <v>97.08366300898885</v>
      </c>
      <c r="M92" s="13">
        <f t="shared" si="9"/>
        <v>97.223020000000005</v>
      </c>
      <c r="N92" s="13">
        <f>M92-L92</f>
        <v>0.13935699101115517</v>
      </c>
      <c r="O92" s="2">
        <f>N92/L92</f>
        <v>1.4354319428414263E-3</v>
      </c>
    </row>
    <row r="93" spans="1:15" x14ac:dyDescent="0.25">
      <c r="A93" s="1">
        <v>46156</v>
      </c>
      <c r="B93" s="6">
        <v>66.61</v>
      </c>
      <c r="C93" s="6">
        <v>95.54</v>
      </c>
      <c r="F93" s="13">
        <f>F92+D93</f>
        <v>1.306</v>
      </c>
      <c r="G93" s="13">
        <f t="shared" si="5"/>
        <v>1.68302</v>
      </c>
      <c r="H93" s="13">
        <f>B93+F93</f>
        <v>67.915999999999997</v>
      </c>
      <c r="I93" s="13">
        <f>C93+G93</f>
        <v>97.223020000000005</v>
      </c>
      <c r="J93" s="10">
        <f t="shared" si="6"/>
        <v>1.4315186406737737</v>
      </c>
      <c r="K93" s="10">
        <f t="shared" si="7"/>
        <v>1.4298921051273368</v>
      </c>
      <c r="L93" s="13">
        <f t="shared" si="8"/>
        <v>97.107400206533157</v>
      </c>
      <c r="M93" s="13">
        <f t="shared" si="9"/>
        <v>97.223020000000005</v>
      </c>
      <c r="N93" s="13">
        <f>M93-L93</f>
        <v>0.11561979346684836</v>
      </c>
      <c r="O93" s="2">
        <f>N93/L93</f>
        <v>1.1906383367379012E-3</v>
      </c>
    </row>
    <row r="94" spans="1:15" x14ac:dyDescent="0.25">
      <c r="A94" s="1">
        <v>46157</v>
      </c>
      <c r="B94" s="6">
        <v>66.14</v>
      </c>
      <c r="C94" s="6">
        <v>94.71</v>
      </c>
      <c r="F94" s="13">
        <f>F93+D94</f>
        <v>1.306</v>
      </c>
      <c r="G94" s="13">
        <f t="shared" si="5"/>
        <v>1.68302</v>
      </c>
      <c r="H94" s="13">
        <f>B94+F94</f>
        <v>67.445999999999998</v>
      </c>
      <c r="I94" s="13">
        <f>C94+G94</f>
        <v>96.393019999999993</v>
      </c>
      <c r="J94" s="10">
        <f t="shared" si="6"/>
        <v>1.4291880912137116</v>
      </c>
      <c r="K94" s="10">
        <f t="shared" si="7"/>
        <v>1.4298582252125633</v>
      </c>
      <c r="L94" s="13">
        <f t="shared" si="8"/>
        <v>96.440502922418347</v>
      </c>
      <c r="M94" s="13">
        <f t="shared" si="9"/>
        <v>96.393019999999993</v>
      </c>
      <c r="N94" s="13">
        <f>M94-L94</f>
        <v>-4.7482922418353724E-2</v>
      </c>
      <c r="O94" s="2">
        <f>N94/L94</f>
        <v>-4.9235457074038081E-4</v>
      </c>
    </row>
    <row r="95" spans="1:15" x14ac:dyDescent="0.25">
      <c r="A95" s="1">
        <v>46160</v>
      </c>
      <c r="B95" s="6">
        <v>66.040000000000006</v>
      </c>
      <c r="C95" s="6">
        <v>94.62</v>
      </c>
      <c r="F95" s="13">
        <f>F94+D95</f>
        <v>1.306</v>
      </c>
      <c r="G95" s="13">
        <f t="shared" si="5"/>
        <v>1.68302</v>
      </c>
      <c r="H95" s="13">
        <f>B95+F95</f>
        <v>67.346000000000004</v>
      </c>
      <c r="I95" s="13">
        <f>C95+G95</f>
        <v>96.303020000000004</v>
      </c>
      <c r="J95" s="10">
        <f t="shared" si="6"/>
        <v>1.4299738663023787</v>
      </c>
      <c r="K95" s="10">
        <f t="shared" si="7"/>
        <v>1.429901166315293</v>
      </c>
      <c r="L95" s="13">
        <f t="shared" si="8"/>
        <v>96.295232035165299</v>
      </c>
      <c r="M95" s="13">
        <f t="shared" si="9"/>
        <v>96.303020000000004</v>
      </c>
      <c r="N95" s="13">
        <f>M95-L95</f>
        <v>7.7879648347050079E-3</v>
      </c>
      <c r="O95" s="2">
        <f>N95/L95</f>
        <v>8.0875913273265512E-5</v>
      </c>
    </row>
    <row r="96" spans="1:15" x14ac:dyDescent="0.25">
      <c r="A96" s="1">
        <v>46161</v>
      </c>
      <c r="B96" s="6">
        <v>65.75</v>
      </c>
      <c r="C96" s="6">
        <v>94.25</v>
      </c>
      <c r="F96" s="13">
        <f>F95+D96</f>
        <v>1.306</v>
      </c>
      <c r="G96" s="13">
        <f t="shared" si="5"/>
        <v>1.68302</v>
      </c>
      <c r="H96" s="13">
        <f>B96+F96</f>
        <v>67.055999999999997</v>
      </c>
      <c r="I96" s="13">
        <f>C96+G96</f>
        <v>95.933019999999999</v>
      </c>
      <c r="J96" s="10">
        <f t="shared" si="6"/>
        <v>1.4306403602958722</v>
      </c>
      <c r="K96" s="10">
        <f t="shared" si="7"/>
        <v>1.4299794004749262</v>
      </c>
      <c r="L96" s="13">
        <f t="shared" si="8"/>
        <v>95.883452608438276</v>
      </c>
      <c r="M96" s="13">
        <f t="shared" si="9"/>
        <v>95.933019999999999</v>
      </c>
      <c r="N96" s="13">
        <f>M96-L96</f>
        <v>4.9567391561723184E-2</v>
      </c>
      <c r="O96" s="2">
        <f>N96/L96</f>
        <v>5.169545965782315E-4</v>
      </c>
    </row>
    <row r="97" spans="1:15" x14ac:dyDescent="0.25">
      <c r="A97" s="1">
        <v>46162</v>
      </c>
      <c r="B97" s="6">
        <v>66.180000000000007</v>
      </c>
      <c r="C97" s="6">
        <v>94.92</v>
      </c>
      <c r="F97" s="13">
        <f>F96+D97</f>
        <v>1.306</v>
      </c>
      <c r="G97" s="13">
        <f t="shared" si="5"/>
        <v>1.68302</v>
      </c>
      <c r="H97" s="13">
        <f>B97+F97</f>
        <v>67.486000000000004</v>
      </c>
      <c r="I97" s="13">
        <f>C97+G97</f>
        <v>96.603020000000001</v>
      </c>
      <c r="J97" s="10">
        <f t="shared" si="6"/>
        <v>1.4314527457546751</v>
      </c>
      <c r="K97" s="10">
        <f t="shared" si="7"/>
        <v>1.4300617012959993</v>
      </c>
      <c r="L97" s="13">
        <f t="shared" si="8"/>
        <v>96.503589820450884</v>
      </c>
      <c r="M97" s="13">
        <f t="shared" si="9"/>
        <v>96.603020000000001</v>
      </c>
      <c r="N97" s="13">
        <f>M97-L97</f>
        <v>9.9430179549116815E-2</v>
      </c>
      <c r="O97" s="2">
        <f>N97/L97</f>
        <v>1.0303262265591465E-3</v>
      </c>
    </row>
    <row r="98" spans="1:15" x14ac:dyDescent="0.25">
      <c r="A98" s="1">
        <v>46163</v>
      </c>
      <c r="B98" s="6">
        <v>66.22</v>
      </c>
      <c r="C98" s="6">
        <v>94.99</v>
      </c>
      <c r="F98" s="13">
        <f>F97+D98</f>
        <v>1.306</v>
      </c>
      <c r="G98" s="13">
        <f t="shared" si="5"/>
        <v>1.68302</v>
      </c>
      <c r="H98" s="13">
        <f>B98+F98</f>
        <v>67.525999999999996</v>
      </c>
      <c r="I98" s="13">
        <f>C98+G98</f>
        <v>96.673019999999994</v>
      </c>
      <c r="J98" s="10">
        <f t="shared" si="6"/>
        <v>1.4316414418150045</v>
      </c>
      <c r="K98" s="10">
        <f t="shared" si="7"/>
        <v>1.4302424247354009</v>
      </c>
      <c r="L98" s="13">
        <f t="shared" si="8"/>
        <v>96.566346441713648</v>
      </c>
      <c r="M98" s="13">
        <f t="shared" si="9"/>
        <v>96.673019999999994</v>
      </c>
      <c r="N98" s="13">
        <f>M98-L98</f>
        <v>0.10667355828634584</v>
      </c>
      <c r="O98" s="2">
        <f>N98/L98</f>
        <v>1.1046659857917767E-3</v>
      </c>
    </row>
    <row r="99" spans="1:15" x14ac:dyDescent="0.25">
      <c r="A99" s="1">
        <v>46164</v>
      </c>
      <c r="B99" s="6">
        <v>66.31</v>
      </c>
      <c r="C99" s="6">
        <v>95.17</v>
      </c>
      <c r="F99" s="13">
        <f>F98+D99</f>
        <v>1.306</v>
      </c>
      <c r="G99" s="13">
        <f t="shared" si="5"/>
        <v>1.68302</v>
      </c>
      <c r="H99" s="13">
        <f>B99+F99</f>
        <v>67.616</v>
      </c>
      <c r="I99" s="13">
        <f>C99+G99</f>
        <v>96.853020000000001</v>
      </c>
      <c r="J99" s="10">
        <f t="shared" si="6"/>
        <v>1.4323979531471842</v>
      </c>
      <c r="K99" s="10">
        <f t="shared" si="7"/>
        <v>1.4303886466726921</v>
      </c>
      <c r="L99" s="13">
        <f t="shared" si="8"/>
        <v>96.707271790908862</v>
      </c>
      <c r="M99" s="13">
        <f t="shared" si="9"/>
        <v>96.853020000000001</v>
      </c>
      <c r="N99" s="13">
        <f>M99-L99</f>
        <v>0.14574820909113839</v>
      </c>
      <c r="O99" s="2">
        <f>N99/L99</f>
        <v>1.5071070292031516E-3</v>
      </c>
    </row>
    <row r="100" spans="1:15" x14ac:dyDescent="0.25">
      <c r="A100" s="1">
        <v>46168</v>
      </c>
      <c r="B100" s="6">
        <v>66.64</v>
      </c>
      <c r="C100" s="6">
        <v>95.64</v>
      </c>
      <c r="F100" s="13">
        <f>F99+D100</f>
        <v>1.306</v>
      </c>
      <c r="G100" s="13">
        <f t="shared" si="5"/>
        <v>1.68302</v>
      </c>
      <c r="H100" s="13">
        <f>B100+F100</f>
        <v>67.945999999999998</v>
      </c>
      <c r="I100" s="13">
        <f>C100+G100</f>
        <v>97.32302</v>
      </c>
      <c r="J100" s="10">
        <f t="shared" si="6"/>
        <v>1.4323583433903395</v>
      </c>
      <c r="K100" s="10">
        <f t="shared" si="7"/>
        <v>1.4305212571919987</v>
      </c>
      <c r="L100" s="13">
        <f t="shared" si="8"/>
        <v>97.189186986822733</v>
      </c>
      <c r="M100" s="13">
        <f t="shared" si="9"/>
        <v>97.32302</v>
      </c>
      <c r="N100" s="13">
        <f>M100-L100</f>
        <v>0.13383301317726648</v>
      </c>
      <c r="O100" s="2">
        <f>N100/L100</f>
        <v>1.3770360399805799E-3</v>
      </c>
    </row>
    <row r="101" spans="1:15" x14ac:dyDescent="0.25">
      <c r="A101" s="1">
        <v>46169</v>
      </c>
      <c r="B101" s="6">
        <v>66.89</v>
      </c>
      <c r="C101" s="6">
        <v>95.98</v>
      </c>
      <c r="F101" s="13">
        <f>F100+D101</f>
        <v>1.306</v>
      </c>
      <c r="G101" s="13">
        <f t="shared" si="5"/>
        <v>1.68302</v>
      </c>
      <c r="H101" s="13">
        <f>B101+F101</f>
        <v>68.195999999999998</v>
      </c>
      <c r="I101" s="13">
        <f>C101+G101</f>
        <v>97.663020000000003</v>
      </c>
      <c r="J101" s="10">
        <f t="shared" si="6"/>
        <v>1.4320930846383952</v>
      </c>
      <c r="K101" s="10">
        <f t="shared" si="7"/>
        <v>1.4306153197619103</v>
      </c>
      <c r="L101" s="13">
        <f t="shared" si="8"/>
        <v>97.555827655465549</v>
      </c>
      <c r="M101" s="13">
        <f t="shared" si="9"/>
        <v>97.663020000000003</v>
      </c>
      <c r="N101" s="13">
        <f>M101-L101</f>
        <v>0.10719234453445381</v>
      </c>
      <c r="O101" s="2">
        <f>N101/L101</f>
        <v>1.0987795102617673E-3</v>
      </c>
    </row>
    <row r="102" spans="1:15" x14ac:dyDescent="0.25">
      <c r="A102" s="1">
        <v>46170</v>
      </c>
      <c r="B102" s="6">
        <v>67.09</v>
      </c>
      <c r="C102" s="6">
        <v>96.23</v>
      </c>
      <c r="F102" s="13">
        <f>F101+D102</f>
        <v>1.306</v>
      </c>
      <c r="G102" s="13">
        <f t="shared" si="5"/>
        <v>1.68302</v>
      </c>
      <c r="H102" s="13">
        <f>B102+F102</f>
        <v>68.396000000000001</v>
      </c>
      <c r="I102" s="13">
        <f>C102+G102</f>
        <v>97.913020000000003</v>
      </c>
      <c r="J102" s="10">
        <f t="shared" si="6"/>
        <v>1.4315606175799755</v>
      </c>
      <c r="K102" s="10">
        <f t="shared" si="7"/>
        <v>1.4307615546032346</v>
      </c>
      <c r="L102" s="13">
        <f t="shared" si="8"/>
        <v>97.848365410435619</v>
      </c>
      <c r="M102" s="13">
        <f t="shared" si="9"/>
        <v>97.913020000000003</v>
      </c>
      <c r="N102" s="13">
        <f>M102-L102</f>
        <v>6.4654589564383969E-2</v>
      </c>
      <c r="O102" s="2">
        <f>N102/L102</f>
        <v>6.6076310312577276E-4</v>
      </c>
    </row>
    <row r="103" spans="1:15" x14ac:dyDescent="0.25">
      <c r="A103" s="1">
        <v>46171</v>
      </c>
      <c r="B103" s="6">
        <v>67.25</v>
      </c>
      <c r="C103" s="6">
        <v>96.43</v>
      </c>
      <c r="F103" s="13">
        <f>F102+D103</f>
        <v>1.306</v>
      </c>
      <c r="G103" s="13">
        <f t="shared" si="5"/>
        <v>1.68302</v>
      </c>
      <c r="H103" s="13">
        <f>B103+F103</f>
        <v>68.555999999999997</v>
      </c>
      <c r="I103" s="13">
        <f>C103+G103</f>
        <v>98.113020000000006</v>
      </c>
      <c r="J103" s="10">
        <f t="shared" si="6"/>
        <v>1.4311368807981797</v>
      </c>
      <c r="K103" s="10">
        <f t="shared" si="7"/>
        <v>1.4308550605000889</v>
      </c>
      <c r="L103" s="13">
        <f t="shared" si="8"/>
        <v>98.087289137379344</v>
      </c>
      <c r="M103" s="13">
        <f t="shared" si="9"/>
        <v>98.113020000000006</v>
      </c>
      <c r="N103" s="13">
        <f>M103-L103</f>
        <v>2.5730862620662265E-2</v>
      </c>
      <c r="O103" s="2">
        <f>N103/L103</f>
        <v>2.6232616730414548E-4</v>
      </c>
    </row>
    <row r="104" spans="1:15" x14ac:dyDescent="0.25">
      <c r="A104" s="1">
        <v>46174</v>
      </c>
      <c r="B104" s="6">
        <v>66.87</v>
      </c>
      <c r="C104" s="6">
        <v>96.01</v>
      </c>
      <c r="D104" s="13">
        <v>0.31890000000000002</v>
      </c>
      <c r="E104" s="13">
        <v>0.40704000000000001</v>
      </c>
      <c r="F104" s="13">
        <f>F103+D104</f>
        <v>1.6249</v>
      </c>
      <c r="G104" s="13">
        <f t="shared" si="5"/>
        <v>2.0900599999999998</v>
      </c>
      <c r="H104" s="13">
        <f>B104+F104</f>
        <v>68.494900000000001</v>
      </c>
      <c r="I104" s="13">
        <f>C104+G104</f>
        <v>98.100059999999999</v>
      </c>
      <c r="J104" s="10">
        <f t="shared" si="6"/>
        <v>1.4322242969914547</v>
      </c>
      <c r="K104" s="10">
        <f t="shared" si="7"/>
        <v>1.4309735236441805</v>
      </c>
      <c r="L104" s="13">
        <f t="shared" si="8"/>
        <v>98.006274283447539</v>
      </c>
      <c r="M104" s="13">
        <f t="shared" si="9"/>
        <v>98.100059999999999</v>
      </c>
      <c r="N104" s="13">
        <f>M104-L104</f>
        <v>9.3785716552460485E-2</v>
      </c>
      <c r="O104" s="2">
        <f>N104/L104</f>
        <v>9.5693584148724372E-4</v>
      </c>
    </row>
    <row r="105" spans="1:15" x14ac:dyDescent="0.25">
      <c r="A105" s="1">
        <v>46175</v>
      </c>
      <c r="B105" s="6">
        <v>67.040000000000006</v>
      </c>
      <c r="C105" s="6">
        <v>96.26</v>
      </c>
      <c r="F105" s="13">
        <f>F104+D105</f>
        <v>1.6249</v>
      </c>
      <c r="G105" s="13">
        <f t="shared" si="5"/>
        <v>2.0900599999999998</v>
      </c>
      <c r="H105" s="13">
        <f>B105+F105</f>
        <v>68.664900000000003</v>
      </c>
      <c r="I105" s="13">
        <f>C105+G105</f>
        <v>98.350059999999999</v>
      </c>
      <c r="J105" s="10">
        <f t="shared" si="6"/>
        <v>1.4323192781173495</v>
      </c>
      <c r="K105" s="10">
        <f t="shared" si="7"/>
        <v>1.4311312563740812</v>
      </c>
      <c r="L105" s="13">
        <f t="shared" si="8"/>
        <v>98.257653903675291</v>
      </c>
      <c r="M105" s="13">
        <f t="shared" si="9"/>
        <v>98.350059999999999</v>
      </c>
      <c r="N105" s="13">
        <f>M105-L105</f>
        <v>9.2406096324708642E-2</v>
      </c>
      <c r="O105" s="2">
        <f>N105/L105</f>
        <v>9.404468013789227E-4</v>
      </c>
    </row>
    <row r="106" spans="1:15" x14ac:dyDescent="0.25">
      <c r="A106" s="1">
        <v>46176</v>
      </c>
      <c r="B106" s="6">
        <v>66.83</v>
      </c>
      <c r="C106" s="6">
        <v>95.9</v>
      </c>
      <c r="F106" s="13">
        <f>F105+D106</f>
        <v>1.6249</v>
      </c>
      <c r="G106" s="13">
        <f t="shared" si="5"/>
        <v>2.0900599999999998</v>
      </c>
      <c r="H106" s="13">
        <f>B106+F106</f>
        <v>68.454899999999995</v>
      </c>
      <c r="I106" s="13">
        <f>C106+G106</f>
        <v>97.99006</v>
      </c>
      <c r="J106" s="10">
        <f t="shared" si="6"/>
        <v>1.4314542859605377</v>
      </c>
      <c r="K106" s="10">
        <f t="shared" si="7"/>
        <v>1.4312164438283461</v>
      </c>
      <c r="L106" s="13">
        <f t="shared" si="8"/>
        <v>97.967947041962091</v>
      </c>
      <c r="M106" s="13">
        <f t="shared" si="9"/>
        <v>97.99006</v>
      </c>
      <c r="N106" s="13">
        <f>M106-L106</f>
        <v>2.211295803790847E-2</v>
      </c>
      <c r="O106" s="2">
        <f>N106/L106</f>
        <v>2.2571625419931423E-4</v>
      </c>
    </row>
    <row r="107" spans="1:15" x14ac:dyDescent="0.25">
      <c r="A107" s="1">
        <v>46177</v>
      </c>
      <c r="B107" s="6">
        <v>66.989999999999995</v>
      </c>
      <c r="C107" s="6">
        <v>96.1</v>
      </c>
      <c r="F107" s="13">
        <f>F106+D107</f>
        <v>1.6249</v>
      </c>
      <c r="G107" s="13">
        <f t="shared" si="5"/>
        <v>2.0900599999999998</v>
      </c>
      <c r="H107" s="13">
        <f>B107+F107</f>
        <v>68.614899999999992</v>
      </c>
      <c r="I107" s="13">
        <f>C107+G107</f>
        <v>98.190059999999988</v>
      </c>
      <c r="J107" s="10">
        <f t="shared" si="6"/>
        <v>1.4310311608703066</v>
      </c>
      <c r="K107" s="10">
        <f t="shared" si="7"/>
        <v>1.4312339411701995</v>
      </c>
      <c r="L107" s="13">
        <f t="shared" si="8"/>
        <v>98.202773171637574</v>
      </c>
      <c r="M107" s="13">
        <f t="shared" si="9"/>
        <v>98.190059999999988</v>
      </c>
      <c r="N107" s="13">
        <f>M107-L107</f>
        <v>-1.2713171637585674E-2</v>
      </c>
      <c r="O107" s="2">
        <f>N107/L107</f>
        <v>-1.2945837705994058E-4</v>
      </c>
    </row>
    <row r="108" spans="1:15" x14ac:dyDescent="0.25">
      <c r="A108" s="1">
        <v>46178</v>
      </c>
      <c r="B108" s="6">
        <v>66.56</v>
      </c>
      <c r="C108" s="6">
        <v>95.4</v>
      </c>
      <c r="F108" s="13">
        <f>F107+D108</f>
        <v>1.6249</v>
      </c>
      <c r="G108" s="13">
        <f t="shared" si="5"/>
        <v>2.0900599999999998</v>
      </c>
      <c r="H108" s="13">
        <f>B108+F108</f>
        <v>68.184899999999999</v>
      </c>
      <c r="I108" s="13">
        <f>C108+G108</f>
        <v>97.49006</v>
      </c>
      <c r="J108" s="10">
        <f t="shared" si="6"/>
        <v>1.429789586844008</v>
      </c>
      <c r="K108" s="10">
        <f t="shared" si="7"/>
        <v>1.4312298384709616</v>
      </c>
      <c r="L108" s="13">
        <f t="shared" si="8"/>
        <v>97.588543155295937</v>
      </c>
      <c r="M108" s="13">
        <f t="shared" si="9"/>
        <v>97.49006</v>
      </c>
      <c r="N108" s="13">
        <f>M108-L108</f>
        <v>-9.8483155295937763E-2</v>
      </c>
      <c r="O108" s="2">
        <f>N108/L108</f>
        <v>-1.0091671840947373E-3</v>
      </c>
    </row>
    <row r="109" spans="1:15" x14ac:dyDescent="0.25">
      <c r="A109" s="1">
        <v>46181</v>
      </c>
      <c r="B109" s="6">
        <v>66.44</v>
      </c>
      <c r="C109" s="6">
        <v>95.28</v>
      </c>
      <c r="F109" s="13">
        <f>F108+D109</f>
        <v>1.6249</v>
      </c>
      <c r="G109" s="13">
        <f t="shared" si="5"/>
        <v>2.0900599999999998</v>
      </c>
      <c r="H109" s="13">
        <f>B109+F109</f>
        <v>68.064899999999994</v>
      </c>
      <c r="I109" s="13">
        <f>C109+G109</f>
        <v>97.370059999999995</v>
      </c>
      <c r="J109" s="10">
        <f t="shared" si="6"/>
        <v>1.4305473158705884</v>
      </c>
      <c r="K109" s="10">
        <f t="shared" si="7"/>
        <v>1.431227198122883</v>
      </c>
      <c r="L109" s="13">
        <f t="shared" si="8"/>
        <v>97.416515832542146</v>
      </c>
      <c r="M109" s="13">
        <f t="shared" si="9"/>
        <v>97.370059999999995</v>
      </c>
      <c r="N109" s="13">
        <f>M109-L109</f>
        <v>-4.6455832542150688E-2</v>
      </c>
      <c r="O109" s="2">
        <f>N109/L109</f>
        <v>-4.7687840347326443E-4</v>
      </c>
    </row>
    <row r="110" spans="1:15" x14ac:dyDescent="0.25">
      <c r="A110" s="1">
        <v>46182</v>
      </c>
      <c r="B110" s="6">
        <v>66.67</v>
      </c>
      <c r="C110" s="6">
        <v>95.67</v>
      </c>
      <c r="F110" s="13">
        <f>F109+D110</f>
        <v>1.6249</v>
      </c>
      <c r="G110" s="13">
        <f t="shared" si="5"/>
        <v>2.0900599999999998</v>
      </c>
      <c r="H110" s="13">
        <f>B110+F110</f>
        <v>68.294899999999998</v>
      </c>
      <c r="I110" s="13">
        <f>C110+G110</f>
        <v>97.760059999999996</v>
      </c>
      <c r="J110" s="10">
        <f t="shared" si="6"/>
        <v>1.4314401221760336</v>
      </c>
      <c r="K110" s="10">
        <f t="shared" si="7"/>
        <v>1.4312752977482228</v>
      </c>
      <c r="L110" s="13">
        <f t="shared" si="8"/>
        <v>97.745518373082476</v>
      </c>
      <c r="M110" s="13">
        <f t="shared" si="9"/>
        <v>97.760059999999996</v>
      </c>
      <c r="N110" s="13">
        <f>M110-L110</f>
        <v>1.4541626917520034E-2</v>
      </c>
      <c r="O110" s="2">
        <f>N110/L110</f>
        <v>1.4877026752281832E-4</v>
      </c>
    </row>
    <row r="111" spans="1:15" x14ac:dyDescent="0.25">
      <c r="A111" s="1">
        <v>46183</v>
      </c>
      <c r="B111" s="6">
        <v>66.44</v>
      </c>
      <c r="C111" s="6">
        <v>95.35</v>
      </c>
      <c r="F111" s="13">
        <f>F110+D111</f>
        <v>1.6249</v>
      </c>
      <c r="G111" s="13">
        <f t="shared" si="5"/>
        <v>2.0900599999999998</v>
      </c>
      <c r="H111" s="13">
        <f>B111+F111</f>
        <v>68.064899999999994</v>
      </c>
      <c r="I111" s="13">
        <f>C111+G111</f>
        <v>97.440059999999988</v>
      </c>
      <c r="J111" s="10">
        <f t="shared" si="6"/>
        <v>1.4315757460893941</v>
      </c>
      <c r="K111" s="10">
        <f t="shared" si="7"/>
        <v>1.4313036634031173</v>
      </c>
      <c r="L111" s="13">
        <f t="shared" si="8"/>
        <v>97.419610013703007</v>
      </c>
      <c r="M111" s="13">
        <f t="shared" si="9"/>
        <v>97.440059999999988</v>
      </c>
      <c r="N111" s="13">
        <f>M111-L111</f>
        <v>2.0449986296981137E-2</v>
      </c>
      <c r="O111" s="2">
        <f>N111/L111</f>
        <v>2.0991652803890973E-4</v>
      </c>
    </row>
    <row r="112" spans="1:15" x14ac:dyDescent="0.25">
      <c r="A112" s="1">
        <v>46184</v>
      </c>
      <c r="B112" s="6">
        <v>67.069999999999993</v>
      </c>
      <c r="C112" s="6">
        <v>96.27</v>
      </c>
      <c r="F112" s="13">
        <f>F111+D112</f>
        <v>1.6249</v>
      </c>
      <c r="G112" s="13">
        <f t="shared" si="5"/>
        <v>2.0900599999999998</v>
      </c>
      <c r="H112" s="13">
        <f>B112+F112</f>
        <v>68.69489999999999</v>
      </c>
      <c r="I112" s="13">
        <f>C112+G112</f>
        <v>98.36005999999999</v>
      </c>
      <c r="J112" s="10">
        <f t="shared" si="6"/>
        <v>1.4318393359623496</v>
      </c>
      <c r="K112" s="10">
        <f t="shared" si="7"/>
        <v>1.4313091577245758</v>
      </c>
      <c r="L112" s="13">
        <f t="shared" si="8"/>
        <v>98.323262027110786</v>
      </c>
      <c r="M112" s="13">
        <f t="shared" si="9"/>
        <v>98.36005999999999</v>
      </c>
      <c r="N112" s="13">
        <f>M112-L112</f>
        <v>3.6797972889203834E-2</v>
      </c>
      <c r="O112" s="2">
        <f>N112/L112</f>
        <v>3.7425500467079179E-4</v>
      </c>
    </row>
    <row r="113" spans="1:15" x14ac:dyDescent="0.25">
      <c r="A113" s="1">
        <v>46185</v>
      </c>
      <c r="B113" s="6">
        <v>67.180000000000007</v>
      </c>
      <c r="C113" s="6">
        <v>96.36</v>
      </c>
      <c r="F113" s="13">
        <f>F112+D113</f>
        <v>1.6249</v>
      </c>
      <c r="G113" s="13">
        <f t="shared" si="5"/>
        <v>2.0900599999999998</v>
      </c>
      <c r="H113" s="13">
        <f>B113+F113</f>
        <v>68.804900000000004</v>
      </c>
      <c r="I113" s="13">
        <f>C113+G113</f>
        <v>98.450059999999993</v>
      </c>
      <c r="J113" s="10">
        <f t="shared" si="6"/>
        <v>1.430858267361772</v>
      </c>
      <c r="K113" s="10">
        <f t="shared" si="7"/>
        <v>1.4312761390589757</v>
      </c>
      <c r="L113" s="13">
        <f t="shared" si="8"/>
        <v>98.481083466323668</v>
      </c>
      <c r="M113" s="13">
        <f t="shared" si="9"/>
        <v>98.450059999999993</v>
      </c>
      <c r="N113" s="13">
        <f>M113-L113</f>
        <v>-3.1023466323674143E-2</v>
      </c>
      <c r="O113" s="2">
        <f>N113/L113</f>
        <v>-3.150195472238366E-4</v>
      </c>
    </row>
    <row r="114" spans="1:15" x14ac:dyDescent="0.25">
      <c r="A114" s="1">
        <v>46188</v>
      </c>
      <c r="B114" s="6">
        <v>67.37</v>
      </c>
      <c r="C114" s="6">
        <v>96.71</v>
      </c>
      <c r="F114" s="13">
        <f>F113+D114</f>
        <v>1.6249</v>
      </c>
      <c r="G114" s="13">
        <f t="shared" si="5"/>
        <v>2.0900599999999998</v>
      </c>
      <c r="H114" s="13">
        <f>B114+F114</f>
        <v>68.994900000000001</v>
      </c>
      <c r="I114" s="13">
        <f>C114+G114</f>
        <v>98.800059999999988</v>
      </c>
      <c r="J114" s="10">
        <f t="shared" si="6"/>
        <v>1.4319907703322998</v>
      </c>
      <c r="K114" s="10">
        <f t="shared" si="7"/>
        <v>1.4314162730149049</v>
      </c>
      <c r="L114" s="13">
        <f t="shared" si="8"/>
        <v>98.750754086760125</v>
      </c>
      <c r="M114" s="13">
        <f t="shared" si="9"/>
        <v>98.800059999999988</v>
      </c>
      <c r="N114" s="13">
        <f>M114-L114</f>
        <v>4.9305913239862775E-2</v>
      </c>
      <c r="O114" s="2">
        <f>N114/L114</f>
        <v>4.9929657444988966E-4</v>
      </c>
    </row>
    <row r="115" spans="1:15" x14ac:dyDescent="0.25">
      <c r="A115" s="1">
        <v>46189</v>
      </c>
      <c r="B115" s="6">
        <v>67.39</v>
      </c>
      <c r="C115" s="6">
        <v>96.67</v>
      </c>
      <c r="F115" s="13">
        <f>F114+D115</f>
        <v>1.6249</v>
      </c>
      <c r="G115" s="13">
        <f t="shared" si="5"/>
        <v>2.0900599999999998</v>
      </c>
      <c r="H115" s="13">
        <f>B115+F115</f>
        <v>69.014899999999997</v>
      </c>
      <c r="I115" s="13">
        <f>C115+G115</f>
        <v>98.760059999999996</v>
      </c>
      <c r="J115" s="10">
        <f t="shared" si="6"/>
        <v>1.43099620516729</v>
      </c>
      <c r="K115" s="10">
        <f t="shared" si="7"/>
        <v>1.4314673899581503</v>
      </c>
      <c r="L115" s="13">
        <f t="shared" si="8"/>
        <v>98.789050940496352</v>
      </c>
      <c r="M115" s="13">
        <f t="shared" si="9"/>
        <v>98.760059999999996</v>
      </c>
      <c r="N115" s="13">
        <f>M115-L115</f>
        <v>-2.8990940496356643E-2</v>
      </c>
      <c r="O115" s="2">
        <f>N115/L115</f>
        <v>-2.9346309353471539E-4</v>
      </c>
    </row>
    <row r="116" spans="1:15" x14ac:dyDescent="0.25">
      <c r="A116" s="1">
        <v>46190</v>
      </c>
      <c r="B116" s="6">
        <v>67.12</v>
      </c>
      <c r="C116" s="6">
        <v>96.28</v>
      </c>
      <c r="F116" s="13">
        <f>F115+D116</f>
        <v>1.6249</v>
      </c>
      <c r="G116" s="13">
        <f t="shared" si="5"/>
        <v>2.0900599999999998</v>
      </c>
      <c r="H116" s="13">
        <f>B116+F116</f>
        <v>68.744900000000001</v>
      </c>
      <c r="I116" s="13">
        <f>C116+G116</f>
        <v>98.370059999999995</v>
      </c>
      <c r="J116" s="10">
        <f t="shared" si="6"/>
        <v>1.4309433863457506</v>
      </c>
      <c r="K116" s="10">
        <f t="shared" si="7"/>
        <v>1.431482541260644</v>
      </c>
      <c r="L116" s="13">
        <f t="shared" si="8"/>
        <v>98.40608257593405</v>
      </c>
      <c r="M116" s="13">
        <f t="shared" si="9"/>
        <v>98.370059999999995</v>
      </c>
      <c r="N116" s="13">
        <f>M116-L116</f>
        <v>-3.6022575934055112E-2</v>
      </c>
      <c r="O116" s="2">
        <f>N116/L116</f>
        <v>-3.6606046080798571E-4</v>
      </c>
    </row>
    <row r="117" spans="1:15" x14ac:dyDescent="0.25">
      <c r="A117" s="1">
        <v>46191</v>
      </c>
      <c r="B117" s="6">
        <v>67.44</v>
      </c>
      <c r="C117" s="6">
        <v>96.73</v>
      </c>
      <c r="F117" s="13">
        <f>F116+D117</f>
        <v>1.6249</v>
      </c>
      <c r="G117" s="13">
        <f t="shared" si="5"/>
        <v>2.0900599999999998</v>
      </c>
      <c r="H117" s="13">
        <f>B117+F117</f>
        <v>69.064899999999994</v>
      </c>
      <c r="I117" s="13">
        <f>C117+G117</f>
        <v>98.820059999999998</v>
      </c>
      <c r="J117" s="10">
        <f t="shared" si="6"/>
        <v>1.4308289739071511</v>
      </c>
      <c r="K117" s="10">
        <f t="shared" si="7"/>
        <v>1.4314513526682677</v>
      </c>
      <c r="L117" s="13">
        <f t="shared" si="8"/>
        <v>98.865198563912244</v>
      </c>
      <c r="M117" s="13">
        <f t="shared" si="9"/>
        <v>98.820059999999998</v>
      </c>
      <c r="N117" s="13">
        <f>M117-L117</f>
        <v>-4.5138563912246354E-2</v>
      </c>
      <c r="O117" s="2">
        <f>N117/L117</f>
        <v>-4.5656676533215225E-4</v>
      </c>
    </row>
    <row r="118" spans="1:15" x14ac:dyDescent="0.25">
      <c r="A118" s="1">
        <v>46195</v>
      </c>
      <c r="B118" s="6">
        <v>67.19</v>
      </c>
      <c r="C118" s="6">
        <v>96.4</v>
      </c>
      <c r="F118" s="13">
        <f>F117+D118</f>
        <v>1.6249</v>
      </c>
      <c r="G118" s="13">
        <f t="shared" si="5"/>
        <v>2.0900599999999998</v>
      </c>
      <c r="H118" s="13">
        <f>B118+F118</f>
        <v>68.814899999999994</v>
      </c>
      <c r="I118" s="13">
        <f>C118+G118</f>
        <v>98.49006</v>
      </c>
      <c r="J118" s="10">
        <f t="shared" si="6"/>
        <v>1.4312316082708834</v>
      </c>
      <c r="K118" s="10">
        <f t="shared" si="7"/>
        <v>1.4314308609910618</v>
      </c>
      <c r="L118" s="13">
        <f t="shared" si="8"/>
        <v>98.505181688731568</v>
      </c>
      <c r="M118" s="13">
        <f t="shared" si="9"/>
        <v>98.49006</v>
      </c>
      <c r="N118" s="13">
        <f>M118-L118</f>
        <v>-1.5121688731568383E-2</v>
      </c>
      <c r="O118" s="2">
        <f>N118/L118</f>
        <v>-1.5351160692593513E-4</v>
      </c>
    </row>
    <row r="119" spans="1:15" x14ac:dyDescent="0.25">
      <c r="A119" s="1">
        <v>46196</v>
      </c>
      <c r="B119" s="6">
        <v>67.08</v>
      </c>
      <c r="C119" s="6">
        <v>96.26</v>
      </c>
      <c r="F119" s="13">
        <f>F118+D119</f>
        <v>1.6249</v>
      </c>
      <c r="G119" s="13">
        <f t="shared" si="5"/>
        <v>2.0900599999999998</v>
      </c>
      <c r="H119" s="13">
        <f>B119+F119</f>
        <v>68.704899999999995</v>
      </c>
      <c r="I119" s="13">
        <f>C119+G119</f>
        <v>98.350059999999999</v>
      </c>
      <c r="J119" s="10">
        <f t="shared" si="6"/>
        <v>1.4314853816831115</v>
      </c>
      <c r="K119" s="10">
        <f t="shared" si="7"/>
        <v>1.4313852324178584</v>
      </c>
      <c r="L119" s="13">
        <f t="shared" si="8"/>
        <v>98.34631416130479</v>
      </c>
      <c r="M119" s="13">
        <f t="shared" si="9"/>
        <v>98.350059999999999</v>
      </c>
      <c r="N119" s="13">
        <f>M119-L119</f>
        <v>3.7458386952096134E-3</v>
      </c>
      <c r="O119" s="2">
        <f>N119/L119</f>
        <v>3.8088246897243114E-5</v>
      </c>
    </row>
    <row r="120" spans="1:15" x14ac:dyDescent="0.25">
      <c r="A120" s="1">
        <v>46197</v>
      </c>
      <c r="B120" s="6">
        <v>67.290000000000006</v>
      </c>
      <c r="C120" s="6">
        <v>96.57</v>
      </c>
      <c r="F120" s="13">
        <f>F119+D120</f>
        <v>1.6249</v>
      </c>
      <c r="G120" s="13">
        <f t="shared" si="5"/>
        <v>2.0900599999999998</v>
      </c>
      <c r="H120" s="13">
        <f>B120+F120</f>
        <v>68.914900000000003</v>
      </c>
      <c r="I120" s="13">
        <f>C120+G120</f>
        <v>98.660059999999987</v>
      </c>
      <c r="J120" s="10">
        <f t="shared" si="6"/>
        <v>1.4316216086796902</v>
      </c>
      <c r="K120" s="10">
        <f t="shared" si="7"/>
        <v>1.4313483956823259</v>
      </c>
      <c r="L120" s="13">
        <f t="shared" si="8"/>
        <v>98.643770153553476</v>
      </c>
      <c r="M120" s="13">
        <f t="shared" si="9"/>
        <v>98.660059999999987</v>
      </c>
      <c r="N120" s="13">
        <f>M120-L120</f>
        <v>1.6289846446511547E-2</v>
      </c>
      <c r="O120" s="2">
        <f>N120/L120</f>
        <v>1.6513811689429565E-4</v>
      </c>
    </row>
    <row r="121" spans="1:15" x14ac:dyDescent="0.25">
      <c r="A121" s="1">
        <v>46198</v>
      </c>
      <c r="B121" s="6">
        <v>67.290000000000006</v>
      </c>
      <c r="C121" s="6">
        <v>96.56</v>
      </c>
      <c r="F121" s="13">
        <f>F120+D121</f>
        <v>1.6249</v>
      </c>
      <c r="G121" s="13">
        <f t="shared" si="5"/>
        <v>2.0900599999999998</v>
      </c>
      <c r="H121" s="13">
        <f>B121+F121</f>
        <v>68.914900000000003</v>
      </c>
      <c r="I121" s="13">
        <f>C121+G121</f>
        <v>98.650059999999996</v>
      </c>
      <c r="J121" s="10">
        <f t="shared" si="6"/>
        <v>1.4314765021787741</v>
      </c>
      <c r="K121" s="10">
        <f t="shared" si="7"/>
        <v>1.4313175665593447</v>
      </c>
      <c r="L121" s="13">
        <f t="shared" si="8"/>
        <v>98.641231553607923</v>
      </c>
      <c r="M121" s="13">
        <f t="shared" si="9"/>
        <v>98.650059999999996</v>
      </c>
      <c r="N121" s="13">
        <f>M121-L121</f>
        <v>8.8284463920729195E-3</v>
      </c>
      <c r="O121" s="2">
        <f>N121/L121</f>
        <v>8.9500569417312882E-5</v>
      </c>
    </row>
    <row r="122" spans="1:15" x14ac:dyDescent="0.25">
      <c r="A122" s="1">
        <v>46199</v>
      </c>
      <c r="B122" s="6">
        <v>67.239999999999995</v>
      </c>
      <c r="C122" s="6">
        <v>96.54</v>
      </c>
      <c r="F122" s="13">
        <f>F121+D122</f>
        <v>1.6249</v>
      </c>
      <c r="G122" s="13">
        <f t="shared" si="5"/>
        <v>2.0900599999999998</v>
      </c>
      <c r="H122" s="13">
        <f>B122+F122</f>
        <v>68.864899999999992</v>
      </c>
      <c r="I122" s="13">
        <f>C122+G122</f>
        <v>98.63006</v>
      </c>
      <c r="J122" s="10">
        <f t="shared" si="6"/>
        <v>1.4322254152696077</v>
      </c>
      <c r="K122" s="10">
        <f t="shared" si="7"/>
        <v>1.4313508064438265</v>
      </c>
      <c r="L122" s="13">
        <f t="shared" si="8"/>
        <v>98.567541089352602</v>
      </c>
      <c r="M122" s="13">
        <f t="shared" si="9"/>
        <v>98.63006</v>
      </c>
      <c r="N122" s="13">
        <f>M122-L122</f>
        <v>6.2518910647398229E-2</v>
      </c>
      <c r="O122" s="2">
        <f>N122/L122</f>
        <v>6.3427483283491994E-4</v>
      </c>
    </row>
    <row r="123" spans="1:15" x14ac:dyDescent="0.25">
      <c r="A123" s="1">
        <v>46202</v>
      </c>
      <c r="B123" s="6">
        <v>67.48</v>
      </c>
      <c r="C123" s="6">
        <v>96.82</v>
      </c>
      <c r="F123" s="13">
        <f>F122+D123</f>
        <v>1.6249</v>
      </c>
      <c r="G123" s="13">
        <f t="shared" si="5"/>
        <v>2.0900599999999998</v>
      </c>
      <c r="H123" s="13">
        <f>B123+F123</f>
        <v>69.104900000000001</v>
      </c>
      <c r="I123" s="13">
        <f>C123+G123</f>
        <v>98.910059999999987</v>
      </c>
      <c r="J123" s="10">
        <f t="shared" si="6"/>
        <v>1.4313031347994134</v>
      </c>
      <c r="K123" s="10">
        <f t="shared" si="7"/>
        <v>1.4313591191438884</v>
      </c>
      <c r="L123" s="13">
        <f t="shared" si="8"/>
        <v>98.913354344219982</v>
      </c>
      <c r="M123" s="13">
        <f t="shared" si="9"/>
        <v>98.910059999999987</v>
      </c>
      <c r="N123" s="13">
        <f>M123-L123</f>
        <v>-3.2943442199950823E-3</v>
      </c>
      <c r="O123" s="2">
        <f>N123/L123</f>
        <v>-3.3305353375548401E-5</v>
      </c>
    </row>
    <row r="124" spans="1:15" x14ac:dyDescent="0.25">
      <c r="A124" s="1">
        <v>46203</v>
      </c>
      <c r="B124" s="6">
        <v>67.239999999999995</v>
      </c>
      <c r="C124" s="6">
        <v>96.44</v>
      </c>
      <c r="F124" s="13">
        <f>F123+D124</f>
        <v>1.6249</v>
      </c>
      <c r="G124" s="13">
        <f t="shared" si="5"/>
        <v>2.0900599999999998</v>
      </c>
      <c r="H124" s="13">
        <f>B124+F124</f>
        <v>68.864899999999992</v>
      </c>
      <c r="I124" s="13">
        <f>C124+G124</f>
        <v>98.530059999999992</v>
      </c>
      <c r="J124" s="10">
        <f t="shared" si="6"/>
        <v>1.4307732967012223</v>
      </c>
      <c r="K124" s="10">
        <f t="shared" si="7"/>
        <v>1.4312865691293768</v>
      </c>
      <c r="L124" s="13">
        <f t="shared" si="8"/>
        <v>98.570402603931939</v>
      </c>
      <c r="M124" s="13">
        <f t="shared" si="9"/>
        <v>98.530059999999992</v>
      </c>
      <c r="N124" s="13">
        <f>M124-L124</f>
        <v>-4.0342603931946996E-2</v>
      </c>
      <c r="O124" s="2">
        <f>N124/L124</f>
        <v>-4.0927705341783541E-4</v>
      </c>
    </row>
    <row r="125" spans="1:15" x14ac:dyDescent="0.25">
      <c r="A125" s="1">
        <v>46204</v>
      </c>
      <c r="B125" s="6">
        <v>66.87</v>
      </c>
      <c r="C125" s="6">
        <v>96.02</v>
      </c>
      <c r="D125" s="13">
        <v>0.31369999999999998</v>
      </c>
      <c r="E125" s="13">
        <v>0.3997</v>
      </c>
      <c r="F125" s="13">
        <f>F124+D125</f>
        <v>1.9386000000000001</v>
      </c>
      <c r="G125" s="13">
        <f t="shared" si="5"/>
        <v>2.48976</v>
      </c>
      <c r="H125" s="13">
        <f>B125+F125</f>
        <v>68.808599999999998</v>
      </c>
      <c r="I125" s="13">
        <f>C125+G125</f>
        <v>98.50976</v>
      </c>
      <c r="J125" s="10">
        <f t="shared" si="6"/>
        <v>1.4316489508578869</v>
      </c>
      <c r="K125" s="10">
        <f t="shared" si="7"/>
        <v>1.4312530527664036</v>
      </c>
      <c r="L125" s="13">
        <f t="shared" si="8"/>
        <v>98.484825020595636</v>
      </c>
      <c r="M125" s="13">
        <f t="shared" si="9"/>
        <v>98.50976</v>
      </c>
      <c r="N125" s="13">
        <f>M125-L125</f>
        <v>2.4934979404363844E-2</v>
      </c>
      <c r="O125" s="2">
        <f>N125/L125</f>
        <v>2.5318600504340967E-4</v>
      </c>
    </row>
    <row r="126" spans="1:15" x14ac:dyDescent="0.25">
      <c r="A126" s="1">
        <v>46205</v>
      </c>
      <c r="B126" s="6">
        <v>67</v>
      </c>
      <c r="C126" s="6">
        <v>96.2</v>
      </c>
      <c r="F126" s="13">
        <f>F125+D126</f>
        <v>1.9386000000000001</v>
      </c>
      <c r="G126" s="13">
        <f t="shared" si="5"/>
        <v>2.48976</v>
      </c>
      <c r="H126" s="13">
        <f>B126+F126</f>
        <v>68.938599999999994</v>
      </c>
      <c r="I126" s="13">
        <f>C126+G126</f>
        <v>98.689760000000007</v>
      </c>
      <c r="J126" s="10">
        <f t="shared" si="6"/>
        <v>1.4315602579686855</v>
      </c>
      <c r="K126" s="10">
        <f t="shared" si="7"/>
        <v>1.4312583513668109</v>
      </c>
      <c r="L126" s="13">
        <f t="shared" si="8"/>
        <v>98.668581703441987</v>
      </c>
      <c r="M126" s="13">
        <f t="shared" si="9"/>
        <v>98.689760000000007</v>
      </c>
      <c r="N126" s="13">
        <f>M126-L126</f>
        <v>2.1178296558019838E-2</v>
      </c>
      <c r="O126" s="2">
        <f>N126/L126</f>
        <v>2.1464073155194697E-4</v>
      </c>
    </row>
    <row r="127" spans="1:15" x14ac:dyDescent="0.25">
      <c r="A127" s="1">
        <v>46209</v>
      </c>
      <c r="B127" s="6">
        <v>67.05</v>
      </c>
      <c r="C127" s="6">
        <v>96.35</v>
      </c>
      <c r="F127" s="13">
        <f>F126+D127</f>
        <v>1.9386000000000001</v>
      </c>
      <c r="G127" s="13">
        <f t="shared" si="5"/>
        <v>2.48976</v>
      </c>
      <c r="H127" s="13">
        <f>B127+F127</f>
        <v>68.988599999999991</v>
      </c>
      <c r="I127" s="13">
        <f>C127+G127</f>
        <v>98.839759999999998</v>
      </c>
      <c r="J127" s="10">
        <f t="shared" si="6"/>
        <v>1.4326969963153333</v>
      </c>
      <c r="K127" s="10">
        <f t="shared" si="7"/>
        <v>1.4313416431390622</v>
      </c>
      <c r="L127" s="13">
        <f t="shared" si="8"/>
        <v>98.740509899104353</v>
      </c>
      <c r="M127" s="13">
        <f t="shared" si="9"/>
        <v>98.839759999999998</v>
      </c>
      <c r="N127" s="13">
        <f>M127-L127</f>
        <v>9.9250100895645232E-2</v>
      </c>
      <c r="O127" s="2">
        <f>N127/L127</f>
        <v>1.0051609111302099E-3</v>
      </c>
    </row>
    <row r="128" spans="1:15" x14ac:dyDescent="0.25">
      <c r="A128" s="1">
        <v>46210</v>
      </c>
      <c r="B128" s="6">
        <v>66.680000000000007</v>
      </c>
      <c r="C128" s="6">
        <v>95.94</v>
      </c>
      <c r="F128" s="13">
        <f>F127+D128</f>
        <v>1.9386000000000001</v>
      </c>
      <c r="G128" s="13">
        <f t="shared" si="5"/>
        <v>2.48976</v>
      </c>
      <c r="H128" s="13">
        <f>B128+F128</f>
        <v>68.618600000000001</v>
      </c>
      <c r="I128" s="13">
        <f>C128+G128</f>
        <v>98.429760000000002</v>
      </c>
      <c r="J128" s="10">
        <f t="shared" si="6"/>
        <v>1.4344472198500116</v>
      </c>
      <c r="K128" s="10">
        <f t="shared" si="7"/>
        <v>1.4315745247893623</v>
      </c>
      <c r="L128" s="13">
        <f t="shared" si="8"/>
        <v>98.216659673902058</v>
      </c>
      <c r="M128" s="13">
        <f t="shared" si="9"/>
        <v>98.429760000000002</v>
      </c>
      <c r="N128" s="13">
        <f>M128-L128</f>
        <v>0.21310032609794405</v>
      </c>
      <c r="O128" s="2">
        <f>N128/L128</f>
        <v>2.1696963305968412E-3</v>
      </c>
    </row>
    <row r="129" spans="1:15" x14ac:dyDescent="0.25">
      <c r="A129" s="1">
        <v>46211</v>
      </c>
      <c r="B129" s="6">
        <v>66.62</v>
      </c>
      <c r="C129" s="6">
        <v>95.79</v>
      </c>
      <c r="F129" s="13">
        <f>F128+D129</f>
        <v>1.9386000000000001</v>
      </c>
      <c r="G129" s="13">
        <f t="shared" si="5"/>
        <v>2.48976</v>
      </c>
      <c r="H129" s="13">
        <f>B129+F129</f>
        <v>68.558599999999998</v>
      </c>
      <c r="I129" s="13">
        <f>C129+G129</f>
        <v>98.27976000000001</v>
      </c>
      <c r="J129" s="10">
        <f t="shared" si="6"/>
        <v>1.4335146867059714</v>
      </c>
      <c r="K129" s="10">
        <f t="shared" si="7"/>
        <v>1.4317228933311315</v>
      </c>
      <c r="L129" s="13">
        <f t="shared" si="8"/>
        <v>98.146745215223973</v>
      </c>
      <c r="M129" s="13">
        <f t="shared" si="9"/>
        <v>98.27976000000001</v>
      </c>
      <c r="N129" s="13">
        <f>M129-L129</f>
        <v>0.13301478477603723</v>
      </c>
      <c r="O129" s="2">
        <f>N129/L129</f>
        <v>1.3552643491574973E-3</v>
      </c>
    </row>
    <row r="130" spans="1:15" x14ac:dyDescent="0.25">
      <c r="A130" s="1">
        <v>46212</v>
      </c>
      <c r="B130" s="6">
        <v>66.7</v>
      </c>
      <c r="C130" s="6">
        <v>95.96</v>
      </c>
      <c r="F130" s="13">
        <f>F129+D130</f>
        <v>1.9386000000000001</v>
      </c>
      <c r="G130" s="13">
        <f t="shared" si="5"/>
        <v>2.48976</v>
      </c>
      <c r="H130" s="13">
        <f>B130+F130</f>
        <v>68.638599999999997</v>
      </c>
      <c r="I130" s="13">
        <f>C130+G130</f>
        <v>98.449759999999998</v>
      </c>
      <c r="J130" s="10">
        <f t="shared" si="6"/>
        <v>1.4343206300827815</v>
      </c>
      <c r="K130" s="10">
        <f t="shared" si="7"/>
        <v>1.4318669187264688</v>
      </c>
      <c r="L130" s="13">
        <f t="shared" si="8"/>
        <v>98.271454986198194</v>
      </c>
      <c r="M130" s="13">
        <f t="shared" si="9"/>
        <v>98.449759999999998</v>
      </c>
      <c r="N130" s="13">
        <f>M130-L130</f>
        <v>0.17830501380180408</v>
      </c>
      <c r="O130" s="2">
        <f>N130/L130</f>
        <v>1.8144130849273195E-3</v>
      </c>
    </row>
    <row r="131" spans="1:15" x14ac:dyDescent="0.25">
      <c r="A131" s="1">
        <v>46213</v>
      </c>
      <c r="B131" s="6">
        <v>66.8</v>
      </c>
      <c r="C131" s="6">
        <v>95.99</v>
      </c>
      <c r="F131" s="13">
        <f>F130+D131</f>
        <v>1.9386000000000001</v>
      </c>
      <c r="G131" s="13">
        <f t="shared" si="5"/>
        <v>2.48976</v>
      </c>
      <c r="H131" s="13">
        <f>B131+F131</f>
        <v>68.738599999999991</v>
      </c>
      <c r="I131" s="13">
        <f>C131+G131</f>
        <v>98.479759999999999</v>
      </c>
      <c r="J131" s="10">
        <f t="shared" si="6"/>
        <v>1.4326704355340378</v>
      </c>
      <c r="K131" s="10">
        <f t="shared" si="7"/>
        <v>1.4319216531987009</v>
      </c>
      <c r="L131" s="13">
        <f t="shared" si="8"/>
        <v>98.424527379571231</v>
      </c>
      <c r="M131" s="13">
        <f t="shared" si="9"/>
        <v>98.479759999999999</v>
      </c>
      <c r="N131" s="13">
        <f>M131-L131</f>
        <v>5.5232620428768087E-2</v>
      </c>
      <c r="O131" s="2">
        <f>N131/L131</f>
        <v>5.611672405168393E-4</v>
      </c>
    </row>
    <row r="132" spans="1:15" x14ac:dyDescent="0.25">
      <c r="A132" s="1">
        <v>46216</v>
      </c>
      <c r="B132" s="6">
        <v>66.39</v>
      </c>
      <c r="C132" s="6">
        <v>95.38</v>
      </c>
      <c r="F132" s="13">
        <f>F131+D132</f>
        <v>1.9386000000000001</v>
      </c>
      <c r="G132" s="13">
        <f t="shared" ref="G132:G175" si="10">G131+E132</f>
        <v>2.48976</v>
      </c>
      <c r="H132" s="13">
        <f>B132+F132</f>
        <v>68.328599999999994</v>
      </c>
      <c r="I132" s="13">
        <f>C132+G132</f>
        <v>97.869759999999999</v>
      </c>
      <c r="J132" s="10">
        <f t="shared" ref="J132:J175" si="11">I132/H132</f>
        <v>1.4323396059629498</v>
      </c>
      <c r="K132" s="10">
        <f t="shared" si="7"/>
        <v>1.4319466666987313</v>
      </c>
      <c r="L132" s="13">
        <f t="shared" si="8"/>
        <v>97.841201872752748</v>
      </c>
      <c r="M132" s="13">
        <f t="shared" si="9"/>
        <v>97.869759999999999</v>
      </c>
      <c r="N132" s="13">
        <f>M132-L132</f>
        <v>2.8558127247251264E-2</v>
      </c>
      <c r="O132" s="2">
        <f>N132/L132</f>
        <v>2.9188242479270132E-4</v>
      </c>
    </row>
    <row r="133" spans="1:15" x14ac:dyDescent="0.25">
      <c r="A133" s="1">
        <v>46217</v>
      </c>
      <c r="B133" s="6">
        <v>66.510000000000005</v>
      </c>
      <c r="C133" s="6">
        <v>95.57</v>
      </c>
      <c r="F133" s="13">
        <f>F132+D133</f>
        <v>1.9386000000000001</v>
      </c>
      <c r="G133" s="13">
        <f t="shared" si="10"/>
        <v>2.48976</v>
      </c>
      <c r="H133" s="13">
        <f>B133+F133</f>
        <v>68.448599999999999</v>
      </c>
      <c r="I133" s="13">
        <f>C133+G133</f>
        <v>98.059759999999997</v>
      </c>
      <c r="J133" s="10">
        <f t="shared" si="11"/>
        <v>1.4326043191533502</v>
      </c>
      <c r="K133" s="10">
        <f t="shared" si="7"/>
        <v>1.4320339692883099</v>
      </c>
      <c r="L133" s="13">
        <f t="shared" si="8"/>
        <v>98.014744610194782</v>
      </c>
      <c r="M133" s="13">
        <f t="shared" si="9"/>
        <v>98.059759999999997</v>
      </c>
      <c r="N133" s="13">
        <f>M133-L133</f>
        <v>4.5015389805215023E-2</v>
      </c>
      <c r="O133" s="2">
        <f>N133/L133</f>
        <v>4.592716124930131E-4</v>
      </c>
    </row>
    <row r="134" spans="1:15" x14ac:dyDescent="0.25">
      <c r="A134" s="1">
        <v>46218</v>
      </c>
      <c r="B134" s="6">
        <v>66.599999999999994</v>
      </c>
      <c r="C134" s="6">
        <v>95.73</v>
      </c>
      <c r="F134" s="13">
        <f>F133+D134</f>
        <v>1.9386000000000001</v>
      </c>
      <c r="G134" s="13">
        <f t="shared" si="10"/>
        <v>2.48976</v>
      </c>
      <c r="H134" s="13">
        <f>B134+F134</f>
        <v>68.538599999999988</v>
      </c>
      <c r="I134" s="13">
        <f>C134+G134</f>
        <v>98.219760000000008</v>
      </c>
      <c r="J134" s="10">
        <f t="shared" si="11"/>
        <v>1.4330575763146609</v>
      </c>
      <c r="K134" s="10">
        <f t="shared" si="7"/>
        <v>1.432087309587428</v>
      </c>
      <c r="L134" s="13">
        <f t="shared" si="8"/>
        <v>98.149603407463744</v>
      </c>
      <c r="M134" s="13">
        <f t="shared" si="9"/>
        <v>98.219760000000008</v>
      </c>
      <c r="N134" s="13">
        <f>M134-L134</f>
        <v>7.0156592536264384E-2</v>
      </c>
      <c r="O134" s="2">
        <f>N134/L134</f>
        <v>7.1479241994501378E-4</v>
      </c>
    </row>
    <row r="135" spans="1:15" x14ac:dyDescent="0.25">
      <c r="A135" s="1">
        <v>46219</v>
      </c>
      <c r="B135" s="6">
        <v>66.56</v>
      </c>
      <c r="C135" s="6">
        <v>95.59</v>
      </c>
      <c r="F135" s="13">
        <f>F134+D135</f>
        <v>1.9386000000000001</v>
      </c>
      <c r="G135" s="13">
        <f t="shared" si="10"/>
        <v>2.48976</v>
      </c>
      <c r="H135" s="13">
        <f>B135+F135</f>
        <v>68.498599999999996</v>
      </c>
      <c r="I135" s="13">
        <f>C135+G135</f>
        <v>98.079760000000007</v>
      </c>
      <c r="J135" s="10">
        <f t="shared" si="11"/>
        <v>1.4318505779680171</v>
      </c>
      <c r="K135" s="10">
        <f t="shared" si="7"/>
        <v>1.4321300282274643</v>
      </c>
      <c r="L135" s="13">
        <f t="shared" si="8"/>
        <v>98.095975784505399</v>
      </c>
      <c r="M135" s="13">
        <f t="shared" si="9"/>
        <v>98.079760000000007</v>
      </c>
      <c r="N135" s="13">
        <f>M135-L135</f>
        <v>-1.6215784505391184E-2</v>
      </c>
      <c r="O135" s="2">
        <f>N135/L135</f>
        <v>-1.6530529795649908E-4</v>
      </c>
    </row>
    <row r="136" spans="1:15" x14ac:dyDescent="0.25">
      <c r="A136" s="1">
        <v>46220</v>
      </c>
      <c r="B136" s="6">
        <v>66.48</v>
      </c>
      <c r="C136" s="6">
        <v>95.53</v>
      </c>
      <c r="F136" s="13">
        <f>F135+D136</f>
        <v>1.9386000000000001</v>
      </c>
      <c r="G136" s="13">
        <f t="shared" si="10"/>
        <v>2.48976</v>
      </c>
      <c r="H136" s="13">
        <f>B136+F136</f>
        <v>68.418599999999998</v>
      </c>
      <c r="I136" s="13">
        <f>C136+G136</f>
        <v>98.019760000000005</v>
      </c>
      <c r="J136" s="10">
        <f t="shared" si="11"/>
        <v>1.4326478472228312</v>
      </c>
      <c r="K136" s="10">
        <f t="shared" si="7"/>
        <v>1.4322152512713187</v>
      </c>
      <c r="L136" s="13">
        <f t="shared" si="8"/>
        <v>97.984331549283581</v>
      </c>
      <c r="M136" s="13">
        <f t="shared" si="9"/>
        <v>98.019760000000005</v>
      </c>
      <c r="N136" s="13">
        <f>M136-L136</f>
        <v>3.5428450716423754E-2</v>
      </c>
      <c r="O136" s="2">
        <f>N136/L136</f>
        <v>3.6157261223549971E-4</v>
      </c>
    </row>
    <row r="137" spans="1:15" x14ac:dyDescent="0.25">
      <c r="A137" s="1">
        <v>46223</v>
      </c>
      <c r="B137" s="6">
        <v>66.36</v>
      </c>
      <c r="C137" s="6">
        <v>95.37</v>
      </c>
      <c r="F137" s="13">
        <f>F136+D137</f>
        <v>1.9386000000000001</v>
      </c>
      <c r="G137" s="13">
        <f t="shared" si="10"/>
        <v>2.48976</v>
      </c>
      <c r="H137" s="13">
        <f>B137+F137</f>
        <v>68.298599999999993</v>
      </c>
      <c r="I137" s="13">
        <f>C137+G137</f>
        <v>97.859760000000009</v>
      </c>
      <c r="J137" s="10">
        <f t="shared" si="11"/>
        <v>1.4328223418928063</v>
      </c>
      <c r="K137" s="10">
        <f t="shared" si="7"/>
        <v>1.4323149196706013</v>
      </c>
      <c r="L137" s="13">
        <f t="shared" si="8"/>
        <v>97.818296560479268</v>
      </c>
      <c r="M137" s="13">
        <f t="shared" si="9"/>
        <v>97.859760000000009</v>
      </c>
      <c r="N137" s="13">
        <f>M137-L137</f>
        <v>4.1463439520740053E-2</v>
      </c>
      <c r="O137" s="2">
        <f>N137/L137</f>
        <v>4.2388224880918841E-4</v>
      </c>
    </row>
    <row r="138" spans="1:15" x14ac:dyDescent="0.25">
      <c r="A138" s="1">
        <v>46224</v>
      </c>
      <c r="B138" s="6">
        <v>66.3</v>
      </c>
      <c r="C138" s="6">
        <v>95.38</v>
      </c>
      <c r="F138" s="13">
        <f>F137+D138</f>
        <v>1.9386000000000001</v>
      </c>
      <c r="G138" s="13">
        <f t="shared" si="10"/>
        <v>2.48976</v>
      </c>
      <c r="H138" s="13">
        <f>B138+F138</f>
        <v>68.238599999999991</v>
      </c>
      <c r="I138" s="13">
        <f>C138+G138</f>
        <v>97.869759999999999</v>
      </c>
      <c r="J138" s="10">
        <f t="shared" si="11"/>
        <v>1.4342287209878282</v>
      </c>
      <c r="K138" s="10">
        <f t="shared" si="7"/>
        <v>1.4324647753064483</v>
      </c>
      <c r="L138" s="13">
        <f t="shared" si="8"/>
        <v>97.739164877434277</v>
      </c>
      <c r="M138" s="13">
        <f t="shared" si="9"/>
        <v>97.869759999999999</v>
      </c>
      <c r="N138" s="13">
        <f>M138-L138</f>
        <v>0.13059512256572248</v>
      </c>
      <c r="O138" s="2">
        <f>N138/L138</f>
        <v>1.336159590983715E-3</v>
      </c>
    </row>
    <row r="139" spans="1:15" x14ac:dyDescent="0.25">
      <c r="A139" s="1">
        <v>46225</v>
      </c>
      <c r="B139" s="6">
        <v>66.12</v>
      </c>
      <c r="C139" s="6">
        <v>95.09</v>
      </c>
      <c r="F139" s="13">
        <f>F138+D139</f>
        <v>1.9386000000000001</v>
      </c>
      <c r="G139" s="13">
        <f t="shared" si="10"/>
        <v>2.48976</v>
      </c>
      <c r="H139" s="13">
        <f>B139+F139</f>
        <v>68.058599999999998</v>
      </c>
      <c r="I139" s="13">
        <f>C139+G139</f>
        <v>97.579760000000007</v>
      </c>
      <c r="J139" s="10">
        <f t="shared" si="11"/>
        <v>1.4337609060427339</v>
      </c>
      <c r="K139" s="10">
        <f t="shared" si="7"/>
        <v>1.4325785515244296</v>
      </c>
      <c r="L139" s="13">
        <f t="shared" si="8"/>
        <v>97.491547156671444</v>
      </c>
      <c r="M139" s="13">
        <f t="shared" si="9"/>
        <v>97.579760000000007</v>
      </c>
      <c r="N139" s="13">
        <f>M139-L139</f>
        <v>8.821284332856294E-2</v>
      </c>
      <c r="O139" s="2">
        <f>N139/L139</f>
        <v>9.0482555566384246E-4</v>
      </c>
    </row>
    <row r="140" spans="1:15" x14ac:dyDescent="0.25">
      <c r="A140" s="1">
        <v>46226</v>
      </c>
      <c r="B140" s="6">
        <v>65.72</v>
      </c>
      <c r="C140" s="6">
        <v>94.53</v>
      </c>
      <c r="F140" s="13">
        <f>F139+D140</f>
        <v>1.9386000000000001</v>
      </c>
      <c r="G140" s="13">
        <f t="shared" si="10"/>
        <v>2.48976</v>
      </c>
      <c r="H140" s="13">
        <f>B140+F140</f>
        <v>67.658599999999993</v>
      </c>
      <c r="I140" s="13">
        <f>C140+G140</f>
        <v>97.019760000000005</v>
      </c>
      <c r="J140" s="10">
        <f t="shared" si="11"/>
        <v>1.4339605016952761</v>
      </c>
      <c r="K140" s="10">
        <f t="shared" si="7"/>
        <v>1.4326954961752087</v>
      </c>
      <c r="L140" s="13">
        <f t="shared" si="8"/>
        <v>96.926259186170768</v>
      </c>
      <c r="M140" s="13">
        <f t="shared" si="9"/>
        <v>97.019760000000005</v>
      </c>
      <c r="N140" s="13">
        <f>M140-L140</f>
        <v>9.3500813829237472E-2</v>
      </c>
      <c r="O140" s="2">
        <f>N140/L140</f>
        <v>9.6465926379812222E-4</v>
      </c>
    </row>
    <row r="141" spans="1:15" x14ac:dyDescent="0.25">
      <c r="A141" s="1">
        <v>46227</v>
      </c>
      <c r="B141" s="6">
        <v>65.849999999999994</v>
      </c>
      <c r="C141" s="6">
        <v>94.64</v>
      </c>
      <c r="F141" s="13">
        <f>F140+D141</f>
        <v>1.9386000000000001</v>
      </c>
      <c r="G141" s="13">
        <f t="shared" si="10"/>
        <v>2.48976</v>
      </c>
      <c r="H141" s="13">
        <f>B141+F141</f>
        <v>67.788599999999988</v>
      </c>
      <c r="I141" s="13">
        <f>C141+G141</f>
        <v>97.129760000000005</v>
      </c>
      <c r="J141" s="10">
        <f t="shared" si="11"/>
        <v>1.4328332492483991</v>
      </c>
      <c r="K141" s="10">
        <f t="shared" si="7"/>
        <v>1.43276333352869</v>
      </c>
      <c r="L141" s="13">
        <f t="shared" si="8"/>
        <v>97.120421912022735</v>
      </c>
      <c r="M141" s="13">
        <f t="shared" si="9"/>
        <v>97.129760000000005</v>
      </c>
      <c r="N141" s="13">
        <f>M141-L141</f>
        <v>9.338087977269538E-3</v>
      </c>
      <c r="O141" s="2">
        <f>N141/L141</f>
        <v>9.6149582069654876E-5</v>
      </c>
    </row>
    <row r="142" spans="1:15" x14ac:dyDescent="0.25">
      <c r="A142" s="1">
        <v>46230</v>
      </c>
      <c r="B142" s="6">
        <v>66.02</v>
      </c>
      <c r="C142" s="6">
        <v>94.96</v>
      </c>
      <c r="F142" s="13">
        <f>F141+D142</f>
        <v>1.9386000000000001</v>
      </c>
      <c r="G142" s="13">
        <f t="shared" si="10"/>
        <v>2.48976</v>
      </c>
      <c r="H142" s="13">
        <f>B142+F142</f>
        <v>67.95859999999999</v>
      </c>
      <c r="I142" s="13">
        <f>C142+G142</f>
        <v>97.449759999999998</v>
      </c>
      <c r="J142" s="10">
        <f t="shared" si="11"/>
        <v>1.4339577330904405</v>
      </c>
      <c r="K142" s="10">
        <f t="shared" si="7"/>
        <v>1.432849949419732</v>
      </c>
      <c r="L142" s="13">
        <f t="shared" si="8"/>
        <v>97.368590277942815</v>
      </c>
      <c r="M142" s="13">
        <f t="shared" si="9"/>
        <v>97.449759999999998</v>
      </c>
      <c r="N142" s="13">
        <f>M142-L142</f>
        <v>8.116972205718298E-2</v>
      </c>
      <c r="O142" s="2">
        <f>N142/L142</f>
        <v>8.3363353444350515E-4</v>
      </c>
    </row>
    <row r="143" spans="1:15" x14ac:dyDescent="0.25">
      <c r="A143" s="1">
        <v>46231</v>
      </c>
      <c r="B143" s="6">
        <v>66.13</v>
      </c>
      <c r="C143" s="6">
        <v>95.19</v>
      </c>
      <c r="F143" s="13">
        <f>F142+D143</f>
        <v>1.9386000000000001</v>
      </c>
      <c r="G143" s="13">
        <f t="shared" si="10"/>
        <v>2.48976</v>
      </c>
      <c r="H143" s="13">
        <f>B143+F143</f>
        <v>68.068599999999989</v>
      </c>
      <c r="I143" s="13">
        <f>C143+G143</f>
        <v>97.679760000000002</v>
      </c>
      <c r="J143" s="10">
        <f t="shared" si="11"/>
        <v>1.4350193775103355</v>
      </c>
      <c r="K143" s="10">
        <f t="shared" si="7"/>
        <v>1.4330357615552782</v>
      </c>
      <c r="L143" s="13">
        <f t="shared" si="8"/>
        <v>97.532090067071948</v>
      </c>
      <c r="M143" s="13">
        <f t="shared" si="9"/>
        <v>97.679760000000002</v>
      </c>
      <c r="N143" s="13">
        <f>M143-L143</f>
        <v>0.14766993292805353</v>
      </c>
      <c r="O143" s="2">
        <f>N143/L143</f>
        <v>1.514065092078948E-3</v>
      </c>
    </row>
    <row r="144" spans="1:15" x14ac:dyDescent="0.25">
      <c r="A144" s="1">
        <v>46232</v>
      </c>
      <c r="B144" s="6">
        <v>65.739999999999995</v>
      </c>
      <c r="C144" s="6">
        <v>94.56</v>
      </c>
      <c r="F144" s="13">
        <f>F143+D144</f>
        <v>1.9386000000000001</v>
      </c>
      <c r="G144" s="13">
        <f t="shared" si="10"/>
        <v>2.48976</v>
      </c>
      <c r="H144" s="13">
        <f>B144+F144</f>
        <v>67.678599999999989</v>
      </c>
      <c r="I144" s="13">
        <f>C144+G144</f>
        <v>97.049760000000006</v>
      </c>
      <c r="J144" s="10">
        <f t="shared" si="11"/>
        <v>1.4339800173171433</v>
      </c>
      <c r="K144" s="10">
        <f t="shared" si="7"/>
        <v>1.4331960975860742</v>
      </c>
      <c r="L144" s="13">
        <f t="shared" si="8"/>
        <v>96.985854091995037</v>
      </c>
      <c r="M144" s="13">
        <f t="shared" si="9"/>
        <v>97.049760000000006</v>
      </c>
      <c r="N144" s="13">
        <f>M144-L144</f>
        <v>6.3905908004969092E-2</v>
      </c>
      <c r="O144" s="2">
        <f>N144/L144</f>
        <v>6.5891988685640418E-4</v>
      </c>
    </row>
    <row r="145" spans="1:15" x14ac:dyDescent="0.25">
      <c r="A145" s="1">
        <v>46233</v>
      </c>
      <c r="B145" s="6">
        <v>65.87</v>
      </c>
      <c r="C145" s="6">
        <v>94.79</v>
      </c>
      <c r="F145" s="13">
        <f>F144+D145</f>
        <v>1.9386000000000001</v>
      </c>
      <c r="G145" s="13">
        <f t="shared" si="10"/>
        <v>2.48976</v>
      </c>
      <c r="H145" s="13">
        <f>B145+F145</f>
        <v>67.808599999999998</v>
      </c>
      <c r="I145" s="13">
        <f>C145+G145</f>
        <v>97.27976000000001</v>
      </c>
      <c r="J145" s="10">
        <f t="shared" si="11"/>
        <v>1.434622746967199</v>
      </c>
      <c r="K145" s="10">
        <f t="shared" si="7"/>
        <v>1.4333447873915399</v>
      </c>
      <c r="L145" s="13">
        <f t="shared" si="8"/>
        <v>97.18302090277507</v>
      </c>
      <c r="M145" s="13">
        <f t="shared" si="9"/>
        <v>97.27976000000001</v>
      </c>
      <c r="N145" s="13">
        <f>M145-L145</f>
        <v>9.6739097224940451E-2</v>
      </c>
      <c r="O145" s="2">
        <f>N145/L145</f>
        <v>9.9543208604022776E-4</v>
      </c>
    </row>
    <row r="146" spans="1:15" x14ac:dyDescent="0.25">
      <c r="A146" s="1">
        <v>46234</v>
      </c>
      <c r="B146" s="6">
        <v>65.84</v>
      </c>
      <c r="C146" s="6">
        <v>94.66</v>
      </c>
      <c r="F146" s="13">
        <f>F145+D146</f>
        <v>1.9386000000000001</v>
      </c>
      <c r="G146" s="13">
        <f t="shared" si="10"/>
        <v>2.48976</v>
      </c>
      <c r="H146" s="13">
        <f>B146+F146</f>
        <v>67.778599999999997</v>
      </c>
      <c r="I146" s="13">
        <f>C146+G146</f>
        <v>97.149760000000001</v>
      </c>
      <c r="J146" s="10">
        <f t="shared" si="11"/>
        <v>1.4333397266983976</v>
      </c>
      <c r="K146" s="10">
        <f t="shared" si="7"/>
        <v>1.4334337608280254</v>
      </c>
      <c r="L146" s="13">
        <f t="shared" si="8"/>
        <v>97.150103006696227</v>
      </c>
      <c r="M146" s="13">
        <f t="shared" si="9"/>
        <v>97.149760000000001</v>
      </c>
      <c r="N146" s="13">
        <f>M146-L146</f>
        <v>-3.4300669622666646E-4</v>
      </c>
      <c r="O146" s="2">
        <f>N146/L146</f>
        <v>-3.5306879314685251E-6</v>
      </c>
    </row>
    <row r="147" spans="1:15" x14ac:dyDescent="0.25">
      <c r="A147" s="1">
        <v>46237</v>
      </c>
      <c r="B147" s="6">
        <v>65.81</v>
      </c>
      <c r="C147" s="6">
        <v>94.75</v>
      </c>
      <c r="D147" s="13">
        <v>0.34660000000000002</v>
      </c>
      <c r="E147" s="13">
        <v>0.41359000000000001</v>
      </c>
      <c r="F147" s="13">
        <f>F146+D147</f>
        <v>2.2852000000000001</v>
      </c>
      <c r="G147" s="13">
        <f t="shared" si="10"/>
        <v>2.9033500000000001</v>
      </c>
      <c r="H147" s="13">
        <f>B147+F147</f>
        <v>68.095200000000006</v>
      </c>
      <c r="I147" s="13">
        <f>C147+G147</f>
        <v>97.653350000000003</v>
      </c>
      <c r="J147" s="10">
        <f t="shared" si="11"/>
        <v>1.4340709771026445</v>
      </c>
      <c r="K147" s="10">
        <f t="shared" si="7"/>
        <v>1.4335024598673913</v>
      </c>
      <c r="L147" s="13">
        <f t="shared" si="8"/>
        <v>97.609958630336564</v>
      </c>
      <c r="M147" s="13">
        <f t="shared" si="9"/>
        <v>97.653350000000003</v>
      </c>
      <c r="N147" s="13">
        <f>M147-L147</f>
        <v>4.339136966343915E-2</v>
      </c>
      <c r="O147" s="2">
        <f>N147/L147</f>
        <v>4.4453834703248594E-4</v>
      </c>
    </row>
    <row r="148" spans="1:15" x14ac:dyDescent="0.25">
      <c r="A148" s="1">
        <v>46238</v>
      </c>
      <c r="B148" s="6">
        <v>66.13</v>
      </c>
      <c r="C148" s="6">
        <v>95.22</v>
      </c>
      <c r="F148" s="13">
        <f>F147+D148</f>
        <v>2.2852000000000001</v>
      </c>
      <c r="G148" s="13">
        <f t="shared" si="10"/>
        <v>2.9033500000000001</v>
      </c>
      <c r="H148" s="13">
        <f>B148+F148</f>
        <v>68.415199999999999</v>
      </c>
      <c r="I148" s="13">
        <f>C148+G148</f>
        <v>98.123350000000002</v>
      </c>
      <c r="J148" s="10">
        <f t="shared" si="11"/>
        <v>1.4342331820998844</v>
      </c>
      <c r="K148" s="10">
        <f t="shared" si="7"/>
        <v>1.4334917579798847</v>
      </c>
      <c r="L148" s="13">
        <f t="shared" si="8"/>
        <v>98.073357492319545</v>
      </c>
      <c r="M148" s="13">
        <f t="shared" si="9"/>
        <v>98.123350000000002</v>
      </c>
      <c r="N148" s="13">
        <f>M148-L148</f>
        <v>4.9992507680457265E-2</v>
      </c>
      <c r="O148" s="2">
        <f>N148/L148</f>
        <v>5.0974606109893141E-4</v>
      </c>
    </row>
    <row r="149" spans="1:15" x14ac:dyDescent="0.25">
      <c r="A149" s="1">
        <v>46239</v>
      </c>
      <c r="B149" s="6">
        <v>66.16</v>
      </c>
      <c r="C149" s="6">
        <v>95.17</v>
      </c>
      <c r="F149" s="13">
        <f>F148+D149</f>
        <v>2.2852000000000001</v>
      </c>
      <c r="G149" s="13">
        <f t="shared" si="10"/>
        <v>2.9033500000000001</v>
      </c>
      <c r="H149" s="13">
        <f>B149+F149</f>
        <v>68.4452</v>
      </c>
      <c r="I149" s="13">
        <f>C149+G149</f>
        <v>98.073350000000005</v>
      </c>
      <c r="J149" s="10">
        <f t="shared" si="11"/>
        <v>1.4328740364554418</v>
      </c>
      <c r="K149" s="10">
        <f t="shared" si="7"/>
        <v>1.433459725467358</v>
      </c>
      <c r="L149" s="13">
        <f t="shared" si="8"/>
        <v>98.115630073284805</v>
      </c>
      <c r="M149" s="13">
        <f t="shared" si="9"/>
        <v>98.073350000000005</v>
      </c>
      <c r="N149" s="13">
        <f>M149-L149</f>
        <v>-4.2280073284800324E-2</v>
      </c>
      <c r="O149" s="2">
        <f>N149/L149</f>
        <v>-4.3092087624795733E-4</v>
      </c>
    </row>
    <row r="150" spans="1:15" x14ac:dyDescent="0.25">
      <c r="A150" s="1">
        <v>46240</v>
      </c>
      <c r="B150" s="6">
        <v>66.03</v>
      </c>
      <c r="C150" s="6">
        <v>94.95</v>
      </c>
      <c r="F150" s="13">
        <f>F149+D150</f>
        <v>2.2852000000000001</v>
      </c>
      <c r="G150" s="13">
        <f t="shared" si="10"/>
        <v>2.9033500000000001</v>
      </c>
      <c r="H150" s="13">
        <f>B150+F150</f>
        <v>68.315200000000004</v>
      </c>
      <c r="I150" s="13">
        <f>C150+G150</f>
        <v>97.853350000000006</v>
      </c>
      <c r="J150" s="10">
        <f t="shared" si="11"/>
        <v>1.4323803487364453</v>
      </c>
      <c r="K150" s="10">
        <f t="shared" si="7"/>
        <v>1.4333627114000413</v>
      </c>
      <c r="L150" s="13">
        <f t="shared" si="8"/>
        <v>97.927087837247669</v>
      </c>
      <c r="M150" s="13">
        <f t="shared" si="9"/>
        <v>97.853350000000006</v>
      </c>
      <c r="N150" s="13">
        <f>M150-L150</f>
        <v>-7.3737837247662696E-2</v>
      </c>
      <c r="O150" s="2">
        <f>N150/L150</f>
        <v>-7.529871343689206E-4</v>
      </c>
    </row>
    <row r="151" spans="1:15" x14ac:dyDescent="0.25">
      <c r="A151" s="1">
        <v>46241</v>
      </c>
      <c r="B151" s="6">
        <v>66.209999999999994</v>
      </c>
      <c r="C151" s="6">
        <v>95.24</v>
      </c>
      <c r="F151" s="13">
        <f>F150+D151</f>
        <v>2.2852000000000001</v>
      </c>
      <c r="G151" s="13">
        <f t="shared" si="10"/>
        <v>2.9033500000000001</v>
      </c>
      <c r="H151" s="13">
        <f>B151+F151</f>
        <v>68.495199999999997</v>
      </c>
      <c r="I151" s="13">
        <f>C151+G151</f>
        <v>98.143349999999998</v>
      </c>
      <c r="J151" s="10">
        <f t="shared" si="11"/>
        <v>1.4328500391268293</v>
      </c>
      <c r="K151" s="10">
        <f t="shared" ref="K151:K175" si="12">AVERAGE(J132:J151)</f>
        <v>1.4333716915796806</v>
      </c>
      <c r="L151" s="13">
        <f t="shared" si="8"/>
        <v>98.178465589888106</v>
      </c>
      <c r="M151" s="13">
        <f t="shared" si="9"/>
        <v>98.143349999999998</v>
      </c>
      <c r="N151" s="13">
        <f>M151-L151</f>
        <v>-3.5115589888107479E-2</v>
      </c>
      <c r="O151" s="2">
        <f>N151/L151</f>
        <v>-3.576709992066143E-4</v>
      </c>
    </row>
    <row r="152" spans="1:15" x14ac:dyDescent="0.25">
      <c r="A152" s="1">
        <v>46244</v>
      </c>
      <c r="B152" s="6">
        <v>65.959999999999994</v>
      </c>
      <c r="C152" s="6">
        <v>94.84</v>
      </c>
      <c r="F152" s="13">
        <f>F151+D152</f>
        <v>2.2852000000000001</v>
      </c>
      <c r="G152" s="13">
        <f t="shared" si="10"/>
        <v>2.9033500000000001</v>
      </c>
      <c r="H152" s="13">
        <f>B152+F152</f>
        <v>68.245199999999997</v>
      </c>
      <c r="I152" s="13">
        <f>C152+G152</f>
        <v>97.743350000000007</v>
      </c>
      <c r="J152" s="10">
        <f t="shared" si="11"/>
        <v>1.4322377251440397</v>
      </c>
      <c r="K152" s="10">
        <f t="shared" si="12"/>
        <v>1.4333665975387355</v>
      </c>
      <c r="L152" s="13">
        <f t="shared" ref="L152:L175" si="13">K151*H152</f>
        <v>97.820737766193616</v>
      </c>
      <c r="M152" s="13">
        <f t="shared" ref="M152:M175" si="14">I152</f>
        <v>97.743350000000007</v>
      </c>
      <c r="N152" s="13">
        <f>M152-L152</f>
        <v>-7.7387766193609764E-2</v>
      </c>
      <c r="O152" s="2">
        <f>N152/L152</f>
        <v>-7.9111820214010494E-4</v>
      </c>
    </row>
    <row r="153" spans="1:15" x14ac:dyDescent="0.25">
      <c r="A153" s="1">
        <v>46245</v>
      </c>
      <c r="B153" s="6">
        <v>65.94</v>
      </c>
      <c r="C153" s="6">
        <v>94.83</v>
      </c>
      <c r="F153" s="13">
        <f>F152+D153</f>
        <v>2.2852000000000001</v>
      </c>
      <c r="G153" s="13">
        <f t="shared" si="10"/>
        <v>2.9033500000000001</v>
      </c>
      <c r="H153" s="13">
        <f>B153+F153</f>
        <v>68.225200000000001</v>
      </c>
      <c r="I153" s="13">
        <f>C153+G153</f>
        <v>97.733350000000002</v>
      </c>
      <c r="J153" s="10">
        <f t="shared" si="11"/>
        <v>1.4325110076628578</v>
      </c>
      <c r="K153" s="10">
        <f t="shared" si="12"/>
        <v>1.4333619319642106</v>
      </c>
      <c r="L153" s="13">
        <f t="shared" si="13"/>
        <v>97.791722790399746</v>
      </c>
      <c r="M153" s="13">
        <f t="shared" si="14"/>
        <v>97.733350000000002</v>
      </c>
      <c r="N153" s="13">
        <f>M153-L153</f>
        <v>-5.837279039974419E-2</v>
      </c>
      <c r="O153" s="2">
        <f>N153/L153</f>
        <v>-5.9690931639333662E-4</v>
      </c>
    </row>
    <row r="154" spans="1:15" x14ac:dyDescent="0.25">
      <c r="A154" s="1">
        <v>46246</v>
      </c>
      <c r="B154" s="6">
        <v>65.989999999999995</v>
      </c>
      <c r="C154" s="6">
        <v>94.94</v>
      </c>
      <c r="F154" s="13">
        <f>F153+D154</f>
        <v>2.2852000000000001</v>
      </c>
      <c r="G154" s="13">
        <f t="shared" si="10"/>
        <v>2.9033500000000001</v>
      </c>
      <c r="H154" s="13">
        <f>B154+F154</f>
        <v>68.275199999999998</v>
      </c>
      <c r="I154" s="13">
        <f>C154+G154</f>
        <v>97.843350000000001</v>
      </c>
      <c r="J154" s="10">
        <f t="shared" si="11"/>
        <v>1.4330730631327335</v>
      </c>
      <c r="K154" s="10">
        <f t="shared" si="12"/>
        <v>1.4333627063051142</v>
      </c>
      <c r="L154" s="13">
        <f t="shared" si="13"/>
        <v>97.86307257724286</v>
      </c>
      <c r="M154" s="13">
        <f t="shared" si="14"/>
        <v>97.843350000000001</v>
      </c>
      <c r="N154" s="13">
        <f>M154-L154</f>
        <v>-1.9722577242859529E-2</v>
      </c>
      <c r="O154" s="2">
        <f>N154/L154</f>
        <v>-2.0153237297237519E-4</v>
      </c>
    </row>
    <row r="155" spans="1:15" x14ac:dyDescent="0.25">
      <c r="A155" s="1">
        <v>46247</v>
      </c>
      <c r="B155" s="6">
        <v>66.28</v>
      </c>
      <c r="C155" s="6">
        <v>95.36</v>
      </c>
      <c r="F155" s="13">
        <f>F154+D155</f>
        <v>2.2852000000000001</v>
      </c>
      <c r="G155" s="13">
        <f t="shared" si="10"/>
        <v>2.9033500000000001</v>
      </c>
      <c r="H155" s="13">
        <f>B155+F155</f>
        <v>68.565200000000004</v>
      </c>
      <c r="I155" s="13">
        <f>C155+G155</f>
        <v>98.263350000000003</v>
      </c>
      <c r="J155" s="10">
        <f t="shared" si="11"/>
        <v>1.4331373641439096</v>
      </c>
      <c r="K155" s="10">
        <f t="shared" si="12"/>
        <v>1.4334270456139087</v>
      </c>
      <c r="L155" s="13">
        <f t="shared" si="13"/>
        <v>98.278800630351427</v>
      </c>
      <c r="M155" s="13">
        <f t="shared" si="14"/>
        <v>98.263350000000003</v>
      </c>
      <c r="N155" s="13">
        <f>M155-L155</f>
        <v>-1.5450630351423911E-2</v>
      </c>
      <c r="O155" s="2">
        <f>N155/L155</f>
        <v>-1.5721223959109138E-4</v>
      </c>
    </row>
    <row r="156" spans="1:15" x14ac:dyDescent="0.25">
      <c r="A156" s="1">
        <v>46248</v>
      </c>
      <c r="B156" s="6">
        <v>66.13</v>
      </c>
      <c r="C156" s="6">
        <v>95.05</v>
      </c>
      <c r="F156" s="13">
        <f>F155+D156</f>
        <v>2.2852000000000001</v>
      </c>
      <c r="G156" s="13">
        <f t="shared" si="10"/>
        <v>2.9033500000000001</v>
      </c>
      <c r="H156" s="13">
        <f>B156+F156</f>
        <v>68.415199999999999</v>
      </c>
      <c r="I156" s="13">
        <f>C156+G156</f>
        <v>97.95335</v>
      </c>
      <c r="J156" s="10">
        <f t="shared" si="11"/>
        <v>1.4317483541669103</v>
      </c>
      <c r="K156" s="10">
        <f t="shared" si="12"/>
        <v>1.4333820709611129</v>
      </c>
      <c r="L156" s="13">
        <f t="shared" si="13"/>
        <v>98.068198011084675</v>
      </c>
      <c r="M156" s="13">
        <f t="shared" si="14"/>
        <v>97.95335</v>
      </c>
      <c r="N156" s="13">
        <f>M156-L156</f>
        <v>-0.11484801108467479</v>
      </c>
      <c r="O156" s="2">
        <f>N156/L156</f>
        <v>-1.1711035117795627E-3</v>
      </c>
    </row>
    <row r="157" spans="1:15" x14ac:dyDescent="0.25">
      <c r="A157" s="1">
        <v>46251</v>
      </c>
      <c r="B157" s="6">
        <v>65.900000000000006</v>
      </c>
      <c r="C157" s="6">
        <v>94.7</v>
      </c>
      <c r="F157" s="13">
        <f>F156+D157</f>
        <v>2.2852000000000001</v>
      </c>
      <c r="G157" s="13">
        <f t="shared" si="10"/>
        <v>2.9033500000000001</v>
      </c>
      <c r="H157" s="13">
        <f>B157+F157</f>
        <v>68.185200000000009</v>
      </c>
      <c r="I157" s="13">
        <f>C157+G157</f>
        <v>97.603350000000006</v>
      </c>
      <c r="J157" s="10">
        <f t="shared" si="11"/>
        <v>1.4314448003379032</v>
      </c>
      <c r="K157" s="10">
        <f t="shared" si="12"/>
        <v>1.4333131938833676</v>
      </c>
      <c r="L157" s="13">
        <f t="shared" si="13"/>
        <v>97.73544318489769</v>
      </c>
      <c r="M157" s="13">
        <f t="shared" si="14"/>
        <v>97.603350000000006</v>
      </c>
      <c r="N157" s="13">
        <f>M157-L157</f>
        <v>-0.13209318489768407</v>
      </c>
      <c r="O157" s="2">
        <f>N157/L157</f>
        <v>-1.3515381993796025E-3</v>
      </c>
    </row>
    <row r="158" spans="1:15" x14ac:dyDescent="0.25">
      <c r="A158" s="1">
        <v>46252</v>
      </c>
      <c r="B158" s="6">
        <v>65.83</v>
      </c>
      <c r="C158" s="6">
        <v>94.64</v>
      </c>
      <c r="F158" s="13">
        <f>F157+D158</f>
        <v>2.2852000000000001</v>
      </c>
      <c r="G158" s="13">
        <f t="shared" si="10"/>
        <v>2.9033500000000001</v>
      </c>
      <c r="H158" s="13">
        <f>B158+F158</f>
        <v>68.115200000000002</v>
      </c>
      <c r="I158" s="13">
        <f>C158+G158</f>
        <v>97.543350000000004</v>
      </c>
      <c r="J158" s="10">
        <f t="shared" si="11"/>
        <v>1.4320349936578032</v>
      </c>
      <c r="K158" s="10">
        <f t="shared" si="12"/>
        <v>1.4332035075168663</v>
      </c>
      <c r="L158" s="13">
        <f t="shared" si="13"/>
        <v>97.630414864004365</v>
      </c>
      <c r="M158" s="13">
        <f t="shared" si="14"/>
        <v>97.543350000000004</v>
      </c>
      <c r="N158" s="13">
        <f>M158-L158</f>
        <v>-8.7064864004361198E-2</v>
      </c>
      <c r="O158" s="2">
        <f>N158/L158</f>
        <v>-8.9178012943650199E-4</v>
      </c>
    </row>
    <row r="159" spans="1:15" x14ac:dyDescent="0.25">
      <c r="A159" s="1">
        <v>46253</v>
      </c>
      <c r="B159" s="6">
        <v>66.11</v>
      </c>
      <c r="C159" s="6">
        <v>95.11</v>
      </c>
      <c r="F159" s="13">
        <f>F158+D159</f>
        <v>2.2852000000000001</v>
      </c>
      <c r="G159" s="13">
        <f t="shared" si="10"/>
        <v>2.9033500000000001</v>
      </c>
      <c r="H159" s="13">
        <f>B159+F159</f>
        <v>68.395200000000003</v>
      </c>
      <c r="I159" s="13">
        <f>C159+G159</f>
        <v>98.013350000000003</v>
      </c>
      <c r="J159" s="10">
        <f t="shared" si="11"/>
        <v>1.4330442779610264</v>
      </c>
      <c r="K159" s="10">
        <f t="shared" si="12"/>
        <v>1.4331676761127814</v>
      </c>
      <c r="L159" s="13">
        <f t="shared" si="13"/>
        <v>98.024240537317581</v>
      </c>
      <c r="M159" s="13">
        <f t="shared" si="14"/>
        <v>98.013350000000003</v>
      </c>
      <c r="N159" s="13">
        <f>M159-L159</f>
        <v>-1.0890537317578719E-2</v>
      </c>
      <c r="O159" s="2">
        <f>N159/L159</f>
        <v>-1.1110045084646913E-4</v>
      </c>
    </row>
    <row r="160" spans="1:15" x14ac:dyDescent="0.25">
      <c r="A160" s="1">
        <v>46254</v>
      </c>
      <c r="B160" s="6">
        <v>65.88</v>
      </c>
      <c r="C160" s="6">
        <v>94.67</v>
      </c>
      <c r="F160" s="13">
        <f>F159+D160</f>
        <v>2.2852000000000001</v>
      </c>
      <c r="G160" s="13">
        <f t="shared" si="10"/>
        <v>2.9033500000000001</v>
      </c>
      <c r="H160" s="13">
        <f>B160+F160</f>
        <v>68.165199999999999</v>
      </c>
      <c r="I160" s="13">
        <f>C160+G160</f>
        <v>97.573350000000005</v>
      </c>
      <c r="J160" s="10">
        <f t="shared" si="11"/>
        <v>1.4314246859101125</v>
      </c>
      <c r="K160" s="10">
        <f t="shared" si="12"/>
        <v>1.4330408853235228</v>
      </c>
      <c r="L160" s="13">
        <f t="shared" si="13"/>
        <v>97.69216127576297</v>
      </c>
      <c r="M160" s="13">
        <f t="shared" si="14"/>
        <v>97.573350000000005</v>
      </c>
      <c r="N160" s="13">
        <f>M160-L160</f>
        <v>-0.11881127576296535</v>
      </c>
      <c r="O160" s="2">
        <f>N160/L160</f>
        <v>-1.2161802360742934E-3</v>
      </c>
    </row>
    <row r="161" spans="1:15" x14ac:dyDescent="0.25">
      <c r="A161" s="1">
        <v>46255</v>
      </c>
      <c r="B161" s="6">
        <v>65.91</v>
      </c>
      <c r="C161" s="6">
        <v>94.72</v>
      </c>
      <c r="F161" s="13">
        <f>F160+D161</f>
        <v>2.2852000000000001</v>
      </c>
      <c r="G161" s="13">
        <f t="shared" si="10"/>
        <v>2.9033500000000001</v>
      </c>
      <c r="H161" s="13">
        <f>B161+F161</f>
        <v>68.1952</v>
      </c>
      <c r="I161" s="13">
        <f>C161+G161</f>
        <v>97.623350000000002</v>
      </c>
      <c r="J161" s="10">
        <f t="shared" si="11"/>
        <v>1.4315281720707616</v>
      </c>
      <c r="K161" s="10">
        <f t="shared" si="12"/>
        <v>1.4329756314646414</v>
      </c>
      <c r="L161" s="13">
        <f t="shared" si="13"/>
        <v>97.726509782814702</v>
      </c>
      <c r="M161" s="13">
        <f t="shared" si="14"/>
        <v>97.623350000000002</v>
      </c>
      <c r="N161" s="13">
        <f>M161-L161</f>
        <v>-0.10315978281469995</v>
      </c>
      <c r="O161" s="2">
        <f>N161/L161</f>
        <v>-1.0555967162232647E-3</v>
      </c>
    </row>
    <row r="162" spans="1:15" x14ac:dyDescent="0.25">
      <c r="A162" s="1">
        <v>46258</v>
      </c>
      <c r="B162" s="6">
        <v>65.989999999999995</v>
      </c>
      <c r="C162" s="6">
        <v>94.85</v>
      </c>
      <c r="F162" s="13">
        <f>F161+D162</f>
        <v>2.2852000000000001</v>
      </c>
      <c r="G162" s="13">
        <f t="shared" si="10"/>
        <v>2.9033500000000001</v>
      </c>
      <c r="H162" s="13">
        <f>B162+F162</f>
        <v>68.275199999999998</v>
      </c>
      <c r="I162" s="13">
        <f>C162+G162</f>
        <v>97.753349999999998</v>
      </c>
      <c r="J162" s="10">
        <f t="shared" si="11"/>
        <v>1.4317548685320585</v>
      </c>
      <c r="K162" s="10">
        <f t="shared" si="12"/>
        <v>1.4328654882367222</v>
      </c>
      <c r="L162" s="13">
        <f t="shared" si="13"/>
        <v>97.836697833374672</v>
      </c>
      <c r="M162" s="13">
        <f t="shared" si="14"/>
        <v>97.753349999999998</v>
      </c>
      <c r="N162" s="13">
        <f>M162-L162</f>
        <v>-8.3347833374673996E-2</v>
      </c>
      <c r="O162" s="2">
        <f>N162/L162</f>
        <v>-8.519076708478386E-4</v>
      </c>
    </row>
    <row r="163" spans="1:15" x14ac:dyDescent="0.25">
      <c r="A163" s="1">
        <v>46259</v>
      </c>
      <c r="B163" s="6">
        <v>66.31</v>
      </c>
      <c r="C163" s="6">
        <v>95.38</v>
      </c>
      <c r="F163" s="13">
        <f>F162+D163</f>
        <v>2.2852000000000001</v>
      </c>
      <c r="G163" s="13">
        <f t="shared" si="10"/>
        <v>2.9033500000000001</v>
      </c>
      <c r="H163" s="13">
        <f>B163+F163</f>
        <v>68.595200000000006</v>
      </c>
      <c r="I163" s="13">
        <f>C163+G163</f>
        <v>98.283349999999999</v>
      </c>
      <c r="J163" s="10">
        <f t="shared" si="11"/>
        <v>1.4328021494215337</v>
      </c>
      <c r="K163" s="10">
        <f t="shared" si="12"/>
        <v>1.4327546268322819</v>
      </c>
      <c r="L163" s="13">
        <f t="shared" si="13"/>
        <v>98.28769473869562</v>
      </c>
      <c r="M163" s="13">
        <f t="shared" si="14"/>
        <v>98.283349999999999</v>
      </c>
      <c r="N163" s="13">
        <f>M163-L163</f>
        <v>-4.344738695621686E-3</v>
      </c>
      <c r="O163" s="2">
        <f>N163/L163</f>
        <v>-4.4204299502317795E-5</v>
      </c>
    </row>
    <row r="164" spans="1:15" x14ac:dyDescent="0.25">
      <c r="A164" s="1">
        <v>46260</v>
      </c>
      <c r="B164" s="6">
        <v>66.239999999999995</v>
      </c>
      <c r="C164" s="6">
        <v>95.31</v>
      </c>
      <c r="F164" s="13">
        <f>F163+D164</f>
        <v>2.2852000000000001</v>
      </c>
      <c r="G164" s="13">
        <f t="shared" si="10"/>
        <v>2.9033500000000001</v>
      </c>
      <c r="H164" s="13">
        <f>B164+F164</f>
        <v>68.525199999999998</v>
      </c>
      <c r="I164" s="13">
        <f>C164+G164</f>
        <v>98.213350000000005</v>
      </c>
      <c r="J164" s="10">
        <f t="shared" si="11"/>
        <v>1.433244266342893</v>
      </c>
      <c r="K164" s="10">
        <f t="shared" si="12"/>
        <v>1.4327178392835695</v>
      </c>
      <c r="L164" s="13">
        <f t="shared" si="13"/>
        <v>98.179797354607487</v>
      </c>
      <c r="M164" s="13">
        <f t="shared" si="14"/>
        <v>98.213350000000005</v>
      </c>
      <c r="N164" s="13">
        <f>M164-L164</f>
        <v>3.3552645392518343E-2</v>
      </c>
      <c r="O164" s="2">
        <f>N164/L164</f>
        <v>3.4174694078184249E-4</v>
      </c>
    </row>
    <row r="165" spans="1:15" x14ac:dyDescent="0.25">
      <c r="A165" s="1">
        <v>46261</v>
      </c>
      <c r="B165" s="6">
        <v>66.2</v>
      </c>
      <c r="C165" s="6">
        <v>95.13</v>
      </c>
      <c r="F165" s="13">
        <f>F164+D165</f>
        <v>2.2852000000000001</v>
      </c>
      <c r="G165" s="13">
        <f t="shared" si="10"/>
        <v>2.9033500000000001</v>
      </c>
      <c r="H165" s="13">
        <f>B165+F165</f>
        <v>68.485200000000006</v>
      </c>
      <c r="I165" s="13">
        <f>C165+G165</f>
        <v>98.033349999999999</v>
      </c>
      <c r="J165" s="10">
        <f t="shared" si="11"/>
        <v>1.4314530730727222</v>
      </c>
      <c r="K165" s="10">
        <f t="shared" si="12"/>
        <v>1.4325593555888454</v>
      </c>
      <c r="L165" s="13">
        <f t="shared" si="13"/>
        <v>98.11996776690313</v>
      </c>
      <c r="M165" s="13">
        <f t="shared" si="14"/>
        <v>98.033349999999999</v>
      </c>
      <c r="N165" s="13">
        <f>M165-L165</f>
        <v>-8.661776690313161E-2</v>
      </c>
      <c r="O165" s="2">
        <f>N165/L165</f>
        <v>-8.8277410678429377E-4</v>
      </c>
    </row>
    <row r="166" spans="1:15" x14ac:dyDescent="0.25">
      <c r="A166" s="1">
        <v>46262</v>
      </c>
      <c r="B166" s="6">
        <v>66.010000000000005</v>
      </c>
      <c r="C166" s="6">
        <v>94.89</v>
      </c>
      <c r="F166" s="13">
        <f>F165+D166</f>
        <v>2.2852000000000001</v>
      </c>
      <c r="G166" s="13">
        <f t="shared" si="10"/>
        <v>2.9033500000000001</v>
      </c>
      <c r="H166" s="13">
        <f>B166+F166</f>
        <v>68.295200000000008</v>
      </c>
      <c r="I166" s="13">
        <f>C166+G166</f>
        <v>97.793350000000004</v>
      </c>
      <c r="J166" s="10">
        <f t="shared" si="11"/>
        <v>1.4319212770443603</v>
      </c>
      <c r="K166" s="10">
        <f t="shared" si="12"/>
        <v>1.4324884331061434</v>
      </c>
      <c r="L166" s="13">
        <f t="shared" si="13"/>
        <v>97.836927701811319</v>
      </c>
      <c r="M166" s="13">
        <f t="shared" si="14"/>
        <v>97.793350000000004</v>
      </c>
      <c r="N166" s="13">
        <f>M166-L166</f>
        <v>-4.3577701811315706E-2</v>
      </c>
      <c r="O166" s="2">
        <f>N166/L166</f>
        <v>-4.4541159289192321E-4</v>
      </c>
    </row>
    <row r="167" spans="1:15" x14ac:dyDescent="0.25">
      <c r="A167" s="1">
        <v>46265</v>
      </c>
      <c r="B167" s="6">
        <v>65.94</v>
      </c>
      <c r="C167" s="6">
        <v>94.77</v>
      </c>
      <c r="F167" s="13">
        <f>F166+D167</f>
        <v>2.2852000000000001</v>
      </c>
      <c r="G167" s="13">
        <f t="shared" si="10"/>
        <v>2.9033500000000001</v>
      </c>
      <c r="H167" s="13">
        <f>B167+F167</f>
        <v>68.225200000000001</v>
      </c>
      <c r="I167" s="13">
        <f>C167+G167</f>
        <v>97.673349999999999</v>
      </c>
      <c r="J167" s="10">
        <f t="shared" si="11"/>
        <v>1.4316315672214959</v>
      </c>
      <c r="K167" s="10">
        <f t="shared" si="12"/>
        <v>1.432366462612086</v>
      </c>
      <c r="L167" s="13">
        <f t="shared" si="13"/>
        <v>97.731809846353258</v>
      </c>
      <c r="M167" s="13">
        <f t="shared" si="14"/>
        <v>97.673349999999999</v>
      </c>
      <c r="N167" s="13">
        <f>M167-L167</f>
        <v>-5.8459846353258627E-2</v>
      </c>
      <c r="O167" s="2">
        <f>N167/L167</f>
        <v>-5.9816600598274893E-4</v>
      </c>
    </row>
    <row r="168" spans="1:15" x14ac:dyDescent="0.25">
      <c r="A168" s="1">
        <v>46266</v>
      </c>
      <c r="B168" s="6">
        <v>65.430000000000007</v>
      </c>
      <c r="C168" s="6">
        <v>94.09</v>
      </c>
      <c r="D168" s="13">
        <v>0.32069999999999999</v>
      </c>
      <c r="E168" s="13">
        <v>0.41367700000000002</v>
      </c>
      <c r="F168" s="13">
        <f>F167+D168</f>
        <v>2.6059000000000001</v>
      </c>
      <c r="G168" s="13">
        <f t="shared" si="10"/>
        <v>3.3170269999999999</v>
      </c>
      <c r="H168" s="13">
        <f>B168+F168</f>
        <v>68.035900000000012</v>
      </c>
      <c r="I168" s="13">
        <f>C168+G168</f>
        <v>97.407026999999999</v>
      </c>
      <c r="J168" s="10">
        <f t="shared" si="11"/>
        <v>1.4317004258046118</v>
      </c>
      <c r="K168" s="10">
        <f t="shared" si="12"/>
        <v>1.4322398247973225</v>
      </c>
      <c r="L168" s="13">
        <f t="shared" si="13"/>
        <v>97.45234141362964</v>
      </c>
      <c r="M168" s="13">
        <f t="shared" si="14"/>
        <v>97.407026999999999</v>
      </c>
      <c r="N168" s="13">
        <f>M168-L168</f>
        <v>-4.5314413629640171E-2</v>
      </c>
      <c r="O168" s="2">
        <f>N168/L168</f>
        <v>-4.6499050687049494E-4</v>
      </c>
    </row>
    <row r="169" spans="1:15" x14ac:dyDescent="0.25">
      <c r="A169" s="1">
        <v>46267</v>
      </c>
      <c r="B169" s="6">
        <v>65.45</v>
      </c>
      <c r="C169" s="6">
        <v>94.15</v>
      </c>
      <c r="F169" s="13">
        <f>F168+D169</f>
        <v>2.6059000000000001</v>
      </c>
      <c r="G169" s="13">
        <f t="shared" si="10"/>
        <v>3.3170269999999999</v>
      </c>
      <c r="H169" s="13">
        <f>B169+F169</f>
        <v>68.055900000000008</v>
      </c>
      <c r="I169" s="13">
        <f>C169+G169</f>
        <v>97.467027000000002</v>
      </c>
      <c r="J169" s="10">
        <f t="shared" si="11"/>
        <v>1.4321613115100966</v>
      </c>
      <c r="K169" s="10">
        <f t="shared" si="12"/>
        <v>1.4322041885500549</v>
      </c>
      <c r="L169" s="13">
        <f t="shared" si="13"/>
        <v>97.472370292424117</v>
      </c>
      <c r="M169" s="13">
        <f t="shared" si="14"/>
        <v>97.467027000000002</v>
      </c>
      <c r="N169" s="13">
        <f>M169-L169</f>
        <v>-5.3432924241150204E-3</v>
      </c>
      <c r="O169" s="2">
        <f>N169/L169</f>
        <v>-5.4818533786392585E-5</v>
      </c>
    </row>
    <row r="170" spans="1:15" x14ac:dyDescent="0.25">
      <c r="A170" s="1">
        <v>46268</v>
      </c>
      <c r="B170" s="6">
        <v>65.62</v>
      </c>
      <c r="C170" s="6">
        <v>94.45</v>
      </c>
      <c r="F170" s="13">
        <f>F169+D170</f>
        <v>2.6059000000000001</v>
      </c>
      <c r="G170" s="13">
        <f t="shared" si="10"/>
        <v>3.3170269999999999</v>
      </c>
      <c r="H170" s="13">
        <f>B170+F170</f>
        <v>68.22590000000001</v>
      </c>
      <c r="I170" s="13">
        <f>C170+G170</f>
        <v>97.767026999999999</v>
      </c>
      <c r="J170" s="10">
        <f t="shared" si="11"/>
        <v>1.4329899202502274</v>
      </c>
      <c r="K170" s="10">
        <f t="shared" si="12"/>
        <v>1.4322346671257442</v>
      </c>
      <c r="L170" s="13">
        <f t="shared" si="13"/>
        <v>97.713419747597214</v>
      </c>
      <c r="M170" s="13">
        <f t="shared" si="14"/>
        <v>97.767026999999999</v>
      </c>
      <c r="N170" s="13">
        <f>M170-L170</f>
        <v>5.3607252402784411E-2</v>
      </c>
      <c r="O170" s="2">
        <f>N170/L170</f>
        <v>5.4861709416431127E-4</v>
      </c>
    </row>
    <row r="171" spans="1:15" x14ac:dyDescent="0.25">
      <c r="A171" s="1">
        <v>46269</v>
      </c>
      <c r="B171" s="6">
        <v>65.67</v>
      </c>
      <c r="C171" s="6">
        <v>94.47</v>
      </c>
      <c r="F171" s="13">
        <f>F170+D171</f>
        <v>2.6059000000000001</v>
      </c>
      <c r="G171" s="13">
        <f t="shared" si="10"/>
        <v>3.3170269999999999</v>
      </c>
      <c r="H171" s="13">
        <f>B171+F171</f>
        <v>68.275900000000007</v>
      </c>
      <c r="I171" s="13">
        <f>C171+G171</f>
        <v>97.787026999999995</v>
      </c>
      <c r="J171" s="10">
        <f t="shared" si="11"/>
        <v>1.4322334381531403</v>
      </c>
      <c r="K171" s="10">
        <f t="shared" si="12"/>
        <v>1.43220383707706</v>
      </c>
      <c r="L171" s="13">
        <f t="shared" si="13"/>
        <v>97.787110909210611</v>
      </c>
      <c r="M171" s="13">
        <f t="shared" si="14"/>
        <v>97.787026999999995</v>
      </c>
      <c r="N171" s="13">
        <f>M171-L171</f>
        <v>-8.3909210616184282E-5</v>
      </c>
      <c r="O171" s="2">
        <f>N171/L171</f>
        <v>-8.5808047539198577E-7</v>
      </c>
    </row>
    <row r="172" spans="1:15" x14ac:dyDescent="0.25">
      <c r="A172" s="1">
        <v>46273</v>
      </c>
      <c r="B172" s="6">
        <v>65.56</v>
      </c>
      <c r="C172" s="6">
        <v>94.36</v>
      </c>
      <c r="F172" s="13">
        <f>F171+D172</f>
        <v>2.6059000000000001</v>
      </c>
      <c r="G172" s="13">
        <f t="shared" si="10"/>
        <v>3.3170269999999999</v>
      </c>
      <c r="H172" s="13">
        <f>B172+F172</f>
        <v>68.165900000000008</v>
      </c>
      <c r="I172" s="13">
        <f>C172+G172</f>
        <v>97.677026999999995</v>
      </c>
      <c r="J172" s="10">
        <f t="shared" si="11"/>
        <v>1.4329309376095669</v>
      </c>
      <c r="K172" s="10">
        <f t="shared" si="12"/>
        <v>1.4322384977003362</v>
      </c>
      <c r="L172" s="13">
        <f t="shared" si="13"/>
        <v>97.627463537811181</v>
      </c>
      <c r="M172" s="13">
        <f t="shared" si="14"/>
        <v>97.677026999999995</v>
      </c>
      <c r="N172" s="13">
        <f>M172-L172</f>
        <v>4.9563462188814356E-2</v>
      </c>
      <c r="O172" s="2">
        <f>N172/L172</f>
        <v>5.0767950321292936E-4</v>
      </c>
    </row>
    <row r="173" spans="1:15" x14ac:dyDescent="0.25">
      <c r="A173" s="1">
        <v>46274</v>
      </c>
      <c r="B173" s="6">
        <v>65.38</v>
      </c>
      <c r="C173" s="6">
        <v>94.17</v>
      </c>
      <c r="F173" s="13">
        <f>F172+D173</f>
        <v>2.6059000000000001</v>
      </c>
      <c r="G173" s="13">
        <f t="shared" si="10"/>
        <v>3.3170269999999999</v>
      </c>
      <c r="H173" s="13">
        <f>B173+F173</f>
        <v>67.985900000000001</v>
      </c>
      <c r="I173" s="13">
        <f>C173+G173</f>
        <v>97.487026999999998</v>
      </c>
      <c r="J173" s="10">
        <f t="shared" si="11"/>
        <v>1.4339300796194505</v>
      </c>
      <c r="K173" s="10">
        <f t="shared" si="12"/>
        <v>1.4323094512981656</v>
      </c>
      <c r="L173" s="13">
        <f t="shared" si="13"/>
        <v>97.37202328080528</v>
      </c>
      <c r="M173" s="13">
        <f t="shared" si="14"/>
        <v>97.487026999999998</v>
      </c>
      <c r="N173" s="13">
        <f>M173-L173</f>
        <v>0.11500371919471775</v>
      </c>
      <c r="O173" s="2">
        <f>N173/L173</f>
        <v>1.1810755833127292E-3</v>
      </c>
    </row>
    <row r="174" spans="1:15" x14ac:dyDescent="0.25">
      <c r="A174" s="1">
        <v>46275</v>
      </c>
      <c r="B174" s="6">
        <v>64.92</v>
      </c>
      <c r="C174" s="6">
        <v>93.41</v>
      </c>
      <c r="F174" s="13">
        <f>F173+D174</f>
        <v>2.6059000000000001</v>
      </c>
      <c r="G174" s="13">
        <f t="shared" si="10"/>
        <v>3.3170269999999999</v>
      </c>
      <c r="H174" s="13">
        <f>B174+F174</f>
        <v>67.525900000000007</v>
      </c>
      <c r="I174" s="13">
        <f>C174+G174</f>
        <v>96.727026999999993</v>
      </c>
      <c r="J174" s="10">
        <f t="shared" si="11"/>
        <v>1.4324433587704863</v>
      </c>
      <c r="K174" s="10">
        <f t="shared" si="12"/>
        <v>1.4322779660800535</v>
      </c>
      <c r="L174" s="13">
        <f t="shared" si="13"/>
        <v>96.717984777414813</v>
      </c>
      <c r="M174" s="13">
        <f t="shared" si="14"/>
        <v>96.727026999999993</v>
      </c>
      <c r="N174" s="13">
        <f>M174-L174</f>
        <v>9.0422225851796156E-3</v>
      </c>
      <c r="O174" s="2">
        <f>N174/L174</f>
        <v>9.3490601628944594E-5</v>
      </c>
    </row>
    <row r="175" spans="1:15" x14ac:dyDescent="0.25">
      <c r="A175" s="1">
        <v>46276</v>
      </c>
      <c r="B175" s="6">
        <v>64.88</v>
      </c>
      <c r="C175" s="6">
        <v>93.34</v>
      </c>
      <c r="F175" s="13">
        <f>F174+D175</f>
        <v>2.6059000000000001</v>
      </c>
      <c r="G175" s="13">
        <f t="shared" si="10"/>
        <v>3.3170269999999999</v>
      </c>
      <c r="H175" s="13">
        <f>B175+F175</f>
        <v>67.485900000000001</v>
      </c>
      <c r="I175" s="13">
        <f>C175+G175</f>
        <v>96.657026999999999</v>
      </c>
      <c r="J175" s="10">
        <f t="shared" si="11"/>
        <v>1.4322551377398833</v>
      </c>
      <c r="K175" s="10">
        <f t="shared" si="12"/>
        <v>1.4322338547598521</v>
      </c>
      <c r="L175" s="13">
        <f t="shared" si="13"/>
        <v>96.658567591081891</v>
      </c>
      <c r="M175" s="13">
        <f t="shared" si="14"/>
        <v>96.657026999999999</v>
      </c>
      <c r="N175" s="13">
        <f>M175-L175</f>
        <v>-1.5405910818913071E-3</v>
      </c>
      <c r="O175" s="2">
        <f>N175/L175</f>
        <v>-1.5938484505676125E-5</v>
      </c>
    </row>
  </sheetData>
  <conditionalFormatting sqref="O23:O175">
    <cfRule type="cellIs" dxfId="9" priority="7" operator="lessThan">
      <formula>$Q$3</formula>
    </cfRule>
    <cfRule type="cellIs" dxfId="8" priority="8" operator="greaterThan">
      <formula>$Q$4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6D1D-33EC-4F76-9CFF-3DEFACADE6AC}">
  <dimension ref="A1:T175"/>
  <sheetViews>
    <sheetView workbookViewId="0">
      <selection activeCell="Q3" sqref="Q3:Q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8" width="14.42578125" style="8" bestFit="1" customWidth="1"/>
    <col min="9" max="9" width="14.28515625" style="8" bestFit="1" customWidth="1"/>
    <col min="10" max="11" width="12" style="10" bestFit="1" customWidth="1"/>
    <col min="12" max="13" width="15.140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6</v>
      </c>
      <c r="C1" s="5" t="s">
        <v>63</v>
      </c>
      <c r="D1" s="12" t="s">
        <v>81</v>
      </c>
      <c r="E1" s="12" t="s">
        <v>82</v>
      </c>
      <c r="F1" s="12" t="str">
        <f>_xlfn.CONCAT(D1," cum")</f>
        <v>CMF div cum</v>
      </c>
      <c r="G1" s="12" t="str">
        <f>_xlfn.CONCAT(E1," cum")</f>
        <v>VTEC div cum</v>
      </c>
      <c r="H1" s="7" t="str">
        <f>_xlfn.CONCAT(B1," + cum div")</f>
        <v>CMF + cum div</v>
      </c>
      <c r="I1" s="7" t="str">
        <f>_xlfn.CONCAT(C1," + cum div")</f>
        <v>VTEC + cum div</v>
      </c>
      <c r="J1" s="9" t="s">
        <v>73</v>
      </c>
      <c r="K1" s="9" t="s">
        <v>74</v>
      </c>
      <c r="L1" s="12" t="str">
        <f>_xlfn.CONCAT(B1,"*")</f>
        <v>CMF*</v>
      </c>
      <c r="M1" s="12" t="str">
        <f>_xlfn.CONCAT(C1,"*")</f>
        <v>VTEC*</v>
      </c>
      <c r="N1" s="12" t="str">
        <f>_xlfn.CONCAT(M1,"-",L1)</f>
        <v>VTEC*-CMF*</v>
      </c>
      <c r="O1" s="4" t="str">
        <f>_xlfn.CONCAT("diff/",L1)</f>
        <v>diff/CMF*</v>
      </c>
    </row>
    <row r="2" spans="1:20" x14ac:dyDescent="0.25">
      <c r="A2" s="1">
        <v>46024</v>
      </c>
      <c r="B2" s="6">
        <v>57.5</v>
      </c>
      <c r="C2" s="6">
        <v>100.3</v>
      </c>
      <c r="S2" s="16">
        <f>AVERAGE(K:K)</f>
        <v>1.7448914792296664</v>
      </c>
      <c r="T2" t="s">
        <v>92</v>
      </c>
    </row>
    <row r="3" spans="1:20" x14ac:dyDescent="0.25">
      <c r="A3" s="1">
        <v>46027</v>
      </c>
      <c r="B3" s="6">
        <v>57.56</v>
      </c>
      <c r="C3" s="6">
        <v>100.41</v>
      </c>
      <c r="F3" s="13">
        <f>F2+D3</f>
        <v>0</v>
      </c>
      <c r="G3" s="13">
        <f>G2+E3</f>
        <v>0</v>
      </c>
      <c r="H3" s="8">
        <f>B3+F3</f>
        <v>57.56</v>
      </c>
      <c r="I3" s="8">
        <f>C3+G3</f>
        <v>100.41</v>
      </c>
      <c r="J3" s="10">
        <f>I3/H3</f>
        <v>1.7444405837387074</v>
      </c>
      <c r="Q3" s="11">
        <v>-1E-3</v>
      </c>
    </row>
    <row r="4" spans="1:20" x14ac:dyDescent="0.25">
      <c r="A4" s="1">
        <v>46028</v>
      </c>
      <c r="B4" s="6">
        <v>57.62</v>
      </c>
      <c r="C4" s="6">
        <v>100.48</v>
      </c>
      <c r="F4" s="13">
        <f>F3+D4</f>
        <v>0</v>
      </c>
      <c r="G4" s="13">
        <f t="shared" ref="G4:G67" si="0">G3+E4</f>
        <v>0</v>
      </c>
      <c r="H4" s="8">
        <f>B4+F4</f>
        <v>57.62</v>
      </c>
      <c r="I4" s="8">
        <f>C4+G4</f>
        <v>100.48</v>
      </c>
      <c r="J4" s="10">
        <f t="shared" ref="J4:J67" si="1">I4/H4</f>
        <v>1.7438389448108298</v>
      </c>
      <c r="Q4" s="2">
        <v>1E-3</v>
      </c>
      <c r="S4" s="14">
        <f>MAX(K:K)</f>
        <v>1.7467904255389055</v>
      </c>
      <c r="T4" t="s">
        <v>89</v>
      </c>
    </row>
    <row r="5" spans="1:20" x14ac:dyDescent="0.25">
      <c r="A5" s="1">
        <v>46029</v>
      </c>
      <c r="B5" s="6">
        <v>57.72</v>
      </c>
      <c r="C5" s="6">
        <v>100.68</v>
      </c>
      <c r="F5" s="13">
        <f>F4+D5</f>
        <v>0</v>
      </c>
      <c r="G5" s="13">
        <f t="shared" si="0"/>
        <v>0</v>
      </c>
      <c r="H5" s="8">
        <f>B5+F5</f>
        <v>57.72</v>
      </c>
      <c r="I5" s="8">
        <f>C5+G5</f>
        <v>100.68</v>
      </c>
      <c r="J5" s="10">
        <f t="shared" si="1"/>
        <v>1.7442827442827444</v>
      </c>
      <c r="S5" s="15">
        <f>MIN(K:K)</f>
        <v>1.7439662975119776</v>
      </c>
      <c r="T5" t="s">
        <v>90</v>
      </c>
    </row>
    <row r="6" spans="1:20" x14ac:dyDescent="0.25">
      <c r="A6" s="1">
        <v>46030</v>
      </c>
      <c r="B6" s="6">
        <v>57.69</v>
      </c>
      <c r="C6" s="6">
        <v>100.67</v>
      </c>
      <c r="F6" s="13">
        <f>F5+D6</f>
        <v>0</v>
      </c>
      <c r="G6" s="13">
        <f t="shared" si="0"/>
        <v>0</v>
      </c>
      <c r="H6" s="8">
        <f>B6+F6</f>
        <v>57.69</v>
      </c>
      <c r="I6" s="8">
        <f>C6+G6</f>
        <v>100.67</v>
      </c>
      <c r="J6" s="10">
        <f t="shared" si="1"/>
        <v>1.7450164673253599</v>
      </c>
      <c r="S6" s="14">
        <f>S4-S5</f>
        <v>2.8241280269278857E-3</v>
      </c>
      <c r="T6" t="s">
        <v>91</v>
      </c>
    </row>
    <row r="7" spans="1:20" x14ac:dyDescent="0.25">
      <c r="A7" s="1">
        <v>46031</v>
      </c>
      <c r="B7" s="6">
        <v>57.78</v>
      </c>
      <c r="C7" s="6">
        <v>100.7</v>
      </c>
      <c r="F7" s="13">
        <f>F6+D7</f>
        <v>0</v>
      </c>
      <c r="G7" s="13">
        <f t="shared" si="0"/>
        <v>0</v>
      </c>
      <c r="H7" s="8">
        <f>B7+F7</f>
        <v>57.78</v>
      </c>
      <c r="I7" s="8">
        <f>C7+G7</f>
        <v>100.7</v>
      </c>
      <c r="J7" s="10">
        <f t="shared" si="1"/>
        <v>1.7428175839390794</v>
      </c>
    </row>
    <row r="8" spans="1:20" x14ac:dyDescent="0.25">
      <c r="A8" s="1">
        <v>46034</v>
      </c>
      <c r="B8" s="6">
        <v>57.78</v>
      </c>
      <c r="C8" s="6">
        <v>100.8</v>
      </c>
      <c r="F8" s="13">
        <f>F7+D8</f>
        <v>0</v>
      </c>
      <c r="G8" s="13">
        <f t="shared" si="0"/>
        <v>0</v>
      </c>
      <c r="H8" s="8">
        <f>B8+F8</f>
        <v>57.78</v>
      </c>
      <c r="I8" s="8">
        <f>C8+G8</f>
        <v>100.8</v>
      </c>
      <c r="J8" s="10">
        <f t="shared" si="1"/>
        <v>1.7445482866043613</v>
      </c>
    </row>
    <row r="9" spans="1:20" x14ac:dyDescent="0.25">
      <c r="A9" s="1">
        <v>46035</v>
      </c>
      <c r="B9" s="6">
        <v>57.79</v>
      </c>
      <c r="C9" s="6">
        <v>100.82</v>
      </c>
      <c r="F9" s="13">
        <f>F8+D9</f>
        <v>0</v>
      </c>
      <c r="G9" s="13">
        <f t="shared" si="0"/>
        <v>0</v>
      </c>
      <c r="H9" s="8">
        <f>B9+F9</f>
        <v>57.79</v>
      </c>
      <c r="I9" s="8">
        <f>C9+G9</f>
        <v>100.82</v>
      </c>
      <c r="J9" s="10">
        <f t="shared" si="1"/>
        <v>1.7445924900501817</v>
      </c>
    </row>
    <row r="10" spans="1:20" x14ac:dyDescent="0.25">
      <c r="A10" s="1">
        <v>46036</v>
      </c>
      <c r="B10" s="6">
        <v>57.83</v>
      </c>
      <c r="C10" s="6">
        <v>100.92</v>
      </c>
      <c r="F10" s="13">
        <f>F9+D10</f>
        <v>0</v>
      </c>
      <c r="G10" s="13">
        <f t="shared" si="0"/>
        <v>0</v>
      </c>
      <c r="H10" s="8">
        <f>B10+F10</f>
        <v>57.83</v>
      </c>
      <c r="I10" s="8">
        <f>C10+G10</f>
        <v>100.92</v>
      </c>
      <c r="J10" s="10">
        <f t="shared" si="1"/>
        <v>1.7451149922185718</v>
      </c>
    </row>
    <row r="11" spans="1:20" x14ac:dyDescent="0.25">
      <c r="A11" s="1">
        <v>46037</v>
      </c>
      <c r="B11" s="6">
        <v>57.87</v>
      </c>
      <c r="C11" s="6">
        <v>100.91</v>
      </c>
      <c r="F11" s="13">
        <f>F10+D11</f>
        <v>0</v>
      </c>
      <c r="G11" s="13">
        <f t="shared" si="0"/>
        <v>0</v>
      </c>
      <c r="H11" s="8">
        <f>B11+F11</f>
        <v>57.87</v>
      </c>
      <c r="I11" s="8">
        <f>C11+G11</f>
        <v>100.91</v>
      </c>
      <c r="J11" s="10">
        <f t="shared" si="1"/>
        <v>1.7437359599101434</v>
      </c>
    </row>
    <row r="12" spans="1:20" x14ac:dyDescent="0.25">
      <c r="A12" s="1">
        <v>46038</v>
      </c>
      <c r="B12" s="6">
        <v>57.85</v>
      </c>
      <c r="C12" s="6">
        <v>100.9</v>
      </c>
      <c r="F12" s="13">
        <f>F11+D12</f>
        <v>0</v>
      </c>
      <c r="G12" s="13">
        <f t="shared" si="0"/>
        <v>0</v>
      </c>
      <c r="H12" s="8">
        <f>B12+F12</f>
        <v>57.85</v>
      </c>
      <c r="I12" s="8">
        <f>C12+G12</f>
        <v>100.9</v>
      </c>
      <c r="J12" s="10">
        <f t="shared" si="1"/>
        <v>1.7441659464131374</v>
      </c>
    </row>
    <row r="13" spans="1:20" x14ac:dyDescent="0.25">
      <c r="A13" s="1">
        <v>46042</v>
      </c>
      <c r="B13" s="6">
        <v>57.6</v>
      </c>
      <c r="C13" s="6">
        <v>100.61</v>
      </c>
      <c r="F13" s="13">
        <f>F12+D13</f>
        <v>0</v>
      </c>
      <c r="G13" s="13">
        <f t="shared" si="0"/>
        <v>0</v>
      </c>
      <c r="H13" s="8">
        <f>B13+F13</f>
        <v>57.6</v>
      </c>
      <c r="I13" s="8">
        <f>C13+G13</f>
        <v>100.61</v>
      </c>
      <c r="J13" s="10">
        <f t="shared" si="1"/>
        <v>1.7467013888888889</v>
      </c>
    </row>
    <row r="14" spans="1:20" x14ac:dyDescent="0.25">
      <c r="A14" s="1">
        <v>46043</v>
      </c>
      <c r="B14" s="6">
        <v>57.76</v>
      </c>
      <c r="C14" s="6">
        <v>100.7</v>
      </c>
      <c r="F14" s="13">
        <f>F13+D14</f>
        <v>0</v>
      </c>
      <c r="G14" s="13">
        <f t="shared" si="0"/>
        <v>0</v>
      </c>
      <c r="H14" s="8">
        <f>B14+F14</f>
        <v>57.76</v>
      </c>
      <c r="I14" s="8">
        <f>C14+G14</f>
        <v>100.7</v>
      </c>
      <c r="J14" s="10">
        <f t="shared" si="1"/>
        <v>1.743421052631579</v>
      </c>
    </row>
    <row r="15" spans="1:20" x14ac:dyDescent="0.25">
      <c r="A15" s="1">
        <v>46044</v>
      </c>
      <c r="B15" s="6">
        <v>57.74</v>
      </c>
      <c r="C15" s="6">
        <v>100.64</v>
      </c>
      <c r="F15" s="13">
        <f>F14+D15</f>
        <v>0</v>
      </c>
      <c r="G15" s="13">
        <f t="shared" si="0"/>
        <v>0</v>
      </c>
      <c r="H15" s="8">
        <f>B15+F15</f>
        <v>57.74</v>
      </c>
      <c r="I15" s="8">
        <f>C15+G15</f>
        <v>100.64</v>
      </c>
      <c r="J15" s="10">
        <f t="shared" si="1"/>
        <v>1.7429857984066504</v>
      </c>
    </row>
    <row r="16" spans="1:20" x14ac:dyDescent="0.25">
      <c r="A16" s="1">
        <v>46045</v>
      </c>
      <c r="B16" s="6">
        <v>57.74</v>
      </c>
      <c r="C16" s="6">
        <v>100.66</v>
      </c>
      <c r="F16" s="13">
        <f>F15+D16</f>
        <v>0</v>
      </c>
      <c r="G16" s="13">
        <f t="shared" si="0"/>
        <v>0</v>
      </c>
      <c r="H16" s="8">
        <f>B16+F16</f>
        <v>57.74</v>
      </c>
      <c r="I16" s="8">
        <f>C16+G16</f>
        <v>100.66</v>
      </c>
      <c r="J16" s="10">
        <f t="shared" si="1"/>
        <v>1.743332178732248</v>
      </c>
    </row>
    <row r="17" spans="1:15" x14ac:dyDescent="0.25">
      <c r="A17" s="1">
        <v>46048</v>
      </c>
      <c r="B17" s="6">
        <v>57.79</v>
      </c>
      <c r="C17" s="6">
        <v>100.75</v>
      </c>
      <c r="F17" s="13">
        <f>F16+D17</f>
        <v>0</v>
      </c>
      <c r="G17" s="13">
        <f t="shared" si="0"/>
        <v>0</v>
      </c>
      <c r="H17" s="8">
        <f>B17+F17</f>
        <v>57.79</v>
      </c>
      <c r="I17" s="8">
        <f>C17+G17</f>
        <v>100.75</v>
      </c>
      <c r="J17" s="10">
        <f t="shared" si="1"/>
        <v>1.7433812078214224</v>
      </c>
    </row>
    <row r="18" spans="1:15" x14ac:dyDescent="0.25">
      <c r="A18" s="1">
        <v>46049</v>
      </c>
      <c r="B18" s="6">
        <v>57.78</v>
      </c>
      <c r="C18" s="6">
        <v>100.79</v>
      </c>
      <c r="F18" s="13">
        <f>F17+D18</f>
        <v>0</v>
      </c>
      <c r="G18" s="13">
        <f t="shared" si="0"/>
        <v>0</v>
      </c>
      <c r="H18" s="8">
        <f>B18+F18</f>
        <v>57.78</v>
      </c>
      <c r="I18" s="8">
        <f>C18+G18</f>
        <v>100.79</v>
      </c>
      <c r="J18" s="10">
        <f t="shared" si="1"/>
        <v>1.7443752163378332</v>
      </c>
    </row>
    <row r="19" spans="1:15" x14ac:dyDescent="0.25">
      <c r="A19" s="1">
        <v>46050</v>
      </c>
      <c r="B19" s="6">
        <v>57.82</v>
      </c>
      <c r="C19" s="6">
        <v>100.86</v>
      </c>
      <c r="F19" s="13">
        <f>F18+D19</f>
        <v>0</v>
      </c>
      <c r="G19" s="13">
        <f t="shared" si="0"/>
        <v>0</v>
      </c>
      <c r="H19" s="8">
        <f>B19+F19</f>
        <v>57.82</v>
      </c>
      <c r="I19" s="8">
        <f>C19+G19</f>
        <v>100.86</v>
      </c>
      <c r="J19" s="10">
        <f t="shared" si="1"/>
        <v>1.7443791075752335</v>
      </c>
    </row>
    <row r="20" spans="1:15" x14ac:dyDescent="0.25">
      <c r="A20" s="1">
        <v>46051</v>
      </c>
      <c r="B20" s="6">
        <v>57.83</v>
      </c>
      <c r="C20" s="6">
        <v>100.85</v>
      </c>
      <c r="F20" s="13">
        <f>F19+D20</f>
        <v>0</v>
      </c>
      <c r="G20" s="13">
        <f t="shared" si="0"/>
        <v>0</v>
      </c>
      <c r="H20" s="8">
        <f>B20+F20</f>
        <v>57.83</v>
      </c>
      <c r="I20" s="8">
        <f>C20+G20</f>
        <v>100.85</v>
      </c>
      <c r="J20" s="10">
        <f t="shared" si="1"/>
        <v>1.7439045478125539</v>
      </c>
    </row>
    <row r="21" spans="1:15" x14ac:dyDescent="0.25">
      <c r="A21" s="1">
        <v>46052</v>
      </c>
      <c r="B21" s="6">
        <v>57.9</v>
      </c>
      <c r="C21" s="6">
        <v>100.96</v>
      </c>
      <c r="F21" s="13">
        <f>F20+D21</f>
        <v>0</v>
      </c>
      <c r="G21" s="13">
        <f t="shared" si="0"/>
        <v>0</v>
      </c>
      <c r="H21" s="8">
        <f>B21+F21</f>
        <v>57.9</v>
      </c>
      <c r="I21" s="8">
        <f>C21+G21</f>
        <v>100.96</v>
      </c>
      <c r="J21" s="10">
        <f t="shared" si="1"/>
        <v>1.7436960276338513</v>
      </c>
    </row>
    <row r="22" spans="1:15" x14ac:dyDescent="0.25">
      <c r="A22" s="1">
        <v>46055</v>
      </c>
      <c r="B22" s="6">
        <v>57.75</v>
      </c>
      <c r="C22" s="6">
        <v>100.75</v>
      </c>
      <c r="D22" s="13">
        <v>0.13797699999999999</v>
      </c>
      <c r="E22" s="13">
        <v>0.25080000000000002</v>
      </c>
      <c r="F22" s="13">
        <f>F21+D22</f>
        <v>0.13797699999999999</v>
      </c>
      <c r="G22" s="13">
        <f t="shared" si="0"/>
        <v>0.25080000000000002</v>
      </c>
      <c r="H22" s="8">
        <f>B22+F22</f>
        <v>57.887976999999999</v>
      </c>
      <c r="I22" s="8">
        <f>C22+G22</f>
        <v>101.0008</v>
      </c>
      <c r="J22" s="10">
        <f t="shared" si="1"/>
        <v>1.7447629928404649</v>
      </c>
      <c r="K22" s="10">
        <f>AVERAGE(J3:J22)</f>
        <v>1.744174675898692</v>
      </c>
    </row>
    <row r="23" spans="1:15" x14ac:dyDescent="0.25">
      <c r="A23" s="1">
        <v>46056</v>
      </c>
      <c r="B23" s="6">
        <v>57.79</v>
      </c>
      <c r="C23" s="6">
        <v>100.81</v>
      </c>
      <c r="F23" s="13">
        <f>F22+D23</f>
        <v>0.13797699999999999</v>
      </c>
      <c r="G23" s="13">
        <f t="shared" si="0"/>
        <v>0.25080000000000002</v>
      </c>
      <c r="H23" s="8">
        <f>B23+F23</f>
        <v>57.927976999999998</v>
      </c>
      <c r="I23" s="8">
        <f>C23+G23</f>
        <v>101.0608</v>
      </c>
      <c r="J23" s="10">
        <f t="shared" si="1"/>
        <v>1.744593980901491</v>
      </c>
      <c r="K23" s="10">
        <f t="shared" ref="K23:K86" si="2">AVERAGE(J4:J23)</f>
        <v>1.7441823457568315</v>
      </c>
      <c r="L23" s="13">
        <f>K22*H23</f>
        <v>101.03651050944188</v>
      </c>
      <c r="M23" s="13">
        <f>I23</f>
        <v>101.0608</v>
      </c>
      <c r="N23" s="13">
        <f>M23-L23</f>
        <v>2.4289490558118132E-2</v>
      </c>
      <c r="O23" s="2">
        <f>N23/L23</f>
        <v>2.4040310216224533E-4</v>
      </c>
    </row>
    <row r="24" spans="1:15" x14ac:dyDescent="0.25">
      <c r="A24" s="1">
        <v>46057</v>
      </c>
      <c r="B24" s="6">
        <v>57.83</v>
      </c>
      <c r="C24" s="6">
        <v>100.9</v>
      </c>
      <c r="F24" s="13">
        <f>F23+D24</f>
        <v>0.13797699999999999</v>
      </c>
      <c r="G24" s="13">
        <f t="shared" si="0"/>
        <v>0.25080000000000002</v>
      </c>
      <c r="H24" s="8">
        <f>B24+F24</f>
        <v>57.967976999999998</v>
      </c>
      <c r="I24" s="8">
        <f>C24+G24</f>
        <v>101.1508</v>
      </c>
      <c r="J24" s="10">
        <f t="shared" si="1"/>
        <v>1.7449427293279531</v>
      </c>
      <c r="K24" s="10">
        <f t="shared" si="2"/>
        <v>1.7442375349826875</v>
      </c>
      <c r="L24" s="13">
        <f t="shared" ref="L24:L87" si="3">K23*H24</f>
        <v>101.10672210263806</v>
      </c>
      <c r="M24" s="13">
        <f t="shared" ref="M24:M87" si="4">I24</f>
        <v>101.1508</v>
      </c>
      <c r="N24" s="13">
        <f>M24-L24</f>
        <v>4.4077897361944451E-2</v>
      </c>
      <c r="O24" s="2">
        <f>N24/L24</f>
        <v>4.3595417243572548E-4</v>
      </c>
    </row>
    <row r="25" spans="1:15" x14ac:dyDescent="0.25">
      <c r="A25" s="1">
        <v>46058</v>
      </c>
      <c r="B25" s="6">
        <v>57.92</v>
      </c>
      <c r="C25" s="6">
        <v>101.04</v>
      </c>
      <c r="F25" s="13">
        <f>F24+D25</f>
        <v>0.13797699999999999</v>
      </c>
      <c r="G25" s="13">
        <f t="shared" si="0"/>
        <v>0.25080000000000002</v>
      </c>
      <c r="H25" s="8">
        <f>B25+F25</f>
        <v>58.057977000000001</v>
      </c>
      <c r="I25" s="8">
        <f>C25+G25</f>
        <v>101.2908</v>
      </c>
      <c r="J25" s="10">
        <f t="shared" si="1"/>
        <v>1.7446491461457572</v>
      </c>
      <c r="K25" s="10">
        <f t="shared" si="2"/>
        <v>1.744255855075838</v>
      </c>
      <c r="L25" s="13">
        <f t="shared" si="3"/>
        <v>101.26690268856157</v>
      </c>
      <c r="M25" s="13">
        <f t="shared" si="4"/>
        <v>101.2908</v>
      </c>
      <c r="N25" s="13">
        <f>M25-L25</f>
        <v>2.3897311438432212E-2</v>
      </c>
      <c r="O25" s="2">
        <f>N25/L25</f>
        <v>2.359834339154869E-4</v>
      </c>
    </row>
    <row r="26" spans="1:15" x14ac:dyDescent="0.25">
      <c r="A26" s="1">
        <v>46059</v>
      </c>
      <c r="B26" s="6">
        <v>57.93</v>
      </c>
      <c r="C26" s="6">
        <v>101.03</v>
      </c>
      <c r="F26" s="13">
        <f>F25+D26</f>
        <v>0.13797699999999999</v>
      </c>
      <c r="G26" s="13">
        <f t="shared" si="0"/>
        <v>0.25080000000000002</v>
      </c>
      <c r="H26" s="8">
        <f>B26+F26</f>
        <v>58.067976999999999</v>
      </c>
      <c r="I26" s="8">
        <f>C26+G26</f>
        <v>101.2808</v>
      </c>
      <c r="J26" s="10">
        <f t="shared" si="1"/>
        <v>1.7441764847430452</v>
      </c>
      <c r="K26" s="10">
        <f t="shared" si="2"/>
        <v>1.7442138559467222</v>
      </c>
      <c r="L26" s="13">
        <f t="shared" si="3"/>
        <v>101.2854088746591</v>
      </c>
      <c r="M26" s="13">
        <f t="shared" si="4"/>
        <v>101.2808</v>
      </c>
      <c r="N26" s="13">
        <f>M26-L26</f>
        <v>-4.6088746590982055E-3</v>
      </c>
      <c r="O26" s="2">
        <f>N26/L26</f>
        <v>-4.5503836241621903E-5</v>
      </c>
    </row>
    <row r="27" spans="1:15" x14ac:dyDescent="0.25">
      <c r="A27" s="1">
        <v>46062</v>
      </c>
      <c r="B27" s="6">
        <v>57.96</v>
      </c>
      <c r="C27" s="6">
        <v>101.09</v>
      </c>
      <c r="F27" s="13">
        <f>F26+D27</f>
        <v>0.13797699999999999</v>
      </c>
      <c r="G27" s="13">
        <f t="shared" si="0"/>
        <v>0.25080000000000002</v>
      </c>
      <c r="H27" s="8">
        <f>B27+F27</f>
        <v>58.097977</v>
      </c>
      <c r="I27" s="8">
        <f>C27+G27</f>
        <v>101.3408</v>
      </c>
      <c r="J27" s="10">
        <f t="shared" si="1"/>
        <v>1.7443085841009576</v>
      </c>
      <c r="K27" s="10">
        <f t="shared" si="2"/>
        <v>1.7442884059548163</v>
      </c>
      <c r="L27" s="13">
        <f t="shared" si="3"/>
        <v>101.33529648587398</v>
      </c>
      <c r="M27" s="13">
        <f t="shared" si="4"/>
        <v>101.3408</v>
      </c>
      <c r="N27" s="13">
        <f>M27-L27</f>
        <v>5.5035141260191267E-3</v>
      </c>
      <c r="O27" s="2">
        <f>N27/L27</f>
        <v>5.430994250642282E-5</v>
      </c>
    </row>
    <row r="28" spans="1:15" x14ac:dyDescent="0.25">
      <c r="A28" s="1">
        <v>46063</v>
      </c>
      <c r="B28" s="6">
        <v>58.05</v>
      </c>
      <c r="C28" s="6">
        <v>101.16</v>
      </c>
      <c r="F28" s="13">
        <f>F27+D28</f>
        <v>0.13797699999999999</v>
      </c>
      <c r="G28" s="13">
        <f t="shared" si="0"/>
        <v>0.25080000000000002</v>
      </c>
      <c r="H28" s="8">
        <f>B28+F28</f>
        <v>58.187976999999997</v>
      </c>
      <c r="I28" s="8">
        <f>C28+G28</f>
        <v>101.41079999999999</v>
      </c>
      <c r="J28" s="10">
        <f t="shared" si="1"/>
        <v>1.7428136400067664</v>
      </c>
      <c r="K28" s="10">
        <f t="shared" si="2"/>
        <v>1.7442016736249364</v>
      </c>
      <c r="L28" s="13">
        <f t="shared" si="3"/>
        <v>101.4966136470655</v>
      </c>
      <c r="M28" s="13">
        <f t="shared" si="4"/>
        <v>101.41079999999999</v>
      </c>
      <c r="N28" s="13">
        <f>M28-L28</f>
        <v>-8.5813647065506871E-2</v>
      </c>
      <c r="O28" s="2">
        <f>N28/L28</f>
        <v>-8.4548285880657007E-4</v>
      </c>
    </row>
    <row r="29" spans="1:15" x14ac:dyDescent="0.25">
      <c r="A29" s="1">
        <v>46064</v>
      </c>
      <c r="B29" s="6">
        <v>58</v>
      </c>
      <c r="C29" s="6">
        <v>101.11</v>
      </c>
      <c r="F29" s="13">
        <f>F28+D29</f>
        <v>0.13797699999999999</v>
      </c>
      <c r="G29" s="13">
        <f t="shared" si="0"/>
        <v>0.25080000000000002</v>
      </c>
      <c r="H29" s="8">
        <f>B29+F29</f>
        <v>58.137976999999999</v>
      </c>
      <c r="I29" s="8">
        <f>C29+G29</f>
        <v>101.3608</v>
      </c>
      <c r="J29" s="10">
        <f t="shared" si="1"/>
        <v>1.7434524768551889</v>
      </c>
      <c r="K29" s="10">
        <f t="shared" si="2"/>
        <v>1.7441446729651868</v>
      </c>
      <c r="L29" s="13">
        <f t="shared" si="3"/>
        <v>101.40435678456805</v>
      </c>
      <c r="M29" s="13">
        <f t="shared" si="4"/>
        <v>101.3608</v>
      </c>
      <c r="N29" s="13">
        <f>M29-L29</f>
        <v>-4.3556784568053786E-2</v>
      </c>
      <c r="O29" s="2">
        <f>N29/L29</f>
        <v>-4.2953563287807724E-4</v>
      </c>
    </row>
    <row r="30" spans="1:15" x14ac:dyDescent="0.25">
      <c r="A30" s="1">
        <v>46065</v>
      </c>
      <c r="B30" s="6">
        <v>58.11</v>
      </c>
      <c r="C30" s="6">
        <v>101.29</v>
      </c>
      <c r="F30" s="13">
        <f>F29+D30</f>
        <v>0.13797699999999999</v>
      </c>
      <c r="G30" s="13">
        <f t="shared" si="0"/>
        <v>0.25080000000000002</v>
      </c>
      <c r="H30" s="8">
        <f>B30+F30</f>
        <v>58.247976999999999</v>
      </c>
      <c r="I30" s="8">
        <f>C30+G30</f>
        <v>101.5408</v>
      </c>
      <c r="J30" s="10">
        <f t="shared" si="1"/>
        <v>1.7432502419783611</v>
      </c>
      <c r="K30" s="10">
        <f t="shared" si="2"/>
        <v>1.744051435453176</v>
      </c>
      <c r="L30" s="13">
        <f t="shared" si="3"/>
        <v>101.59289879554872</v>
      </c>
      <c r="M30" s="13">
        <f t="shared" si="4"/>
        <v>101.5408</v>
      </c>
      <c r="N30" s="13">
        <f>M30-L30</f>
        <v>-5.2098795548715771E-2</v>
      </c>
      <c r="O30" s="2">
        <f>N30/L30</f>
        <v>-5.1281926361371308E-4</v>
      </c>
    </row>
    <row r="31" spans="1:15" x14ac:dyDescent="0.25">
      <c r="A31" s="1">
        <v>46066</v>
      </c>
      <c r="B31" s="6">
        <v>58.16</v>
      </c>
      <c r="C31" s="6">
        <v>101.41</v>
      </c>
      <c r="F31" s="13">
        <f>F30+D31</f>
        <v>0.13797699999999999</v>
      </c>
      <c r="G31" s="13">
        <f t="shared" si="0"/>
        <v>0.25080000000000002</v>
      </c>
      <c r="H31" s="8">
        <f>B31+F31</f>
        <v>58.297976999999996</v>
      </c>
      <c r="I31" s="8">
        <f>C31+G31</f>
        <v>101.66079999999999</v>
      </c>
      <c r="J31" s="10">
        <f t="shared" si="1"/>
        <v>1.7438135117450131</v>
      </c>
      <c r="K31" s="10">
        <f t="shared" si="2"/>
        <v>1.7440553130449192</v>
      </c>
      <c r="L31" s="13">
        <f t="shared" si="3"/>
        <v>101.67467047086623</v>
      </c>
      <c r="M31" s="13">
        <f t="shared" si="4"/>
        <v>101.66079999999999</v>
      </c>
      <c r="N31" s="13">
        <f>M31-L31</f>
        <v>-1.3870470866237383E-2</v>
      </c>
      <c r="O31" s="2">
        <f>N31/L31</f>
        <v>-1.3642012117670758E-4</v>
      </c>
    </row>
    <row r="32" spans="1:15" x14ac:dyDescent="0.25">
      <c r="A32" s="1">
        <v>46070</v>
      </c>
      <c r="B32" s="6">
        <v>58.18</v>
      </c>
      <c r="C32" s="6">
        <v>101.47</v>
      </c>
      <c r="F32" s="13">
        <f>F31+D32</f>
        <v>0.13797699999999999</v>
      </c>
      <c r="G32" s="13">
        <f t="shared" si="0"/>
        <v>0.25080000000000002</v>
      </c>
      <c r="H32" s="8">
        <f>B32+F32</f>
        <v>58.317976999999999</v>
      </c>
      <c r="I32" s="8">
        <f>C32+G32</f>
        <v>101.7208</v>
      </c>
      <c r="J32" s="10">
        <f t="shared" si="1"/>
        <v>1.744244317665546</v>
      </c>
      <c r="K32" s="10">
        <f t="shared" si="2"/>
        <v>1.7440592316075403</v>
      </c>
      <c r="L32" s="13">
        <f t="shared" si="3"/>
        <v>101.7097776328814</v>
      </c>
      <c r="M32" s="13">
        <f t="shared" si="4"/>
        <v>101.7208</v>
      </c>
      <c r="N32" s="13">
        <f>M32-L32</f>
        <v>1.1022367118599163E-2</v>
      </c>
      <c r="O32" s="2">
        <f>N32/L32</f>
        <v>1.0837077196633041E-4</v>
      </c>
    </row>
    <row r="33" spans="1:15" x14ac:dyDescent="0.25">
      <c r="A33" s="1">
        <v>46071</v>
      </c>
      <c r="B33" s="6">
        <v>58.16</v>
      </c>
      <c r="C33" s="6">
        <v>101.47</v>
      </c>
      <c r="F33" s="13">
        <f>F32+D33</f>
        <v>0.13797699999999999</v>
      </c>
      <c r="G33" s="13">
        <f t="shared" si="0"/>
        <v>0.25080000000000002</v>
      </c>
      <c r="H33" s="8">
        <f>B33+F33</f>
        <v>58.297976999999996</v>
      </c>
      <c r="I33" s="8">
        <f>C33+G33</f>
        <v>101.7208</v>
      </c>
      <c r="J33" s="10">
        <f t="shared" si="1"/>
        <v>1.7448427069776367</v>
      </c>
      <c r="K33" s="10">
        <f t="shared" si="2"/>
        <v>1.7439662975119776</v>
      </c>
      <c r="L33" s="13">
        <f t="shared" si="3"/>
        <v>101.67512497089405</v>
      </c>
      <c r="M33" s="13">
        <f t="shared" si="4"/>
        <v>101.7208</v>
      </c>
      <c r="N33" s="13">
        <f>M33-L33</f>
        <v>4.5675029105950671E-2</v>
      </c>
      <c r="O33" s="2">
        <f>N33/L33</f>
        <v>4.4922520743422543E-4</v>
      </c>
    </row>
    <row r="34" spans="1:15" x14ac:dyDescent="0.25">
      <c r="A34" s="1">
        <v>46072</v>
      </c>
      <c r="B34" s="6">
        <v>58.18</v>
      </c>
      <c r="C34" s="6">
        <v>101.46</v>
      </c>
      <c r="F34" s="13">
        <f>F33+D34</f>
        <v>0.13797699999999999</v>
      </c>
      <c r="G34" s="13">
        <f t="shared" si="0"/>
        <v>0.25080000000000002</v>
      </c>
      <c r="H34" s="8">
        <f>B34+F34</f>
        <v>58.317976999999999</v>
      </c>
      <c r="I34" s="8">
        <f>C34+G34</f>
        <v>101.71079999999999</v>
      </c>
      <c r="J34" s="10">
        <f t="shared" si="1"/>
        <v>1.7440728439534174</v>
      </c>
      <c r="K34" s="10">
        <f t="shared" si="2"/>
        <v>1.7439988870780698</v>
      </c>
      <c r="L34" s="13">
        <f t="shared" si="3"/>
        <v>101.70458642707867</v>
      </c>
      <c r="M34" s="13">
        <f t="shared" si="4"/>
        <v>101.71079999999999</v>
      </c>
      <c r="N34" s="13">
        <f>M34-L34</f>
        <v>6.2135729213252944E-3</v>
      </c>
      <c r="O34" s="2">
        <f>N34/L34</f>
        <v>6.1094323664354847E-5</v>
      </c>
    </row>
    <row r="35" spans="1:15" x14ac:dyDescent="0.25">
      <c r="A35" s="1">
        <v>46073</v>
      </c>
      <c r="B35" s="6">
        <v>58.22</v>
      </c>
      <c r="C35" s="6">
        <v>101.55</v>
      </c>
      <c r="F35" s="13">
        <f>F34+D35</f>
        <v>0.13797699999999999</v>
      </c>
      <c r="G35" s="13">
        <f t="shared" si="0"/>
        <v>0.25080000000000002</v>
      </c>
      <c r="H35" s="8">
        <f>B35+F35</f>
        <v>58.357976999999998</v>
      </c>
      <c r="I35" s="8">
        <f>C35+G35</f>
        <v>101.8008</v>
      </c>
      <c r="J35" s="10">
        <f t="shared" si="1"/>
        <v>1.7444196189323011</v>
      </c>
      <c r="K35" s="10">
        <f t="shared" si="2"/>
        <v>1.744070578104352</v>
      </c>
      <c r="L35" s="13">
        <f t="shared" si="3"/>
        <v>101.77624694012759</v>
      </c>
      <c r="M35" s="13">
        <f t="shared" si="4"/>
        <v>101.8008</v>
      </c>
      <c r="N35" s="13">
        <f>M35-L35</f>
        <v>2.4553059872403082E-2</v>
      </c>
      <c r="O35" s="2">
        <f>N35/L35</f>
        <v>2.4124548321031165E-4</v>
      </c>
    </row>
    <row r="36" spans="1:15" x14ac:dyDescent="0.25">
      <c r="A36" s="1">
        <v>46076</v>
      </c>
      <c r="B36" s="6">
        <v>58.24</v>
      </c>
      <c r="C36" s="6">
        <v>101.62</v>
      </c>
      <c r="F36" s="13">
        <f>F35+D36</f>
        <v>0.13797699999999999</v>
      </c>
      <c r="G36" s="13">
        <f t="shared" si="0"/>
        <v>0.25080000000000002</v>
      </c>
      <c r="H36" s="8">
        <f>B36+F36</f>
        <v>58.377977000000001</v>
      </c>
      <c r="I36" s="8">
        <f>C36+G36</f>
        <v>101.8708</v>
      </c>
      <c r="J36" s="10">
        <f t="shared" si="1"/>
        <v>1.7450210719018235</v>
      </c>
      <c r="K36" s="10">
        <f t="shared" si="2"/>
        <v>1.7441550227628309</v>
      </c>
      <c r="L36" s="13">
        <f t="shared" si="3"/>
        <v>101.81531209495256</v>
      </c>
      <c r="M36" s="13">
        <f t="shared" si="4"/>
        <v>101.8708</v>
      </c>
      <c r="N36" s="13">
        <f>M36-L36</f>
        <v>5.5487905047442609E-2</v>
      </c>
      <c r="O36" s="2">
        <f>N36/L36</f>
        <v>5.4498585630906684E-4</v>
      </c>
    </row>
    <row r="37" spans="1:15" x14ac:dyDescent="0.25">
      <c r="A37" s="1">
        <v>46077</v>
      </c>
      <c r="B37" s="6">
        <v>58.28</v>
      </c>
      <c r="C37" s="6">
        <v>101.7</v>
      </c>
      <c r="F37" s="13">
        <f>F36+D37</f>
        <v>0.13797699999999999</v>
      </c>
      <c r="G37" s="13">
        <f t="shared" si="0"/>
        <v>0.25080000000000002</v>
      </c>
      <c r="H37" s="8">
        <f>B37+F37</f>
        <v>58.417977</v>
      </c>
      <c r="I37" s="8">
        <f>C37+G37</f>
        <v>101.9508</v>
      </c>
      <c r="J37" s="10">
        <f t="shared" si="1"/>
        <v>1.7451956612602315</v>
      </c>
      <c r="K37" s="10">
        <f t="shared" si="2"/>
        <v>1.7442457454347715</v>
      </c>
      <c r="L37" s="13">
        <f t="shared" si="3"/>
        <v>101.89000800419353</v>
      </c>
      <c r="M37" s="13">
        <f t="shared" si="4"/>
        <v>101.9508</v>
      </c>
      <c r="N37" s="13">
        <f>M37-L37</f>
        <v>6.0791995806468435E-2</v>
      </c>
      <c r="O37" s="2">
        <f>N37/L37</f>
        <v>5.9664335097477268E-4</v>
      </c>
    </row>
    <row r="38" spans="1:15" x14ac:dyDescent="0.25">
      <c r="A38" s="1">
        <v>46078</v>
      </c>
      <c r="B38" s="6">
        <v>58.33</v>
      </c>
      <c r="C38" s="6">
        <v>101.69</v>
      </c>
      <c r="F38" s="13">
        <f>F37+D38</f>
        <v>0.13797699999999999</v>
      </c>
      <c r="G38" s="13">
        <f t="shared" si="0"/>
        <v>0.25080000000000002</v>
      </c>
      <c r="H38" s="8">
        <f>B38+F38</f>
        <v>58.467976999999998</v>
      </c>
      <c r="I38" s="8">
        <f>C38+G38</f>
        <v>101.9408</v>
      </c>
      <c r="J38" s="10">
        <f t="shared" si="1"/>
        <v>1.7435321902791334</v>
      </c>
      <c r="K38" s="10">
        <f t="shared" si="2"/>
        <v>1.7442035941318366</v>
      </c>
      <c r="L38" s="13">
        <f t="shared" si="3"/>
        <v>101.98252012642807</v>
      </c>
      <c r="M38" s="13">
        <f t="shared" si="4"/>
        <v>101.9408</v>
      </c>
      <c r="N38" s="13">
        <f>M38-L38</f>
        <v>-4.1720126428074877E-2</v>
      </c>
      <c r="O38" s="2">
        <f>N38/L38</f>
        <v>-4.0909095378653416E-4</v>
      </c>
    </row>
    <row r="39" spans="1:15" x14ac:dyDescent="0.25">
      <c r="A39" s="1">
        <v>46079</v>
      </c>
      <c r="B39" s="6">
        <v>58.37</v>
      </c>
      <c r="C39" s="6">
        <v>101.76</v>
      </c>
      <c r="F39" s="13">
        <f>F38+D39</f>
        <v>0.13797699999999999</v>
      </c>
      <c r="G39" s="13">
        <f t="shared" si="0"/>
        <v>0.25080000000000002</v>
      </c>
      <c r="H39" s="8">
        <f>B39+F39</f>
        <v>58.507976999999997</v>
      </c>
      <c r="I39" s="8">
        <f>C39+G39</f>
        <v>102.0108</v>
      </c>
      <c r="J39" s="10">
        <f t="shared" si="1"/>
        <v>1.7435366121101745</v>
      </c>
      <c r="K39" s="10">
        <f t="shared" si="2"/>
        <v>1.7441614693585836</v>
      </c>
      <c r="L39" s="13">
        <f t="shared" si="3"/>
        <v>102.04982376878283</v>
      </c>
      <c r="M39" s="13">
        <f t="shared" si="4"/>
        <v>102.0108</v>
      </c>
      <c r="N39" s="13">
        <f>M39-L39</f>
        <v>-3.9023768782826096E-2</v>
      </c>
      <c r="O39" s="2">
        <f>N39/L39</f>
        <v>-3.8239917857421635E-4</v>
      </c>
    </row>
    <row r="40" spans="1:15" x14ac:dyDescent="0.25">
      <c r="A40" s="1">
        <v>46080</v>
      </c>
      <c r="B40" s="6">
        <v>58.41</v>
      </c>
      <c r="C40" s="6">
        <v>101.83</v>
      </c>
      <c r="F40" s="13">
        <f>F39+D40</f>
        <v>0.13797699999999999</v>
      </c>
      <c r="G40" s="13">
        <f t="shared" si="0"/>
        <v>0.25080000000000002</v>
      </c>
      <c r="H40" s="8">
        <f>B40+F40</f>
        <v>58.547976999999996</v>
      </c>
      <c r="I40" s="8">
        <f>C40+G40</f>
        <v>102.0808</v>
      </c>
      <c r="J40" s="10">
        <f t="shared" si="1"/>
        <v>1.7435410278992218</v>
      </c>
      <c r="K40" s="10">
        <f t="shared" si="2"/>
        <v>1.7441432933629168</v>
      </c>
      <c r="L40" s="13">
        <f t="shared" si="3"/>
        <v>102.11712559229255</v>
      </c>
      <c r="M40" s="13">
        <f t="shared" si="4"/>
        <v>102.0808</v>
      </c>
      <c r="N40" s="13">
        <f>M40-L40</f>
        <v>-3.6325592292556053E-2</v>
      </c>
      <c r="O40" s="2">
        <f>N40/L40</f>
        <v>-3.5572478251677097E-4</v>
      </c>
    </row>
    <row r="41" spans="1:15" x14ac:dyDescent="0.25">
      <c r="A41" s="1">
        <v>46083</v>
      </c>
      <c r="B41" s="6">
        <v>58.09</v>
      </c>
      <c r="C41" s="6">
        <v>101.34</v>
      </c>
      <c r="D41" s="13">
        <v>0.14212</v>
      </c>
      <c r="E41" s="13">
        <v>0.25669999999999998</v>
      </c>
      <c r="F41" s="13">
        <f>F40+D41</f>
        <v>0.28009699999999998</v>
      </c>
      <c r="G41" s="13">
        <f t="shared" si="0"/>
        <v>0.50750000000000006</v>
      </c>
      <c r="H41" s="8">
        <f>B41+F41</f>
        <v>58.370097000000001</v>
      </c>
      <c r="I41" s="8">
        <f>C41+G41</f>
        <v>101.8475</v>
      </c>
      <c r="J41" s="10">
        <f t="shared" si="1"/>
        <v>1.7448574738534355</v>
      </c>
      <c r="K41" s="10">
        <f t="shared" si="2"/>
        <v>1.7442013656738962</v>
      </c>
      <c r="L41" s="13">
        <f t="shared" si="3"/>
        <v>101.80581321549292</v>
      </c>
      <c r="M41" s="13">
        <f t="shared" si="4"/>
        <v>101.8475</v>
      </c>
      <c r="N41" s="13">
        <f>M41-L41</f>
        <v>4.1686784507078301E-2</v>
      </c>
      <c r="O41" s="2">
        <f>N41/L41</f>
        <v>4.0947351816580116E-4</v>
      </c>
    </row>
    <row r="42" spans="1:15" x14ac:dyDescent="0.25">
      <c r="A42" s="1">
        <v>46084</v>
      </c>
      <c r="B42" s="6">
        <v>57.77</v>
      </c>
      <c r="C42" s="6">
        <v>100.82</v>
      </c>
      <c r="F42" s="13">
        <f>F41+D42</f>
        <v>0.28009699999999998</v>
      </c>
      <c r="G42" s="13">
        <f t="shared" si="0"/>
        <v>0.50750000000000006</v>
      </c>
      <c r="H42" s="8">
        <f>B42+F42</f>
        <v>58.050097000000001</v>
      </c>
      <c r="I42" s="8">
        <f>C42+G42</f>
        <v>101.32749999999999</v>
      </c>
      <c r="J42" s="10">
        <f t="shared" si="1"/>
        <v>1.7455181857835653</v>
      </c>
      <c r="K42" s="10">
        <f t="shared" si="2"/>
        <v>1.7442391253210512</v>
      </c>
      <c r="L42" s="13">
        <f t="shared" si="3"/>
        <v>101.25105846490214</v>
      </c>
      <c r="M42" s="13">
        <f t="shared" si="4"/>
        <v>101.32749999999999</v>
      </c>
      <c r="N42" s="13">
        <f>M42-L42</f>
        <v>7.6441535097842461E-2</v>
      </c>
      <c r="O42" s="2">
        <f>N42/L42</f>
        <v>7.5497023198370112E-4</v>
      </c>
    </row>
    <row r="43" spans="1:15" x14ac:dyDescent="0.25">
      <c r="A43" s="1">
        <v>46085</v>
      </c>
      <c r="B43" s="6">
        <v>57.82</v>
      </c>
      <c r="C43" s="6">
        <v>100.81</v>
      </c>
      <c r="F43" s="13">
        <f>F42+D43</f>
        <v>0.28009699999999998</v>
      </c>
      <c r="G43" s="13">
        <f t="shared" si="0"/>
        <v>0.50750000000000006</v>
      </c>
      <c r="H43" s="8">
        <f>B43+F43</f>
        <v>58.100096999999998</v>
      </c>
      <c r="I43" s="8">
        <f>C43+G43</f>
        <v>101.3175</v>
      </c>
      <c r="J43" s="10">
        <f t="shared" si="1"/>
        <v>1.7438439044258394</v>
      </c>
      <c r="K43" s="10">
        <f t="shared" si="2"/>
        <v>1.7442016214972687</v>
      </c>
      <c r="L43" s="13">
        <f t="shared" si="3"/>
        <v>101.34046237234823</v>
      </c>
      <c r="M43" s="13">
        <f t="shared" si="4"/>
        <v>101.3175</v>
      </c>
      <c r="N43" s="13">
        <f>M43-L43</f>
        <v>-2.2962372348231952E-2</v>
      </c>
      <c r="O43" s="2">
        <f>N43/L43</f>
        <v>-2.2658641781071515E-4</v>
      </c>
    </row>
    <row r="44" spans="1:15" x14ac:dyDescent="0.25">
      <c r="A44" s="1">
        <v>46086</v>
      </c>
      <c r="B44" s="6">
        <v>57.78</v>
      </c>
      <c r="C44" s="6">
        <v>100.74</v>
      </c>
      <c r="F44" s="13">
        <f>F43+D44</f>
        <v>0.28009699999999998</v>
      </c>
      <c r="G44" s="13">
        <f t="shared" si="0"/>
        <v>0.50750000000000006</v>
      </c>
      <c r="H44" s="8">
        <f>B44+F44</f>
        <v>58.060096999999999</v>
      </c>
      <c r="I44" s="8">
        <f>C44+G44</f>
        <v>101.24749999999999</v>
      </c>
      <c r="J44" s="10">
        <f t="shared" si="1"/>
        <v>1.7438396632372142</v>
      </c>
      <c r="K44" s="10">
        <f t="shared" si="2"/>
        <v>1.7441464681927319</v>
      </c>
      <c r="L44" s="13">
        <f t="shared" si="3"/>
        <v>101.2685153316887</v>
      </c>
      <c r="M44" s="13">
        <f t="shared" si="4"/>
        <v>101.24749999999999</v>
      </c>
      <c r="N44" s="13">
        <f>M44-L44</f>
        <v>-2.1015331688715833E-2</v>
      </c>
      <c r="O44" s="2">
        <f>N44/L44</f>
        <v>-2.0752088267398313E-4</v>
      </c>
    </row>
    <row r="45" spans="1:15" x14ac:dyDescent="0.25">
      <c r="A45" s="1">
        <v>46087</v>
      </c>
      <c r="B45" s="6">
        <v>57.73</v>
      </c>
      <c r="C45" s="6">
        <v>100.73</v>
      </c>
      <c r="F45" s="13">
        <f>F44+D45</f>
        <v>0.28009699999999998</v>
      </c>
      <c r="G45" s="13">
        <f t="shared" si="0"/>
        <v>0.50750000000000006</v>
      </c>
      <c r="H45" s="8">
        <f>B45+F45</f>
        <v>58.010096999999995</v>
      </c>
      <c r="I45" s="8">
        <f>C45+G45</f>
        <v>101.2375</v>
      </c>
      <c r="J45" s="10">
        <f t="shared" si="1"/>
        <v>1.7451703278482711</v>
      </c>
      <c r="K45" s="10">
        <f t="shared" si="2"/>
        <v>1.7441725272778577</v>
      </c>
      <c r="L45" s="13">
        <f t="shared" si="3"/>
        <v>101.17810580206778</v>
      </c>
      <c r="M45" s="13">
        <f t="shared" si="4"/>
        <v>101.2375</v>
      </c>
      <c r="N45" s="13">
        <f>M45-L45</f>
        <v>5.9394197932221005E-2</v>
      </c>
      <c r="O45" s="2">
        <f>N45/L45</f>
        <v>5.8702618972144432E-4</v>
      </c>
    </row>
    <row r="46" spans="1:15" x14ac:dyDescent="0.25">
      <c r="A46" s="1">
        <v>46090</v>
      </c>
      <c r="B46" s="6">
        <v>57.73</v>
      </c>
      <c r="C46" s="6">
        <v>100.65</v>
      </c>
      <c r="F46" s="13">
        <f>F45+D46</f>
        <v>0.28009699999999998</v>
      </c>
      <c r="G46" s="13">
        <f t="shared" si="0"/>
        <v>0.50750000000000006</v>
      </c>
      <c r="H46" s="8">
        <f>B46+F46</f>
        <v>58.010096999999995</v>
      </c>
      <c r="I46" s="8">
        <f>C46+G46</f>
        <v>101.1575</v>
      </c>
      <c r="J46" s="10">
        <f t="shared" si="1"/>
        <v>1.7437912575805554</v>
      </c>
      <c r="K46" s="10">
        <f t="shared" si="2"/>
        <v>1.7441532659197327</v>
      </c>
      <c r="L46" s="13">
        <f t="shared" si="3"/>
        <v>101.17961749212365</v>
      </c>
      <c r="M46" s="13">
        <f t="shared" si="4"/>
        <v>101.1575</v>
      </c>
      <c r="N46" s="13">
        <f>M46-L46</f>
        <v>-2.2117492123655325E-2</v>
      </c>
      <c r="O46" s="2">
        <f>N46/L46</f>
        <v>-2.1859632079926638E-4</v>
      </c>
    </row>
    <row r="47" spans="1:15" x14ac:dyDescent="0.25">
      <c r="A47" s="1">
        <v>46091</v>
      </c>
      <c r="B47" s="6">
        <v>57.61</v>
      </c>
      <c r="C47" s="6">
        <v>100.55</v>
      </c>
      <c r="F47" s="13">
        <f>F46+D47</f>
        <v>0.28009699999999998</v>
      </c>
      <c r="G47" s="13">
        <f t="shared" si="0"/>
        <v>0.50750000000000006</v>
      </c>
      <c r="H47" s="8">
        <f>B47+F47</f>
        <v>57.890096999999997</v>
      </c>
      <c r="I47" s="8">
        <f>C47+G47</f>
        <v>101.05749999999999</v>
      </c>
      <c r="J47" s="10">
        <f t="shared" si="1"/>
        <v>1.7456785398027574</v>
      </c>
      <c r="K47" s="10">
        <f t="shared" si="2"/>
        <v>1.744221763704823</v>
      </c>
      <c r="L47" s="13">
        <f t="shared" si="3"/>
        <v>100.96920174696012</v>
      </c>
      <c r="M47" s="13">
        <f t="shared" si="4"/>
        <v>101.05749999999999</v>
      </c>
      <c r="N47" s="13">
        <f>M47-L47</f>
        <v>8.8298253039866381E-2</v>
      </c>
      <c r="O47" s="2">
        <f>N47/L47</f>
        <v>8.7450679526170235E-4</v>
      </c>
    </row>
    <row r="48" spans="1:15" x14ac:dyDescent="0.25">
      <c r="A48" s="1">
        <v>46092</v>
      </c>
      <c r="B48" s="6">
        <v>57.49</v>
      </c>
      <c r="C48" s="6">
        <v>100.25</v>
      </c>
      <c r="F48" s="13">
        <f>F47+D48</f>
        <v>0.28009699999999998</v>
      </c>
      <c r="G48" s="13">
        <f t="shared" si="0"/>
        <v>0.50750000000000006</v>
      </c>
      <c r="H48" s="8">
        <f>B48+F48</f>
        <v>57.770097</v>
      </c>
      <c r="I48" s="8">
        <f>C48+G48</f>
        <v>100.75749999999999</v>
      </c>
      <c r="J48" s="10">
        <f t="shared" si="1"/>
        <v>1.7441116638595915</v>
      </c>
      <c r="K48" s="10">
        <f t="shared" si="2"/>
        <v>1.7442866648974644</v>
      </c>
      <c r="L48" s="13">
        <f t="shared" si="3"/>
        <v>100.76386047873871</v>
      </c>
      <c r="M48" s="13">
        <f t="shared" si="4"/>
        <v>100.75749999999999</v>
      </c>
      <c r="N48" s="13">
        <f>M48-L48</f>
        <v>-6.360478738713482E-3</v>
      </c>
      <c r="O48" s="2">
        <f>N48/L48</f>
        <v>-6.3122618650121592E-5</v>
      </c>
    </row>
    <row r="49" spans="1:15" x14ac:dyDescent="0.25">
      <c r="A49" s="1">
        <v>46093</v>
      </c>
      <c r="B49" s="6">
        <v>57.24</v>
      </c>
      <c r="C49" s="6">
        <v>99.87</v>
      </c>
      <c r="F49" s="13">
        <f>F48+D49</f>
        <v>0.28009699999999998</v>
      </c>
      <c r="G49" s="13">
        <f t="shared" si="0"/>
        <v>0.50750000000000006</v>
      </c>
      <c r="H49" s="8">
        <f>B49+F49</f>
        <v>57.520097</v>
      </c>
      <c r="I49" s="8">
        <f>C49+G49</f>
        <v>100.3775</v>
      </c>
      <c r="J49" s="10">
        <f t="shared" si="1"/>
        <v>1.745085721952103</v>
      </c>
      <c r="K49" s="10">
        <f t="shared" si="2"/>
        <v>1.7443683271523096</v>
      </c>
      <c r="L49" s="13">
        <f t="shared" si="3"/>
        <v>100.33153816070865</v>
      </c>
      <c r="M49" s="13">
        <f t="shared" si="4"/>
        <v>100.3775</v>
      </c>
      <c r="N49" s="13">
        <f>M49-L49</f>
        <v>4.5961839291351225E-2</v>
      </c>
      <c r="O49" s="2">
        <f>N49/L49</f>
        <v>4.5809961786622526E-4</v>
      </c>
    </row>
    <row r="50" spans="1:15" x14ac:dyDescent="0.25">
      <c r="A50" s="1">
        <v>46094</v>
      </c>
      <c r="B50" s="6">
        <v>57.44</v>
      </c>
      <c r="C50" s="6">
        <v>100.17</v>
      </c>
      <c r="F50" s="13">
        <f>F49+D50</f>
        <v>0.28009699999999998</v>
      </c>
      <c r="G50" s="13">
        <f t="shared" si="0"/>
        <v>0.50750000000000006</v>
      </c>
      <c r="H50" s="8">
        <f>B50+F50</f>
        <v>57.720096999999996</v>
      </c>
      <c r="I50" s="8">
        <f>C50+G50</f>
        <v>100.67749999999999</v>
      </c>
      <c r="J50" s="10">
        <f t="shared" si="1"/>
        <v>1.7442365005034555</v>
      </c>
      <c r="K50" s="10">
        <f t="shared" si="2"/>
        <v>1.7444176400785643</v>
      </c>
      <c r="L50" s="13">
        <f t="shared" si="3"/>
        <v>100.68510904695904</v>
      </c>
      <c r="M50" s="13">
        <f t="shared" si="4"/>
        <v>100.67749999999999</v>
      </c>
      <c r="N50" s="13">
        <f>M50-L50</f>
        <v>-7.6090469590468501E-3</v>
      </c>
      <c r="O50" s="2">
        <f>N50/L50</f>
        <v>-7.5572714089210832E-5</v>
      </c>
    </row>
    <row r="51" spans="1:15" x14ac:dyDescent="0.25">
      <c r="A51" s="1">
        <v>46097</v>
      </c>
      <c r="B51" s="6">
        <v>57.5</v>
      </c>
      <c r="C51" s="6">
        <v>100.23</v>
      </c>
      <c r="F51" s="13">
        <f>F50+D51</f>
        <v>0.28009699999999998</v>
      </c>
      <c r="G51" s="13">
        <f t="shared" si="0"/>
        <v>0.50750000000000006</v>
      </c>
      <c r="H51" s="8">
        <f>B51+F51</f>
        <v>57.780096999999998</v>
      </c>
      <c r="I51" s="8">
        <f>C51+G51</f>
        <v>100.7375</v>
      </c>
      <c r="J51" s="10">
        <f t="shared" si="1"/>
        <v>1.7434636705438553</v>
      </c>
      <c r="K51" s="10">
        <f t="shared" si="2"/>
        <v>1.7444001480185061</v>
      </c>
      <c r="L51" s="13">
        <f t="shared" si="3"/>
        <v>100.79262045225053</v>
      </c>
      <c r="M51" s="13">
        <f t="shared" si="4"/>
        <v>100.7375</v>
      </c>
      <c r="N51" s="13">
        <f>M51-L51</f>
        <v>-5.5120452250534413E-2</v>
      </c>
      <c r="O51" s="2">
        <f>N51/L51</f>
        <v>-5.4686991967479569E-4</v>
      </c>
    </row>
    <row r="52" spans="1:15" x14ac:dyDescent="0.25">
      <c r="A52" s="1">
        <v>46098</v>
      </c>
      <c r="B52" s="6">
        <v>57.51</v>
      </c>
      <c r="C52" s="6">
        <v>100.24</v>
      </c>
      <c r="F52" s="13">
        <f>F51+D52</f>
        <v>0.28009699999999998</v>
      </c>
      <c r="G52" s="13">
        <f t="shared" si="0"/>
        <v>0.50750000000000006</v>
      </c>
      <c r="H52" s="8">
        <f>B52+F52</f>
        <v>57.790096999999996</v>
      </c>
      <c r="I52" s="8">
        <f>C52+G52</f>
        <v>100.74749999999999</v>
      </c>
      <c r="J52" s="10">
        <f t="shared" si="1"/>
        <v>1.743335021569526</v>
      </c>
      <c r="K52" s="10">
        <f t="shared" si="2"/>
        <v>1.7443546832137056</v>
      </c>
      <c r="L52" s="13">
        <f t="shared" si="3"/>
        <v>100.80905376080382</v>
      </c>
      <c r="M52" s="13">
        <f t="shared" si="4"/>
        <v>100.74749999999999</v>
      </c>
      <c r="N52" s="13">
        <f>M52-L52</f>
        <v>-6.1553760803832347E-2</v>
      </c>
      <c r="O52" s="2">
        <f>N52/L52</f>
        <v>-6.1059754563201184E-4</v>
      </c>
    </row>
    <row r="53" spans="1:15" x14ac:dyDescent="0.25">
      <c r="A53" s="1">
        <v>46099</v>
      </c>
      <c r="B53" s="6">
        <v>57.39</v>
      </c>
      <c r="C53" s="6">
        <v>100.09</v>
      </c>
      <c r="F53" s="13">
        <f>F52+D53</f>
        <v>0.28009699999999998</v>
      </c>
      <c r="G53" s="13">
        <f t="shared" si="0"/>
        <v>0.50750000000000006</v>
      </c>
      <c r="H53" s="8">
        <f>B53+F53</f>
        <v>57.670096999999998</v>
      </c>
      <c r="I53" s="8">
        <f>C53+G53</f>
        <v>100.5975</v>
      </c>
      <c r="J53" s="10">
        <f t="shared" si="1"/>
        <v>1.7443615536141719</v>
      </c>
      <c r="K53" s="10">
        <f t="shared" si="2"/>
        <v>1.744330625545532</v>
      </c>
      <c r="L53" s="13">
        <f t="shared" si="3"/>
        <v>100.59710378333867</v>
      </c>
      <c r="M53" s="13">
        <f t="shared" si="4"/>
        <v>100.5975</v>
      </c>
      <c r="N53" s="13">
        <f>M53-L53</f>
        <v>3.9621666132916289E-4</v>
      </c>
      <c r="O53" s="2">
        <f>N53/L53</f>
        <v>3.9386487923401428E-6</v>
      </c>
    </row>
    <row r="54" spans="1:15" x14ac:dyDescent="0.25">
      <c r="A54" s="1">
        <v>46100</v>
      </c>
      <c r="B54" s="6">
        <v>57.3</v>
      </c>
      <c r="C54" s="6">
        <v>99.93</v>
      </c>
      <c r="F54" s="13">
        <f>F53+D54</f>
        <v>0.28009699999999998</v>
      </c>
      <c r="G54" s="13">
        <f t="shared" si="0"/>
        <v>0.50750000000000006</v>
      </c>
      <c r="H54" s="8">
        <f>B54+F54</f>
        <v>57.580096999999995</v>
      </c>
      <c r="I54" s="8">
        <f>C54+G54</f>
        <v>100.4375</v>
      </c>
      <c r="J54" s="10">
        <f t="shared" si="1"/>
        <v>1.7443093227161464</v>
      </c>
      <c r="K54" s="10">
        <f t="shared" si="2"/>
        <v>1.7443424494836688</v>
      </c>
      <c r="L54" s="13">
        <f t="shared" si="3"/>
        <v>100.4387266189824</v>
      </c>
      <c r="M54" s="13">
        <f t="shared" si="4"/>
        <v>100.4375</v>
      </c>
      <c r="N54" s="13">
        <f>M54-L54</f>
        <v>-1.2266189824003959E-3</v>
      </c>
      <c r="O54" s="2">
        <f>N54/L54</f>
        <v>-1.2212609853703295E-5</v>
      </c>
    </row>
    <row r="55" spans="1:15" x14ac:dyDescent="0.25">
      <c r="A55" s="1">
        <v>46101</v>
      </c>
      <c r="B55" s="6">
        <v>56.8</v>
      </c>
      <c r="C55" s="6">
        <v>99.14</v>
      </c>
      <c r="F55" s="13">
        <f>F54+D55</f>
        <v>0.28009699999999998</v>
      </c>
      <c r="G55" s="13">
        <f t="shared" si="0"/>
        <v>0.50750000000000006</v>
      </c>
      <c r="H55" s="8">
        <f>B55+F55</f>
        <v>57.080096999999995</v>
      </c>
      <c r="I55" s="8">
        <f>C55+G55</f>
        <v>99.647499999999994</v>
      </c>
      <c r="J55" s="10">
        <f t="shared" si="1"/>
        <v>1.7457486100628035</v>
      </c>
      <c r="K55" s="10">
        <f t="shared" si="2"/>
        <v>1.7444088990401938</v>
      </c>
      <c r="L55" s="13">
        <f t="shared" si="3"/>
        <v>99.567236217745403</v>
      </c>
      <c r="M55" s="13">
        <f t="shared" si="4"/>
        <v>99.647499999999994</v>
      </c>
      <c r="N55" s="13">
        <f>M55-L55</f>
        <v>8.026378225459041E-2</v>
      </c>
      <c r="O55" s="2">
        <f>N55/L55</f>
        <v>8.0612644584268742E-4</v>
      </c>
    </row>
    <row r="56" spans="1:15" x14ac:dyDescent="0.25">
      <c r="A56" s="1">
        <v>46104</v>
      </c>
      <c r="B56" s="6">
        <v>57.01</v>
      </c>
      <c r="C56" s="6">
        <v>99.34</v>
      </c>
      <c r="F56" s="13">
        <f>F55+D56</f>
        <v>0.28009699999999998</v>
      </c>
      <c r="G56" s="13">
        <f t="shared" si="0"/>
        <v>0.50750000000000006</v>
      </c>
      <c r="H56" s="8">
        <f>B56+F56</f>
        <v>57.290096999999996</v>
      </c>
      <c r="I56" s="8">
        <f>C56+G56</f>
        <v>99.847499999999997</v>
      </c>
      <c r="J56" s="10">
        <f t="shared" si="1"/>
        <v>1.7428404772992443</v>
      </c>
      <c r="K56" s="10">
        <f t="shared" si="2"/>
        <v>1.7442998693100644</v>
      </c>
      <c r="L56" s="13">
        <f t="shared" si="3"/>
        <v>99.9373550336759</v>
      </c>
      <c r="M56" s="13">
        <f t="shared" si="4"/>
        <v>99.847499999999997</v>
      </c>
      <c r="N56" s="13">
        <f>M56-L56</f>
        <v>-8.9855033675902973E-2</v>
      </c>
      <c r="O56" s="2">
        <f>N56/L56</f>
        <v>-8.9911358616229654E-4</v>
      </c>
    </row>
    <row r="57" spans="1:15" x14ac:dyDescent="0.25">
      <c r="A57" s="1">
        <v>46105</v>
      </c>
      <c r="B57" s="6">
        <v>56.57</v>
      </c>
      <c r="C57" s="6">
        <v>98.8</v>
      </c>
      <c r="F57" s="13">
        <f>F56+D57</f>
        <v>0.28009699999999998</v>
      </c>
      <c r="G57" s="13">
        <f t="shared" si="0"/>
        <v>0.50750000000000006</v>
      </c>
      <c r="H57" s="8">
        <f>B57+F57</f>
        <v>56.850096999999998</v>
      </c>
      <c r="I57" s="8">
        <f>C57+G57</f>
        <v>99.30749999999999</v>
      </c>
      <c r="J57" s="10">
        <f t="shared" si="1"/>
        <v>1.7468307925666335</v>
      </c>
      <c r="K57" s="10">
        <f t="shared" si="2"/>
        <v>1.7443816258753848</v>
      </c>
      <c r="L57" s="13">
        <f t="shared" si="3"/>
        <v>99.163616767364488</v>
      </c>
      <c r="M57" s="13">
        <f t="shared" si="4"/>
        <v>99.30749999999999</v>
      </c>
      <c r="N57" s="13">
        <f>M57-L57</f>
        <v>0.14388323263550262</v>
      </c>
      <c r="O57" s="2">
        <f>N57/L57</f>
        <v>1.4509679792443361E-3</v>
      </c>
    </row>
    <row r="58" spans="1:15" x14ac:dyDescent="0.25">
      <c r="A58" s="1">
        <v>46106</v>
      </c>
      <c r="B58" s="6">
        <v>56.72</v>
      </c>
      <c r="C58" s="6">
        <v>98.98</v>
      </c>
      <c r="F58" s="13">
        <f>F57+D58</f>
        <v>0.28009699999999998</v>
      </c>
      <c r="G58" s="13">
        <f t="shared" si="0"/>
        <v>0.50750000000000006</v>
      </c>
      <c r="H58" s="8">
        <f>B58+F58</f>
        <v>57.000096999999997</v>
      </c>
      <c r="I58" s="8">
        <f>C58+G58</f>
        <v>99.487499999999997</v>
      </c>
      <c r="J58" s="10">
        <f t="shared" si="1"/>
        <v>1.7453917666140113</v>
      </c>
      <c r="K58" s="10">
        <f t="shared" si="2"/>
        <v>1.7444746046921284</v>
      </c>
      <c r="L58" s="13">
        <f t="shared" si="3"/>
        <v>99.429921879914644</v>
      </c>
      <c r="M58" s="13">
        <f t="shared" si="4"/>
        <v>99.487499999999997</v>
      </c>
      <c r="N58" s="13">
        <f>M58-L58</f>
        <v>5.757812008535268E-2</v>
      </c>
      <c r="O58" s="2">
        <f>N58/L58</f>
        <v>5.7908242304456398E-4</v>
      </c>
    </row>
    <row r="59" spans="1:15" x14ac:dyDescent="0.25">
      <c r="A59" s="1">
        <v>46107</v>
      </c>
      <c r="B59" s="6">
        <v>56.61</v>
      </c>
      <c r="C59" s="6">
        <v>98.73</v>
      </c>
      <c r="F59" s="13">
        <f>F58+D59</f>
        <v>0.28009699999999998</v>
      </c>
      <c r="G59" s="13">
        <f t="shared" si="0"/>
        <v>0.50750000000000006</v>
      </c>
      <c r="H59" s="8">
        <f>B59+F59</f>
        <v>56.890096999999997</v>
      </c>
      <c r="I59" s="8">
        <f>C59+G59</f>
        <v>99.237499999999997</v>
      </c>
      <c r="J59" s="10">
        <f t="shared" si="1"/>
        <v>1.7443721356284556</v>
      </c>
      <c r="K59" s="10">
        <f t="shared" si="2"/>
        <v>1.7445163808680426</v>
      </c>
      <c r="L59" s="13">
        <f t="shared" si="3"/>
        <v>99.243329474971844</v>
      </c>
      <c r="M59" s="13">
        <f t="shared" si="4"/>
        <v>99.237499999999997</v>
      </c>
      <c r="N59" s="13">
        <f>M59-L59</f>
        <v>-5.8294749718470484E-3</v>
      </c>
      <c r="O59" s="2">
        <f>N59/L59</f>
        <v>-5.8739212022478372E-5</v>
      </c>
    </row>
    <row r="60" spans="1:15" x14ac:dyDescent="0.25">
      <c r="A60" s="1">
        <v>46108</v>
      </c>
      <c r="B60" s="6">
        <v>56.57</v>
      </c>
      <c r="C60" s="6">
        <v>98.67</v>
      </c>
      <c r="F60" s="13">
        <f>F59+D60</f>
        <v>0.28009699999999998</v>
      </c>
      <c r="G60" s="13">
        <f t="shared" si="0"/>
        <v>0.50750000000000006</v>
      </c>
      <c r="H60" s="8">
        <f>B60+F60</f>
        <v>56.850096999999998</v>
      </c>
      <c r="I60" s="8">
        <f>C60+G60</f>
        <v>99.177499999999995</v>
      </c>
      <c r="J60" s="10">
        <f t="shared" si="1"/>
        <v>1.7445440770312142</v>
      </c>
      <c r="K60" s="10">
        <f t="shared" si="2"/>
        <v>1.7445665333246425</v>
      </c>
      <c r="L60" s="13">
        <f t="shared" si="3"/>
        <v>99.175925470437164</v>
      </c>
      <c r="M60" s="13">
        <f t="shared" si="4"/>
        <v>99.177499999999995</v>
      </c>
      <c r="N60" s="13">
        <f>M60-L60</f>
        <v>1.5745295628306621E-3</v>
      </c>
      <c r="O60" s="2">
        <f>N60/L60</f>
        <v>1.5876126745094057E-5</v>
      </c>
    </row>
    <row r="61" spans="1:15" x14ac:dyDescent="0.25">
      <c r="A61" s="1">
        <v>46111</v>
      </c>
      <c r="B61" s="6">
        <v>56.72</v>
      </c>
      <c r="C61" s="6">
        <v>98.83</v>
      </c>
      <c r="F61" s="13">
        <f>F60+D61</f>
        <v>0.28009699999999998</v>
      </c>
      <c r="G61" s="13">
        <f t="shared" si="0"/>
        <v>0.50750000000000006</v>
      </c>
      <c r="H61" s="8">
        <f>B61+F61</f>
        <v>57.000096999999997</v>
      </c>
      <c r="I61" s="8">
        <f>C61+G61</f>
        <v>99.337499999999991</v>
      </c>
      <c r="J61" s="10">
        <f t="shared" si="1"/>
        <v>1.742760192144936</v>
      </c>
      <c r="K61" s="10">
        <f t="shared" si="2"/>
        <v>1.7444616692392174</v>
      </c>
      <c r="L61" s="13">
        <f t="shared" si="3"/>
        <v>99.440461622458344</v>
      </c>
      <c r="M61" s="13">
        <f t="shared" si="4"/>
        <v>99.337499999999991</v>
      </c>
      <c r="N61" s="13">
        <f>M61-L61</f>
        <v>-0.10296162245835205</v>
      </c>
      <c r="O61" s="2">
        <f>N61/L61</f>
        <v>-1.0354097394404942E-3</v>
      </c>
    </row>
    <row r="62" spans="1:15" x14ac:dyDescent="0.25">
      <c r="A62" s="1">
        <v>46112</v>
      </c>
      <c r="B62" s="6">
        <v>56.86</v>
      </c>
      <c r="C62" s="6">
        <v>99.08</v>
      </c>
      <c r="F62" s="13">
        <f>F61+D62</f>
        <v>0.28009699999999998</v>
      </c>
      <c r="G62" s="13">
        <f t="shared" si="0"/>
        <v>0.50750000000000006</v>
      </c>
      <c r="H62" s="8">
        <f>B62+F62</f>
        <v>57.140096999999997</v>
      </c>
      <c r="I62" s="8">
        <f>C62+G62</f>
        <v>99.587499999999991</v>
      </c>
      <c r="J62" s="10">
        <f t="shared" si="1"/>
        <v>1.7428654347576624</v>
      </c>
      <c r="K62" s="10">
        <f t="shared" si="2"/>
        <v>1.7443290316879225</v>
      </c>
      <c r="L62" s="13">
        <f t="shared" si="3"/>
        <v>99.678708993110789</v>
      </c>
      <c r="M62" s="13">
        <f t="shared" si="4"/>
        <v>99.587499999999991</v>
      </c>
      <c r="N62" s="13">
        <f>M62-L62</f>
        <v>-9.120899311079711E-2</v>
      </c>
      <c r="O62" s="2">
        <f>N62/L62</f>
        <v>-9.1502983969325832E-4</v>
      </c>
    </row>
    <row r="63" spans="1:15" x14ac:dyDescent="0.25">
      <c r="A63" s="1">
        <v>46113</v>
      </c>
      <c r="B63" s="6">
        <v>56.88</v>
      </c>
      <c r="C63" s="6">
        <v>99.11</v>
      </c>
      <c r="D63" s="13">
        <v>0.14038100000000001</v>
      </c>
      <c r="E63" s="13">
        <v>0.25819999999999999</v>
      </c>
      <c r="F63" s="13">
        <f>F62+D63</f>
        <v>0.42047800000000002</v>
      </c>
      <c r="G63" s="13">
        <f t="shared" si="0"/>
        <v>0.76570000000000005</v>
      </c>
      <c r="H63" s="8">
        <f>B63+F63</f>
        <v>57.300478000000005</v>
      </c>
      <c r="I63" s="8">
        <f>C63+G63</f>
        <v>99.875699999999995</v>
      </c>
      <c r="J63" s="10">
        <f t="shared" si="1"/>
        <v>1.7430168732623834</v>
      </c>
      <c r="K63" s="10">
        <f t="shared" si="2"/>
        <v>1.7442876801297498</v>
      </c>
      <c r="L63" s="13">
        <f t="shared" si="3"/>
        <v>99.950887304995121</v>
      </c>
      <c r="M63" s="13">
        <f t="shared" si="4"/>
        <v>99.875699999999995</v>
      </c>
      <c r="N63" s="13">
        <f>M63-L63</f>
        <v>-7.5187304995125714E-2</v>
      </c>
      <c r="O63" s="2">
        <f>N63/L63</f>
        <v>-7.5224249651426728E-4</v>
      </c>
    </row>
    <row r="64" spans="1:15" x14ac:dyDescent="0.25">
      <c r="A64" s="1">
        <v>46114</v>
      </c>
      <c r="B64" s="6">
        <v>56.97</v>
      </c>
      <c r="C64" s="6">
        <v>99.34</v>
      </c>
      <c r="F64" s="13">
        <f>F63+D64</f>
        <v>0.42047800000000002</v>
      </c>
      <c r="G64" s="13">
        <f t="shared" si="0"/>
        <v>0.76570000000000005</v>
      </c>
      <c r="H64" s="8">
        <f>B64+F64</f>
        <v>57.390478000000002</v>
      </c>
      <c r="I64" s="8">
        <f>C64+G64</f>
        <v>100.1057</v>
      </c>
      <c r="J64" s="10">
        <f t="shared" si="1"/>
        <v>1.7442910999974595</v>
      </c>
      <c r="K64" s="10">
        <f t="shared" si="2"/>
        <v>1.744310251967762</v>
      </c>
      <c r="L64" s="13">
        <f t="shared" si="3"/>
        <v>100.10550373215744</v>
      </c>
      <c r="M64" s="13">
        <f t="shared" si="4"/>
        <v>100.1057</v>
      </c>
      <c r="N64" s="13">
        <f>M64-L64</f>
        <v>1.9626784255422081E-4</v>
      </c>
      <c r="O64" s="2">
        <f>N64/L64</f>
        <v>1.9606099089152537E-6</v>
      </c>
    </row>
    <row r="65" spans="1:15" x14ac:dyDescent="0.25">
      <c r="A65" s="1">
        <v>46118</v>
      </c>
      <c r="B65" s="6">
        <v>56.94</v>
      </c>
      <c r="C65" s="6">
        <v>99.25</v>
      </c>
      <c r="F65" s="13">
        <f>F64+D65</f>
        <v>0.42047800000000002</v>
      </c>
      <c r="G65" s="13">
        <f t="shared" si="0"/>
        <v>0.76570000000000005</v>
      </c>
      <c r="H65" s="8">
        <f>B65+F65</f>
        <v>57.360478000000001</v>
      </c>
      <c r="I65" s="8">
        <f>C65+G65</f>
        <v>100.0157</v>
      </c>
      <c r="J65" s="10">
        <f t="shared" si="1"/>
        <v>1.7436343539536054</v>
      </c>
      <c r="K65" s="10">
        <f t="shared" si="2"/>
        <v>1.7442334532730286</v>
      </c>
      <c r="L65" s="13">
        <f t="shared" si="3"/>
        <v>100.05446983317127</v>
      </c>
      <c r="M65" s="13">
        <f t="shared" si="4"/>
        <v>100.0157</v>
      </c>
      <c r="N65" s="13">
        <f>M65-L65</f>
        <v>-3.8769833171272694E-2</v>
      </c>
      <c r="O65" s="2">
        <f>N65/L65</f>
        <v>-3.8748726804426332E-4</v>
      </c>
    </row>
    <row r="66" spans="1:15" x14ac:dyDescent="0.25">
      <c r="A66" s="1">
        <v>46119</v>
      </c>
      <c r="B66" s="6">
        <v>56.98</v>
      </c>
      <c r="C66" s="6">
        <v>99.4</v>
      </c>
      <c r="F66" s="13">
        <f>F65+D66</f>
        <v>0.42047800000000002</v>
      </c>
      <c r="G66" s="13">
        <f t="shared" si="0"/>
        <v>0.76570000000000005</v>
      </c>
      <c r="H66" s="8">
        <f>B66+F66</f>
        <v>57.400478</v>
      </c>
      <c r="I66" s="8">
        <f>C66+G66</f>
        <v>100.1657</v>
      </c>
      <c r="J66" s="10">
        <f t="shared" si="1"/>
        <v>1.7450325065237262</v>
      </c>
      <c r="K66" s="10">
        <f t="shared" si="2"/>
        <v>1.7442955157201869</v>
      </c>
      <c r="L66" s="13">
        <f t="shared" si="3"/>
        <v>100.1198339614625</v>
      </c>
      <c r="M66" s="13">
        <f t="shared" si="4"/>
        <v>100.1657</v>
      </c>
      <c r="N66" s="13">
        <f>M66-L66</f>
        <v>4.5866038537496934E-2</v>
      </c>
      <c r="O66" s="2">
        <f>N66/L66</f>
        <v>4.5811141232167244E-4</v>
      </c>
    </row>
    <row r="67" spans="1:15" x14ac:dyDescent="0.25">
      <c r="A67" s="1">
        <v>46120</v>
      </c>
      <c r="B67" s="6">
        <v>57.21</v>
      </c>
      <c r="C67" s="6">
        <v>99.73</v>
      </c>
      <c r="F67" s="13">
        <f>F66+D67</f>
        <v>0.42047800000000002</v>
      </c>
      <c r="G67" s="13">
        <f t="shared" si="0"/>
        <v>0.76570000000000005</v>
      </c>
      <c r="H67" s="8">
        <f>B67+F67</f>
        <v>57.630478000000004</v>
      </c>
      <c r="I67" s="8">
        <f>C67+G67</f>
        <v>100.4957</v>
      </c>
      <c r="J67" s="10">
        <f t="shared" si="1"/>
        <v>1.7437943166114289</v>
      </c>
      <c r="K67" s="10">
        <f t="shared" si="2"/>
        <v>1.7442013045606206</v>
      </c>
      <c r="L67" s="13">
        <f t="shared" si="3"/>
        <v>100.52458434421089</v>
      </c>
      <c r="M67" s="13">
        <f t="shared" si="4"/>
        <v>100.4957</v>
      </c>
      <c r="N67" s="13">
        <f>M67-L67</f>
        <v>-2.8884344210894142E-2</v>
      </c>
      <c r="O67" s="2">
        <f>N67/L67</f>
        <v>-2.873361217987226E-4</v>
      </c>
    </row>
    <row r="68" spans="1:15" x14ac:dyDescent="0.25">
      <c r="A68" s="1">
        <v>46121</v>
      </c>
      <c r="B68" s="6">
        <v>57.3</v>
      </c>
      <c r="C68" s="6">
        <v>99.92</v>
      </c>
      <c r="F68" s="13">
        <f>F67+D68</f>
        <v>0.42047800000000002</v>
      </c>
      <c r="G68" s="13">
        <f t="shared" ref="G68:G131" si="5">G67+E68</f>
        <v>0.76570000000000005</v>
      </c>
      <c r="H68" s="8">
        <f>B68+F68</f>
        <v>57.720478</v>
      </c>
      <c r="I68" s="8">
        <f>C68+G68</f>
        <v>100.6857</v>
      </c>
      <c r="J68" s="10">
        <f t="shared" ref="J68:J131" si="6">I68/H68</f>
        <v>1.7443670511529721</v>
      </c>
      <c r="K68" s="10">
        <f t="shared" si="2"/>
        <v>1.7442140739252896</v>
      </c>
      <c r="L68" s="13">
        <f t="shared" si="3"/>
        <v>100.6761330274626</v>
      </c>
      <c r="M68" s="13">
        <f t="shared" si="4"/>
        <v>100.6857</v>
      </c>
      <c r="N68" s="13">
        <f>M68-L68</f>
        <v>9.5669725373994652E-3</v>
      </c>
      <c r="O68" s="2">
        <f>N68/L68</f>
        <v>9.5027214988380326E-5</v>
      </c>
    </row>
    <row r="69" spans="1:15" x14ac:dyDescent="0.25">
      <c r="A69" s="1">
        <v>46122</v>
      </c>
      <c r="B69" s="6">
        <v>57.25</v>
      </c>
      <c r="C69" s="6">
        <v>99.86</v>
      </c>
      <c r="F69" s="13">
        <f>F68+D69</f>
        <v>0.42047800000000002</v>
      </c>
      <c r="G69" s="13">
        <f t="shared" si="5"/>
        <v>0.76570000000000005</v>
      </c>
      <c r="H69" s="8">
        <f>B69+F69</f>
        <v>57.670478000000003</v>
      </c>
      <c r="I69" s="8">
        <f>C69+G69</f>
        <v>100.62569999999999</v>
      </c>
      <c r="J69" s="10">
        <f t="shared" si="6"/>
        <v>1.7448390145127632</v>
      </c>
      <c r="K69" s="10">
        <f t="shared" si="2"/>
        <v>1.7442017385533224</v>
      </c>
      <c r="L69" s="13">
        <f t="shared" si="3"/>
        <v>100.58965937759879</v>
      </c>
      <c r="M69" s="13">
        <f t="shared" si="4"/>
        <v>100.62569999999999</v>
      </c>
      <c r="N69" s="13">
        <f>M69-L69</f>
        <v>3.6040622401202427E-2</v>
      </c>
      <c r="O69" s="2">
        <f>N69/L69</f>
        <v>3.5829351271497229E-4</v>
      </c>
    </row>
    <row r="70" spans="1:15" x14ac:dyDescent="0.25">
      <c r="A70" s="1">
        <v>46125</v>
      </c>
      <c r="B70" s="6">
        <v>57.34</v>
      </c>
      <c r="C70" s="6">
        <v>100.01</v>
      </c>
      <c r="F70" s="13">
        <f>F69+D70</f>
        <v>0.42047800000000002</v>
      </c>
      <c r="G70" s="13">
        <f t="shared" si="5"/>
        <v>0.76570000000000005</v>
      </c>
      <c r="H70" s="8">
        <f>B70+F70</f>
        <v>57.760478000000006</v>
      </c>
      <c r="I70" s="8">
        <f>C70+G70</f>
        <v>100.7757</v>
      </c>
      <c r="J70" s="10">
        <f t="shared" si="6"/>
        <v>1.7447172095771089</v>
      </c>
      <c r="K70" s="10">
        <f t="shared" si="2"/>
        <v>1.7442257740070051</v>
      </c>
      <c r="L70" s="13">
        <f t="shared" si="3"/>
        <v>100.74592614727094</v>
      </c>
      <c r="M70" s="13">
        <f t="shared" si="4"/>
        <v>100.7757</v>
      </c>
      <c r="N70" s="13">
        <f>M70-L70</f>
        <v>2.9773852729064743E-2</v>
      </c>
      <c r="O70" s="2">
        <f>N70/L70</f>
        <v>2.9553406145218386E-4</v>
      </c>
    </row>
    <row r="71" spans="1:15" x14ac:dyDescent="0.25">
      <c r="A71" s="1">
        <v>46126</v>
      </c>
      <c r="B71" s="6">
        <v>57.37</v>
      </c>
      <c r="C71" s="6">
        <v>100.06</v>
      </c>
      <c r="F71" s="13">
        <f>F70+D71</f>
        <v>0.42047800000000002</v>
      </c>
      <c r="G71" s="13">
        <f t="shared" si="5"/>
        <v>0.76570000000000005</v>
      </c>
      <c r="H71" s="8">
        <f>B71+F71</f>
        <v>57.790478</v>
      </c>
      <c r="I71" s="8">
        <f>C71+G71</f>
        <v>100.8257</v>
      </c>
      <c r="J71" s="10">
        <f t="shared" si="6"/>
        <v>1.7446766922398531</v>
      </c>
      <c r="K71" s="10">
        <f t="shared" si="2"/>
        <v>1.7442864250918049</v>
      </c>
      <c r="L71" s="13">
        <f t="shared" si="3"/>
        <v>100.7996412197848</v>
      </c>
      <c r="M71" s="13">
        <f t="shared" si="4"/>
        <v>100.8257</v>
      </c>
      <c r="N71" s="13">
        <f>M71-L71</f>
        <v>2.6058780215194588E-2</v>
      </c>
      <c r="O71" s="2">
        <f>N71/L71</f>
        <v>2.5852056515137485E-4</v>
      </c>
    </row>
    <row r="72" spans="1:15" x14ac:dyDescent="0.25">
      <c r="A72" s="1">
        <v>46127</v>
      </c>
      <c r="B72" s="6">
        <v>57.27</v>
      </c>
      <c r="C72" s="6">
        <v>99.96</v>
      </c>
      <c r="F72" s="13">
        <f>F71+D72</f>
        <v>0.42047800000000002</v>
      </c>
      <c r="G72" s="13">
        <f t="shared" si="5"/>
        <v>0.76570000000000005</v>
      </c>
      <c r="H72" s="8">
        <f>B72+F72</f>
        <v>57.690478000000006</v>
      </c>
      <c r="I72" s="8">
        <f>C72+G72</f>
        <v>100.72569999999999</v>
      </c>
      <c r="J72" s="10">
        <f t="shared" si="6"/>
        <v>1.7459675061108002</v>
      </c>
      <c r="K72" s="10">
        <f t="shared" si="2"/>
        <v>1.744418049318869</v>
      </c>
      <c r="L72" s="13">
        <f t="shared" si="3"/>
        <v>100.62871763245742</v>
      </c>
      <c r="M72" s="13">
        <f t="shared" si="4"/>
        <v>100.72569999999999</v>
      </c>
      <c r="N72" s="13">
        <f>M72-L72</f>
        <v>9.6982367542565839E-2</v>
      </c>
      <c r="O72" s="2">
        <f>N72/L72</f>
        <v>9.6376431921541786E-4</v>
      </c>
    </row>
    <row r="73" spans="1:15" x14ac:dyDescent="0.25">
      <c r="A73" s="1">
        <v>46128</v>
      </c>
      <c r="B73" s="6">
        <v>57.32</v>
      </c>
      <c r="C73" s="6">
        <v>99.97</v>
      </c>
      <c r="F73" s="13">
        <f>F72+D73</f>
        <v>0.42047800000000002</v>
      </c>
      <c r="G73" s="13">
        <f t="shared" si="5"/>
        <v>0.76570000000000005</v>
      </c>
      <c r="H73" s="8">
        <f>B73+F73</f>
        <v>57.740478000000003</v>
      </c>
      <c r="I73" s="8">
        <f>C73+G73</f>
        <v>100.73569999999999</v>
      </c>
      <c r="J73" s="10">
        <f t="shared" si="6"/>
        <v>1.7446287853730618</v>
      </c>
      <c r="K73" s="10">
        <f t="shared" si="2"/>
        <v>1.7444314109068131</v>
      </c>
      <c r="L73" s="13">
        <f t="shared" si="3"/>
        <v>100.72353199949907</v>
      </c>
      <c r="M73" s="13">
        <f t="shared" si="4"/>
        <v>100.73569999999999</v>
      </c>
      <c r="N73" s="13">
        <f>M73-L73</f>
        <v>1.2168000500921039E-2</v>
      </c>
      <c r="O73" s="2">
        <f>N73/L73</f>
        <v>1.2080593540923043E-4</v>
      </c>
    </row>
    <row r="74" spans="1:15" x14ac:dyDescent="0.25">
      <c r="A74" s="1">
        <v>46129</v>
      </c>
      <c r="B74" s="6">
        <v>57.46</v>
      </c>
      <c r="C74" s="6">
        <v>100.2</v>
      </c>
      <c r="F74" s="13">
        <f>F73+D74</f>
        <v>0.42047800000000002</v>
      </c>
      <c r="G74" s="13">
        <f t="shared" si="5"/>
        <v>0.76570000000000005</v>
      </c>
      <c r="H74" s="8">
        <f>B74+F74</f>
        <v>57.880478000000004</v>
      </c>
      <c r="I74" s="8">
        <f>C74+G74</f>
        <v>100.9657</v>
      </c>
      <c r="J74" s="10">
        <f t="shared" si="6"/>
        <v>1.744382622410271</v>
      </c>
      <c r="K74" s="10">
        <f t="shared" si="2"/>
        <v>1.7444350758915195</v>
      </c>
      <c r="L74" s="13">
        <f t="shared" si="3"/>
        <v>100.96852390150076</v>
      </c>
      <c r="M74" s="13">
        <f t="shared" si="4"/>
        <v>100.9657</v>
      </c>
      <c r="N74" s="13">
        <f>M74-L74</f>
        <v>-2.8239015007613943E-3</v>
      </c>
      <c r="O74" s="2">
        <f>N74/L74</f>
        <v>-2.7968136916770562E-5</v>
      </c>
    </row>
    <row r="75" spans="1:15" x14ac:dyDescent="0.25">
      <c r="A75" s="1">
        <v>46132</v>
      </c>
      <c r="B75" s="6">
        <v>57.47</v>
      </c>
      <c r="C75" s="6">
        <v>100.26</v>
      </c>
      <c r="F75" s="13">
        <f>F74+D75</f>
        <v>0.42047800000000002</v>
      </c>
      <c r="G75" s="13">
        <f t="shared" si="5"/>
        <v>0.76570000000000005</v>
      </c>
      <c r="H75" s="8">
        <f>B75+F75</f>
        <v>57.890478000000002</v>
      </c>
      <c r="I75" s="8">
        <f>C75+G75</f>
        <v>101.0257</v>
      </c>
      <c r="J75" s="10">
        <f t="shared" si="6"/>
        <v>1.7451177376700879</v>
      </c>
      <c r="K75" s="10">
        <f t="shared" si="2"/>
        <v>1.744403532271884</v>
      </c>
      <c r="L75" s="13">
        <f t="shared" si="3"/>
        <v>100.98618038332634</v>
      </c>
      <c r="M75" s="13">
        <f t="shared" si="4"/>
        <v>101.0257</v>
      </c>
      <c r="N75" s="13">
        <f>M75-L75</f>
        <v>3.951961667365822E-2</v>
      </c>
      <c r="O75" s="2">
        <f>N75/L75</f>
        <v>3.9133687920117865E-4</v>
      </c>
    </row>
    <row r="76" spans="1:15" x14ac:dyDescent="0.25">
      <c r="A76" s="1">
        <v>46133</v>
      </c>
      <c r="B76" s="6">
        <v>57.42</v>
      </c>
      <c r="C76" s="6">
        <v>100.17</v>
      </c>
      <c r="F76" s="13">
        <f>F75+D76</f>
        <v>0.42047800000000002</v>
      </c>
      <c r="G76" s="13">
        <f t="shared" si="5"/>
        <v>0.76570000000000005</v>
      </c>
      <c r="H76" s="8">
        <f>B76+F76</f>
        <v>57.840478000000004</v>
      </c>
      <c r="I76" s="8">
        <f>C76+G76</f>
        <v>100.9357</v>
      </c>
      <c r="J76" s="10">
        <f t="shared" si="6"/>
        <v>1.7450702948893333</v>
      </c>
      <c r="K76" s="10">
        <f t="shared" si="2"/>
        <v>1.7445150231513882</v>
      </c>
      <c r="L76" s="13">
        <f t="shared" si="3"/>
        <v>100.89713413149421</v>
      </c>
      <c r="M76" s="13">
        <f t="shared" si="4"/>
        <v>100.9357</v>
      </c>
      <c r="N76" s="13">
        <f>M76-L76</f>
        <v>3.8565868505784806E-2</v>
      </c>
      <c r="O76" s="2">
        <f>N76/L76</f>
        <v>3.8222957309693085E-4</v>
      </c>
    </row>
    <row r="77" spans="1:15" x14ac:dyDescent="0.25">
      <c r="A77" s="1">
        <v>46134</v>
      </c>
      <c r="B77" s="6">
        <v>57.44</v>
      </c>
      <c r="C77" s="6">
        <v>100.21</v>
      </c>
      <c r="F77" s="13">
        <f>F76+D77</f>
        <v>0.42047800000000002</v>
      </c>
      <c r="G77" s="13">
        <f t="shared" si="5"/>
        <v>0.76570000000000005</v>
      </c>
      <c r="H77" s="8">
        <f>B77+F77</f>
        <v>57.860478000000001</v>
      </c>
      <c r="I77" s="8">
        <f>C77+G77</f>
        <v>100.97569999999999</v>
      </c>
      <c r="J77" s="10">
        <f t="shared" si="6"/>
        <v>1.7451584136584559</v>
      </c>
      <c r="K77" s="10">
        <f t="shared" si="2"/>
        <v>1.7444314042059799</v>
      </c>
      <c r="L77" s="13">
        <f t="shared" si="3"/>
        <v>100.93847311772039</v>
      </c>
      <c r="M77" s="13">
        <f t="shared" si="4"/>
        <v>100.97569999999999</v>
      </c>
      <c r="N77" s="13">
        <f>M77-L77</f>
        <v>3.7226882279597362E-2</v>
      </c>
      <c r="O77" s="2">
        <f>N77/L77</f>
        <v>3.6880766203171289E-4</v>
      </c>
    </row>
    <row r="78" spans="1:15" x14ac:dyDescent="0.25">
      <c r="A78" s="1">
        <v>46135</v>
      </c>
      <c r="B78" s="6">
        <v>57.48</v>
      </c>
      <c r="C78" s="6">
        <v>100.19</v>
      </c>
      <c r="F78" s="13">
        <f>F77+D78</f>
        <v>0.42047800000000002</v>
      </c>
      <c r="G78" s="13">
        <f t="shared" si="5"/>
        <v>0.76570000000000005</v>
      </c>
      <c r="H78" s="8">
        <f>B78+F78</f>
        <v>57.900478</v>
      </c>
      <c r="I78" s="8">
        <f>C78+G78</f>
        <v>100.95569999999999</v>
      </c>
      <c r="J78" s="10">
        <f t="shared" si="6"/>
        <v>1.7436073671101644</v>
      </c>
      <c r="K78" s="10">
        <f t="shared" si="2"/>
        <v>1.7443421842307874</v>
      </c>
      <c r="L78" s="13">
        <f t="shared" si="3"/>
        <v>101.00341214173744</v>
      </c>
      <c r="M78" s="13">
        <f t="shared" si="4"/>
        <v>100.95569999999999</v>
      </c>
      <c r="N78" s="13">
        <f>M78-L78</f>
        <v>-4.7712141737449087E-2</v>
      </c>
      <c r="O78" s="2">
        <f>N78/L78</f>
        <v>-4.7238148420664187E-4</v>
      </c>
    </row>
    <row r="79" spans="1:15" x14ac:dyDescent="0.25">
      <c r="A79" s="1">
        <v>46136</v>
      </c>
      <c r="B79" s="6">
        <v>57.48</v>
      </c>
      <c r="C79" s="6">
        <v>100.25</v>
      </c>
      <c r="F79" s="13">
        <f>F78+D79</f>
        <v>0.42047800000000002</v>
      </c>
      <c r="G79" s="13">
        <f t="shared" si="5"/>
        <v>0.76570000000000005</v>
      </c>
      <c r="H79" s="8">
        <f>B79+F79</f>
        <v>57.900478</v>
      </c>
      <c r="I79" s="8">
        <f>C79+G79</f>
        <v>101.0157</v>
      </c>
      <c r="J79" s="10">
        <f t="shared" si="6"/>
        <v>1.7446436279852473</v>
      </c>
      <c r="K79" s="10">
        <f t="shared" si="2"/>
        <v>1.7443557588486267</v>
      </c>
      <c r="L79" s="13">
        <f t="shared" si="3"/>
        <v>100.99824626252665</v>
      </c>
      <c r="M79" s="13">
        <f t="shared" si="4"/>
        <v>101.0157</v>
      </c>
      <c r="N79" s="13">
        <f>M79-L79</f>
        <v>1.7453737473346109E-2</v>
      </c>
      <c r="O79" s="2">
        <f>N79/L79</f>
        <v>1.7281228258140521E-4</v>
      </c>
    </row>
    <row r="80" spans="1:15" x14ac:dyDescent="0.25">
      <c r="A80" s="1">
        <v>46139</v>
      </c>
      <c r="B80" s="6">
        <v>57.48</v>
      </c>
      <c r="C80" s="6">
        <v>100.23</v>
      </c>
      <c r="F80" s="13">
        <f>F79+D80</f>
        <v>0.42047800000000002</v>
      </c>
      <c r="G80" s="13">
        <f t="shared" si="5"/>
        <v>0.76570000000000005</v>
      </c>
      <c r="H80" s="8">
        <f>B80+F80</f>
        <v>57.900478</v>
      </c>
      <c r="I80" s="8">
        <f>C80+G80</f>
        <v>100.9957</v>
      </c>
      <c r="J80" s="10">
        <f t="shared" si="6"/>
        <v>1.7442982076935531</v>
      </c>
      <c r="K80" s="10">
        <f t="shared" si="2"/>
        <v>1.744343465381744</v>
      </c>
      <c r="L80" s="13">
        <f t="shared" si="3"/>
        <v>100.99903223938821</v>
      </c>
      <c r="M80" s="13">
        <f t="shared" si="4"/>
        <v>100.9957</v>
      </c>
      <c r="N80" s="13">
        <f>M80-L80</f>
        <v>-3.3322393882144752E-3</v>
      </c>
      <c r="O80" s="2">
        <f>N80/L80</f>
        <v>-3.2992785320124568E-5</v>
      </c>
    </row>
    <row r="81" spans="1:15" x14ac:dyDescent="0.25">
      <c r="A81" s="1">
        <v>46140</v>
      </c>
      <c r="B81" s="6">
        <v>57.42</v>
      </c>
      <c r="C81" s="6">
        <v>100.1</v>
      </c>
      <c r="F81" s="13">
        <f>F80+D81</f>
        <v>0.42047800000000002</v>
      </c>
      <c r="G81" s="13">
        <f t="shared" si="5"/>
        <v>0.76570000000000005</v>
      </c>
      <c r="H81" s="8">
        <f>B81+F81</f>
        <v>57.840478000000004</v>
      </c>
      <c r="I81" s="8">
        <f>C81+G81</f>
        <v>100.86569999999999</v>
      </c>
      <c r="J81" s="10">
        <f t="shared" si="6"/>
        <v>1.7438600697594508</v>
      </c>
      <c r="K81" s="10">
        <f t="shared" si="2"/>
        <v>1.7443984592624695</v>
      </c>
      <c r="L81" s="13">
        <f t="shared" si="3"/>
        <v>100.89365983385653</v>
      </c>
      <c r="M81" s="13">
        <f t="shared" si="4"/>
        <v>100.86569999999999</v>
      </c>
      <c r="N81" s="13">
        <f>M81-L81</f>
        <v>-2.7959833856542105E-2</v>
      </c>
      <c r="O81" s="2">
        <f>N81/L81</f>
        <v>-2.7712181223858945E-4</v>
      </c>
    </row>
    <row r="82" spans="1:15" x14ac:dyDescent="0.25">
      <c r="A82" s="1">
        <v>46141</v>
      </c>
      <c r="B82" s="6">
        <v>57.28</v>
      </c>
      <c r="C82" s="6">
        <v>99.92</v>
      </c>
      <c r="F82" s="13">
        <f>F81+D82</f>
        <v>0.42047800000000002</v>
      </c>
      <c r="G82" s="13">
        <f t="shared" si="5"/>
        <v>0.76570000000000005</v>
      </c>
      <c r="H82" s="8">
        <f>B82+F82</f>
        <v>57.700478000000004</v>
      </c>
      <c r="I82" s="8">
        <f>C82+G82</f>
        <v>100.6857</v>
      </c>
      <c r="J82" s="10">
        <f t="shared" si="6"/>
        <v>1.7449716794373868</v>
      </c>
      <c r="K82" s="10">
        <f t="shared" si="2"/>
        <v>1.744503771496456</v>
      </c>
      <c r="L82" s="13">
        <f t="shared" si="3"/>
        <v>100.65262492190803</v>
      </c>
      <c r="M82" s="13">
        <f t="shared" si="4"/>
        <v>100.6857</v>
      </c>
      <c r="N82" s="13">
        <f>M82-L82</f>
        <v>3.3075078091968635E-2</v>
      </c>
      <c r="O82" s="2">
        <f>N82/L82</f>
        <v>3.2860621486652876E-4</v>
      </c>
    </row>
    <row r="83" spans="1:15" x14ac:dyDescent="0.25">
      <c r="A83" s="1">
        <v>46142</v>
      </c>
      <c r="B83" s="6">
        <v>57.31</v>
      </c>
      <c r="C83" s="6">
        <v>99.98</v>
      </c>
      <c r="F83" s="13">
        <f>F82+D83</f>
        <v>0.42047800000000002</v>
      </c>
      <c r="G83" s="13">
        <f t="shared" si="5"/>
        <v>0.76570000000000005</v>
      </c>
      <c r="H83" s="8">
        <f>B83+F83</f>
        <v>57.730478000000005</v>
      </c>
      <c r="I83" s="8">
        <f>C83+G83</f>
        <v>100.7457</v>
      </c>
      <c r="J83" s="10">
        <f t="shared" si="6"/>
        <v>1.745104206481713</v>
      </c>
      <c r="K83" s="10">
        <f t="shared" si="2"/>
        <v>1.7446081381574221</v>
      </c>
      <c r="L83" s="13">
        <f t="shared" si="3"/>
        <v>100.71103660129319</v>
      </c>
      <c r="M83" s="13">
        <f t="shared" si="4"/>
        <v>100.7457</v>
      </c>
      <c r="N83" s="13">
        <f>M83-L83</f>
        <v>3.4663398706811677E-2</v>
      </c>
      <c r="O83" s="2">
        <f>N83/L83</f>
        <v>3.4418669369913504E-4</v>
      </c>
    </row>
    <row r="84" spans="1:15" x14ac:dyDescent="0.25">
      <c r="A84" s="1">
        <v>46143</v>
      </c>
      <c r="B84" s="6">
        <v>57.14</v>
      </c>
      <c r="C84" s="6">
        <v>99.69</v>
      </c>
      <c r="D84" s="13">
        <v>0.140709</v>
      </c>
      <c r="E84" s="13">
        <v>0.26029999999999998</v>
      </c>
      <c r="F84" s="13">
        <f>F83+D84</f>
        <v>0.56118699999999999</v>
      </c>
      <c r="G84" s="13">
        <f t="shared" si="5"/>
        <v>1.026</v>
      </c>
      <c r="H84" s="8">
        <f>B84+F84</f>
        <v>57.701186999999997</v>
      </c>
      <c r="I84" s="8">
        <f>C84+G84</f>
        <v>100.71599999999999</v>
      </c>
      <c r="J84" s="10">
        <f t="shared" si="6"/>
        <v>1.7454753573786965</v>
      </c>
      <c r="K84" s="10">
        <f t="shared" si="2"/>
        <v>1.7446673510264841</v>
      </c>
      <c r="L84" s="13">
        <f t="shared" si="3"/>
        <v>100.66596042154325</v>
      </c>
      <c r="M84" s="13">
        <f t="shared" si="4"/>
        <v>100.71599999999999</v>
      </c>
      <c r="N84" s="13">
        <f>M84-L84</f>
        <v>5.0039578456747336E-2</v>
      </c>
      <c r="O84" s="2">
        <f>N84/L84</f>
        <v>4.9708539259154085E-4</v>
      </c>
    </row>
    <row r="85" spans="1:15" x14ac:dyDescent="0.25">
      <c r="A85" s="1">
        <v>46146</v>
      </c>
      <c r="B85" s="6">
        <v>57.11</v>
      </c>
      <c r="C85" s="6">
        <v>99.59</v>
      </c>
      <c r="F85" s="13">
        <f>F84+D85</f>
        <v>0.56118699999999999</v>
      </c>
      <c r="G85" s="13">
        <f t="shared" si="5"/>
        <v>1.026</v>
      </c>
      <c r="H85" s="8">
        <f>B85+F85</f>
        <v>57.671186999999996</v>
      </c>
      <c r="I85" s="8">
        <f>C85+G85</f>
        <v>100.616</v>
      </c>
      <c r="J85" s="10">
        <f t="shared" si="6"/>
        <v>1.7446493688434055</v>
      </c>
      <c r="K85" s="10">
        <f t="shared" si="2"/>
        <v>1.7447181017709739</v>
      </c>
      <c r="L85" s="13">
        <f t="shared" si="3"/>
        <v>100.61703705384299</v>
      </c>
      <c r="M85" s="13">
        <f t="shared" si="4"/>
        <v>100.616</v>
      </c>
      <c r="N85" s="13">
        <f>M85-L85</f>
        <v>-1.0370538429924636E-3</v>
      </c>
      <c r="O85" s="2">
        <f>N85/L85</f>
        <v>-1.0306940786156395E-5</v>
      </c>
    </row>
    <row r="86" spans="1:15" x14ac:dyDescent="0.25">
      <c r="A86" s="1">
        <v>46147</v>
      </c>
      <c r="B86" s="6">
        <v>57.12</v>
      </c>
      <c r="C86" s="6">
        <v>99.63</v>
      </c>
      <c r="F86" s="13">
        <f>F85+D86</f>
        <v>0.56118699999999999</v>
      </c>
      <c r="G86" s="13">
        <f t="shared" si="5"/>
        <v>1.026</v>
      </c>
      <c r="H86" s="8">
        <f>B86+F86</f>
        <v>57.681186999999994</v>
      </c>
      <c r="I86" s="8">
        <f>C86+G86</f>
        <v>100.65599999999999</v>
      </c>
      <c r="J86" s="10">
        <f t="shared" si="6"/>
        <v>1.7450403716553198</v>
      </c>
      <c r="K86" s="10">
        <f t="shared" si="2"/>
        <v>1.7447184950275538</v>
      </c>
      <c r="L86" s="13">
        <f t="shared" si="3"/>
        <v>100.63741109053656</v>
      </c>
      <c r="M86" s="13">
        <f t="shared" si="4"/>
        <v>100.65599999999999</v>
      </c>
      <c r="N86" s="13">
        <f>M86-L86</f>
        <v>1.8588909463431946E-2</v>
      </c>
      <c r="O86" s="2">
        <f>N86/L86</f>
        <v>1.8471172163509635E-4</v>
      </c>
    </row>
    <row r="87" spans="1:15" x14ac:dyDescent="0.25">
      <c r="A87" s="1">
        <v>46148</v>
      </c>
      <c r="B87" s="6">
        <v>57.24</v>
      </c>
      <c r="C87" s="6">
        <v>99.77</v>
      </c>
      <c r="F87" s="13">
        <f>F86+D87</f>
        <v>0.56118699999999999</v>
      </c>
      <c r="G87" s="13">
        <f t="shared" si="5"/>
        <v>1.026</v>
      </c>
      <c r="H87" s="8">
        <f>B87+F87</f>
        <v>57.801186999999999</v>
      </c>
      <c r="I87" s="8">
        <f>C87+G87</f>
        <v>100.79599999999999</v>
      </c>
      <c r="J87" s="10">
        <f t="shared" si="6"/>
        <v>1.7438396204562372</v>
      </c>
      <c r="K87" s="10">
        <f t="shared" ref="K87:K150" si="7">AVERAGE(J68:J87)</f>
        <v>1.7447207602197938</v>
      </c>
      <c r="L87" s="13">
        <f t="shared" si="3"/>
        <v>100.84679999344621</v>
      </c>
      <c r="M87" s="13">
        <f t="shared" si="4"/>
        <v>100.79599999999999</v>
      </c>
      <c r="N87" s="13">
        <f>M87-L87</f>
        <v>-5.0799993446219105E-2</v>
      </c>
      <c r="O87" s="2">
        <f>N87/L87</f>
        <v>-5.0373431233832376E-4</v>
      </c>
    </row>
    <row r="88" spans="1:15" x14ac:dyDescent="0.25">
      <c r="A88" s="1">
        <v>46149</v>
      </c>
      <c r="B88" s="6">
        <v>57.23</v>
      </c>
      <c r="C88" s="6">
        <v>99.74</v>
      </c>
      <c r="F88" s="13">
        <f>F87+D88</f>
        <v>0.56118699999999999</v>
      </c>
      <c r="G88" s="13">
        <f t="shared" si="5"/>
        <v>1.026</v>
      </c>
      <c r="H88" s="8">
        <f>B88+F88</f>
        <v>57.791186999999994</v>
      </c>
      <c r="I88" s="8">
        <f>C88+G88</f>
        <v>100.76599999999999</v>
      </c>
      <c r="J88" s="10">
        <f t="shared" si="6"/>
        <v>1.7436222585287962</v>
      </c>
      <c r="K88" s="10">
        <f t="shared" si="7"/>
        <v>1.7446835205885853</v>
      </c>
      <c r="L88" s="13">
        <f t="shared" ref="L88:L151" si="8">K87*H88</f>
        <v>100.82948371664426</v>
      </c>
      <c r="M88" s="13">
        <f t="shared" ref="M88:M151" si="9">I88</f>
        <v>100.76599999999999</v>
      </c>
      <c r="N88" s="13">
        <f>M88-L88</f>
        <v>-6.3483716644270771E-2</v>
      </c>
      <c r="O88" s="2">
        <f>N88/L88</f>
        <v>-6.2961461572763459E-4</v>
      </c>
    </row>
    <row r="89" spans="1:15" x14ac:dyDescent="0.25">
      <c r="A89" s="1">
        <v>46150</v>
      </c>
      <c r="B89" s="6">
        <v>57.27</v>
      </c>
      <c r="C89" s="6">
        <v>99.75</v>
      </c>
      <c r="F89" s="13">
        <f>F88+D89</f>
        <v>0.56118699999999999</v>
      </c>
      <c r="G89" s="13">
        <f t="shared" si="5"/>
        <v>1.026</v>
      </c>
      <c r="H89" s="8">
        <f>B89+F89</f>
        <v>57.831187</v>
      </c>
      <c r="I89" s="8">
        <f>C89+G89</f>
        <v>100.776</v>
      </c>
      <c r="J89" s="10">
        <f t="shared" si="6"/>
        <v>1.7425891673293856</v>
      </c>
      <c r="K89" s="10">
        <f t="shared" si="7"/>
        <v>1.7445710282294165</v>
      </c>
      <c r="L89" s="13">
        <f t="shared" si="8"/>
        <v>100.89711893497683</v>
      </c>
      <c r="M89" s="13">
        <f t="shared" si="9"/>
        <v>100.776</v>
      </c>
      <c r="N89" s="13">
        <f>M89-L89</f>
        <v>-0.12111893497683468</v>
      </c>
      <c r="O89" s="2">
        <f>N89/L89</f>
        <v>-1.2004201532740473E-3</v>
      </c>
    </row>
    <row r="90" spans="1:15" x14ac:dyDescent="0.25">
      <c r="A90" s="1">
        <v>46153</v>
      </c>
      <c r="B90" s="6">
        <v>57.24</v>
      </c>
      <c r="C90" s="6">
        <v>99.7</v>
      </c>
      <c r="F90" s="13">
        <f>F89+D90</f>
        <v>0.56118699999999999</v>
      </c>
      <c r="G90" s="13">
        <f t="shared" si="5"/>
        <v>1.026</v>
      </c>
      <c r="H90" s="8">
        <f>B90+F90</f>
        <v>57.801186999999999</v>
      </c>
      <c r="I90" s="8">
        <f>C90+G90</f>
        <v>100.726</v>
      </c>
      <c r="J90" s="10">
        <f t="shared" si="6"/>
        <v>1.7426285726623574</v>
      </c>
      <c r="K90" s="10">
        <f t="shared" si="7"/>
        <v>1.744466596383679</v>
      </c>
      <c r="L90" s="13">
        <f t="shared" si="8"/>
        <v>100.83827623747078</v>
      </c>
      <c r="M90" s="13">
        <f t="shared" si="9"/>
        <v>100.726</v>
      </c>
      <c r="N90" s="13">
        <f>M90-L90</f>
        <v>-0.11227623747078042</v>
      </c>
      <c r="O90" s="2">
        <f>N90/L90</f>
        <v>-1.1134287659417504E-3</v>
      </c>
    </row>
    <row r="91" spans="1:15" x14ac:dyDescent="0.25">
      <c r="A91" s="1">
        <v>46154</v>
      </c>
      <c r="B91" s="6">
        <v>57.12</v>
      </c>
      <c r="C91" s="6">
        <v>99.58</v>
      </c>
      <c r="F91" s="13">
        <f>F90+D91</f>
        <v>0.56118699999999999</v>
      </c>
      <c r="G91" s="13">
        <f t="shared" si="5"/>
        <v>1.026</v>
      </c>
      <c r="H91" s="8">
        <f>B91+F91</f>
        <v>57.681186999999994</v>
      </c>
      <c r="I91" s="8">
        <f>C91+G91</f>
        <v>100.60599999999999</v>
      </c>
      <c r="J91" s="10">
        <f t="shared" si="6"/>
        <v>1.744173537898934</v>
      </c>
      <c r="K91" s="10">
        <f t="shared" si="7"/>
        <v>1.7444414386666327</v>
      </c>
      <c r="L91" s="13">
        <f t="shared" si="8"/>
        <v>100.6229039612605</v>
      </c>
      <c r="M91" s="13">
        <f t="shared" si="9"/>
        <v>100.60599999999999</v>
      </c>
      <c r="N91" s="13">
        <f>M91-L91</f>
        <v>-1.6903961260510414E-2</v>
      </c>
      <c r="O91" s="2">
        <f>N91/L91</f>
        <v>-1.6799317645432282E-4</v>
      </c>
    </row>
    <row r="92" spans="1:15" x14ac:dyDescent="0.25">
      <c r="A92" s="1">
        <v>46155</v>
      </c>
      <c r="B92" s="6">
        <v>57.02</v>
      </c>
      <c r="C92" s="6">
        <v>99.44</v>
      </c>
      <c r="F92" s="13">
        <f>F91+D92</f>
        <v>0.56118699999999999</v>
      </c>
      <c r="G92" s="13">
        <f t="shared" si="5"/>
        <v>1.026</v>
      </c>
      <c r="H92" s="8">
        <f>B92+F92</f>
        <v>57.581187</v>
      </c>
      <c r="I92" s="8">
        <f>C92+G92</f>
        <v>100.46599999999999</v>
      </c>
      <c r="J92" s="10">
        <f t="shared" si="6"/>
        <v>1.7447712566258837</v>
      </c>
      <c r="K92" s="10">
        <f t="shared" si="7"/>
        <v>1.744381626192387</v>
      </c>
      <c r="L92" s="13">
        <f t="shared" si="8"/>
        <v>100.4470086904124</v>
      </c>
      <c r="M92" s="13">
        <f t="shared" si="9"/>
        <v>100.46599999999999</v>
      </c>
      <c r="N92" s="13">
        <f>M92-L92</f>
        <v>1.8991309587590877E-2</v>
      </c>
      <c r="O92" s="2">
        <f>N92/L92</f>
        <v>1.8906794572772165E-4</v>
      </c>
    </row>
    <row r="93" spans="1:15" x14ac:dyDescent="0.25">
      <c r="A93" s="1">
        <v>46156</v>
      </c>
      <c r="B93" s="6">
        <v>57.04</v>
      </c>
      <c r="C93" s="6">
        <v>99.41</v>
      </c>
      <c r="F93" s="13">
        <f>F92+D93</f>
        <v>0.56118699999999999</v>
      </c>
      <c r="G93" s="13">
        <f t="shared" si="5"/>
        <v>1.026</v>
      </c>
      <c r="H93" s="8">
        <f>B93+F93</f>
        <v>57.601186999999996</v>
      </c>
      <c r="I93" s="8">
        <f>C93+G93</f>
        <v>100.43599999999999</v>
      </c>
      <c r="J93" s="10">
        <f t="shared" si="6"/>
        <v>1.743644623156811</v>
      </c>
      <c r="K93" s="10">
        <f t="shared" si="7"/>
        <v>1.7443324180815747</v>
      </c>
      <c r="L93" s="13">
        <f t="shared" si="8"/>
        <v>100.47845224967178</v>
      </c>
      <c r="M93" s="13">
        <f t="shared" si="9"/>
        <v>100.43599999999999</v>
      </c>
      <c r="N93" s="13">
        <f>M93-L93</f>
        <v>-4.2452249671782738E-2</v>
      </c>
      <c r="O93" s="2">
        <f>N93/L93</f>
        <v>-4.22501031029978E-4</v>
      </c>
    </row>
    <row r="94" spans="1:15" x14ac:dyDescent="0.25">
      <c r="A94" s="1">
        <v>46157</v>
      </c>
      <c r="B94" s="6">
        <v>56.79</v>
      </c>
      <c r="C94" s="6">
        <v>98.99</v>
      </c>
      <c r="F94" s="13">
        <f>F93+D94</f>
        <v>0.56118699999999999</v>
      </c>
      <c r="G94" s="13">
        <f t="shared" si="5"/>
        <v>1.026</v>
      </c>
      <c r="H94" s="8">
        <f>B94+F94</f>
        <v>57.351186999999996</v>
      </c>
      <c r="I94" s="8">
        <f>C94+G94</f>
        <v>100.01599999999999</v>
      </c>
      <c r="J94" s="10">
        <f t="shared" si="6"/>
        <v>1.7439220569227276</v>
      </c>
      <c r="K94" s="10">
        <f t="shared" si="7"/>
        <v>1.7443093898071975</v>
      </c>
      <c r="L94" s="13">
        <f t="shared" si="8"/>
        <v>100.03953469955856</v>
      </c>
      <c r="M94" s="13">
        <f t="shared" si="9"/>
        <v>100.01599999999999</v>
      </c>
      <c r="N94" s="13">
        <f>M94-L94</f>
        <v>-2.353469955856724E-2</v>
      </c>
      <c r="O94" s="2">
        <f>N94/L94</f>
        <v>-2.3525398862806878E-4</v>
      </c>
    </row>
    <row r="95" spans="1:15" x14ac:dyDescent="0.25">
      <c r="A95" s="1">
        <v>46160</v>
      </c>
      <c r="B95" s="6">
        <v>56.8</v>
      </c>
      <c r="C95" s="6">
        <v>98.93</v>
      </c>
      <c r="F95" s="13">
        <f>F94+D95</f>
        <v>0.56118699999999999</v>
      </c>
      <c r="G95" s="13">
        <f t="shared" si="5"/>
        <v>1.026</v>
      </c>
      <c r="H95" s="8">
        <f>B95+F95</f>
        <v>57.361186999999994</v>
      </c>
      <c r="I95" s="8">
        <f>C95+G95</f>
        <v>99.956000000000003</v>
      </c>
      <c r="J95" s="10">
        <f t="shared" si="6"/>
        <v>1.7425720287134228</v>
      </c>
      <c r="K95" s="10">
        <f t="shared" si="7"/>
        <v>1.7441821043593646</v>
      </c>
      <c r="L95" s="13">
        <f t="shared" si="8"/>
        <v>100.05565709458654</v>
      </c>
      <c r="M95" s="13">
        <f t="shared" si="9"/>
        <v>99.956000000000003</v>
      </c>
      <c r="N95" s="13">
        <f>M95-L95</f>
        <v>-9.9657094586532935E-2</v>
      </c>
      <c r="O95" s="2">
        <f>N95/L95</f>
        <v>-9.9601659196863986E-4</v>
      </c>
    </row>
    <row r="96" spans="1:15" x14ac:dyDescent="0.25">
      <c r="A96" s="1">
        <v>46161</v>
      </c>
      <c r="B96" s="6">
        <v>56.66</v>
      </c>
      <c r="C96" s="6">
        <v>98.67</v>
      </c>
      <c r="F96" s="13">
        <f>F95+D96</f>
        <v>0.56118699999999999</v>
      </c>
      <c r="G96" s="13">
        <f t="shared" si="5"/>
        <v>1.026</v>
      </c>
      <c r="H96" s="8">
        <f>B96+F96</f>
        <v>57.221186999999993</v>
      </c>
      <c r="I96" s="8">
        <f>C96+G96</f>
        <v>99.695999999999998</v>
      </c>
      <c r="J96" s="10">
        <f t="shared" si="6"/>
        <v>1.7422917144308805</v>
      </c>
      <c r="K96" s="10">
        <f t="shared" si="7"/>
        <v>1.7440431753364414</v>
      </c>
      <c r="L96" s="13">
        <f t="shared" si="8"/>
        <v>99.804170355600704</v>
      </c>
      <c r="M96" s="13">
        <f t="shared" si="9"/>
        <v>99.695999999999998</v>
      </c>
      <c r="N96" s="13">
        <f>M96-L96</f>
        <v>-0.10817035560070565</v>
      </c>
      <c r="O96" s="2">
        <f>N96/L96</f>
        <v>-1.0838260086256553E-3</v>
      </c>
    </row>
    <row r="97" spans="1:15" x14ac:dyDescent="0.25">
      <c r="A97" s="1">
        <v>46162</v>
      </c>
      <c r="B97" s="6">
        <v>56.75</v>
      </c>
      <c r="C97" s="6">
        <v>98.96</v>
      </c>
      <c r="F97" s="13">
        <f>F96+D97</f>
        <v>0.56118699999999999</v>
      </c>
      <c r="G97" s="13">
        <f t="shared" si="5"/>
        <v>1.026</v>
      </c>
      <c r="H97" s="8">
        <f>B97+F97</f>
        <v>57.311186999999997</v>
      </c>
      <c r="I97" s="8">
        <f>C97+G97</f>
        <v>99.98599999999999</v>
      </c>
      <c r="J97" s="10">
        <f t="shared" si="6"/>
        <v>1.7446157588744409</v>
      </c>
      <c r="K97" s="10">
        <f t="shared" si="7"/>
        <v>1.7440160425972404</v>
      </c>
      <c r="L97" s="13">
        <f t="shared" si="8"/>
        <v>99.953184557780574</v>
      </c>
      <c r="M97" s="13">
        <f t="shared" si="9"/>
        <v>99.98599999999999</v>
      </c>
      <c r="N97" s="13">
        <f>M97-L97</f>
        <v>3.2815442219416013E-2</v>
      </c>
      <c r="O97" s="2">
        <f>N97/L97</f>
        <v>3.2830812109289204E-4</v>
      </c>
    </row>
    <row r="98" spans="1:15" x14ac:dyDescent="0.25">
      <c r="A98" s="1">
        <v>46163</v>
      </c>
      <c r="B98" s="6">
        <v>56.77</v>
      </c>
      <c r="C98" s="6">
        <v>98.97</v>
      </c>
      <c r="F98" s="13">
        <f>F97+D98</f>
        <v>0.56118699999999999</v>
      </c>
      <c r="G98" s="13">
        <f t="shared" si="5"/>
        <v>1.026</v>
      </c>
      <c r="H98" s="8">
        <f>B98+F98</f>
        <v>57.331187</v>
      </c>
      <c r="I98" s="8">
        <f>C98+G98</f>
        <v>99.995999999999995</v>
      </c>
      <c r="J98" s="10">
        <f t="shared" si="6"/>
        <v>1.7441815743323088</v>
      </c>
      <c r="K98" s="10">
        <f t="shared" si="7"/>
        <v>1.744044752958348</v>
      </c>
      <c r="L98" s="13">
        <f t="shared" si="8"/>
        <v>99.986509869142353</v>
      </c>
      <c r="M98" s="13">
        <f t="shared" si="9"/>
        <v>99.995999999999995</v>
      </c>
      <c r="N98" s="13">
        <f>M98-L98</f>
        <v>9.4901308576424981E-3</v>
      </c>
      <c r="O98" s="2">
        <f>N98/L98</f>
        <v>9.4914112614419044E-5</v>
      </c>
    </row>
    <row r="99" spans="1:15" x14ac:dyDescent="0.25">
      <c r="A99" s="1">
        <v>46164</v>
      </c>
      <c r="B99" s="6">
        <v>56.84</v>
      </c>
      <c r="C99" s="6">
        <v>99.08</v>
      </c>
      <c r="F99" s="13">
        <f>F98+D99</f>
        <v>0.56118699999999999</v>
      </c>
      <c r="G99" s="13">
        <f t="shared" si="5"/>
        <v>1.026</v>
      </c>
      <c r="H99" s="8">
        <f>B99+F99</f>
        <v>57.401187</v>
      </c>
      <c r="I99" s="8">
        <f>C99+G99</f>
        <v>100.10599999999999</v>
      </c>
      <c r="J99" s="10">
        <f t="shared" si="6"/>
        <v>1.7439709042950626</v>
      </c>
      <c r="K99" s="10">
        <f t="shared" si="7"/>
        <v>1.7440111167738386</v>
      </c>
      <c r="L99" s="13">
        <f t="shared" si="8"/>
        <v>100.11023900093095</v>
      </c>
      <c r="M99" s="13">
        <f t="shared" si="9"/>
        <v>100.10599999999999</v>
      </c>
      <c r="N99" s="13">
        <f>M99-L99</f>
        <v>-4.2390009309514198E-3</v>
      </c>
      <c r="O99" s="2">
        <f>N99/L99</f>
        <v>-4.2343330445070664E-5</v>
      </c>
    </row>
    <row r="100" spans="1:15" x14ac:dyDescent="0.25">
      <c r="A100" s="1">
        <v>46168</v>
      </c>
      <c r="B100" s="6">
        <v>57.08</v>
      </c>
      <c r="C100" s="6">
        <v>99.49</v>
      </c>
      <c r="F100" s="13">
        <f>F99+D100</f>
        <v>0.56118699999999999</v>
      </c>
      <c r="G100" s="13">
        <f t="shared" si="5"/>
        <v>1.026</v>
      </c>
      <c r="H100" s="8">
        <f>B100+F100</f>
        <v>57.641186999999995</v>
      </c>
      <c r="I100" s="8">
        <f>C100+G100</f>
        <v>100.51599999999999</v>
      </c>
      <c r="J100" s="10">
        <f t="shared" si="6"/>
        <v>1.7438225205181843</v>
      </c>
      <c r="K100" s="10">
        <f t="shared" si="7"/>
        <v>1.7439873324150708</v>
      </c>
      <c r="L100" s="13">
        <f t="shared" si="8"/>
        <v>100.52687091203966</v>
      </c>
      <c r="M100" s="13">
        <f t="shared" si="9"/>
        <v>100.51599999999999</v>
      </c>
      <c r="N100" s="13">
        <f>M100-L100</f>
        <v>-1.0870912039663949E-2</v>
      </c>
      <c r="O100" s="2">
        <f>N100/L100</f>
        <v>-1.0813936553517044E-4</v>
      </c>
    </row>
    <row r="101" spans="1:15" x14ac:dyDescent="0.25">
      <c r="A101" s="1">
        <v>46169</v>
      </c>
      <c r="B101" s="6">
        <v>57.14</v>
      </c>
      <c r="C101" s="6">
        <v>99.66</v>
      </c>
      <c r="F101" s="13">
        <f>F100+D101</f>
        <v>0.56118699999999999</v>
      </c>
      <c r="G101" s="13">
        <f t="shared" si="5"/>
        <v>1.026</v>
      </c>
      <c r="H101" s="8">
        <f>B101+F101</f>
        <v>57.701186999999997</v>
      </c>
      <c r="I101" s="8">
        <f>C101+G101</f>
        <v>100.68599999999999</v>
      </c>
      <c r="J101" s="10">
        <f t="shared" si="6"/>
        <v>1.7449554373985408</v>
      </c>
      <c r="K101" s="10">
        <f t="shared" si="7"/>
        <v>1.7440421007970248</v>
      </c>
      <c r="L101" s="13">
        <f t="shared" si="8"/>
        <v>100.63013919331316</v>
      </c>
      <c r="M101" s="13">
        <f t="shared" si="9"/>
        <v>100.68599999999999</v>
      </c>
      <c r="N101" s="13">
        <f>M101-L101</f>
        <v>5.586080668683735E-2</v>
      </c>
      <c r="O101" s="2">
        <f>N101/L101</f>
        <v>5.5511010055871298E-4</v>
      </c>
    </row>
    <row r="102" spans="1:15" x14ac:dyDescent="0.25">
      <c r="A102" s="1">
        <v>46170</v>
      </c>
      <c r="B102" s="6">
        <v>57.25</v>
      </c>
      <c r="C102" s="6">
        <v>99.83</v>
      </c>
      <c r="F102" s="13">
        <f>F101+D102</f>
        <v>0.56118699999999999</v>
      </c>
      <c r="G102" s="13">
        <f t="shared" si="5"/>
        <v>1.026</v>
      </c>
      <c r="H102" s="8">
        <f>B102+F102</f>
        <v>57.811186999999997</v>
      </c>
      <c r="I102" s="8">
        <f>C102+G102</f>
        <v>100.85599999999999</v>
      </c>
      <c r="J102" s="10">
        <f t="shared" si="6"/>
        <v>1.7445758378910297</v>
      </c>
      <c r="K102" s="10">
        <f t="shared" si="7"/>
        <v>1.7440223087197069</v>
      </c>
      <c r="L102" s="13">
        <f t="shared" si="8"/>
        <v>100.82514402504964</v>
      </c>
      <c r="M102" s="13">
        <f t="shared" si="9"/>
        <v>100.85599999999999</v>
      </c>
      <c r="N102" s="13">
        <f>M102-L102</f>
        <v>3.0855974950355858E-2</v>
      </c>
      <c r="O102" s="2">
        <f>N102/L102</f>
        <v>3.0603452391488576E-4</v>
      </c>
    </row>
    <row r="103" spans="1:15" x14ac:dyDescent="0.25">
      <c r="A103" s="1">
        <v>46171</v>
      </c>
      <c r="B103" s="6">
        <v>57.35</v>
      </c>
      <c r="C103" s="6">
        <v>100.05</v>
      </c>
      <c r="F103" s="13">
        <f>F102+D103</f>
        <v>0.56118699999999999</v>
      </c>
      <c r="G103" s="13">
        <f t="shared" si="5"/>
        <v>1.026</v>
      </c>
      <c r="H103" s="8">
        <f>B103+F103</f>
        <v>57.911186999999998</v>
      </c>
      <c r="I103" s="8">
        <f>C103+G103</f>
        <v>101.07599999999999</v>
      </c>
      <c r="J103" s="10">
        <f t="shared" si="6"/>
        <v>1.7453622561734057</v>
      </c>
      <c r="K103" s="10">
        <f t="shared" si="7"/>
        <v>1.7440352112042916</v>
      </c>
      <c r="L103" s="13">
        <f t="shared" si="8"/>
        <v>100.99840205243868</v>
      </c>
      <c r="M103" s="13">
        <f t="shared" si="9"/>
        <v>101.07599999999999</v>
      </c>
      <c r="N103" s="13">
        <f>M103-L103</f>
        <v>7.759794756131555E-2</v>
      </c>
      <c r="O103" s="2">
        <f>N103/L103</f>
        <v>7.683086661215339E-4</v>
      </c>
    </row>
    <row r="104" spans="1:15" x14ac:dyDescent="0.25">
      <c r="A104" s="1">
        <v>46174</v>
      </c>
      <c r="B104" s="6">
        <v>57.24</v>
      </c>
      <c r="C104" s="6">
        <v>99.84</v>
      </c>
      <c r="D104" s="13">
        <v>0.13805000000000001</v>
      </c>
      <c r="E104" s="13">
        <v>0.25750000000000001</v>
      </c>
      <c r="F104" s="13">
        <f>F103+D104</f>
        <v>0.699237</v>
      </c>
      <c r="G104" s="13">
        <f t="shared" si="5"/>
        <v>1.2835000000000001</v>
      </c>
      <c r="H104" s="8">
        <f>B104+F104</f>
        <v>57.939236999999999</v>
      </c>
      <c r="I104" s="8">
        <f>C104+G104</f>
        <v>101.12350000000001</v>
      </c>
      <c r="J104" s="10">
        <f t="shared" si="6"/>
        <v>1.7453371020401944</v>
      </c>
      <c r="K104" s="10">
        <f t="shared" si="7"/>
        <v>1.7440282984373667</v>
      </c>
      <c r="L104" s="13">
        <f t="shared" si="8"/>
        <v>101.04806943831051</v>
      </c>
      <c r="M104" s="13">
        <f t="shared" si="9"/>
        <v>101.12350000000001</v>
      </c>
      <c r="N104" s="13">
        <f>M104-L104</f>
        <v>7.5430561689501019E-2</v>
      </c>
      <c r="O104" s="2">
        <f>N104/L104</f>
        <v>7.4648196753082066E-4</v>
      </c>
    </row>
    <row r="105" spans="1:15" x14ac:dyDescent="0.25">
      <c r="A105" s="1">
        <v>46175</v>
      </c>
      <c r="B105" s="6">
        <v>57.33</v>
      </c>
      <c r="C105" s="6">
        <v>100</v>
      </c>
      <c r="F105" s="13">
        <f>F104+D105</f>
        <v>0.699237</v>
      </c>
      <c r="G105" s="13">
        <f t="shared" si="5"/>
        <v>1.2835000000000001</v>
      </c>
      <c r="H105" s="8">
        <f>B105+F105</f>
        <v>58.029236999999995</v>
      </c>
      <c r="I105" s="8">
        <f>C105+G105</f>
        <v>101.2835</v>
      </c>
      <c r="J105" s="10">
        <f t="shared" si="6"/>
        <v>1.7453874156573868</v>
      </c>
      <c r="K105" s="10">
        <f t="shared" si="7"/>
        <v>1.7440652007780657</v>
      </c>
      <c r="L105" s="13">
        <f t="shared" si="8"/>
        <v>101.20463146472868</v>
      </c>
      <c r="M105" s="13">
        <f t="shared" si="9"/>
        <v>101.2835</v>
      </c>
      <c r="N105" s="13">
        <f>M105-L105</f>
        <v>7.8868535271325868E-2</v>
      </c>
      <c r="O105" s="2">
        <f>N105/L105</f>
        <v>7.7929768756494831E-4</v>
      </c>
    </row>
    <row r="106" spans="1:15" x14ac:dyDescent="0.25">
      <c r="A106" s="1">
        <v>46176</v>
      </c>
      <c r="B106" s="6">
        <v>57.31</v>
      </c>
      <c r="C106" s="6">
        <v>99.95</v>
      </c>
      <c r="F106" s="13">
        <f>F105+D106</f>
        <v>0.699237</v>
      </c>
      <c r="G106" s="13">
        <f t="shared" si="5"/>
        <v>1.2835000000000001</v>
      </c>
      <c r="H106" s="8">
        <f>B106+F106</f>
        <v>58.009236999999999</v>
      </c>
      <c r="I106" s="8">
        <f>C106+G106</f>
        <v>101.23350000000001</v>
      </c>
      <c r="J106" s="10">
        <f t="shared" si="6"/>
        <v>1.7451272458556903</v>
      </c>
      <c r="K106" s="10">
        <f t="shared" si="7"/>
        <v>1.744069544488084</v>
      </c>
      <c r="L106" s="13">
        <f t="shared" si="8"/>
        <v>101.17189157538739</v>
      </c>
      <c r="M106" s="13">
        <f t="shared" si="9"/>
        <v>101.23350000000001</v>
      </c>
      <c r="N106" s="13">
        <f>M106-L106</f>
        <v>6.1608424612614954E-2</v>
      </c>
      <c r="O106" s="2">
        <f>N106/L106</f>
        <v>6.0894803540080056E-4</v>
      </c>
    </row>
    <row r="107" spans="1:15" x14ac:dyDescent="0.25">
      <c r="A107" s="1">
        <v>46177</v>
      </c>
      <c r="B107" s="6">
        <v>57.38</v>
      </c>
      <c r="C107" s="6">
        <v>100</v>
      </c>
      <c r="F107" s="13">
        <f>F106+D107</f>
        <v>0.699237</v>
      </c>
      <c r="G107" s="13">
        <f t="shared" si="5"/>
        <v>1.2835000000000001</v>
      </c>
      <c r="H107" s="8">
        <f>B107+F107</f>
        <v>58.079236999999999</v>
      </c>
      <c r="I107" s="8">
        <f>C107+G107</f>
        <v>101.2835</v>
      </c>
      <c r="J107" s="10">
        <f t="shared" si="6"/>
        <v>1.743884824106763</v>
      </c>
      <c r="K107" s="10">
        <f t="shared" si="7"/>
        <v>1.7440718046706103</v>
      </c>
      <c r="L107" s="13">
        <f t="shared" si="8"/>
        <v>101.29422841880547</v>
      </c>
      <c r="M107" s="13">
        <f t="shared" si="9"/>
        <v>101.2835</v>
      </c>
      <c r="N107" s="13">
        <f>M107-L107</f>
        <v>-1.0728418805470596E-2</v>
      </c>
      <c r="O107" s="2">
        <f>N107/L107</f>
        <v>-1.0591342639102274E-4</v>
      </c>
    </row>
    <row r="108" spans="1:15" x14ac:dyDescent="0.25">
      <c r="A108" s="1">
        <v>46178</v>
      </c>
      <c r="B108" s="6">
        <v>57.28</v>
      </c>
      <c r="C108" s="6">
        <v>99.87</v>
      </c>
      <c r="F108" s="13">
        <f>F107+D108</f>
        <v>0.699237</v>
      </c>
      <c r="G108" s="13">
        <f t="shared" si="5"/>
        <v>1.2835000000000001</v>
      </c>
      <c r="H108" s="8">
        <f>B108+F108</f>
        <v>57.979236999999998</v>
      </c>
      <c r="I108" s="8">
        <f>C108+G108</f>
        <v>101.15350000000001</v>
      </c>
      <c r="J108" s="10">
        <f t="shared" si="6"/>
        <v>1.7446504168380141</v>
      </c>
      <c r="K108" s="10">
        <f t="shared" si="7"/>
        <v>1.7441232125860711</v>
      </c>
      <c r="L108" s="13">
        <f t="shared" si="8"/>
        <v>101.11995250801502</v>
      </c>
      <c r="M108" s="13">
        <f t="shared" si="9"/>
        <v>101.15350000000001</v>
      </c>
      <c r="N108" s="13">
        <f>M108-L108</f>
        <v>3.3547491984990074E-2</v>
      </c>
      <c r="O108" s="2">
        <f>N108/L108</f>
        <v>3.3175937243770973E-4</v>
      </c>
    </row>
    <row r="109" spans="1:15" x14ac:dyDescent="0.25">
      <c r="A109" s="1">
        <v>46181</v>
      </c>
      <c r="B109" s="6">
        <v>57.29</v>
      </c>
      <c r="C109" s="6">
        <v>99.92</v>
      </c>
      <c r="F109" s="13">
        <f>F108+D109</f>
        <v>0.699237</v>
      </c>
      <c r="G109" s="13">
        <f t="shared" si="5"/>
        <v>1.2835000000000001</v>
      </c>
      <c r="H109" s="8">
        <f>B109+F109</f>
        <v>57.989236999999996</v>
      </c>
      <c r="I109" s="8">
        <f>C109+G109</f>
        <v>101.20350000000001</v>
      </c>
      <c r="J109" s="10">
        <f t="shared" si="6"/>
        <v>1.7452117881806242</v>
      </c>
      <c r="K109" s="10">
        <f t="shared" si="7"/>
        <v>1.7442543436286335</v>
      </c>
      <c r="L109" s="13">
        <f t="shared" si="8"/>
        <v>101.14037433185506</v>
      </c>
      <c r="M109" s="13">
        <f t="shared" si="9"/>
        <v>101.20350000000001</v>
      </c>
      <c r="N109" s="13">
        <f>M109-L109</f>
        <v>6.3125668144948577E-2</v>
      </c>
      <c r="O109" s="2">
        <f>N109/L109</f>
        <v>6.2413915868874325E-4</v>
      </c>
    </row>
    <row r="110" spans="1:15" x14ac:dyDescent="0.25">
      <c r="A110" s="1">
        <v>46182</v>
      </c>
      <c r="B110" s="6">
        <v>57.37</v>
      </c>
      <c r="C110" s="6">
        <v>100</v>
      </c>
      <c r="F110" s="13">
        <f>F109+D110</f>
        <v>0.699237</v>
      </c>
      <c r="G110" s="13">
        <f t="shared" si="5"/>
        <v>1.2835000000000001</v>
      </c>
      <c r="H110" s="8">
        <f>B110+F110</f>
        <v>58.069236999999994</v>
      </c>
      <c r="I110" s="8">
        <f>C110+G110</f>
        <v>101.2835</v>
      </c>
      <c r="J110" s="10">
        <f t="shared" si="6"/>
        <v>1.7441851354099938</v>
      </c>
      <c r="K110" s="10">
        <f t="shared" si="7"/>
        <v>1.7443321717660152</v>
      </c>
      <c r="L110" s="13">
        <f t="shared" si="8"/>
        <v>101.28751886845055</v>
      </c>
      <c r="M110" s="13">
        <f t="shared" si="9"/>
        <v>101.2835</v>
      </c>
      <c r="N110" s="13">
        <f>M110-L110</f>
        <v>-4.0188684505437777E-3</v>
      </c>
      <c r="O110" s="2">
        <f>N110/L110</f>
        <v>-3.9677825021692693E-5</v>
      </c>
    </row>
    <row r="111" spans="1:15" x14ac:dyDescent="0.25">
      <c r="A111" s="1">
        <v>46183</v>
      </c>
      <c r="B111" s="6">
        <v>57.22</v>
      </c>
      <c r="C111" s="6">
        <v>99.83</v>
      </c>
      <c r="F111" s="13">
        <f>F110+D111</f>
        <v>0.699237</v>
      </c>
      <c r="G111" s="13">
        <f t="shared" si="5"/>
        <v>1.2835000000000001</v>
      </c>
      <c r="H111" s="8">
        <f>B111+F111</f>
        <v>57.919236999999995</v>
      </c>
      <c r="I111" s="8">
        <f>C111+G111</f>
        <v>101.1135</v>
      </c>
      <c r="J111" s="10">
        <f t="shared" si="6"/>
        <v>1.7457671274226214</v>
      </c>
      <c r="K111" s="10">
        <f t="shared" si="7"/>
        <v>1.7444118512421993</v>
      </c>
      <c r="L111" s="13">
        <f t="shared" si="8"/>
        <v>101.03038846324053</v>
      </c>
      <c r="M111" s="13">
        <f t="shared" si="9"/>
        <v>101.1135</v>
      </c>
      <c r="N111" s="13">
        <f>M111-L111</f>
        <v>8.3111536759474802E-2</v>
      </c>
      <c r="O111" s="2">
        <f>N111/L111</f>
        <v>8.2263899034412387E-4</v>
      </c>
    </row>
    <row r="112" spans="1:15" x14ac:dyDescent="0.25">
      <c r="A112" s="1">
        <v>46184</v>
      </c>
      <c r="B112" s="6">
        <v>57.33</v>
      </c>
      <c r="C112" s="6">
        <v>99.96</v>
      </c>
      <c r="F112" s="13">
        <f>F111+D112</f>
        <v>0.699237</v>
      </c>
      <c r="G112" s="13">
        <f t="shared" si="5"/>
        <v>1.2835000000000001</v>
      </c>
      <c r="H112" s="8">
        <f>B112+F112</f>
        <v>58.029236999999995</v>
      </c>
      <c r="I112" s="8">
        <f>C112+G112</f>
        <v>101.2435</v>
      </c>
      <c r="J112" s="10">
        <f t="shared" si="6"/>
        <v>1.7446981079554778</v>
      </c>
      <c r="K112" s="10">
        <f t="shared" si="7"/>
        <v>1.7444081938086793</v>
      </c>
      <c r="L112" s="13">
        <f t="shared" si="8"/>
        <v>101.22688874134232</v>
      </c>
      <c r="M112" s="13">
        <f t="shared" si="9"/>
        <v>101.2435</v>
      </c>
      <c r="N112" s="13">
        <f>M112-L112</f>
        <v>1.6611258657675876E-2</v>
      </c>
      <c r="O112" s="2">
        <f>N112/L112</f>
        <v>1.6409927109506856E-4</v>
      </c>
    </row>
    <row r="113" spans="1:15" x14ac:dyDescent="0.25">
      <c r="A113" s="1">
        <v>46185</v>
      </c>
      <c r="B113" s="6">
        <v>57.31</v>
      </c>
      <c r="C113" s="6">
        <v>99.96</v>
      </c>
      <c r="F113" s="13">
        <f>F112+D113</f>
        <v>0.699237</v>
      </c>
      <c r="G113" s="13">
        <f t="shared" si="5"/>
        <v>1.2835000000000001</v>
      </c>
      <c r="H113" s="8">
        <f>B113+F113</f>
        <v>58.009236999999999</v>
      </c>
      <c r="I113" s="8">
        <f>C113+G113</f>
        <v>101.2435</v>
      </c>
      <c r="J113" s="10">
        <f t="shared" si="6"/>
        <v>1.7452996321947831</v>
      </c>
      <c r="K113" s="10">
        <f t="shared" si="7"/>
        <v>1.7444909442605776</v>
      </c>
      <c r="L113" s="13">
        <f t="shared" si="8"/>
        <v>101.1917883393896</v>
      </c>
      <c r="M113" s="13">
        <f t="shared" si="9"/>
        <v>101.2435</v>
      </c>
      <c r="N113" s="13">
        <f>M113-L113</f>
        <v>5.1711660610394006E-2</v>
      </c>
      <c r="O113" s="2">
        <f>N113/L113</f>
        <v>5.1102625478815545E-4</v>
      </c>
    </row>
    <row r="114" spans="1:15" x14ac:dyDescent="0.25">
      <c r="A114" s="1">
        <v>46188</v>
      </c>
      <c r="B114" s="6">
        <v>57.38</v>
      </c>
      <c r="C114" s="6">
        <v>100.07</v>
      </c>
      <c r="F114" s="13">
        <f>F113+D114</f>
        <v>0.699237</v>
      </c>
      <c r="G114" s="13">
        <f t="shared" si="5"/>
        <v>1.2835000000000001</v>
      </c>
      <c r="H114" s="8">
        <f>B114+F114</f>
        <v>58.079236999999999</v>
      </c>
      <c r="I114" s="8">
        <f>C114+G114</f>
        <v>101.3535</v>
      </c>
      <c r="J114" s="10">
        <f t="shared" si="6"/>
        <v>1.7450900740999749</v>
      </c>
      <c r="K114" s="10">
        <f t="shared" si="7"/>
        <v>1.7445493451194403</v>
      </c>
      <c r="L114" s="13">
        <f t="shared" si="8"/>
        <v>101.31870299606388</v>
      </c>
      <c r="M114" s="13">
        <f t="shared" si="9"/>
        <v>101.3535</v>
      </c>
      <c r="N114" s="13">
        <f>M114-L114</f>
        <v>3.4797003936120063E-2</v>
      </c>
      <c r="O114" s="2">
        <f>N114/L114</f>
        <v>3.4344107165951274E-4</v>
      </c>
    </row>
    <row r="115" spans="1:15" x14ac:dyDescent="0.25">
      <c r="A115" s="1">
        <v>46189</v>
      </c>
      <c r="B115" s="6">
        <v>57.4</v>
      </c>
      <c r="C115" s="6">
        <v>100.09</v>
      </c>
      <c r="F115" s="13">
        <f>F114+D115</f>
        <v>0.699237</v>
      </c>
      <c r="G115" s="13">
        <f t="shared" si="5"/>
        <v>1.2835000000000001</v>
      </c>
      <c r="H115" s="8">
        <f>B115+F115</f>
        <v>58.099236999999995</v>
      </c>
      <c r="I115" s="8">
        <f>C115+G115</f>
        <v>101.37350000000001</v>
      </c>
      <c r="J115" s="10">
        <f t="shared" si="6"/>
        <v>1.7448335853360692</v>
      </c>
      <c r="K115" s="10">
        <f t="shared" si="7"/>
        <v>1.7446624229505723</v>
      </c>
      <c r="L115" s="13">
        <f t="shared" si="8"/>
        <v>101.35698586028914</v>
      </c>
      <c r="M115" s="13">
        <f t="shared" si="9"/>
        <v>101.37350000000001</v>
      </c>
      <c r="N115" s="13">
        <f>M115-L115</f>
        <v>1.6514139710864129E-2</v>
      </c>
      <c r="O115" s="2">
        <f>N115/L115</f>
        <v>1.629304538872859E-4</v>
      </c>
    </row>
    <row r="116" spans="1:15" x14ac:dyDescent="0.25">
      <c r="A116" s="1">
        <v>46190</v>
      </c>
      <c r="B116" s="6">
        <v>57.33</v>
      </c>
      <c r="C116" s="6">
        <v>100</v>
      </c>
      <c r="F116" s="13">
        <f>F115+D116</f>
        <v>0.699237</v>
      </c>
      <c r="G116" s="13">
        <f t="shared" si="5"/>
        <v>1.2835000000000001</v>
      </c>
      <c r="H116" s="8">
        <f>B116+F116</f>
        <v>58.029236999999995</v>
      </c>
      <c r="I116" s="8">
        <f>C116+G116</f>
        <v>101.2835</v>
      </c>
      <c r="J116" s="10">
        <f t="shared" si="6"/>
        <v>1.7453874156573868</v>
      </c>
      <c r="K116" s="10">
        <f t="shared" si="7"/>
        <v>1.744817208011898</v>
      </c>
      <c r="L116" s="13">
        <f t="shared" si="8"/>
        <v>101.241429226393</v>
      </c>
      <c r="M116" s="13">
        <f t="shared" si="9"/>
        <v>101.2835</v>
      </c>
      <c r="N116" s="13">
        <f>M116-L116</f>
        <v>4.2070773607008505E-2</v>
      </c>
      <c r="O116" s="2">
        <f>N116/L116</f>
        <v>4.1554898946488721E-4</v>
      </c>
    </row>
    <row r="117" spans="1:15" x14ac:dyDescent="0.25">
      <c r="A117" s="1">
        <v>46191</v>
      </c>
      <c r="B117" s="6">
        <v>57.5</v>
      </c>
      <c r="C117" s="6">
        <v>100.24</v>
      </c>
      <c r="F117" s="13">
        <f>F116+D117</f>
        <v>0.699237</v>
      </c>
      <c r="G117" s="13">
        <f t="shared" si="5"/>
        <v>1.2835000000000001</v>
      </c>
      <c r="H117" s="8">
        <f>B117+F117</f>
        <v>58.199236999999997</v>
      </c>
      <c r="I117" s="8">
        <f>C117+G117</f>
        <v>101.5235</v>
      </c>
      <c r="J117" s="10">
        <f t="shared" si="6"/>
        <v>1.7444129035574814</v>
      </c>
      <c r="K117" s="10">
        <f t="shared" si="7"/>
        <v>1.7448070652460497</v>
      </c>
      <c r="L117" s="13">
        <f t="shared" si="8"/>
        <v>101.54703021076274</v>
      </c>
      <c r="M117" s="13">
        <f t="shared" si="9"/>
        <v>101.5235</v>
      </c>
      <c r="N117" s="13">
        <f>M117-L117</f>
        <v>-2.3530210762743309E-2</v>
      </c>
      <c r="O117" s="2">
        <f>N117/L117</f>
        <v>-2.317173699113201E-4</v>
      </c>
    </row>
    <row r="118" spans="1:15" x14ac:dyDescent="0.25">
      <c r="A118" s="1">
        <v>46195</v>
      </c>
      <c r="B118" s="6">
        <v>57.49</v>
      </c>
      <c r="C118" s="6">
        <v>100.28</v>
      </c>
      <c r="F118" s="13">
        <f>F117+D118</f>
        <v>0.699237</v>
      </c>
      <c r="G118" s="13">
        <f t="shared" si="5"/>
        <v>1.2835000000000001</v>
      </c>
      <c r="H118" s="8">
        <f>B118+F118</f>
        <v>58.189236999999999</v>
      </c>
      <c r="I118" s="8">
        <f>C118+G118</f>
        <v>101.5635</v>
      </c>
      <c r="J118" s="10">
        <f t="shared" si="6"/>
        <v>1.745400098647109</v>
      </c>
      <c r="K118" s="10">
        <f t="shared" si="7"/>
        <v>1.7448679914617895</v>
      </c>
      <c r="L118" s="13">
        <f t="shared" si="8"/>
        <v>101.52899183887685</v>
      </c>
      <c r="M118" s="13">
        <f t="shared" si="9"/>
        <v>101.5635</v>
      </c>
      <c r="N118" s="13">
        <f>M118-L118</f>
        <v>3.4508161123156356E-2</v>
      </c>
      <c r="O118" s="2">
        <f>N118/L118</f>
        <v>3.398848003722884E-4</v>
      </c>
    </row>
    <row r="119" spans="1:15" x14ac:dyDescent="0.25">
      <c r="A119" s="1">
        <v>46196</v>
      </c>
      <c r="B119" s="6">
        <v>57.45</v>
      </c>
      <c r="C119" s="6">
        <v>100.24</v>
      </c>
      <c r="F119" s="13">
        <f>F118+D119</f>
        <v>0.699237</v>
      </c>
      <c r="G119" s="13">
        <f t="shared" si="5"/>
        <v>1.2835000000000001</v>
      </c>
      <c r="H119" s="8">
        <f>B119+F119</f>
        <v>58.149236999999999</v>
      </c>
      <c r="I119" s="8">
        <f>C119+G119</f>
        <v>101.5235</v>
      </c>
      <c r="J119" s="10">
        <f t="shared" si="6"/>
        <v>1.7459128483491537</v>
      </c>
      <c r="K119" s="10">
        <f t="shared" si="7"/>
        <v>1.7449650886644943</v>
      </c>
      <c r="L119" s="13">
        <f t="shared" si="8"/>
        <v>101.46274236922557</v>
      </c>
      <c r="M119" s="13">
        <f t="shared" si="9"/>
        <v>101.5235</v>
      </c>
      <c r="N119" s="13">
        <f>M119-L119</f>
        <v>6.0757630774432414E-2</v>
      </c>
      <c r="O119" s="2">
        <f>N119/L119</f>
        <v>5.9881715549668277E-4</v>
      </c>
    </row>
    <row r="120" spans="1:15" x14ac:dyDescent="0.25">
      <c r="A120" s="1">
        <v>46197</v>
      </c>
      <c r="B120" s="6">
        <v>57.51</v>
      </c>
      <c r="C120" s="6">
        <v>100.34</v>
      </c>
      <c r="F120" s="13">
        <f>F119+D120</f>
        <v>0.699237</v>
      </c>
      <c r="G120" s="13">
        <f t="shared" si="5"/>
        <v>1.2835000000000001</v>
      </c>
      <c r="H120" s="8">
        <f>B120+F120</f>
        <v>58.209236999999995</v>
      </c>
      <c r="I120" s="8">
        <f>C120+G120</f>
        <v>101.62350000000001</v>
      </c>
      <c r="J120" s="10">
        <f t="shared" si="6"/>
        <v>1.7458311642188338</v>
      </c>
      <c r="K120" s="10">
        <f t="shared" si="7"/>
        <v>1.7450655208495267</v>
      </c>
      <c r="L120" s="13">
        <f t="shared" si="8"/>
        <v>101.57308640279756</v>
      </c>
      <c r="M120" s="13">
        <f t="shared" si="9"/>
        <v>101.62350000000001</v>
      </c>
      <c r="N120" s="13">
        <f>M120-L120</f>
        <v>5.0413597202449978E-2</v>
      </c>
      <c r="O120" s="2">
        <f>N120/L120</f>
        <v>4.9632829903907961E-4</v>
      </c>
    </row>
    <row r="121" spans="1:15" x14ac:dyDescent="0.25">
      <c r="A121" s="1">
        <v>46198</v>
      </c>
      <c r="B121" s="6">
        <v>57.55</v>
      </c>
      <c r="C121" s="6">
        <v>100.43</v>
      </c>
      <c r="F121" s="13">
        <f>F120+D121</f>
        <v>0.699237</v>
      </c>
      <c r="G121" s="13">
        <f t="shared" si="5"/>
        <v>1.2835000000000001</v>
      </c>
      <c r="H121" s="8">
        <f>B121+F121</f>
        <v>58.249236999999994</v>
      </c>
      <c r="I121" s="8">
        <f>C121+G121</f>
        <v>101.71350000000001</v>
      </c>
      <c r="J121" s="10">
        <f t="shared" si="6"/>
        <v>1.7461773791131379</v>
      </c>
      <c r="K121" s="10">
        <f t="shared" si="7"/>
        <v>1.7451266179352565</v>
      </c>
      <c r="L121" s="13">
        <f t="shared" si="8"/>
        <v>101.64873510449252</v>
      </c>
      <c r="M121" s="13">
        <f t="shared" si="9"/>
        <v>101.71350000000001</v>
      </c>
      <c r="N121" s="13">
        <f>M121-L121</f>
        <v>6.4764895507494202E-2</v>
      </c>
      <c r="O121" s="2">
        <f>N121/L121</f>
        <v>6.3714413603787007E-4</v>
      </c>
    </row>
    <row r="122" spans="1:15" x14ac:dyDescent="0.25">
      <c r="A122" s="1">
        <v>46199</v>
      </c>
      <c r="B122" s="6">
        <v>57.6</v>
      </c>
      <c r="C122" s="6">
        <v>100.5</v>
      </c>
      <c r="F122" s="13">
        <f>F121+D122</f>
        <v>0.699237</v>
      </c>
      <c r="G122" s="13">
        <f t="shared" si="5"/>
        <v>1.2835000000000001</v>
      </c>
      <c r="H122" s="8">
        <f>B122+F122</f>
        <v>58.299236999999998</v>
      </c>
      <c r="I122" s="8">
        <f>C122+G122</f>
        <v>101.7835</v>
      </c>
      <c r="J122" s="10">
        <f t="shared" si="6"/>
        <v>1.7458804821064813</v>
      </c>
      <c r="K122" s="10">
        <f t="shared" si="7"/>
        <v>1.7451918501460291</v>
      </c>
      <c r="L122" s="13">
        <f t="shared" si="8"/>
        <v>101.73955029401597</v>
      </c>
      <c r="M122" s="13">
        <f t="shared" si="9"/>
        <v>101.7835</v>
      </c>
      <c r="N122" s="13">
        <f>M122-L122</f>
        <v>4.3949705984033471E-2</v>
      </c>
      <c r="O122" s="2">
        <f>N122/L122</f>
        <v>4.3198250687194619E-4</v>
      </c>
    </row>
    <row r="123" spans="1:15" x14ac:dyDescent="0.25">
      <c r="A123" s="1">
        <v>46202</v>
      </c>
      <c r="B123" s="6">
        <v>57.65</v>
      </c>
      <c r="C123" s="6">
        <v>100.61</v>
      </c>
      <c r="F123" s="13">
        <f>F122+D123</f>
        <v>0.699237</v>
      </c>
      <c r="G123" s="13">
        <f t="shared" si="5"/>
        <v>1.2835000000000001</v>
      </c>
      <c r="H123" s="8">
        <f>B123+F123</f>
        <v>58.349236999999995</v>
      </c>
      <c r="I123" s="8">
        <f>C123+G123</f>
        <v>101.8935</v>
      </c>
      <c r="J123" s="10">
        <f t="shared" si="6"/>
        <v>1.7462696213148428</v>
      </c>
      <c r="K123" s="10">
        <f t="shared" si="7"/>
        <v>1.7452372184031013</v>
      </c>
      <c r="L123" s="13">
        <f t="shared" si="8"/>
        <v>101.83061287463913</v>
      </c>
      <c r="M123" s="13">
        <f t="shared" si="9"/>
        <v>101.8935</v>
      </c>
      <c r="N123" s="13">
        <f>M123-L123</f>
        <v>6.2887125360873597E-2</v>
      </c>
      <c r="O123" s="2">
        <f>N123/L123</f>
        <v>6.1756601070733232E-4</v>
      </c>
    </row>
    <row r="124" spans="1:15" x14ac:dyDescent="0.25">
      <c r="A124" s="1">
        <v>46203</v>
      </c>
      <c r="B124" s="6">
        <v>57.64</v>
      </c>
      <c r="C124" s="6">
        <v>100.6</v>
      </c>
      <c r="F124" s="13">
        <f>F123+D124</f>
        <v>0.699237</v>
      </c>
      <c r="G124" s="13">
        <f t="shared" si="5"/>
        <v>1.2835000000000001</v>
      </c>
      <c r="H124" s="8">
        <f>B124+F124</f>
        <v>58.339236999999997</v>
      </c>
      <c r="I124" s="8">
        <f>C124+G124</f>
        <v>101.8835</v>
      </c>
      <c r="J124" s="10">
        <f t="shared" si="6"/>
        <v>1.7463975403037926</v>
      </c>
      <c r="K124" s="10">
        <f t="shared" si="7"/>
        <v>1.7452902403162809</v>
      </c>
      <c r="L124" s="13">
        <f t="shared" si="8"/>
        <v>101.81580770563929</v>
      </c>
      <c r="M124" s="13">
        <f t="shared" si="9"/>
        <v>101.8835</v>
      </c>
      <c r="N124" s="13">
        <f>M124-L124</f>
        <v>6.7692294360711003E-2</v>
      </c>
      <c r="O124" s="2">
        <f>N124/L124</f>
        <v>6.6485053633731292E-4</v>
      </c>
    </row>
    <row r="125" spans="1:15" x14ac:dyDescent="0.25">
      <c r="A125" s="1">
        <v>46204</v>
      </c>
      <c r="B125" s="6">
        <v>57.51</v>
      </c>
      <c r="C125" s="6">
        <v>100.3</v>
      </c>
      <c r="D125" s="13">
        <v>0.14266000000000001</v>
      </c>
      <c r="E125" s="13">
        <v>0.26240000000000002</v>
      </c>
      <c r="F125" s="13">
        <f>F124+D125</f>
        <v>0.84189700000000001</v>
      </c>
      <c r="G125" s="13">
        <f t="shared" si="5"/>
        <v>1.5459000000000001</v>
      </c>
      <c r="H125" s="8">
        <f>B125+F125</f>
        <v>58.351897000000001</v>
      </c>
      <c r="I125" s="8">
        <f>C125+G125</f>
        <v>101.8459</v>
      </c>
      <c r="J125" s="10">
        <f t="shared" si="6"/>
        <v>1.7453742763495761</v>
      </c>
      <c r="K125" s="10">
        <f t="shared" si="7"/>
        <v>1.7452895833508904</v>
      </c>
      <c r="L125" s="13">
        <f t="shared" si="8"/>
        <v>101.84099633804087</v>
      </c>
      <c r="M125" s="13">
        <f t="shared" si="9"/>
        <v>101.8459</v>
      </c>
      <c r="N125" s="13">
        <f>M125-L125</f>
        <v>4.9036619591333874E-3</v>
      </c>
      <c r="O125" s="2">
        <f>N125/L125</f>
        <v>4.8150176603306785E-5</v>
      </c>
    </row>
    <row r="126" spans="1:15" x14ac:dyDescent="0.25">
      <c r="A126" s="1">
        <v>46205</v>
      </c>
      <c r="B126" s="6">
        <v>57.58</v>
      </c>
      <c r="C126" s="6">
        <v>100.39</v>
      </c>
      <c r="F126" s="13">
        <f>F125+D126</f>
        <v>0.84189700000000001</v>
      </c>
      <c r="G126" s="13">
        <f t="shared" si="5"/>
        <v>1.5459000000000001</v>
      </c>
      <c r="H126" s="8">
        <f>B126+F126</f>
        <v>58.421897000000001</v>
      </c>
      <c r="I126" s="8">
        <f>C126+G126</f>
        <v>101.9359</v>
      </c>
      <c r="J126" s="10">
        <f t="shared" si="6"/>
        <v>1.7448235205371712</v>
      </c>
      <c r="K126" s="10">
        <f t="shared" si="7"/>
        <v>1.7452743970849647</v>
      </c>
      <c r="L126" s="13">
        <f t="shared" si="8"/>
        <v>101.96312827369863</v>
      </c>
      <c r="M126" s="13">
        <f t="shared" si="9"/>
        <v>101.9359</v>
      </c>
      <c r="N126" s="13">
        <f>M126-L126</f>
        <v>-2.7228273698625571E-2</v>
      </c>
      <c r="O126" s="2">
        <f>N126/L126</f>
        <v>-2.6704039155739693E-4</v>
      </c>
    </row>
    <row r="127" spans="1:15" x14ac:dyDescent="0.25">
      <c r="A127" s="1">
        <v>46209</v>
      </c>
      <c r="B127" s="6">
        <v>57.58</v>
      </c>
      <c r="C127" s="6">
        <v>100.43</v>
      </c>
      <c r="F127" s="13">
        <f>F126+D127</f>
        <v>0.84189700000000001</v>
      </c>
      <c r="G127" s="13">
        <f t="shared" si="5"/>
        <v>1.5459000000000001</v>
      </c>
      <c r="H127" s="8">
        <f>B127+F127</f>
        <v>58.421897000000001</v>
      </c>
      <c r="I127" s="8">
        <f>C127+G127</f>
        <v>101.97590000000001</v>
      </c>
      <c r="J127" s="10">
        <f t="shared" si="6"/>
        <v>1.7455081953261464</v>
      </c>
      <c r="K127" s="10">
        <f t="shared" si="7"/>
        <v>1.7453555656459336</v>
      </c>
      <c r="L127" s="13">
        <f t="shared" si="8"/>
        <v>101.96224106323491</v>
      </c>
      <c r="M127" s="13">
        <f t="shared" si="9"/>
        <v>101.97590000000001</v>
      </c>
      <c r="N127" s="13">
        <f>M127-L127</f>
        <v>1.3658936765096996E-2</v>
      </c>
      <c r="O127" s="2">
        <f>N127/L127</f>
        <v>1.3396073509826055E-4</v>
      </c>
    </row>
    <row r="128" spans="1:15" x14ac:dyDescent="0.25">
      <c r="A128" s="1">
        <v>46210</v>
      </c>
      <c r="B128" s="6">
        <v>57.48</v>
      </c>
      <c r="C128" s="6">
        <v>100.23</v>
      </c>
      <c r="F128" s="13">
        <f>F127+D128</f>
        <v>0.84189700000000001</v>
      </c>
      <c r="G128" s="13">
        <f t="shared" si="5"/>
        <v>1.5459000000000001</v>
      </c>
      <c r="H128" s="8">
        <f>B128+F128</f>
        <v>58.321897</v>
      </c>
      <c r="I128" s="8">
        <f>C128+G128</f>
        <v>101.77590000000001</v>
      </c>
      <c r="J128" s="10">
        <f t="shared" si="6"/>
        <v>1.7450718381125361</v>
      </c>
      <c r="K128" s="10">
        <f t="shared" si="7"/>
        <v>1.7453766367096599</v>
      </c>
      <c r="L128" s="13">
        <f t="shared" si="8"/>
        <v>101.79244752797888</v>
      </c>
      <c r="M128" s="13">
        <f t="shared" si="9"/>
        <v>101.77590000000001</v>
      </c>
      <c r="N128" s="13">
        <f>M128-L128</f>
        <v>-1.6547527978872267E-2</v>
      </c>
      <c r="O128" s="2">
        <f>N128/L128</f>
        <v>-1.6256145107743854E-4</v>
      </c>
    </row>
    <row r="129" spans="1:15" x14ac:dyDescent="0.25">
      <c r="A129" s="1">
        <v>46211</v>
      </c>
      <c r="B129" s="6">
        <v>57.33</v>
      </c>
      <c r="C129" s="6">
        <v>100.01</v>
      </c>
      <c r="F129" s="13">
        <f>F128+D129</f>
        <v>0.84189700000000001</v>
      </c>
      <c r="G129" s="13">
        <f t="shared" si="5"/>
        <v>1.5459000000000001</v>
      </c>
      <c r="H129" s="8">
        <f>B129+F129</f>
        <v>58.171897000000001</v>
      </c>
      <c r="I129" s="8">
        <f>C129+G129</f>
        <v>101.55590000000001</v>
      </c>
      <c r="J129" s="10">
        <f t="shared" si="6"/>
        <v>1.7457897238592719</v>
      </c>
      <c r="K129" s="10">
        <f t="shared" si="7"/>
        <v>1.7454055334935923</v>
      </c>
      <c r="L129" s="13">
        <f t="shared" si="8"/>
        <v>101.53186993688075</v>
      </c>
      <c r="M129" s="13">
        <f t="shared" si="9"/>
        <v>101.55590000000001</v>
      </c>
      <c r="N129" s="13">
        <f>M129-L129</f>
        <v>2.4030063119255374E-2</v>
      </c>
      <c r="O129" s="2">
        <f>N129/L129</f>
        <v>2.3667507684231687E-4</v>
      </c>
    </row>
    <row r="130" spans="1:15" x14ac:dyDescent="0.25">
      <c r="A130" s="1">
        <v>46212</v>
      </c>
      <c r="B130" s="6">
        <v>57.36</v>
      </c>
      <c r="C130" s="6">
        <v>100.05</v>
      </c>
      <c r="F130" s="13">
        <f>F129+D130</f>
        <v>0.84189700000000001</v>
      </c>
      <c r="G130" s="13">
        <f t="shared" si="5"/>
        <v>1.5459000000000001</v>
      </c>
      <c r="H130" s="8">
        <f>B130+F130</f>
        <v>58.201897000000002</v>
      </c>
      <c r="I130" s="8">
        <f>C130+G130</f>
        <v>101.5959</v>
      </c>
      <c r="J130" s="10">
        <f t="shared" si="6"/>
        <v>1.745577124401976</v>
      </c>
      <c r="K130" s="10">
        <f t="shared" si="7"/>
        <v>1.745475132943191</v>
      </c>
      <c r="L130" s="13">
        <f t="shared" si="8"/>
        <v>101.58591308362411</v>
      </c>
      <c r="M130" s="13">
        <f t="shared" si="9"/>
        <v>101.5959</v>
      </c>
      <c r="N130" s="13">
        <f>M130-L130</f>
        <v>9.9869163758938839E-3</v>
      </c>
      <c r="O130" s="2">
        <f>N130/L130</f>
        <v>9.8310051785160347E-5</v>
      </c>
    </row>
    <row r="131" spans="1:15" x14ac:dyDescent="0.25">
      <c r="A131" s="1">
        <v>46213</v>
      </c>
      <c r="B131" s="6">
        <v>57.35</v>
      </c>
      <c r="C131" s="6">
        <v>100.09</v>
      </c>
      <c r="F131" s="13">
        <f>F130+D131</f>
        <v>0.84189700000000001</v>
      </c>
      <c r="G131" s="13">
        <f t="shared" si="5"/>
        <v>1.5459000000000001</v>
      </c>
      <c r="H131" s="8">
        <f>B131+F131</f>
        <v>58.191897000000004</v>
      </c>
      <c r="I131" s="8">
        <f>C131+G131</f>
        <v>101.63590000000001</v>
      </c>
      <c r="J131" s="10">
        <f t="shared" si="6"/>
        <v>1.7465644744318956</v>
      </c>
      <c r="K131" s="10">
        <f t="shared" si="7"/>
        <v>1.7455150002936546</v>
      </c>
      <c r="L131" s="13">
        <f t="shared" si="8"/>
        <v>101.57250915229149</v>
      </c>
      <c r="M131" s="13">
        <f t="shared" si="9"/>
        <v>101.63590000000001</v>
      </c>
      <c r="N131" s="13">
        <f>M131-L131</f>
        <v>6.339084770851855E-2</v>
      </c>
      <c r="O131" s="2">
        <f>N131/L131</f>
        <v>6.2409453342807814E-4</v>
      </c>
    </row>
    <row r="132" spans="1:15" x14ac:dyDescent="0.25">
      <c r="A132" s="1">
        <v>46216</v>
      </c>
      <c r="B132" s="6">
        <v>57.33</v>
      </c>
      <c r="C132" s="6">
        <v>99.97</v>
      </c>
      <c r="F132" s="13">
        <f>F131+D132</f>
        <v>0.84189700000000001</v>
      </c>
      <c r="G132" s="13">
        <f t="shared" ref="G132:G175" si="10">G131+E132</f>
        <v>1.5459000000000001</v>
      </c>
      <c r="H132" s="8">
        <f>B132+F132</f>
        <v>58.171897000000001</v>
      </c>
      <c r="I132" s="8">
        <f>C132+G132</f>
        <v>101.5159</v>
      </c>
      <c r="J132" s="10">
        <f t="shared" ref="J132:J175" si="11">I132/H132</f>
        <v>1.7451021066065631</v>
      </c>
      <c r="K132" s="10">
        <f t="shared" si="7"/>
        <v>1.7455352002262092</v>
      </c>
      <c r="L132" s="13">
        <f t="shared" si="8"/>
        <v>101.53991880903745</v>
      </c>
      <c r="M132" s="13">
        <f t="shared" si="9"/>
        <v>101.5159</v>
      </c>
      <c r="N132" s="13">
        <f>M132-L132</f>
        <v>-2.4018809037443134E-2</v>
      </c>
      <c r="O132" s="2">
        <f>N132/L132</f>
        <v>-2.3654548200510643E-4</v>
      </c>
    </row>
    <row r="133" spans="1:15" x14ac:dyDescent="0.25">
      <c r="A133" s="1">
        <v>46217</v>
      </c>
      <c r="B133" s="6">
        <v>57.34</v>
      </c>
      <c r="C133" s="6">
        <v>100.02</v>
      </c>
      <c r="F133" s="13">
        <f>F132+D133</f>
        <v>0.84189700000000001</v>
      </c>
      <c r="G133" s="13">
        <f t="shared" si="10"/>
        <v>1.5459000000000001</v>
      </c>
      <c r="H133" s="8">
        <f>B133+F133</f>
        <v>58.181897000000006</v>
      </c>
      <c r="I133" s="8">
        <f>C133+G133</f>
        <v>101.5659</v>
      </c>
      <c r="J133" s="10">
        <f t="shared" si="11"/>
        <v>1.7456615414241303</v>
      </c>
      <c r="K133" s="10">
        <f t="shared" si="7"/>
        <v>1.7455532956876763</v>
      </c>
      <c r="L133" s="13">
        <f t="shared" si="8"/>
        <v>101.5585492294357</v>
      </c>
      <c r="M133" s="13">
        <f t="shared" si="9"/>
        <v>101.5659</v>
      </c>
      <c r="N133" s="13">
        <f>M133-L133</f>
        <v>7.3507705643010013E-3</v>
      </c>
      <c r="O133" s="2">
        <f>N133/L133</f>
        <v>7.2379633424011694E-5</v>
      </c>
    </row>
    <row r="134" spans="1:15" x14ac:dyDescent="0.25">
      <c r="A134" s="1">
        <v>46218</v>
      </c>
      <c r="B134" s="6">
        <v>57.25</v>
      </c>
      <c r="C134" s="6">
        <v>99.85</v>
      </c>
      <c r="F134" s="13">
        <f>F133+D134</f>
        <v>0.84189700000000001</v>
      </c>
      <c r="G134" s="13">
        <f t="shared" si="10"/>
        <v>1.5459000000000001</v>
      </c>
      <c r="H134" s="8">
        <f>B134+F134</f>
        <v>58.091897000000003</v>
      </c>
      <c r="I134" s="8">
        <f>C134+G134</f>
        <v>101.3959</v>
      </c>
      <c r="J134" s="10">
        <f t="shared" si="11"/>
        <v>1.74543964367354</v>
      </c>
      <c r="K134" s="10">
        <f t="shared" si="7"/>
        <v>1.7455707741663549</v>
      </c>
      <c r="L134" s="13">
        <f t="shared" si="8"/>
        <v>101.40250226109904</v>
      </c>
      <c r="M134" s="13">
        <f t="shared" si="9"/>
        <v>101.3959</v>
      </c>
      <c r="N134" s="13">
        <f>M134-L134</f>
        <v>-6.6022610990472685E-3</v>
      </c>
      <c r="O134" s="2">
        <f>N134/L134</f>
        <v>-6.5109449489197547E-5</v>
      </c>
    </row>
    <row r="135" spans="1:15" x14ac:dyDescent="0.25">
      <c r="A135" s="1">
        <v>46219</v>
      </c>
      <c r="B135" s="6">
        <v>57.12</v>
      </c>
      <c r="C135" s="6">
        <v>99.69</v>
      </c>
      <c r="F135" s="13">
        <f>F134+D135</f>
        <v>0.84189700000000001</v>
      </c>
      <c r="G135" s="13">
        <f t="shared" si="10"/>
        <v>1.5459000000000001</v>
      </c>
      <c r="H135" s="8">
        <f>B135+F135</f>
        <v>57.961897</v>
      </c>
      <c r="I135" s="8">
        <f>C135+G135</f>
        <v>101.2359</v>
      </c>
      <c r="J135" s="10">
        <f t="shared" si="11"/>
        <v>1.746593973623741</v>
      </c>
      <c r="K135" s="10">
        <f t="shared" si="7"/>
        <v>1.7456587935807382</v>
      </c>
      <c r="L135" s="13">
        <f t="shared" si="8"/>
        <v>101.17659341844052</v>
      </c>
      <c r="M135" s="13">
        <f t="shared" si="9"/>
        <v>101.2359</v>
      </c>
      <c r="N135" s="13">
        <f>M135-L135</f>
        <v>5.9306581559482652E-2</v>
      </c>
      <c r="O135" s="2">
        <f>N135/L135</f>
        <v>5.8616898983943641E-4</v>
      </c>
    </row>
    <row r="136" spans="1:15" x14ac:dyDescent="0.25">
      <c r="A136" s="1">
        <v>46220</v>
      </c>
      <c r="B136" s="6">
        <v>57.11</v>
      </c>
      <c r="C136" s="6">
        <v>99.63</v>
      </c>
      <c r="F136" s="13">
        <f>F135+D136</f>
        <v>0.84189700000000001</v>
      </c>
      <c r="G136" s="13">
        <f t="shared" si="10"/>
        <v>1.5459000000000001</v>
      </c>
      <c r="H136" s="8">
        <f>B136+F136</f>
        <v>57.951897000000002</v>
      </c>
      <c r="I136" s="8">
        <f>C136+G136</f>
        <v>101.1759</v>
      </c>
      <c r="J136" s="10">
        <f t="shared" si="11"/>
        <v>1.7458600190430349</v>
      </c>
      <c r="K136" s="10">
        <f t="shared" si="7"/>
        <v>1.7456824237500208</v>
      </c>
      <c r="L136" s="13">
        <f t="shared" si="8"/>
        <v>101.16423860273521</v>
      </c>
      <c r="M136" s="13">
        <f t="shared" si="9"/>
        <v>101.1759</v>
      </c>
      <c r="N136" s="13">
        <f>M136-L136</f>
        <v>1.166139726478832E-2</v>
      </c>
      <c r="O136" s="2">
        <f>N136/L136</f>
        <v>1.1527193231376752E-4</v>
      </c>
    </row>
    <row r="137" spans="1:15" x14ac:dyDescent="0.25">
      <c r="A137" s="1">
        <v>46223</v>
      </c>
      <c r="B137" s="6">
        <v>57.06</v>
      </c>
      <c r="C137" s="6">
        <v>99.52</v>
      </c>
      <c r="F137" s="13">
        <f>F136+D137</f>
        <v>0.84189700000000001</v>
      </c>
      <c r="G137" s="13">
        <f t="shared" si="10"/>
        <v>1.5459000000000001</v>
      </c>
      <c r="H137" s="8">
        <f>B137+F137</f>
        <v>57.901897000000005</v>
      </c>
      <c r="I137" s="8">
        <f>C137+G137</f>
        <v>101.0659</v>
      </c>
      <c r="J137" s="10">
        <f t="shared" si="11"/>
        <v>1.7454678557422736</v>
      </c>
      <c r="K137" s="10">
        <f t="shared" si="7"/>
        <v>1.7457351713592604</v>
      </c>
      <c r="L137" s="13">
        <f t="shared" si="8"/>
        <v>101.07832389468406</v>
      </c>
      <c r="M137" s="13">
        <f t="shared" si="9"/>
        <v>101.0659</v>
      </c>
      <c r="N137" s="13">
        <f>M137-L137</f>
        <v>-1.242389468406202E-2</v>
      </c>
      <c r="O137" s="2">
        <f>N137/L137</f>
        <v>-1.2291354076079432E-4</v>
      </c>
    </row>
    <row r="138" spans="1:15" x14ac:dyDescent="0.25">
      <c r="A138" s="1">
        <v>46224</v>
      </c>
      <c r="B138" s="6">
        <v>57</v>
      </c>
      <c r="C138" s="6">
        <v>99.39</v>
      </c>
      <c r="F138" s="13">
        <f>F137+D138</f>
        <v>0.84189700000000001</v>
      </c>
      <c r="G138" s="13">
        <f t="shared" si="10"/>
        <v>1.5459000000000001</v>
      </c>
      <c r="H138" s="8">
        <f>B138+F138</f>
        <v>57.841897000000003</v>
      </c>
      <c r="I138" s="8">
        <f>C138+G138</f>
        <v>100.9359</v>
      </c>
      <c r="J138" s="10">
        <f t="shared" si="11"/>
        <v>1.7450309418448016</v>
      </c>
      <c r="K138" s="10">
        <f t="shared" si="7"/>
        <v>1.7457167135191451</v>
      </c>
      <c r="L138" s="13">
        <f t="shared" si="8"/>
        <v>100.97663397103969</v>
      </c>
      <c r="M138" s="13">
        <f t="shared" si="9"/>
        <v>100.9359</v>
      </c>
      <c r="N138" s="13">
        <f>M138-L138</f>
        <v>-4.0733971039685457E-2</v>
      </c>
      <c r="O138" s="2">
        <f>N138/L138</f>
        <v>-4.033999692579181E-4</v>
      </c>
    </row>
    <row r="139" spans="1:15" x14ac:dyDescent="0.25">
      <c r="A139" s="1">
        <v>46225</v>
      </c>
      <c r="B139" s="6">
        <v>56.81</v>
      </c>
      <c r="C139" s="6">
        <v>99.08</v>
      </c>
      <c r="F139" s="13">
        <f>F138+D139</f>
        <v>0.84189700000000001</v>
      </c>
      <c r="G139" s="13">
        <f t="shared" si="10"/>
        <v>1.5459000000000001</v>
      </c>
      <c r="H139" s="8">
        <f>B139+F139</f>
        <v>57.651897000000005</v>
      </c>
      <c r="I139" s="8">
        <f>C139+G139</f>
        <v>100.6259</v>
      </c>
      <c r="J139" s="10">
        <f t="shared" si="11"/>
        <v>1.7454048389769377</v>
      </c>
      <c r="K139" s="10">
        <f t="shared" si="7"/>
        <v>1.7456913130505343</v>
      </c>
      <c r="L139" s="13">
        <f t="shared" si="8"/>
        <v>100.64388015898427</v>
      </c>
      <c r="M139" s="13">
        <f t="shared" si="9"/>
        <v>100.6259</v>
      </c>
      <c r="N139" s="13">
        <f>M139-L139</f>
        <v>-1.7980158984272521E-2</v>
      </c>
      <c r="O139" s="2">
        <f>N139/L139</f>
        <v>-1.7865128963499594E-4</v>
      </c>
    </row>
    <row r="140" spans="1:15" x14ac:dyDescent="0.25">
      <c r="A140" s="1">
        <v>46226</v>
      </c>
      <c r="B140" s="6">
        <v>56.47</v>
      </c>
      <c r="C140" s="6">
        <v>98.44</v>
      </c>
      <c r="F140" s="13">
        <f>F139+D140</f>
        <v>0.84189700000000001</v>
      </c>
      <c r="G140" s="13">
        <f t="shared" si="10"/>
        <v>1.5459000000000001</v>
      </c>
      <c r="H140" s="8">
        <f>B140+F140</f>
        <v>57.311897000000002</v>
      </c>
      <c r="I140" s="8">
        <f>C140+G140</f>
        <v>99.985900000000001</v>
      </c>
      <c r="J140" s="10">
        <f t="shared" si="11"/>
        <v>1.7445924011204863</v>
      </c>
      <c r="K140" s="10">
        <f t="shared" si="7"/>
        <v>1.7456293748956166</v>
      </c>
      <c r="L140" s="13">
        <f t="shared" si="8"/>
        <v>100.04888072734698</v>
      </c>
      <c r="M140" s="13">
        <f t="shared" si="9"/>
        <v>99.985900000000001</v>
      </c>
      <c r="N140" s="13">
        <f>M140-L140</f>
        <v>-6.2980727346982235E-2</v>
      </c>
      <c r="O140" s="2">
        <f>N140/L140</f>
        <v>-6.2949956950160381E-4</v>
      </c>
    </row>
    <row r="141" spans="1:15" x14ac:dyDescent="0.25">
      <c r="A141" s="1">
        <v>46227</v>
      </c>
      <c r="B141" s="6">
        <v>56.52</v>
      </c>
      <c r="C141" s="6">
        <v>98.59</v>
      </c>
      <c r="F141" s="13">
        <f>F140+D141</f>
        <v>0.84189700000000001</v>
      </c>
      <c r="G141" s="13">
        <f t="shared" si="10"/>
        <v>1.5459000000000001</v>
      </c>
      <c r="H141" s="8">
        <f>B141+F141</f>
        <v>57.361897000000006</v>
      </c>
      <c r="I141" s="8">
        <f>C141+G141</f>
        <v>100.13590000000001</v>
      </c>
      <c r="J141" s="10">
        <f t="shared" si="11"/>
        <v>1.7456866881511954</v>
      </c>
      <c r="K141" s="10">
        <f t="shared" si="7"/>
        <v>1.7456048403475197</v>
      </c>
      <c r="L141" s="13">
        <f t="shared" si="8"/>
        <v>100.13261240293676</v>
      </c>
      <c r="M141" s="13">
        <f t="shared" si="9"/>
        <v>100.13590000000001</v>
      </c>
      <c r="N141" s="13">
        <f>M141-L141</f>
        <v>3.2875970632488816E-3</v>
      </c>
      <c r="O141" s="2">
        <f>N141/L141</f>
        <v>3.2832430757119251E-5</v>
      </c>
    </row>
    <row r="142" spans="1:15" x14ac:dyDescent="0.25">
      <c r="A142" s="1">
        <v>46230</v>
      </c>
      <c r="B142" s="6">
        <v>56.67</v>
      </c>
      <c r="C142" s="6">
        <v>98.77</v>
      </c>
      <c r="F142" s="13">
        <f>F141+D142</f>
        <v>0.84189700000000001</v>
      </c>
      <c r="G142" s="13">
        <f t="shared" si="10"/>
        <v>1.5459000000000001</v>
      </c>
      <c r="H142" s="8">
        <f>B142+F142</f>
        <v>57.511897000000005</v>
      </c>
      <c r="I142" s="8">
        <f>C142+G142</f>
        <v>100.3159</v>
      </c>
      <c r="J142" s="10">
        <f t="shared" si="11"/>
        <v>1.7442634521340861</v>
      </c>
      <c r="K142" s="10">
        <f t="shared" si="7"/>
        <v>1.7455239888489</v>
      </c>
      <c r="L142" s="13">
        <f t="shared" si="8"/>
        <v>100.39304578076801</v>
      </c>
      <c r="M142" s="13">
        <f t="shared" si="9"/>
        <v>100.3159</v>
      </c>
      <c r="N142" s="13">
        <f>M142-L142</f>
        <v>-7.7145780768006489E-2</v>
      </c>
      <c r="O142" s="2">
        <f>N142/L142</f>
        <v>-7.684374965221453E-4</v>
      </c>
    </row>
    <row r="143" spans="1:15" x14ac:dyDescent="0.25">
      <c r="A143" s="1">
        <v>46231</v>
      </c>
      <c r="B143" s="6">
        <v>56.74</v>
      </c>
      <c r="C143" s="6">
        <v>98.87</v>
      </c>
      <c r="F143" s="13">
        <f>F142+D143</f>
        <v>0.84189700000000001</v>
      </c>
      <c r="G143" s="13">
        <f t="shared" si="10"/>
        <v>1.5459000000000001</v>
      </c>
      <c r="H143" s="8">
        <f>B143+F143</f>
        <v>57.581897000000005</v>
      </c>
      <c r="I143" s="8">
        <f>C143+G143</f>
        <v>100.41590000000001</v>
      </c>
      <c r="J143" s="10">
        <f t="shared" si="11"/>
        <v>1.7438796780175547</v>
      </c>
      <c r="K143" s="10">
        <f t="shared" si="7"/>
        <v>1.7454044916840357</v>
      </c>
      <c r="L143" s="13">
        <f t="shared" si="8"/>
        <v>100.51058253692652</v>
      </c>
      <c r="M143" s="13">
        <f t="shared" si="9"/>
        <v>100.41590000000001</v>
      </c>
      <c r="N143" s="13">
        <f>M143-L143</f>
        <v>-9.4682536926512739E-2</v>
      </c>
      <c r="O143" s="2">
        <f>N143/L143</f>
        <v>-9.420156021056527E-4</v>
      </c>
    </row>
    <row r="144" spans="1:15" x14ac:dyDescent="0.25">
      <c r="A144" s="1">
        <v>46232</v>
      </c>
      <c r="B144" s="6">
        <v>56.59</v>
      </c>
      <c r="C144" s="6">
        <v>98.86</v>
      </c>
      <c r="F144" s="13">
        <f>F143+D144</f>
        <v>0.84189700000000001</v>
      </c>
      <c r="G144" s="13">
        <f t="shared" si="10"/>
        <v>1.5459000000000001</v>
      </c>
      <c r="H144" s="8">
        <f>B144+F144</f>
        <v>57.431897000000006</v>
      </c>
      <c r="I144" s="8">
        <f>C144+G144</f>
        <v>100.4059</v>
      </c>
      <c r="J144" s="10">
        <f t="shared" si="11"/>
        <v>1.7482602046037239</v>
      </c>
      <c r="K144" s="10">
        <f t="shared" si="7"/>
        <v>1.7454976248990319</v>
      </c>
      <c r="L144" s="13">
        <f t="shared" si="8"/>
        <v>100.2418909897349</v>
      </c>
      <c r="M144" s="13">
        <f t="shared" si="9"/>
        <v>100.4059</v>
      </c>
      <c r="N144" s="13">
        <f>M144-L144</f>
        <v>0.16400901026510439</v>
      </c>
      <c r="O144" s="2">
        <f>N144/L144</f>
        <v>1.6361324456848031E-3</v>
      </c>
    </row>
    <row r="145" spans="1:15" x14ac:dyDescent="0.25">
      <c r="A145" s="1">
        <v>46233</v>
      </c>
      <c r="B145" s="6">
        <v>56.56</v>
      </c>
      <c r="C145" s="6">
        <v>98.72</v>
      </c>
      <c r="F145" s="13">
        <f>F144+D145</f>
        <v>0.84189700000000001</v>
      </c>
      <c r="G145" s="13">
        <f t="shared" si="10"/>
        <v>1.5459000000000001</v>
      </c>
      <c r="H145" s="8">
        <f>B145+F145</f>
        <v>57.401897000000005</v>
      </c>
      <c r="I145" s="8">
        <f>C145+G145</f>
        <v>100.2659</v>
      </c>
      <c r="J145" s="10">
        <f t="shared" si="11"/>
        <v>1.7467349554667155</v>
      </c>
      <c r="K145" s="10">
        <f t="shared" si="7"/>
        <v>1.7455656588548891</v>
      </c>
      <c r="L145" s="13">
        <f t="shared" si="8"/>
        <v>100.19487487819887</v>
      </c>
      <c r="M145" s="13">
        <f t="shared" si="9"/>
        <v>100.2659</v>
      </c>
      <c r="N145" s="13">
        <f>M145-L145</f>
        <v>7.1025121801127966E-2</v>
      </c>
      <c r="O145" s="2">
        <f>N145/L145</f>
        <v>7.0886980883472445E-4</v>
      </c>
    </row>
    <row r="146" spans="1:15" x14ac:dyDescent="0.25">
      <c r="A146" s="1">
        <v>46234</v>
      </c>
      <c r="B146" s="6">
        <v>56.53</v>
      </c>
      <c r="C146" s="6">
        <v>98.66</v>
      </c>
      <c r="F146" s="13">
        <f>F145+D146</f>
        <v>0.84189700000000001</v>
      </c>
      <c r="G146" s="13">
        <f t="shared" si="10"/>
        <v>1.5459000000000001</v>
      </c>
      <c r="H146" s="8">
        <f>B146+F146</f>
        <v>57.371897000000004</v>
      </c>
      <c r="I146" s="8">
        <f>C146+G146</f>
        <v>100.2059</v>
      </c>
      <c r="J146" s="10">
        <f t="shared" si="11"/>
        <v>1.7466025221372756</v>
      </c>
      <c r="K146" s="10">
        <f t="shared" si="7"/>
        <v>1.7456546089348941</v>
      </c>
      <c r="L146" s="13">
        <f t="shared" si="8"/>
        <v>100.14641318655984</v>
      </c>
      <c r="M146" s="13">
        <f t="shared" si="9"/>
        <v>100.2059</v>
      </c>
      <c r="N146" s="13">
        <f>M146-L146</f>
        <v>5.9486813440159381E-2</v>
      </c>
      <c r="O146" s="2">
        <f>N146/L146</f>
        <v>5.9399844235402742E-4</v>
      </c>
    </row>
    <row r="147" spans="1:15" x14ac:dyDescent="0.25">
      <c r="A147" s="1">
        <v>46237</v>
      </c>
      <c r="B147" s="6">
        <v>56.37</v>
      </c>
      <c r="C147" s="6">
        <v>98.45</v>
      </c>
      <c r="D147" s="13">
        <v>0.14026</v>
      </c>
      <c r="E147" s="13">
        <v>0.25640000000000002</v>
      </c>
      <c r="F147" s="13">
        <f>F146+D147</f>
        <v>0.98215699999999995</v>
      </c>
      <c r="G147" s="13">
        <f t="shared" si="10"/>
        <v>1.8023</v>
      </c>
      <c r="H147" s="8">
        <f>B147+F147</f>
        <v>57.352156999999998</v>
      </c>
      <c r="I147" s="8">
        <f>C147+G147</f>
        <v>100.25230000000001</v>
      </c>
      <c r="J147" s="10">
        <f t="shared" si="11"/>
        <v>1.748012720777006</v>
      </c>
      <c r="K147" s="10">
        <f t="shared" si="7"/>
        <v>1.745779835207437</v>
      </c>
      <c r="L147" s="13">
        <f t="shared" si="8"/>
        <v>100.11705719940764</v>
      </c>
      <c r="M147" s="13">
        <f t="shared" si="9"/>
        <v>100.25230000000001</v>
      </c>
      <c r="N147" s="13">
        <f>M147-L147</f>
        <v>0.1352428005923656</v>
      </c>
      <c r="O147" s="2">
        <f>N147/L147</f>
        <v>1.3508467425585276E-3</v>
      </c>
    </row>
    <row r="148" spans="1:15" x14ac:dyDescent="0.25">
      <c r="A148" s="1">
        <v>46238</v>
      </c>
      <c r="B148" s="6">
        <v>56.59</v>
      </c>
      <c r="C148" s="6">
        <v>98.79</v>
      </c>
      <c r="F148" s="13">
        <f>F147+D148</f>
        <v>0.98215699999999995</v>
      </c>
      <c r="G148" s="13">
        <f t="shared" si="10"/>
        <v>1.8023</v>
      </c>
      <c r="H148" s="8">
        <f>B148+F148</f>
        <v>57.572157000000004</v>
      </c>
      <c r="I148" s="8">
        <f>C148+G148</f>
        <v>100.59230000000001</v>
      </c>
      <c r="J148" s="10">
        <f t="shared" si="11"/>
        <v>1.7472386869229166</v>
      </c>
      <c r="K148" s="10">
        <f t="shared" si="7"/>
        <v>1.7458881776479565</v>
      </c>
      <c r="L148" s="13">
        <f t="shared" si="8"/>
        <v>100.50831075999669</v>
      </c>
      <c r="M148" s="13">
        <f t="shared" si="9"/>
        <v>100.59230000000001</v>
      </c>
      <c r="N148" s="13">
        <f>M148-L148</f>
        <v>8.398924000331931E-2</v>
      </c>
      <c r="O148" s="2">
        <f>N148/L148</f>
        <v>8.356447279655989E-4</v>
      </c>
    </row>
    <row r="149" spans="1:15" x14ac:dyDescent="0.25">
      <c r="A149" s="1">
        <v>46239</v>
      </c>
      <c r="B149" s="6">
        <v>56.68</v>
      </c>
      <c r="C149" s="6">
        <v>98.89</v>
      </c>
      <c r="F149" s="13">
        <f>F148+D149</f>
        <v>0.98215699999999995</v>
      </c>
      <c r="G149" s="13">
        <f t="shared" si="10"/>
        <v>1.8023</v>
      </c>
      <c r="H149" s="8">
        <f>B149+F149</f>
        <v>57.662157000000001</v>
      </c>
      <c r="I149" s="8">
        <f>C149+G149</f>
        <v>100.6923</v>
      </c>
      <c r="J149" s="10">
        <f t="shared" si="11"/>
        <v>1.7462458090147408</v>
      </c>
      <c r="K149" s="10">
        <f t="shared" si="7"/>
        <v>1.7459109819057292</v>
      </c>
      <c r="L149" s="13">
        <f t="shared" si="8"/>
        <v>100.67167820398036</v>
      </c>
      <c r="M149" s="13">
        <f t="shared" si="9"/>
        <v>100.6923</v>
      </c>
      <c r="N149" s="13">
        <f>M149-L149</f>
        <v>2.062179601963976E-2</v>
      </c>
      <c r="O149" s="2">
        <f>N149/L149</f>
        <v>2.0484208058850473E-4</v>
      </c>
    </row>
    <row r="150" spans="1:15" x14ac:dyDescent="0.25">
      <c r="A150" s="1">
        <v>46240</v>
      </c>
      <c r="B150" s="6">
        <v>56.66</v>
      </c>
      <c r="C150" s="6">
        <v>98.86</v>
      </c>
      <c r="F150" s="13">
        <f>F149+D150</f>
        <v>0.98215699999999995</v>
      </c>
      <c r="G150" s="13">
        <f t="shared" si="10"/>
        <v>1.8023</v>
      </c>
      <c r="H150" s="8">
        <f>B150+F150</f>
        <v>57.642156999999997</v>
      </c>
      <c r="I150" s="8">
        <f>C150+G150</f>
        <v>100.6623</v>
      </c>
      <c r="J150" s="10">
        <f t="shared" si="11"/>
        <v>1.7463312484992539</v>
      </c>
      <c r="K150" s="10">
        <f t="shared" si="7"/>
        <v>1.7459486881105932</v>
      </c>
      <c r="L150" s="13">
        <f t="shared" si="8"/>
        <v>100.6380749270342</v>
      </c>
      <c r="M150" s="13">
        <f t="shared" si="9"/>
        <v>100.6623</v>
      </c>
      <c r="N150" s="13">
        <f>M150-L150</f>
        <v>2.4225072965805339E-2</v>
      </c>
      <c r="O150" s="2">
        <f>N150/L150</f>
        <v>2.4071478894413756E-4</v>
      </c>
    </row>
    <row r="151" spans="1:15" x14ac:dyDescent="0.25">
      <c r="A151" s="1">
        <v>46241</v>
      </c>
      <c r="B151" s="6">
        <v>56.83</v>
      </c>
      <c r="C151" s="6">
        <v>99.14</v>
      </c>
      <c r="F151" s="13">
        <f>F150+D151</f>
        <v>0.98215699999999995</v>
      </c>
      <c r="G151" s="13">
        <f t="shared" si="10"/>
        <v>1.8023</v>
      </c>
      <c r="H151" s="8">
        <f>B151+F151</f>
        <v>57.812156999999999</v>
      </c>
      <c r="I151" s="8">
        <f>C151+G151</f>
        <v>100.9423</v>
      </c>
      <c r="J151" s="10">
        <f t="shared" si="11"/>
        <v>1.7460393321771406</v>
      </c>
      <c r="K151" s="10">
        <f t="shared" ref="K151:K175" si="12">AVERAGE(J132:J151)</f>
        <v>1.7459224309978558</v>
      </c>
      <c r="L151" s="13">
        <f t="shared" si="8"/>
        <v>100.93705967099365</v>
      </c>
      <c r="M151" s="13">
        <f t="shared" si="9"/>
        <v>100.9423</v>
      </c>
      <c r="N151" s="13">
        <f>M151-L151</f>
        <v>5.2403290063551822E-3</v>
      </c>
      <c r="O151" s="2">
        <f>N151/L151</f>
        <v>5.1916798680644538E-5</v>
      </c>
    </row>
    <row r="152" spans="1:15" x14ac:dyDescent="0.25">
      <c r="A152" s="1">
        <v>46244</v>
      </c>
      <c r="B152" s="6">
        <v>56.79</v>
      </c>
      <c r="C152" s="6">
        <v>99.1</v>
      </c>
      <c r="F152" s="13">
        <f>F151+D152</f>
        <v>0.98215699999999995</v>
      </c>
      <c r="G152" s="13">
        <f t="shared" si="10"/>
        <v>1.8023</v>
      </c>
      <c r="H152" s="8">
        <f>B152+F152</f>
        <v>57.772157</v>
      </c>
      <c r="I152" s="8">
        <f>C152+G152</f>
        <v>100.9023</v>
      </c>
      <c r="J152" s="10">
        <f t="shared" si="11"/>
        <v>1.7465558711958773</v>
      </c>
      <c r="K152" s="10">
        <f t="shared" si="12"/>
        <v>1.7459951192273215</v>
      </c>
      <c r="L152" s="13">
        <f t="shared" ref="L152:L175" si="13">K151*H152</f>
        <v>100.8657047934298</v>
      </c>
      <c r="M152" s="13">
        <f t="shared" ref="M152:M175" si="14">I152</f>
        <v>100.9023</v>
      </c>
      <c r="N152" s="13">
        <f>M152-L152</f>
        <v>3.6595206570197547E-2</v>
      </c>
      <c r="O152" s="2">
        <f>N152/L152</f>
        <v>3.6281119182326169E-4</v>
      </c>
    </row>
    <row r="153" spans="1:15" x14ac:dyDescent="0.25">
      <c r="A153" s="1">
        <v>46245</v>
      </c>
      <c r="B153" s="6">
        <v>56.83</v>
      </c>
      <c r="C153" s="6">
        <v>99.17</v>
      </c>
      <c r="F153" s="13">
        <f>F152+D153</f>
        <v>0.98215699999999995</v>
      </c>
      <c r="G153" s="13">
        <f t="shared" si="10"/>
        <v>1.8023</v>
      </c>
      <c r="H153" s="8">
        <f>B153+F153</f>
        <v>57.812156999999999</v>
      </c>
      <c r="I153" s="8">
        <f>C153+G153</f>
        <v>100.9723</v>
      </c>
      <c r="J153" s="10">
        <f t="shared" si="11"/>
        <v>1.7465582541748097</v>
      </c>
      <c r="K153" s="10">
        <f t="shared" si="12"/>
        <v>1.7460399548648557</v>
      </c>
      <c r="L153" s="13">
        <f t="shared" si="13"/>
        <v>100.93974395400363</v>
      </c>
      <c r="M153" s="13">
        <f t="shared" si="14"/>
        <v>100.9723</v>
      </c>
      <c r="N153" s="13">
        <f>M153-L153</f>
        <v>3.2556045996372518E-2</v>
      </c>
      <c r="O153" s="2">
        <f>N153/L153</f>
        <v>3.2252950840857793E-4</v>
      </c>
    </row>
    <row r="154" spans="1:15" x14ac:dyDescent="0.25">
      <c r="A154" s="1">
        <v>46246</v>
      </c>
      <c r="B154" s="6">
        <v>56.85</v>
      </c>
      <c r="C154" s="6">
        <v>99.21</v>
      </c>
      <c r="F154" s="13">
        <f>F153+D154</f>
        <v>0.98215699999999995</v>
      </c>
      <c r="G154" s="13">
        <f t="shared" si="10"/>
        <v>1.8023</v>
      </c>
      <c r="H154" s="8">
        <f>B154+F154</f>
        <v>57.832157000000002</v>
      </c>
      <c r="I154" s="8">
        <f>C154+G154</f>
        <v>101.0123</v>
      </c>
      <c r="J154" s="10">
        <f t="shared" si="11"/>
        <v>1.7466459015180775</v>
      </c>
      <c r="K154" s="10">
        <f t="shared" si="12"/>
        <v>1.7461002677570825</v>
      </c>
      <c r="L154" s="13">
        <f t="shared" si="13"/>
        <v>100.97725679801725</v>
      </c>
      <c r="M154" s="13">
        <f t="shared" si="14"/>
        <v>101.0123</v>
      </c>
      <c r="N154" s="13">
        <f>M154-L154</f>
        <v>3.5043201982745131E-2</v>
      </c>
      <c r="O154" s="2">
        <f>N154/L154</f>
        <v>3.4704054253366514E-4</v>
      </c>
    </row>
    <row r="155" spans="1:15" x14ac:dyDescent="0.25">
      <c r="A155" s="1">
        <v>46247</v>
      </c>
      <c r="B155" s="6">
        <v>56.93</v>
      </c>
      <c r="C155" s="6">
        <v>99.35</v>
      </c>
      <c r="F155" s="13">
        <f>F154+D155</f>
        <v>0.98215699999999995</v>
      </c>
      <c r="G155" s="13">
        <f t="shared" si="10"/>
        <v>1.8023</v>
      </c>
      <c r="H155" s="8">
        <f>B155+F155</f>
        <v>57.912157000000001</v>
      </c>
      <c r="I155" s="8">
        <f>C155+G155</f>
        <v>101.1523</v>
      </c>
      <c r="J155" s="10">
        <f t="shared" si="11"/>
        <v>1.7466505348781949</v>
      </c>
      <c r="K155" s="10">
        <f t="shared" si="12"/>
        <v>1.7461030958198052</v>
      </c>
      <c r="L155" s="13">
        <f t="shared" si="13"/>
        <v>101.1204328440902</v>
      </c>
      <c r="M155" s="13">
        <f t="shared" si="14"/>
        <v>101.1523</v>
      </c>
      <c r="N155" s="13">
        <f>M155-L155</f>
        <v>3.186715590979361E-2</v>
      </c>
      <c r="O155" s="2">
        <f>N155/L155</f>
        <v>3.151406200854294E-4</v>
      </c>
    </row>
    <row r="156" spans="1:15" x14ac:dyDescent="0.25">
      <c r="A156" s="1">
        <v>46248</v>
      </c>
      <c r="B156" s="6">
        <v>56.81</v>
      </c>
      <c r="C156" s="6">
        <v>99.15</v>
      </c>
      <c r="F156" s="13">
        <f>F155+D156</f>
        <v>0.98215699999999995</v>
      </c>
      <c r="G156" s="13">
        <f t="shared" si="10"/>
        <v>1.8023</v>
      </c>
      <c r="H156" s="8">
        <f>B156+F156</f>
        <v>57.792157000000003</v>
      </c>
      <c r="I156" s="8">
        <f>C156+G156</f>
        <v>100.95230000000001</v>
      </c>
      <c r="J156" s="10">
        <f t="shared" si="11"/>
        <v>1.7468166138875905</v>
      </c>
      <c r="K156" s="10">
        <f t="shared" si="12"/>
        <v>1.7461509255620329</v>
      </c>
      <c r="L156" s="13">
        <f t="shared" si="13"/>
        <v>100.91106425180423</v>
      </c>
      <c r="M156" s="13">
        <f t="shared" si="14"/>
        <v>100.95230000000001</v>
      </c>
      <c r="N156" s="13">
        <f>M156-L156</f>
        <v>4.1235748195774136E-2</v>
      </c>
      <c r="O156" s="2">
        <f>N156/L156</f>
        <v>4.0863455857405512E-4</v>
      </c>
    </row>
    <row r="157" spans="1:15" x14ac:dyDescent="0.25">
      <c r="A157" s="1">
        <v>46251</v>
      </c>
      <c r="B157" s="6">
        <v>56.65</v>
      </c>
      <c r="C157" s="6">
        <v>98.85</v>
      </c>
      <c r="F157" s="13">
        <f>F156+D157</f>
        <v>0.98215699999999995</v>
      </c>
      <c r="G157" s="13">
        <f t="shared" si="10"/>
        <v>1.8023</v>
      </c>
      <c r="H157" s="8">
        <f>B157+F157</f>
        <v>57.632156999999999</v>
      </c>
      <c r="I157" s="8">
        <f>C157+G157</f>
        <v>100.6523</v>
      </c>
      <c r="J157" s="10">
        <f t="shared" si="11"/>
        <v>1.746460747599643</v>
      </c>
      <c r="K157" s="10">
        <f t="shared" si="12"/>
        <v>1.7462005701549015</v>
      </c>
      <c r="L157" s="13">
        <f t="shared" si="13"/>
        <v>100.63444428768639</v>
      </c>
      <c r="M157" s="13">
        <f t="shared" si="14"/>
        <v>100.6523</v>
      </c>
      <c r="N157" s="13">
        <f>M157-L157</f>
        <v>1.7855712313604499E-2</v>
      </c>
      <c r="O157" s="2">
        <f>N157/L157</f>
        <v>1.7743141962964383E-4</v>
      </c>
    </row>
    <row r="158" spans="1:15" x14ac:dyDescent="0.25">
      <c r="A158" s="1">
        <v>46252</v>
      </c>
      <c r="B158" s="6">
        <v>56.53</v>
      </c>
      <c r="C158" s="6">
        <v>98.6</v>
      </c>
      <c r="F158" s="13">
        <f>F157+D158</f>
        <v>0.98215699999999995</v>
      </c>
      <c r="G158" s="13">
        <f t="shared" si="10"/>
        <v>1.8023</v>
      </c>
      <c r="H158" s="8">
        <f>B158+F158</f>
        <v>57.512157000000002</v>
      </c>
      <c r="I158" s="8">
        <f>C158+G158</f>
        <v>100.4023</v>
      </c>
      <c r="J158" s="10">
        <f t="shared" si="11"/>
        <v>1.7457578577690973</v>
      </c>
      <c r="K158" s="10">
        <f t="shared" si="12"/>
        <v>1.7462369159511162</v>
      </c>
      <c r="L158" s="13">
        <f t="shared" si="13"/>
        <v>100.42776134423821</v>
      </c>
      <c r="M158" s="13">
        <f t="shared" si="14"/>
        <v>100.4023</v>
      </c>
      <c r="N158" s="13">
        <f>M158-L158</f>
        <v>-2.5461344238209449E-2</v>
      </c>
      <c r="O158" s="2">
        <f>N158/L158</f>
        <v>-2.5352894356506765E-4</v>
      </c>
    </row>
    <row r="159" spans="1:15" x14ac:dyDescent="0.25">
      <c r="A159" s="1">
        <v>46253</v>
      </c>
      <c r="B159" s="6">
        <v>56.65</v>
      </c>
      <c r="C159" s="6">
        <v>98.84</v>
      </c>
      <c r="F159" s="13">
        <f>F158+D159</f>
        <v>0.98215699999999995</v>
      </c>
      <c r="G159" s="13">
        <f t="shared" si="10"/>
        <v>1.8023</v>
      </c>
      <c r="H159" s="8">
        <f>B159+F159</f>
        <v>57.632156999999999</v>
      </c>
      <c r="I159" s="8">
        <f>C159+G159</f>
        <v>100.64230000000001</v>
      </c>
      <c r="J159" s="10">
        <f t="shared" si="11"/>
        <v>1.7462872333582795</v>
      </c>
      <c r="K159" s="10">
        <f t="shared" si="12"/>
        <v>1.7462810356701834</v>
      </c>
      <c r="L159" s="13">
        <f t="shared" si="13"/>
        <v>100.63940009929053</v>
      </c>
      <c r="M159" s="13">
        <f t="shared" si="14"/>
        <v>100.64230000000001</v>
      </c>
      <c r="N159" s="13">
        <f>M159-L159</f>
        <v>2.8999007094796525E-3</v>
      </c>
      <c r="O159" s="2">
        <f>N159/L159</f>
        <v>2.8814765455861414E-5</v>
      </c>
    </row>
    <row r="160" spans="1:15" x14ac:dyDescent="0.25">
      <c r="A160" s="1">
        <v>46254</v>
      </c>
      <c r="B160" s="6">
        <v>56.58</v>
      </c>
      <c r="C160" s="6">
        <v>98.62</v>
      </c>
      <c r="F160" s="13">
        <f>F159+D160</f>
        <v>0.98215699999999995</v>
      </c>
      <c r="G160" s="13">
        <f t="shared" si="10"/>
        <v>1.8023</v>
      </c>
      <c r="H160" s="8">
        <f>B160+F160</f>
        <v>57.562156999999999</v>
      </c>
      <c r="I160" s="8">
        <f>C160+G160</f>
        <v>100.42230000000001</v>
      </c>
      <c r="J160" s="10">
        <f t="shared" si="11"/>
        <v>1.7445888971811812</v>
      </c>
      <c r="K160" s="10">
        <f t="shared" si="12"/>
        <v>1.7462808604732178</v>
      </c>
      <c r="L160" s="13">
        <f t="shared" si="13"/>
        <v>100.5197031413697</v>
      </c>
      <c r="M160" s="13">
        <f t="shared" si="14"/>
        <v>100.42230000000001</v>
      </c>
      <c r="N160" s="13">
        <f>M160-L160</f>
        <v>-9.74031413696963E-2</v>
      </c>
      <c r="O160" s="2">
        <f>N160/L160</f>
        <v>-9.6899551357319163E-4</v>
      </c>
    </row>
    <row r="161" spans="1:15" x14ac:dyDescent="0.25">
      <c r="A161" s="1">
        <v>46255</v>
      </c>
      <c r="B161" s="6">
        <v>56.51</v>
      </c>
      <c r="C161" s="6">
        <v>98.55</v>
      </c>
      <c r="F161" s="13">
        <f>F160+D161</f>
        <v>0.98215699999999995</v>
      </c>
      <c r="G161" s="13">
        <f t="shared" si="10"/>
        <v>1.8023</v>
      </c>
      <c r="H161" s="8">
        <f>B161+F161</f>
        <v>57.492156999999999</v>
      </c>
      <c r="I161" s="8">
        <f>C161+G161</f>
        <v>100.3523</v>
      </c>
      <c r="J161" s="10">
        <f t="shared" si="11"/>
        <v>1.7454954768873954</v>
      </c>
      <c r="K161" s="10">
        <f t="shared" si="12"/>
        <v>1.7462712999100283</v>
      </c>
      <c r="L161" s="13">
        <f t="shared" si="13"/>
        <v>100.39745339642133</v>
      </c>
      <c r="M161" s="13">
        <f t="shared" si="14"/>
        <v>100.3523</v>
      </c>
      <c r="N161" s="13">
        <f>M161-L161</f>
        <v>-4.5153396421326875E-2</v>
      </c>
      <c r="O161" s="2">
        <f>N161/L161</f>
        <v>-4.4974643174501447E-4</v>
      </c>
    </row>
    <row r="162" spans="1:15" x14ac:dyDescent="0.25">
      <c r="A162" s="1">
        <v>46258</v>
      </c>
      <c r="B162" s="6">
        <v>56.52</v>
      </c>
      <c r="C162" s="6">
        <v>98.63</v>
      </c>
      <c r="F162" s="13">
        <f>F161+D162</f>
        <v>0.98215699999999995</v>
      </c>
      <c r="G162" s="13">
        <f t="shared" si="10"/>
        <v>1.8023</v>
      </c>
      <c r="H162" s="8">
        <f>B162+F162</f>
        <v>57.502157000000004</v>
      </c>
      <c r="I162" s="8">
        <f>C162+G162</f>
        <v>100.4323</v>
      </c>
      <c r="J162" s="10">
        <f t="shared" si="11"/>
        <v>1.746583176001554</v>
      </c>
      <c r="K162" s="10">
        <f t="shared" si="12"/>
        <v>1.746387286103402</v>
      </c>
      <c r="L162" s="13">
        <f t="shared" si="13"/>
        <v>100.41436645202054</v>
      </c>
      <c r="M162" s="13">
        <f t="shared" si="14"/>
        <v>100.4323</v>
      </c>
      <c r="N162" s="13">
        <f>M162-L162</f>
        <v>1.7933547979453124E-2</v>
      </c>
      <c r="O162" s="2">
        <f>N162/L162</f>
        <v>1.7859544020548131E-4</v>
      </c>
    </row>
    <row r="163" spans="1:15" x14ac:dyDescent="0.25">
      <c r="A163" s="1">
        <v>46259</v>
      </c>
      <c r="B163" s="6">
        <v>56.56</v>
      </c>
      <c r="C163" s="6">
        <v>98.63</v>
      </c>
      <c r="F163" s="13">
        <f>F162+D163</f>
        <v>0.98215699999999995</v>
      </c>
      <c r="G163" s="13">
        <f t="shared" si="10"/>
        <v>1.8023</v>
      </c>
      <c r="H163" s="8">
        <f>B163+F163</f>
        <v>57.542157000000003</v>
      </c>
      <c r="I163" s="8">
        <f>C163+G163</f>
        <v>100.4323</v>
      </c>
      <c r="J163" s="10">
        <f t="shared" si="11"/>
        <v>1.7453690517719034</v>
      </c>
      <c r="K163" s="10">
        <f t="shared" si="12"/>
        <v>1.746461754791119</v>
      </c>
      <c r="L163" s="13">
        <f t="shared" si="13"/>
        <v>100.49089139976589</v>
      </c>
      <c r="M163" s="13">
        <f t="shared" si="14"/>
        <v>100.4323</v>
      </c>
      <c r="N163" s="13">
        <f>M163-L163</f>
        <v>-5.8591399765887786E-2</v>
      </c>
      <c r="O163" s="2">
        <f>N163/L163</f>
        <v>-5.8305184628926763E-4</v>
      </c>
    </row>
    <row r="164" spans="1:15" x14ac:dyDescent="0.25">
      <c r="A164" s="1">
        <v>46260</v>
      </c>
      <c r="B164" s="6">
        <v>56.49</v>
      </c>
      <c r="C164" s="6">
        <v>98.5</v>
      </c>
      <c r="F164" s="13">
        <f>F163+D164</f>
        <v>0.98215699999999995</v>
      </c>
      <c r="G164" s="13">
        <f t="shared" si="10"/>
        <v>1.8023</v>
      </c>
      <c r="H164" s="8">
        <f>B164+F164</f>
        <v>57.472157000000003</v>
      </c>
      <c r="I164" s="8">
        <f>C164+G164</f>
        <v>100.3023</v>
      </c>
      <c r="J164" s="10">
        <f t="shared" si="11"/>
        <v>1.7452329133914357</v>
      </c>
      <c r="K164" s="10">
        <f t="shared" si="12"/>
        <v>1.7463103902305044</v>
      </c>
      <c r="L164" s="13">
        <f t="shared" si="13"/>
        <v>100.37292416585069</v>
      </c>
      <c r="M164" s="13">
        <f t="shared" si="14"/>
        <v>100.3023</v>
      </c>
      <c r="N164" s="13">
        <f>M164-L164</f>
        <v>-7.0624165850688314E-2</v>
      </c>
      <c r="O164" s="2">
        <f>N164/L164</f>
        <v>-7.0361769807555702E-4</v>
      </c>
    </row>
    <row r="165" spans="1:15" x14ac:dyDescent="0.25">
      <c r="A165" s="1">
        <v>46261</v>
      </c>
      <c r="B165" s="6">
        <v>56.41</v>
      </c>
      <c r="C165" s="6">
        <v>98.4</v>
      </c>
      <c r="F165" s="13">
        <f>F164+D165</f>
        <v>0.98215699999999995</v>
      </c>
      <c r="G165" s="13">
        <f t="shared" si="10"/>
        <v>1.8023</v>
      </c>
      <c r="H165" s="8">
        <f>B165+F165</f>
        <v>57.392156999999997</v>
      </c>
      <c r="I165" s="8">
        <f>C165+G165</f>
        <v>100.20230000000001</v>
      </c>
      <c r="J165" s="10">
        <f t="shared" si="11"/>
        <v>1.7459232278027119</v>
      </c>
      <c r="K165" s="10">
        <f t="shared" si="12"/>
        <v>1.7462698038473043</v>
      </c>
      <c r="L165" s="13">
        <f t="shared" si="13"/>
        <v>100.22452008684037</v>
      </c>
      <c r="M165" s="13">
        <f t="shared" si="14"/>
        <v>100.20230000000001</v>
      </c>
      <c r="N165" s="13">
        <f>M165-L165</f>
        <v>-2.2220086840363251E-2</v>
      </c>
      <c r="O165" s="2">
        <f>N165/L165</f>
        <v>-2.2170310041006404E-4</v>
      </c>
    </row>
    <row r="166" spans="1:15" x14ac:dyDescent="0.25">
      <c r="A166" s="1">
        <v>46262</v>
      </c>
      <c r="B166" s="6">
        <v>56.27</v>
      </c>
      <c r="C166" s="6">
        <v>98.31</v>
      </c>
      <c r="F166" s="13">
        <f>F165+D166</f>
        <v>0.98215699999999995</v>
      </c>
      <c r="G166" s="13">
        <f t="shared" si="10"/>
        <v>1.8023</v>
      </c>
      <c r="H166" s="8">
        <f>B166+F166</f>
        <v>57.252157000000004</v>
      </c>
      <c r="I166" s="8">
        <f>C166+G166</f>
        <v>100.1123</v>
      </c>
      <c r="J166" s="10">
        <f t="shared" si="11"/>
        <v>1.7486205803564745</v>
      </c>
      <c r="K166" s="10">
        <f t="shared" si="12"/>
        <v>1.7463707067582639</v>
      </c>
      <c r="L166" s="13">
        <f t="shared" si="13"/>
        <v>99.977712974225085</v>
      </c>
      <c r="M166" s="13">
        <f t="shared" si="14"/>
        <v>100.1123</v>
      </c>
      <c r="N166" s="13">
        <f>M166-L166</f>
        <v>0.13458702577491977</v>
      </c>
      <c r="O166" s="2">
        <f>N166/L166</f>
        <v>1.3461702790662673E-3</v>
      </c>
    </row>
    <row r="167" spans="1:15" x14ac:dyDescent="0.25">
      <c r="A167" s="1">
        <v>46265</v>
      </c>
      <c r="B167" s="6">
        <v>56.19</v>
      </c>
      <c r="C167" s="6">
        <v>98.13</v>
      </c>
      <c r="F167" s="13">
        <f>F166+D167</f>
        <v>0.98215699999999995</v>
      </c>
      <c r="G167" s="13">
        <f t="shared" si="10"/>
        <v>1.8023</v>
      </c>
      <c r="H167" s="8">
        <f>B167+F167</f>
        <v>57.172156999999999</v>
      </c>
      <c r="I167" s="8">
        <f>C167+G167</f>
        <v>99.932299999999998</v>
      </c>
      <c r="J167" s="10">
        <f t="shared" si="11"/>
        <v>1.747919008897985</v>
      </c>
      <c r="K167" s="10">
        <f t="shared" si="12"/>
        <v>1.7463660211643135</v>
      </c>
      <c r="L167" s="13">
        <f t="shared" si="13"/>
        <v>99.843780226984421</v>
      </c>
      <c r="M167" s="13">
        <f t="shared" si="14"/>
        <v>99.932299999999998</v>
      </c>
      <c r="N167" s="13">
        <f>M167-L167</f>
        <v>8.8519773015576675E-2</v>
      </c>
      <c r="O167" s="2">
        <f>N167/L167</f>
        <v>8.8658274771183745E-4</v>
      </c>
    </row>
    <row r="168" spans="1:15" x14ac:dyDescent="0.25">
      <c r="A168" s="1">
        <v>46266</v>
      </c>
      <c r="B168" s="6">
        <v>55.75</v>
      </c>
      <c r="C168" s="6">
        <v>97.46</v>
      </c>
      <c r="D168" s="13">
        <v>0.143787</v>
      </c>
      <c r="E168" s="13">
        <v>0.26019999999999999</v>
      </c>
      <c r="F168" s="13">
        <f>F167+D168</f>
        <v>1.1259440000000001</v>
      </c>
      <c r="G168" s="13">
        <f t="shared" si="10"/>
        <v>2.0625</v>
      </c>
      <c r="H168" s="8">
        <f>B168+F168</f>
        <v>56.875943999999997</v>
      </c>
      <c r="I168" s="8">
        <f>C168+G168</f>
        <v>99.522499999999994</v>
      </c>
      <c r="J168" s="10">
        <f t="shared" si="11"/>
        <v>1.7498171107278677</v>
      </c>
      <c r="K168" s="10">
        <f t="shared" si="12"/>
        <v>1.7464949423545608</v>
      </c>
      <c r="L168" s="13">
        <f t="shared" si="13"/>
        <v>99.326216023244299</v>
      </c>
      <c r="M168" s="13">
        <f t="shared" si="14"/>
        <v>99.522499999999994</v>
      </c>
      <c r="N168" s="13">
        <f>M168-L168</f>
        <v>0.19628397675569431</v>
      </c>
      <c r="O168" s="2">
        <f>N168/L168</f>
        <v>1.9761547818328241E-3</v>
      </c>
    </row>
    <row r="169" spans="1:15" x14ac:dyDescent="0.25">
      <c r="A169" s="1">
        <v>46267</v>
      </c>
      <c r="B169" s="6">
        <v>55.73</v>
      </c>
      <c r="C169" s="6">
        <v>97.42</v>
      </c>
      <c r="F169" s="13">
        <f>F168+D169</f>
        <v>1.1259440000000001</v>
      </c>
      <c r="G169" s="13">
        <f t="shared" si="10"/>
        <v>2.0625</v>
      </c>
      <c r="H169" s="8">
        <f>B169+F169</f>
        <v>56.855943999999994</v>
      </c>
      <c r="I169" s="8">
        <f>C169+G169</f>
        <v>99.482500000000002</v>
      </c>
      <c r="J169" s="10">
        <f t="shared" si="11"/>
        <v>1.7497291048408239</v>
      </c>
      <c r="K169" s="10">
        <f t="shared" si="12"/>
        <v>1.7466691071458649</v>
      </c>
      <c r="L169" s="13">
        <f t="shared" si="13"/>
        <v>99.298618638794125</v>
      </c>
      <c r="M169" s="13">
        <f t="shared" si="14"/>
        <v>99.482500000000002</v>
      </c>
      <c r="N169" s="13">
        <f>M169-L169</f>
        <v>0.18388136120587717</v>
      </c>
      <c r="O169" s="2">
        <f>N169/L169</f>
        <v>1.8518018047638594E-3</v>
      </c>
    </row>
    <row r="170" spans="1:15" x14ac:dyDescent="0.25">
      <c r="A170" s="1">
        <v>46268</v>
      </c>
      <c r="B170" s="6">
        <v>55.74</v>
      </c>
      <c r="C170" s="6">
        <v>97.26</v>
      </c>
      <c r="F170" s="13">
        <f>F169+D170</f>
        <v>1.1259440000000001</v>
      </c>
      <c r="G170" s="13">
        <f t="shared" si="10"/>
        <v>2.0625</v>
      </c>
      <c r="H170" s="8">
        <f>B170+F170</f>
        <v>56.865943999999999</v>
      </c>
      <c r="I170" s="8">
        <f>C170+G170</f>
        <v>99.322500000000005</v>
      </c>
      <c r="J170" s="10">
        <f t="shared" si="11"/>
        <v>1.7466077763520467</v>
      </c>
      <c r="K170" s="10">
        <f t="shared" si="12"/>
        <v>1.7466829335385043</v>
      </c>
      <c r="L170" s="13">
        <f t="shared" si="13"/>
        <v>99.325987633486747</v>
      </c>
      <c r="M170" s="13">
        <f t="shared" si="14"/>
        <v>99.322500000000005</v>
      </c>
      <c r="N170" s="13">
        <f>M170-L170</f>
        <v>-3.48763348674197E-3</v>
      </c>
      <c r="O170" s="2">
        <f>N170/L170</f>
        <v>-3.5113000835303547E-5</v>
      </c>
    </row>
    <row r="171" spans="1:15" x14ac:dyDescent="0.25">
      <c r="A171" s="1">
        <v>46269</v>
      </c>
      <c r="B171" s="6">
        <v>55.7</v>
      </c>
      <c r="C171" s="6">
        <v>97.28</v>
      </c>
      <c r="F171" s="13">
        <f>F170+D171</f>
        <v>1.1259440000000001</v>
      </c>
      <c r="G171" s="13">
        <f t="shared" si="10"/>
        <v>2.0625</v>
      </c>
      <c r="H171" s="8">
        <f>B171+F171</f>
        <v>56.825944</v>
      </c>
      <c r="I171" s="8">
        <f>C171+G171</f>
        <v>99.342500000000001</v>
      </c>
      <c r="J171" s="10">
        <f t="shared" si="11"/>
        <v>1.7481891721851555</v>
      </c>
      <c r="K171" s="10">
        <f t="shared" si="12"/>
        <v>1.7467904255389055</v>
      </c>
      <c r="L171" s="13">
        <f t="shared" si="13"/>
        <v>99.256906567014767</v>
      </c>
      <c r="M171" s="13">
        <f t="shared" si="14"/>
        <v>99.342500000000001</v>
      </c>
      <c r="N171" s="13">
        <f>M171-L171</f>
        <v>8.5593432985234585E-2</v>
      </c>
      <c r="O171" s="2">
        <f>N171/L171</f>
        <v>8.6234233914437902E-4</v>
      </c>
    </row>
    <row r="172" spans="1:15" x14ac:dyDescent="0.25">
      <c r="A172" s="1">
        <v>46273</v>
      </c>
      <c r="B172" s="6">
        <v>55.75</v>
      </c>
      <c r="C172" s="6">
        <v>97.22</v>
      </c>
      <c r="F172" s="13">
        <f>F171+D172</f>
        <v>1.1259440000000001</v>
      </c>
      <c r="G172" s="13">
        <f t="shared" si="10"/>
        <v>2.0625</v>
      </c>
      <c r="H172" s="8">
        <f>B172+F172</f>
        <v>56.875943999999997</v>
      </c>
      <c r="I172" s="8">
        <f>C172+G172</f>
        <v>99.282499999999999</v>
      </c>
      <c r="J172" s="10">
        <f t="shared" si="11"/>
        <v>1.7455974005460024</v>
      </c>
      <c r="K172" s="10">
        <f t="shared" si="12"/>
        <v>1.7467425020064116</v>
      </c>
      <c r="L172" s="13">
        <f t="shared" si="13"/>
        <v>99.350354422686948</v>
      </c>
      <c r="M172" s="13">
        <f t="shared" si="14"/>
        <v>99.282499999999999</v>
      </c>
      <c r="N172" s="13">
        <f>M172-L172</f>
        <v>-6.7854422686949079E-2</v>
      </c>
      <c r="O172" s="2">
        <f>N172/L172</f>
        <v>-6.8298118392473822E-4</v>
      </c>
    </row>
    <row r="173" spans="1:15" x14ac:dyDescent="0.25">
      <c r="A173" s="1">
        <v>46274</v>
      </c>
      <c r="B173" s="6">
        <v>55.45</v>
      </c>
      <c r="C173" s="6">
        <v>96.78</v>
      </c>
      <c r="F173" s="13">
        <f>F172+D173</f>
        <v>1.1259440000000001</v>
      </c>
      <c r="G173" s="13">
        <f t="shared" si="10"/>
        <v>2.0625</v>
      </c>
      <c r="H173" s="8">
        <f>B173+F173</f>
        <v>56.575944</v>
      </c>
      <c r="I173" s="8">
        <f>C173+G173</f>
        <v>98.842500000000001</v>
      </c>
      <c r="J173" s="10">
        <f t="shared" si="11"/>
        <v>1.7470764606243248</v>
      </c>
      <c r="K173" s="10">
        <f t="shared" si="12"/>
        <v>1.7467684123288876</v>
      </c>
      <c r="L173" s="13">
        <f t="shared" si="13"/>
        <v>98.823605975934626</v>
      </c>
      <c r="M173" s="13">
        <f t="shared" si="14"/>
        <v>98.842500000000001</v>
      </c>
      <c r="N173" s="13">
        <f>M173-L173</f>
        <v>1.8894024065374992E-2</v>
      </c>
      <c r="O173" s="2">
        <f>N173/L173</f>
        <v>1.9118938110774907E-4</v>
      </c>
    </row>
    <row r="174" spans="1:15" x14ac:dyDescent="0.25">
      <c r="A174" s="1">
        <v>46275</v>
      </c>
      <c r="B174" s="6">
        <v>55.09</v>
      </c>
      <c r="C174" s="6">
        <v>96.13</v>
      </c>
      <c r="F174" s="13">
        <f>F173+D174</f>
        <v>1.1259440000000001</v>
      </c>
      <c r="G174" s="13">
        <f t="shared" si="10"/>
        <v>2.0625</v>
      </c>
      <c r="H174" s="8">
        <f>B174+F174</f>
        <v>56.215944</v>
      </c>
      <c r="I174" s="8">
        <f>C174+G174</f>
        <v>98.192499999999995</v>
      </c>
      <c r="J174" s="10">
        <f t="shared" si="11"/>
        <v>1.7467019676837587</v>
      </c>
      <c r="K174" s="10">
        <f t="shared" si="12"/>
        <v>1.7467712156371717</v>
      </c>
      <c r="L174" s="13">
        <f t="shared" si="13"/>
        <v>98.196235248449653</v>
      </c>
      <c r="M174" s="13">
        <f t="shared" si="14"/>
        <v>98.192499999999995</v>
      </c>
      <c r="N174" s="13">
        <f>M174-L174</f>
        <v>-3.7352484496580018E-3</v>
      </c>
      <c r="O174" s="2">
        <f>N174/L174</f>
        <v>-3.80386115639497E-5</v>
      </c>
    </row>
    <row r="175" spans="1:15" x14ac:dyDescent="0.25">
      <c r="A175" s="1">
        <v>46276</v>
      </c>
      <c r="B175" s="6">
        <v>55.34</v>
      </c>
      <c r="C175" s="6">
        <v>96.39</v>
      </c>
      <c r="F175" s="13">
        <f>F174+D175</f>
        <v>1.1259440000000001</v>
      </c>
      <c r="G175" s="13">
        <f t="shared" si="10"/>
        <v>2.0625</v>
      </c>
      <c r="H175" s="8">
        <f>B175+F175</f>
        <v>56.465944</v>
      </c>
      <c r="I175" s="8">
        <f>C175+G175</f>
        <v>98.452500000000001</v>
      </c>
      <c r="J175" s="10">
        <f t="shared" si="11"/>
        <v>1.743573081856207</v>
      </c>
      <c r="K175" s="10">
        <f t="shared" si="12"/>
        <v>1.7466173429860716</v>
      </c>
      <c r="L175" s="13">
        <f t="shared" si="13"/>
        <v>98.633085642980461</v>
      </c>
      <c r="M175" s="13">
        <f t="shared" si="14"/>
        <v>98.452500000000001</v>
      </c>
      <c r="N175" s="13">
        <f>M175-L175</f>
        <v>-0.18058564298046065</v>
      </c>
      <c r="O175" s="2">
        <f>N175/L175</f>
        <v>-1.8308830328407414E-3</v>
      </c>
    </row>
  </sheetData>
  <conditionalFormatting sqref="O23:O175">
    <cfRule type="cellIs" dxfId="7" priority="9" operator="lessThan">
      <formula>$Q$3</formula>
    </cfRule>
    <cfRule type="cellIs" dxfId="6" priority="10" operator="greaterThan">
      <formula>$Q$4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53E7-3BB3-4744-9D43-C04F60BF6772}">
  <dimension ref="A1:T175"/>
  <sheetViews>
    <sheetView workbookViewId="0">
      <selection activeCell="Q3" sqref="Q3:Q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8" width="14.5703125" style="13" bestFit="1" customWidth="1"/>
    <col min="9" max="9" width="14.42578125" style="13" bestFit="1" customWidth="1"/>
    <col min="10" max="11" width="12" style="10" bestFit="1" customWidth="1"/>
    <col min="12" max="13" width="14.28515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37</v>
      </c>
      <c r="C1" s="5" t="s">
        <v>36</v>
      </c>
      <c r="D1" s="12" t="s">
        <v>79</v>
      </c>
      <c r="E1" s="12" t="s">
        <v>80</v>
      </c>
      <c r="F1" s="12" t="str">
        <f>_xlfn.CONCAT(D1," cum")</f>
        <v>PFFD div cum</v>
      </c>
      <c r="G1" s="12" t="str">
        <f>_xlfn.CONCAT(E1," cum")</f>
        <v>PFF div cum</v>
      </c>
      <c r="H1" s="12" t="str">
        <f>_xlfn.CONCAT(B1," + cum div")</f>
        <v>PFFD + cum div</v>
      </c>
      <c r="I1" s="12" t="str">
        <f>_xlfn.CONCAT(C1," + cum div")</f>
        <v>PFF + cum div</v>
      </c>
      <c r="J1" s="9" t="s">
        <v>73</v>
      </c>
      <c r="K1" s="9" t="s">
        <v>74</v>
      </c>
      <c r="L1" s="12" t="str">
        <f>_xlfn.CONCAT(B1,"*")</f>
        <v>PFFD*</v>
      </c>
      <c r="M1" s="12" t="str">
        <f>_xlfn.CONCAT(C1,"*")</f>
        <v>PFF*</v>
      </c>
      <c r="N1" s="12" t="str">
        <f>_xlfn.CONCAT(M1,"-",L1)</f>
        <v>PFF*-PFFD*</v>
      </c>
      <c r="O1" s="4" t="str">
        <f>_xlfn.CONCAT("diff/",L1)</f>
        <v>diff/PFFD*</v>
      </c>
    </row>
    <row r="2" spans="1:20" x14ac:dyDescent="0.25">
      <c r="A2" s="1">
        <v>46024</v>
      </c>
      <c r="B2" s="6">
        <v>19.14</v>
      </c>
      <c r="C2" s="6">
        <v>31.27</v>
      </c>
      <c r="S2" s="16">
        <f>AVERAGE(K:K)</f>
        <v>1.6382434574859381</v>
      </c>
      <c r="T2" t="s">
        <v>92</v>
      </c>
    </row>
    <row r="3" spans="1:20" x14ac:dyDescent="0.25">
      <c r="A3" s="1">
        <v>46027</v>
      </c>
      <c r="B3" s="6">
        <v>19.190000000000001</v>
      </c>
      <c r="C3" s="6">
        <v>31.33</v>
      </c>
      <c r="F3" s="13">
        <f>F2+D3</f>
        <v>0</v>
      </c>
      <c r="G3" s="13">
        <f>G2+E3</f>
        <v>0</v>
      </c>
      <c r="H3" s="13">
        <f>B3+F3</f>
        <v>19.190000000000001</v>
      </c>
      <c r="I3" s="13">
        <f>C3+G3</f>
        <v>31.33</v>
      </c>
      <c r="J3" s="10">
        <f>I3/H3</f>
        <v>1.6326211568525271</v>
      </c>
      <c r="Q3" s="11">
        <v>-5.0000000000000001E-3</v>
      </c>
    </row>
    <row r="4" spans="1:20" x14ac:dyDescent="0.25">
      <c r="A4" s="1">
        <v>46028</v>
      </c>
      <c r="B4" s="6">
        <v>19.260000000000002</v>
      </c>
      <c r="C4" s="6">
        <v>31.45</v>
      </c>
      <c r="F4" s="13">
        <f>F3+D4</f>
        <v>0</v>
      </c>
      <c r="G4" s="13">
        <f t="shared" ref="G4:G67" si="0">G3+E4</f>
        <v>0</v>
      </c>
      <c r="H4" s="13">
        <f>B4+F4</f>
        <v>19.260000000000002</v>
      </c>
      <c r="I4" s="13">
        <f>C4+G4</f>
        <v>31.45</v>
      </c>
      <c r="J4" s="10">
        <f t="shared" ref="J4:J67" si="1">I4/H4</f>
        <v>1.6329179646936656</v>
      </c>
      <c r="Q4" s="2">
        <v>5.0000000000000001E-3</v>
      </c>
      <c r="S4" s="14">
        <f>MAX(K:K)</f>
        <v>1.6486863933812046</v>
      </c>
      <c r="T4" t="s">
        <v>89</v>
      </c>
    </row>
    <row r="5" spans="1:20" x14ac:dyDescent="0.25">
      <c r="A5" s="1">
        <v>46029</v>
      </c>
      <c r="B5" s="6">
        <v>19.260000000000002</v>
      </c>
      <c r="C5" s="6">
        <v>31.41</v>
      </c>
      <c r="F5" s="13">
        <f>F4+D5</f>
        <v>0</v>
      </c>
      <c r="G5" s="13">
        <f t="shared" si="0"/>
        <v>0</v>
      </c>
      <c r="H5" s="13">
        <f>B5+F5</f>
        <v>19.260000000000002</v>
      </c>
      <c r="I5" s="13">
        <f>C5+G5</f>
        <v>31.41</v>
      </c>
      <c r="J5" s="10">
        <f t="shared" si="1"/>
        <v>1.6308411214953269</v>
      </c>
      <c r="S5" s="15">
        <f>MIN(K:K)</f>
        <v>1.6262149027982791</v>
      </c>
      <c r="T5" t="s">
        <v>90</v>
      </c>
    </row>
    <row r="6" spans="1:20" x14ac:dyDescent="0.25">
      <c r="A6" s="1">
        <v>46030</v>
      </c>
      <c r="B6" s="6">
        <v>19.29</v>
      </c>
      <c r="C6" s="6">
        <v>31.38</v>
      </c>
      <c r="F6" s="13">
        <f>F5+D6</f>
        <v>0</v>
      </c>
      <c r="G6" s="13">
        <f t="shared" si="0"/>
        <v>0</v>
      </c>
      <c r="H6" s="13">
        <f>B6+F6</f>
        <v>19.29</v>
      </c>
      <c r="I6" s="13">
        <f>C6+G6</f>
        <v>31.38</v>
      </c>
      <c r="J6" s="10">
        <f t="shared" si="1"/>
        <v>1.6267496111975117</v>
      </c>
      <c r="S6" s="14">
        <f>S4-S5</f>
        <v>2.2471490582925524E-2</v>
      </c>
      <c r="T6" t="s">
        <v>91</v>
      </c>
    </row>
    <row r="7" spans="1:20" x14ac:dyDescent="0.25">
      <c r="A7" s="1">
        <v>46031</v>
      </c>
      <c r="B7" s="6">
        <v>19.34</v>
      </c>
      <c r="C7" s="6">
        <v>31.57</v>
      </c>
      <c r="F7" s="13">
        <f>F6+D7</f>
        <v>0</v>
      </c>
      <c r="G7" s="13">
        <f t="shared" si="0"/>
        <v>0</v>
      </c>
      <c r="H7" s="13">
        <f>B7+F7</f>
        <v>19.34</v>
      </c>
      <c r="I7" s="13">
        <f>C7+G7</f>
        <v>31.57</v>
      </c>
      <c r="J7" s="10">
        <f t="shared" si="1"/>
        <v>1.6323681489141675</v>
      </c>
    </row>
    <row r="8" spans="1:20" x14ac:dyDescent="0.25">
      <c r="A8" s="1">
        <v>46034</v>
      </c>
      <c r="B8" s="6">
        <v>19.350000000000001</v>
      </c>
      <c r="C8" s="6">
        <v>31.62</v>
      </c>
      <c r="F8" s="13">
        <f>F7+D8</f>
        <v>0</v>
      </c>
      <c r="G8" s="13">
        <f t="shared" si="0"/>
        <v>0</v>
      </c>
      <c r="H8" s="13">
        <f>B8+F8</f>
        <v>19.350000000000001</v>
      </c>
      <c r="I8" s="13">
        <f>C8+G8</f>
        <v>31.62</v>
      </c>
      <c r="J8" s="10">
        <f t="shared" si="1"/>
        <v>1.6341085271317828</v>
      </c>
    </row>
    <row r="9" spans="1:20" x14ac:dyDescent="0.25">
      <c r="A9" s="1">
        <v>46035</v>
      </c>
      <c r="B9" s="6">
        <v>19.45</v>
      </c>
      <c r="C9" s="6">
        <v>31.64</v>
      </c>
      <c r="F9" s="13">
        <f>F8+D9</f>
        <v>0</v>
      </c>
      <c r="G9" s="13">
        <f t="shared" si="0"/>
        <v>0</v>
      </c>
      <c r="H9" s="13">
        <f>B9+F9</f>
        <v>19.45</v>
      </c>
      <c r="I9" s="13">
        <f>C9+G9</f>
        <v>31.64</v>
      </c>
      <c r="J9" s="10">
        <f t="shared" si="1"/>
        <v>1.6267352185089976</v>
      </c>
    </row>
    <row r="10" spans="1:20" x14ac:dyDescent="0.25">
      <c r="A10" s="1">
        <v>46036</v>
      </c>
      <c r="B10" s="6">
        <v>19.489999999999998</v>
      </c>
      <c r="C10" s="6">
        <v>31.74</v>
      </c>
      <c r="F10" s="13">
        <f>F9+D10</f>
        <v>0</v>
      </c>
      <c r="G10" s="13">
        <f t="shared" si="0"/>
        <v>0</v>
      </c>
      <c r="H10" s="13">
        <f>B10+F10</f>
        <v>19.489999999999998</v>
      </c>
      <c r="I10" s="13">
        <f>C10+G10</f>
        <v>31.74</v>
      </c>
      <c r="J10" s="10">
        <f t="shared" si="1"/>
        <v>1.6285274499743458</v>
      </c>
    </row>
    <row r="11" spans="1:20" x14ac:dyDescent="0.25">
      <c r="A11" s="1">
        <v>46037</v>
      </c>
      <c r="B11" s="6">
        <v>19.52</v>
      </c>
      <c r="C11" s="6">
        <v>31.82</v>
      </c>
      <c r="F11" s="13">
        <f>F10+D11</f>
        <v>0</v>
      </c>
      <c r="G11" s="13">
        <f t="shared" si="0"/>
        <v>0</v>
      </c>
      <c r="H11" s="13">
        <f>B11+F11</f>
        <v>19.52</v>
      </c>
      <c r="I11" s="13">
        <f>C11+G11</f>
        <v>31.82</v>
      </c>
      <c r="J11" s="10">
        <f t="shared" si="1"/>
        <v>1.6301229508196722</v>
      </c>
    </row>
    <row r="12" spans="1:20" x14ac:dyDescent="0.25">
      <c r="A12" s="1">
        <v>46038</v>
      </c>
      <c r="B12" s="6">
        <v>19.47</v>
      </c>
      <c r="C12" s="6">
        <v>31.78</v>
      </c>
      <c r="F12" s="13">
        <f>F11+D12</f>
        <v>0</v>
      </c>
      <c r="G12" s="13">
        <f t="shared" si="0"/>
        <v>0</v>
      </c>
      <c r="H12" s="13">
        <f>B12+F12</f>
        <v>19.47</v>
      </c>
      <c r="I12" s="13">
        <f>C12+G12</f>
        <v>31.78</v>
      </c>
      <c r="J12" s="10">
        <f t="shared" si="1"/>
        <v>1.6322547508988188</v>
      </c>
    </row>
    <row r="13" spans="1:20" x14ac:dyDescent="0.25">
      <c r="A13" s="1">
        <v>46042</v>
      </c>
      <c r="B13" s="6">
        <v>19.38</v>
      </c>
      <c r="C13" s="6">
        <v>31.61</v>
      </c>
      <c r="F13" s="13">
        <f>F12+D13</f>
        <v>0</v>
      </c>
      <c r="G13" s="13">
        <f t="shared" si="0"/>
        <v>0</v>
      </c>
      <c r="H13" s="13">
        <f>B13+F13</f>
        <v>19.38</v>
      </c>
      <c r="I13" s="13">
        <f>C13+G13</f>
        <v>31.61</v>
      </c>
      <c r="J13" s="10">
        <f t="shared" si="1"/>
        <v>1.6310629514963881</v>
      </c>
    </row>
    <row r="14" spans="1:20" x14ac:dyDescent="0.25">
      <c r="A14" s="1">
        <v>46043</v>
      </c>
      <c r="B14" s="6">
        <v>19.53</v>
      </c>
      <c r="C14" s="6">
        <v>31.85</v>
      </c>
      <c r="F14" s="13">
        <f>F13+D14</f>
        <v>0</v>
      </c>
      <c r="G14" s="13">
        <f t="shared" si="0"/>
        <v>0</v>
      </c>
      <c r="H14" s="13">
        <f>B14+F14</f>
        <v>19.53</v>
      </c>
      <c r="I14" s="13">
        <f>C14+G14</f>
        <v>31.85</v>
      </c>
      <c r="J14" s="10">
        <f t="shared" si="1"/>
        <v>1.6308243727598566</v>
      </c>
    </row>
    <row r="15" spans="1:20" x14ac:dyDescent="0.25">
      <c r="A15" s="1">
        <v>46044</v>
      </c>
      <c r="B15" s="6">
        <v>19.600000000000001</v>
      </c>
      <c r="C15" s="6">
        <v>31.94</v>
      </c>
      <c r="F15" s="13">
        <f>F14+D15</f>
        <v>0</v>
      </c>
      <c r="G15" s="13">
        <f t="shared" si="0"/>
        <v>0</v>
      </c>
      <c r="H15" s="13">
        <f>B15+F15</f>
        <v>19.600000000000001</v>
      </c>
      <c r="I15" s="13">
        <f>C15+G15</f>
        <v>31.94</v>
      </c>
      <c r="J15" s="10">
        <f t="shared" si="1"/>
        <v>1.6295918367346938</v>
      </c>
    </row>
    <row r="16" spans="1:20" x14ac:dyDescent="0.25">
      <c r="A16" s="1">
        <v>46045</v>
      </c>
      <c r="B16" s="6">
        <v>19.57</v>
      </c>
      <c r="C16" s="6">
        <v>31.91</v>
      </c>
      <c r="F16" s="13">
        <f>F15+D16</f>
        <v>0</v>
      </c>
      <c r="G16" s="13">
        <f t="shared" si="0"/>
        <v>0</v>
      </c>
      <c r="H16" s="13">
        <f>B16+F16</f>
        <v>19.57</v>
      </c>
      <c r="I16" s="13">
        <f>C16+G16</f>
        <v>31.91</v>
      </c>
      <c r="J16" s="10">
        <f t="shared" si="1"/>
        <v>1.630556974961676</v>
      </c>
    </row>
    <row r="17" spans="1:15" x14ac:dyDescent="0.25">
      <c r="A17" s="1">
        <v>46048</v>
      </c>
      <c r="B17" s="6">
        <v>19.579999999999998</v>
      </c>
      <c r="C17" s="6">
        <v>31.88</v>
      </c>
      <c r="F17" s="13">
        <f>F16+D17</f>
        <v>0</v>
      </c>
      <c r="G17" s="13">
        <f t="shared" si="0"/>
        <v>0</v>
      </c>
      <c r="H17" s="13">
        <f>B17+F17</f>
        <v>19.579999999999998</v>
      </c>
      <c r="I17" s="13">
        <f>C17+G17</f>
        <v>31.88</v>
      </c>
      <c r="J17" s="10">
        <f t="shared" si="1"/>
        <v>1.6281920326864148</v>
      </c>
    </row>
    <row r="18" spans="1:15" x14ac:dyDescent="0.25">
      <c r="A18" s="1">
        <v>46049</v>
      </c>
      <c r="B18" s="6">
        <v>19.559999999999999</v>
      </c>
      <c r="C18" s="6">
        <v>31.84</v>
      </c>
      <c r="F18" s="13">
        <f>F17+D18</f>
        <v>0</v>
      </c>
      <c r="G18" s="13">
        <f t="shared" si="0"/>
        <v>0</v>
      </c>
      <c r="H18" s="13">
        <f>B18+F18</f>
        <v>19.559999999999999</v>
      </c>
      <c r="I18" s="13">
        <f>C18+G18</f>
        <v>31.84</v>
      </c>
      <c r="J18" s="10">
        <f t="shared" si="1"/>
        <v>1.6278118609406953</v>
      </c>
    </row>
    <row r="19" spans="1:15" x14ac:dyDescent="0.25">
      <c r="A19" s="1">
        <v>46050</v>
      </c>
      <c r="B19" s="6">
        <v>19.510000000000002</v>
      </c>
      <c r="C19" s="6">
        <v>31.81</v>
      </c>
      <c r="F19" s="13">
        <f>F18+D19</f>
        <v>0</v>
      </c>
      <c r="G19" s="13">
        <f t="shared" si="0"/>
        <v>0</v>
      </c>
      <c r="H19" s="13">
        <f>B19+F19</f>
        <v>19.510000000000002</v>
      </c>
      <c r="I19" s="13">
        <f>C19+G19</f>
        <v>31.81</v>
      </c>
      <c r="J19" s="10">
        <f t="shared" si="1"/>
        <v>1.630445925166581</v>
      </c>
    </row>
    <row r="20" spans="1:15" x14ac:dyDescent="0.25">
      <c r="A20" s="1">
        <v>46051</v>
      </c>
      <c r="B20" s="6">
        <v>19.440000000000001</v>
      </c>
      <c r="C20" s="6">
        <v>31.69</v>
      </c>
      <c r="F20" s="13">
        <f>F19+D20</f>
        <v>0</v>
      </c>
      <c r="G20" s="13">
        <f t="shared" si="0"/>
        <v>0</v>
      </c>
      <c r="H20" s="13">
        <f>B20+F20</f>
        <v>19.440000000000001</v>
      </c>
      <c r="I20" s="13">
        <f>C20+G20</f>
        <v>31.69</v>
      </c>
      <c r="J20" s="10">
        <f t="shared" si="1"/>
        <v>1.6301440329218106</v>
      </c>
    </row>
    <row r="21" spans="1:15" x14ac:dyDescent="0.25">
      <c r="A21" s="1">
        <v>46052</v>
      </c>
      <c r="B21" s="6">
        <v>19.420000000000002</v>
      </c>
      <c r="C21" s="6">
        <v>31.69</v>
      </c>
      <c r="F21" s="13">
        <f>F20+D21</f>
        <v>0</v>
      </c>
      <c r="G21" s="13">
        <f t="shared" si="0"/>
        <v>0</v>
      </c>
      <c r="H21" s="13">
        <f>B21+F21</f>
        <v>19.420000000000002</v>
      </c>
      <c r="I21" s="13">
        <f>C21+G21</f>
        <v>31.69</v>
      </c>
      <c r="J21" s="10">
        <f t="shared" si="1"/>
        <v>1.6318228630278062</v>
      </c>
    </row>
    <row r="22" spans="1:15" x14ac:dyDescent="0.25">
      <c r="A22" s="1">
        <v>46055</v>
      </c>
      <c r="B22" s="6">
        <v>19.29</v>
      </c>
      <c r="C22" s="6">
        <v>31.46</v>
      </c>
      <c r="D22" s="13">
        <v>0.1</v>
      </c>
      <c r="E22" s="13">
        <v>0.17722599999999999</v>
      </c>
      <c r="F22" s="13">
        <f>F21+D22</f>
        <v>0.1</v>
      </c>
      <c r="G22" s="13">
        <f t="shared" si="0"/>
        <v>0.17722599999999999</v>
      </c>
      <c r="H22" s="13">
        <f>B22+F22</f>
        <v>19.39</v>
      </c>
      <c r="I22" s="13">
        <f>C22+G22</f>
        <v>31.637226000000002</v>
      </c>
      <c r="J22" s="10">
        <f t="shared" si="1"/>
        <v>1.6316258896338318</v>
      </c>
      <c r="K22" s="10">
        <f>AVERAGE(J3:J22)</f>
        <v>1.6304662820408287</v>
      </c>
    </row>
    <row r="23" spans="1:15" x14ac:dyDescent="0.25">
      <c r="A23" s="1">
        <v>46056</v>
      </c>
      <c r="B23" s="6">
        <v>19.239999999999998</v>
      </c>
      <c r="C23" s="6">
        <v>31.34</v>
      </c>
      <c r="F23" s="13">
        <f>F22+D23</f>
        <v>0.1</v>
      </c>
      <c r="G23" s="13">
        <f t="shared" si="0"/>
        <v>0.17722599999999999</v>
      </c>
      <c r="H23" s="13">
        <f>B23+F23</f>
        <v>19.34</v>
      </c>
      <c r="I23" s="13">
        <f>C23+G23</f>
        <v>31.517226000000001</v>
      </c>
      <c r="J23" s="10">
        <f t="shared" si="1"/>
        <v>1.6296394002068253</v>
      </c>
      <c r="K23" s="10">
        <f t="shared" ref="K23:K86" si="2">AVERAGE(J4:J23)</f>
        <v>1.6303171942085435</v>
      </c>
      <c r="L23" s="13">
        <f>K22*H23</f>
        <v>31.533217894669626</v>
      </c>
      <c r="M23" s="13">
        <f>I23</f>
        <v>31.517226000000001</v>
      </c>
      <c r="N23" s="13">
        <f>M23-L23</f>
        <v>-1.599189466962514E-2</v>
      </c>
      <c r="O23" s="2">
        <f>N23/L23</f>
        <v>-5.0714439366901433E-4</v>
      </c>
    </row>
    <row r="24" spans="1:15" x14ac:dyDescent="0.25">
      <c r="A24" s="1">
        <v>46057</v>
      </c>
      <c r="B24" s="6">
        <v>19.260000000000002</v>
      </c>
      <c r="C24" s="6">
        <v>31.44</v>
      </c>
      <c r="F24" s="13">
        <f>F23+D24</f>
        <v>0.1</v>
      </c>
      <c r="G24" s="13">
        <f t="shared" si="0"/>
        <v>0.17722599999999999</v>
      </c>
      <c r="H24" s="13">
        <f>B24+F24</f>
        <v>19.360000000000003</v>
      </c>
      <c r="I24" s="13">
        <f>C24+G24</f>
        <v>31.617226000000002</v>
      </c>
      <c r="J24" s="10">
        <f t="shared" si="1"/>
        <v>1.6331211776859502</v>
      </c>
      <c r="K24" s="10">
        <f t="shared" si="2"/>
        <v>1.6303273548581576</v>
      </c>
      <c r="L24" s="13">
        <f t="shared" ref="L24:L87" si="3">K23*H24</f>
        <v>31.562940879877406</v>
      </c>
      <c r="M24" s="13">
        <f t="shared" ref="M24:M87" si="4">I24</f>
        <v>31.617226000000002</v>
      </c>
      <c r="N24" s="13">
        <f>M24-L24</f>
        <v>5.4285120122596453E-2</v>
      </c>
      <c r="O24" s="2">
        <f>N24/L24</f>
        <v>1.7199005735617403E-3</v>
      </c>
    </row>
    <row r="25" spans="1:15" x14ac:dyDescent="0.25">
      <c r="A25" s="1">
        <v>46058</v>
      </c>
      <c r="B25" s="6">
        <v>19.12</v>
      </c>
      <c r="C25" s="6">
        <v>31.16</v>
      </c>
      <c r="F25" s="13">
        <f>F24+D25</f>
        <v>0.1</v>
      </c>
      <c r="G25" s="13">
        <f t="shared" si="0"/>
        <v>0.17722599999999999</v>
      </c>
      <c r="H25" s="13">
        <f>B25+F25</f>
        <v>19.220000000000002</v>
      </c>
      <c r="I25" s="13">
        <f>C25+G25</f>
        <v>31.337226000000001</v>
      </c>
      <c r="J25" s="10">
        <f t="shared" si="1"/>
        <v>1.6304488033298645</v>
      </c>
      <c r="K25" s="10">
        <f t="shared" si="2"/>
        <v>1.6303077389498841</v>
      </c>
      <c r="L25" s="13">
        <f t="shared" si="3"/>
        <v>31.334891760373793</v>
      </c>
      <c r="M25" s="13">
        <f t="shared" si="4"/>
        <v>31.337226000000001</v>
      </c>
      <c r="N25" s="13">
        <f>M25-L25</f>
        <v>2.3342396262080456E-3</v>
      </c>
      <c r="O25" s="2">
        <f>N25/L25</f>
        <v>7.4493304271117111E-5</v>
      </c>
    </row>
    <row r="26" spans="1:15" x14ac:dyDescent="0.25">
      <c r="A26" s="1">
        <v>46059</v>
      </c>
      <c r="B26" s="6">
        <v>19.27</v>
      </c>
      <c r="C26" s="6">
        <v>31.47</v>
      </c>
      <c r="F26" s="13">
        <f>F25+D26</f>
        <v>0.1</v>
      </c>
      <c r="G26" s="13">
        <f t="shared" si="0"/>
        <v>0.17722599999999999</v>
      </c>
      <c r="H26" s="13">
        <f>B26+F26</f>
        <v>19.37</v>
      </c>
      <c r="I26" s="13">
        <f>C26+G26</f>
        <v>31.647226</v>
      </c>
      <c r="J26" s="10">
        <f t="shared" si="1"/>
        <v>1.6338268456375837</v>
      </c>
      <c r="K26" s="10">
        <f t="shared" si="2"/>
        <v>1.6306616006718879</v>
      </c>
      <c r="L26" s="13">
        <f t="shared" si="3"/>
        <v>31.579060903459258</v>
      </c>
      <c r="M26" s="13">
        <f t="shared" si="4"/>
        <v>31.647226</v>
      </c>
      <c r="N26" s="13">
        <f>M26-L26</f>
        <v>6.8165096540742098E-2</v>
      </c>
      <c r="O26" s="2">
        <f>N26/L26</f>
        <v>2.1585536298603198E-3</v>
      </c>
    </row>
    <row r="27" spans="1:15" x14ac:dyDescent="0.25">
      <c r="A27" s="1">
        <v>46062</v>
      </c>
      <c r="B27" s="6">
        <v>19.3</v>
      </c>
      <c r="C27" s="6">
        <v>31.51</v>
      </c>
      <c r="F27" s="13">
        <f>F26+D27</f>
        <v>0.1</v>
      </c>
      <c r="G27" s="13">
        <f t="shared" si="0"/>
        <v>0.17722599999999999</v>
      </c>
      <c r="H27" s="13">
        <f>B27+F27</f>
        <v>19.400000000000002</v>
      </c>
      <c r="I27" s="13">
        <f>C27+G27</f>
        <v>31.687226000000003</v>
      </c>
      <c r="J27" s="10">
        <f t="shared" si="1"/>
        <v>1.6333621649484535</v>
      </c>
      <c r="K27" s="10">
        <f t="shared" si="2"/>
        <v>1.6307113014736025</v>
      </c>
      <c r="L27" s="13">
        <f t="shared" si="3"/>
        <v>31.634835053034628</v>
      </c>
      <c r="M27" s="13">
        <f t="shared" si="4"/>
        <v>31.687226000000003</v>
      </c>
      <c r="N27" s="13">
        <f>M27-L27</f>
        <v>5.2390946965374496E-2</v>
      </c>
      <c r="O27" s="2">
        <f>N27/L27</f>
        <v>1.6561156989610666E-3</v>
      </c>
    </row>
    <row r="28" spans="1:15" x14ac:dyDescent="0.25">
      <c r="A28" s="1">
        <v>46063</v>
      </c>
      <c r="B28" s="6">
        <v>19.309999999999999</v>
      </c>
      <c r="C28" s="6">
        <v>31.52</v>
      </c>
      <c r="F28" s="13">
        <f>F27+D28</f>
        <v>0.1</v>
      </c>
      <c r="G28" s="13">
        <f t="shared" si="0"/>
        <v>0.17722599999999999</v>
      </c>
      <c r="H28" s="13">
        <f>B28+F28</f>
        <v>19.41</v>
      </c>
      <c r="I28" s="13">
        <f>C28+G28</f>
        <v>31.697226000000001</v>
      </c>
      <c r="J28" s="10">
        <f t="shared" si="1"/>
        <v>1.6330358578052551</v>
      </c>
      <c r="K28" s="10">
        <f t="shared" si="2"/>
        <v>1.6306576680072762</v>
      </c>
      <c r="L28" s="13">
        <f t="shared" si="3"/>
        <v>31.652106361602627</v>
      </c>
      <c r="M28" s="13">
        <f t="shared" si="4"/>
        <v>31.697226000000001</v>
      </c>
      <c r="N28" s="13">
        <f>M28-L28</f>
        <v>4.5119638397373762E-2</v>
      </c>
      <c r="O28" s="2">
        <f>N28/L28</f>
        <v>1.4254861234798794E-3</v>
      </c>
    </row>
    <row r="29" spans="1:15" x14ac:dyDescent="0.25">
      <c r="A29" s="1">
        <v>46064</v>
      </c>
      <c r="B29" s="6">
        <v>19.38</v>
      </c>
      <c r="C29" s="6">
        <v>31.58</v>
      </c>
      <c r="F29" s="13">
        <f>F28+D29</f>
        <v>0.1</v>
      </c>
      <c r="G29" s="13">
        <f t="shared" si="0"/>
        <v>0.17722599999999999</v>
      </c>
      <c r="H29" s="13">
        <f>B29+F29</f>
        <v>19.48</v>
      </c>
      <c r="I29" s="13">
        <f>C29+G29</f>
        <v>31.757225999999999</v>
      </c>
      <c r="J29" s="10">
        <f t="shared" si="1"/>
        <v>1.6302477412731005</v>
      </c>
      <c r="K29" s="10">
        <f t="shared" si="2"/>
        <v>1.6308332941454811</v>
      </c>
      <c r="L29" s="13">
        <f t="shared" si="3"/>
        <v>31.765211372781742</v>
      </c>
      <c r="M29" s="13">
        <f t="shared" si="4"/>
        <v>31.757225999999999</v>
      </c>
      <c r="N29" s="13">
        <f>M29-L29</f>
        <v>-7.9853727817429387E-3</v>
      </c>
      <c r="O29" s="2">
        <f>N29/L29</f>
        <v>-2.5138736487632078E-4</v>
      </c>
    </row>
    <row r="30" spans="1:15" x14ac:dyDescent="0.25">
      <c r="A30" s="1">
        <v>46065</v>
      </c>
      <c r="B30" s="6">
        <v>19.23</v>
      </c>
      <c r="C30" s="6">
        <v>31.48</v>
      </c>
      <c r="F30" s="13">
        <f>F29+D30</f>
        <v>0.1</v>
      </c>
      <c r="G30" s="13">
        <f t="shared" si="0"/>
        <v>0.17722599999999999</v>
      </c>
      <c r="H30" s="13">
        <f>B30+F30</f>
        <v>19.330000000000002</v>
      </c>
      <c r="I30" s="13">
        <f>C30+G30</f>
        <v>31.657226000000001</v>
      </c>
      <c r="J30" s="10">
        <f t="shared" si="1"/>
        <v>1.6377250905328504</v>
      </c>
      <c r="K30" s="10">
        <f t="shared" si="2"/>
        <v>1.6312931761734066</v>
      </c>
      <c r="L30" s="13">
        <f t="shared" si="3"/>
        <v>31.524007575832151</v>
      </c>
      <c r="M30" s="13">
        <f t="shared" si="4"/>
        <v>31.657226000000001</v>
      </c>
      <c r="N30" s="13">
        <f>M30-L30</f>
        <v>0.13321842416785046</v>
      </c>
      <c r="O30" s="2">
        <f>N30/L30</f>
        <v>4.2259355460243647E-3</v>
      </c>
    </row>
    <row r="31" spans="1:15" x14ac:dyDescent="0.25">
      <c r="A31" s="1">
        <v>46066</v>
      </c>
      <c r="B31" s="6">
        <v>19.420000000000002</v>
      </c>
      <c r="C31" s="6">
        <v>31.69</v>
      </c>
      <c r="F31" s="13">
        <f>F30+D31</f>
        <v>0.1</v>
      </c>
      <c r="G31" s="13">
        <f t="shared" si="0"/>
        <v>0.17722599999999999</v>
      </c>
      <c r="H31" s="13">
        <f>B31+F31</f>
        <v>19.520000000000003</v>
      </c>
      <c r="I31" s="13">
        <f>C31+G31</f>
        <v>31.867226000000002</v>
      </c>
      <c r="J31" s="10">
        <f t="shared" si="1"/>
        <v>1.6325423155737704</v>
      </c>
      <c r="K31" s="10">
        <f t="shared" si="2"/>
        <v>1.6314141444111114</v>
      </c>
      <c r="L31" s="13">
        <f t="shared" si="3"/>
        <v>31.842842798904904</v>
      </c>
      <c r="M31" s="13">
        <f t="shared" si="4"/>
        <v>31.867226000000002</v>
      </c>
      <c r="N31" s="13">
        <f>M31-L31</f>
        <v>2.4383201095098173E-2</v>
      </c>
      <c r="O31" s="2">
        <f>N31/L31</f>
        <v>7.657356866371468E-4</v>
      </c>
    </row>
    <row r="32" spans="1:15" x14ac:dyDescent="0.25">
      <c r="A32" s="1">
        <v>46070</v>
      </c>
      <c r="B32" s="6">
        <v>19.47</v>
      </c>
      <c r="C32" s="6">
        <v>31.83</v>
      </c>
      <c r="F32" s="13">
        <f>F31+D32</f>
        <v>0.1</v>
      </c>
      <c r="G32" s="13">
        <f t="shared" si="0"/>
        <v>0.17722599999999999</v>
      </c>
      <c r="H32" s="13">
        <f>B32+F32</f>
        <v>19.57</v>
      </c>
      <c r="I32" s="13">
        <f>C32+G32</f>
        <v>32.007225999999996</v>
      </c>
      <c r="J32" s="10">
        <f t="shared" si="1"/>
        <v>1.6355250894225855</v>
      </c>
      <c r="K32" s="10">
        <f t="shared" si="2"/>
        <v>1.6315776613372996</v>
      </c>
      <c r="L32" s="13">
        <f t="shared" si="3"/>
        <v>31.926774806125451</v>
      </c>
      <c r="M32" s="13">
        <f t="shared" si="4"/>
        <v>32.007225999999996</v>
      </c>
      <c r="N32" s="13">
        <f>M32-L32</f>
        <v>8.0451193874544913E-2</v>
      </c>
      <c r="O32" s="2">
        <f>N32/L32</f>
        <v>2.5198659859344639E-3</v>
      </c>
    </row>
    <row r="33" spans="1:15" x14ac:dyDescent="0.25">
      <c r="A33" s="1">
        <v>46071</v>
      </c>
      <c r="B33" s="6">
        <v>19.48</v>
      </c>
      <c r="C33" s="6">
        <v>31.78</v>
      </c>
      <c r="F33" s="13">
        <f>F32+D33</f>
        <v>0.1</v>
      </c>
      <c r="G33" s="13">
        <f t="shared" si="0"/>
        <v>0.17722599999999999</v>
      </c>
      <c r="H33" s="13">
        <f>B33+F33</f>
        <v>19.580000000000002</v>
      </c>
      <c r="I33" s="13">
        <f>C33+G33</f>
        <v>31.957226000000002</v>
      </c>
      <c r="J33" s="10">
        <f t="shared" si="1"/>
        <v>1.6321361593462718</v>
      </c>
      <c r="K33" s="10">
        <f t="shared" si="2"/>
        <v>1.631631321729794</v>
      </c>
      <c r="L33" s="13">
        <f t="shared" si="3"/>
        <v>31.946290608984331</v>
      </c>
      <c r="M33" s="13">
        <f t="shared" si="4"/>
        <v>31.957226000000002</v>
      </c>
      <c r="N33" s="13">
        <f>M33-L33</f>
        <v>1.0935391015671314E-2</v>
      </c>
      <c r="O33" s="2">
        <f>N33/L33</f>
        <v>3.4230550111492218E-4</v>
      </c>
    </row>
    <row r="34" spans="1:15" x14ac:dyDescent="0.25">
      <c r="A34" s="1">
        <v>46072</v>
      </c>
      <c r="B34" s="6">
        <v>19.39</v>
      </c>
      <c r="C34" s="6">
        <v>31.71</v>
      </c>
      <c r="F34" s="13">
        <f>F33+D34</f>
        <v>0.1</v>
      </c>
      <c r="G34" s="13">
        <f t="shared" si="0"/>
        <v>0.17722599999999999</v>
      </c>
      <c r="H34" s="13">
        <f>B34+F34</f>
        <v>19.490000000000002</v>
      </c>
      <c r="I34" s="13">
        <f>C34+G34</f>
        <v>31.887226000000002</v>
      </c>
      <c r="J34" s="10">
        <f t="shared" si="1"/>
        <v>1.6360813750641354</v>
      </c>
      <c r="K34" s="10">
        <f t="shared" si="2"/>
        <v>1.6318941718450073</v>
      </c>
      <c r="L34" s="13">
        <f t="shared" si="3"/>
        <v>31.800494460513686</v>
      </c>
      <c r="M34" s="13">
        <f t="shared" si="4"/>
        <v>31.887226000000002</v>
      </c>
      <c r="N34" s="13">
        <f>M34-L34</f>
        <v>8.6731539486315512E-2</v>
      </c>
      <c r="O34" s="2">
        <f>N34/L34</f>
        <v>2.7273644940964386E-3</v>
      </c>
    </row>
    <row r="35" spans="1:15" x14ac:dyDescent="0.25">
      <c r="A35" s="1">
        <v>46073</v>
      </c>
      <c r="B35" s="6">
        <v>19.399999999999999</v>
      </c>
      <c r="C35" s="6">
        <v>31.7</v>
      </c>
      <c r="F35" s="13">
        <f>F34+D35</f>
        <v>0.1</v>
      </c>
      <c r="G35" s="13">
        <f t="shared" si="0"/>
        <v>0.17722599999999999</v>
      </c>
      <c r="H35" s="13">
        <f>B35+F35</f>
        <v>19.5</v>
      </c>
      <c r="I35" s="13">
        <f>C35+G35</f>
        <v>31.877226</v>
      </c>
      <c r="J35" s="10">
        <f t="shared" si="1"/>
        <v>1.6347295384615386</v>
      </c>
      <c r="K35" s="10">
        <f t="shared" si="2"/>
        <v>1.63215105693135</v>
      </c>
      <c r="L35" s="13">
        <f t="shared" si="3"/>
        <v>31.821936350977641</v>
      </c>
      <c r="M35" s="13">
        <f t="shared" si="4"/>
        <v>31.877226</v>
      </c>
      <c r="N35" s="13">
        <f>M35-L35</f>
        <v>5.5289649022359555E-2</v>
      </c>
      <c r="O35" s="2">
        <f>N35/L35</f>
        <v>1.7374696628309023E-3</v>
      </c>
    </row>
    <row r="36" spans="1:15" x14ac:dyDescent="0.25">
      <c r="A36" s="1">
        <v>46076</v>
      </c>
      <c r="B36" s="6">
        <v>19.309999999999999</v>
      </c>
      <c r="C36" s="6">
        <v>31.5</v>
      </c>
      <c r="F36" s="13">
        <f>F35+D36</f>
        <v>0.1</v>
      </c>
      <c r="G36" s="13">
        <f t="shared" si="0"/>
        <v>0.17722599999999999</v>
      </c>
      <c r="H36" s="13">
        <f>B36+F36</f>
        <v>19.41</v>
      </c>
      <c r="I36" s="13">
        <f>C36+G36</f>
        <v>31.677226000000001</v>
      </c>
      <c r="J36" s="10">
        <f t="shared" si="1"/>
        <v>1.6320054611025245</v>
      </c>
      <c r="K36" s="10">
        <f t="shared" si="2"/>
        <v>1.6322234812383922</v>
      </c>
      <c r="L36" s="13">
        <f t="shared" si="3"/>
        <v>31.680052015037504</v>
      </c>
      <c r="M36" s="13">
        <f t="shared" si="4"/>
        <v>31.677226000000001</v>
      </c>
      <c r="N36" s="13">
        <f>M36-L36</f>
        <v>-2.8260150375025717E-3</v>
      </c>
      <c r="O36" s="2">
        <f>N36/L36</f>
        <v>-8.9204873658703374E-5</v>
      </c>
    </row>
    <row r="37" spans="1:15" x14ac:dyDescent="0.25">
      <c r="A37" s="1">
        <v>46077</v>
      </c>
      <c r="B37" s="6">
        <v>19.46</v>
      </c>
      <c r="C37" s="6">
        <v>31.69</v>
      </c>
      <c r="F37" s="13">
        <f>F36+D37</f>
        <v>0.1</v>
      </c>
      <c r="G37" s="13">
        <f t="shared" si="0"/>
        <v>0.17722599999999999</v>
      </c>
      <c r="H37" s="13">
        <f>B37+F37</f>
        <v>19.560000000000002</v>
      </c>
      <c r="I37" s="13">
        <f>C37+G37</f>
        <v>31.867226000000002</v>
      </c>
      <c r="J37" s="10">
        <f t="shared" si="1"/>
        <v>1.6292037832310837</v>
      </c>
      <c r="K37" s="10">
        <f t="shared" si="2"/>
        <v>1.6322740687656256</v>
      </c>
      <c r="L37" s="13">
        <f t="shared" si="3"/>
        <v>31.926291293022956</v>
      </c>
      <c r="M37" s="13">
        <f t="shared" si="4"/>
        <v>31.867226000000002</v>
      </c>
      <c r="N37" s="13">
        <f>M37-L37</f>
        <v>-5.9065293022953824E-2</v>
      </c>
      <c r="O37" s="2">
        <f>N37/L37</f>
        <v>-1.8500518109305641E-3</v>
      </c>
    </row>
    <row r="38" spans="1:15" x14ac:dyDescent="0.25">
      <c r="A38" s="1">
        <v>46078</v>
      </c>
      <c r="B38" s="6">
        <v>19.420000000000002</v>
      </c>
      <c r="C38" s="6">
        <v>31.71</v>
      </c>
      <c r="F38" s="13">
        <f>F37+D38</f>
        <v>0.1</v>
      </c>
      <c r="G38" s="13">
        <f t="shared" si="0"/>
        <v>0.17722599999999999</v>
      </c>
      <c r="H38" s="13">
        <f>B38+F38</f>
        <v>19.520000000000003</v>
      </c>
      <c r="I38" s="13">
        <f>C38+G38</f>
        <v>31.887226000000002</v>
      </c>
      <c r="J38" s="10">
        <f t="shared" si="1"/>
        <v>1.6335669057377047</v>
      </c>
      <c r="K38" s="10">
        <f t="shared" si="2"/>
        <v>1.632561821005476</v>
      </c>
      <c r="L38" s="13">
        <f t="shared" si="3"/>
        <v>31.861989822305016</v>
      </c>
      <c r="M38" s="13">
        <f t="shared" si="4"/>
        <v>31.887226000000002</v>
      </c>
      <c r="N38" s="13">
        <f>M38-L38</f>
        <v>2.5236177694985429E-2</v>
      </c>
      <c r="O38" s="2">
        <f>N38/L38</f>
        <v>7.9204650543572824E-4</v>
      </c>
    </row>
    <row r="39" spans="1:15" x14ac:dyDescent="0.25">
      <c r="A39" s="1">
        <v>46079</v>
      </c>
      <c r="B39" s="6">
        <v>19.36</v>
      </c>
      <c r="C39" s="6">
        <v>31.63</v>
      </c>
      <c r="F39" s="13">
        <f>F38+D39</f>
        <v>0.1</v>
      </c>
      <c r="G39" s="13">
        <f t="shared" si="0"/>
        <v>0.17722599999999999</v>
      </c>
      <c r="H39" s="13">
        <f>B39+F39</f>
        <v>19.46</v>
      </c>
      <c r="I39" s="13">
        <f>C39+G39</f>
        <v>31.807226</v>
      </c>
      <c r="J39" s="10">
        <f t="shared" si="1"/>
        <v>1.6344926002055498</v>
      </c>
      <c r="K39" s="10">
        <f t="shared" si="2"/>
        <v>1.632764154757425</v>
      </c>
      <c r="L39" s="13">
        <f t="shared" si="3"/>
        <v>31.769653036766563</v>
      </c>
      <c r="M39" s="13">
        <f t="shared" si="4"/>
        <v>31.807226</v>
      </c>
      <c r="N39" s="13">
        <f>M39-L39</f>
        <v>3.7572963233436951E-2</v>
      </c>
      <c r="O39" s="2">
        <f>N39/L39</f>
        <v>1.1826683530334529E-3</v>
      </c>
    </row>
    <row r="40" spans="1:15" x14ac:dyDescent="0.25">
      <c r="A40" s="1">
        <v>46080</v>
      </c>
      <c r="B40" s="6">
        <v>19.25</v>
      </c>
      <c r="C40" s="6">
        <v>31.41</v>
      </c>
      <c r="F40" s="13">
        <f>F39+D40</f>
        <v>0.1</v>
      </c>
      <c r="G40" s="13">
        <f t="shared" si="0"/>
        <v>0.17722599999999999</v>
      </c>
      <c r="H40" s="13">
        <f>B40+F40</f>
        <v>19.350000000000001</v>
      </c>
      <c r="I40" s="13">
        <f>C40+G40</f>
        <v>31.587226000000001</v>
      </c>
      <c r="J40" s="10">
        <f t="shared" si="1"/>
        <v>1.632414780361757</v>
      </c>
      <c r="K40" s="10">
        <f t="shared" si="2"/>
        <v>1.6328776921294221</v>
      </c>
      <c r="L40" s="13">
        <f t="shared" si="3"/>
        <v>31.593986394556175</v>
      </c>
      <c r="M40" s="13">
        <f t="shared" si="4"/>
        <v>31.587226000000001</v>
      </c>
      <c r="N40" s="13">
        <f>M40-L40</f>
        <v>-6.7603945561742762E-3</v>
      </c>
      <c r="O40" s="2">
        <f>N40/L40</f>
        <v>-2.1397725730929387E-4</v>
      </c>
    </row>
    <row r="41" spans="1:15" x14ac:dyDescent="0.25">
      <c r="A41" s="1">
        <v>46083</v>
      </c>
      <c r="B41" s="6">
        <v>19.190000000000001</v>
      </c>
      <c r="C41" s="6">
        <v>31.46</v>
      </c>
      <c r="D41" s="13">
        <v>0.1</v>
      </c>
      <c r="E41" s="13">
        <v>3.1167E-2</v>
      </c>
      <c r="F41" s="13">
        <f>F40+D41</f>
        <v>0.2</v>
      </c>
      <c r="G41" s="13">
        <f t="shared" si="0"/>
        <v>0.20839299999999999</v>
      </c>
      <c r="H41" s="13">
        <f>B41+F41</f>
        <v>19.39</v>
      </c>
      <c r="I41" s="13">
        <f>C41+G41</f>
        <v>31.668393000000002</v>
      </c>
      <c r="J41" s="10">
        <f t="shared" si="1"/>
        <v>1.6332332645693657</v>
      </c>
      <c r="K41" s="10">
        <f t="shared" si="2"/>
        <v>1.6329482122064998</v>
      </c>
      <c r="L41" s="13">
        <f t="shared" si="3"/>
        <v>31.661498450389495</v>
      </c>
      <c r="M41" s="13">
        <f t="shared" si="4"/>
        <v>31.668393000000002</v>
      </c>
      <c r="N41" s="13">
        <f>M41-L41</f>
        <v>6.8945496105072834E-3</v>
      </c>
      <c r="O41" s="2">
        <f>N41/L41</f>
        <v>2.1775815889795537E-4</v>
      </c>
    </row>
    <row r="42" spans="1:15" x14ac:dyDescent="0.25">
      <c r="A42" s="1">
        <v>46084</v>
      </c>
      <c r="B42" s="6">
        <v>19.04</v>
      </c>
      <c r="C42" s="6">
        <v>31.28</v>
      </c>
      <c r="F42" s="13">
        <f>F41+D42</f>
        <v>0.2</v>
      </c>
      <c r="G42" s="13">
        <f t="shared" si="0"/>
        <v>0.20839299999999999</v>
      </c>
      <c r="H42" s="13">
        <f>B42+F42</f>
        <v>19.239999999999998</v>
      </c>
      <c r="I42" s="13">
        <f>C42+G42</f>
        <v>31.488393000000002</v>
      </c>
      <c r="J42" s="10">
        <f t="shared" si="1"/>
        <v>1.6366108627858631</v>
      </c>
      <c r="K42" s="10">
        <f t="shared" si="2"/>
        <v>1.6331974608641016</v>
      </c>
      <c r="L42" s="13">
        <f t="shared" si="3"/>
        <v>31.417923602853055</v>
      </c>
      <c r="M42" s="13">
        <f t="shared" si="4"/>
        <v>31.488393000000002</v>
      </c>
      <c r="N42" s="13">
        <f>M42-L42</f>
        <v>7.0469397146947443E-2</v>
      </c>
      <c r="O42" s="2">
        <f>N42/L42</f>
        <v>2.24296799615835E-3</v>
      </c>
    </row>
    <row r="43" spans="1:15" x14ac:dyDescent="0.25">
      <c r="A43" s="1">
        <v>46085</v>
      </c>
      <c r="B43" s="6">
        <v>19.12</v>
      </c>
      <c r="C43" s="6">
        <v>31.42</v>
      </c>
      <c r="F43" s="13">
        <f>F42+D43</f>
        <v>0.2</v>
      </c>
      <c r="G43" s="13">
        <f t="shared" si="0"/>
        <v>0.20839299999999999</v>
      </c>
      <c r="H43" s="13">
        <f>B43+F43</f>
        <v>19.32</v>
      </c>
      <c r="I43" s="13">
        <f>C43+G43</f>
        <v>31.628393000000003</v>
      </c>
      <c r="J43" s="10">
        <f t="shared" si="1"/>
        <v>1.6370803830227745</v>
      </c>
      <c r="K43" s="10">
        <f t="shared" si="2"/>
        <v>1.6335695100048995</v>
      </c>
      <c r="L43" s="13">
        <f t="shared" si="3"/>
        <v>31.553374943894443</v>
      </c>
      <c r="M43" s="13">
        <f t="shared" si="4"/>
        <v>31.628393000000003</v>
      </c>
      <c r="N43" s="13">
        <f>M43-L43</f>
        <v>7.5018056105559339E-2</v>
      </c>
      <c r="O43" s="2">
        <f>N43/L43</f>
        <v>2.3774970582053469E-3</v>
      </c>
    </row>
    <row r="44" spans="1:15" x14ac:dyDescent="0.25">
      <c r="A44" s="1">
        <v>46086</v>
      </c>
      <c r="B44" s="6">
        <v>19.02</v>
      </c>
      <c r="C44" s="6">
        <v>31.29</v>
      </c>
      <c r="F44" s="13">
        <f>F43+D44</f>
        <v>0.2</v>
      </c>
      <c r="G44" s="13">
        <f t="shared" si="0"/>
        <v>0.20839299999999999</v>
      </c>
      <c r="H44" s="13">
        <f>B44+F44</f>
        <v>19.22</v>
      </c>
      <c r="I44" s="13">
        <f>C44+G44</f>
        <v>31.498393</v>
      </c>
      <c r="J44" s="10">
        <f t="shared" si="1"/>
        <v>1.6388341831425599</v>
      </c>
      <c r="K44" s="10">
        <f t="shared" si="2"/>
        <v>1.6338551602777298</v>
      </c>
      <c r="L44" s="13">
        <f t="shared" si="3"/>
        <v>31.397205982294167</v>
      </c>
      <c r="M44" s="13">
        <f t="shared" si="4"/>
        <v>31.498393</v>
      </c>
      <c r="N44" s="13">
        <f>M44-L44</f>
        <v>0.10118701770583272</v>
      </c>
      <c r="O44" s="2">
        <f>N44/L44</f>
        <v>3.2228032571718366E-3</v>
      </c>
    </row>
    <row r="45" spans="1:15" x14ac:dyDescent="0.25">
      <c r="A45" s="1">
        <v>46087</v>
      </c>
      <c r="B45" s="6">
        <v>18.899999999999999</v>
      </c>
      <c r="C45" s="6">
        <v>31.12</v>
      </c>
      <c r="F45" s="13">
        <f>F44+D45</f>
        <v>0.2</v>
      </c>
      <c r="G45" s="13">
        <f t="shared" si="0"/>
        <v>0.20839299999999999</v>
      </c>
      <c r="H45" s="13">
        <f>B45+F45</f>
        <v>19.099999999999998</v>
      </c>
      <c r="I45" s="13">
        <f>C45+G45</f>
        <v>31.328393000000002</v>
      </c>
      <c r="J45" s="10">
        <f t="shared" si="1"/>
        <v>1.6402300000000003</v>
      </c>
      <c r="K45" s="10">
        <f t="shared" si="2"/>
        <v>1.6343442201112364</v>
      </c>
      <c r="L45" s="13">
        <f t="shared" si="3"/>
        <v>31.206633561304635</v>
      </c>
      <c r="M45" s="13">
        <f t="shared" si="4"/>
        <v>31.328393000000002</v>
      </c>
      <c r="N45" s="13">
        <f>M45-L45</f>
        <v>0.12175943869536709</v>
      </c>
      <c r="O45" s="2">
        <f>N45/L45</f>
        <v>3.9017165519047029E-3</v>
      </c>
    </row>
    <row r="46" spans="1:15" x14ac:dyDescent="0.25">
      <c r="A46" s="1">
        <v>46090</v>
      </c>
      <c r="B46" s="6">
        <v>18.91</v>
      </c>
      <c r="C46" s="6">
        <v>31.17</v>
      </c>
      <c r="F46" s="13">
        <f>F45+D46</f>
        <v>0.2</v>
      </c>
      <c r="G46" s="13">
        <f t="shared" si="0"/>
        <v>0.20839299999999999</v>
      </c>
      <c r="H46" s="13">
        <f>B46+F46</f>
        <v>19.11</v>
      </c>
      <c r="I46" s="13">
        <f>C46+G46</f>
        <v>31.378393000000003</v>
      </c>
      <c r="J46" s="10">
        <f t="shared" si="1"/>
        <v>1.6419881214024072</v>
      </c>
      <c r="K46" s="10">
        <f t="shared" si="2"/>
        <v>1.6347522838994777</v>
      </c>
      <c r="L46" s="13">
        <f t="shared" si="3"/>
        <v>31.232318046325727</v>
      </c>
      <c r="M46" s="13">
        <f t="shared" si="4"/>
        <v>31.378393000000003</v>
      </c>
      <c r="N46" s="13">
        <f>M46-L46</f>
        <v>0.14607495367427603</v>
      </c>
      <c r="O46" s="2">
        <f>N46/L46</f>
        <v>4.6770448948940816E-3</v>
      </c>
    </row>
    <row r="47" spans="1:15" x14ac:dyDescent="0.25">
      <c r="A47" s="1">
        <v>46091</v>
      </c>
      <c r="B47" s="6">
        <v>18.920000000000002</v>
      </c>
      <c r="C47" s="6">
        <v>31.15</v>
      </c>
      <c r="F47" s="13">
        <f>F46+D47</f>
        <v>0.2</v>
      </c>
      <c r="G47" s="13">
        <f t="shared" si="0"/>
        <v>0.20839299999999999</v>
      </c>
      <c r="H47" s="13">
        <f>B47+F47</f>
        <v>19.12</v>
      </c>
      <c r="I47" s="13">
        <f>C47+G47</f>
        <v>31.358393</v>
      </c>
      <c r="J47" s="10">
        <f t="shared" si="1"/>
        <v>1.6400833158995816</v>
      </c>
      <c r="K47" s="10">
        <f t="shared" si="2"/>
        <v>1.6350883414470339</v>
      </c>
      <c r="L47" s="13">
        <f t="shared" si="3"/>
        <v>31.256463668158016</v>
      </c>
      <c r="M47" s="13">
        <f t="shared" si="4"/>
        <v>31.358393</v>
      </c>
      <c r="N47" s="13">
        <f>M47-L47</f>
        <v>0.10192933184198338</v>
      </c>
      <c r="O47" s="2">
        <f>N47/L47</f>
        <v>3.2610641089837085E-3</v>
      </c>
    </row>
    <row r="48" spans="1:15" x14ac:dyDescent="0.25">
      <c r="A48" s="1">
        <v>46092</v>
      </c>
      <c r="B48" s="6">
        <v>18.829999999999998</v>
      </c>
      <c r="C48" s="6">
        <v>31.04</v>
      </c>
      <c r="F48" s="13">
        <f>F47+D48</f>
        <v>0.2</v>
      </c>
      <c r="G48" s="13">
        <f t="shared" si="0"/>
        <v>0.20839299999999999</v>
      </c>
      <c r="H48" s="13">
        <f>B48+F48</f>
        <v>19.029999999999998</v>
      </c>
      <c r="I48" s="13">
        <f>C48+G48</f>
        <v>31.248393</v>
      </c>
      <c r="J48" s="10">
        <f t="shared" si="1"/>
        <v>1.6420595375722546</v>
      </c>
      <c r="K48" s="10">
        <f t="shared" si="2"/>
        <v>1.6355395254353837</v>
      </c>
      <c r="L48" s="13">
        <f t="shared" si="3"/>
        <v>31.11573113773705</v>
      </c>
      <c r="M48" s="13">
        <f t="shared" si="4"/>
        <v>31.248393</v>
      </c>
      <c r="N48" s="13">
        <f>M48-L48</f>
        <v>0.13266186226294963</v>
      </c>
      <c r="O48" s="2">
        <f>N48/L48</f>
        <v>4.2634981538986812E-3</v>
      </c>
    </row>
    <row r="49" spans="1:15" x14ac:dyDescent="0.25">
      <c r="A49" s="1">
        <v>46093</v>
      </c>
      <c r="B49" s="6">
        <v>18.670000000000002</v>
      </c>
      <c r="C49" s="6">
        <v>30.85</v>
      </c>
      <c r="F49" s="13">
        <f>F48+D49</f>
        <v>0.2</v>
      </c>
      <c r="G49" s="13">
        <f t="shared" si="0"/>
        <v>0.20839299999999999</v>
      </c>
      <c r="H49" s="13">
        <f>B49+F49</f>
        <v>18.87</v>
      </c>
      <c r="I49" s="13">
        <f>C49+G49</f>
        <v>31.058393000000002</v>
      </c>
      <c r="J49" s="10">
        <f t="shared" si="1"/>
        <v>1.6459137784843667</v>
      </c>
      <c r="K49" s="10">
        <f t="shared" si="2"/>
        <v>1.6363228272959467</v>
      </c>
      <c r="L49" s="13">
        <f t="shared" si="3"/>
        <v>30.862630844965693</v>
      </c>
      <c r="M49" s="13">
        <f t="shared" si="4"/>
        <v>31.058393000000002</v>
      </c>
      <c r="N49" s="13">
        <f>M49-L49</f>
        <v>0.19576215503430916</v>
      </c>
      <c r="O49" s="2">
        <f>N49/L49</f>
        <v>6.3430157985459572E-3</v>
      </c>
    </row>
    <row r="50" spans="1:15" x14ac:dyDescent="0.25">
      <c r="A50" s="1">
        <v>46094</v>
      </c>
      <c r="B50" s="6">
        <v>18.57</v>
      </c>
      <c r="C50" s="6">
        <v>30.67</v>
      </c>
      <c r="F50" s="13">
        <f>F49+D50</f>
        <v>0.2</v>
      </c>
      <c r="G50" s="13">
        <f t="shared" si="0"/>
        <v>0.20839299999999999</v>
      </c>
      <c r="H50" s="13">
        <f>B50+F50</f>
        <v>18.77</v>
      </c>
      <c r="I50" s="13">
        <f>C50+G50</f>
        <v>30.878393000000003</v>
      </c>
      <c r="J50" s="10">
        <f t="shared" si="1"/>
        <v>1.645092860948322</v>
      </c>
      <c r="K50" s="10">
        <f t="shared" si="2"/>
        <v>1.6366912158167206</v>
      </c>
      <c r="L50" s="13">
        <f t="shared" si="3"/>
        <v>30.713779468344917</v>
      </c>
      <c r="M50" s="13">
        <f t="shared" si="4"/>
        <v>30.878393000000003</v>
      </c>
      <c r="N50" s="13">
        <f>M50-L50</f>
        <v>0.16461353165508541</v>
      </c>
      <c r="O50" s="2">
        <f>N50/L50</f>
        <v>5.3595986721446621E-3</v>
      </c>
    </row>
    <row r="51" spans="1:15" x14ac:dyDescent="0.25">
      <c r="A51" s="1">
        <v>46097</v>
      </c>
      <c r="B51" s="6">
        <v>18.64</v>
      </c>
      <c r="C51" s="6">
        <v>30.75</v>
      </c>
      <c r="F51" s="13">
        <f>F50+D51</f>
        <v>0.2</v>
      </c>
      <c r="G51" s="13">
        <f t="shared" si="0"/>
        <v>0.20839299999999999</v>
      </c>
      <c r="H51" s="13">
        <f>B51+F51</f>
        <v>18.84</v>
      </c>
      <c r="I51" s="13">
        <f>C51+G51</f>
        <v>30.958393000000001</v>
      </c>
      <c r="J51" s="10">
        <f t="shared" si="1"/>
        <v>1.6432268046709131</v>
      </c>
      <c r="K51" s="10">
        <f t="shared" si="2"/>
        <v>1.6372254402715776</v>
      </c>
      <c r="L51" s="13">
        <f t="shared" si="3"/>
        <v>30.835262505987018</v>
      </c>
      <c r="M51" s="13">
        <f t="shared" si="4"/>
        <v>30.958393000000001</v>
      </c>
      <c r="N51" s="13">
        <f>M51-L51</f>
        <v>0.12313049401298315</v>
      </c>
      <c r="O51" s="2">
        <f>N51/L51</f>
        <v>3.9931715836398658E-3</v>
      </c>
    </row>
    <row r="52" spans="1:15" x14ac:dyDescent="0.25">
      <c r="A52" s="1">
        <v>46098</v>
      </c>
      <c r="B52" s="6">
        <v>18.72</v>
      </c>
      <c r="C52" s="6">
        <v>30.9</v>
      </c>
      <c r="F52" s="13">
        <f>F51+D52</f>
        <v>0.2</v>
      </c>
      <c r="G52" s="13">
        <f t="shared" si="0"/>
        <v>0.20839299999999999</v>
      </c>
      <c r="H52" s="13">
        <f>B52+F52</f>
        <v>18.919999999999998</v>
      </c>
      <c r="I52" s="13">
        <f>C52+G52</f>
        <v>31.108393</v>
      </c>
      <c r="J52" s="10">
        <f t="shared" si="1"/>
        <v>1.6442068181818184</v>
      </c>
      <c r="K52" s="10">
        <f t="shared" si="2"/>
        <v>1.6376595267095393</v>
      </c>
      <c r="L52" s="13">
        <f t="shared" si="3"/>
        <v>30.976305329938246</v>
      </c>
      <c r="M52" s="13">
        <f t="shared" si="4"/>
        <v>31.108393</v>
      </c>
      <c r="N52" s="13">
        <f>M52-L52</f>
        <v>0.13208767006175393</v>
      </c>
      <c r="O52" s="2">
        <f>N52/L52</f>
        <v>4.2641518623621226E-3</v>
      </c>
    </row>
    <row r="53" spans="1:15" x14ac:dyDescent="0.25">
      <c r="A53" s="1">
        <v>46099</v>
      </c>
      <c r="B53" s="6">
        <v>18.600000000000001</v>
      </c>
      <c r="C53" s="6">
        <v>30.67</v>
      </c>
      <c r="F53" s="13">
        <f>F52+D53</f>
        <v>0.2</v>
      </c>
      <c r="G53" s="13">
        <f t="shared" si="0"/>
        <v>0.20839299999999999</v>
      </c>
      <c r="H53" s="13">
        <f>B53+F53</f>
        <v>18.8</v>
      </c>
      <c r="I53" s="13">
        <f>C53+G53</f>
        <v>30.878393000000003</v>
      </c>
      <c r="J53" s="10">
        <f t="shared" si="1"/>
        <v>1.6424677127659575</v>
      </c>
      <c r="K53" s="10">
        <f t="shared" si="2"/>
        <v>1.6381761043805239</v>
      </c>
      <c r="L53" s="13">
        <f t="shared" si="3"/>
        <v>30.787999102139342</v>
      </c>
      <c r="M53" s="13">
        <f t="shared" si="4"/>
        <v>30.878393000000003</v>
      </c>
      <c r="N53" s="13">
        <f>M53-L53</f>
        <v>9.0393897860661099E-2</v>
      </c>
      <c r="O53" s="2">
        <f>N53/L53</f>
        <v>2.9360107995579344E-3</v>
      </c>
    </row>
    <row r="54" spans="1:15" x14ac:dyDescent="0.25">
      <c r="A54" s="1">
        <v>46100</v>
      </c>
      <c r="B54" s="6">
        <v>18.59</v>
      </c>
      <c r="C54" s="6">
        <v>30.71</v>
      </c>
      <c r="F54" s="13">
        <f>F53+D54</f>
        <v>0.2</v>
      </c>
      <c r="G54" s="13">
        <f t="shared" si="0"/>
        <v>0.20839299999999999</v>
      </c>
      <c r="H54" s="13">
        <f>B54+F54</f>
        <v>18.79</v>
      </c>
      <c r="I54" s="13">
        <f>C54+G54</f>
        <v>30.918393000000002</v>
      </c>
      <c r="J54" s="10">
        <f t="shared" si="1"/>
        <v>1.645470622671634</v>
      </c>
      <c r="K54" s="10">
        <f t="shared" si="2"/>
        <v>1.6386455667608986</v>
      </c>
      <c r="L54" s="13">
        <f t="shared" si="3"/>
        <v>30.781329001310041</v>
      </c>
      <c r="M54" s="13">
        <f t="shared" si="4"/>
        <v>30.918393000000002</v>
      </c>
      <c r="N54" s="13">
        <f>M54-L54</f>
        <v>0.13706399868996044</v>
      </c>
      <c r="O54" s="2">
        <f>N54/L54</f>
        <v>4.4528291382132023E-3</v>
      </c>
    </row>
    <row r="55" spans="1:15" x14ac:dyDescent="0.25">
      <c r="A55" s="1">
        <v>46101</v>
      </c>
      <c r="B55" s="6">
        <v>18.3</v>
      </c>
      <c r="C55" s="6">
        <v>30.27</v>
      </c>
      <c r="F55" s="13">
        <f>F54+D55</f>
        <v>0.2</v>
      </c>
      <c r="G55" s="13">
        <f t="shared" si="0"/>
        <v>0.20839299999999999</v>
      </c>
      <c r="H55" s="13">
        <f>B55+F55</f>
        <v>18.5</v>
      </c>
      <c r="I55" s="13">
        <f>C55+G55</f>
        <v>30.478393000000001</v>
      </c>
      <c r="J55" s="10">
        <f t="shared" si="1"/>
        <v>1.6474807027027027</v>
      </c>
      <c r="K55" s="10">
        <f t="shared" si="2"/>
        <v>1.6392831249729567</v>
      </c>
      <c r="L55" s="13">
        <f t="shared" si="3"/>
        <v>30.314942985076623</v>
      </c>
      <c r="M55" s="13">
        <f t="shared" si="4"/>
        <v>30.478393000000001</v>
      </c>
      <c r="N55" s="13">
        <f>M55-L55</f>
        <v>0.1634500149233773</v>
      </c>
      <c r="O55" s="2">
        <f>N55/L55</f>
        <v>5.3917309032657634E-3</v>
      </c>
    </row>
    <row r="56" spans="1:15" x14ac:dyDescent="0.25">
      <c r="A56" s="1">
        <v>46104</v>
      </c>
      <c r="B56" s="6">
        <v>18.46</v>
      </c>
      <c r="C56" s="6">
        <v>30.45</v>
      </c>
      <c r="F56" s="13">
        <f>F55+D56</f>
        <v>0.2</v>
      </c>
      <c r="G56" s="13">
        <f t="shared" si="0"/>
        <v>0.20839299999999999</v>
      </c>
      <c r="H56" s="13">
        <f>B56+F56</f>
        <v>18.66</v>
      </c>
      <c r="I56" s="13">
        <f>C56+G56</f>
        <v>30.658393</v>
      </c>
      <c r="J56" s="10">
        <f t="shared" si="1"/>
        <v>1.6430006966773847</v>
      </c>
      <c r="K56" s="10">
        <f t="shared" si="2"/>
        <v>1.6398328867516998</v>
      </c>
      <c r="L56" s="13">
        <f t="shared" si="3"/>
        <v>30.589023111995374</v>
      </c>
      <c r="M56" s="13">
        <f t="shared" si="4"/>
        <v>30.658393</v>
      </c>
      <c r="N56" s="13">
        <f>M56-L56</f>
        <v>6.936988800462629E-2</v>
      </c>
      <c r="O56" s="2">
        <f>N56/L56</f>
        <v>2.2678033146283491E-3</v>
      </c>
    </row>
    <row r="57" spans="1:15" x14ac:dyDescent="0.25">
      <c r="A57" s="1">
        <v>46105</v>
      </c>
      <c r="B57" s="6">
        <v>18.5</v>
      </c>
      <c r="C57" s="6">
        <v>30.44</v>
      </c>
      <c r="F57" s="13">
        <f>F56+D57</f>
        <v>0.2</v>
      </c>
      <c r="G57" s="13">
        <f t="shared" si="0"/>
        <v>0.20839299999999999</v>
      </c>
      <c r="H57" s="13">
        <f>B57+F57</f>
        <v>18.7</v>
      </c>
      <c r="I57" s="13">
        <f>C57+G57</f>
        <v>30.648393000000002</v>
      </c>
      <c r="J57" s="10">
        <f t="shared" si="1"/>
        <v>1.6389514973262034</v>
      </c>
      <c r="K57" s="10">
        <f t="shared" si="2"/>
        <v>1.6403202724564558</v>
      </c>
      <c r="L57" s="13">
        <f t="shared" si="3"/>
        <v>30.664874982256784</v>
      </c>
      <c r="M57" s="13">
        <f t="shared" si="4"/>
        <v>30.648393000000002</v>
      </c>
      <c r="N57" s="13">
        <f>M57-L57</f>
        <v>-1.6481982256781436E-2</v>
      </c>
      <c r="O57" s="2">
        <f>N57/L57</f>
        <v>-5.3748734558083772E-4</v>
      </c>
    </row>
    <row r="58" spans="1:15" x14ac:dyDescent="0.25">
      <c r="A58" s="1">
        <v>46106</v>
      </c>
      <c r="B58" s="6">
        <v>18.59</v>
      </c>
      <c r="C58" s="6">
        <v>30.61</v>
      </c>
      <c r="F58" s="13">
        <f>F57+D58</f>
        <v>0.2</v>
      </c>
      <c r="G58" s="13">
        <f t="shared" si="0"/>
        <v>0.20839299999999999</v>
      </c>
      <c r="H58" s="13">
        <f>B58+F58</f>
        <v>18.79</v>
      </c>
      <c r="I58" s="13">
        <f>C58+G58</f>
        <v>30.818393</v>
      </c>
      <c r="J58" s="10">
        <f t="shared" si="1"/>
        <v>1.640148642895157</v>
      </c>
      <c r="K58" s="10">
        <f t="shared" si="2"/>
        <v>1.6406493593143285</v>
      </c>
      <c r="L58" s="13">
        <f t="shared" si="3"/>
        <v>30.821617919456806</v>
      </c>
      <c r="M58" s="13">
        <f t="shared" si="4"/>
        <v>30.818393</v>
      </c>
      <c r="N58" s="13">
        <f>M58-L58</f>
        <v>-3.224919456805253E-3</v>
      </c>
      <c r="O58" s="2">
        <f>N58/L58</f>
        <v>-1.0463173819209061E-4</v>
      </c>
    </row>
    <row r="59" spans="1:15" x14ac:dyDescent="0.25">
      <c r="A59" s="1">
        <v>46107</v>
      </c>
      <c r="B59" s="6">
        <v>18.43</v>
      </c>
      <c r="C59" s="6">
        <v>30.38</v>
      </c>
      <c r="F59" s="13">
        <f>F58+D59</f>
        <v>0.2</v>
      </c>
      <c r="G59" s="13">
        <f t="shared" si="0"/>
        <v>0.20839299999999999</v>
      </c>
      <c r="H59" s="13">
        <f>B59+F59</f>
        <v>18.63</v>
      </c>
      <c r="I59" s="13">
        <f>C59+G59</f>
        <v>30.588393</v>
      </c>
      <c r="J59" s="10">
        <f t="shared" si="1"/>
        <v>1.6418890499194847</v>
      </c>
      <c r="K59" s="10">
        <f t="shared" si="2"/>
        <v>1.6410191818000253</v>
      </c>
      <c r="L59" s="13">
        <f t="shared" si="3"/>
        <v>30.56529756402594</v>
      </c>
      <c r="M59" s="13">
        <f t="shared" si="4"/>
        <v>30.588393</v>
      </c>
      <c r="N59" s="13">
        <f>M59-L59</f>
        <v>2.3095435974060052E-2</v>
      </c>
      <c r="O59" s="2">
        <f>N59/L59</f>
        <v>7.5560972130833768E-4</v>
      </c>
    </row>
    <row r="60" spans="1:15" x14ac:dyDescent="0.25">
      <c r="A60" s="1">
        <v>46108</v>
      </c>
      <c r="B60" s="6">
        <v>18.309999999999999</v>
      </c>
      <c r="C60" s="6">
        <v>30.16</v>
      </c>
      <c r="F60" s="13">
        <f>F59+D60</f>
        <v>0.2</v>
      </c>
      <c r="G60" s="13">
        <f t="shared" si="0"/>
        <v>0.20839299999999999</v>
      </c>
      <c r="H60" s="13">
        <f>B60+F60</f>
        <v>18.509999999999998</v>
      </c>
      <c r="I60" s="13">
        <f>C60+G60</f>
        <v>30.368393000000001</v>
      </c>
      <c r="J60" s="10">
        <f t="shared" si="1"/>
        <v>1.64064792004322</v>
      </c>
      <c r="K60" s="10">
        <f t="shared" si="2"/>
        <v>1.6414308387840983</v>
      </c>
      <c r="L60" s="13">
        <f t="shared" si="3"/>
        <v>30.375265055118465</v>
      </c>
      <c r="M60" s="13">
        <f t="shared" si="4"/>
        <v>30.368393000000001</v>
      </c>
      <c r="N60" s="13">
        <f>M60-L60</f>
        <v>-6.8720551184640044E-3</v>
      </c>
      <c r="O60" s="2">
        <f>N60/L60</f>
        <v>-2.2623852354848869E-4</v>
      </c>
    </row>
    <row r="61" spans="1:15" x14ac:dyDescent="0.25">
      <c r="A61" s="1">
        <v>46111</v>
      </c>
      <c r="B61" s="6">
        <v>18.239999999999998</v>
      </c>
      <c r="C61" s="6">
        <v>30.12</v>
      </c>
      <c r="F61" s="13">
        <f>F60+D61</f>
        <v>0.2</v>
      </c>
      <c r="G61" s="13">
        <f t="shared" si="0"/>
        <v>0.20839299999999999</v>
      </c>
      <c r="H61" s="13">
        <f>B61+F61</f>
        <v>18.439999999999998</v>
      </c>
      <c r="I61" s="13">
        <f>C61+G61</f>
        <v>30.328393000000002</v>
      </c>
      <c r="J61" s="10">
        <f t="shared" si="1"/>
        <v>1.6447067787418659</v>
      </c>
      <c r="K61" s="10">
        <f t="shared" si="2"/>
        <v>1.6420045144927233</v>
      </c>
      <c r="L61" s="13">
        <f t="shared" si="3"/>
        <v>30.267984667178769</v>
      </c>
      <c r="M61" s="13">
        <f t="shared" si="4"/>
        <v>30.328393000000002</v>
      </c>
      <c r="N61" s="13">
        <f>M61-L61</f>
        <v>6.0408332821232591E-2</v>
      </c>
      <c r="O61" s="2">
        <f>N61/L61</f>
        <v>1.9957831182178657E-3</v>
      </c>
    </row>
    <row r="62" spans="1:15" x14ac:dyDescent="0.25">
      <c r="A62" s="1">
        <v>46112</v>
      </c>
      <c r="B62" s="6">
        <v>18.399999999999999</v>
      </c>
      <c r="C62" s="6">
        <v>30.32</v>
      </c>
      <c r="F62" s="13">
        <f>F61+D62</f>
        <v>0.2</v>
      </c>
      <c r="G62" s="13">
        <f t="shared" si="0"/>
        <v>0.20839299999999999</v>
      </c>
      <c r="H62" s="13">
        <f>B62+F62</f>
        <v>18.599999999999998</v>
      </c>
      <c r="I62" s="13">
        <f>C62+G62</f>
        <v>30.528393000000001</v>
      </c>
      <c r="J62" s="10">
        <f t="shared" si="1"/>
        <v>1.6413114516129035</v>
      </c>
      <c r="K62" s="10">
        <f t="shared" si="2"/>
        <v>1.6422395439340753</v>
      </c>
      <c r="L62" s="13">
        <f t="shared" si="3"/>
        <v>30.541283969564649</v>
      </c>
      <c r="M62" s="13">
        <f t="shared" si="4"/>
        <v>30.528393000000001</v>
      </c>
      <c r="N62" s="13">
        <f>M62-L62</f>
        <v>-1.2890969564647747E-2</v>
      </c>
      <c r="O62" s="2">
        <f>N62/L62</f>
        <v>-4.2208341920051573E-4</v>
      </c>
    </row>
    <row r="63" spans="1:15" x14ac:dyDescent="0.25">
      <c r="A63" s="1">
        <v>46113</v>
      </c>
      <c r="B63" s="6">
        <v>18.39</v>
      </c>
      <c r="C63" s="6">
        <v>30.38</v>
      </c>
      <c r="D63" s="13">
        <v>0.1</v>
      </c>
      <c r="E63" s="13">
        <v>0.14196700000000001</v>
      </c>
      <c r="F63" s="13">
        <f>F62+D63</f>
        <v>0.30000000000000004</v>
      </c>
      <c r="G63" s="13">
        <f t="shared" si="0"/>
        <v>0.35036</v>
      </c>
      <c r="H63" s="13">
        <f>B63+F63</f>
        <v>18.690000000000001</v>
      </c>
      <c r="I63" s="13">
        <f>C63+G63</f>
        <v>30.730359999999997</v>
      </c>
      <c r="J63" s="10">
        <f t="shared" si="1"/>
        <v>1.6442140181915461</v>
      </c>
      <c r="K63" s="10">
        <f t="shared" si="2"/>
        <v>1.6425962256925142</v>
      </c>
      <c r="L63" s="13">
        <f t="shared" si="3"/>
        <v>30.693457076127871</v>
      </c>
      <c r="M63" s="13">
        <f t="shared" si="4"/>
        <v>30.730359999999997</v>
      </c>
      <c r="N63" s="13">
        <f>M63-L63</f>
        <v>3.6902923872126792E-2</v>
      </c>
      <c r="O63" s="2">
        <f>N63/L63</f>
        <v>1.2023058784351923E-3</v>
      </c>
    </row>
    <row r="64" spans="1:15" x14ac:dyDescent="0.25">
      <c r="A64" s="1">
        <v>46114</v>
      </c>
      <c r="B64" s="6">
        <v>18.420000000000002</v>
      </c>
      <c r="C64" s="6">
        <v>30.43</v>
      </c>
      <c r="F64" s="13">
        <f>F63+D64</f>
        <v>0.30000000000000004</v>
      </c>
      <c r="G64" s="13">
        <f t="shared" si="0"/>
        <v>0.35036</v>
      </c>
      <c r="H64" s="13">
        <f>B64+F64</f>
        <v>18.720000000000002</v>
      </c>
      <c r="I64" s="13">
        <f>C64+G64</f>
        <v>30.780359999999998</v>
      </c>
      <c r="J64" s="10">
        <f t="shared" si="1"/>
        <v>1.6442499999999998</v>
      </c>
      <c r="K64" s="10">
        <f t="shared" si="2"/>
        <v>1.6428670165353865</v>
      </c>
      <c r="L64" s="13">
        <f t="shared" si="3"/>
        <v>30.749401344963868</v>
      </c>
      <c r="M64" s="13">
        <f t="shared" si="4"/>
        <v>30.780359999999998</v>
      </c>
      <c r="N64" s="13">
        <f>M64-L64</f>
        <v>3.0958655036130267E-2</v>
      </c>
      <c r="O64" s="2">
        <f>N64/L64</f>
        <v>1.0068051305721004E-3</v>
      </c>
    </row>
    <row r="65" spans="1:15" x14ac:dyDescent="0.25">
      <c r="A65" s="1">
        <v>46118</v>
      </c>
      <c r="B65" s="6">
        <v>18.47</v>
      </c>
      <c r="C65" s="6">
        <v>30.5</v>
      </c>
      <c r="F65" s="13">
        <f>F64+D65</f>
        <v>0.30000000000000004</v>
      </c>
      <c r="G65" s="13">
        <f t="shared" si="0"/>
        <v>0.35036</v>
      </c>
      <c r="H65" s="13">
        <f>B65+F65</f>
        <v>18.77</v>
      </c>
      <c r="I65" s="13">
        <f>C65+G65</f>
        <v>30.850359999999998</v>
      </c>
      <c r="J65" s="10">
        <f t="shared" si="1"/>
        <v>1.6435993606819392</v>
      </c>
      <c r="K65" s="10">
        <f t="shared" si="2"/>
        <v>1.6430354845694832</v>
      </c>
      <c r="L65" s="13">
        <f t="shared" si="3"/>
        <v>30.836613900369205</v>
      </c>
      <c r="M65" s="13">
        <f t="shared" si="4"/>
        <v>30.850359999999998</v>
      </c>
      <c r="N65" s="13">
        <f>M65-L65</f>
        <v>1.3746099630793651E-2</v>
      </c>
      <c r="O65" s="2">
        <f>N65/L65</f>
        <v>4.4577201878281031E-4</v>
      </c>
    </row>
    <row r="66" spans="1:15" x14ac:dyDescent="0.25">
      <c r="A66" s="1">
        <v>46119</v>
      </c>
      <c r="B66" s="6">
        <v>18.53</v>
      </c>
      <c r="C66" s="6">
        <v>30.47</v>
      </c>
      <c r="F66" s="13">
        <f>F65+D66</f>
        <v>0.30000000000000004</v>
      </c>
      <c r="G66" s="13">
        <f t="shared" si="0"/>
        <v>0.35036</v>
      </c>
      <c r="H66" s="13">
        <f>B66+F66</f>
        <v>18.830000000000002</v>
      </c>
      <c r="I66" s="13">
        <f>C66+G66</f>
        <v>30.820359999999997</v>
      </c>
      <c r="J66" s="10">
        <f t="shared" si="1"/>
        <v>1.6367689856611787</v>
      </c>
      <c r="K66" s="10">
        <f t="shared" si="2"/>
        <v>1.6427745277824219</v>
      </c>
      <c r="L66" s="13">
        <f t="shared" si="3"/>
        <v>30.938358174443373</v>
      </c>
      <c r="M66" s="13">
        <f t="shared" si="4"/>
        <v>30.820359999999997</v>
      </c>
      <c r="N66" s="13">
        <f>M66-L66</f>
        <v>-0.11799817444337535</v>
      </c>
      <c r="O66" s="2">
        <f>N66/L66</f>
        <v>-3.8139766104604649E-3</v>
      </c>
    </row>
    <row r="67" spans="1:15" x14ac:dyDescent="0.25">
      <c r="A67" s="1">
        <v>46120</v>
      </c>
      <c r="B67" s="6">
        <v>18.66</v>
      </c>
      <c r="C67" s="6">
        <v>30.74</v>
      </c>
      <c r="F67" s="13">
        <f>F66+D67</f>
        <v>0.30000000000000004</v>
      </c>
      <c r="G67" s="13">
        <f t="shared" si="0"/>
        <v>0.35036</v>
      </c>
      <c r="H67" s="13">
        <f>B67+F67</f>
        <v>18.96</v>
      </c>
      <c r="I67" s="13">
        <f>C67+G67</f>
        <v>31.090359999999997</v>
      </c>
      <c r="J67" s="10">
        <f t="shared" si="1"/>
        <v>1.6397869198312234</v>
      </c>
      <c r="K67" s="10">
        <f t="shared" si="2"/>
        <v>1.6427597079790039</v>
      </c>
      <c r="L67" s="13">
        <f t="shared" si="3"/>
        <v>31.147005046754721</v>
      </c>
      <c r="M67" s="13">
        <f t="shared" si="4"/>
        <v>31.090359999999997</v>
      </c>
      <c r="N67" s="13">
        <f>M67-L67</f>
        <v>-5.6645046754724149E-2</v>
      </c>
      <c r="O67" s="2">
        <f>N67/L67</f>
        <v>-1.8186354248087211E-3</v>
      </c>
    </row>
    <row r="68" spans="1:15" x14ac:dyDescent="0.25">
      <c r="A68" s="1">
        <v>46121</v>
      </c>
      <c r="B68" s="6">
        <v>18.77</v>
      </c>
      <c r="C68" s="6">
        <v>30.84</v>
      </c>
      <c r="F68" s="13">
        <f>F67+D68</f>
        <v>0.30000000000000004</v>
      </c>
      <c r="G68" s="13">
        <f t="shared" ref="G68:G131" si="5">G67+E68</f>
        <v>0.35036</v>
      </c>
      <c r="H68" s="13">
        <f>B68+F68</f>
        <v>19.07</v>
      </c>
      <c r="I68" s="13">
        <f>C68+G68</f>
        <v>31.190359999999998</v>
      </c>
      <c r="J68" s="10">
        <f t="shared" ref="J68:J131" si="6">I68/H68</f>
        <v>1.6355721027792343</v>
      </c>
      <c r="K68" s="10">
        <f t="shared" si="2"/>
        <v>1.6424353362393529</v>
      </c>
      <c r="L68" s="13">
        <f t="shared" si="3"/>
        <v>31.327427631159605</v>
      </c>
      <c r="M68" s="13">
        <f t="shared" si="4"/>
        <v>31.190359999999998</v>
      </c>
      <c r="N68" s="13">
        <f>M68-L68</f>
        <v>-0.13706763115960641</v>
      </c>
      <c r="O68" s="2">
        <f>N68/L68</f>
        <v>-4.375323527146961E-3</v>
      </c>
    </row>
    <row r="69" spans="1:15" x14ac:dyDescent="0.25">
      <c r="A69" s="1">
        <v>46122</v>
      </c>
      <c r="B69" s="6">
        <v>18.73</v>
      </c>
      <c r="C69" s="6">
        <v>30.79</v>
      </c>
      <c r="F69" s="13">
        <f>F68+D69</f>
        <v>0.30000000000000004</v>
      </c>
      <c r="G69" s="13">
        <f t="shared" si="5"/>
        <v>0.35036</v>
      </c>
      <c r="H69" s="13">
        <f>B69+F69</f>
        <v>19.03</v>
      </c>
      <c r="I69" s="13">
        <f>C69+G69</f>
        <v>31.140359999999998</v>
      </c>
      <c r="J69" s="10">
        <f t="shared" si="6"/>
        <v>1.6363825538623225</v>
      </c>
      <c r="K69" s="10">
        <f t="shared" si="2"/>
        <v>1.6419587750082507</v>
      </c>
      <c r="L69" s="13">
        <f t="shared" si="3"/>
        <v>31.255544448634886</v>
      </c>
      <c r="M69" s="13">
        <f t="shared" si="4"/>
        <v>31.140359999999998</v>
      </c>
      <c r="N69" s="13">
        <f>M69-L69</f>
        <v>-0.11518444863488853</v>
      </c>
      <c r="O69" s="2">
        <f>N69/L69</f>
        <v>-3.6852485108420279E-3</v>
      </c>
    </row>
    <row r="70" spans="1:15" x14ac:dyDescent="0.25">
      <c r="A70" s="1">
        <v>46125</v>
      </c>
      <c r="B70" s="6">
        <v>18.829999999999998</v>
      </c>
      <c r="C70" s="6">
        <v>30.99</v>
      </c>
      <c r="F70" s="13">
        <f>F69+D70</f>
        <v>0.30000000000000004</v>
      </c>
      <c r="G70" s="13">
        <f t="shared" si="5"/>
        <v>0.35036</v>
      </c>
      <c r="H70" s="13">
        <f>B70+F70</f>
        <v>19.13</v>
      </c>
      <c r="I70" s="13">
        <f>C70+G70</f>
        <v>31.340359999999997</v>
      </c>
      <c r="J70" s="10">
        <f t="shared" si="6"/>
        <v>1.638283324621014</v>
      </c>
      <c r="K70" s="10">
        <f t="shared" si="2"/>
        <v>1.6416182981918852</v>
      </c>
      <c r="L70" s="13">
        <f t="shared" si="3"/>
        <v>31.410671365907834</v>
      </c>
      <c r="M70" s="13">
        <f t="shared" si="4"/>
        <v>31.340359999999997</v>
      </c>
      <c r="N70" s="13">
        <f>M70-L70</f>
        <v>-7.0311365907837597E-2</v>
      </c>
      <c r="O70" s="2">
        <f>N70/L70</f>
        <v>-2.238454730520385E-3</v>
      </c>
    </row>
    <row r="71" spans="1:15" x14ac:dyDescent="0.25">
      <c r="A71" s="1">
        <v>46126</v>
      </c>
      <c r="B71" s="6">
        <v>18.93</v>
      </c>
      <c r="C71" s="6">
        <v>31.25</v>
      </c>
      <c r="F71" s="13">
        <f>F70+D71</f>
        <v>0.30000000000000004</v>
      </c>
      <c r="G71" s="13">
        <f t="shared" si="5"/>
        <v>0.35036</v>
      </c>
      <c r="H71" s="13">
        <f>B71+F71</f>
        <v>19.23</v>
      </c>
      <c r="I71" s="13">
        <f>C71+G71</f>
        <v>31.600359999999998</v>
      </c>
      <c r="J71" s="10">
        <f t="shared" si="6"/>
        <v>1.6432844513780549</v>
      </c>
      <c r="K71" s="10">
        <f t="shared" si="2"/>
        <v>1.6416211805272425</v>
      </c>
      <c r="L71" s="13">
        <f t="shared" si="3"/>
        <v>31.568319874229953</v>
      </c>
      <c r="M71" s="13">
        <f t="shared" si="4"/>
        <v>31.600359999999998</v>
      </c>
      <c r="N71" s="13">
        <f>M71-L71</f>
        <v>3.2040125770045336E-2</v>
      </c>
      <c r="O71" s="2">
        <f>N71/L71</f>
        <v>1.01494554976936E-3</v>
      </c>
    </row>
    <row r="72" spans="1:15" x14ac:dyDescent="0.25">
      <c r="A72" s="1">
        <v>46127</v>
      </c>
      <c r="B72" s="6">
        <v>19</v>
      </c>
      <c r="C72" s="6">
        <v>31.36</v>
      </c>
      <c r="F72" s="13">
        <f>F71+D72</f>
        <v>0.30000000000000004</v>
      </c>
      <c r="G72" s="13">
        <f t="shared" si="5"/>
        <v>0.35036</v>
      </c>
      <c r="H72" s="13">
        <f>B72+F72</f>
        <v>19.3</v>
      </c>
      <c r="I72" s="13">
        <f>C72+G72</f>
        <v>31.710359999999998</v>
      </c>
      <c r="J72" s="10">
        <f t="shared" si="6"/>
        <v>1.643023834196891</v>
      </c>
      <c r="K72" s="10">
        <f t="shared" si="2"/>
        <v>1.6415620313279959</v>
      </c>
      <c r="L72" s="13">
        <f t="shared" si="3"/>
        <v>31.68328878417578</v>
      </c>
      <c r="M72" s="13">
        <f t="shared" si="4"/>
        <v>31.710359999999998</v>
      </c>
      <c r="N72" s="13">
        <f>M72-L72</f>
        <v>2.7071215824218342E-2</v>
      </c>
      <c r="O72" s="2">
        <f>N72/L72</f>
        <v>8.5443200068734853E-4</v>
      </c>
    </row>
    <row r="73" spans="1:15" x14ac:dyDescent="0.25">
      <c r="A73" s="1">
        <v>46128</v>
      </c>
      <c r="B73" s="6">
        <v>18.91</v>
      </c>
      <c r="C73" s="6">
        <v>31.33</v>
      </c>
      <c r="F73" s="13">
        <f>F72+D73</f>
        <v>0.30000000000000004</v>
      </c>
      <c r="G73" s="13">
        <f t="shared" si="5"/>
        <v>0.35036</v>
      </c>
      <c r="H73" s="13">
        <f>B73+F73</f>
        <v>19.21</v>
      </c>
      <c r="I73" s="13">
        <f>C73+G73</f>
        <v>31.680359999999997</v>
      </c>
      <c r="J73" s="10">
        <f t="shared" si="6"/>
        <v>1.6491598125976052</v>
      </c>
      <c r="K73" s="10">
        <f t="shared" si="2"/>
        <v>1.6418966363195782</v>
      </c>
      <c r="L73" s="13">
        <f t="shared" si="3"/>
        <v>31.534406621810803</v>
      </c>
      <c r="M73" s="13">
        <f t="shared" si="4"/>
        <v>31.680359999999997</v>
      </c>
      <c r="N73" s="13">
        <f>M73-L73</f>
        <v>0.14595337818919418</v>
      </c>
      <c r="O73" s="2">
        <f>N73/L73</f>
        <v>4.6283851140628534E-3</v>
      </c>
    </row>
    <row r="74" spans="1:15" x14ac:dyDescent="0.25">
      <c r="A74" s="1">
        <v>46129</v>
      </c>
      <c r="B74" s="6">
        <v>18.96</v>
      </c>
      <c r="C74" s="6">
        <v>31.46</v>
      </c>
      <c r="F74" s="13">
        <f>F73+D74</f>
        <v>0.30000000000000004</v>
      </c>
      <c r="G74" s="13">
        <f t="shared" si="5"/>
        <v>0.35036</v>
      </c>
      <c r="H74" s="13">
        <f>B74+F74</f>
        <v>19.260000000000002</v>
      </c>
      <c r="I74" s="13">
        <f>C74+G74</f>
        <v>31.810359999999999</v>
      </c>
      <c r="J74" s="10">
        <f t="shared" si="6"/>
        <v>1.6516282450674973</v>
      </c>
      <c r="K74" s="10">
        <f t="shared" si="2"/>
        <v>1.6422045174393716</v>
      </c>
      <c r="L74" s="13">
        <f t="shared" si="3"/>
        <v>31.622929215515079</v>
      </c>
      <c r="M74" s="13">
        <f t="shared" si="4"/>
        <v>31.810359999999999</v>
      </c>
      <c r="N74" s="13">
        <f>M74-L74</f>
        <v>0.18743078448492057</v>
      </c>
      <c r="O74" s="2">
        <f>N74/L74</f>
        <v>5.9270532216529094E-3</v>
      </c>
    </row>
    <row r="75" spans="1:15" x14ac:dyDescent="0.25">
      <c r="A75" s="1">
        <v>46132</v>
      </c>
      <c r="B75" s="6">
        <v>19.010000000000002</v>
      </c>
      <c r="C75" s="6">
        <v>31.44</v>
      </c>
      <c r="F75" s="13">
        <f>F74+D75</f>
        <v>0.30000000000000004</v>
      </c>
      <c r="G75" s="13">
        <f t="shared" si="5"/>
        <v>0.35036</v>
      </c>
      <c r="H75" s="13">
        <f>B75+F75</f>
        <v>19.310000000000002</v>
      </c>
      <c r="I75" s="13">
        <f>C75+G75</f>
        <v>31.79036</v>
      </c>
      <c r="J75" s="10">
        <f t="shared" si="6"/>
        <v>1.6463158984981872</v>
      </c>
      <c r="K75" s="10">
        <f t="shared" si="2"/>
        <v>1.6421462772291455</v>
      </c>
      <c r="L75" s="13">
        <f t="shared" si="3"/>
        <v>31.71096923175427</v>
      </c>
      <c r="M75" s="13">
        <f t="shared" si="4"/>
        <v>31.79036</v>
      </c>
      <c r="N75" s="13">
        <f>M75-L75</f>
        <v>7.9390768245730214E-2</v>
      </c>
      <c r="O75" s="2">
        <f>N75/L75</f>
        <v>2.5035743204667184E-3</v>
      </c>
    </row>
    <row r="76" spans="1:15" x14ac:dyDescent="0.25">
      <c r="A76" s="1">
        <v>46133</v>
      </c>
      <c r="B76" s="6">
        <v>18.89</v>
      </c>
      <c r="C76" s="6">
        <v>31.24</v>
      </c>
      <c r="F76" s="13">
        <f>F75+D76</f>
        <v>0.30000000000000004</v>
      </c>
      <c r="G76" s="13">
        <f t="shared" si="5"/>
        <v>0.35036</v>
      </c>
      <c r="H76" s="13">
        <f>B76+F76</f>
        <v>19.190000000000001</v>
      </c>
      <c r="I76" s="13">
        <f>C76+G76</f>
        <v>31.590359999999997</v>
      </c>
      <c r="J76" s="10">
        <f t="shared" si="6"/>
        <v>1.646188639916623</v>
      </c>
      <c r="K76" s="10">
        <f t="shared" si="2"/>
        <v>1.6423056743911075</v>
      </c>
      <c r="L76" s="13">
        <f t="shared" si="3"/>
        <v>31.512787060027303</v>
      </c>
      <c r="M76" s="13">
        <f t="shared" si="4"/>
        <v>31.590359999999997</v>
      </c>
      <c r="N76" s="13">
        <f>M76-L76</f>
        <v>7.7572939972693433E-2</v>
      </c>
      <c r="O76" s="2">
        <f>N76/L76</f>
        <v>2.4616337433096031E-3</v>
      </c>
    </row>
    <row r="77" spans="1:15" x14ac:dyDescent="0.25">
      <c r="A77" s="1">
        <v>46134</v>
      </c>
      <c r="B77" s="6">
        <v>19.04</v>
      </c>
      <c r="C77" s="6">
        <v>31.51</v>
      </c>
      <c r="F77" s="13">
        <f>F76+D77</f>
        <v>0.30000000000000004</v>
      </c>
      <c r="G77" s="13">
        <f t="shared" si="5"/>
        <v>0.35036</v>
      </c>
      <c r="H77" s="13">
        <f>B77+F77</f>
        <v>19.34</v>
      </c>
      <c r="I77" s="13">
        <f>C77+G77</f>
        <v>31.86036</v>
      </c>
      <c r="J77" s="10">
        <f t="shared" si="6"/>
        <v>1.6473815925542916</v>
      </c>
      <c r="K77" s="10">
        <f t="shared" si="2"/>
        <v>1.6427271791525122</v>
      </c>
      <c r="L77" s="13">
        <f t="shared" si="3"/>
        <v>31.762191742724021</v>
      </c>
      <c r="M77" s="13">
        <f t="shared" si="4"/>
        <v>31.86036</v>
      </c>
      <c r="N77" s="13">
        <f>M77-L77</f>
        <v>9.8168257275979443E-2</v>
      </c>
      <c r="O77" s="2">
        <f>N77/L77</f>
        <v>3.0907268009446329E-3</v>
      </c>
    </row>
    <row r="78" spans="1:15" x14ac:dyDescent="0.25">
      <c r="A78" s="1">
        <v>46135</v>
      </c>
      <c r="B78" s="6">
        <v>19.07</v>
      </c>
      <c r="C78" s="6">
        <v>31.49</v>
      </c>
      <c r="F78" s="13">
        <f>F77+D78</f>
        <v>0.30000000000000004</v>
      </c>
      <c r="G78" s="13">
        <f t="shared" si="5"/>
        <v>0.35036</v>
      </c>
      <c r="H78" s="13">
        <f>B78+F78</f>
        <v>19.37</v>
      </c>
      <c r="I78" s="13">
        <f>C78+G78</f>
        <v>31.840359999999997</v>
      </c>
      <c r="J78" s="10">
        <f t="shared" si="6"/>
        <v>1.6437976251935982</v>
      </c>
      <c r="K78" s="10">
        <f t="shared" si="2"/>
        <v>1.642909628267434</v>
      </c>
      <c r="L78" s="13">
        <f t="shared" si="3"/>
        <v>31.819625460184163</v>
      </c>
      <c r="M78" s="13">
        <f t="shared" si="4"/>
        <v>31.840359999999997</v>
      </c>
      <c r="N78" s="13">
        <f>M78-L78</f>
        <v>2.0734539815833841E-2</v>
      </c>
      <c r="O78" s="2">
        <f>N78/L78</f>
        <v>6.5162740025896692E-4</v>
      </c>
    </row>
    <row r="79" spans="1:15" x14ac:dyDescent="0.25">
      <c r="A79" s="1">
        <v>46136</v>
      </c>
      <c r="B79" s="6">
        <v>19.12</v>
      </c>
      <c r="C79" s="6">
        <v>31.52</v>
      </c>
      <c r="F79" s="13">
        <f>F78+D79</f>
        <v>0.30000000000000004</v>
      </c>
      <c r="G79" s="13">
        <f t="shared" si="5"/>
        <v>0.35036</v>
      </c>
      <c r="H79" s="13">
        <f>B79+F79</f>
        <v>19.420000000000002</v>
      </c>
      <c r="I79" s="13">
        <f>C79+G79</f>
        <v>31.870359999999998</v>
      </c>
      <c r="J79" s="10">
        <f t="shared" si="6"/>
        <v>1.641110195674562</v>
      </c>
      <c r="K79" s="10">
        <f t="shared" si="2"/>
        <v>1.642870685555188</v>
      </c>
      <c r="L79" s="13">
        <f t="shared" si="3"/>
        <v>31.90530498095357</v>
      </c>
      <c r="M79" s="13">
        <f t="shared" si="4"/>
        <v>31.870359999999998</v>
      </c>
      <c r="N79" s="13">
        <f>M79-L79</f>
        <v>-3.4944980953572014E-2</v>
      </c>
      <c r="O79" s="2">
        <f>N79/L79</f>
        <v>-1.0952718043106947E-3</v>
      </c>
    </row>
    <row r="80" spans="1:15" x14ac:dyDescent="0.25">
      <c r="A80" s="1">
        <v>46139</v>
      </c>
      <c r="B80" s="6">
        <v>19.07</v>
      </c>
      <c r="C80" s="6">
        <v>31.49</v>
      </c>
      <c r="F80" s="13">
        <f>F79+D80</f>
        <v>0.30000000000000004</v>
      </c>
      <c r="G80" s="13">
        <f t="shared" si="5"/>
        <v>0.35036</v>
      </c>
      <c r="H80" s="13">
        <f>B80+F80</f>
        <v>19.37</v>
      </c>
      <c r="I80" s="13">
        <f>C80+G80</f>
        <v>31.840359999999997</v>
      </c>
      <c r="J80" s="10">
        <f t="shared" si="6"/>
        <v>1.6437976251935982</v>
      </c>
      <c r="K80" s="10">
        <f t="shared" si="2"/>
        <v>1.6430281708127068</v>
      </c>
      <c r="L80" s="13">
        <f t="shared" si="3"/>
        <v>31.822405179203994</v>
      </c>
      <c r="M80" s="13">
        <f t="shared" si="4"/>
        <v>31.840359999999997</v>
      </c>
      <c r="N80" s="13">
        <f>M80-L80</f>
        <v>1.795482079600319E-2</v>
      </c>
      <c r="O80" s="2">
        <f>N80/L80</f>
        <v>5.6421947665152297E-4</v>
      </c>
    </row>
    <row r="81" spans="1:15" x14ac:dyDescent="0.25">
      <c r="A81" s="1">
        <v>46140</v>
      </c>
      <c r="B81" s="6">
        <v>19</v>
      </c>
      <c r="C81" s="6">
        <v>31.29</v>
      </c>
      <c r="F81" s="13">
        <f>F80+D81</f>
        <v>0.30000000000000004</v>
      </c>
      <c r="G81" s="13">
        <f t="shared" si="5"/>
        <v>0.35036</v>
      </c>
      <c r="H81" s="13">
        <f>B81+F81</f>
        <v>19.3</v>
      </c>
      <c r="I81" s="13">
        <f>C81+G81</f>
        <v>31.640359999999998</v>
      </c>
      <c r="J81" s="10">
        <f t="shared" si="6"/>
        <v>1.6393968911917096</v>
      </c>
      <c r="K81" s="10">
        <f t="shared" si="2"/>
        <v>1.6427626764351992</v>
      </c>
      <c r="L81" s="13">
        <f t="shared" si="3"/>
        <v>31.710443696685243</v>
      </c>
      <c r="M81" s="13">
        <f t="shared" si="4"/>
        <v>31.640359999999998</v>
      </c>
      <c r="N81" s="13">
        <f>M81-L81</f>
        <v>-7.0083696685244945E-2</v>
      </c>
      <c r="O81" s="2">
        <f>N81/L81</f>
        <v>-2.2101140354769283E-3</v>
      </c>
    </row>
    <row r="82" spans="1:15" x14ac:dyDescent="0.25">
      <c r="A82" s="1">
        <v>46141</v>
      </c>
      <c r="B82" s="6">
        <v>18.920000000000002</v>
      </c>
      <c r="C82" s="6">
        <v>31.17</v>
      </c>
      <c r="F82" s="13">
        <f>F81+D82</f>
        <v>0.30000000000000004</v>
      </c>
      <c r="G82" s="13">
        <f t="shared" si="5"/>
        <v>0.35036</v>
      </c>
      <c r="H82" s="13">
        <f>B82+F82</f>
        <v>19.220000000000002</v>
      </c>
      <c r="I82" s="13">
        <f>C82+G82</f>
        <v>31.52036</v>
      </c>
      <c r="J82" s="10">
        <f t="shared" si="6"/>
        <v>1.6399771071800207</v>
      </c>
      <c r="K82" s="10">
        <f t="shared" si="2"/>
        <v>1.642695959213555</v>
      </c>
      <c r="L82" s="13">
        <f t="shared" si="3"/>
        <v>31.573898641084533</v>
      </c>
      <c r="M82" s="13">
        <f t="shared" si="4"/>
        <v>31.52036</v>
      </c>
      <c r="N82" s="13">
        <f>M82-L82</f>
        <v>-5.3538641084532657E-2</v>
      </c>
      <c r="O82" s="2">
        <f>N82/L82</f>
        <v>-1.6956613971917678E-3</v>
      </c>
    </row>
    <row r="83" spans="1:15" x14ac:dyDescent="0.25">
      <c r="A83" s="1">
        <v>46142</v>
      </c>
      <c r="B83" s="6">
        <v>19.09</v>
      </c>
      <c r="C83" s="6">
        <v>31.45</v>
      </c>
      <c r="F83" s="13">
        <f>F82+D83</f>
        <v>0.30000000000000004</v>
      </c>
      <c r="G83" s="13">
        <f t="shared" si="5"/>
        <v>0.35036</v>
      </c>
      <c r="H83" s="13">
        <f>B83+F83</f>
        <v>19.39</v>
      </c>
      <c r="I83" s="13">
        <f>C83+G83</f>
        <v>31.800359999999998</v>
      </c>
      <c r="J83" s="10">
        <f t="shared" si="6"/>
        <v>1.6400391954615781</v>
      </c>
      <c r="K83" s="10">
        <f t="shared" si="2"/>
        <v>1.6424872180770564</v>
      </c>
      <c r="L83" s="13">
        <f t="shared" si="3"/>
        <v>31.851874649150833</v>
      </c>
      <c r="M83" s="13">
        <f t="shared" si="4"/>
        <v>31.800359999999998</v>
      </c>
      <c r="N83" s="13">
        <f>M83-L83</f>
        <v>-5.1514649150835368E-2</v>
      </c>
      <c r="O83" s="2">
        <f>N83/L83</f>
        <v>-1.6173192227544051E-3</v>
      </c>
    </row>
    <row r="84" spans="1:15" x14ac:dyDescent="0.25">
      <c r="A84" s="1">
        <v>46143</v>
      </c>
      <c r="B84" s="6">
        <v>19</v>
      </c>
      <c r="C84" s="6">
        <v>31.41</v>
      </c>
      <c r="D84" s="13">
        <v>0.1</v>
      </c>
      <c r="E84" s="13">
        <v>0.14032500000000001</v>
      </c>
      <c r="F84" s="13">
        <f>F83+D84</f>
        <v>0.4</v>
      </c>
      <c r="G84" s="13">
        <f t="shared" si="5"/>
        <v>0.49068500000000004</v>
      </c>
      <c r="H84" s="13">
        <f>B84+F84</f>
        <v>19.399999999999999</v>
      </c>
      <c r="I84" s="13">
        <f>C84+G84</f>
        <v>31.900684999999999</v>
      </c>
      <c r="J84" s="10">
        <f t="shared" si="6"/>
        <v>1.6443652061855671</v>
      </c>
      <c r="K84" s="10">
        <f t="shared" si="2"/>
        <v>1.6424929783863349</v>
      </c>
      <c r="L84" s="13">
        <f t="shared" si="3"/>
        <v>31.864252030694892</v>
      </c>
      <c r="M84" s="13">
        <f t="shared" si="4"/>
        <v>31.900684999999999</v>
      </c>
      <c r="N84" s="13">
        <f>M84-L84</f>
        <v>3.6432969305106866E-2</v>
      </c>
      <c r="O84" s="2">
        <f>N84/L84</f>
        <v>1.1433806533418993E-3</v>
      </c>
    </row>
    <row r="85" spans="1:15" x14ac:dyDescent="0.25">
      <c r="A85" s="1">
        <v>46146</v>
      </c>
      <c r="B85" s="6">
        <v>18.91</v>
      </c>
      <c r="C85" s="6">
        <v>31.26</v>
      </c>
      <c r="F85" s="13">
        <f>F84+D85</f>
        <v>0.4</v>
      </c>
      <c r="G85" s="13">
        <f t="shared" si="5"/>
        <v>0.49068500000000004</v>
      </c>
      <c r="H85" s="13">
        <f>B85+F85</f>
        <v>19.309999999999999</v>
      </c>
      <c r="I85" s="13">
        <f>C85+G85</f>
        <v>31.750685000000001</v>
      </c>
      <c r="J85" s="10">
        <f t="shared" si="6"/>
        <v>1.6442612635939928</v>
      </c>
      <c r="K85" s="10">
        <f t="shared" si="2"/>
        <v>1.6425260735319374</v>
      </c>
      <c r="L85" s="13">
        <f t="shared" si="3"/>
        <v>31.716539412640124</v>
      </c>
      <c r="M85" s="13">
        <f t="shared" si="4"/>
        <v>31.750685000000001</v>
      </c>
      <c r="N85" s="13">
        <f>M85-L85</f>
        <v>3.4145587359876828E-2</v>
      </c>
      <c r="O85" s="2">
        <f>N85/L85</f>
        <v>1.0765861595312836E-3</v>
      </c>
    </row>
    <row r="86" spans="1:15" x14ac:dyDescent="0.25">
      <c r="A86" s="1">
        <v>46147</v>
      </c>
      <c r="B86" s="6">
        <v>18.95</v>
      </c>
      <c r="C86" s="6">
        <v>31.45</v>
      </c>
      <c r="F86" s="13">
        <f>F85+D86</f>
        <v>0.4</v>
      </c>
      <c r="G86" s="13">
        <f t="shared" si="5"/>
        <v>0.49068500000000004</v>
      </c>
      <c r="H86" s="13">
        <f>B86+F86</f>
        <v>19.349999999999998</v>
      </c>
      <c r="I86" s="13">
        <f>C86+G86</f>
        <v>31.940684999999998</v>
      </c>
      <c r="J86" s="10">
        <f t="shared" si="6"/>
        <v>1.6506813953488373</v>
      </c>
      <c r="K86" s="10">
        <f t="shared" si="2"/>
        <v>1.6432216940163205</v>
      </c>
      <c r="L86" s="13">
        <f t="shared" si="3"/>
        <v>31.782879522842986</v>
      </c>
      <c r="M86" s="13">
        <f t="shared" si="4"/>
        <v>31.940684999999998</v>
      </c>
      <c r="N86" s="13">
        <f>M86-L86</f>
        <v>0.15780547715701232</v>
      </c>
      <c r="O86" s="2">
        <f>N86/L86</f>
        <v>4.9651095031711771E-3</v>
      </c>
    </row>
    <row r="87" spans="1:15" x14ac:dyDescent="0.25">
      <c r="A87" s="1">
        <v>46148</v>
      </c>
      <c r="B87" s="6">
        <v>19.079999999999998</v>
      </c>
      <c r="C87" s="6">
        <v>31.61</v>
      </c>
      <c r="F87" s="13">
        <f>F86+D87</f>
        <v>0.4</v>
      </c>
      <c r="G87" s="13">
        <f t="shared" si="5"/>
        <v>0.49068500000000004</v>
      </c>
      <c r="H87" s="13">
        <f>B87+F87</f>
        <v>19.479999999999997</v>
      </c>
      <c r="I87" s="13">
        <f>C87+G87</f>
        <v>32.100684999999999</v>
      </c>
      <c r="J87" s="10">
        <f t="shared" si="6"/>
        <v>1.6478791067761809</v>
      </c>
      <c r="K87" s="10">
        <f t="shared" ref="K87:K150" si="7">AVERAGE(J68:J87)</f>
        <v>1.6436263033635683</v>
      </c>
      <c r="L87" s="13">
        <f t="shared" si="3"/>
        <v>32.009958599437915</v>
      </c>
      <c r="M87" s="13">
        <f t="shared" si="4"/>
        <v>32.100684999999999</v>
      </c>
      <c r="N87" s="13">
        <f>M87-L87</f>
        <v>9.0726400562083143E-2</v>
      </c>
      <c r="O87" s="2">
        <f>N87/L87</f>
        <v>2.8343179601511971E-3</v>
      </c>
    </row>
    <row r="88" spans="1:15" x14ac:dyDescent="0.25">
      <c r="A88" s="1">
        <v>46149</v>
      </c>
      <c r="B88" s="6">
        <v>19</v>
      </c>
      <c r="C88" s="6">
        <v>31.52</v>
      </c>
      <c r="F88" s="13">
        <f>F87+D88</f>
        <v>0.4</v>
      </c>
      <c r="G88" s="13">
        <f t="shared" si="5"/>
        <v>0.49068500000000004</v>
      </c>
      <c r="H88" s="13">
        <f>B88+F88</f>
        <v>19.399999999999999</v>
      </c>
      <c r="I88" s="13">
        <f>C88+G88</f>
        <v>32.010685000000002</v>
      </c>
      <c r="J88" s="10">
        <f t="shared" si="6"/>
        <v>1.6500353092783508</v>
      </c>
      <c r="K88" s="10">
        <f t="shared" si="7"/>
        <v>1.6443494636885241</v>
      </c>
      <c r="L88" s="13">
        <f t="shared" ref="L88:L151" si="8">K87*H88</f>
        <v>31.886350285253222</v>
      </c>
      <c r="M88" s="13">
        <f t="shared" ref="M88:M151" si="9">I88</f>
        <v>32.010685000000002</v>
      </c>
      <c r="N88" s="13">
        <f>M88-L88</f>
        <v>0.12433471474678015</v>
      </c>
      <c r="O88" s="2">
        <f>N88/L88</f>
        <v>3.8993084387046449E-3</v>
      </c>
    </row>
    <row r="89" spans="1:15" x14ac:dyDescent="0.25">
      <c r="A89" s="1">
        <v>46150</v>
      </c>
      <c r="B89" s="6">
        <v>19.14</v>
      </c>
      <c r="C89" s="6">
        <v>31.72</v>
      </c>
      <c r="F89" s="13">
        <f>F88+D89</f>
        <v>0.4</v>
      </c>
      <c r="G89" s="13">
        <f t="shared" si="5"/>
        <v>0.49068500000000004</v>
      </c>
      <c r="H89" s="13">
        <f>B89+F89</f>
        <v>19.54</v>
      </c>
      <c r="I89" s="13">
        <f>C89+G89</f>
        <v>32.210684999999998</v>
      </c>
      <c r="J89" s="10">
        <f t="shared" si="6"/>
        <v>1.6484485670419651</v>
      </c>
      <c r="K89" s="10">
        <f t="shared" si="7"/>
        <v>1.6449527643475061</v>
      </c>
      <c r="L89" s="13">
        <f t="shared" si="8"/>
        <v>32.130588520473758</v>
      </c>
      <c r="M89" s="13">
        <f t="shared" si="9"/>
        <v>32.210684999999998</v>
      </c>
      <c r="N89" s="13">
        <f>M89-L89</f>
        <v>8.0096479526240216E-2</v>
      </c>
      <c r="O89" s="2">
        <f>N89/L89</f>
        <v>2.4928419681825116E-3</v>
      </c>
    </row>
    <row r="90" spans="1:15" x14ac:dyDescent="0.25">
      <c r="A90" s="1">
        <v>46153</v>
      </c>
      <c r="B90" s="6">
        <v>19.059999999999999</v>
      </c>
      <c r="C90" s="6">
        <v>31.68</v>
      </c>
      <c r="F90" s="13">
        <f>F89+D90</f>
        <v>0.4</v>
      </c>
      <c r="G90" s="13">
        <f t="shared" si="5"/>
        <v>0.49068500000000004</v>
      </c>
      <c r="H90" s="13">
        <f>B90+F90</f>
        <v>19.459999999999997</v>
      </c>
      <c r="I90" s="13">
        <f>C90+G90</f>
        <v>32.170684999999999</v>
      </c>
      <c r="J90" s="10">
        <f t="shared" si="6"/>
        <v>1.6531698355601234</v>
      </c>
      <c r="K90" s="10">
        <f t="shared" si="7"/>
        <v>1.6456970898944614</v>
      </c>
      <c r="L90" s="13">
        <f t="shared" si="8"/>
        <v>32.010780794202468</v>
      </c>
      <c r="M90" s="13">
        <f t="shared" si="9"/>
        <v>32.170684999999999</v>
      </c>
      <c r="N90" s="13">
        <f>M90-L90</f>
        <v>0.15990420579753106</v>
      </c>
      <c r="O90" s="2">
        <f>N90/L90</f>
        <v>4.9953235075881567E-3</v>
      </c>
    </row>
    <row r="91" spans="1:15" x14ac:dyDescent="0.25">
      <c r="A91" s="1">
        <v>46154</v>
      </c>
      <c r="B91" s="6">
        <v>19.079999999999998</v>
      </c>
      <c r="C91" s="6">
        <v>31.57</v>
      </c>
      <c r="F91" s="13">
        <f>F90+D91</f>
        <v>0.4</v>
      </c>
      <c r="G91" s="13">
        <f t="shared" si="5"/>
        <v>0.49068500000000004</v>
      </c>
      <c r="H91" s="13">
        <f>B91+F91</f>
        <v>19.479999999999997</v>
      </c>
      <c r="I91" s="13">
        <f>C91+G91</f>
        <v>32.060684999999999</v>
      </c>
      <c r="J91" s="10">
        <f t="shared" si="6"/>
        <v>1.6458257186858318</v>
      </c>
      <c r="K91" s="10">
        <f t="shared" si="7"/>
        <v>1.6458241532598508</v>
      </c>
      <c r="L91" s="13">
        <f t="shared" si="8"/>
        <v>32.058179311144102</v>
      </c>
      <c r="M91" s="13">
        <f t="shared" si="9"/>
        <v>32.060684999999999</v>
      </c>
      <c r="N91" s="13">
        <f>M91-L91</f>
        <v>2.5056888558978585E-3</v>
      </c>
      <c r="O91" s="2">
        <f>N91/L91</f>
        <v>7.8160672556561194E-5</v>
      </c>
    </row>
    <row r="92" spans="1:15" x14ac:dyDescent="0.25">
      <c r="A92" s="1">
        <v>46155</v>
      </c>
      <c r="B92" s="6">
        <v>19.03</v>
      </c>
      <c r="C92" s="6">
        <v>31.58</v>
      </c>
      <c r="F92" s="13">
        <f>F91+D92</f>
        <v>0.4</v>
      </c>
      <c r="G92" s="13">
        <f t="shared" si="5"/>
        <v>0.49068500000000004</v>
      </c>
      <c r="H92" s="13">
        <f>B92+F92</f>
        <v>19.43</v>
      </c>
      <c r="I92" s="13">
        <f>C92+G92</f>
        <v>32.070684999999997</v>
      </c>
      <c r="J92" s="10">
        <f t="shared" si="6"/>
        <v>1.6505756562017497</v>
      </c>
      <c r="K92" s="10">
        <f t="shared" si="7"/>
        <v>1.6462017443600936</v>
      </c>
      <c r="L92" s="13">
        <f t="shared" si="8"/>
        <v>31.9783632978389</v>
      </c>
      <c r="M92" s="13">
        <f t="shared" si="9"/>
        <v>32.070684999999997</v>
      </c>
      <c r="N92" s="13">
        <f>M92-L92</f>
        <v>9.2321702161097363E-2</v>
      </c>
      <c r="O92" s="2">
        <f>N92/L92</f>
        <v>2.8870052322951898E-3</v>
      </c>
    </row>
    <row r="93" spans="1:15" x14ac:dyDescent="0.25">
      <c r="A93" s="1">
        <v>46156</v>
      </c>
      <c r="B93" s="6">
        <v>19.05</v>
      </c>
      <c r="C93" s="6">
        <v>31.6</v>
      </c>
      <c r="F93" s="13">
        <f>F92+D93</f>
        <v>0.4</v>
      </c>
      <c r="G93" s="13">
        <f t="shared" si="5"/>
        <v>0.49068500000000004</v>
      </c>
      <c r="H93" s="13">
        <f>B93+F93</f>
        <v>19.45</v>
      </c>
      <c r="I93" s="13">
        <f>C93+G93</f>
        <v>32.090685000000001</v>
      </c>
      <c r="J93" s="10">
        <f t="shared" si="6"/>
        <v>1.6499066838046272</v>
      </c>
      <c r="K93" s="10">
        <f t="shared" si="7"/>
        <v>1.6462390879204445</v>
      </c>
      <c r="L93" s="13">
        <f t="shared" si="8"/>
        <v>32.018623927803816</v>
      </c>
      <c r="M93" s="13">
        <f t="shared" si="9"/>
        <v>32.090685000000001</v>
      </c>
      <c r="N93" s="13">
        <f>M93-L93</f>
        <v>7.2061072196184739E-2</v>
      </c>
      <c r="O93" s="2">
        <f>N93/L93</f>
        <v>2.2505986627866762E-3</v>
      </c>
    </row>
    <row r="94" spans="1:15" x14ac:dyDescent="0.25">
      <c r="A94" s="1">
        <v>46157</v>
      </c>
      <c r="B94" s="6">
        <v>18.84</v>
      </c>
      <c r="C94" s="6">
        <v>31.23</v>
      </c>
      <c r="F94" s="13">
        <f>F93+D94</f>
        <v>0.4</v>
      </c>
      <c r="G94" s="13">
        <f t="shared" si="5"/>
        <v>0.49068500000000004</v>
      </c>
      <c r="H94" s="13">
        <f>B94+F94</f>
        <v>19.239999999999998</v>
      </c>
      <c r="I94" s="13">
        <f>C94+G94</f>
        <v>31.720685</v>
      </c>
      <c r="J94" s="10">
        <f t="shared" si="6"/>
        <v>1.6486842515592517</v>
      </c>
      <c r="K94" s="10">
        <f t="shared" si="7"/>
        <v>1.6460918882450322</v>
      </c>
      <c r="L94" s="13">
        <f t="shared" si="8"/>
        <v>31.673640051589349</v>
      </c>
      <c r="M94" s="13">
        <f t="shared" si="9"/>
        <v>31.720685</v>
      </c>
      <c r="N94" s="13">
        <f>M94-L94</f>
        <v>4.7044948410650989E-2</v>
      </c>
      <c r="O94" s="2">
        <f>N94/L94</f>
        <v>1.4853028680639542E-3</v>
      </c>
    </row>
    <row r="95" spans="1:15" x14ac:dyDescent="0.25">
      <c r="A95" s="1">
        <v>46160</v>
      </c>
      <c r="B95" s="6">
        <v>18.82</v>
      </c>
      <c r="C95" s="6">
        <v>31.16</v>
      </c>
      <c r="F95" s="13">
        <f>F94+D95</f>
        <v>0.4</v>
      </c>
      <c r="G95" s="13">
        <f t="shared" si="5"/>
        <v>0.49068500000000004</v>
      </c>
      <c r="H95" s="13">
        <f>B95+F95</f>
        <v>19.22</v>
      </c>
      <c r="I95" s="13">
        <f>C95+G95</f>
        <v>31.650684999999999</v>
      </c>
      <c r="J95" s="10">
        <f t="shared" si="6"/>
        <v>1.6467578043704476</v>
      </c>
      <c r="K95" s="10">
        <f t="shared" si="7"/>
        <v>1.6461139835386451</v>
      </c>
      <c r="L95" s="13">
        <f t="shared" si="8"/>
        <v>31.637886092069515</v>
      </c>
      <c r="M95" s="13">
        <f t="shared" si="9"/>
        <v>31.650684999999999</v>
      </c>
      <c r="N95" s="13">
        <f>M95-L95</f>
        <v>1.279890793048466E-2</v>
      </c>
      <c r="O95" s="2">
        <f>N95/L95</f>
        <v>4.0454371361090674E-4</v>
      </c>
    </row>
    <row r="96" spans="1:15" x14ac:dyDescent="0.25">
      <c r="A96" s="1">
        <v>46161</v>
      </c>
      <c r="B96" s="6">
        <v>18.7</v>
      </c>
      <c r="C96" s="6">
        <v>30.97</v>
      </c>
      <c r="F96" s="13">
        <f>F95+D96</f>
        <v>0.4</v>
      </c>
      <c r="G96" s="13">
        <f t="shared" si="5"/>
        <v>0.49068500000000004</v>
      </c>
      <c r="H96" s="13">
        <f>B96+F96</f>
        <v>19.099999999999998</v>
      </c>
      <c r="I96" s="13">
        <f>C96+G96</f>
        <v>31.460684999999998</v>
      </c>
      <c r="J96" s="10">
        <f t="shared" si="6"/>
        <v>1.6471562827225132</v>
      </c>
      <c r="K96" s="10">
        <f t="shared" si="7"/>
        <v>1.6461623656789399</v>
      </c>
      <c r="L96" s="13">
        <f t="shared" si="8"/>
        <v>31.440777085588117</v>
      </c>
      <c r="M96" s="13">
        <f t="shared" si="9"/>
        <v>31.460684999999998</v>
      </c>
      <c r="N96" s="13">
        <f>M96-L96</f>
        <v>1.9907914411881222E-2</v>
      </c>
      <c r="O96" s="2">
        <f>N96/L96</f>
        <v>6.3318773444078294E-4</v>
      </c>
    </row>
    <row r="97" spans="1:15" x14ac:dyDescent="0.25">
      <c r="A97" s="1">
        <v>46162</v>
      </c>
      <c r="B97" s="6">
        <v>18.809999999999999</v>
      </c>
      <c r="C97" s="6">
        <v>31.11</v>
      </c>
      <c r="F97" s="13">
        <f>F96+D97</f>
        <v>0.4</v>
      </c>
      <c r="G97" s="13">
        <f t="shared" si="5"/>
        <v>0.49068500000000004</v>
      </c>
      <c r="H97" s="13">
        <f>B97+F97</f>
        <v>19.209999999999997</v>
      </c>
      <c r="I97" s="13">
        <f>C97+G97</f>
        <v>31.600684999999999</v>
      </c>
      <c r="J97" s="10">
        <f t="shared" si="6"/>
        <v>1.6450122332118691</v>
      </c>
      <c r="K97" s="10">
        <f t="shared" si="7"/>
        <v>1.6460438977118188</v>
      </c>
      <c r="L97" s="13">
        <f t="shared" si="8"/>
        <v>31.622779044692432</v>
      </c>
      <c r="M97" s="13">
        <f t="shared" si="9"/>
        <v>31.600684999999999</v>
      </c>
      <c r="N97" s="13">
        <f>M97-L97</f>
        <v>-2.2094044692433812E-2</v>
      </c>
      <c r="O97" s="2">
        <f>N97/L97</f>
        <v>-6.986749855605141E-4</v>
      </c>
    </row>
    <row r="98" spans="1:15" x14ac:dyDescent="0.25">
      <c r="A98" s="1">
        <v>46163</v>
      </c>
      <c r="B98" s="6">
        <v>18.809999999999999</v>
      </c>
      <c r="C98" s="6">
        <v>31.13</v>
      </c>
      <c r="F98" s="13">
        <f>F97+D98</f>
        <v>0.4</v>
      </c>
      <c r="G98" s="13">
        <f t="shared" si="5"/>
        <v>0.49068500000000004</v>
      </c>
      <c r="H98" s="13">
        <f>B98+F98</f>
        <v>19.209999999999997</v>
      </c>
      <c r="I98" s="13">
        <f>C98+G98</f>
        <v>31.620684999999998</v>
      </c>
      <c r="J98" s="10">
        <f t="shared" si="6"/>
        <v>1.6460533576262364</v>
      </c>
      <c r="K98" s="10">
        <f t="shared" si="7"/>
        <v>1.6461566843334505</v>
      </c>
      <c r="L98" s="13">
        <f t="shared" si="8"/>
        <v>31.620503275044033</v>
      </c>
      <c r="M98" s="13">
        <f t="shared" si="9"/>
        <v>31.620684999999998</v>
      </c>
      <c r="N98" s="13">
        <f>M98-L98</f>
        <v>1.8172495596502358E-4</v>
      </c>
      <c r="O98" s="2">
        <f>N98/L98</f>
        <v>5.7470608353171612E-6</v>
      </c>
    </row>
    <row r="99" spans="1:15" x14ac:dyDescent="0.25">
      <c r="A99" s="1">
        <v>46164</v>
      </c>
      <c r="B99" s="6">
        <v>18.82</v>
      </c>
      <c r="C99" s="6">
        <v>31.24</v>
      </c>
      <c r="F99" s="13">
        <f>F98+D99</f>
        <v>0.4</v>
      </c>
      <c r="G99" s="13">
        <f t="shared" si="5"/>
        <v>0.49068500000000004</v>
      </c>
      <c r="H99" s="13">
        <f>B99+F99</f>
        <v>19.22</v>
      </c>
      <c r="I99" s="13">
        <f>C99+G99</f>
        <v>31.730684999999998</v>
      </c>
      <c r="J99" s="10">
        <f t="shared" si="6"/>
        <v>1.6509201352757543</v>
      </c>
      <c r="K99" s="10">
        <f t="shared" si="7"/>
        <v>1.6466471813135102</v>
      </c>
      <c r="L99" s="13">
        <f t="shared" si="8"/>
        <v>31.639131472888916</v>
      </c>
      <c r="M99" s="13">
        <f t="shared" si="9"/>
        <v>31.730684999999998</v>
      </c>
      <c r="N99" s="13">
        <f>M99-L99</f>
        <v>9.1553527111081223E-2</v>
      </c>
      <c r="O99" s="2">
        <f>N99/L99</f>
        <v>2.8936801627924592E-3</v>
      </c>
    </row>
    <row r="100" spans="1:15" x14ac:dyDescent="0.25">
      <c r="A100" s="1">
        <v>46168</v>
      </c>
      <c r="B100" s="6">
        <v>18.899999999999999</v>
      </c>
      <c r="C100" s="6">
        <v>31.34</v>
      </c>
      <c r="F100" s="13">
        <f>F99+D100</f>
        <v>0.4</v>
      </c>
      <c r="G100" s="13">
        <f t="shared" si="5"/>
        <v>0.49068500000000004</v>
      </c>
      <c r="H100" s="13">
        <f>B100+F100</f>
        <v>19.299999999999997</v>
      </c>
      <c r="I100" s="13">
        <f>C100+G100</f>
        <v>31.830684999999999</v>
      </c>
      <c r="J100" s="10">
        <f t="shared" si="6"/>
        <v>1.6492582901554407</v>
      </c>
      <c r="K100" s="10">
        <f t="shared" si="7"/>
        <v>1.6469202145616024</v>
      </c>
      <c r="L100" s="13">
        <f t="shared" si="8"/>
        <v>31.780290599350742</v>
      </c>
      <c r="M100" s="13">
        <f t="shared" si="9"/>
        <v>31.830684999999999</v>
      </c>
      <c r="N100" s="13">
        <f>M100-L100</f>
        <v>5.039440064925671E-2</v>
      </c>
      <c r="O100" s="2">
        <f>N100/L100</f>
        <v>1.5857123927710795E-3</v>
      </c>
    </row>
    <row r="101" spans="1:15" x14ac:dyDescent="0.25">
      <c r="A101" s="1">
        <v>46169</v>
      </c>
      <c r="B101" s="6">
        <v>18.95</v>
      </c>
      <c r="C101" s="6">
        <v>31.39</v>
      </c>
      <c r="F101" s="13">
        <f>F100+D101</f>
        <v>0.4</v>
      </c>
      <c r="G101" s="13">
        <f t="shared" si="5"/>
        <v>0.49068500000000004</v>
      </c>
      <c r="H101" s="13">
        <f>B101+F101</f>
        <v>19.349999999999998</v>
      </c>
      <c r="I101" s="13">
        <f>C101+G101</f>
        <v>31.880685</v>
      </c>
      <c r="J101" s="10">
        <f t="shared" si="6"/>
        <v>1.6475806201550389</v>
      </c>
      <c r="K101" s="10">
        <f t="shared" si="7"/>
        <v>1.647329401009769</v>
      </c>
      <c r="L101" s="13">
        <f t="shared" si="8"/>
        <v>31.867906151767002</v>
      </c>
      <c r="M101" s="13">
        <f t="shared" si="9"/>
        <v>31.880685</v>
      </c>
      <c r="N101" s="13">
        <f>M101-L101</f>
        <v>1.2778848232997575E-2</v>
      </c>
      <c r="O101" s="2">
        <f>N101/L101</f>
        <v>4.0099428472457129E-4</v>
      </c>
    </row>
    <row r="102" spans="1:15" x14ac:dyDescent="0.25">
      <c r="A102" s="1">
        <v>46170</v>
      </c>
      <c r="B102" s="6">
        <v>19</v>
      </c>
      <c r="C102" s="6">
        <v>31.5</v>
      </c>
      <c r="F102" s="13">
        <f>F101+D102</f>
        <v>0.4</v>
      </c>
      <c r="G102" s="13">
        <f t="shared" si="5"/>
        <v>0.49068500000000004</v>
      </c>
      <c r="H102" s="13">
        <f>B102+F102</f>
        <v>19.399999999999999</v>
      </c>
      <c r="I102" s="13">
        <f>C102+G102</f>
        <v>31.990684999999999</v>
      </c>
      <c r="J102" s="10">
        <f t="shared" si="6"/>
        <v>1.6490043814432991</v>
      </c>
      <c r="K102" s="10">
        <f t="shared" si="7"/>
        <v>1.647780764722933</v>
      </c>
      <c r="L102" s="13">
        <f t="shared" si="8"/>
        <v>31.958190379589517</v>
      </c>
      <c r="M102" s="13">
        <f t="shared" si="9"/>
        <v>31.990684999999999</v>
      </c>
      <c r="N102" s="13">
        <f>M102-L102</f>
        <v>3.24946204104819E-2</v>
      </c>
      <c r="O102" s="2">
        <f>N102/L102</f>
        <v>1.0167853694004834E-3</v>
      </c>
    </row>
    <row r="103" spans="1:15" x14ac:dyDescent="0.25">
      <c r="A103" s="1">
        <v>46171</v>
      </c>
      <c r="B103" s="6">
        <v>19.02</v>
      </c>
      <c r="C103" s="6">
        <v>31.56</v>
      </c>
      <c r="F103" s="13">
        <f>F102+D103</f>
        <v>0.4</v>
      </c>
      <c r="G103" s="13">
        <f t="shared" si="5"/>
        <v>0.49068500000000004</v>
      </c>
      <c r="H103" s="13">
        <f>B103+F103</f>
        <v>19.419999999999998</v>
      </c>
      <c r="I103" s="13">
        <f>C103+G103</f>
        <v>32.050685000000001</v>
      </c>
      <c r="J103" s="10">
        <f t="shared" si="6"/>
        <v>1.650395726055613</v>
      </c>
      <c r="K103" s="10">
        <f t="shared" si="7"/>
        <v>1.6482985912526344</v>
      </c>
      <c r="L103" s="13">
        <f t="shared" si="8"/>
        <v>31.999902450919357</v>
      </c>
      <c r="M103" s="13">
        <f t="shared" si="9"/>
        <v>32.050685000000001</v>
      </c>
      <c r="N103" s="13">
        <f>M103-L103</f>
        <v>5.0782549080643946E-2</v>
      </c>
      <c r="O103" s="2">
        <f>N103/L103</f>
        <v>1.5869594964713701E-3</v>
      </c>
    </row>
    <row r="104" spans="1:15" x14ac:dyDescent="0.25">
      <c r="A104" s="1">
        <v>46174</v>
      </c>
      <c r="B104" s="6">
        <v>18.940000000000001</v>
      </c>
      <c r="C104" s="6">
        <v>31.4</v>
      </c>
      <c r="D104" s="13">
        <v>0.1</v>
      </c>
      <c r="E104" s="13">
        <v>0.13839699999999999</v>
      </c>
      <c r="F104" s="13">
        <f>F103+D104</f>
        <v>0.5</v>
      </c>
      <c r="G104" s="13">
        <f t="shared" si="5"/>
        <v>0.62908200000000003</v>
      </c>
      <c r="H104" s="13">
        <f>B104+F104</f>
        <v>19.440000000000001</v>
      </c>
      <c r="I104" s="13">
        <f>C104+G104</f>
        <v>32.029081999999995</v>
      </c>
      <c r="J104" s="10">
        <f t="shared" si="6"/>
        <v>1.6475865226337445</v>
      </c>
      <c r="K104" s="10">
        <f t="shared" si="7"/>
        <v>1.6484596570750434</v>
      </c>
      <c r="L104" s="13">
        <f t="shared" si="8"/>
        <v>32.042924613951214</v>
      </c>
      <c r="M104" s="13">
        <f t="shared" si="9"/>
        <v>32.029081999999995</v>
      </c>
      <c r="N104" s="13">
        <f>M104-L104</f>
        <v>-1.3842613951219107E-2</v>
      </c>
      <c r="O104" s="2">
        <f>N104/L104</f>
        <v>-4.3200220073520229E-4</v>
      </c>
    </row>
    <row r="105" spans="1:15" x14ac:dyDescent="0.25">
      <c r="A105" s="1">
        <v>46175</v>
      </c>
      <c r="B105" s="6">
        <v>18.95</v>
      </c>
      <c r="C105" s="6">
        <v>31.44</v>
      </c>
      <c r="F105" s="13">
        <f>F104+D105</f>
        <v>0.5</v>
      </c>
      <c r="G105" s="13">
        <f t="shared" si="5"/>
        <v>0.62908200000000003</v>
      </c>
      <c r="H105" s="13">
        <f>B105+F105</f>
        <v>19.45</v>
      </c>
      <c r="I105" s="13">
        <f>C105+G105</f>
        <v>32.069082000000002</v>
      </c>
      <c r="J105" s="10">
        <f t="shared" si="6"/>
        <v>1.6487959897172237</v>
      </c>
      <c r="K105" s="10">
        <f t="shared" si="7"/>
        <v>1.6486863933812046</v>
      </c>
      <c r="L105" s="13">
        <f t="shared" si="8"/>
        <v>32.062540330109591</v>
      </c>
      <c r="M105" s="13">
        <f t="shared" si="9"/>
        <v>32.069082000000002</v>
      </c>
      <c r="N105" s="13">
        <f>M105-L105</f>
        <v>6.5416698904101622E-3</v>
      </c>
      <c r="O105" s="2">
        <f>N105/L105</f>
        <v>2.0402843390007215E-4</v>
      </c>
    </row>
    <row r="106" spans="1:15" x14ac:dyDescent="0.25">
      <c r="A106" s="1">
        <v>46176</v>
      </c>
      <c r="B106" s="6">
        <v>18.84</v>
      </c>
      <c r="C106" s="6">
        <v>31.23</v>
      </c>
      <c r="F106" s="13">
        <f>F105+D106</f>
        <v>0.5</v>
      </c>
      <c r="G106" s="13">
        <f t="shared" si="5"/>
        <v>0.62908200000000003</v>
      </c>
      <c r="H106" s="13">
        <f>B106+F106</f>
        <v>19.34</v>
      </c>
      <c r="I106" s="13">
        <f>C106+G106</f>
        <v>31.859082000000001</v>
      </c>
      <c r="J106" s="10">
        <f t="shared" si="6"/>
        <v>1.647315511892451</v>
      </c>
      <c r="K106" s="10">
        <f t="shared" si="7"/>
        <v>1.6485180992083854</v>
      </c>
      <c r="L106" s="13">
        <f t="shared" si="8"/>
        <v>31.885594847992497</v>
      </c>
      <c r="M106" s="13">
        <f t="shared" si="9"/>
        <v>31.859082000000001</v>
      </c>
      <c r="N106" s="13">
        <f>M106-L106</f>
        <v>-2.6512847992496091E-2</v>
      </c>
      <c r="O106" s="2">
        <f>N106/L106</f>
        <v>-8.3149924343234663E-4</v>
      </c>
    </row>
    <row r="107" spans="1:15" x14ac:dyDescent="0.25">
      <c r="A107" s="1">
        <v>46177</v>
      </c>
      <c r="B107" s="6">
        <v>18.899999999999999</v>
      </c>
      <c r="C107" s="6">
        <v>31.25</v>
      </c>
      <c r="F107" s="13">
        <f>F106+D107</f>
        <v>0.5</v>
      </c>
      <c r="G107" s="13">
        <f t="shared" si="5"/>
        <v>0.62908200000000003</v>
      </c>
      <c r="H107" s="13">
        <f>B107+F107</f>
        <v>19.399999999999999</v>
      </c>
      <c r="I107" s="13">
        <f>C107+G107</f>
        <v>31.879082</v>
      </c>
      <c r="J107" s="10">
        <f t="shared" si="6"/>
        <v>1.6432516494845362</v>
      </c>
      <c r="K107" s="10">
        <f t="shared" si="7"/>
        <v>1.6482867263438035</v>
      </c>
      <c r="L107" s="13">
        <f t="shared" si="8"/>
        <v>31.981251124642675</v>
      </c>
      <c r="M107" s="13">
        <f t="shared" si="9"/>
        <v>31.879082</v>
      </c>
      <c r="N107" s="13">
        <f>M107-L107</f>
        <v>-0.1021691246426748</v>
      </c>
      <c r="O107" s="2">
        <f>N107/L107</f>
        <v>-3.1946569020856693E-3</v>
      </c>
    </row>
    <row r="108" spans="1:15" x14ac:dyDescent="0.25">
      <c r="A108" s="1">
        <v>46178</v>
      </c>
      <c r="B108" s="6">
        <v>18.75</v>
      </c>
      <c r="C108" s="6">
        <v>30.91</v>
      </c>
      <c r="F108" s="13">
        <f>F107+D108</f>
        <v>0.5</v>
      </c>
      <c r="G108" s="13">
        <f t="shared" si="5"/>
        <v>0.62908200000000003</v>
      </c>
      <c r="H108" s="13">
        <f>B108+F108</f>
        <v>19.25</v>
      </c>
      <c r="I108" s="13">
        <f>C108+G108</f>
        <v>31.539082000000001</v>
      </c>
      <c r="J108" s="10">
        <f t="shared" si="6"/>
        <v>1.6383938701298701</v>
      </c>
      <c r="K108" s="10">
        <f t="shared" si="7"/>
        <v>1.6477046543863794</v>
      </c>
      <c r="L108" s="13">
        <f t="shared" si="8"/>
        <v>31.729519482118217</v>
      </c>
      <c r="M108" s="13">
        <f t="shared" si="9"/>
        <v>31.539082000000001</v>
      </c>
      <c r="N108" s="13">
        <f>M108-L108</f>
        <v>-0.19043748211821665</v>
      </c>
      <c r="O108" s="2">
        <f>N108/L108</f>
        <v>-6.0019024941597799E-3</v>
      </c>
    </row>
    <row r="109" spans="1:15" x14ac:dyDescent="0.25">
      <c r="A109" s="1">
        <v>46181</v>
      </c>
      <c r="B109" s="6">
        <v>18.690000000000001</v>
      </c>
      <c r="C109" s="6">
        <v>30.97</v>
      </c>
      <c r="F109" s="13">
        <f>F108+D109</f>
        <v>0.5</v>
      </c>
      <c r="G109" s="13">
        <f t="shared" si="5"/>
        <v>0.62908200000000003</v>
      </c>
      <c r="H109" s="13">
        <f>B109+F109</f>
        <v>19.190000000000001</v>
      </c>
      <c r="I109" s="13">
        <f>C109+G109</f>
        <v>31.599081999999999</v>
      </c>
      <c r="J109" s="10">
        <f t="shared" si="6"/>
        <v>1.646643147472642</v>
      </c>
      <c r="K109" s="10">
        <f t="shared" si="7"/>
        <v>1.6476143834079136</v>
      </c>
      <c r="L109" s="13">
        <f t="shared" si="8"/>
        <v>31.619452317674622</v>
      </c>
      <c r="M109" s="13">
        <f t="shared" si="9"/>
        <v>31.599081999999999</v>
      </c>
      <c r="N109" s="13">
        <f>M109-L109</f>
        <v>-2.0370317674622385E-2</v>
      </c>
      <c r="O109" s="2">
        <f>N109/L109</f>
        <v>-6.4423372897056146E-4</v>
      </c>
    </row>
    <row r="110" spans="1:15" x14ac:dyDescent="0.25">
      <c r="A110" s="1">
        <v>46182</v>
      </c>
      <c r="B110" s="6">
        <v>18.66</v>
      </c>
      <c r="C110" s="6">
        <v>30.89</v>
      </c>
      <c r="F110" s="13">
        <f>F109+D110</f>
        <v>0.5</v>
      </c>
      <c r="G110" s="13">
        <f t="shared" si="5"/>
        <v>0.62908200000000003</v>
      </c>
      <c r="H110" s="13">
        <f>B110+F110</f>
        <v>19.16</v>
      </c>
      <c r="I110" s="13">
        <f>C110+G110</f>
        <v>31.519082000000001</v>
      </c>
      <c r="J110" s="10">
        <f t="shared" si="6"/>
        <v>1.6450460334029229</v>
      </c>
      <c r="K110" s="10">
        <f t="shared" si="7"/>
        <v>1.6472081933000531</v>
      </c>
      <c r="L110" s="13">
        <f t="shared" si="8"/>
        <v>31.568291586095622</v>
      </c>
      <c r="M110" s="13">
        <f t="shared" si="9"/>
        <v>31.519082000000001</v>
      </c>
      <c r="N110" s="13">
        <f>M110-L110</f>
        <v>-4.9209586095621205E-2</v>
      </c>
      <c r="O110" s="2">
        <f>N110/L110</f>
        <v>-1.5588295603964758E-3</v>
      </c>
    </row>
    <row r="111" spans="1:15" x14ac:dyDescent="0.25">
      <c r="A111" s="1">
        <v>46183</v>
      </c>
      <c r="B111" s="6">
        <v>18.61</v>
      </c>
      <c r="C111" s="6">
        <v>30.77</v>
      </c>
      <c r="F111" s="13">
        <f>F110+D111</f>
        <v>0.5</v>
      </c>
      <c r="G111" s="13">
        <f t="shared" si="5"/>
        <v>0.62908200000000003</v>
      </c>
      <c r="H111" s="13">
        <f>B111+F111</f>
        <v>19.11</v>
      </c>
      <c r="I111" s="13">
        <f>C111+G111</f>
        <v>31.399082</v>
      </c>
      <c r="J111" s="10">
        <f t="shared" si="6"/>
        <v>1.6430707482993199</v>
      </c>
      <c r="K111" s="10">
        <f t="shared" si="7"/>
        <v>1.6470704447807278</v>
      </c>
      <c r="L111" s="13">
        <f t="shared" si="8"/>
        <v>31.478148573964013</v>
      </c>
      <c r="M111" s="13">
        <f t="shared" si="9"/>
        <v>31.399082</v>
      </c>
      <c r="N111" s="13">
        <f>M111-L111</f>
        <v>-7.9066573964013287E-2</v>
      </c>
      <c r="O111" s="2">
        <f>N111/L111</f>
        <v>-2.5117923876059943E-3</v>
      </c>
    </row>
    <row r="112" spans="1:15" x14ac:dyDescent="0.25">
      <c r="A112" s="1">
        <v>46184</v>
      </c>
      <c r="B112" s="6">
        <v>18.77</v>
      </c>
      <c r="C112" s="6">
        <v>31.02</v>
      </c>
      <c r="F112" s="13">
        <f>F111+D112</f>
        <v>0.5</v>
      </c>
      <c r="G112" s="13">
        <f t="shared" si="5"/>
        <v>0.62908200000000003</v>
      </c>
      <c r="H112" s="13">
        <f>B112+F112</f>
        <v>19.27</v>
      </c>
      <c r="I112" s="13">
        <f>C112+G112</f>
        <v>31.649082</v>
      </c>
      <c r="J112" s="10">
        <f t="shared" si="6"/>
        <v>1.6424017644006228</v>
      </c>
      <c r="K112" s="10">
        <f t="shared" si="7"/>
        <v>1.6466617501906711</v>
      </c>
      <c r="L112" s="13">
        <f t="shared" si="8"/>
        <v>31.739047470924625</v>
      </c>
      <c r="M112" s="13">
        <f t="shared" si="9"/>
        <v>31.649082</v>
      </c>
      <c r="N112" s="13">
        <f>M112-L112</f>
        <v>-8.9965470924624924E-2</v>
      </c>
      <c r="O112" s="2">
        <f>N112/L112</f>
        <v>-2.8345359452592307E-3</v>
      </c>
    </row>
    <row r="113" spans="1:15" x14ac:dyDescent="0.25">
      <c r="A113" s="1">
        <v>46185</v>
      </c>
      <c r="B113" s="6">
        <v>18.82</v>
      </c>
      <c r="C113" s="6">
        <v>31.07</v>
      </c>
      <c r="F113" s="13">
        <f>F112+D113</f>
        <v>0.5</v>
      </c>
      <c r="G113" s="13">
        <f t="shared" si="5"/>
        <v>0.62908200000000003</v>
      </c>
      <c r="H113" s="13">
        <f>B113+F113</f>
        <v>19.32</v>
      </c>
      <c r="I113" s="13">
        <f>C113+G113</f>
        <v>31.699082000000001</v>
      </c>
      <c r="J113" s="10">
        <f t="shared" si="6"/>
        <v>1.6407392339544513</v>
      </c>
      <c r="K113" s="10">
        <f t="shared" si="7"/>
        <v>1.6462033776981624</v>
      </c>
      <c r="L113" s="13">
        <f t="shared" si="8"/>
        <v>31.813505013683766</v>
      </c>
      <c r="M113" s="13">
        <f t="shared" si="9"/>
        <v>31.699082000000001</v>
      </c>
      <c r="N113" s="13">
        <f>M113-L113</f>
        <v>-0.11442301368376562</v>
      </c>
      <c r="O113" s="2">
        <f>N113/L113</f>
        <v>-3.5966805177407987E-3</v>
      </c>
    </row>
    <row r="114" spans="1:15" x14ac:dyDescent="0.25">
      <c r="A114" s="1">
        <v>46188</v>
      </c>
      <c r="B114" s="6">
        <v>18.93</v>
      </c>
      <c r="C114" s="6">
        <v>31.3</v>
      </c>
      <c r="F114" s="13">
        <f>F113+D114</f>
        <v>0.5</v>
      </c>
      <c r="G114" s="13">
        <f t="shared" si="5"/>
        <v>0.62908200000000003</v>
      </c>
      <c r="H114" s="13">
        <f>B114+F114</f>
        <v>19.43</v>
      </c>
      <c r="I114" s="13">
        <f>C114+G114</f>
        <v>31.929082000000001</v>
      </c>
      <c r="J114" s="10">
        <f t="shared" si="6"/>
        <v>1.6432878023674731</v>
      </c>
      <c r="K114" s="10">
        <f t="shared" si="7"/>
        <v>1.6459335552385739</v>
      </c>
      <c r="L114" s="13">
        <f t="shared" si="8"/>
        <v>31.985731628675296</v>
      </c>
      <c r="M114" s="13">
        <f t="shared" si="9"/>
        <v>31.929082000000001</v>
      </c>
      <c r="N114" s="13">
        <f>M114-L114</f>
        <v>-5.6649628675295105E-2</v>
      </c>
      <c r="O114" s="2">
        <f>N114/L114</f>
        <v>-1.7710906016765475E-3</v>
      </c>
    </row>
    <row r="115" spans="1:15" x14ac:dyDescent="0.25">
      <c r="A115" s="1">
        <v>46189</v>
      </c>
      <c r="B115" s="6">
        <v>18.940000000000001</v>
      </c>
      <c r="C115" s="6">
        <v>31.19</v>
      </c>
      <c r="F115" s="13">
        <f>F114+D115</f>
        <v>0.5</v>
      </c>
      <c r="G115" s="13">
        <f t="shared" si="5"/>
        <v>0.62908200000000003</v>
      </c>
      <c r="H115" s="13">
        <f>B115+F115</f>
        <v>19.440000000000001</v>
      </c>
      <c r="I115" s="13">
        <f>C115+G115</f>
        <v>31.819082000000002</v>
      </c>
      <c r="J115" s="10">
        <f t="shared" si="6"/>
        <v>1.6367840534979423</v>
      </c>
      <c r="K115" s="10">
        <f t="shared" si="7"/>
        <v>1.6454348676949486</v>
      </c>
      <c r="L115" s="13">
        <f t="shared" si="8"/>
        <v>31.99694831383788</v>
      </c>
      <c r="M115" s="13">
        <f t="shared" si="9"/>
        <v>31.819082000000002</v>
      </c>
      <c r="N115" s="13">
        <f>M115-L115</f>
        <v>-0.17786631383787821</v>
      </c>
      <c r="O115" s="2">
        <f>N115/L115</f>
        <v>-5.5588524284659819E-3</v>
      </c>
    </row>
    <row r="116" spans="1:15" x14ac:dyDescent="0.25">
      <c r="A116" s="1">
        <v>46190</v>
      </c>
      <c r="B116" s="6">
        <v>18.84</v>
      </c>
      <c r="C116" s="6">
        <v>31.09</v>
      </c>
      <c r="F116" s="13">
        <f>F115+D116</f>
        <v>0.5</v>
      </c>
      <c r="G116" s="13">
        <f t="shared" si="5"/>
        <v>0.62908200000000003</v>
      </c>
      <c r="H116" s="13">
        <f>B116+F116</f>
        <v>19.34</v>
      </c>
      <c r="I116" s="13">
        <f>C116+G116</f>
        <v>31.719082</v>
      </c>
      <c r="J116" s="10">
        <f t="shared" si="6"/>
        <v>1.6400766287487074</v>
      </c>
      <c r="K116" s="10">
        <f t="shared" si="7"/>
        <v>1.6450808849962582</v>
      </c>
      <c r="L116" s="13">
        <f t="shared" si="8"/>
        <v>31.822710341220308</v>
      </c>
      <c r="M116" s="13">
        <f t="shared" si="9"/>
        <v>31.719082</v>
      </c>
      <c r="N116" s="13">
        <f>M116-L116</f>
        <v>-0.10362834122030762</v>
      </c>
      <c r="O116" s="2">
        <f>N116/L116</f>
        <v>-3.2564272530261726E-3</v>
      </c>
    </row>
    <row r="117" spans="1:15" x14ac:dyDescent="0.25">
      <c r="A117" s="1">
        <v>46191</v>
      </c>
      <c r="B117" s="6">
        <v>18.89</v>
      </c>
      <c r="C117" s="6">
        <v>31.23</v>
      </c>
      <c r="F117" s="13">
        <f>F116+D117</f>
        <v>0.5</v>
      </c>
      <c r="G117" s="13">
        <f t="shared" si="5"/>
        <v>0.62908200000000003</v>
      </c>
      <c r="H117" s="13">
        <f>B117+F117</f>
        <v>19.39</v>
      </c>
      <c r="I117" s="13">
        <f>C117+G117</f>
        <v>31.859082000000001</v>
      </c>
      <c r="J117" s="10">
        <f t="shared" si="6"/>
        <v>1.6430676637441981</v>
      </c>
      <c r="K117" s="10">
        <f t="shared" si="7"/>
        <v>1.6449836565228746</v>
      </c>
      <c r="L117" s="13">
        <f t="shared" si="8"/>
        <v>31.898118360077447</v>
      </c>
      <c r="M117" s="13">
        <f t="shared" si="9"/>
        <v>31.859082000000001</v>
      </c>
      <c r="N117" s="13">
        <f>M117-L117</f>
        <v>-3.9036360077446375E-2</v>
      </c>
      <c r="O117" s="2">
        <f>N117/L117</f>
        <v>-1.2237825327748139E-3</v>
      </c>
    </row>
    <row r="118" spans="1:15" x14ac:dyDescent="0.25">
      <c r="A118" s="1">
        <v>46195</v>
      </c>
      <c r="B118" s="6">
        <v>18.739999999999998</v>
      </c>
      <c r="C118" s="6">
        <v>30.84</v>
      </c>
      <c r="F118" s="13">
        <f>F117+D118</f>
        <v>0.5</v>
      </c>
      <c r="G118" s="13">
        <f t="shared" si="5"/>
        <v>0.62908200000000003</v>
      </c>
      <c r="H118" s="13">
        <f>B118+F118</f>
        <v>19.239999999999998</v>
      </c>
      <c r="I118" s="13">
        <f>C118+G118</f>
        <v>31.469082</v>
      </c>
      <c r="J118" s="10">
        <f t="shared" si="6"/>
        <v>1.6356071725571728</v>
      </c>
      <c r="K118" s="10">
        <f t="shared" si="7"/>
        <v>1.6444613472694214</v>
      </c>
      <c r="L118" s="13">
        <f t="shared" si="8"/>
        <v>31.649485551500106</v>
      </c>
      <c r="M118" s="13">
        <f t="shared" si="9"/>
        <v>31.469082</v>
      </c>
      <c r="N118" s="13">
        <f>M118-L118</f>
        <v>-0.18040355150010612</v>
      </c>
      <c r="O118" s="2">
        <f>N118/L118</f>
        <v>-5.7000468840655589E-3</v>
      </c>
    </row>
    <row r="119" spans="1:15" x14ac:dyDescent="0.25">
      <c r="A119" s="1">
        <v>46196</v>
      </c>
      <c r="B119" s="6">
        <v>18.739999999999998</v>
      </c>
      <c r="C119" s="6">
        <v>30.78</v>
      </c>
      <c r="F119" s="13">
        <f>F118+D119</f>
        <v>0.5</v>
      </c>
      <c r="G119" s="13">
        <f t="shared" si="5"/>
        <v>0.62908200000000003</v>
      </c>
      <c r="H119" s="13">
        <f>B119+F119</f>
        <v>19.239999999999998</v>
      </c>
      <c r="I119" s="13">
        <f>C119+G119</f>
        <v>31.409082000000001</v>
      </c>
      <c r="J119" s="10">
        <f t="shared" si="6"/>
        <v>1.6324886694386695</v>
      </c>
      <c r="K119" s="10">
        <f t="shared" si="7"/>
        <v>1.643539773977567</v>
      </c>
      <c r="L119" s="13">
        <f t="shared" si="8"/>
        <v>31.639436321463666</v>
      </c>
      <c r="M119" s="13">
        <f t="shared" si="9"/>
        <v>31.409082000000001</v>
      </c>
      <c r="N119" s="13">
        <f>M119-L119</f>
        <v>-0.23035432146366475</v>
      </c>
      <c r="O119" s="2">
        <f>N119/L119</f>
        <v>-7.2806076291376982E-3</v>
      </c>
    </row>
    <row r="120" spans="1:15" x14ac:dyDescent="0.25">
      <c r="A120" s="1">
        <v>46197</v>
      </c>
      <c r="B120" s="6">
        <v>18.68</v>
      </c>
      <c r="C120" s="6">
        <v>30.68</v>
      </c>
      <c r="F120" s="13">
        <f>F119+D120</f>
        <v>0.5</v>
      </c>
      <c r="G120" s="13">
        <f t="shared" si="5"/>
        <v>0.62908200000000003</v>
      </c>
      <c r="H120" s="13">
        <f>B120+F120</f>
        <v>19.18</v>
      </c>
      <c r="I120" s="13">
        <f>C120+G120</f>
        <v>31.309082</v>
      </c>
      <c r="J120" s="10">
        <f t="shared" si="6"/>
        <v>1.6323817518248176</v>
      </c>
      <c r="K120" s="10">
        <f t="shared" si="7"/>
        <v>1.6426959470610361</v>
      </c>
      <c r="L120" s="13">
        <f t="shared" si="8"/>
        <v>31.523092864889733</v>
      </c>
      <c r="M120" s="13">
        <f t="shared" si="9"/>
        <v>31.309082</v>
      </c>
      <c r="N120" s="13">
        <f>M120-L120</f>
        <v>-0.2140108648897332</v>
      </c>
      <c r="O120" s="2">
        <f>N120/L120</f>
        <v>-6.7890186349099475E-3</v>
      </c>
    </row>
    <row r="121" spans="1:15" x14ac:dyDescent="0.25">
      <c r="A121" s="1">
        <v>46198</v>
      </c>
      <c r="B121" s="6">
        <v>18.649999999999999</v>
      </c>
      <c r="C121" s="6">
        <v>30.44</v>
      </c>
      <c r="F121" s="13">
        <f>F120+D121</f>
        <v>0.5</v>
      </c>
      <c r="G121" s="13">
        <f t="shared" si="5"/>
        <v>0.62908200000000003</v>
      </c>
      <c r="H121" s="13">
        <f>B121+F121</f>
        <v>19.149999999999999</v>
      </c>
      <c r="I121" s="13">
        <f>C121+G121</f>
        <v>31.069082000000002</v>
      </c>
      <c r="J121" s="10">
        <f t="shared" si="6"/>
        <v>1.6224063707571803</v>
      </c>
      <c r="K121" s="10">
        <f t="shared" si="7"/>
        <v>1.6414372345911432</v>
      </c>
      <c r="L121" s="13">
        <f t="shared" si="8"/>
        <v>31.457627386218839</v>
      </c>
      <c r="M121" s="13">
        <f t="shared" si="9"/>
        <v>31.069082000000002</v>
      </c>
      <c r="N121" s="13">
        <f>M121-L121</f>
        <v>-0.38854538621883705</v>
      </c>
      <c r="O121" s="2">
        <f>N121/L121</f>
        <v>-1.2351388788750596E-2</v>
      </c>
    </row>
    <row r="122" spans="1:15" x14ac:dyDescent="0.25">
      <c r="A122" s="1">
        <v>46199</v>
      </c>
      <c r="B122" s="6">
        <v>18.64</v>
      </c>
      <c r="C122" s="6">
        <v>30.36</v>
      </c>
      <c r="F122" s="13">
        <f>F121+D122</f>
        <v>0.5</v>
      </c>
      <c r="G122" s="13">
        <f t="shared" si="5"/>
        <v>0.62908200000000003</v>
      </c>
      <c r="H122" s="13">
        <f>B122+F122</f>
        <v>19.14</v>
      </c>
      <c r="I122" s="13">
        <f>C122+G122</f>
        <v>30.989082</v>
      </c>
      <c r="J122" s="10">
        <f t="shared" si="6"/>
        <v>1.6190742946708463</v>
      </c>
      <c r="K122" s="10">
        <f t="shared" si="7"/>
        <v>1.6399407302525202</v>
      </c>
      <c r="L122" s="13">
        <f t="shared" si="8"/>
        <v>31.417108670074484</v>
      </c>
      <c r="M122" s="13">
        <f t="shared" si="9"/>
        <v>30.989082</v>
      </c>
      <c r="N122" s="13">
        <f>M122-L122</f>
        <v>-0.42802667007448392</v>
      </c>
      <c r="O122" s="2">
        <f>N122/L122</f>
        <v>-1.3623999412848234E-2</v>
      </c>
    </row>
    <row r="123" spans="1:15" x14ac:dyDescent="0.25">
      <c r="A123" s="1">
        <v>46202</v>
      </c>
      <c r="B123" s="6">
        <v>18.68</v>
      </c>
      <c r="C123" s="6">
        <v>30.61</v>
      </c>
      <c r="F123" s="13">
        <f>F122+D123</f>
        <v>0.5</v>
      </c>
      <c r="G123" s="13">
        <f t="shared" si="5"/>
        <v>0.62908200000000003</v>
      </c>
      <c r="H123" s="13">
        <f>B123+F123</f>
        <v>19.18</v>
      </c>
      <c r="I123" s="13">
        <f>C123+G123</f>
        <v>31.239082</v>
      </c>
      <c r="J123" s="10">
        <f t="shared" si="6"/>
        <v>1.6287321167883211</v>
      </c>
      <c r="K123" s="10">
        <f t="shared" si="7"/>
        <v>1.6388575497891555</v>
      </c>
      <c r="L123" s="13">
        <f t="shared" si="8"/>
        <v>31.454063206243337</v>
      </c>
      <c r="M123" s="13">
        <f t="shared" si="9"/>
        <v>31.239082</v>
      </c>
      <c r="N123" s="13">
        <f>M123-L123</f>
        <v>-0.21498120624333694</v>
      </c>
      <c r="O123" s="2">
        <f>N123/L123</f>
        <v>-6.8347674141083685E-3</v>
      </c>
    </row>
    <row r="124" spans="1:15" x14ac:dyDescent="0.25">
      <c r="A124" s="1">
        <v>46203</v>
      </c>
      <c r="B124" s="6">
        <v>18.690000000000001</v>
      </c>
      <c r="C124" s="6">
        <v>30.49</v>
      </c>
      <c r="F124" s="13">
        <f>F123+D124</f>
        <v>0.5</v>
      </c>
      <c r="G124" s="13">
        <f t="shared" si="5"/>
        <v>0.62908200000000003</v>
      </c>
      <c r="H124" s="13">
        <f>B124+F124</f>
        <v>19.190000000000001</v>
      </c>
      <c r="I124" s="13">
        <f>C124+G124</f>
        <v>31.119081999999999</v>
      </c>
      <c r="J124" s="10">
        <f t="shared" si="6"/>
        <v>1.6216301198540906</v>
      </c>
      <c r="K124" s="10">
        <f t="shared" si="7"/>
        <v>1.6375597296501727</v>
      </c>
      <c r="L124" s="13">
        <f t="shared" si="8"/>
        <v>31.449676380453898</v>
      </c>
      <c r="M124" s="13">
        <f t="shared" si="9"/>
        <v>31.119081999999999</v>
      </c>
      <c r="N124" s="13">
        <f>M124-L124</f>
        <v>-0.33059438045389911</v>
      </c>
      <c r="O124" s="2">
        <f>N124/L124</f>
        <v>-1.0511853173133599E-2</v>
      </c>
    </row>
    <row r="125" spans="1:15" x14ac:dyDescent="0.25">
      <c r="A125" s="1">
        <v>46204</v>
      </c>
      <c r="B125" s="6">
        <v>18.61</v>
      </c>
      <c r="C125" s="6">
        <v>30.47</v>
      </c>
      <c r="D125" s="13">
        <v>0.1</v>
      </c>
      <c r="E125" s="13">
        <v>0.14174</v>
      </c>
      <c r="F125" s="13">
        <f>F124+D125</f>
        <v>0.6</v>
      </c>
      <c r="G125" s="13">
        <f t="shared" si="5"/>
        <v>0.77082200000000001</v>
      </c>
      <c r="H125" s="13">
        <f>B125+F125</f>
        <v>19.21</v>
      </c>
      <c r="I125" s="13">
        <f>C125+G125</f>
        <v>31.240821999999998</v>
      </c>
      <c r="J125" s="10">
        <f t="shared" si="6"/>
        <v>1.6262791254554918</v>
      </c>
      <c r="K125" s="10">
        <f t="shared" si="7"/>
        <v>1.6364338864370862</v>
      </c>
      <c r="L125" s="13">
        <f t="shared" si="8"/>
        <v>31.45752240657982</v>
      </c>
      <c r="M125" s="13">
        <f t="shared" si="9"/>
        <v>31.240821999999998</v>
      </c>
      <c r="N125" s="13">
        <f>M125-L125</f>
        <v>-0.2167004065798217</v>
      </c>
      <c r="O125" s="2">
        <f>N125/L125</f>
        <v>-6.8886673203003273E-3</v>
      </c>
    </row>
    <row r="126" spans="1:15" x14ac:dyDescent="0.25">
      <c r="A126" s="1">
        <v>46205</v>
      </c>
      <c r="B126" s="6">
        <v>18.579999999999998</v>
      </c>
      <c r="C126" s="6">
        <v>30.48</v>
      </c>
      <c r="F126" s="13">
        <f>F125+D126</f>
        <v>0.6</v>
      </c>
      <c r="G126" s="13">
        <f t="shared" si="5"/>
        <v>0.77082200000000001</v>
      </c>
      <c r="H126" s="13">
        <f>B126+F126</f>
        <v>19.18</v>
      </c>
      <c r="I126" s="13">
        <f>C126+G126</f>
        <v>31.250821999999999</v>
      </c>
      <c r="J126" s="10">
        <f t="shared" si="6"/>
        <v>1.6293442127215849</v>
      </c>
      <c r="K126" s="10">
        <f t="shared" si="7"/>
        <v>1.6355353214785429</v>
      </c>
      <c r="L126" s="13">
        <f t="shared" si="8"/>
        <v>31.386801941863315</v>
      </c>
      <c r="M126" s="13">
        <f t="shared" si="9"/>
        <v>31.250821999999999</v>
      </c>
      <c r="N126" s="13">
        <f>M126-L126</f>
        <v>-0.13597994186331519</v>
      </c>
      <c r="O126" s="2">
        <f>N126/L126</f>
        <v>-4.3323923894886176E-3</v>
      </c>
    </row>
    <row r="127" spans="1:15" x14ac:dyDescent="0.25">
      <c r="A127" s="1">
        <v>46209</v>
      </c>
      <c r="B127" s="6">
        <v>18.79</v>
      </c>
      <c r="C127" s="6">
        <v>30.74</v>
      </c>
      <c r="F127" s="13">
        <f>F126+D127</f>
        <v>0.6</v>
      </c>
      <c r="G127" s="13">
        <f t="shared" si="5"/>
        <v>0.77082200000000001</v>
      </c>
      <c r="H127" s="13">
        <f>B127+F127</f>
        <v>19.39</v>
      </c>
      <c r="I127" s="13">
        <f>C127+G127</f>
        <v>31.510821999999997</v>
      </c>
      <c r="J127" s="10">
        <f t="shared" si="6"/>
        <v>1.625106859205776</v>
      </c>
      <c r="K127" s="10">
        <f t="shared" si="7"/>
        <v>1.6346280819646046</v>
      </c>
      <c r="L127" s="13">
        <f t="shared" si="8"/>
        <v>31.713029883468948</v>
      </c>
      <c r="M127" s="13">
        <f t="shared" si="9"/>
        <v>31.510821999999997</v>
      </c>
      <c r="N127" s="13">
        <f>M127-L127</f>
        <v>-0.20220788346895091</v>
      </c>
      <c r="O127" s="2">
        <f>N127/L127</f>
        <v>-6.3761767390871664E-3</v>
      </c>
    </row>
    <row r="128" spans="1:15" x14ac:dyDescent="0.25">
      <c r="A128" s="1">
        <v>46210</v>
      </c>
      <c r="B128" s="6">
        <v>18.649999999999999</v>
      </c>
      <c r="C128" s="6">
        <v>30.51</v>
      </c>
      <c r="F128" s="13">
        <f>F127+D128</f>
        <v>0.6</v>
      </c>
      <c r="G128" s="13">
        <f t="shared" si="5"/>
        <v>0.77082200000000001</v>
      </c>
      <c r="H128" s="13">
        <f>B128+F128</f>
        <v>19.25</v>
      </c>
      <c r="I128" s="13">
        <f>C128+G128</f>
        <v>31.280822000000001</v>
      </c>
      <c r="J128" s="10">
        <f t="shared" si="6"/>
        <v>1.6249777662337663</v>
      </c>
      <c r="K128" s="10">
        <f t="shared" si="7"/>
        <v>1.6339572767697998</v>
      </c>
      <c r="L128" s="13">
        <f t="shared" si="8"/>
        <v>31.466590577818639</v>
      </c>
      <c r="M128" s="13">
        <f t="shared" si="9"/>
        <v>31.280822000000001</v>
      </c>
      <c r="N128" s="13">
        <f>M128-L128</f>
        <v>-0.18576857781863865</v>
      </c>
      <c r="O128" s="2">
        <f>N128/L128</f>
        <v>-5.9036767062266423E-3</v>
      </c>
    </row>
    <row r="129" spans="1:15" x14ac:dyDescent="0.25">
      <c r="A129" s="1">
        <v>46211</v>
      </c>
      <c r="B129" s="6">
        <v>18.559999999999999</v>
      </c>
      <c r="C129" s="6">
        <v>30.45</v>
      </c>
      <c r="F129" s="13">
        <f>F128+D129</f>
        <v>0.6</v>
      </c>
      <c r="G129" s="13">
        <f t="shared" si="5"/>
        <v>0.77082200000000001</v>
      </c>
      <c r="H129" s="13">
        <f>B129+F129</f>
        <v>19.16</v>
      </c>
      <c r="I129" s="13">
        <f>C129+G129</f>
        <v>31.220821999999998</v>
      </c>
      <c r="J129" s="10">
        <f t="shared" si="6"/>
        <v>1.6294792275574113</v>
      </c>
      <c r="K129" s="10">
        <f t="shared" si="7"/>
        <v>1.6330990807740382</v>
      </c>
      <c r="L129" s="13">
        <f t="shared" si="8"/>
        <v>31.306621422909366</v>
      </c>
      <c r="M129" s="13">
        <f t="shared" si="9"/>
        <v>31.220821999999998</v>
      </c>
      <c r="N129" s="13">
        <f>M129-L129</f>
        <v>-8.5799422909367706E-2</v>
      </c>
      <c r="O129" s="2">
        <f>N129/L129</f>
        <v>-2.7406158508877592E-3</v>
      </c>
    </row>
    <row r="130" spans="1:15" x14ac:dyDescent="0.25">
      <c r="A130" s="1">
        <v>46212</v>
      </c>
      <c r="B130" s="6">
        <v>18.68</v>
      </c>
      <c r="C130" s="6">
        <v>30.56</v>
      </c>
      <c r="F130" s="13">
        <f>F129+D130</f>
        <v>0.6</v>
      </c>
      <c r="G130" s="13">
        <f t="shared" si="5"/>
        <v>0.77082200000000001</v>
      </c>
      <c r="H130" s="13">
        <f>B130+F130</f>
        <v>19.28</v>
      </c>
      <c r="I130" s="13">
        <f>C130+G130</f>
        <v>31.330821999999998</v>
      </c>
      <c r="J130" s="10">
        <f t="shared" si="6"/>
        <v>1.6250426348547715</v>
      </c>
      <c r="K130" s="10">
        <f t="shared" si="7"/>
        <v>1.6320989108466304</v>
      </c>
      <c r="L130" s="13">
        <f t="shared" si="8"/>
        <v>31.486150277323457</v>
      </c>
      <c r="M130" s="13">
        <f t="shared" si="9"/>
        <v>31.330821999999998</v>
      </c>
      <c r="N130" s="13">
        <f>M130-L130</f>
        <v>-0.15532827732345922</v>
      </c>
      <c r="O130" s="2">
        <f>N130/L130</f>
        <v>-4.9332254326222829E-3</v>
      </c>
    </row>
    <row r="131" spans="1:15" x14ac:dyDescent="0.25">
      <c r="A131" s="1">
        <v>46213</v>
      </c>
      <c r="B131" s="6">
        <v>18.649999999999999</v>
      </c>
      <c r="C131" s="6">
        <v>30.54</v>
      </c>
      <c r="F131" s="13">
        <f>F130+D131</f>
        <v>0.6</v>
      </c>
      <c r="G131" s="13">
        <f t="shared" si="5"/>
        <v>0.77082200000000001</v>
      </c>
      <c r="H131" s="13">
        <f>B131+F131</f>
        <v>19.25</v>
      </c>
      <c r="I131" s="13">
        <f>C131+G131</f>
        <v>31.310821999999998</v>
      </c>
      <c r="J131" s="10">
        <f t="shared" si="6"/>
        <v>1.6265362077922076</v>
      </c>
      <c r="K131" s="10">
        <f t="shared" si="7"/>
        <v>1.6312721838212749</v>
      </c>
      <c r="L131" s="13">
        <f t="shared" si="8"/>
        <v>31.417904033797637</v>
      </c>
      <c r="M131" s="13">
        <f t="shared" si="9"/>
        <v>31.310821999999998</v>
      </c>
      <c r="N131" s="13">
        <f>M131-L131</f>
        <v>-0.10708203379763859</v>
      </c>
      <c r="O131" s="2">
        <f>N131/L131</f>
        <v>-3.4083124603870993E-3</v>
      </c>
    </row>
    <row r="132" spans="1:15" x14ac:dyDescent="0.25">
      <c r="A132" s="1">
        <v>46216</v>
      </c>
      <c r="B132" s="6">
        <v>18.55</v>
      </c>
      <c r="C132" s="6">
        <v>30.35</v>
      </c>
      <c r="F132" s="13">
        <f>F131+D132</f>
        <v>0.6</v>
      </c>
      <c r="G132" s="13">
        <f t="shared" ref="G132:G175" si="10">G131+E132</f>
        <v>0.77082200000000001</v>
      </c>
      <c r="H132" s="13">
        <f>B132+F132</f>
        <v>19.150000000000002</v>
      </c>
      <c r="I132" s="13">
        <f>C132+G132</f>
        <v>31.120822</v>
      </c>
      <c r="J132" s="10">
        <f t="shared" ref="J132:J175" si="11">I132/H132</f>
        <v>1.6251081984334201</v>
      </c>
      <c r="K132" s="10">
        <f t="shared" si="7"/>
        <v>1.6304075055229148</v>
      </c>
      <c r="L132" s="13">
        <f t="shared" si="8"/>
        <v>31.238862320177418</v>
      </c>
      <c r="M132" s="13">
        <f t="shared" si="9"/>
        <v>31.120822</v>
      </c>
      <c r="N132" s="13">
        <f>M132-L132</f>
        <v>-0.11804032017741761</v>
      </c>
      <c r="O132" s="2">
        <f>N132/L132</f>
        <v>-3.7786369736382643E-3</v>
      </c>
    </row>
    <row r="133" spans="1:15" x14ac:dyDescent="0.25">
      <c r="A133" s="1">
        <v>46217</v>
      </c>
      <c r="B133" s="6">
        <v>18.57</v>
      </c>
      <c r="C133" s="6">
        <v>30.51</v>
      </c>
      <c r="F133" s="13">
        <f>F132+D133</f>
        <v>0.6</v>
      </c>
      <c r="G133" s="13">
        <f t="shared" si="10"/>
        <v>0.77082200000000001</v>
      </c>
      <c r="H133" s="13">
        <f>B133+F133</f>
        <v>19.170000000000002</v>
      </c>
      <c r="I133" s="13">
        <f>C133+G133</f>
        <v>31.280822000000001</v>
      </c>
      <c r="J133" s="10">
        <f t="shared" si="11"/>
        <v>1.6317591027647365</v>
      </c>
      <c r="K133" s="10">
        <f t="shared" si="7"/>
        <v>1.629958498963429</v>
      </c>
      <c r="L133" s="13">
        <f t="shared" si="8"/>
        <v>31.254911880874278</v>
      </c>
      <c r="M133" s="13">
        <f t="shared" si="9"/>
        <v>31.280822000000001</v>
      </c>
      <c r="N133" s="13">
        <f>M133-L133</f>
        <v>2.5910119125722275E-2</v>
      </c>
      <c r="O133" s="2">
        <f>N133/L133</f>
        <v>8.2899351066727451E-4</v>
      </c>
    </row>
    <row r="134" spans="1:15" x14ac:dyDescent="0.25">
      <c r="A134" s="1">
        <v>46218</v>
      </c>
      <c r="B134" s="6">
        <v>18.649999999999999</v>
      </c>
      <c r="C134" s="6">
        <v>30.62</v>
      </c>
      <c r="F134" s="13">
        <f>F133+D134</f>
        <v>0.6</v>
      </c>
      <c r="G134" s="13">
        <f t="shared" si="10"/>
        <v>0.77082200000000001</v>
      </c>
      <c r="H134" s="13">
        <f>B134+F134</f>
        <v>19.25</v>
      </c>
      <c r="I134" s="13">
        <f>C134+G134</f>
        <v>31.390822</v>
      </c>
      <c r="J134" s="10">
        <f t="shared" si="11"/>
        <v>1.6306920519480519</v>
      </c>
      <c r="K134" s="10">
        <f t="shared" si="7"/>
        <v>1.6293287114424579</v>
      </c>
      <c r="L134" s="13">
        <f t="shared" si="8"/>
        <v>31.37670110504601</v>
      </c>
      <c r="M134" s="13">
        <f t="shared" si="9"/>
        <v>31.390822</v>
      </c>
      <c r="N134" s="13">
        <f>M134-L134</f>
        <v>1.412089495399016E-2</v>
      </c>
      <c r="O134" s="2">
        <f>N134/L134</f>
        <v>4.5004396436434908E-4</v>
      </c>
    </row>
    <row r="135" spans="1:15" x14ac:dyDescent="0.25">
      <c r="A135" s="1">
        <v>46219</v>
      </c>
      <c r="B135" s="6">
        <v>18.57</v>
      </c>
      <c r="C135" s="6">
        <v>30.37</v>
      </c>
      <c r="F135" s="13">
        <f>F134+D135</f>
        <v>0.6</v>
      </c>
      <c r="G135" s="13">
        <f t="shared" si="10"/>
        <v>0.77082200000000001</v>
      </c>
      <c r="H135" s="13">
        <f>B135+F135</f>
        <v>19.170000000000002</v>
      </c>
      <c r="I135" s="13">
        <f>C135+G135</f>
        <v>31.140822</v>
      </c>
      <c r="J135" s="10">
        <f t="shared" si="11"/>
        <v>1.6244560250391236</v>
      </c>
      <c r="K135" s="10">
        <f t="shared" si="7"/>
        <v>1.6287123100195171</v>
      </c>
      <c r="L135" s="13">
        <f t="shared" si="8"/>
        <v>31.234231398351923</v>
      </c>
      <c r="M135" s="13">
        <f t="shared" si="9"/>
        <v>31.140822</v>
      </c>
      <c r="N135" s="13">
        <f>M135-L135</f>
        <v>-9.3409398351923301E-2</v>
      </c>
      <c r="O135" s="2">
        <f>N135/L135</f>
        <v>-2.990609794766778E-3</v>
      </c>
    </row>
    <row r="136" spans="1:15" x14ac:dyDescent="0.25">
      <c r="A136" s="1">
        <v>46220</v>
      </c>
      <c r="B136" s="6">
        <v>18.59</v>
      </c>
      <c r="C136" s="6">
        <v>30.35</v>
      </c>
      <c r="F136" s="13">
        <f>F135+D136</f>
        <v>0.6</v>
      </c>
      <c r="G136" s="13">
        <f t="shared" si="10"/>
        <v>0.77082200000000001</v>
      </c>
      <c r="H136" s="13">
        <f>B136+F136</f>
        <v>19.190000000000001</v>
      </c>
      <c r="I136" s="13">
        <f>C136+G136</f>
        <v>31.120822</v>
      </c>
      <c r="J136" s="10">
        <f t="shared" si="11"/>
        <v>1.6217207920792078</v>
      </c>
      <c r="K136" s="10">
        <f t="shared" si="7"/>
        <v>1.627794518186042</v>
      </c>
      <c r="L136" s="13">
        <f t="shared" si="8"/>
        <v>31.254989229274535</v>
      </c>
      <c r="M136" s="13">
        <f t="shared" si="9"/>
        <v>31.120822</v>
      </c>
      <c r="N136" s="13">
        <f>M136-L136</f>
        <v>-0.13416722927453506</v>
      </c>
      <c r="O136" s="2">
        <f>N136/L136</f>
        <v>-4.2926659897508223E-3</v>
      </c>
    </row>
    <row r="137" spans="1:15" x14ac:dyDescent="0.25">
      <c r="A137" s="1">
        <v>46223</v>
      </c>
      <c r="B137" s="6">
        <v>18.5</v>
      </c>
      <c r="C137" s="6">
        <v>30.32</v>
      </c>
      <c r="F137" s="13">
        <f>F136+D137</f>
        <v>0.6</v>
      </c>
      <c r="G137" s="13">
        <f t="shared" si="10"/>
        <v>0.77082200000000001</v>
      </c>
      <c r="H137" s="13">
        <f>B137+F137</f>
        <v>19.100000000000001</v>
      </c>
      <c r="I137" s="13">
        <f>C137+G137</f>
        <v>31.090821999999999</v>
      </c>
      <c r="J137" s="10">
        <f t="shared" si="11"/>
        <v>1.6277917277486909</v>
      </c>
      <c r="K137" s="10">
        <f t="shared" si="7"/>
        <v>1.6270307213862669</v>
      </c>
      <c r="L137" s="13">
        <f t="shared" si="8"/>
        <v>31.090875297353406</v>
      </c>
      <c r="M137" s="13">
        <f t="shared" si="9"/>
        <v>31.090821999999999</v>
      </c>
      <c r="N137" s="13">
        <f>M137-L137</f>
        <v>-5.3297353407089076E-5</v>
      </c>
      <c r="O137" s="2">
        <f>N137/L137</f>
        <v>-1.7142442243054502E-6</v>
      </c>
    </row>
    <row r="138" spans="1:15" x14ac:dyDescent="0.25">
      <c r="A138" s="1">
        <v>46224</v>
      </c>
      <c r="B138" s="6">
        <v>18.52</v>
      </c>
      <c r="C138" s="6">
        <v>30.32</v>
      </c>
      <c r="F138" s="13">
        <f>F137+D138</f>
        <v>0.6</v>
      </c>
      <c r="G138" s="13">
        <f t="shared" si="10"/>
        <v>0.77082200000000001</v>
      </c>
      <c r="H138" s="13">
        <f>B138+F138</f>
        <v>19.12</v>
      </c>
      <c r="I138" s="13">
        <f>C138+G138</f>
        <v>31.090821999999999</v>
      </c>
      <c r="J138" s="10">
        <f t="shared" si="11"/>
        <v>1.6260890167364015</v>
      </c>
      <c r="K138" s="10">
        <f t="shared" si="7"/>
        <v>1.6265548135952284</v>
      </c>
      <c r="L138" s="13">
        <f t="shared" si="8"/>
        <v>31.108827392905425</v>
      </c>
      <c r="M138" s="13">
        <f t="shared" si="9"/>
        <v>31.090821999999999</v>
      </c>
      <c r="N138" s="13">
        <f>M138-L138</f>
        <v>-1.8005392905426021E-2</v>
      </c>
      <c r="O138" s="2">
        <f>N138/L138</f>
        <v>-5.7878725797078003E-4</v>
      </c>
    </row>
    <row r="139" spans="1:15" x14ac:dyDescent="0.25">
      <c r="A139" s="1">
        <v>46225</v>
      </c>
      <c r="B139" s="6">
        <v>18.55</v>
      </c>
      <c r="C139" s="6">
        <v>30.45</v>
      </c>
      <c r="F139" s="13">
        <f>F138+D139</f>
        <v>0.6</v>
      </c>
      <c r="G139" s="13">
        <f t="shared" si="10"/>
        <v>0.77082200000000001</v>
      </c>
      <c r="H139" s="13">
        <f>B139+F139</f>
        <v>19.150000000000002</v>
      </c>
      <c r="I139" s="13">
        <f>C139+G139</f>
        <v>31.220821999999998</v>
      </c>
      <c r="J139" s="10">
        <f t="shared" si="11"/>
        <v>1.6303301305483027</v>
      </c>
      <c r="K139" s="10">
        <f t="shared" si="7"/>
        <v>1.6264468866507098</v>
      </c>
      <c r="L139" s="13">
        <f t="shared" si="8"/>
        <v>31.148524680348626</v>
      </c>
      <c r="M139" s="13">
        <f t="shared" si="9"/>
        <v>31.220821999999998</v>
      </c>
      <c r="N139" s="13">
        <f>M139-L139</f>
        <v>7.229731965137276E-2</v>
      </c>
      <c r="O139" s="2">
        <f>N139/L139</f>
        <v>2.3210511699446428E-3</v>
      </c>
    </row>
    <row r="140" spans="1:15" x14ac:dyDescent="0.25">
      <c r="A140" s="1">
        <v>46226</v>
      </c>
      <c r="B140" s="6">
        <v>18.39</v>
      </c>
      <c r="C140" s="6">
        <v>30.14</v>
      </c>
      <c r="F140" s="13">
        <f>F139+D140</f>
        <v>0.6</v>
      </c>
      <c r="G140" s="13">
        <f t="shared" si="10"/>
        <v>0.77082200000000001</v>
      </c>
      <c r="H140" s="13">
        <f>B140+F140</f>
        <v>18.990000000000002</v>
      </c>
      <c r="I140" s="13">
        <f>C140+G140</f>
        <v>30.910822</v>
      </c>
      <c r="J140" s="10">
        <f t="shared" si="11"/>
        <v>1.6277420747761977</v>
      </c>
      <c r="K140" s="10">
        <f t="shared" si="7"/>
        <v>1.6262149027982791</v>
      </c>
      <c r="L140" s="13">
        <f t="shared" si="8"/>
        <v>30.886226377496982</v>
      </c>
      <c r="M140" s="13">
        <f t="shared" si="9"/>
        <v>30.910822</v>
      </c>
      <c r="N140" s="13">
        <f>M140-L140</f>
        <v>2.4595622503017722E-2</v>
      </c>
      <c r="O140" s="2">
        <f>N140/L140</f>
        <v>7.9632980094122298E-4</v>
      </c>
    </row>
    <row r="141" spans="1:15" x14ac:dyDescent="0.25">
      <c r="A141" s="1">
        <v>46227</v>
      </c>
      <c r="B141" s="6">
        <v>18.36</v>
      </c>
      <c r="C141" s="6">
        <v>30.16</v>
      </c>
      <c r="F141" s="13">
        <f>F140+D141</f>
        <v>0.6</v>
      </c>
      <c r="G141" s="13">
        <f t="shared" si="10"/>
        <v>0.77082200000000001</v>
      </c>
      <c r="H141" s="13">
        <f>B141+F141</f>
        <v>18.96</v>
      </c>
      <c r="I141" s="13">
        <f>C141+G141</f>
        <v>30.930821999999999</v>
      </c>
      <c r="J141" s="10">
        <f t="shared" si="11"/>
        <v>1.6313724683544302</v>
      </c>
      <c r="K141" s="10">
        <f t="shared" si="7"/>
        <v>1.6266632076781413</v>
      </c>
      <c r="L141" s="13">
        <f t="shared" si="8"/>
        <v>30.833034557055374</v>
      </c>
      <c r="M141" s="13">
        <f t="shared" si="9"/>
        <v>30.930821999999999</v>
      </c>
      <c r="N141" s="13">
        <f>M141-L141</f>
        <v>9.7787442944625269E-2</v>
      </c>
      <c r="O141" s="2">
        <f>N141/L141</f>
        <v>3.1715153681572687E-3</v>
      </c>
    </row>
    <row r="142" spans="1:15" x14ac:dyDescent="0.25">
      <c r="A142" s="1">
        <v>46230</v>
      </c>
      <c r="B142" s="6">
        <v>18.45</v>
      </c>
      <c r="C142" s="6">
        <v>30.28</v>
      </c>
      <c r="F142" s="13">
        <f>F141+D142</f>
        <v>0.6</v>
      </c>
      <c r="G142" s="13">
        <f t="shared" si="10"/>
        <v>0.77082200000000001</v>
      </c>
      <c r="H142" s="13">
        <f>B142+F142</f>
        <v>19.05</v>
      </c>
      <c r="I142" s="13">
        <f>C142+G142</f>
        <v>31.050822</v>
      </c>
      <c r="J142" s="10">
        <f t="shared" si="11"/>
        <v>1.6299644094488188</v>
      </c>
      <c r="K142" s="10">
        <f t="shared" si="7"/>
        <v>1.6272077134170402</v>
      </c>
      <c r="L142" s="13">
        <f t="shared" si="8"/>
        <v>30.987934106268593</v>
      </c>
      <c r="M142" s="13">
        <f t="shared" si="9"/>
        <v>31.050822</v>
      </c>
      <c r="N142" s="13">
        <f>M142-L142</f>
        <v>6.2887893731407019E-2</v>
      </c>
      <c r="O142" s="2">
        <f>N142/L142</f>
        <v>2.0294316334784428E-3</v>
      </c>
    </row>
    <row r="143" spans="1:15" x14ac:dyDescent="0.25">
      <c r="A143" s="1">
        <v>46231</v>
      </c>
      <c r="B143" s="6">
        <v>18.489999999999998</v>
      </c>
      <c r="C143" s="6">
        <v>30.36</v>
      </c>
      <c r="F143" s="13">
        <f>F142+D143</f>
        <v>0.6</v>
      </c>
      <c r="G143" s="13">
        <f t="shared" si="10"/>
        <v>0.77082200000000001</v>
      </c>
      <c r="H143" s="13">
        <f>B143+F143</f>
        <v>19.09</v>
      </c>
      <c r="I143" s="13">
        <f>C143+G143</f>
        <v>31.130821999999998</v>
      </c>
      <c r="J143" s="10">
        <f t="shared" si="11"/>
        <v>1.6307397590361445</v>
      </c>
      <c r="K143" s="10">
        <f t="shared" si="7"/>
        <v>1.6273080955294312</v>
      </c>
      <c r="L143" s="13">
        <f t="shared" si="8"/>
        <v>31.063395249131297</v>
      </c>
      <c r="M143" s="13">
        <f t="shared" si="9"/>
        <v>31.130821999999998</v>
      </c>
      <c r="N143" s="13">
        <f>M143-L143</f>
        <v>6.7426750868701646E-2</v>
      </c>
      <c r="O143" s="2">
        <f>N143/L143</f>
        <v>2.1706175493030585E-3</v>
      </c>
    </row>
    <row r="144" spans="1:15" x14ac:dyDescent="0.25">
      <c r="A144" s="1">
        <v>46232</v>
      </c>
      <c r="B144" s="6">
        <v>18.34</v>
      </c>
      <c r="C144" s="6">
        <v>30.1</v>
      </c>
      <c r="F144" s="13">
        <f>F143+D144</f>
        <v>0.6</v>
      </c>
      <c r="G144" s="13">
        <f t="shared" si="10"/>
        <v>0.77082200000000001</v>
      </c>
      <c r="H144" s="13">
        <f>B144+F144</f>
        <v>18.940000000000001</v>
      </c>
      <c r="I144" s="13">
        <f>C144+G144</f>
        <v>30.870822</v>
      </c>
      <c r="J144" s="10">
        <f t="shared" si="11"/>
        <v>1.6299272439281942</v>
      </c>
      <c r="K144" s="10">
        <f t="shared" si="7"/>
        <v>1.6277229517331366</v>
      </c>
      <c r="L144" s="13">
        <f t="shared" si="8"/>
        <v>30.82121532932743</v>
      </c>
      <c r="M144" s="13">
        <f t="shared" si="9"/>
        <v>30.870822</v>
      </c>
      <c r="N144" s="13">
        <f>M144-L144</f>
        <v>4.960667067257063E-2</v>
      </c>
      <c r="O144" s="2">
        <f>N144/L144</f>
        <v>1.6094975536337208E-3</v>
      </c>
    </row>
    <row r="145" spans="1:15" x14ac:dyDescent="0.25">
      <c r="A145" s="1">
        <v>46233</v>
      </c>
      <c r="B145" s="6">
        <v>18.52</v>
      </c>
      <c r="C145" s="6">
        <v>30.44</v>
      </c>
      <c r="F145" s="13">
        <f>F144+D145</f>
        <v>0.6</v>
      </c>
      <c r="G145" s="13">
        <f t="shared" si="10"/>
        <v>0.77082200000000001</v>
      </c>
      <c r="H145" s="13">
        <f>B145+F145</f>
        <v>19.12</v>
      </c>
      <c r="I145" s="13">
        <f>C145+G145</f>
        <v>31.210822</v>
      </c>
      <c r="J145" s="10">
        <f t="shared" si="11"/>
        <v>1.6323651673640167</v>
      </c>
      <c r="K145" s="10">
        <f t="shared" si="7"/>
        <v>1.6280272538285625</v>
      </c>
      <c r="L145" s="13">
        <f t="shared" si="8"/>
        <v>31.122062837137573</v>
      </c>
      <c r="M145" s="13">
        <f t="shared" si="9"/>
        <v>31.210822</v>
      </c>
      <c r="N145" s="13">
        <f>M145-L145</f>
        <v>8.8759162862427132E-2</v>
      </c>
      <c r="O145" s="2">
        <f>N145/L145</f>
        <v>2.8519691424988679E-3</v>
      </c>
    </row>
    <row r="146" spans="1:15" x14ac:dyDescent="0.25">
      <c r="A146" s="1">
        <v>46234</v>
      </c>
      <c r="B146" s="6">
        <v>18.52</v>
      </c>
      <c r="C146" s="6">
        <v>30.47</v>
      </c>
      <c r="F146" s="13">
        <f>F145+D146</f>
        <v>0.6</v>
      </c>
      <c r="G146" s="13">
        <f t="shared" si="10"/>
        <v>0.77082200000000001</v>
      </c>
      <c r="H146" s="13">
        <f>B146+F146</f>
        <v>19.12</v>
      </c>
      <c r="I146" s="13">
        <f>C146+G146</f>
        <v>31.240821999999998</v>
      </c>
      <c r="J146" s="10">
        <f t="shared" si="11"/>
        <v>1.6339342050209202</v>
      </c>
      <c r="K146" s="10">
        <f t="shared" si="7"/>
        <v>1.6282567534435295</v>
      </c>
      <c r="L146" s="13">
        <f t="shared" si="8"/>
        <v>31.127881093202117</v>
      </c>
      <c r="M146" s="13">
        <f t="shared" si="9"/>
        <v>31.240821999999998</v>
      </c>
      <c r="N146" s="13">
        <f>M146-L146</f>
        <v>0.11294090679788127</v>
      </c>
      <c r="O146" s="2">
        <f>N146/L146</f>
        <v>3.628287658248153E-3</v>
      </c>
    </row>
    <row r="147" spans="1:15" x14ac:dyDescent="0.25">
      <c r="A147" s="1">
        <v>46237</v>
      </c>
      <c r="B147" s="6">
        <v>18.61</v>
      </c>
      <c r="C147" s="6">
        <v>30.62</v>
      </c>
      <c r="D147" s="13">
        <v>0.1</v>
      </c>
      <c r="E147" s="13">
        <v>0.14230999999999999</v>
      </c>
      <c r="F147" s="13">
        <f>F146+D147</f>
        <v>0.7</v>
      </c>
      <c r="G147" s="13">
        <f t="shared" si="10"/>
        <v>0.91313200000000005</v>
      </c>
      <c r="H147" s="13">
        <f>B147+F147</f>
        <v>19.309999999999999</v>
      </c>
      <c r="I147" s="13">
        <f>C147+G147</f>
        <v>31.533132000000002</v>
      </c>
      <c r="J147" s="10">
        <f t="shared" si="11"/>
        <v>1.6329949249093736</v>
      </c>
      <c r="K147" s="10">
        <f t="shared" si="7"/>
        <v>1.6286511567287092</v>
      </c>
      <c r="L147" s="13">
        <f t="shared" si="8"/>
        <v>31.441637908994551</v>
      </c>
      <c r="M147" s="13">
        <f t="shared" si="9"/>
        <v>31.533132000000002</v>
      </c>
      <c r="N147" s="13">
        <f>M147-L147</f>
        <v>9.1494091005451139E-2</v>
      </c>
      <c r="O147" s="2">
        <f>N147/L147</f>
        <v>2.9099657998185044E-3</v>
      </c>
    </row>
    <row r="148" spans="1:15" x14ac:dyDescent="0.25">
      <c r="A148" s="1">
        <v>46238</v>
      </c>
      <c r="B148" s="6">
        <v>18.670000000000002</v>
      </c>
      <c r="C148" s="6">
        <v>30.73</v>
      </c>
      <c r="F148" s="13">
        <f>F147+D148</f>
        <v>0.7</v>
      </c>
      <c r="G148" s="13">
        <f t="shared" si="10"/>
        <v>0.91313200000000005</v>
      </c>
      <c r="H148" s="13">
        <f>B148+F148</f>
        <v>19.37</v>
      </c>
      <c r="I148" s="13">
        <f>C148+G148</f>
        <v>31.643132000000001</v>
      </c>
      <c r="J148" s="10">
        <f t="shared" si="11"/>
        <v>1.6336154878678368</v>
      </c>
      <c r="K148" s="10">
        <f t="shared" si="7"/>
        <v>1.6290830428104131</v>
      </c>
      <c r="L148" s="13">
        <f t="shared" si="8"/>
        <v>31.546972905835098</v>
      </c>
      <c r="M148" s="13">
        <f t="shared" si="9"/>
        <v>31.643132000000001</v>
      </c>
      <c r="N148" s="13">
        <f>M148-L148</f>
        <v>9.6159094164903536E-2</v>
      </c>
      <c r="O148" s="2">
        <f>N148/L148</f>
        <v>3.0481242828568644E-3</v>
      </c>
    </row>
    <row r="149" spans="1:15" x14ac:dyDescent="0.25">
      <c r="A149" s="1">
        <v>46239</v>
      </c>
      <c r="B149" s="6">
        <v>18.62</v>
      </c>
      <c r="C149" s="6">
        <v>30.74</v>
      </c>
      <c r="F149" s="13">
        <f>F148+D149</f>
        <v>0.7</v>
      </c>
      <c r="G149" s="13">
        <f t="shared" si="10"/>
        <v>0.91313200000000005</v>
      </c>
      <c r="H149" s="13">
        <f>B149+F149</f>
        <v>19.32</v>
      </c>
      <c r="I149" s="13">
        <f>C149+G149</f>
        <v>31.653131999999999</v>
      </c>
      <c r="J149" s="10">
        <f t="shared" si="11"/>
        <v>1.6383608695652174</v>
      </c>
      <c r="K149" s="10">
        <f t="shared" si="7"/>
        <v>1.629527124910803</v>
      </c>
      <c r="L149" s="13">
        <f t="shared" si="8"/>
        <v>31.473884387097179</v>
      </c>
      <c r="M149" s="13">
        <f t="shared" si="9"/>
        <v>31.653131999999999</v>
      </c>
      <c r="N149" s="13">
        <f>M149-L149</f>
        <v>0.17924761290282021</v>
      </c>
      <c r="O149" s="2">
        <f>N149/L149</f>
        <v>5.6951220477985658E-3</v>
      </c>
    </row>
    <row r="150" spans="1:15" x14ac:dyDescent="0.25">
      <c r="A150" s="1">
        <v>46240</v>
      </c>
      <c r="B150" s="6">
        <v>18.510000000000002</v>
      </c>
      <c r="C150" s="6">
        <v>30.52</v>
      </c>
      <c r="F150" s="13">
        <f>F149+D150</f>
        <v>0.7</v>
      </c>
      <c r="G150" s="13">
        <f t="shared" si="10"/>
        <v>0.91313200000000005</v>
      </c>
      <c r="H150" s="13">
        <f>B150+F150</f>
        <v>19.21</v>
      </c>
      <c r="I150" s="13">
        <f>C150+G150</f>
        <v>31.433132000000001</v>
      </c>
      <c r="J150" s="10">
        <f t="shared" si="11"/>
        <v>1.6362900572618428</v>
      </c>
      <c r="K150" s="10">
        <f t="shared" si="7"/>
        <v>1.6300894960311567</v>
      </c>
      <c r="L150" s="13">
        <f t="shared" si="8"/>
        <v>31.303216069536525</v>
      </c>
      <c r="M150" s="13">
        <f t="shared" si="9"/>
        <v>31.433132000000001</v>
      </c>
      <c r="N150" s="13">
        <f>M150-L150</f>
        <v>0.1299159304634756</v>
      </c>
      <c r="O150" s="2">
        <f>N150/L150</f>
        <v>4.1502422682347453E-3</v>
      </c>
    </row>
    <row r="151" spans="1:15" x14ac:dyDescent="0.25">
      <c r="A151" s="1">
        <v>46241</v>
      </c>
      <c r="B151" s="6">
        <v>18.600000000000001</v>
      </c>
      <c r="C151" s="6">
        <v>30.64</v>
      </c>
      <c r="F151" s="13">
        <f>F150+D151</f>
        <v>0.7</v>
      </c>
      <c r="G151" s="13">
        <f t="shared" si="10"/>
        <v>0.91313200000000005</v>
      </c>
      <c r="H151" s="13">
        <f>B151+F151</f>
        <v>19.3</v>
      </c>
      <c r="I151" s="13">
        <f>C151+G151</f>
        <v>31.553132000000002</v>
      </c>
      <c r="J151" s="10">
        <f t="shared" si="11"/>
        <v>1.6348773056994819</v>
      </c>
      <c r="K151" s="10">
        <f t="shared" ref="K151:K175" si="12">AVERAGE(J132:J151)</f>
        <v>1.6305065509265204</v>
      </c>
      <c r="L151" s="13">
        <f t="shared" si="8"/>
        <v>31.460727273401325</v>
      </c>
      <c r="M151" s="13">
        <f t="shared" si="9"/>
        <v>31.553132000000002</v>
      </c>
      <c r="N151" s="13">
        <f>M151-L151</f>
        <v>9.240472659867649E-2</v>
      </c>
      <c r="O151" s="2">
        <f>N151/L151</f>
        <v>2.9371452794354396E-3</v>
      </c>
    </row>
    <row r="152" spans="1:15" x14ac:dyDescent="0.25">
      <c r="A152" s="1">
        <v>46244</v>
      </c>
      <c r="B152" s="6">
        <v>18.559999999999999</v>
      </c>
      <c r="C152" s="6">
        <v>30.57</v>
      </c>
      <c r="F152" s="13">
        <f>F151+D152</f>
        <v>0.7</v>
      </c>
      <c r="G152" s="13">
        <f t="shared" si="10"/>
        <v>0.91313200000000005</v>
      </c>
      <c r="H152" s="13">
        <f>B152+F152</f>
        <v>19.259999999999998</v>
      </c>
      <c r="I152" s="13">
        <f>C152+G152</f>
        <v>31.483132000000001</v>
      </c>
      <c r="J152" s="10">
        <f t="shared" si="11"/>
        <v>1.6346382139148496</v>
      </c>
      <c r="K152" s="10">
        <f t="shared" si="12"/>
        <v>1.6309830517005921</v>
      </c>
      <c r="L152" s="13">
        <f t="shared" ref="L152:L175" si="13">K151*H152</f>
        <v>31.40355617084478</v>
      </c>
      <c r="M152" s="13">
        <f t="shared" ref="M152:M175" si="14">I152</f>
        <v>31.483132000000001</v>
      </c>
      <c r="N152" s="13">
        <f>M152-L152</f>
        <v>7.9575829155221101E-2</v>
      </c>
      <c r="O152" s="2">
        <f>N152/L152</f>
        <v>2.5339750925756524E-3</v>
      </c>
    </row>
    <row r="153" spans="1:15" x14ac:dyDescent="0.25">
      <c r="A153" s="1">
        <v>46245</v>
      </c>
      <c r="B153" s="6">
        <v>18.57</v>
      </c>
      <c r="C153" s="6">
        <v>30.59</v>
      </c>
      <c r="F153" s="13">
        <f>F152+D153</f>
        <v>0.7</v>
      </c>
      <c r="G153" s="13">
        <f t="shared" si="10"/>
        <v>0.91313200000000005</v>
      </c>
      <c r="H153" s="13">
        <f>B153+F153</f>
        <v>19.27</v>
      </c>
      <c r="I153" s="13">
        <f>C153+G153</f>
        <v>31.503132000000001</v>
      </c>
      <c r="J153" s="10">
        <f t="shared" si="11"/>
        <v>1.634827815256876</v>
      </c>
      <c r="K153" s="10">
        <f t="shared" si="12"/>
        <v>1.631136487325199</v>
      </c>
      <c r="L153" s="13">
        <f t="shared" si="13"/>
        <v>31.429043406270409</v>
      </c>
      <c r="M153" s="13">
        <f t="shared" si="14"/>
        <v>31.503132000000001</v>
      </c>
      <c r="N153" s="13">
        <f>M153-L153</f>
        <v>7.4088593729591423E-2</v>
      </c>
      <c r="O153" s="2">
        <f>N153/L153</f>
        <v>2.3573289448195552E-3</v>
      </c>
    </row>
    <row r="154" spans="1:15" x14ac:dyDescent="0.25">
      <c r="A154" s="1">
        <v>46246</v>
      </c>
      <c r="B154" s="6">
        <v>18.649999999999999</v>
      </c>
      <c r="C154" s="6">
        <v>30.77</v>
      </c>
      <c r="F154" s="13">
        <f>F153+D154</f>
        <v>0.7</v>
      </c>
      <c r="G154" s="13">
        <f t="shared" si="10"/>
        <v>0.91313200000000005</v>
      </c>
      <c r="H154" s="13">
        <f>B154+F154</f>
        <v>19.349999999999998</v>
      </c>
      <c r="I154" s="13">
        <f>C154+G154</f>
        <v>31.683132000000001</v>
      </c>
      <c r="J154" s="10">
        <f t="shared" si="11"/>
        <v>1.6373711627906979</v>
      </c>
      <c r="K154" s="10">
        <f t="shared" si="12"/>
        <v>1.6314704428673312</v>
      </c>
      <c r="L154" s="13">
        <f t="shared" si="13"/>
        <v>31.562491029742596</v>
      </c>
      <c r="M154" s="13">
        <f t="shared" si="14"/>
        <v>31.683132000000001</v>
      </c>
      <c r="N154" s="13">
        <f>M154-L154</f>
        <v>0.12064097025740494</v>
      </c>
      <c r="O154" s="2">
        <f>N154/L154</f>
        <v>3.822289252889455E-3</v>
      </c>
    </row>
    <row r="155" spans="1:15" x14ac:dyDescent="0.25">
      <c r="A155" s="1">
        <v>46247</v>
      </c>
      <c r="B155" s="6">
        <v>18.72</v>
      </c>
      <c r="C155" s="6">
        <v>30.89</v>
      </c>
      <c r="F155" s="13">
        <f>F154+D155</f>
        <v>0.7</v>
      </c>
      <c r="G155" s="13">
        <f t="shared" si="10"/>
        <v>0.91313200000000005</v>
      </c>
      <c r="H155" s="13">
        <f>B155+F155</f>
        <v>19.419999999999998</v>
      </c>
      <c r="I155" s="13">
        <f>C155+G155</f>
        <v>31.803132000000002</v>
      </c>
      <c r="J155" s="10">
        <f t="shared" si="11"/>
        <v>1.6376484037075183</v>
      </c>
      <c r="K155" s="10">
        <f t="shared" si="12"/>
        <v>1.6321300618007508</v>
      </c>
      <c r="L155" s="13">
        <f t="shared" si="13"/>
        <v>31.683156000483571</v>
      </c>
      <c r="M155" s="13">
        <f t="shared" si="14"/>
        <v>31.803132000000002</v>
      </c>
      <c r="N155" s="13">
        <f>M155-L155</f>
        <v>0.11997599951643068</v>
      </c>
      <c r="O155" s="2">
        <f>N155/L155</f>
        <v>3.7867439567762606E-3</v>
      </c>
    </row>
    <row r="156" spans="1:15" x14ac:dyDescent="0.25">
      <c r="A156" s="1">
        <v>46248</v>
      </c>
      <c r="B156" s="6">
        <v>18.66</v>
      </c>
      <c r="C156" s="6">
        <v>30.84</v>
      </c>
      <c r="F156" s="13">
        <f>F155+D156</f>
        <v>0.7</v>
      </c>
      <c r="G156" s="13">
        <f t="shared" si="10"/>
        <v>0.91313200000000005</v>
      </c>
      <c r="H156" s="13">
        <f>B156+F156</f>
        <v>19.36</v>
      </c>
      <c r="I156" s="13">
        <f>C156+G156</f>
        <v>31.753132000000001</v>
      </c>
      <c r="J156" s="10">
        <f t="shared" si="11"/>
        <v>1.6401411157024794</v>
      </c>
      <c r="K156" s="10">
        <f t="shared" si="12"/>
        <v>1.6330510779819143</v>
      </c>
      <c r="L156" s="13">
        <f t="shared" si="13"/>
        <v>31.598037996462534</v>
      </c>
      <c r="M156" s="13">
        <f t="shared" si="14"/>
        <v>31.753132000000001</v>
      </c>
      <c r="N156" s="13">
        <f>M156-L156</f>
        <v>0.15509400353746727</v>
      </c>
      <c r="O156" s="2">
        <f>N156/L156</f>
        <v>4.9083428393506701E-3</v>
      </c>
    </row>
    <row r="157" spans="1:15" x14ac:dyDescent="0.25">
      <c r="A157" s="1">
        <v>46251</v>
      </c>
      <c r="B157" s="6">
        <v>18.53</v>
      </c>
      <c r="C157" s="6">
        <v>30.63</v>
      </c>
      <c r="F157" s="13">
        <f>F156+D157</f>
        <v>0.7</v>
      </c>
      <c r="G157" s="13">
        <f t="shared" si="10"/>
        <v>0.91313200000000005</v>
      </c>
      <c r="H157" s="13">
        <f>B157+F157</f>
        <v>19.23</v>
      </c>
      <c r="I157" s="13">
        <f>C157+G157</f>
        <v>31.543132</v>
      </c>
      <c r="J157" s="10">
        <f t="shared" si="11"/>
        <v>1.6403084763390536</v>
      </c>
      <c r="K157" s="10">
        <f t="shared" si="12"/>
        <v>1.6336769154114326</v>
      </c>
      <c r="L157" s="13">
        <f t="shared" si="13"/>
        <v>31.403572229592214</v>
      </c>
      <c r="M157" s="13">
        <f t="shared" si="14"/>
        <v>31.543132</v>
      </c>
      <c r="N157" s="13">
        <f>M157-L157</f>
        <v>0.13955977040778578</v>
      </c>
      <c r="O157" s="2">
        <f>N157/L157</f>
        <v>4.4440730942155622E-3</v>
      </c>
    </row>
    <row r="158" spans="1:15" x14ac:dyDescent="0.25">
      <c r="A158" s="1">
        <v>46252</v>
      </c>
      <c r="B158" s="6">
        <v>18.41</v>
      </c>
      <c r="C158" s="6">
        <v>30.45</v>
      </c>
      <c r="F158" s="13">
        <f>F157+D158</f>
        <v>0.7</v>
      </c>
      <c r="G158" s="13">
        <f t="shared" si="10"/>
        <v>0.91313200000000005</v>
      </c>
      <c r="H158" s="13">
        <f>B158+F158</f>
        <v>19.11</v>
      </c>
      <c r="I158" s="13">
        <f>C158+G158</f>
        <v>31.363132</v>
      </c>
      <c r="J158" s="10">
        <f t="shared" si="11"/>
        <v>1.6411895342752487</v>
      </c>
      <c r="K158" s="10">
        <f t="shared" si="12"/>
        <v>1.6344319412883752</v>
      </c>
      <c r="L158" s="13">
        <f t="shared" si="13"/>
        <v>31.219565853512474</v>
      </c>
      <c r="M158" s="13">
        <f t="shared" si="14"/>
        <v>31.363132</v>
      </c>
      <c r="N158" s="13">
        <f>M158-L158</f>
        <v>0.14356614648752597</v>
      </c>
      <c r="O158" s="2">
        <f>N158/L158</f>
        <v>4.5985952258645367E-3</v>
      </c>
    </row>
    <row r="159" spans="1:15" x14ac:dyDescent="0.25">
      <c r="A159" s="1">
        <v>46253</v>
      </c>
      <c r="B159" s="6">
        <v>18.48</v>
      </c>
      <c r="C159" s="6">
        <v>30.59</v>
      </c>
      <c r="F159" s="13">
        <f>F158+D159</f>
        <v>0.7</v>
      </c>
      <c r="G159" s="13">
        <f t="shared" si="10"/>
        <v>0.91313200000000005</v>
      </c>
      <c r="H159" s="13">
        <f>B159+F159</f>
        <v>19.18</v>
      </c>
      <c r="I159" s="13">
        <f>C159+G159</f>
        <v>31.503132000000001</v>
      </c>
      <c r="J159" s="10">
        <f t="shared" si="11"/>
        <v>1.6424990615224193</v>
      </c>
      <c r="K159" s="10">
        <f t="shared" si="12"/>
        <v>1.6350403878370812</v>
      </c>
      <c r="L159" s="13">
        <f t="shared" si="13"/>
        <v>31.348404633911038</v>
      </c>
      <c r="M159" s="13">
        <f t="shared" si="14"/>
        <v>31.503132000000001</v>
      </c>
      <c r="N159" s="13">
        <f>M159-L159</f>
        <v>0.15472736608896298</v>
      </c>
      <c r="O159" s="2">
        <f>N159/L159</f>
        <v>4.9357333457916118E-3</v>
      </c>
    </row>
    <row r="160" spans="1:15" x14ac:dyDescent="0.25">
      <c r="A160" s="1">
        <v>46254</v>
      </c>
      <c r="B160" s="6">
        <v>18.420000000000002</v>
      </c>
      <c r="C160" s="6">
        <v>30.45</v>
      </c>
      <c r="F160" s="13">
        <f>F159+D160</f>
        <v>0.7</v>
      </c>
      <c r="G160" s="13">
        <f t="shared" si="10"/>
        <v>0.91313200000000005</v>
      </c>
      <c r="H160" s="13">
        <f>B160+F160</f>
        <v>19.12</v>
      </c>
      <c r="I160" s="13">
        <f>C160+G160</f>
        <v>31.363132</v>
      </c>
      <c r="J160" s="10">
        <f t="shared" si="11"/>
        <v>1.640331171548117</v>
      </c>
      <c r="K160" s="10">
        <f t="shared" si="12"/>
        <v>1.6356698426756773</v>
      </c>
      <c r="L160" s="13">
        <f t="shared" si="13"/>
        <v>31.261972215444995</v>
      </c>
      <c r="M160" s="13">
        <f t="shared" si="14"/>
        <v>31.363132</v>
      </c>
      <c r="N160" s="13">
        <f>M160-L160</f>
        <v>0.10115978455500496</v>
      </c>
      <c r="O160" s="2">
        <f>N160/L160</f>
        <v>3.2358734074054009E-3</v>
      </c>
    </row>
    <row r="161" spans="1:15" x14ac:dyDescent="0.25">
      <c r="A161" s="1">
        <v>46255</v>
      </c>
      <c r="B161" s="6">
        <v>18.39</v>
      </c>
      <c r="C161" s="6">
        <v>30.46</v>
      </c>
      <c r="F161" s="13">
        <f>F160+D161</f>
        <v>0.7</v>
      </c>
      <c r="G161" s="13">
        <f t="shared" si="10"/>
        <v>0.91313200000000005</v>
      </c>
      <c r="H161" s="13">
        <f>B161+F161</f>
        <v>19.09</v>
      </c>
      <c r="I161" s="13">
        <f>C161+G161</f>
        <v>31.373132000000002</v>
      </c>
      <c r="J161" s="10">
        <f t="shared" si="11"/>
        <v>1.6434327920377161</v>
      </c>
      <c r="K161" s="10">
        <f t="shared" si="12"/>
        <v>1.6362728588598412</v>
      </c>
      <c r="L161" s="13">
        <f t="shared" si="13"/>
        <v>31.224937296678679</v>
      </c>
      <c r="M161" s="13">
        <f t="shared" si="14"/>
        <v>31.373132000000002</v>
      </c>
      <c r="N161" s="13">
        <f>M161-L161</f>
        <v>0.14819470332132312</v>
      </c>
      <c r="O161" s="2">
        <f>N161/L161</f>
        <v>4.7460368587220903E-3</v>
      </c>
    </row>
    <row r="162" spans="1:15" x14ac:dyDescent="0.25">
      <c r="A162" s="1">
        <v>46258</v>
      </c>
      <c r="B162" s="6">
        <v>18.399999999999999</v>
      </c>
      <c r="C162" s="6">
        <v>30.51</v>
      </c>
      <c r="F162" s="13">
        <f>F161+D162</f>
        <v>0.7</v>
      </c>
      <c r="G162" s="13">
        <f t="shared" si="10"/>
        <v>0.91313200000000005</v>
      </c>
      <c r="H162" s="13">
        <f>B162+F162</f>
        <v>19.099999999999998</v>
      </c>
      <c r="I162" s="13">
        <f>C162+G162</f>
        <v>31.423132000000003</v>
      </c>
      <c r="J162" s="10">
        <f t="shared" si="11"/>
        <v>1.6451901570680632</v>
      </c>
      <c r="K162" s="10">
        <f t="shared" si="12"/>
        <v>1.6370341462408036</v>
      </c>
      <c r="L162" s="13">
        <f t="shared" si="13"/>
        <v>31.252811604222963</v>
      </c>
      <c r="M162" s="13">
        <f t="shared" si="14"/>
        <v>31.423132000000003</v>
      </c>
      <c r="N162" s="13">
        <f>M162-L162</f>
        <v>0.17032039577703983</v>
      </c>
      <c r="O162" s="2">
        <f>N162/L162</f>
        <v>5.4497623424711551E-3</v>
      </c>
    </row>
    <row r="163" spans="1:15" x14ac:dyDescent="0.25">
      <c r="A163" s="1">
        <v>46259</v>
      </c>
      <c r="B163" s="6">
        <v>18.5</v>
      </c>
      <c r="C163" s="6">
        <v>30.68</v>
      </c>
      <c r="F163" s="13">
        <f>F162+D163</f>
        <v>0.7</v>
      </c>
      <c r="G163" s="13">
        <f t="shared" si="10"/>
        <v>0.91313200000000005</v>
      </c>
      <c r="H163" s="13">
        <f>B163+F163</f>
        <v>19.2</v>
      </c>
      <c r="I163" s="13">
        <f>C163+G163</f>
        <v>31.593132000000001</v>
      </c>
      <c r="J163" s="10">
        <f t="shared" si="11"/>
        <v>1.645475625</v>
      </c>
      <c r="K163" s="10">
        <f t="shared" si="12"/>
        <v>1.6377709395389963</v>
      </c>
      <c r="L163" s="13">
        <f t="shared" si="13"/>
        <v>31.431055607823428</v>
      </c>
      <c r="M163" s="13">
        <f t="shared" si="14"/>
        <v>31.593132000000001</v>
      </c>
      <c r="N163" s="13">
        <f>M163-L163</f>
        <v>0.16207639217657288</v>
      </c>
      <c r="O163" s="2">
        <f>N163/L163</f>
        <v>5.1565685288734254E-3</v>
      </c>
    </row>
    <row r="164" spans="1:15" x14ac:dyDescent="0.25">
      <c r="A164" s="1">
        <v>46260</v>
      </c>
      <c r="B164" s="6">
        <v>18.510000000000002</v>
      </c>
      <c r="C164" s="6">
        <v>30.69</v>
      </c>
      <c r="F164" s="13">
        <f>F163+D164</f>
        <v>0.7</v>
      </c>
      <c r="G164" s="13">
        <f t="shared" si="10"/>
        <v>0.91313200000000005</v>
      </c>
      <c r="H164" s="13">
        <f>B164+F164</f>
        <v>19.21</v>
      </c>
      <c r="I164" s="13">
        <f>C164+G164</f>
        <v>31.603132000000002</v>
      </c>
      <c r="J164" s="10">
        <f t="shared" si="11"/>
        <v>1.6451396147839668</v>
      </c>
      <c r="K164" s="10">
        <f t="shared" si="12"/>
        <v>1.638531558081785</v>
      </c>
      <c r="L164" s="13">
        <f t="shared" si="13"/>
        <v>31.461579748544121</v>
      </c>
      <c r="M164" s="13">
        <f t="shared" si="14"/>
        <v>31.603132000000002</v>
      </c>
      <c r="N164" s="13">
        <f>M164-L164</f>
        <v>0.14155225145588091</v>
      </c>
      <c r="O164" s="2">
        <f>N164/L164</f>
        <v>4.4992099121288149E-3</v>
      </c>
    </row>
    <row r="165" spans="1:15" x14ac:dyDescent="0.25">
      <c r="A165" s="1">
        <v>46261</v>
      </c>
      <c r="B165" s="6">
        <v>18.48</v>
      </c>
      <c r="C165" s="6">
        <v>30.64</v>
      </c>
      <c r="F165" s="13">
        <f>F164+D165</f>
        <v>0.7</v>
      </c>
      <c r="G165" s="13">
        <f t="shared" si="10"/>
        <v>0.91313200000000005</v>
      </c>
      <c r="H165" s="13">
        <f>B165+F165</f>
        <v>19.18</v>
      </c>
      <c r="I165" s="13">
        <f>C165+G165</f>
        <v>31.553132000000002</v>
      </c>
      <c r="J165" s="10">
        <f t="shared" si="11"/>
        <v>1.6451059436913453</v>
      </c>
      <c r="K165" s="10">
        <f t="shared" si="12"/>
        <v>1.6391685968981515</v>
      </c>
      <c r="L165" s="13">
        <f t="shared" si="13"/>
        <v>31.427035284008635</v>
      </c>
      <c r="M165" s="13">
        <f t="shared" si="14"/>
        <v>31.553132000000002</v>
      </c>
      <c r="N165" s="13">
        <f>M165-L165</f>
        <v>0.12609671599136618</v>
      </c>
      <c r="O165" s="2">
        <f>N165/L165</f>
        <v>4.0123643497332806E-3</v>
      </c>
    </row>
    <row r="166" spans="1:15" x14ac:dyDescent="0.25">
      <c r="A166" s="1">
        <v>46262</v>
      </c>
      <c r="B166" s="6">
        <v>18.41</v>
      </c>
      <c r="C166" s="6">
        <v>30.54</v>
      </c>
      <c r="F166" s="13">
        <f>F165+D166</f>
        <v>0.7</v>
      </c>
      <c r="G166" s="13">
        <f t="shared" si="10"/>
        <v>0.91313200000000005</v>
      </c>
      <c r="H166" s="13">
        <f>B166+F166</f>
        <v>19.11</v>
      </c>
      <c r="I166" s="13">
        <f>C166+G166</f>
        <v>31.453132</v>
      </c>
      <c r="J166" s="10">
        <f t="shared" si="11"/>
        <v>1.6458991104133962</v>
      </c>
      <c r="K166" s="10">
        <f t="shared" si="12"/>
        <v>1.6397668421677754</v>
      </c>
      <c r="L166" s="13">
        <f t="shared" si="13"/>
        <v>31.324511886723673</v>
      </c>
      <c r="M166" s="13">
        <f t="shared" si="14"/>
        <v>31.453132</v>
      </c>
      <c r="N166" s="13">
        <f>M166-L166</f>
        <v>0.12862011327632672</v>
      </c>
      <c r="O166" s="2">
        <f>N166/L166</f>
        <v>4.1060532320964923E-3</v>
      </c>
    </row>
    <row r="167" spans="1:15" x14ac:dyDescent="0.25">
      <c r="A167" s="1">
        <v>46265</v>
      </c>
      <c r="B167" s="6">
        <v>18.32</v>
      </c>
      <c r="C167" s="6">
        <v>30.44</v>
      </c>
      <c r="F167" s="13">
        <f>F166+D167</f>
        <v>0.7</v>
      </c>
      <c r="G167" s="13">
        <f t="shared" si="10"/>
        <v>0.91313200000000005</v>
      </c>
      <c r="H167" s="13">
        <f>B167+F167</f>
        <v>19.02</v>
      </c>
      <c r="I167" s="13">
        <f>C167+G167</f>
        <v>31.353132000000002</v>
      </c>
      <c r="J167" s="10">
        <f t="shared" si="11"/>
        <v>1.6484296529968456</v>
      </c>
      <c r="K167" s="10">
        <f t="shared" si="12"/>
        <v>1.6405385785721485</v>
      </c>
      <c r="L167" s="13">
        <f t="shared" si="13"/>
        <v>31.188365338031087</v>
      </c>
      <c r="M167" s="13">
        <f t="shared" si="14"/>
        <v>31.353132000000002</v>
      </c>
      <c r="N167" s="13">
        <f>M167-L167</f>
        <v>0.16476666196891543</v>
      </c>
      <c r="O167" s="2">
        <f>N167/L167</f>
        <v>5.2829527993247848E-3</v>
      </c>
    </row>
    <row r="168" spans="1:15" x14ac:dyDescent="0.25">
      <c r="A168" s="1">
        <v>46266</v>
      </c>
      <c r="B168" s="6">
        <v>18.11</v>
      </c>
      <c r="C168" s="6">
        <v>30.1</v>
      </c>
      <c r="D168" s="13">
        <v>0.1</v>
      </c>
      <c r="E168" s="13">
        <v>0.14724200000000001</v>
      </c>
      <c r="F168" s="13">
        <f>F167+D168</f>
        <v>0.79999999999999993</v>
      </c>
      <c r="G168" s="13">
        <f t="shared" si="10"/>
        <v>1.0603740000000001</v>
      </c>
      <c r="H168" s="13">
        <f>B168+F168</f>
        <v>18.91</v>
      </c>
      <c r="I168" s="13">
        <f>C168+G168</f>
        <v>31.160374000000001</v>
      </c>
      <c r="J168" s="10">
        <f t="shared" si="11"/>
        <v>1.6478251718667372</v>
      </c>
      <c r="K168" s="10">
        <f t="shared" si="12"/>
        <v>1.6412490627720939</v>
      </c>
      <c r="L168" s="13">
        <f t="shared" si="13"/>
        <v>31.022584520799327</v>
      </c>
      <c r="M168" s="13">
        <f t="shared" si="14"/>
        <v>31.160374000000001</v>
      </c>
      <c r="N168" s="13">
        <f>M168-L168</f>
        <v>0.13778947920067353</v>
      </c>
      <c r="O168" s="2">
        <f>N168/L168</f>
        <v>4.4415860679915794E-3</v>
      </c>
    </row>
    <row r="169" spans="1:15" x14ac:dyDescent="0.25">
      <c r="A169" s="1">
        <v>46267</v>
      </c>
      <c r="B169" s="6">
        <v>18.14</v>
      </c>
      <c r="C169" s="6">
        <v>30.2</v>
      </c>
      <c r="F169" s="13">
        <f>F168+D169</f>
        <v>0.79999999999999993</v>
      </c>
      <c r="G169" s="13">
        <f t="shared" si="10"/>
        <v>1.0603740000000001</v>
      </c>
      <c r="H169" s="13">
        <f>B169+F169</f>
        <v>18.940000000000001</v>
      </c>
      <c r="I169" s="13">
        <f>C169+G169</f>
        <v>31.260373999999999</v>
      </c>
      <c r="J169" s="10">
        <f t="shared" si="11"/>
        <v>1.6504949313621962</v>
      </c>
      <c r="K169" s="10">
        <f t="shared" si="12"/>
        <v>1.6418557658619428</v>
      </c>
      <c r="L169" s="13">
        <f t="shared" si="13"/>
        <v>31.08525724890346</v>
      </c>
      <c r="M169" s="13">
        <f t="shared" si="14"/>
        <v>31.260373999999999</v>
      </c>
      <c r="N169" s="13">
        <f>M169-L169</f>
        <v>0.17511675109653879</v>
      </c>
      <c r="O169" s="2">
        <f>N169/L169</f>
        <v>5.6334341933977749E-3</v>
      </c>
    </row>
    <row r="170" spans="1:15" x14ac:dyDescent="0.25">
      <c r="A170" s="1">
        <v>46268</v>
      </c>
      <c r="B170" s="6">
        <v>18.23</v>
      </c>
      <c r="C170" s="6">
        <v>30.36</v>
      </c>
      <c r="F170" s="13">
        <f>F169+D170</f>
        <v>0.79999999999999993</v>
      </c>
      <c r="G170" s="13">
        <f t="shared" si="10"/>
        <v>1.0603740000000001</v>
      </c>
      <c r="H170" s="13">
        <f>B170+F170</f>
        <v>19.03</v>
      </c>
      <c r="I170" s="13">
        <f>C170+G170</f>
        <v>31.420373999999999</v>
      </c>
      <c r="J170" s="10">
        <f t="shared" si="11"/>
        <v>1.6510968996321596</v>
      </c>
      <c r="K170" s="10">
        <f t="shared" si="12"/>
        <v>1.6425961079804587</v>
      </c>
      <c r="L170" s="13">
        <f t="shared" si="13"/>
        <v>31.244515224352774</v>
      </c>
      <c r="M170" s="13">
        <f t="shared" si="14"/>
        <v>31.420373999999999</v>
      </c>
      <c r="N170" s="13">
        <f>M170-L170</f>
        <v>0.17585877564722452</v>
      </c>
      <c r="O170" s="2">
        <f>N170/L170</f>
        <v>5.6284686891270985E-3</v>
      </c>
    </row>
    <row r="171" spans="1:15" x14ac:dyDescent="0.25">
      <c r="A171" s="1">
        <v>46269</v>
      </c>
      <c r="B171" s="6">
        <v>18.260000000000002</v>
      </c>
      <c r="C171" s="6">
        <v>30.36</v>
      </c>
      <c r="F171" s="13">
        <f>F170+D171</f>
        <v>0.79999999999999993</v>
      </c>
      <c r="G171" s="13">
        <f t="shared" si="10"/>
        <v>1.0603740000000001</v>
      </c>
      <c r="H171" s="13">
        <f>B171+F171</f>
        <v>19.060000000000002</v>
      </c>
      <c r="I171" s="13">
        <f>C171+G171</f>
        <v>31.420373999999999</v>
      </c>
      <c r="J171" s="10">
        <f t="shared" si="11"/>
        <v>1.6484981112277017</v>
      </c>
      <c r="K171" s="10">
        <f t="shared" si="12"/>
        <v>1.6432771482568698</v>
      </c>
      <c r="L171" s="13">
        <f t="shared" si="13"/>
        <v>31.307881818107546</v>
      </c>
      <c r="M171" s="13">
        <f t="shared" si="14"/>
        <v>31.420373999999999</v>
      </c>
      <c r="N171" s="13">
        <f>M171-L171</f>
        <v>0.11249218189245269</v>
      </c>
      <c r="O171" s="2">
        <f>N171/L171</f>
        <v>3.5930946253729169E-3</v>
      </c>
    </row>
    <row r="172" spans="1:15" x14ac:dyDescent="0.25">
      <c r="A172" s="1">
        <v>46273</v>
      </c>
      <c r="B172" s="6">
        <v>18.29</v>
      </c>
      <c r="C172" s="6">
        <v>30.39</v>
      </c>
      <c r="F172" s="13">
        <f>F171+D172</f>
        <v>0.79999999999999993</v>
      </c>
      <c r="G172" s="13">
        <f t="shared" si="10"/>
        <v>1.0603740000000001</v>
      </c>
      <c r="H172" s="13">
        <f>B172+F172</f>
        <v>19.09</v>
      </c>
      <c r="I172" s="13">
        <f>C172+G172</f>
        <v>31.450374</v>
      </c>
      <c r="J172" s="10">
        <f t="shared" si="11"/>
        <v>1.647478994237821</v>
      </c>
      <c r="K172" s="10">
        <f t="shared" si="12"/>
        <v>1.6439191872730181</v>
      </c>
      <c r="L172" s="13">
        <f t="shared" si="13"/>
        <v>31.370160760223644</v>
      </c>
      <c r="M172" s="13">
        <f t="shared" si="14"/>
        <v>31.450374</v>
      </c>
      <c r="N172" s="13">
        <f>M172-L172</f>
        <v>8.0213239776355749E-2</v>
      </c>
      <c r="O172" s="2">
        <f>N172/L172</f>
        <v>2.5569916708257216E-3</v>
      </c>
    </row>
    <row r="173" spans="1:15" x14ac:dyDescent="0.25">
      <c r="A173" s="1">
        <v>46274</v>
      </c>
      <c r="B173" s="6">
        <v>18.170000000000002</v>
      </c>
      <c r="C173" s="6">
        <v>30.18</v>
      </c>
      <c r="F173" s="13">
        <f>F172+D173</f>
        <v>0.79999999999999993</v>
      </c>
      <c r="G173" s="13">
        <f t="shared" si="10"/>
        <v>1.0603740000000001</v>
      </c>
      <c r="H173" s="13">
        <f>B173+F173</f>
        <v>18.970000000000002</v>
      </c>
      <c r="I173" s="13">
        <f>C173+G173</f>
        <v>31.240373999999999</v>
      </c>
      <c r="J173" s="10">
        <f t="shared" si="11"/>
        <v>1.6468304691618343</v>
      </c>
      <c r="K173" s="10">
        <f t="shared" si="12"/>
        <v>1.6445193199682664</v>
      </c>
      <c r="L173" s="13">
        <f t="shared" si="13"/>
        <v>31.185146982569158</v>
      </c>
      <c r="M173" s="13">
        <f t="shared" si="14"/>
        <v>31.240373999999999</v>
      </c>
      <c r="N173" s="13">
        <f>M173-L173</f>
        <v>5.522701743084113E-2</v>
      </c>
      <c r="O173" s="2">
        <f>N173/L173</f>
        <v>1.770939783022671E-3</v>
      </c>
    </row>
    <row r="174" spans="1:15" x14ac:dyDescent="0.25">
      <c r="A174" s="1">
        <v>46275</v>
      </c>
      <c r="B174" s="6">
        <v>18.010000000000002</v>
      </c>
      <c r="C174" s="6">
        <v>29.97</v>
      </c>
      <c r="F174" s="13">
        <f>F173+D174</f>
        <v>0.79999999999999993</v>
      </c>
      <c r="G174" s="13">
        <f t="shared" si="10"/>
        <v>1.0603740000000001</v>
      </c>
      <c r="H174" s="13">
        <f>B174+F174</f>
        <v>18.810000000000002</v>
      </c>
      <c r="I174" s="13">
        <f>C174+G174</f>
        <v>31.030373999999998</v>
      </c>
      <c r="J174" s="10">
        <f t="shared" si="11"/>
        <v>1.6496743221690586</v>
      </c>
      <c r="K174" s="10">
        <f t="shared" si="12"/>
        <v>1.6451344779371841</v>
      </c>
      <c r="L174" s="13">
        <f t="shared" si="13"/>
        <v>30.933408408603096</v>
      </c>
      <c r="M174" s="13">
        <f t="shared" si="14"/>
        <v>31.030373999999998</v>
      </c>
      <c r="N174" s="13">
        <f>M174-L174</f>
        <v>9.6965591396902084E-2</v>
      </c>
      <c r="O174" s="2">
        <f>N174/L174</f>
        <v>3.1346559071691025E-3</v>
      </c>
    </row>
    <row r="175" spans="1:15" x14ac:dyDescent="0.25">
      <c r="A175" s="1">
        <v>46276</v>
      </c>
      <c r="B175" s="6">
        <v>18.12</v>
      </c>
      <c r="C175" s="6">
        <v>30.15</v>
      </c>
      <c r="F175" s="13">
        <f>F174+D175</f>
        <v>0.79999999999999993</v>
      </c>
      <c r="G175" s="13">
        <f t="shared" si="10"/>
        <v>1.0603740000000001</v>
      </c>
      <c r="H175" s="13">
        <f>B175+F175</f>
        <v>18.920000000000002</v>
      </c>
      <c r="I175" s="13">
        <f>C175+G175</f>
        <v>31.210373999999998</v>
      </c>
      <c r="J175" s="10">
        <f t="shared" si="11"/>
        <v>1.6495969344608876</v>
      </c>
      <c r="K175" s="10">
        <f t="shared" si="12"/>
        <v>1.6457319044748524</v>
      </c>
      <c r="L175" s="13">
        <f t="shared" si="13"/>
        <v>31.125944322571527</v>
      </c>
      <c r="M175" s="13">
        <f t="shared" si="14"/>
        <v>31.210373999999998</v>
      </c>
      <c r="N175" s="13">
        <f>M175-L175</f>
        <v>8.442967742847074E-2</v>
      </c>
      <c r="O175" s="2">
        <f>N175/L175</f>
        <v>2.7125177810989358E-3</v>
      </c>
    </row>
  </sheetData>
  <conditionalFormatting sqref="O23:O175">
    <cfRule type="cellIs" dxfId="5" priority="11" operator="lessThan">
      <formula>$Q$3</formula>
    </cfRule>
    <cfRule type="cellIs" dxfId="4" priority="12" operator="greaterThan">
      <formula>$Q$4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2D0A-BAD1-4681-B60E-5995B71A6C21}">
  <dimension ref="A1:T175"/>
  <sheetViews>
    <sheetView workbookViewId="0">
      <selection activeCell="Q3" sqref="Q3:Q4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8" width="14.5703125" style="13" bestFit="1" customWidth="1"/>
    <col min="9" max="9" width="14.42578125" style="13" bestFit="1" customWidth="1"/>
    <col min="10" max="11" width="12" style="10" bestFit="1" customWidth="1"/>
    <col min="12" max="13" width="14.28515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4</v>
      </c>
      <c r="C1" s="5" t="s">
        <v>21</v>
      </c>
      <c r="D1" s="12" t="s">
        <v>77</v>
      </c>
      <c r="E1" s="12" t="s">
        <v>78</v>
      </c>
      <c r="F1" s="12" t="str">
        <f>_xlfn.CONCAT(D1," cum")</f>
        <v>BNDX div cum</v>
      </c>
      <c r="G1" s="12" t="str">
        <f>_xlfn.CONCAT(E1," cum")</f>
        <v>IAGG div cum</v>
      </c>
      <c r="H1" s="12" t="str">
        <f>_xlfn.CONCAT(B1," + cum div")</f>
        <v>BNDX + cum div</v>
      </c>
      <c r="I1" s="12" t="str">
        <f>_xlfn.CONCAT(C1," + cum div")</f>
        <v>IAGG + cum div</v>
      </c>
      <c r="J1" s="9" t="s">
        <v>73</v>
      </c>
      <c r="K1" s="9" t="s">
        <v>74</v>
      </c>
      <c r="L1" s="12" t="str">
        <f>_xlfn.CONCAT(B1,"*")</f>
        <v>BNDX*</v>
      </c>
      <c r="M1" s="12" t="str">
        <f>_xlfn.CONCAT(C1,"*")</f>
        <v>IAGG*</v>
      </c>
      <c r="N1" s="12" t="str">
        <f>_xlfn.CONCAT(M1,"-",L1)</f>
        <v>IAGG*-BNDX*</v>
      </c>
      <c r="O1" s="4" t="str">
        <f>_xlfn.CONCAT("diff/",L1)</f>
        <v>diff/BNDX*</v>
      </c>
    </row>
    <row r="2" spans="1:20" x14ac:dyDescent="0.25">
      <c r="A2" s="1">
        <v>46024</v>
      </c>
      <c r="B2" s="6">
        <v>48.31</v>
      </c>
      <c r="C2" s="6">
        <v>50.05</v>
      </c>
      <c r="S2" s="16">
        <f>AVERAGE(K:K)</f>
        <v>1.0383348150907084</v>
      </c>
      <c r="T2" t="s">
        <v>92</v>
      </c>
    </row>
    <row r="3" spans="1:20" x14ac:dyDescent="0.25">
      <c r="A3" s="1">
        <v>46027</v>
      </c>
      <c r="B3" s="6">
        <v>48.38</v>
      </c>
      <c r="C3" s="6">
        <v>50.09</v>
      </c>
      <c r="F3" s="13">
        <f>F2+D3</f>
        <v>0</v>
      </c>
      <c r="G3" s="13">
        <f>G2+E3</f>
        <v>0</v>
      </c>
      <c r="H3" s="13">
        <f>B3+F3</f>
        <v>48.38</v>
      </c>
      <c r="I3" s="13">
        <f>C3+G3</f>
        <v>50.09</v>
      </c>
      <c r="J3" s="10">
        <f>I3/H3</f>
        <v>1.0353451839603143</v>
      </c>
      <c r="Q3" s="11">
        <v>-1E-3</v>
      </c>
    </row>
    <row r="4" spans="1:20" x14ac:dyDescent="0.25">
      <c r="A4" s="1">
        <v>46028</v>
      </c>
      <c r="B4" s="6">
        <v>48.44</v>
      </c>
      <c r="C4" s="6">
        <v>50.16</v>
      </c>
      <c r="F4" s="13">
        <f>F3+D4</f>
        <v>0</v>
      </c>
      <c r="G4" s="13">
        <f t="shared" ref="G4:G67" si="0">G3+E4</f>
        <v>0</v>
      </c>
      <c r="H4" s="13">
        <f>B4+F4</f>
        <v>48.44</v>
      </c>
      <c r="I4" s="13">
        <f>C4+G4</f>
        <v>50.16</v>
      </c>
      <c r="J4" s="10">
        <f t="shared" ref="J4:J67" si="1">I4/H4</f>
        <v>1.0355078447563997</v>
      </c>
      <c r="Q4" s="2">
        <v>2.5000000000000001E-3</v>
      </c>
      <c r="S4" s="14">
        <f>MAX(K:K)</f>
        <v>1.0432547429787902</v>
      </c>
      <c r="T4" t="s">
        <v>89</v>
      </c>
    </row>
    <row r="5" spans="1:20" x14ac:dyDescent="0.25">
      <c r="A5" s="1">
        <v>46029</v>
      </c>
      <c r="B5" s="6">
        <v>48.53</v>
      </c>
      <c r="C5" s="6">
        <v>50.22</v>
      </c>
      <c r="F5" s="13">
        <f>F4+D5</f>
        <v>0</v>
      </c>
      <c r="G5" s="13">
        <f t="shared" si="0"/>
        <v>0</v>
      </c>
      <c r="H5" s="13">
        <f>B5+F5</f>
        <v>48.53</v>
      </c>
      <c r="I5" s="13">
        <f>C5+G5</f>
        <v>50.22</v>
      </c>
      <c r="J5" s="10">
        <f t="shared" si="1"/>
        <v>1.0348238203173294</v>
      </c>
      <c r="S5" s="15">
        <f>MIN(K:K)</f>
        <v>1.0339425143655769</v>
      </c>
      <c r="T5" t="s">
        <v>90</v>
      </c>
    </row>
    <row r="6" spans="1:20" x14ac:dyDescent="0.25">
      <c r="A6" s="1">
        <v>46030</v>
      </c>
      <c r="B6" s="6">
        <v>48.53</v>
      </c>
      <c r="C6" s="6">
        <v>50.21</v>
      </c>
      <c r="F6" s="13">
        <f>F5+D6</f>
        <v>0</v>
      </c>
      <c r="G6" s="13">
        <f t="shared" si="0"/>
        <v>0</v>
      </c>
      <c r="H6" s="13">
        <f>B6+F6</f>
        <v>48.53</v>
      </c>
      <c r="I6" s="13">
        <f>C6+G6</f>
        <v>50.21</v>
      </c>
      <c r="J6" s="10">
        <f t="shared" si="1"/>
        <v>1.034617762208943</v>
      </c>
      <c r="S6" s="14">
        <f>S4-S5</f>
        <v>9.3122286132132359E-3</v>
      </c>
      <c r="T6" t="s">
        <v>91</v>
      </c>
    </row>
    <row r="7" spans="1:20" x14ac:dyDescent="0.25">
      <c r="A7" s="1">
        <v>46031</v>
      </c>
      <c r="B7" s="6">
        <v>48.54</v>
      </c>
      <c r="C7" s="6">
        <v>50.25</v>
      </c>
      <c r="F7" s="13">
        <f>F6+D7</f>
        <v>0</v>
      </c>
      <c r="G7" s="13">
        <f t="shared" si="0"/>
        <v>0</v>
      </c>
      <c r="H7" s="13">
        <f>B7+F7</f>
        <v>48.54</v>
      </c>
      <c r="I7" s="13">
        <f>C7+G7</f>
        <v>50.25</v>
      </c>
      <c r="J7" s="10">
        <f t="shared" si="1"/>
        <v>1.0352286773794808</v>
      </c>
    </row>
    <row r="8" spans="1:20" x14ac:dyDescent="0.25">
      <c r="A8" s="1">
        <v>46034</v>
      </c>
      <c r="B8" s="6">
        <v>48.58</v>
      </c>
      <c r="C8" s="6">
        <v>50.28</v>
      </c>
      <c r="F8" s="13">
        <f>F7+D8</f>
        <v>0</v>
      </c>
      <c r="G8" s="13">
        <f t="shared" si="0"/>
        <v>0</v>
      </c>
      <c r="H8" s="13">
        <f>B8+F8</f>
        <v>48.58</v>
      </c>
      <c r="I8" s="13">
        <f>C8+G8</f>
        <v>50.28</v>
      </c>
      <c r="J8" s="10">
        <f t="shared" si="1"/>
        <v>1.034993824619185</v>
      </c>
    </row>
    <row r="9" spans="1:20" x14ac:dyDescent="0.25">
      <c r="A9" s="1">
        <v>46035</v>
      </c>
      <c r="B9" s="6">
        <v>48.54</v>
      </c>
      <c r="C9" s="6">
        <v>50.23</v>
      </c>
      <c r="F9" s="13">
        <f>F8+D9</f>
        <v>0</v>
      </c>
      <c r="G9" s="13">
        <f t="shared" si="0"/>
        <v>0</v>
      </c>
      <c r="H9" s="13">
        <f>B9+F9</f>
        <v>48.54</v>
      </c>
      <c r="I9" s="13">
        <f>C9+G9</f>
        <v>50.23</v>
      </c>
      <c r="J9" s="10">
        <f t="shared" si="1"/>
        <v>1.0348166460651009</v>
      </c>
    </row>
    <row r="10" spans="1:20" x14ac:dyDescent="0.25">
      <c r="A10" s="1">
        <v>46036</v>
      </c>
      <c r="B10" s="6">
        <v>48.61</v>
      </c>
      <c r="C10" s="6">
        <v>50.27</v>
      </c>
      <c r="F10" s="13">
        <f>F9+D10</f>
        <v>0</v>
      </c>
      <c r="G10" s="13">
        <f t="shared" si="0"/>
        <v>0</v>
      </c>
      <c r="H10" s="13">
        <f>B10+F10</f>
        <v>48.61</v>
      </c>
      <c r="I10" s="13">
        <f>C10+G10</f>
        <v>50.27</v>
      </c>
      <c r="J10" s="10">
        <f t="shared" si="1"/>
        <v>1.0341493519851883</v>
      </c>
    </row>
    <row r="11" spans="1:20" x14ac:dyDescent="0.25">
      <c r="A11" s="1">
        <v>46037</v>
      </c>
      <c r="B11" s="6">
        <v>48.59</v>
      </c>
      <c r="C11" s="6">
        <v>50.25</v>
      </c>
      <c r="F11" s="13">
        <f>F10+D11</f>
        <v>0</v>
      </c>
      <c r="G11" s="13">
        <f t="shared" si="0"/>
        <v>0</v>
      </c>
      <c r="H11" s="13">
        <f>B11+F11</f>
        <v>48.59</v>
      </c>
      <c r="I11" s="13">
        <f>C11+G11</f>
        <v>50.25</v>
      </c>
      <c r="J11" s="10">
        <f t="shared" si="1"/>
        <v>1.0341634081086644</v>
      </c>
    </row>
    <row r="12" spans="1:20" x14ac:dyDescent="0.25">
      <c r="A12" s="1">
        <v>46038</v>
      </c>
      <c r="B12" s="6">
        <v>48.54</v>
      </c>
      <c r="C12" s="6">
        <v>50.23</v>
      </c>
      <c r="F12" s="13">
        <f>F11+D12</f>
        <v>0</v>
      </c>
      <c r="G12" s="13">
        <f t="shared" si="0"/>
        <v>0</v>
      </c>
      <c r="H12" s="13">
        <f>B12+F12</f>
        <v>48.54</v>
      </c>
      <c r="I12" s="13">
        <f>C12+G12</f>
        <v>50.23</v>
      </c>
      <c r="J12" s="10">
        <f t="shared" si="1"/>
        <v>1.0348166460651009</v>
      </c>
    </row>
    <row r="13" spans="1:20" x14ac:dyDescent="0.25">
      <c r="A13" s="1">
        <v>46042</v>
      </c>
      <c r="B13" s="6">
        <v>48.39</v>
      </c>
      <c r="C13" s="6">
        <v>50.12</v>
      </c>
      <c r="F13" s="13">
        <f>F12+D13</f>
        <v>0</v>
      </c>
      <c r="G13" s="13">
        <f t="shared" si="0"/>
        <v>0</v>
      </c>
      <c r="H13" s="13">
        <f>B13+F13</f>
        <v>48.39</v>
      </c>
      <c r="I13" s="13">
        <f>C13+G13</f>
        <v>50.12</v>
      </c>
      <c r="J13" s="10">
        <f t="shared" si="1"/>
        <v>1.0357511882620376</v>
      </c>
    </row>
    <row r="14" spans="1:20" x14ac:dyDescent="0.25">
      <c r="A14" s="1">
        <v>46043</v>
      </c>
      <c r="B14" s="6">
        <v>48.43</v>
      </c>
      <c r="C14" s="6">
        <v>50.17</v>
      </c>
      <c r="F14" s="13">
        <f>F13+D14</f>
        <v>0</v>
      </c>
      <c r="G14" s="13">
        <f t="shared" si="0"/>
        <v>0</v>
      </c>
      <c r="H14" s="13">
        <f>B14+F14</f>
        <v>48.43</v>
      </c>
      <c r="I14" s="13">
        <f>C14+G14</f>
        <v>50.17</v>
      </c>
      <c r="J14" s="10">
        <f t="shared" si="1"/>
        <v>1.0359281437125749</v>
      </c>
    </row>
    <row r="15" spans="1:20" x14ac:dyDescent="0.25">
      <c r="A15" s="1">
        <v>46044</v>
      </c>
      <c r="B15" s="6">
        <v>48.47</v>
      </c>
      <c r="C15" s="6">
        <v>50.19</v>
      </c>
      <c r="F15" s="13">
        <f>F14+D15</f>
        <v>0</v>
      </c>
      <c r="G15" s="13">
        <f t="shared" si="0"/>
        <v>0</v>
      </c>
      <c r="H15" s="13">
        <f>B15+F15</f>
        <v>48.47</v>
      </c>
      <c r="I15" s="13">
        <f>C15+G15</f>
        <v>50.19</v>
      </c>
      <c r="J15" s="10">
        <f t="shared" si="1"/>
        <v>1.0354858675469363</v>
      </c>
    </row>
    <row r="16" spans="1:20" x14ac:dyDescent="0.25">
      <c r="A16" s="1">
        <v>46045</v>
      </c>
      <c r="B16" s="6">
        <v>48.45</v>
      </c>
      <c r="C16" s="6">
        <v>50.16</v>
      </c>
      <c r="F16" s="13">
        <f>F15+D16</f>
        <v>0</v>
      </c>
      <c r="G16" s="13">
        <f t="shared" si="0"/>
        <v>0</v>
      </c>
      <c r="H16" s="13">
        <f>B16+F16</f>
        <v>48.45</v>
      </c>
      <c r="I16" s="13">
        <f>C16+G16</f>
        <v>50.16</v>
      </c>
      <c r="J16" s="10">
        <f t="shared" si="1"/>
        <v>1.0352941176470587</v>
      </c>
    </row>
    <row r="17" spans="1:15" x14ac:dyDescent="0.25">
      <c r="A17" s="1">
        <v>46048</v>
      </c>
      <c r="B17" s="6">
        <v>48.53</v>
      </c>
      <c r="C17" s="6">
        <v>50.23</v>
      </c>
      <c r="F17" s="13">
        <f>F16+D17</f>
        <v>0</v>
      </c>
      <c r="G17" s="13">
        <f t="shared" si="0"/>
        <v>0</v>
      </c>
      <c r="H17" s="13">
        <f>B17+F17</f>
        <v>48.53</v>
      </c>
      <c r="I17" s="13">
        <f>C17+G17</f>
        <v>50.23</v>
      </c>
      <c r="J17" s="10">
        <f t="shared" si="1"/>
        <v>1.0350298784257159</v>
      </c>
    </row>
    <row r="18" spans="1:15" x14ac:dyDescent="0.25">
      <c r="A18" s="1">
        <v>46049</v>
      </c>
      <c r="B18" s="6">
        <v>48.52</v>
      </c>
      <c r="C18" s="6">
        <v>50.22</v>
      </c>
      <c r="F18" s="13">
        <f>F17+D18</f>
        <v>0</v>
      </c>
      <c r="G18" s="13">
        <f t="shared" si="0"/>
        <v>0</v>
      </c>
      <c r="H18" s="13">
        <f>B18+F18</f>
        <v>48.52</v>
      </c>
      <c r="I18" s="13">
        <f>C18+G18</f>
        <v>50.22</v>
      </c>
      <c r="J18" s="10">
        <f t="shared" si="1"/>
        <v>1.0350370981038746</v>
      </c>
    </row>
    <row r="19" spans="1:15" x14ac:dyDescent="0.25">
      <c r="A19" s="1">
        <v>46050</v>
      </c>
      <c r="B19" s="6">
        <v>48.51</v>
      </c>
      <c r="C19" s="6">
        <v>50.27</v>
      </c>
      <c r="F19" s="13">
        <f>F18+D19</f>
        <v>0</v>
      </c>
      <c r="G19" s="13">
        <f t="shared" si="0"/>
        <v>0</v>
      </c>
      <c r="H19" s="13">
        <f>B19+F19</f>
        <v>48.51</v>
      </c>
      <c r="I19" s="13">
        <f>C19+G19</f>
        <v>50.27</v>
      </c>
      <c r="J19" s="10">
        <f t="shared" si="1"/>
        <v>1.0362811791383222</v>
      </c>
    </row>
    <row r="20" spans="1:15" x14ac:dyDescent="0.25">
      <c r="A20" s="1">
        <v>46051</v>
      </c>
      <c r="B20" s="6">
        <v>48.67</v>
      </c>
      <c r="C20" s="6">
        <v>50.32</v>
      </c>
      <c r="F20" s="13">
        <f>F19+D20</f>
        <v>0</v>
      </c>
      <c r="G20" s="13">
        <f t="shared" si="0"/>
        <v>0</v>
      </c>
      <c r="H20" s="13">
        <f>B20+F20</f>
        <v>48.67</v>
      </c>
      <c r="I20" s="13">
        <f>C20+G20</f>
        <v>50.32</v>
      </c>
      <c r="J20" s="10">
        <f t="shared" si="1"/>
        <v>1.0339017875487979</v>
      </c>
    </row>
    <row r="21" spans="1:15" x14ac:dyDescent="0.25">
      <c r="A21" s="1">
        <v>46052</v>
      </c>
      <c r="B21" s="6">
        <v>48.57</v>
      </c>
      <c r="C21" s="6">
        <v>50.3</v>
      </c>
      <c r="F21" s="13">
        <f>F20+D21</f>
        <v>0</v>
      </c>
      <c r="G21" s="13">
        <f t="shared" si="0"/>
        <v>0</v>
      </c>
      <c r="H21" s="13">
        <f>B21+F21</f>
        <v>48.57</v>
      </c>
      <c r="I21" s="13">
        <f>C21+G21</f>
        <v>50.3</v>
      </c>
      <c r="J21" s="10">
        <f t="shared" si="1"/>
        <v>1.0356186946674901</v>
      </c>
    </row>
    <row r="22" spans="1:15" x14ac:dyDescent="0.25">
      <c r="A22" s="1">
        <v>46055</v>
      </c>
      <c r="B22" s="6">
        <v>48.43</v>
      </c>
      <c r="C22" s="6">
        <v>50.18</v>
      </c>
      <c r="D22" s="13">
        <v>0.1124</v>
      </c>
      <c r="E22" s="13">
        <v>0.10698000000000001</v>
      </c>
      <c r="F22" s="13">
        <f>F21+D22</f>
        <v>0.1124</v>
      </c>
      <c r="G22" s="13">
        <f t="shared" si="0"/>
        <v>0.10698000000000001</v>
      </c>
      <c r="H22" s="13">
        <f>B22+F22</f>
        <v>48.542400000000001</v>
      </c>
      <c r="I22" s="13">
        <f>C22+G22</f>
        <v>50.28698</v>
      </c>
      <c r="J22" s="10">
        <f t="shared" si="1"/>
        <v>1.0359393025478756</v>
      </c>
      <c r="K22" s="10">
        <f>AVERAGE(J3:J22)</f>
        <v>1.0351365211533197</v>
      </c>
    </row>
    <row r="23" spans="1:15" x14ac:dyDescent="0.25">
      <c r="A23" s="1">
        <v>46056</v>
      </c>
      <c r="B23" s="6">
        <v>48.41</v>
      </c>
      <c r="C23" s="6">
        <v>50.16</v>
      </c>
      <c r="F23" s="13">
        <f>F22+D23</f>
        <v>0.1124</v>
      </c>
      <c r="G23" s="13">
        <f t="shared" si="0"/>
        <v>0.10698000000000001</v>
      </c>
      <c r="H23" s="13">
        <f>B23+F23</f>
        <v>48.522399999999998</v>
      </c>
      <c r="I23" s="13">
        <f>C23+G23</f>
        <v>50.266979999999997</v>
      </c>
      <c r="J23" s="10">
        <f t="shared" si="1"/>
        <v>1.0359541160371293</v>
      </c>
      <c r="K23" s="10">
        <f t="shared" ref="K23:K86" si="2">AVERAGE(J4:J23)</f>
        <v>1.0351669677571602</v>
      </c>
      <c r="L23" s="13">
        <f>K22*H23</f>
        <v>50.227308334009834</v>
      </c>
      <c r="M23" s="13">
        <f>I23</f>
        <v>50.266979999999997</v>
      </c>
      <c r="N23" s="13">
        <f>M23-L23</f>
        <v>3.9671665990162808E-2</v>
      </c>
      <c r="O23" s="2">
        <f>N23/L23</f>
        <v>7.8984256385684903E-4</v>
      </c>
    </row>
    <row r="24" spans="1:15" x14ac:dyDescent="0.25">
      <c r="A24" s="1">
        <v>46057</v>
      </c>
      <c r="B24" s="6">
        <v>48.48</v>
      </c>
      <c r="C24" s="6">
        <v>50.14</v>
      </c>
      <c r="F24" s="13">
        <f>F23+D24</f>
        <v>0.1124</v>
      </c>
      <c r="G24" s="13">
        <f t="shared" si="0"/>
        <v>0.10698000000000001</v>
      </c>
      <c r="H24" s="13">
        <f>B24+F24</f>
        <v>48.592399999999998</v>
      </c>
      <c r="I24" s="13">
        <f>C24+G24</f>
        <v>50.246980000000001</v>
      </c>
      <c r="J24" s="10">
        <f t="shared" si="1"/>
        <v>1.0340501806866917</v>
      </c>
      <c r="K24" s="10">
        <f t="shared" si="2"/>
        <v>1.0350940845536749</v>
      </c>
      <c r="L24" s="13">
        <f t="shared" ref="L24:L87" si="3">K23*H24</f>
        <v>50.301247364043029</v>
      </c>
      <c r="M24" s="13">
        <f t="shared" ref="M24:M87" si="4">I24</f>
        <v>50.246980000000001</v>
      </c>
      <c r="N24" s="13">
        <f>M24-L24</f>
        <v>-5.426736404302801E-2</v>
      </c>
      <c r="O24" s="2">
        <f>N24/L24</f>
        <v>-1.0788472828572456E-3</v>
      </c>
    </row>
    <row r="25" spans="1:15" x14ac:dyDescent="0.25">
      <c r="A25" s="1">
        <v>46058</v>
      </c>
      <c r="B25" s="6">
        <v>48.54</v>
      </c>
      <c r="C25" s="6">
        <v>50.22</v>
      </c>
      <c r="F25" s="13">
        <f>F24+D25</f>
        <v>0.1124</v>
      </c>
      <c r="G25" s="13">
        <f t="shared" si="0"/>
        <v>0.10698000000000001</v>
      </c>
      <c r="H25" s="13">
        <f>B25+F25</f>
        <v>48.6524</v>
      </c>
      <c r="I25" s="13">
        <f>C25+G25</f>
        <v>50.326979999999999</v>
      </c>
      <c r="J25" s="10">
        <f t="shared" si="1"/>
        <v>1.0344192681142144</v>
      </c>
      <c r="K25" s="10">
        <f t="shared" si="2"/>
        <v>1.0350738569435192</v>
      </c>
      <c r="L25" s="13">
        <f t="shared" si="3"/>
        <v>50.359811439339211</v>
      </c>
      <c r="M25" s="13">
        <f t="shared" si="4"/>
        <v>50.326979999999999</v>
      </c>
      <c r="N25" s="13">
        <f>M25-L25</f>
        <v>-3.2831439339211954E-2</v>
      </c>
      <c r="O25" s="2">
        <f>N25/L25</f>
        <v>-6.5193729684152977E-4</v>
      </c>
    </row>
    <row r="26" spans="1:15" x14ac:dyDescent="0.25">
      <c r="A26" s="1">
        <v>46059</v>
      </c>
      <c r="B26" s="6">
        <v>48.55</v>
      </c>
      <c r="C26" s="6">
        <v>50.23</v>
      </c>
      <c r="F26" s="13">
        <f>F25+D26</f>
        <v>0.1124</v>
      </c>
      <c r="G26" s="13">
        <f t="shared" si="0"/>
        <v>0.10698000000000001</v>
      </c>
      <c r="H26" s="13">
        <f>B26+F26</f>
        <v>48.662399999999998</v>
      </c>
      <c r="I26" s="13">
        <f>C26+G26</f>
        <v>50.336979999999997</v>
      </c>
      <c r="J26" s="10">
        <f t="shared" si="1"/>
        <v>1.0344121950417571</v>
      </c>
      <c r="K26" s="10">
        <f t="shared" si="2"/>
        <v>1.0350635785851598</v>
      </c>
      <c r="L26" s="13">
        <f t="shared" si="3"/>
        <v>50.369178056128305</v>
      </c>
      <c r="M26" s="13">
        <f t="shared" si="4"/>
        <v>50.336979999999997</v>
      </c>
      <c r="N26" s="13">
        <f>M26-L26</f>
        <v>-3.2198056128308394E-2</v>
      </c>
      <c r="O26" s="2">
        <f>N26/L26</f>
        <v>-6.3924124575606266E-4</v>
      </c>
    </row>
    <row r="27" spans="1:15" x14ac:dyDescent="0.25">
      <c r="A27" s="1">
        <v>46062</v>
      </c>
      <c r="B27" s="6">
        <v>48.57</v>
      </c>
      <c r="C27" s="6">
        <v>50.25</v>
      </c>
      <c r="F27" s="13">
        <f>F26+D27</f>
        <v>0.1124</v>
      </c>
      <c r="G27" s="13">
        <f t="shared" si="0"/>
        <v>0.10698000000000001</v>
      </c>
      <c r="H27" s="13">
        <f>B27+F27</f>
        <v>48.682400000000001</v>
      </c>
      <c r="I27" s="13">
        <f>C27+G27</f>
        <v>50.35698</v>
      </c>
      <c r="J27" s="10">
        <f t="shared" si="1"/>
        <v>1.0343980576142506</v>
      </c>
      <c r="K27" s="10">
        <f t="shared" si="2"/>
        <v>1.0350220475968983</v>
      </c>
      <c r="L27" s="13">
        <f t="shared" si="3"/>
        <v>50.389379158114188</v>
      </c>
      <c r="M27" s="13">
        <f t="shared" si="4"/>
        <v>50.35698</v>
      </c>
      <c r="N27" s="13">
        <f>M27-L27</f>
        <v>-3.2399158114188253E-2</v>
      </c>
      <c r="O27" s="2">
        <f>N27/L27</f>
        <v>-6.4297593372850722E-4</v>
      </c>
    </row>
    <row r="28" spans="1:15" x14ac:dyDescent="0.25">
      <c r="A28" s="1">
        <v>46063</v>
      </c>
      <c r="B28" s="6">
        <v>48.68</v>
      </c>
      <c r="C28" s="6">
        <v>50.31</v>
      </c>
      <c r="F28" s="13">
        <f>F27+D28</f>
        <v>0.1124</v>
      </c>
      <c r="G28" s="13">
        <f t="shared" si="0"/>
        <v>0.10698000000000001</v>
      </c>
      <c r="H28" s="13">
        <f>B28+F28</f>
        <v>48.792400000000001</v>
      </c>
      <c r="I28" s="13">
        <f>C28+G28</f>
        <v>50.416980000000002</v>
      </c>
      <c r="J28" s="10">
        <f t="shared" si="1"/>
        <v>1.0332957591756093</v>
      </c>
      <c r="K28" s="10">
        <f t="shared" si="2"/>
        <v>1.0349371443247193</v>
      </c>
      <c r="L28" s="13">
        <f t="shared" si="3"/>
        <v>50.501209755166904</v>
      </c>
      <c r="M28" s="13">
        <f t="shared" si="4"/>
        <v>50.416980000000002</v>
      </c>
      <c r="N28" s="13">
        <f>M28-L28</f>
        <v>-8.4229755166902009E-2</v>
      </c>
      <c r="O28" s="2">
        <f>N28/L28</f>
        <v>-1.6678759890159712E-3</v>
      </c>
    </row>
    <row r="29" spans="1:15" x14ac:dyDescent="0.25">
      <c r="A29" s="1">
        <v>46064</v>
      </c>
      <c r="B29" s="6">
        <v>48.69</v>
      </c>
      <c r="C29" s="6">
        <v>50.38</v>
      </c>
      <c r="F29" s="13">
        <f>F28+D29</f>
        <v>0.1124</v>
      </c>
      <c r="G29" s="13">
        <f t="shared" si="0"/>
        <v>0.10698000000000001</v>
      </c>
      <c r="H29" s="13">
        <f>B29+F29</f>
        <v>48.802399999999999</v>
      </c>
      <c r="I29" s="13">
        <f>C29+G29</f>
        <v>50.486980000000003</v>
      </c>
      <c r="J29" s="10">
        <f t="shared" si="1"/>
        <v>1.0345183843417538</v>
      </c>
      <c r="K29" s="10">
        <f t="shared" si="2"/>
        <v>1.0349222312385522</v>
      </c>
      <c r="L29" s="13">
        <f t="shared" si="3"/>
        <v>50.507416492192682</v>
      </c>
      <c r="M29" s="13">
        <f t="shared" si="4"/>
        <v>50.486980000000003</v>
      </c>
      <c r="N29" s="13">
        <f>M29-L29</f>
        <v>-2.0436492192679623E-2</v>
      </c>
      <c r="O29" s="2">
        <f>N29/L29</f>
        <v>-4.0462359019766229E-4</v>
      </c>
    </row>
    <row r="30" spans="1:15" x14ac:dyDescent="0.25">
      <c r="A30" s="1">
        <v>46065</v>
      </c>
      <c r="B30" s="6">
        <v>48.8</v>
      </c>
      <c r="C30" s="6">
        <v>50.47</v>
      </c>
      <c r="F30" s="13">
        <f>F29+D30</f>
        <v>0.1124</v>
      </c>
      <c r="G30" s="13">
        <f t="shared" si="0"/>
        <v>0.10698000000000001</v>
      </c>
      <c r="H30" s="13">
        <f>B30+F30</f>
        <v>48.912399999999998</v>
      </c>
      <c r="I30" s="13">
        <f>C30+G30</f>
        <v>50.576979999999999</v>
      </c>
      <c r="J30" s="10">
        <f t="shared" si="1"/>
        <v>1.0340318610413719</v>
      </c>
      <c r="K30" s="10">
        <f t="shared" si="2"/>
        <v>1.0349163566913613</v>
      </c>
      <c r="L30" s="13">
        <f t="shared" si="3"/>
        <v>50.620530143232557</v>
      </c>
      <c r="M30" s="13">
        <f t="shared" si="4"/>
        <v>50.576979999999999</v>
      </c>
      <c r="N30" s="13">
        <f>M30-L30</f>
        <v>-4.3550143232558014E-2</v>
      </c>
      <c r="O30" s="2">
        <f>N30/L30</f>
        <v>-8.6032570400450888E-4</v>
      </c>
    </row>
    <row r="31" spans="1:15" x14ac:dyDescent="0.25">
      <c r="A31" s="1">
        <v>46066</v>
      </c>
      <c r="B31" s="6">
        <v>48.81</v>
      </c>
      <c r="C31" s="6">
        <v>50.52</v>
      </c>
      <c r="F31" s="13">
        <f>F30+D31</f>
        <v>0.1124</v>
      </c>
      <c r="G31" s="13">
        <f t="shared" si="0"/>
        <v>0.10698000000000001</v>
      </c>
      <c r="H31" s="13">
        <f>B31+F31</f>
        <v>48.922400000000003</v>
      </c>
      <c r="I31" s="13">
        <f>C31+G31</f>
        <v>50.626980000000003</v>
      </c>
      <c r="J31" s="10">
        <f t="shared" si="1"/>
        <v>1.034842526123003</v>
      </c>
      <c r="K31" s="10">
        <f t="shared" si="2"/>
        <v>1.0349503125920783</v>
      </c>
      <c r="L31" s="13">
        <f t="shared" si="3"/>
        <v>50.630591968597457</v>
      </c>
      <c r="M31" s="13">
        <f t="shared" si="4"/>
        <v>50.626980000000003</v>
      </c>
      <c r="N31" s="13">
        <f>M31-L31</f>
        <v>-3.6119685974540516E-3</v>
      </c>
      <c r="O31" s="2">
        <f>N31/L31</f>
        <v>-7.1339647770547464E-5</v>
      </c>
    </row>
    <row r="32" spans="1:15" x14ac:dyDescent="0.25">
      <c r="A32" s="1">
        <v>46070</v>
      </c>
      <c r="B32" s="6">
        <v>48.9</v>
      </c>
      <c r="C32" s="6">
        <v>50.58</v>
      </c>
      <c r="F32" s="13">
        <f>F31+D32</f>
        <v>0.1124</v>
      </c>
      <c r="G32" s="13">
        <f t="shared" si="0"/>
        <v>0.10698000000000001</v>
      </c>
      <c r="H32" s="13">
        <f>B32+F32</f>
        <v>49.0124</v>
      </c>
      <c r="I32" s="13">
        <f>C32+G32</f>
        <v>50.686979999999998</v>
      </c>
      <c r="J32" s="10">
        <f t="shared" si="1"/>
        <v>1.034166455835666</v>
      </c>
      <c r="K32" s="10">
        <f t="shared" si="2"/>
        <v>1.0349178030806065</v>
      </c>
      <c r="L32" s="13">
        <f t="shared" si="3"/>
        <v>50.725398700887979</v>
      </c>
      <c r="M32" s="13">
        <f t="shared" si="4"/>
        <v>50.686979999999998</v>
      </c>
      <c r="N32" s="13">
        <f>M32-L32</f>
        <v>-3.8418700887980606E-2</v>
      </c>
      <c r="O32" s="2">
        <f>N32/L32</f>
        <v>-7.5738588304694911E-4</v>
      </c>
    </row>
    <row r="33" spans="1:15" x14ac:dyDescent="0.25">
      <c r="A33" s="1">
        <v>46071</v>
      </c>
      <c r="B33" s="6">
        <v>48.9</v>
      </c>
      <c r="C33" s="6">
        <v>50.56</v>
      </c>
      <c r="F33" s="13">
        <f>F32+D33</f>
        <v>0.1124</v>
      </c>
      <c r="G33" s="13">
        <f t="shared" si="0"/>
        <v>0.10698000000000001</v>
      </c>
      <c r="H33" s="13">
        <f>B33+F33</f>
        <v>49.0124</v>
      </c>
      <c r="I33" s="13">
        <f>C33+G33</f>
        <v>50.666980000000002</v>
      </c>
      <c r="J33" s="10">
        <f t="shared" si="1"/>
        <v>1.0337583958345236</v>
      </c>
      <c r="K33" s="10">
        <f t="shared" si="2"/>
        <v>1.0348181634592311</v>
      </c>
      <c r="L33" s="13">
        <f t="shared" si="3"/>
        <v>50.723805331707922</v>
      </c>
      <c r="M33" s="13">
        <f t="shared" si="4"/>
        <v>50.666980000000002</v>
      </c>
      <c r="N33" s="13">
        <f>M33-L33</f>
        <v>-5.6825331707919702E-2</v>
      </c>
      <c r="O33" s="2">
        <f>N33/L33</f>
        <v>-1.120289208120544E-3</v>
      </c>
    </row>
    <row r="34" spans="1:15" x14ac:dyDescent="0.25">
      <c r="A34" s="1">
        <v>46072</v>
      </c>
      <c r="B34" s="6">
        <v>48.93</v>
      </c>
      <c r="C34" s="6">
        <v>50.6</v>
      </c>
      <c r="F34" s="13">
        <f>F33+D34</f>
        <v>0.1124</v>
      </c>
      <c r="G34" s="13">
        <f t="shared" si="0"/>
        <v>0.10698000000000001</v>
      </c>
      <c r="H34" s="13">
        <f>B34+F34</f>
        <v>49.042400000000001</v>
      </c>
      <c r="I34" s="13">
        <f>C34+G34</f>
        <v>50.706980000000001</v>
      </c>
      <c r="J34" s="10">
        <f t="shared" si="1"/>
        <v>1.0339416504901882</v>
      </c>
      <c r="K34" s="10">
        <f t="shared" si="2"/>
        <v>1.0347188387981117</v>
      </c>
      <c r="L34" s="13">
        <f t="shared" si="3"/>
        <v>50.749966299632995</v>
      </c>
      <c r="M34" s="13">
        <f t="shared" si="4"/>
        <v>50.706980000000001</v>
      </c>
      <c r="N34" s="13">
        <f>M34-L34</f>
        <v>-4.2986299632993052E-2</v>
      </c>
      <c r="O34" s="2">
        <f>N34/L34</f>
        <v>-8.4702124488512053E-4</v>
      </c>
    </row>
    <row r="35" spans="1:15" x14ac:dyDescent="0.25">
      <c r="A35" s="1">
        <v>46073</v>
      </c>
      <c r="B35" s="6">
        <v>48.98</v>
      </c>
      <c r="C35" s="6">
        <v>50.66</v>
      </c>
      <c r="F35" s="13">
        <f>F34+D35</f>
        <v>0.1124</v>
      </c>
      <c r="G35" s="13">
        <f t="shared" si="0"/>
        <v>0.10698000000000001</v>
      </c>
      <c r="H35" s="13">
        <f>B35+F35</f>
        <v>49.092399999999998</v>
      </c>
      <c r="I35" s="13">
        <f>C35+G35</f>
        <v>50.766979999999997</v>
      </c>
      <c r="J35" s="10">
        <f t="shared" si="1"/>
        <v>1.0341107788578272</v>
      </c>
      <c r="K35" s="10">
        <f t="shared" si="2"/>
        <v>1.0346500843636561</v>
      </c>
      <c r="L35" s="13">
        <f t="shared" si="3"/>
        <v>50.796831121812417</v>
      </c>
      <c r="M35" s="13">
        <f t="shared" si="4"/>
        <v>50.766979999999997</v>
      </c>
      <c r="N35" s="13">
        <f>M35-L35</f>
        <v>-2.9851121812420445E-2</v>
      </c>
      <c r="O35" s="2">
        <f>N35/L35</f>
        <v>-5.876571658739205E-4</v>
      </c>
    </row>
    <row r="36" spans="1:15" x14ac:dyDescent="0.25">
      <c r="A36" s="1">
        <v>46076</v>
      </c>
      <c r="B36" s="6">
        <v>49.07</v>
      </c>
      <c r="C36" s="6">
        <v>50.72</v>
      </c>
      <c r="F36" s="13">
        <f>F35+D36</f>
        <v>0.1124</v>
      </c>
      <c r="G36" s="13">
        <f t="shared" si="0"/>
        <v>0.10698000000000001</v>
      </c>
      <c r="H36" s="13">
        <f>B36+F36</f>
        <v>49.182400000000001</v>
      </c>
      <c r="I36" s="13">
        <f>C36+G36</f>
        <v>50.826979999999999</v>
      </c>
      <c r="J36" s="10">
        <f t="shared" si="1"/>
        <v>1.0334383844627346</v>
      </c>
      <c r="K36" s="10">
        <f t="shared" si="2"/>
        <v>1.0345572977044397</v>
      </c>
      <c r="L36" s="13">
        <f t="shared" si="3"/>
        <v>50.886574309207084</v>
      </c>
      <c r="M36" s="13">
        <f t="shared" si="4"/>
        <v>50.826979999999999</v>
      </c>
      <c r="N36" s="13">
        <f>M36-L36</f>
        <v>-5.9594309207085416E-2</v>
      </c>
      <c r="O36" s="2">
        <f>N36/L36</f>
        <v>-1.1711204775736459E-3</v>
      </c>
    </row>
    <row r="37" spans="1:15" x14ac:dyDescent="0.25">
      <c r="A37" s="1">
        <v>46077</v>
      </c>
      <c r="B37" s="6">
        <v>49.09</v>
      </c>
      <c r="C37" s="6">
        <v>50.72</v>
      </c>
      <c r="F37" s="13">
        <f>F36+D37</f>
        <v>0.1124</v>
      </c>
      <c r="G37" s="13">
        <f t="shared" si="0"/>
        <v>0.10698000000000001</v>
      </c>
      <c r="H37" s="13">
        <f>B37+F37</f>
        <v>49.202400000000004</v>
      </c>
      <c r="I37" s="13">
        <f>C37+G37</f>
        <v>50.826979999999999</v>
      </c>
      <c r="J37" s="10">
        <f t="shared" si="1"/>
        <v>1.0330183080500137</v>
      </c>
      <c r="K37" s="10">
        <f t="shared" si="2"/>
        <v>1.0344567191856546</v>
      </c>
      <c r="L37" s="13">
        <f t="shared" si="3"/>
        <v>50.902701984572928</v>
      </c>
      <c r="M37" s="13">
        <f t="shared" si="4"/>
        <v>50.826979999999999</v>
      </c>
      <c r="N37" s="13">
        <f>M37-L37</f>
        <v>-7.5721984572929557E-2</v>
      </c>
      <c r="O37" s="2">
        <f>N37/L37</f>
        <v>-1.487582812320623E-3</v>
      </c>
    </row>
    <row r="38" spans="1:15" x14ac:dyDescent="0.25">
      <c r="A38" s="1">
        <v>46078</v>
      </c>
      <c r="B38" s="6">
        <v>49.03</v>
      </c>
      <c r="C38" s="6">
        <v>50.69</v>
      </c>
      <c r="F38" s="13">
        <f>F37+D38</f>
        <v>0.1124</v>
      </c>
      <c r="G38" s="13">
        <f t="shared" si="0"/>
        <v>0.10698000000000001</v>
      </c>
      <c r="H38" s="13">
        <f>B38+F38</f>
        <v>49.142400000000002</v>
      </c>
      <c r="I38" s="13">
        <f>C38+G38</f>
        <v>50.796979999999998</v>
      </c>
      <c r="J38" s="10">
        <f t="shared" si="1"/>
        <v>1.0336690922706258</v>
      </c>
      <c r="K38" s="10">
        <f t="shared" si="2"/>
        <v>1.034388318893992</v>
      </c>
      <c r="L38" s="13">
        <f t="shared" si="3"/>
        <v>50.835685876909118</v>
      </c>
      <c r="M38" s="13">
        <f t="shared" si="4"/>
        <v>50.796979999999998</v>
      </c>
      <c r="N38" s="13">
        <f>M38-L38</f>
        <v>-3.8705876909119752E-2</v>
      </c>
      <c r="O38" s="2">
        <f>N38/L38</f>
        <v>-7.6139184986783002E-4</v>
      </c>
    </row>
    <row r="39" spans="1:15" x14ac:dyDescent="0.25">
      <c r="A39" s="1">
        <v>46079</v>
      </c>
      <c r="B39" s="6">
        <v>49.11</v>
      </c>
      <c r="C39" s="6">
        <v>50.74</v>
      </c>
      <c r="F39" s="13">
        <f>F38+D39</f>
        <v>0.1124</v>
      </c>
      <c r="G39" s="13">
        <f t="shared" si="0"/>
        <v>0.10698000000000001</v>
      </c>
      <c r="H39" s="13">
        <f>B39+F39</f>
        <v>49.2224</v>
      </c>
      <c r="I39" s="13">
        <f>C39+G39</f>
        <v>50.846980000000002</v>
      </c>
      <c r="J39" s="10">
        <f t="shared" si="1"/>
        <v>1.0330048920816539</v>
      </c>
      <c r="K39" s="10">
        <f t="shared" si="2"/>
        <v>1.0342245045411587</v>
      </c>
      <c r="L39" s="13">
        <f t="shared" si="3"/>
        <v>50.915075587927632</v>
      </c>
      <c r="M39" s="13">
        <f t="shared" si="4"/>
        <v>50.846980000000002</v>
      </c>
      <c r="N39" s="13">
        <f>M39-L39</f>
        <v>-6.8095587927629708E-2</v>
      </c>
      <c r="O39" s="2">
        <f>N39/L39</f>
        <v>-1.3374346819937887E-3</v>
      </c>
    </row>
    <row r="40" spans="1:15" x14ac:dyDescent="0.25">
      <c r="A40" s="1">
        <v>46080</v>
      </c>
      <c r="B40" s="6">
        <v>49.2</v>
      </c>
      <c r="C40" s="6">
        <v>50.86</v>
      </c>
      <c r="F40" s="13">
        <f>F39+D40</f>
        <v>0.1124</v>
      </c>
      <c r="G40" s="13">
        <f t="shared" si="0"/>
        <v>0.10698000000000001</v>
      </c>
      <c r="H40" s="13">
        <f>B40+F40</f>
        <v>49.312400000000004</v>
      </c>
      <c r="I40" s="13">
        <f>C40+G40</f>
        <v>50.96698</v>
      </c>
      <c r="J40" s="10">
        <f t="shared" si="1"/>
        <v>1.0335530211468109</v>
      </c>
      <c r="K40" s="10">
        <f t="shared" si="2"/>
        <v>1.0342070662210594</v>
      </c>
      <c r="L40" s="13">
        <f t="shared" si="3"/>
        <v>51.000092457735434</v>
      </c>
      <c r="M40" s="13">
        <f t="shared" si="4"/>
        <v>50.96698</v>
      </c>
      <c r="N40" s="13">
        <f>M40-L40</f>
        <v>-3.3112457735434475E-2</v>
      </c>
      <c r="O40" s="2">
        <f>N40/L40</f>
        <v>-6.4926270011912788E-4</v>
      </c>
    </row>
    <row r="41" spans="1:15" x14ac:dyDescent="0.25">
      <c r="A41" s="1">
        <v>46083</v>
      </c>
      <c r="B41" s="6">
        <v>48.93</v>
      </c>
      <c r="C41" s="6">
        <v>50.66</v>
      </c>
      <c r="D41" s="13">
        <v>9.98E-2</v>
      </c>
      <c r="E41" s="13">
        <v>0</v>
      </c>
      <c r="F41" s="13">
        <f>F40+D41</f>
        <v>0.2122</v>
      </c>
      <c r="G41" s="13">
        <f t="shared" si="0"/>
        <v>0.10698000000000001</v>
      </c>
      <c r="H41" s="13">
        <f>B41+F41</f>
        <v>49.142200000000003</v>
      </c>
      <c r="I41" s="13">
        <f>C41+G41</f>
        <v>50.766979999999997</v>
      </c>
      <c r="J41" s="10">
        <f t="shared" si="1"/>
        <v>1.0330628258401129</v>
      </c>
      <c r="K41" s="10">
        <f t="shared" si="2"/>
        <v>1.0340792727796906</v>
      </c>
      <c r="L41" s="13">
        <f t="shared" si="3"/>
        <v>50.823210489648545</v>
      </c>
      <c r="M41" s="13">
        <f t="shared" si="4"/>
        <v>50.766979999999997</v>
      </c>
      <c r="N41" s="13">
        <f>M41-L41</f>
        <v>-5.6230489648548598E-2</v>
      </c>
      <c r="O41" s="2">
        <f>N41/L41</f>
        <v>-1.1063938918223473E-3</v>
      </c>
    </row>
    <row r="42" spans="1:15" x14ac:dyDescent="0.25">
      <c r="A42" s="1">
        <v>46084</v>
      </c>
      <c r="B42" s="6">
        <v>48.83</v>
      </c>
      <c r="C42" s="6">
        <v>50.6</v>
      </c>
      <c r="F42" s="13">
        <f>F41+D42</f>
        <v>0.2122</v>
      </c>
      <c r="G42" s="13">
        <f t="shared" si="0"/>
        <v>0.10698000000000001</v>
      </c>
      <c r="H42" s="13">
        <f>B42+F42</f>
        <v>49.042200000000001</v>
      </c>
      <c r="I42" s="13">
        <f>C42+G42</f>
        <v>50.706980000000001</v>
      </c>
      <c r="J42" s="10">
        <f t="shared" si="1"/>
        <v>1.0339458670288038</v>
      </c>
      <c r="K42" s="10">
        <f t="shared" si="2"/>
        <v>1.0339796010037372</v>
      </c>
      <c r="L42" s="13">
        <f t="shared" si="3"/>
        <v>50.713522511516146</v>
      </c>
      <c r="M42" s="13">
        <f t="shared" si="4"/>
        <v>50.706980000000001</v>
      </c>
      <c r="N42" s="13">
        <f>M42-L42</f>
        <v>-6.5425115161446001E-3</v>
      </c>
      <c r="O42" s="2">
        <f>N42/L42</f>
        <v>-1.2900921080090445E-4</v>
      </c>
    </row>
    <row r="43" spans="1:15" x14ac:dyDescent="0.25">
      <c r="A43" s="1">
        <v>46085</v>
      </c>
      <c r="B43" s="6">
        <v>48.77</v>
      </c>
      <c r="C43" s="6">
        <v>50.6</v>
      </c>
      <c r="F43" s="13">
        <f>F42+D43</f>
        <v>0.2122</v>
      </c>
      <c r="G43" s="13">
        <f t="shared" si="0"/>
        <v>0.10698000000000001</v>
      </c>
      <c r="H43" s="13">
        <f>B43+F43</f>
        <v>48.982200000000006</v>
      </c>
      <c r="I43" s="13">
        <f>C43+G43</f>
        <v>50.706980000000001</v>
      </c>
      <c r="J43" s="10">
        <f t="shared" si="1"/>
        <v>1.035212383273924</v>
      </c>
      <c r="K43" s="10">
        <f t="shared" si="2"/>
        <v>1.0339425143655769</v>
      </c>
      <c r="L43" s="13">
        <f t="shared" si="3"/>
        <v>50.64659561228526</v>
      </c>
      <c r="M43" s="13">
        <f t="shared" si="4"/>
        <v>50.706980000000001</v>
      </c>
      <c r="N43" s="13">
        <f>M43-L43</f>
        <v>6.0384387714741194E-2</v>
      </c>
      <c r="O43" s="2">
        <f>N43/L43</f>
        <v>1.1922694306444924E-3</v>
      </c>
    </row>
    <row r="44" spans="1:15" x14ac:dyDescent="0.25">
      <c r="A44" s="1">
        <v>46086</v>
      </c>
      <c r="B44" s="6">
        <v>48.58</v>
      </c>
      <c r="C44" s="6">
        <v>50.41</v>
      </c>
      <c r="F44" s="13">
        <f>F43+D44</f>
        <v>0.2122</v>
      </c>
      <c r="G44" s="13">
        <f t="shared" si="0"/>
        <v>0.10698000000000001</v>
      </c>
      <c r="H44" s="13">
        <f>B44+F44</f>
        <v>48.792200000000001</v>
      </c>
      <c r="I44" s="13">
        <f>C44+G44</f>
        <v>50.516979999999997</v>
      </c>
      <c r="J44" s="10">
        <f t="shared" si="1"/>
        <v>1.0353495025844295</v>
      </c>
      <c r="K44" s="10">
        <f t="shared" si="2"/>
        <v>1.0340074804604638</v>
      </c>
      <c r="L44" s="13">
        <f t="shared" si="3"/>
        <v>50.448329949428107</v>
      </c>
      <c r="M44" s="13">
        <f t="shared" si="4"/>
        <v>50.516979999999997</v>
      </c>
      <c r="N44" s="13">
        <f>M44-L44</f>
        <v>6.8650050571889665E-2</v>
      </c>
      <c r="O44" s="2">
        <f>N44/L44</f>
        <v>1.3607992700790663E-3</v>
      </c>
    </row>
    <row r="45" spans="1:15" x14ac:dyDescent="0.25">
      <c r="A45" s="1">
        <v>46087</v>
      </c>
      <c r="B45" s="6">
        <v>48.44</v>
      </c>
      <c r="C45" s="6">
        <v>50.34</v>
      </c>
      <c r="F45" s="13">
        <f>F44+D45</f>
        <v>0.2122</v>
      </c>
      <c r="G45" s="13">
        <f t="shared" si="0"/>
        <v>0.10698000000000001</v>
      </c>
      <c r="H45" s="13">
        <f>B45+F45</f>
        <v>48.652200000000001</v>
      </c>
      <c r="I45" s="13">
        <f>C45+G45</f>
        <v>50.446980000000003</v>
      </c>
      <c r="J45" s="10">
        <f t="shared" si="1"/>
        <v>1.0368900070294869</v>
      </c>
      <c r="K45" s="10">
        <f t="shared" si="2"/>
        <v>1.0341310174062275</v>
      </c>
      <c r="L45" s="13">
        <f t="shared" si="3"/>
        <v>50.306738740858577</v>
      </c>
      <c r="M45" s="13">
        <f t="shared" si="4"/>
        <v>50.446980000000003</v>
      </c>
      <c r="N45" s="13">
        <f>M45-L45</f>
        <v>0.14024125914142616</v>
      </c>
      <c r="O45" s="2">
        <f>N45/L45</f>
        <v>2.787723129178393E-3</v>
      </c>
    </row>
    <row r="46" spans="1:15" x14ac:dyDescent="0.25">
      <c r="A46" s="1">
        <v>46090</v>
      </c>
      <c r="B46" s="6">
        <v>48.51</v>
      </c>
      <c r="C46" s="6">
        <v>50.37</v>
      </c>
      <c r="F46" s="13">
        <f>F45+D46</f>
        <v>0.2122</v>
      </c>
      <c r="G46" s="13">
        <f t="shared" si="0"/>
        <v>0.10698000000000001</v>
      </c>
      <c r="H46" s="13">
        <f>B46+F46</f>
        <v>48.722200000000001</v>
      </c>
      <c r="I46" s="13">
        <f>C46+G46</f>
        <v>50.476979999999998</v>
      </c>
      <c r="J46" s="10">
        <f t="shared" si="1"/>
        <v>1.0360160255489284</v>
      </c>
      <c r="K46" s="10">
        <f t="shared" si="2"/>
        <v>1.0342112089315862</v>
      </c>
      <c r="L46" s="13">
        <f t="shared" si="3"/>
        <v>50.385138256269698</v>
      </c>
      <c r="M46" s="13">
        <f t="shared" si="4"/>
        <v>50.476979999999998</v>
      </c>
      <c r="N46" s="13">
        <f>M46-L46</f>
        <v>9.1841743730299186E-2</v>
      </c>
      <c r="O46" s="2">
        <f>N46/L46</f>
        <v>1.8227943181017433E-3</v>
      </c>
    </row>
    <row r="47" spans="1:15" x14ac:dyDescent="0.25">
      <c r="A47" s="1">
        <v>46091</v>
      </c>
      <c r="B47" s="6">
        <v>48.47</v>
      </c>
      <c r="C47" s="6">
        <v>50.31</v>
      </c>
      <c r="F47" s="13">
        <f>F46+D47</f>
        <v>0.2122</v>
      </c>
      <c r="G47" s="13">
        <f t="shared" si="0"/>
        <v>0.10698000000000001</v>
      </c>
      <c r="H47" s="13">
        <f>B47+F47</f>
        <v>48.682200000000002</v>
      </c>
      <c r="I47" s="13">
        <f>C47+G47</f>
        <v>50.416980000000002</v>
      </c>
      <c r="J47" s="10">
        <f t="shared" si="1"/>
        <v>1.0356347905394581</v>
      </c>
      <c r="K47" s="10">
        <f t="shared" si="2"/>
        <v>1.0342730455778466</v>
      </c>
      <c r="L47" s="13">
        <f t="shared" si="3"/>
        <v>50.34767691544927</v>
      </c>
      <c r="M47" s="13">
        <f t="shared" si="4"/>
        <v>50.416980000000002</v>
      </c>
      <c r="N47" s="13">
        <f>M47-L47</f>
        <v>6.9303084550732308E-2</v>
      </c>
      <c r="O47" s="2">
        <f>N47/L47</f>
        <v>1.3764902135825563E-3</v>
      </c>
    </row>
    <row r="48" spans="1:15" x14ac:dyDescent="0.25">
      <c r="A48" s="1">
        <v>46092</v>
      </c>
      <c r="B48" s="6">
        <v>48.25</v>
      </c>
      <c r="C48" s="6">
        <v>50.15</v>
      </c>
      <c r="F48" s="13">
        <f>F47+D48</f>
        <v>0.2122</v>
      </c>
      <c r="G48" s="13">
        <f t="shared" si="0"/>
        <v>0.10698000000000001</v>
      </c>
      <c r="H48" s="13">
        <f>B48+F48</f>
        <v>48.462200000000003</v>
      </c>
      <c r="I48" s="13">
        <f>C48+G48</f>
        <v>50.256979999999999</v>
      </c>
      <c r="J48" s="10">
        <f t="shared" si="1"/>
        <v>1.037034637304951</v>
      </c>
      <c r="K48" s="10">
        <f t="shared" si="2"/>
        <v>1.0344599894843136</v>
      </c>
      <c r="L48" s="13">
        <f t="shared" si="3"/>
        <v>50.123147189402722</v>
      </c>
      <c r="M48" s="13">
        <f t="shared" si="4"/>
        <v>50.256979999999999</v>
      </c>
      <c r="N48" s="13">
        <f>M48-L48</f>
        <v>0.13383281059727636</v>
      </c>
      <c r="O48" s="2">
        <f>N48/L48</f>
        <v>2.6700799551064892E-3</v>
      </c>
    </row>
    <row r="49" spans="1:15" x14ac:dyDescent="0.25">
      <c r="A49" s="1">
        <v>46093</v>
      </c>
      <c r="B49" s="6">
        <v>48.08</v>
      </c>
      <c r="C49" s="6">
        <v>50.02</v>
      </c>
      <c r="F49" s="13">
        <f>F48+D49</f>
        <v>0.2122</v>
      </c>
      <c r="G49" s="13">
        <f t="shared" si="0"/>
        <v>0.10698000000000001</v>
      </c>
      <c r="H49" s="13">
        <f>B49+F49</f>
        <v>48.292200000000001</v>
      </c>
      <c r="I49" s="13">
        <f>C49+G49</f>
        <v>50.126980000000003</v>
      </c>
      <c r="J49" s="10">
        <f t="shared" si="1"/>
        <v>1.0379932991249106</v>
      </c>
      <c r="K49" s="10">
        <f t="shared" si="2"/>
        <v>1.0346337352234714</v>
      </c>
      <c r="L49" s="13">
        <f t="shared" si="3"/>
        <v>49.956348704174374</v>
      </c>
      <c r="M49" s="13">
        <f t="shared" si="4"/>
        <v>50.126980000000003</v>
      </c>
      <c r="N49" s="13">
        <f>M49-L49</f>
        <v>0.17063129582562908</v>
      </c>
      <c r="O49" s="2">
        <f>N49/L49</f>
        <v>3.4156078306693989E-3</v>
      </c>
    </row>
    <row r="50" spans="1:15" x14ac:dyDescent="0.25">
      <c r="A50" s="1">
        <v>46094</v>
      </c>
      <c r="B50" s="6">
        <v>48</v>
      </c>
      <c r="C50" s="6">
        <v>49.96</v>
      </c>
      <c r="F50" s="13">
        <f>F49+D50</f>
        <v>0.2122</v>
      </c>
      <c r="G50" s="13">
        <f t="shared" si="0"/>
        <v>0.10698000000000001</v>
      </c>
      <c r="H50" s="13">
        <f>B50+F50</f>
        <v>48.212200000000003</v>
      </c>
      <c r="I50" s="13">
        <f>C50+G50</f>
        <v>50.066980000000001</v>
      </c>
      <c r="J50" s="10">
        <f t="shared" si="1"/>
        <v>1.0384711753456592</v>
      </c>
      <c r="K50" s="10">
        <f t="shared" si="2"/>
        <v>1.0348557009386856</v>
      </c>
      <c r="L50" s="13">
        <f t="shared" si="3"/>
        <v>49.881968569341048</v>
      </c>
      <c r="M50" s="13">
        <f t="shared" si="4"/>
        <v>50.066980000000001</v>
      </c>
      <c r="N50" s="13">
        <f>M50-L50</f>
        <v>0.1850114306589532</v>
      </c>
      <c r="O50" s="2">
        <f>N50/L50</f>
        <v>3.7089841472829677E-3</v>
      </c>
    </row>
    <row r="51" spans="1:15" x14ac:dyDescent="0.25">
      <c r="A51" s="1">
        <v>46097</v>
      </c>
      <c r="B51" s="6">
        <v>48.22</v>
      </c>
      <c r="C51" s="6">
        <v>50.13</v>
      </c>
      <c r="F51" s="13">
        <f>F50+D51</f>
        <v>0.2122</v>
      </c>
      <c r="G51" s="13">
        <f t="shared" si="0"/>
        <v>0.10698000000000001</v>
      </c>
      <c r="H51" s="13">
        <f>B51+F51</f>
        <v>48.432200000000002</v>
      </c>
      <c r="I51" s="13">
        <f>C51+G51</f>
        <v>50.236980000000003</v>
      </c>
      <c r="J51" s="10">
        <f t="shared" si="1"/>
        <v>1.0372640516020333</v>
      </c>
      <c r="K51" s="10">
        <f t="shared" si="2"/>
        <v>1.034976777212637</v>
      </c>
      <c r="L51" s="13">
        <f t="shared" si="3"/>
        <v>50.12033827900261</v>
      </c>
      <c r="M51" s="13">
        <f t="shared" si="4"/>
        <v>50.236980000000003</v>
      </c>
      <c r="N51" s="13">
        <f>M51-L51</f>
        <v>0.11664172099739289</v>
      </c>
      <c r="O51" s="2">
        <f>N51/L51</f>
        <v>2.3272333149087845E-3</v>
      </c>
    </row>
    <row r="52" spans="1:15" x14ac:dyDescent="0.25">
      <c r="A52" s="1">
        <v>46098</v>
      </c>
      <c r="B52" s="6">
        <v>48.3</v>
      </c>
      <c r="C52" s="6">
        <v>50.14</v>
      </c>
      <c r="F52" s="13">
        <f>F51+D52</f>
        <v>0.2122</v>
      </c>
      <c r="G52" s="13">
        <f t="shared" si="0"/>
        <v>0.10698000000000001</v>
      </c>
      <c r="H52" s="13">
        <f>B52+F52</f>
        <v>48.5122</v>
      </c>
      <c r="I52" s="13">
        <f>C52+G52</f>
        <v>50.246980000000001</v>
      </c>
      <c r="J52" s="10">
        <f t="shared" si="1"/>
        <v>1.0357596645792193</v>
      </c>
      <c r="K52" s="10">
        <f t="shared" si="2"/>
        <v>1.0350564376498146</v>
      </c>
      <c r="L52" s="13">
        <f t="shared" si="3"/>
        <v>50.209000411494891</v>
      </c>
      <c r="M52" s="13">
        <f t="shared" si="4"/>
        <v>50.246980000000001</v>
      </c>
      <c r="N52" s="13">
        <f>M52-L52</f>
        <v>3.7979588505109518E-2</v>
      </c>
      <c r="O52" s="2">
        <f>N52/L52</f>
        <v>7.5642988694940116E-4</v>
      </c>
    </row>
    <row r="53" spans="1:15" x14ac:dyDescent="0.25">
      <c r="A53" s="1">
        <v>46099</v>
      </c>
      <c r="B53" s="6">
        <v>48.11</v>
      </c>
      <c r="C53" s="6">
        <v>50.04</v>
      </c>
      <c r="F53" s="13">
        <f>F52+D53</f>
        <v>0.2122</v>
      </c>
      <c r="G53" s="13">
        <f t="shared" si="0"/>
        <v>0.10698000000000001</v>
      </c>
      <c r="H53" s="13">
        <f>B53+F53</f>
        <v>48.322200000000002</v>
      </c>
      <c r="I53" s="13">
        <f>C53+G53</f>
        <v>50.146979999999999</v>
      </c>
      <c r="J53" s="10">
        <f t="shared" si="1"/>
        <v>1.0377627674236685</v>
      </c>
      <c r="K53" s="10">
        <f t="shared" si="2"/>
        <v>1.035256656229272</v>
      </c>
      <c r="L53" s="13">
        <f t="shared" si="3"/>
        <v>50.016204191401876</v>
      </c>
      <c r="M53" s="13">
        <f t="shared" si="4"/>
        <v>50.146979999999999</v>
      </c>
      <c r="N53" s="13">
        <f>M53-L53</f>
        <v>0.13077580859812343</v>
      </c>
      <c r="O53" s="2">
        <f>N53/L53</f>
        <v>2.6146688000886855E-3</v>
      </c>
    </row>
    <row r="54" spans="1:15" x14ac:dyDescent="0.25">
      <c r="A54" s="1">
        <v>46100</v>
      </c>
      <c r="B54" s="6">
        <v>48.13</v>
      </c>
      <c r="C54" s="6">
        <v>50.08</v>
      </c>
      <c r="F54" s="13">
        <f>F53+D54</f>
        <v>0.2122</v>
      </c>
      <c r="G54" s="13">
        <f t="shared" si="0"/>
        <v>0.10698000000000001</v>
      </c>
      <c r="H54" s="13">
        <f>B54+F54</f>
        <v>48.342200000000005</v>
      </c>
      <c r="I54" s="13">
        <f>C54+G54</f>
        <v>50.186979999999998</v>
      </c>
      <c r="J54" s="10">
        <f t="shared" si="1"/>
        <v>1.0381608615247133</v>
      </c>
      <c r="K54" s="10">
        <f t="shared" si="2"/>
        <v>1.035467616780998</v>
      </c>
      <c r="L54" s="13">
        <f t="shared" si="3"/>
        <v>50.04658432676672</v>
      </c>
      <c r="M54" s="13">
        <f t="shared" si="4"/>
        <v>50.186979999999998</v>
      </c>
      <c r="N54" s="13">
        <f>M54-L54</f>
        <v>0.14039567323327873</v>
      </c>
      <c r="O54" s="2">
        <f>N54/L54</f>
        <v>2.8052998046100433E-3</v>
      </c>
    </row>
    <row r="55" spans="1:15" x14ac:dyDescent="0.25">
      <c r="A55" s="1">
        <v>46101</v>
      </c>
      <c r="B55" s="6">
        <v>47.81</v>
      </c>
      <c r="C55" s="6">
        <v>49.74</v>
      </c>
      <c r="F55" s="13">
        <f>F54+D55</f>
        <v>0.2122</v>
      </c>
      <c r="G55" s="13">
        <f t="shared" si="0"/>
        <v>0.10698000000000001</v>
      </c>
      <c r="H55" s="13">
        <f>B55+F55</f>
        <v>48.022200000000005</v>
      </c>
      <c r="I55" s="13">
        <f>C55+G55</f>
        <v>49.846980000000002</v>
      </c>
      <c r="J55" s="10">
        <f t="shared" si="1"/>
        <v>1.0379986756125292</v>
      </c>
      <c r="K55" s="10">
        <f t="shared" si="2"/>
        <v>1.0356620116187332</v>
      </c>
      <c r="L55" s="13">
        <f t="shared" si="3"/>
        <v>49.725432986580444</v>
      </c>
      <c r="M55" s="13">
        <f t="shared" si="4"/>
        <v>49.846980000000002</v>
      </c>
      <c r="N55" s="13">
        <f>M55-L55</f>
        <v>0.12154701341955843</v>
      </c>
      <c r="O55" s="2">
        <f>N55/L55</f>
        <v>2.4443630979012428E-3</v>
      </c>
    </row>
    <row r="56" spans="1:15" x14ac:dyDescent="0.25">
      <c r="A56" s="1">
        <v>46104</v>
      </c>
      <c r="B56" s="6">
        <v>48.01</v>
      </c>
      <c r="C56" s="6">
        <v>49.95</v>
      </c>
      <c r="F56" s="13">
        <f>F55+D56</f>
        <v>0.2122</v>
      </c>
      <c r="G56" s="13">
        <f t="shared" si="0"/>
        <v>0.10698000000000001</v>
      </c>
      <c r="H56" s="13">
        <f>B56+F56</f>
        <v>48.222200000000001</v>
      </c>
      <c r="I56" s="13">
        <f>C56+G56</f>
        <v>50.056980000000003</v>
      </c>
      <c r="J56" s="10">
        <f t="shared" si="1"/>
        <v>1.0380484507135719</v>
      </c>
      <c r="K56" s="10">
        <f t="shared" si="2"/>
        <v>1.035892514931275</v>
      </c>
      <c r="L56" s="13">
        <f t="shared" si="3"/>
        <v>49.941900656680879</v>
      </c>
      <c r="M56" s="13">
        <f t="shared" si="4"/>
        <v>50.056980000000003</v>
      </c>
      <c r="N56" s="13">
        <f>M56-L56</f>
        <v>0.11507934331912395</v>
      </c>
      <c r="O56" s="2">
        <f>N56/L56</f>
        <v>2.3042643913418911E-3</v>
      </c>
    </row>
    <row r="57" spans="1:15" x14ac:dyDescent="0.25">
      <c r="A57" s="1">
        <v>46105</v>
      </c>
      <c r="B57" s="6">
        <v>47.83</v>
      </c>
      <c r="C57" s="6">
        <v>49.76</v>
      </c>
      <c r="F57" s="13">
        <f>F56+D57</f>
        <v>0.2122</v>
      </c>
      <c r="G57" s="13">
        <f t="shared" si="0"/>
        <v>0.10698000000000001</v>
      </c>
      <c r="H57" s="13">
        <f>B57+F57</f>
        <v>48.042200000000001</v>
      </c>
      <c r="I57" s="13">
        <f>C57+G57</f>
        <v>49.866979999999998</v>
      </c>
      <c r="J57" s="10">
        <f t="shared" si="1"/>
        <v>1.0379828567384508</v>
      </c>
      <c r="K57" s="10">
        <f t="shared" si="2"/>
        <v>1.036140742365697</v>
      </c>
      <c r="L57" s="13">
        <f t="shared" si="3"/>
        <v>49.766555380831299</v>
      </c>
      <c r="M57" s="13">
        <f t="shared" si="4"/>
        <v>49.866979999999998</v>
      </c>
      <c r="N57" s="13">
        <f>M57-L57</f>
        <v>0.10042461916869883</v>
      </c>
      <c r="O57" s="2">
        <f>N57/L57</f>
        <v>2.0179138057720507E-3</v>
      </c>
    </row>
    <row r="58" spans="1:15" x14ac:dyDescent="0.25">
      <c r="A58" s="1">
        <v>46106</v>
      </c>
      <c r="B58" s="6">
        <v>48.08</v>
      </c>
      <c r="C58" s="6">
        <v>50.01</v>
      </c>
      <c r="F58" s="13">
        <f>F57+D58</f>
        <v>0.2122</v>
      </c>
      <c r="G58" s="13">
        <f t="shared" si="0"/>
        <v>0.10698000000000001</v>
      </c>
      <c r="H58" s="13">
        <f>B58+F58</f>
        <v>48.292200000000001</v>
      </c>
      <c r="I58" s="13">
        <f>C58+G58</f>
        <v>50.116979999999998</v>
      </c>
      <c r="J58" s="10">
        <f t="shared" si="1"/>
        <v>1.0377862263471118</v>
      </c>
      <c r="K58" s="10">
        <f t="shared" si="2"/>
        <v>1.0363465990695213</v>
      </c>
      <c r="L58" s="13">
        <f t="shared" si="3"/>
        <v>50.03751595847271</v>
      </c>
      <c r="M58" s="13">
        <f t="shared" si="4"/>
        <v>50.116979999999998</v>
      </c>
      <c r="N58" s="13">
        <f>M58-L58</f>
        <v>7.9464041527288032E-2</v>
      </c>
      <c r="O58" s="2">
        <f>N58/L58</f>
        <v>1.5880892567336291E-3</v>
      </c>
    </row>
    <row r="59" spans="1:15" x14ac:dyDescent="0.25">
      <c r="A59" s="1">
        <v>46107</v>
      </c>
      <c r="B59" s="6">
        <v>47.74</v>
      </c>
      <c r="C59" s="6">
        <v>49.76</v>
      </c>
      <c r="F59" s="13">
        <f>F58+D59</f>
        <v>0.2122</v>
      </c>
      <c r="G59" s="13">
        <f t="shared" si="0"/>
        <v>0.10698000000000001</v>
      </c>
      <c r="H59" s="13">
        <f>B59+F59</f>
        <v>47.952200000000005</v>
      </c>
      <c r="I59" s="13">
        <f>C59+G59</f>
        <v>49.866979999999998</v>
      </c>
      <c r="J59" s="10">
        <f t="shared" si="1"/>
        <v>1.0399310146354077</v>
      </c>
      <c r="K59" s="10">
        <f t="shared" si="2"/>
        <v>1.0366929051972089</v>
      </c>
      <c r="L59" s="13">
        <f t="shared" si="3"/>
        <v>49.695099387901507</v>
      </c>
      <c r="M59" s="13">
        <f t="shared" si="4"/>
        <v>49.866979999999998</v>
      </c>
      <c r="N59" s="13">
        <f>M59-L59</f>
        <v>0.17188061209849081</v>
      </c>
      <c r="O59" s="2">
        <f>N59/L59</f>
        <v>3.4587034579980319E-3</v>
      </c>
    </row>
    <row r="60" spans="1:15" x14ac:dyDescent="0.25">
      <c r="A60" s="1">
        <v>46108</v>
      </c>
      <c r="B60" s="6">
        <v>47.66</v>
      </c>
      <c r="C60" s="6">
        <v>49.68</v>
      </c>
      <c r="F60" s="13">
        <f>F59+D60</f>
        <v>0.2122</v>
      </c>
      <c r="G60" s="13">
        <f t="shared" si="0"/>
        <v>0.10698000000000001</v>
      </c>
      <c r="H60" s="13">
        <f>B60+F60</f>
        <v>47.872199999999999</v>
      </c>
      <c r="I60" s="13">
        <f>C60+G60</f>
        <v>49.78698</v>
      </c>
      <c r="J60" s="10">
        <f t="shared" si="1"/>
        <v>1.0399977439933823</v>
      </c>
      <c r="K60" s="10">
        <f t="shared" si="2"/>
        <v>1.0370151413395376</v>
      </c>
      <c r="L60" s="13">
        <f t="shared" si="3"/>
        <v>49.628770096181825</v>
      </c>
      <c r="M60" s="13">
        <f t="shared" si="4"/>
        <v>49.78698</v>
      </c>
      <c r="N60" s="13">
        <f>M60-L60</f>
        <v>0.15820990381817523</v>
      </c>
      <c r="O60" s="2">
        <f>N60/L60</f>
        <v>3.1878667053719121E-3</v>
      </c>
    </row>
    <row r="61" spans="1:15" x14ac:dyDescent="0.25">
      <c r="A61" s="1">
        <v>46111</v>
      </c>
      <c r="B61" s="6">
        <v>47.79</v>
      </c>
      <c r="C61" s="6">
        <v>49.81</v>
      </c>
      <c r="F61" s="13">
        <f>F60+D61</f>
        <v>0.2122</v>
      </c>
      <c r="G61" s="13">
        <f t="shared" si="0"/>
        <v>0.10698000000000001</v>
      </c>
      <c r="H61" s="13">
        <f>B61+F61</f>
        <v>48.002200000000002</v>
      </c>
      <c r="I61" s="13">
        <f>C61+G61</f>
        <v>49.916980000000002</v>
      </c>
      <c r="J61" s="10">
        <f t="shared" si="1"/>
        <v>1.0398894217348371</v>
      </c>
      <c r="K61" s="10">
        <f t="shared" si="2"/>
        <v>1.0373564711342738</v>
      </c>
      <c r="L61" s="13">
        <f t="shared" si="3"/>
        <v>49.779008217608755</v>
      </c>
      <c r="M61" s="13">
        <f t="shared" si="4"/>
        <v>49.916980000000002</v>
      </c>
      <c r="N61" s="13">
        <f>M61-L61</f>
        <v>0.13797178239124719</v>
      </c>
      <c r="O61" s="2">
        <f>N61/L61</f>
        <v>2.7716860446094877E-3</v>
      </c>
    </row>
    <row r="62" spans="1:15" x14ac:dyDescent="0.25">
      <c r="A62" s="1">
        <v>46112</v>
      </c>
      <c r="B62" s="6">
        <v>48.05</v>
      </c>
      <c r="C62" s="6">
        <v>50.04</v>
      </c>
      <c r="F62" s="13">
        <f>F61+D62</f>
        <v>0.2122</v>
      </c>
      <c r="G62" s="13">
        <f t="shared" si="0"/>
        <v>0.10698000000000001</v>
      </c>
      <c r="H62" s="13">
        <f>B62+F62</f>
        <v>48.2622</v>
      </c>
      <c r="I62" s="13">
        <f>C62+G62</f>
        <v>50.146979999999999</v>
      </c>
      <c r="J62" s="10">
        <f t="shared" si="1"/>
        <v>1.0390529234058954</v>
      </c>
      <c r="K62" s="10">
        <f t="shared" si="2"/>
        <v>1.0376118239531285</v>
      </c>
      <c r="L62" s="13">
        <f t="shared" si="3"/>
        <v>50.065105481176545</v>
      </c>
      <c r="M62" s="13">
        <f t="shared" si="4"/>
        <v>50.146979999999999</v>
      </c>
      <c r="N62" s="13">
        <f>M62-L62</f>
        <v>8.1874518823454423E-2</v>
      </c>
      <c r="O62" s="2">
        <f>N62/L62</f>
        <v>1.6353609572287342E-3</v>
      </c>
    </row>
    <row r="63" spans="1:15" x14ac:dyDescent="0.25">
      <c r="A63" s="1">
        <v>46113</v>
      </c>
      <c r="B63" s="6">
        <v>48.01</v>
      </c>
      <c r="C63" s="6">
        <v>49.86</v>
      </c>
      <c r="D63" s="13">
        <v>0.11169999999999999</v>
      </c>
      <c r="E63" s="13">
        <v>0.19075</v>
      </c>
      <c r="F63" s="13">
        <f>F62+D63</f>
        <v>0.32389999999999997</v>
      </c>
      <c r="G63" s="13">
        <f t="shared" si="0"/>
        <v>0.29772999999999999</v>
      </c>
      <c r="H63" s="13">
        <f>B63+F63</f>
        <v>48.3339</v>
      </c>
      <c r="I63" s="13">
        <f>C63+G63</f>
        <v>50.157730000000001</v>
      </c>
      <c r="J63" s="10">
        <f t="shared" si="1"/>
        <v>1.0377339713948182</v>
      </c>
      <c r="K63" s="10">
        <f t="shared" si="2"/>
        <v>1.0377379033591729</v>
      </c>
      <c r="L63" s="13">
        <f t="shared" si="3"/>
        <v>50.151826137768118</v>
      </c>
      <c r="M63" s="13">
        <f t="shared" si="4"/>
        <v>50.157730000000001</v>
      </c>
      <c r="N63" s="13">
        <f>M63-L63</f>
        <v>5.9038622318823286E-3</v>
      </c>
      <c r="O63" s="2">
        <f>N63/L63</f>
        <v>1.1771978582921976E-4</v>
      </c>
    </row>
    <row r="64" spans="1:15" x14ac:dyDescent="0.25">
      <c r="A64" s="1">
        <v>46114</v>
      </c>
      <c r="B64" s="6">
        <v>47.96</v>
      </c>
      <c r="C64" s="6">
        <v>49.83</v>
      </c>
      <c r="F64" s="13">
        <f>F63+D64</f>
        <v>0.32389999999999997</v>
      </c>
      <c r="G64" s="13">
        <f t="shared" si="0"/>
        <v>0.29772999999999999</v>
      </c>
      <c r="H64" s="13">
        <f>B64+F64</f>
        <v>48.283900000000003</v>
      </c>
      <c r="I64" s="13">
        <f>C64+G64</f>
        <v>50.12773</v>
      </c>
      <c r="J64" s="10">
        <f t="shared" si="1"/>
        <v>1.0381872632492404</v>
      </c>
      <c r="K64" s="10">
        <f t="shared" si="2"/>
        <v>1.0378797913924136</v>
      </c>
      <c r="L64" s="13">
        <f t="shared" si="3"/>
        <v>50.106033152003974</v>
      </c>
      <c r="M64" s="13">
        <f t="shared" si="4"/>
        <v>50.12773</v>
      </c>
      <c r="N64" s="13">
        <f>M64-L64</f>
        <v>2.1696847996025781E-2</v>
      </c>
      <c r="O64" s="2">
        <f>N64/L64</f>
        <v>4.3301867322454406E-4</v>
      </c>
    </row>
    <row r="65" spans="1:15" x14ac:dyDescent="0.25">
      <c r="A65" s="1">
        <v>46118</v>
      </c>
      <c r="B65" s="6">
        <v>47.88</v>
      </c>
      <c r="C65" s="6">
        <v>49.79</v>
      </c>
      <c r="F65" s="13">
        <f>F64+D65</f>
        <v>0.32389999999999997</v>
      </c>
      <c r="G65" s="13">
        <f t="shared" si="0"/>
        <v>0.29772999999999999</v>
      </c>
      <c r="H65" s="13">
        <f>B65+F65</f>
        <v>48.203900000000004</v>
      </c>
      <c r="I65" s="13">
        <f>C65+G65</f>
        <v>50.087730000000001</v>
      </c>
      <c r="J65" s="10">
        <f t="shared" si="1"/>
        <v>1.0390804478475808</v>
      </c>
      <c r="K65" s="10">
        <f t="shared" si="2"/>
        <v>1.0379893134333185</v>
      </c>
      <c r="L65" s="13">
        <f t="shared" si="3"/>
        <v>50.029853676300768</v>
      </c>
      <c r="M65" s="13">
        <f t="shared" si="4"/>
        <v>50.087730000000001</v>
      </c>
      <c r="N65" s="13">
        <f>M65-L65</f>
        <v>5.7876323699233012E-2</v>
      </c>
      <c r="O65" s="2">
        <f>N65/L65</f>
        <v>1.1568357579796228E-3</v>
      </c>
    </row>
    <row r="66" spans="1:15" x14ac:dyDescent="0.25">
      <c r="A66" s="1">
        <v>46119</v>
      </c>
      <c r="B66" s="6">
        <v>47.91</v>
      </c>
      <c r="C66" s="6">
        <v>49.81</v>
      </c>
      <c r="F66" s="13">
        <f>F65+D66</f>
        <v>0.32389999999999997</v>
      </c>
      <c r="G66" s="13">
        <f t="shared" si="0"/>
        <v>0.29772999999999999</v>
      </c>
      <c r="H66" s="13">
        <f>B66+F66</f>
        <v>48.233899999999998</v>
      </c>
      <c r="I66" s="13">
        <f>C66+G66</f>
        <v>50.107730000000004</v>
      </c>
      <c r="J66" s="10">
        <f t="shared" si="1"/>
        <v>1.0388488179475432</v>
      </c>
      <c r="K66" s="10">
        <f t="shared" si="2"/>
        <v>1.038130953053249</v>
      </c>
      <c r="L66" s="13">
        <f t="shared" si="3"/>
        <v>50.066272745211336</v>
      </c>
      <c r="M66" s="13">
        <f t="shared" si="4"/>
        <v>50.107730000000004</v>
      </c>
      <c r="N66" s="13">
        <f>M66-L66</f>
        <v>4.1457254788667797E-2</v>
      </c>
      <c r="O66" s="2">
        <f>N66/L66</f>
        <v>8.2804755607921777E-4</v>
      </c>
    </row>
    <row r="67" spans="1:15" x14ac:dyDescent="0.25">
      <c r="A67" s="1">
        <v>46120</v>
      </c>
      <c r="B67" s="6">
        <v>48.28</v>
      </c>
      <c r="C67" s="6">
        <v>50.13</v>
      </c>
      <c r="F67" s="13">
        <f>F66+D67</f>
        <v>0.32389999999999997</v>
      </c>
      <c r="G67" s="13">
        <f t="shared" si="0"/>
        <v>0.29772999999999999</v>
      </c>
      <c r="H67" s="13">
        <f>B67+F67</f>
        <v>48.603900000000003</v>
      </c>
      <c r="I67" s="13">
        <f>C67+G67</f>
        <v>50.427730000000004</v>
      </c>
      <c r="J67" s="10">
        <f t="shared" si="1"/>
        <v>1.0375243550414679</v>
      </c>
      <c r="K67" s="10">
        <f t="shared" si="2"/>
        <v>1.0382254312783497</v>
      </c>
      <c r="L67" s="13">
        <f t="shared" si="3"/>
        <v>50.457213029104814</v>
      </c>
      <c r="M67" s="13">
        <f t="shared" si="4"/>
        <v>50.427730000000004</v>
      </c>
      <c r="N67" s="13">
        <f>M67-L67</f>
        <v>-2.9483029104810043E-2</v>
      </c>
      <c r="O67" s="2">
        <f>N67/L67</f>
        <v>-5.8431743124226054E-4</v>
      </c>
    </row>
    <row r="68" spans="1:15" x14ac:dyDescent="0.25">
      <c r="A68" s="1">
        <v>46121</v>
      </c>
      <c r="B68" s="6">
        <v>48.13</v>
      </c>
      <c r="C68" s="6">
        <v>50.03</v>
      </c>
      <c r="F68" s="13">
        <f>F67+D68</f>
        <v>0.32389999999999997</v>
      </c>
      <c r="G68" s="13">
        <f t="shared" ref="G68:G131" si="5">G67+E68</f>
        <v>0.29772999999999999</v>
      </c>
      <c r="H68" s="13">
        <f>B68+F68</f>
        <v>48.453900000000004</v>
      </c>
      <c r="I68" s="13">
        <f>C68+G68</f>
        <v>50.327730000000003</v>
      </c>
      <c r="J68" s="10">
        <f t="shared" ref="J68:J131" si="6">I68/H68</f>
        <v>1.0386724288447369</v>
      </c>
      <c r="K68" s="10">
        <f t="shared" si="2"/>
        <v>1.0383073208553391</v>
      </c>
      <c r="L68" s="13">
        <f t="shared" si="3"/>
        <v>50.30607122461803</v>
      </c>
      <c r="M68" s="13">
        <f t="shared" si="4"/>
        <v>50.327730000000003</v>
      </c>
      <c r="N68" s="13">
        <f>M68-L68</f>
        <v>2.1658775381972362E-2</v>
      </c>
      <c r="O68" s="2">
        <f>N68/L68</f>
        <v>4.3053998960215594E-4</v>
      </c>
    </row>
    <row r="69" spans="1:15" x14ac:dyDescent="0.25">
      <c r="A69" s="1">
        <v>46122</v>
      </c>
      <c r="B69" s="6">
        <v>48</v>
      </c>
      <c r="C69" s="6">
        <v>49.92</v>
      </c>
      <c r="F69" s="13">
        <f>F68+D69</f>
        <v>0.32389999999999997</v>
      </c>
      <c r="G69" s="13">
        <f t="shared" si="5"/>
        <v>0.29772999999999999</v>
      </c>
      <c r="H69" s="13">
        <f>B69+F69</f>
        <v>48.323900000000002</v>
      </c>
      <c r="I69" s="13">
        <f>C69+G69</f>
        <v>50.217730000000003</v>
      </c>
      <c r="J69" s="10">
        <f t="shared" si="6"/>
        <v>1.0391903385281402</v>
      </c>
      <c r="K69" s="10">
        <f t="shared" si="2"/>
        <v>1.0383671728255004</v>
      </c>
      <c r="L69" s="13">
        <f t="shared" si="3"/>
        <v>50.17505914228132</v>
      </c>
      <c r="M69" s="13">
        <f t="shared" si="4"/>
        <v>50.217730000000003</v>
      </c>
      <c r="N69" s="13">
        <f>M69-L69</f>
        <v>4.2670857718682953E-2</v>
      </c>
      <c r="O69" s="2">
        <f>N69/L69</f>
        <v>8.5043960980058409E-4</v>
      </c>
    </row>
    <row r="70" spans="1:15" x14ac:dyDescent="0.25">
      <c r="A70" s="1">
        <v>46125</v>
      </c>
      <c r="B70" s="6">
        <v>48.04</v>
      </c>
      <c r="C70" s="6">
        <v>49.91</v>
      </c>
      <c r="F70" s="13">
        <f>F69+D70</f>
        <v>0.32389999999999997</v>
      </c>
      <c r="G70" s="13">
        <f t="shared" si="5"/>
        <v>0.29772999999999999</v>
      </c>
      <c r="H70" s="13">
        <f>B70+F70</f>
        <v>48.363900000000001</v>
      </c>
      <c r="I70" s="13">
        <f>C70+G70</f>
        <v>50.207729999999998</v>
      </c>
      <c r="J70" s="10">
        <f t="shared" si="6"/>
        <v>1.038124096691954</v>
      </c>
      <c r="K70" s="10">
        <f t="shared" si="2"/>
        <v>1.0383498188928155</v>
      </c>
      <c r="L70" s="13">
        <f t="shared" si="3"/>
        <v>50.219486109815222</v>
      </c>
      <c r="M70" s="13">
        <f t="shared" si="4"/>
        <v>50.207729999999998</v>
      </c>
      <c r="N70" s="13">
        <f>M70-L70</f>
        <v>-1.1756109815223681E-2</v>
      </c>
      <c r="O70" s="2">
        <f>N70/L70</f>
        <v>-2.3409458610381897E-4</v>
      </c>
    </row>
    <row r="71" spans="1:15" x14ac:dyDescent="0.25">
      <c r="A71" s="1">
        <v>46126</v>
      </c>
      <c r="B71" s="6">
        <v>48.22</v>
      </c>
      <c r="C71" s="6">
        <v>50.05</v>
      </c>
      <c r="F71" s="13">
        <f>F70+D71</f>
        <v>0.32389999999999997</v>
      </c>
      <c r="G71" s="13">
        <f t="shared" si="5"/>
        <v>0.29772999999999999</v>
      </c>
      <c r="H71" s="13">
        <f>B71+F71</f>
        <v>48.543900000000001</v>
      </c>
      <c r="I71" s="13">
        <f>C71+G71</f>
        <v>50.347729999999999</v>
      </c>
      <c r="J71" s="10">
        <f t="shared" si="6"/>
        <v>1.0371587367310826</v>
      </c>
      <c r="K71" s="10">
        <f t="shared" si="2"/>
        <v>1.0383445531492677</v>
      </c>
      <c r="L71" s="13">
        <f t="shared" si="3"/>
        <v>50.405549773350948</v>
      </c>
      <c r="M71" s="13">
        <f t="shared" si="4"/>
        <v>50.347729999999999</v>
      </c>
      <c r="N71" s="13">
        <f>M71-L71</f>
        <v>-5.7819773350949788E-2</v>
      </c>
      <c r="O71" s="2">
        <f>N71/L71</f>
        <v>-1.1470914137617181E-3</v>
      </c>
    </row>
    <row r="72" spans="1:15" x14ac:dyDescent="0.25">
      <c r="A72" s="1">
        <v>46127</v>
      </c>
      <c r="B72" s="6">
        <v>48.12</v>
      </c>
      <c r="C72" s="6">
        <v>49.96</v>
      </c>
      <c r="F72" s="13">
        <f>F71+D72</f>
        <v>0.32389999999999997</v>
      </c>
      <c r="G72" s="13">
        <f t="shared" si="5"/>
        <v>0.29772999999999999</v>
      </c>
      <c r="H72" s="13">
        <f>B72+F72</f>
        <v>48.443899999999999</v>
      </c>
      <c r="I72" s="13">
        <f>C72+G72</f>
        <v>50.257730000000002</v>
      </c>
      <c r="J72" s="10">
        <f t="shared" si="6"/>
        <v>1.0374418657457389</v>
      </c>
      <c r="K72" s="10">
        <f t="shared" si="2"/>
        <v>1.0384286632075936</v>
      </c>
      <c r="L72" s="13">
        <f t="shared" si="3"/>
        <v>50.301459698307809</v>
      </c>
      <c r="M72" s="13">
        <f t="shared" si="4"/>
        <v>50.257730000000002</v>
      </c>
      <c r="N72" s="13">
        <f>M72-L72</f>
        <v>-4.3729698307807041E-2</v>
      </c>
      <c r="O72" s="2">
        <f>N72/L72</f>
        <v>-8.6935247148062689E-4</v>
      </c>
    </row>
    <row r="73" spans="1:15" x14ac:dyDescent="0.25">
      <c r="A73" s="1">
        <v>46128</v>
      </c>
      <c r="B73" s="6">
        <v>48.09</v>
      </c>
      <c r="C73" s="6">
        <v>49.97</v>
      </c>
      <c r="F73" s="13">
        <f>F72+D73</f>
        <v>0.32389999999999997</v>
      </c>
      <c r="G73" s="13">
        <f t="shared" si="5"/>
        <v>0.29772999999999999</v>
      </c>
      <c r="H73" s="13">
        <f>B73+F73</f>
        <v>48.413900000000005</v>
      </c>
      <c r="I73" s="13">
        <f>C73+G73</f>
        <v>50.26773</v>
      </c>
      <c r="J73" s="10">
        <f t="shared" si="6"/>
        <v>1.038291275852596</v>
      </c>
      <c r="K73" s="10">
        <f t="shared" si="2"/>
        <v>1.0384550886290402</v>
      </c>
      <c r="L73" s="13">
        <f t="shared" si="3"/>
        <v>50.274381457666124</v>
      </c>
      <c r="M73" s="13">
        <f t="shared" si="4"/>
        <v>50.26773</v>
      </c>
      <c r="N73" s="13">
        <f>M73-L73</f>
        <v>-6.6514576661234059E-3</v>
      </c>
      <c r="O73" s="2">
        <f>N73/L73</f>
        <v>-1.3230312284844936E-4</v>
      </c>
    </row>
    <row r="74" spans="1:15" x14ac:dyDescent="0.25">
      <c r="A74" s="1">
        <v>46129</v>
      </c>
      <c r="B74" s="6">
        <v>48.33</v>
      </c>
      <c r="C74" s="6">
        <v>50.21</v>
      </c>
      <c r="F74" s="13">
        <f>F73+D74</f>
        <v>0.32389999999999997</v>
      </c>
      <c r="G74" s="13">
        <f t="shared" si="5"/>
        <v>0.29772999999999999</v>
      </c>
      <c r="H74" s="13">
        <f>B74+F74</f>
        <v>48.6539</v>
      </c>
      <c r="I74" s="13">
        <f>C74+G74</f>
        <v>50.507730000000002</v>
      </c>
      <c r="J74" s="10">
        <f t="shared" si="6"/>
        <v>1.038102392613953</v>
      </c>
      <c r="K74" s="10">
        <f t="shared" si="2"/>
        <v>1.0384521651835019</v>
      </c>
      <c r="L74" s="13">
        <f t="shared" si="3"/>
        <v>50.524890036648458</v>
      </c>
      <c r="M74" s="13">
        <f t="shared" si="4"/>
        <v>50.507730000000002</v>
      </c>
      <c r="N74" s="13">
        <f>M74-L74</f>
        <v>-1.7160036648455446E-2</v>
      </c>
      <c r="O74" s="2">
        <f>N74/L74</f>
        <v>-3.3963530917154565E-4</v>
      </c>
    </row>
    <row r="75" spans="1:15" x14ac:dyDescent="0.25">
      <c r="A75" s="1">
        <v>46132</v>
      </c>
      <c r="B75" s="6">
        <v>48.27</v>
      </c>
      <c r="C75" s="6">
        <v>50.15</v>
      </c>
      <c r="F75" s="13">
        <f>F74+D75</f>
        <v>0.32389999999999997</v>
      </c>
      <c r="G75" s="13">
        <f t="shared" si="5"/>
        <v>0.29772999999999999</v>
      </c>
      <c r="H75" s="13">
        <f>B75+F75</f>
        <v>48.593900000000005</v>
      </c>
      <c r="I75" s="13">
        <f>C75+G75</f>
        <v>50.44773</v>
      </c>
      <c r="J75" s="10">
        <f t="shared" si="6"/>
        <v>1.0381494385097716</v>
      </c>
      <c r="K75" s="10">
        <f t="shared" si="2"/>
        <v>1.0384597033283642</v>
      </c>
      <c r="L75" s="13">
        <f t="shared" si="3"/>
        <v>50.462440669710581</v>
      </c>
      <c r="M75" s="13">
        <f t="shared" si="4"/>
        <v>50.44773</v>
      </c>
      <c r="N75" s="13">
        <f>M75-L75</f>
        <v>-1.4710669710581215E-2</v>
      </c>
      <c r="O75" s="2">
        <f>N75/L75</f>
        <v>-2.9151720597238377E-4</v>
      </c>
    </row>
    <row r="76" spans="1:15" x14ac:dyDescent="0.25">
      <c r="A76" s="1">
        <v>46133</v>
      </c>
      <c r="B76" s="6">
        <v>48.1</v>
      </c>
      <c r="C76" s="6">
        <v>49.97</v>
      </c>
      <c r="F76" s="13">
        <f>F75+D76</f>
        <v>0.32389999999999997</v>
      </c>
      <c r="G76" s="13">
        <f t="shared" si="5"/>
        <v>0.29772999999999999</v>
      </c>
      <c r="H76" s="13">
        <f>B76+F76</f>
        <v>48.423900000000003</v>
      </c>
      <c r="I76" s="13">
        <f>C76+G76</f>
        <v>50.26773</v>
      </c>
      <c r="J76" s="10">
        <f t="shared" si="6"/>
        <v>1.0380768587412414</v>
      </c>
      <c r="K76" s="10">
        <f t="shared" si="2"/>
        <v>1.0384611237297476</v>
      </c>
      <c r="L76" s="13">
        <f t="shared" si="3"/>
        <v>50.286268828002378</v>
      </c>
      <c r="M76" s="13">
        <f t="shared" si="4"/>
        <v>50.26773</v>
      </c>
      <c r="N76" s="13">
        <f>M76-L76</f>
        <v>-1.8538828002377272E-2</v>
      </c>
      <c r="O76" s="2">
        <f>N76/L76</f>
        <v>-3.6866580946355186E-4</v>
      </c>
    </row>
    <row r="77" spans="1:15" x14ac:dyDescent="0.25">
      <c r="A77" s="1">
        <v>46134</v>
      </c>
      <c r="B77" s="6">
        <v>48.18</v>
      </c>
      <c r="C77" s="6">
        <v>50.07</v>
      </c>
      <c r="F77" s="13">
        <f>F76+D77</f>
        <v>0.32389999999999997</v>
      </c>
      <c r="G77" s="13">
        <f t="shared" si="5"/>
        <v>0.29772999999999999</v>
      </c>
      <c r="H77" s="13">
        <f>B77+F77</f>
        <v>48.503900000000002</v>
      </c>
      <c r="I77" s="13">
        <f>C77+G77</f>
        <v>50.367730000000002</v>
      </c>
      <c r="J77" s="10">
        <f t="shared" si="6"/>
        <v>1.0384263945785803</v>
      </c>
      <c r="K77" s="10">
        <f t="shared" si="2"/>
        <v>1.038483300621754</v>
      </c>
      <c r="L77" s="13">
        <f t="shared" si="3"/>
        <v>50.369414499275308</v>
      </c>
      <c r="M77" s="13">
        <f t="shared" si="4"/>
        <v>50.367730000000002</v>
      </c>
      <c r="N77" s="13">
        <f>M77-L77</f>
        <v>-1.6844992753064503E-3</v>
      </c>
      <c r="O77" s="2">
        <f>N77/L77</f>
        <v>-3.3442899665444515E-5</v>
      </c>
    </row>
    <row r="78" spans="1:15" x14ac:dyDescent="0.25">
      <c r="A78" s="1">
        <v>46135</v>
      </c>
      <c r="B78" s="6">
        <v>48.09</v>
      </c>
      <c r="C78" s="6">
        <v>49.96</v>
      </c>
      <c r="F78" s="13">
        <f>F77+D78</f>
        <v>0.32389999999999997</v>
      </c>
      <c r="G78" s="13">
        <f t="shared" si="5"/>
        <v>0.29772999999999999</v>
      </c>
      <c r="H78" s="13">
        <f>B78+F78</f>
        <v>48.413900000000005</v>
      </c>
      <c r="I78" s="13">
        <f>C78+G78</f>
        <v>50.257730000000002</v>
      </c>
      <c r="J78" s="10">
        <f t="shared" si="6"/>
        <v>1.038084723602106</v>
      </c>
      <c r="K78" s="10">
        <f t="shared" si="2"/>
        <v>1.0384982254845039</v>
      </c>
      <c r="L78" s="13">
        <f t="shared" si="3"/>
        <v>50.277026667971541</v>
      </c>
      <c r="M78" s="13">
        <f t="shared" si="4"/>
        <v>50.257730000000002</v>
      </c>
      <c r="N78" s="13">
        <f>M78-L78</f>
        <v>-1.9296667971538284E-2</v>
      </c>
      <c r="O78" s="2">
        <f>N78/L78</f>
        <v>-3.8380686469335359E-4</v>
      </c>
    </row>
    <row r="79" spans="1:15" x14ac:dyDescent="0.25">
      <c r="A79" s="1">
        <v>46136</v>
      </c>
      <c r="B79" s="6">
        <v>48.17</v>
      </c>
      <c r="C79" s="6">
        <v>50.09</v>
      </c>
      <c r="F79" s="13">
        <f>F78+D79</f>
        <v>0.32389999999999997</v>
      </c>
      <c r="G79" s="13">
        <f t="shared" si="5"/>
        <v>0.29772999999999999</v>
      </c>
      <c r="H79" s="13">
        <f>B79+F79</f>
        <v>48.493900000000004</v>
      </c>
      <c r="I79" s="13">
        <f>C79+G79</f>
        <v>50.387730000000005</v>
      </c>
      <c r="J79" s="10">
        <f t="shared" si="6"/>
        <v>1.0390529530518271</v>
      </c>
      <c r="K79" s="10">
        <f t="shared" si="2"/>
        <v>1.0384543224053246</v>
      </c>
      <c r="L79" s="13">
        <f t="shared" si="3"/>
        <v>50.360829096822989</v>
      </c>
      <c r="M79" s="13">
        <f t="shared" si="4"/>
        <v>50.387730000000005</v>
      </c>
      <c r="N79" s="13">
        <f>M79-L79</f>
        <v>2.6900903177015323E-2</v>
      </c>
      <c r="O79" s="2">
        <f>N79/L79</f>
        <v>5.3416323081766667E-4</v>
      </c>
    </row>
    <row r="80" spans="1:15" x14ac:dyDescent="0.25">
      <c r="A80" s="1">
        <v>46139</v>
      </c>
      <c r="B80" s="6">
        <v>48.05</v>
      </c>
      <c r="C80" s="6">
        <v>49.93</v>
      </c>
      <c r="F80" s="13">
        <f>F79+D80</f>
        <v>0.32389999999999997</v>
      </c>
      <c r="G80" s="13">
        <f t="shared" si="5"/>
        <v>0.29772999999999999</v>
      </c>
      <c r="H80" s="13">
        <f>B80+F80</f>
        <v>48.373899999999999</v>
      </c>
      <c r="I80" s="13">
        <f>C80+G80</f>
        <v>50.227730000000001</v>
      </c>
      <c r="J80" s="10">
        <f t="shared" si="6"/>
        <v>1.0383229386094568</v>
      </c>
      <c r="K80" s="10">
        <f t="shared" si="2"/>
        <v>1.0383705821361284</v>
      </c>
      <c r="L80" s="13">
        <f t="shared" si="3"/>
        <v>50.234085546602934</v>
      </c>
      <c r="M80" s="13">
        <f t="shared" si="4"/>
        <v>50.227730000000001</v>
      </c>
      <c r="N80" s="13">
        <f>M80-L80</f>
        <v>-6.3555466029328045E-3</v>
      </c>
      <c r="O80" s="2">
        <f>N80/L80</f>
        <v>-1.265186085061042E-4</v>
      </c>
    </row>
    <row r="81" spans="1:15" x14ac:dyDescent="0.25">
      <c r="A81" s="1">
        <v>46140</v>
      </c>
      <c r="B81" s="6">
        <v>48</v>
      </c>
      <c r="C81" s="6">
        <v>49.87</v>
      </c>
      <c r="F81" s="13">
        <f>F80+D81</f>
        <v>0.32389999999999997</v>
      </c>
      <c r="G81" s="13">
        <f t="shared" si="5"/>
        <v>0.29772999999999999</v>
      </c>
      <c r="H81" s="13">
        <f>B81+F81</f>
        <v>48.323900000000002</v>
      </c>
      <c r="I81" s="13">
        <f>C81+G81</f>
        <v>50.167729999999999</v>
      </c>
      <c r="J81" s="10">
        <f t="shared" si="6"/>
        <v>1.0381556538276091</v>
      </c>
      <c r="K81" s="10">
        <f t="shared" si="2"/>
        <v>1.038283893740767</v>
      </c>
      <c r="L81" s="13">
        <f t="shared" si="3"/>
        <v>50.178116174088061</v>
      </c>
      <c r="M81" s="13">
        <f t="shared" si="4"/>
        <v>50.167729999999999</v>
      </c>
      <c r="N81" s="13">
        <f>M81-L81</f>
        <v>-1.038617408806175E-2</v>
      </c>
      <c r="O81" s="2">
        <f>N81/L81</f>
        <v>-2.0698613020919191E-4</v>
      </c>
    </row>
    <row r="82" spans="1:15" x14ac:dyDescent="0.25">
      <c r="A82" s="1">
        <v>46141</v>
      </c>
      <c r="B82" s="6">
        <v>47.86</v>
      </c>
      <c r="C82" s="6">
        <v>49.79</v>
      </c>
      <c r="F82" s="13">
        <f>F81+D82</f>
        <v>0.32389999999999997</v>
      </c>
      <c r="G82" s="13">
        <f t="shared" si="5"/>
        <v>0.29772999999999999</v>
      </c>
      <c r="H82" s="13">
        <f>B82+F82</f>
        <v>48.183900000000001</v>
      </c>
      <c r="I82" s="13">
        <f>C82+G82</f>
        <v>50.087730000000001</v>
      </c>
      <c r="J82" s="10">
        <f t="shared" si="6"/>
        <v>1.0395117456245759</v>
      </c>
      <c r="K82" s="10">
        <f t="shared" si="2"/>
        <v>1.0383068348517011</v>
      </c>
      <c r="L82" s="13">
        <f t="shared" si="3"/>
        <v>50.028567307615745</v>
      </c>
      <c r="M82" s="13">
        <f t="shared" si="4"/>
        <v>50.087730000000001</v>
      </c>
      <c r="N82" s="13">
        <f>M82-L82</f>
        <v>5.9162692384255422E-2</v>
      </c>
      <c r="O82" s="2">
        <f>N82/L82</f>
        <v>1.182578186188618E-3</v>
      </c>
    </row>
    <row r="83" spans="1:15" x14ac:dyDescent="0.25">
      <c r="A83" s="1">
        <v>46142</v>
      </c>
      <c r="B83" s="6">
        <v>48.05</v>
      </c>
      <c r="C83" s="6">
        <v>49.91</v>
      </c>
      <c r="F83" s="13">
        <f>F82+D83</f>
        <v>0.32389999999999997</v>
      </c>
      <c r="G83" s="13">
        <f t="shared" si="5"/>
        <v>0.29772999999999999</v>
      </c>
      <c r="H83" s="13">
        <f>B83+F83</f>
        <v>48.373899999999999</v>
      </c>
      <c r="I83" s="13">
        <f>C83+G83</f>
        <v>50.207729999999998</v>
      </c>
      <c r="J83" s="10">
        <f t="shared" si="6"/>
        <v>1.0379094925155921</v>
      </c>
      <c r="K83" s="10">
        <f t="shared" si="2"/>
        <v>1.0383156109077398</v>
      </c>
      <c r="L83" s="13">
        <f t="shared" si="3"/>
        <v>50.226950998432699</v>
      </c>
      <c r="M83" s="13">
        <f t="shared" si="4"/>
        <v>50.207729999999998</v>
      </c>
      <c r="N83" s="13">
        <f>M83-L83</f>
        <v>-1.9220998432700753E-2</v>
      </c>
      <c r="O83" s="2">
        <f>N83/L83</f>
        <v>-3.8268296304309879E-4</v>
      </c>
    </row>
    <row r="84" spans="1:15" x14ac:dyDescent="0.25">
      <c r="A84" s="1">
        <v>46143</v>
      </c>
      <c r="B84" s="6">
        <v>47.97</v>
      </c>
      <c r="C84" s="6">
        <v>49.94</v>
      </c>
      <c r="D84" s="13">
        <v>0.11260000000000001</v>
      </c>
      <c r="E84" s="13">
        <v>0</v>
      </c>
      <c r="F84" s="13">
        <f>F83+D84</f>
        <v>0.4365</v>
      </c>
      <c r="G84" s="13">
        <f t="shared" si="5"/>
        <v>0.29772999999999999</v>
      </c>
      <c r="H84" s="13">
        <f>B84+F84</f>
        <v>48.406500000000001</v>
      </c>
      <c r="I84" s="13">
        <f>C84+G84</f>
        <v>50.237729999999999</v>
      </c>
      <c r="J84" s="10">
        <f t="shared" si="6"/>
        <v>1.0378302500697221</v>
      </c>
      <c r="K84" s="10">
        <f t="shared" si="2"/>
        <v>1.0382977602487637</v>
      </c>
      <c r="L84" s="13">
        <f t="shared" si="3"/>
        <v>50.26122461940551</v>
      </c>
      <c r="M84" s="13">
        <f t="shared" si="4"/>
        <v>50.237729999999999</v>
      </c>
      <c r="N84" s="13">
        <f>M84-L84</f>
        <v>-2.349461940551123E-2</v>
      </c>
      <c r="O84" s="2">
        <f>N84/L84</f>
        <v>-4.6745019810838674E-4</v>
      </c>
    </row>
    <row r="85" spans="1:15" x14ac:dyDescent="0.25">
      <c r="A85" s="1">
        <v>46146</v>
      </c>
      <c r="B85" s="6">
        <v>47.84</v>
      </c>
      <c r="C85" s="6">
        <v>49.84</v>
      </c>
      <c r="F85" s="13">
        <f>F84+D85</f>
        <v>0.4365</v>
      </c>
      <c r="G85" s="13">
        <f t="shared" si="5"/>
        <v>0.29772999999999999</v>
      </c>
      <c r="H85" s="13">
        <f>B85+F85</f>
        <v>48.276500000000006</v>
      </c>
      <c r="I85" s="13">
        <f>C85+G85</f>
        <v>50.137730000000005</v>
      </c>
      <c r="J85" s="10">
        <f t="shared" si="6"/>
        <v>1.0385535405424999</v>
      </c>
      <c r="K85" s="10">
        <f t="shared" si="2"/>
        <v>1.0382714148835095</v>
      </c>
      <c r="L85" s="13">
        <f t="shared" si="3"/>
        <v>50.125381822649452</v>
      </c>
      <c r="M85" s="13">
        <f t="shared" si="4"/>
        <v>50.137730000000005</v>
      </c>
      <c r="N85" s="13">
        <f>M85-L85</f>
        <v>1.2348177350553158E-2</v>
      </c>
      <c r="O85" s="2">
        <f>N85/L85</f>
        <v>2.4634580129968326E-4</v>
      </c>
    </row>
    <row r="86" spans="1:15" x14ac:dyDescent="0.25">
      <c r="A86" s="1">
        <v>46147</v>
      </c>
      <c r="B86" s="6">
        <v>47.89</v>
      </c>
      <c r="C86" s="6">
        <v>49.87</v>
      </c>
      <c r="F86" s="13">
        <f>F85+D86</f>
        <v>0.4365</v>
      </c>
      <c r="G86" s="13">
        <f t="shared" si="5"/>
        <v>0.29772999999999999</v>
      </c>
      <c r="H86" s="13">
        <f>B86+F86</f>
        <v>48.326500000000003</v>
      </c>
      <c r="I86" s="13">
        <f>C86+G86</f>
        <v>50.167729999999999</v>
      </c>
      <c r="J86" s="10">
        <f t="shared" si="6"/>
        <v>1.0380998003165964</v>
      </c>
      <c r="K86" s="10">
        <f t="shared" si="2"/>
        <v>1.0382339640019624</v>
      </c>
      <c r="L86" s="13">
        <f t="shared" si="3"/>
        <v>50.176023531367925</v>
      </c>
      <c r="M86" s="13">
        <f t="shared" si="4"/>
        <v>50.167729999999999</v>
      </c>
      <c r="N86" s="13">
        <f>M86-L86</f>
        <v>-8.2935313679257661E-3</v>
      </c>
      <c r="O86" s="2">
        <f>N86/L86</f>
        <v>-1.6528873322815233E-4</v>
      </c>
    </row>
    <row r="87" spans="1:15" x14ac:dyDescent="0.25">
      <c r="A87" s="1">
        <v>46148</v>
      </c>
      <c r="B87" s="6">
        <v>48.16</v>
      </c>
      <c r="C87" s="6">
        <v>50.12</v>
      </c>
      <c r="F87" s="13">
        <f>F86+D87</f>
        <v>0.4365</v>
      </c>
      <c r="G87" s="13">
        <f t="shared" si="5"/>
        <v>0.29772999999999999</v>
      </c>
      <c r="H87" s="13">
        <f>B87+F87</f>
        <v>48.596499999999999</v>
      </c>
      <c r="I87" s="13">
        <f>C87+G87</f>
        <v>50.417729999999999</v>
      </c>
      <c r="J87" s="10">
        <f t="shared" si="6"/>
        <v>1.0374765672424968</v>
      </c>
      <c r="K87" s="10">
        <f t="shared" ref="K87:K150" si="7">AVERAGE(J68:J87)</f>
        <v>1.0382315746120139</v>
      </c>
      <c r="L87" s="13">
        <f t="shared" si="3"/>
        <v>50.454536831621368</v>
      </c>
      <c r="M87" s="13">
        <f t="shared" si="4"/>
        <v>50.417729999999999</v>
      </c>
      <c r="N87" s="13">
        <f>M87-L87</f>
        <v>-3.680683162136944E-2</v>
      </c>
      <c r="O87" s="2">
        <f>N87/L87</f>
        <v>-7.2950489554987846E-4</v>
      </c>
    </row>
    <row r="88" spans="1:15" x14ac:dyDescent="0.25">
      <c r="A88" s="1">
        <v>46149</v>
      </c>
      <c r="B88" s="6">
        <v>48.08</v>
      </c>
      <c r="C88" s="6">
        <v>50.04</v>
      </c>
      <c r="F88" s="13">
        <f>F87+D88</f>
        <v>0.4365</v>
      </c>
      <c r="G88" s="13">
        <f t="shared" si="5"/>
        <v>0.29772999999999999</v>
      </c>
      <c r="H88" s="13">
        <f>B88+F88</f>
        <v>48.516500000000001</v>
      </c>
      <c r="I88" s="13">
        <f>C88+G88</f>
        <v>50.337730000000001</v>
      </c>
      <c r="J88" s="10">
        <f t="shared" si="6"/>
        <v>1.0375383632372492</v>
      </c>
      <c r="K88" s="10">
        <f t="shared" si="7"/>
        <v>1.0381748713316397</v>
      </c>
      <c r="L88" s="13">
        <f t="shared" ref="L88:L151" si="8">K87*H88</f>
        <v>50.37136218966377</v>
      </c>
      <c r="M88" s="13">
        <f t="shared" ref="M88:M151" si="9">I88</f>
        <v>50.337730000000001</v>
      </c>
      <c r="N88" s="13">
        <f>M88-L88</f>
        <v>-3.3632189663769907E-2</v>
      </c>
      <c r="O88" s="2">
        <f>N88/L88</f>
        <v>-6.676847359643423E-4</v>
      </c>
    </row>
    <row r="89" spans="1:15" x14ac:dyDescent="0.25">
      <c r="A89" s="1">
        <v>46150</v>
      </c>
      <c r="B89" s="6">
        <v>48.14</v>
      </c>
      <c r="C89" s="6">
        <v>50.16</v>
      </c>
      <c r="F89" s="13">
        <f>F88+D89</f>
        <v>0.4365</v>
      </c>
      <c r="G89" s="13">
        <f t="shared" si="5"/>
        <v>0.29772999999999999</v>
      </c>
      <c r="H89" s="13">
        <f>B89+F89</f>
        <v>48.576500000000003</v>
      </c>
      <c r="I89" s="13">
        <f>C89+G89</f>
        <v>50.457729999999998</v>
      </c>
      <c r="J89" s="10">
        <f t="shared" si="6"/>
        <v>1.0387271623109939</v>
      </c>
      <c r="K89" s="10">
        <f t="shared" si="7"/>
        <v>1.0381517125207824</v>
      </c>
      <c r="L89" s="13">
        <f t="shared" si="8"/>
        <v>50.430901637241398</v>
      </c>
      <c r="M89" s="13">
        <f t="shared" si="9"/>
        <v>50.457729999999998</v>
      </c>
      <c r="N89" s="13">
        <f>M89-L89</f>
        <v>2.6828362758600122E-2</v>
      </c>
      <c r="O89" s="2">
        <f>N89/L89</f>
        <v>5.3198261160550709E-4</v>
      </c>
    </row>
    <row r="90" spans="1:15" x14ac:dyDescent="0.25">
      <c r="A90" s="1">
        <v>46153</v>
      </c>
      <c r="B90" s="6">
        <v>47.98</v>
      </c>
      <c r="C90" s="6">
        <v>50</v>
      </c>
      <c r="F90" s="13">
        <f>F89+D90</f>
        <v>0.4365</v>
      </c>
      <c r="G90" s="13">
        <f t="shared" si="5"/>
        <v>0.29772999999999999</v>
      </c>
      <c r="H90" s="13">
        <f>B90+F90</f>
        <v>48.416499999999999</v>
      </c>
      <c r="I90" s="13">
        <f>C90+G90</f>
        <v>50.297730000000001</v>
      </c>
      <c r="J90" s="10">
        <f t="shared" si="6"/>
        <v>1.0388551423584935</v>
      </c>
      <c r="K90" s="10">
        <f t="shared" si="7"/>
        <v>1.0381882648041092</v>
      </c>
      <c r="L90" s="13">
        <f t="shared" si="8"/>
        <v>50.26367238926246</v>
      </c>
      <c r="M90" s="13">
        <f t="shared" si="9"/>
        <v>50.297730000000001</v>
      </c>
      <c r="N90" s="13">
        <f>M90-L90</f>
        <v>3.4057610737541211E-2</v>
      </c>
      <c r="O90" s="2">
        <f>N90/L90</f>
        <v>6.7757903707841172E-4</v>
      </c>
    </row>
    <row r="91" spans="1:15" x14ac:dyDescent="0.25">
      <c r="A91" s="1">
        <v>46154</v>
      </c>
      <c r="B91" s="6">
        <v>47.81</v>
      </c>
      <c r="C91" s="6">
        <v>49.88</v>
      </c>
      <c r="F91" s="13">
        <f>F90+D91</f>
        <v>0.4365</v>
      </c>
      <c r="G91" s="13">
        <f t="shared" si="5"/>
        <v>0.29772999999999999</v>
      </c>
      <c r="H91" s="13">
        <f>B91+F91</f>
        <v>48.246500000000005</v>
      </c>
      <c r="I91" s="13">
        <f>C91+G91</f>
        <v>50.177730000000004</v>
      </c>
      <c r="J91" s="10">
        <f t="shared" si="6"/>
        <v>1.0400283958421854</v>
      </c>
      <c r="K91" s="10">
        <f t="shared" si="7"/>
        <v>1.0383317477596643</v>
      </c>
      <c r="L91" s="13">
        <f t="shared" si="8"/>
        <v>50.088950117871462</v>
      </c>
      <c r="M91" s="13">
        <f t="shared" si="9"/>
        <v>50.177730000000004</v>
      </c>
      <c r="N91" s="13">
        <f>M91-L91</f>
        <v>8.8779882128541487E-2</v>
      </c>
      <c r="O91" s="2">
        <f>N91/L91</f>
        <v>1.7724444596986136E-3</v>
      </c>
    </row>
    <row r="92" spans="1:15" x14ac:dyDescent="0.25">
      <c r="A92" s="1">
        <v>46155</v>
      </c>
      <c r="B92" s="6">
        <v>47.9</v>
      </c>
      <c r="C92" s="6">
        <v>49.93</v>
      </c>
      <c r="F92" s="13">
        <f>F91+D92</f>
        <v>0.4365</v>
      </c>
      <c r="G92" s="13">
        <f t="shared" si="5"/>
        <v>0.29772999999999999</v>
      </c>
      <c r="H92" s="13">
        <f>B92+F92</f>
        <v>48.336500000000001</v>
      </c>
      <c r="I92" s="13">
        <f>C92+G92</f>
        <v>50.227730000000001</v>
      </c>
      <c r="J92" s="10">
        <f t="shared" si="6"/>
        <v>1.0391263331023139</v>
      </c>
      <c r="K92" s="10">
        <f t="shared" si="7"/>
        <v>1.038415971127493</v>
      </c>
      <c r="L92" s="13">
        <f t="shared" si="8"/>
        <v>50.189322525585013</v>
      </c>
      <c r="M92" s="13">
        <f t="shared" si="9"/>
        <v>50.227730000000001</v>
      </c>
      <c r="N92" s="13">
        <f>M92-L92</f>
        <v>3.8407474414988485E-2</v>
      </c>
      <c r="O92" s="2">
        <f>N92/L92</f>
        <v>7.6525189985199554E-4</v>
      </c>
    </row>
    <row r="93" spans="1:15" x14ac:dyDescent="0.25">
      <c r="A93" s="1">
        <v>46156</v>
      </c>
      <c r="B93" s="6">
        <v>47.97</v>
      </c>
      <c r="C93" s="6">
        <v>49.92</v>
      </c>
      <c r="F93" s="13">
        <f>F92+D93</f>
        <v>0.4365</v>
      </c>
      <c r="G93" s="13">
        <f t="shared" si="5"/>
        <v>0.29772999999999999</v>
      </c>
      <c r="H93" s="13">
        <f>B93+F93</f>
        <v>48.406500000000001</v>
      </c>
      <c r="I93" s="13">
        <f>C93+G93</f>
        <v>50.217730000000003</v>
      </c>
      <c r="J93" s="10">
        <f t="shared" si="6"/>
        <v>1.0374170824166176</v>
      </c>
      <c r="K93" s="10">
        <f t="shared" si="7"/>
        <v>1.0383722614556941</v>
      </c>
      <c r="L93" s="13">
        <f t="shared" si="8"/>
        <v>50.266082706382988</v>
      </c>
      <c r="M93" s="13">
        <f t="shared" si="9"/>
        <v>50.217730000000003</v>
      </c>
      <c r="N93" s="13">
        <f>M93-L93</f>
        <v>-4.8352706382985389E-2</v>
      </c>
      <c r="O93" s="2">
        <f>N93/L93</f>
        <v>-9.6193504207252192E-4</v>
      </c>
    </row>
    <row r="94" spans="1:15" x14ac:dyDescent="0.25">
      <c r="A94" s="1">
        <v>46157</v>
      </c>
      <c r="B94" s="6">
        <v>47.57</v>
      </c>
      <c r="C94" s="6">
        <v>49.68</v>
      </c>
      <c r="F94" s="13">
        <f>F93+D94</f>
        <v>0.4365</v>
      </c>
      <c r="G94" s="13">
        <f t="shared" si="5"/>
        <v>0.29772999999999999</v>
      </c>
      <c r="H94" s="13">
        <f>B94+F94</f>
        <v>48.006500000000003</v>
      </c>
      <c r="I94" s="13">
        <f>C94+G94</f>
        <v>49.977730000000001</v>
      </c>
      <c r="J94" s="10">
        <f t="shared" si="6"/>
        <v>1.0410617312238968</v>
      </c>
      <c r="K94" s="10">
        <f t="shared" si="7"/>
        <v>1.0385202283861914</v>
      </c>
      <c r="L94" s="13">
        <f t="shared" si="8"/>
        <v>49.848617969572778</v>
      </c>
      <c r="M94" s="13">
        <f t="shared" si="9"/>
        <v>49.977730000000001</v>
      </c>
      <c r="N94" s="13">
        <f>M94-L94</f>
        <v>0.12911203042722263</v>
      </c>
      <c r="O94" s="2">
        <f>N94/L94</f>
        <v>2.590082447341502E-3</v>
      </c>
    </row>
    <row r="95" spans="1:15" x14ac:dyDescent="0.25">
      <c r="A95" s="1">
        <v>46160</v>
      </c>
      <c r="B95" s="6">
        <v>47.7</v>
      </c>
      <c r="C95" s="6">
        <v>49.79</v>
      </c>
      <c r="F95" s="13">
        <f>F94+D95</f>
        <v>0.4365</v>
      </c>
      <c r="G95" s="13">
        <f t="shared" si="5"/>
        <v>0.29772999999999999</v>
      </c>
      <c r="H95" s="13">
        <f>B95+F95</f>
        <v>48.136500000000005</v>
      </c>
      <c r="I95" s="13">
        <f>C95+G95</f>
        <v>50.087730000000001</v>
      </c>
      <c r="J95" s="10">
        <f t="shared" si="6"/>
        <v>1.040535352591069</v>
      </c>
      <c r="K95" s="10">
        <f t="shared" si="7"/>
        <v>1.0386395240902562</v>
      </c>
      <c r="L95" s="13">
        <f t="shared" si="8"/>
        <v>49.99072897371191</v>
      </c>
      <c r="M95" s="13">
        <f t="shared" si="9"/>
        <v>50.087730000000001</v>
      </c>
      <c r="N95" s="13">
        <f>M95-L95</f>
        <v>9.7001026288090486E-2</v>
      </c>
      <c r="O95" s="2">
        <f>N95/L95</f>
        <v>1.940380312099457E-3</v>
      </c>
    </row>
    <row r="96" spans="1:15" x14ac:dyDescent="0.25">
      <c r="A96" s="1">
        <v>46161</v>
      </c>
      <c r="B96" s="6">
        <v>47.59</v>
      </c>
      <c r="C96" s="6">
        <v>49.68</v>
      </c>
      <c r="F96" s="13">
        <f>F95+D96</f>
        <v>0.4365</v>
      </c>
      <c r="G96" s="13">
        <f t="shared" si="5"/>
        <v>0.29772999999999999</v>
      </c>
      <c r="H96" s="13">
        <f>B96+F96</f>
        <v>48.026500000000006</v>
      </c>
      <c r="I96" s="13">
        <f>C96+G96</f>
        <v>49.977730000000001</v>
      </c>
      <c r="J96" s="10">
        <f t="shared" si="6"/>
        <v>1.0406281948507594</v>
      </c>
      <c r="K96" s="10">
        <f t="shared" si="7"/>
        <v>1.0387670908957323</v>
      </c>
      <c r="L96" s="13">
        <f t="shared" si="8"/>
        <v>49.882221103720696</v>
      </c>
      <c r="M96" s="13">
        <f t="shared" si="9"/>
        <v>49.977730000000001</v>
      </c>
      <c r="N96" s="13">
        <f>M96-L96</f>
        <v>9.5508896279305588E-2</v>
      </c>
      <c r="O96" s="2">
        <f>N96/L96</f>
        <v>1.9146881226622368E-3</v>
      </c>
    </row>
    <row r="97" spans="1:15" x14ac:dyDescent="0.25">
      <c r="A97" s="1">
        <v>46162</v>
      </c>
      <c r="B97" s="6">
        <v>47.92</v>
      </c>
      <c r="C97" s="6">
        <v>49.97</v>
      </c>
      <c r="F97" s="13">
        <f>F96+D97</f>
        <v>0.4365</v>
      </c>
      <c r="G97" s="13">
        <f t="shared" si="5"/>
        <v>0.29772999999999999</v>
      </c>
      <c r="H97" s="13">
        <f>B97+F97</f>
        <v>48.356500000000004</v>
      </c>
      <c r="I97" s="13">
        <f>C97+G97</f>
        <v>50.26773</v>
      </c>
      <c r="J97" s="10">
        <f t="shared" si="6"/>
        <v>1.0395237455150805</v>
      </c>
      <c r="K97" s="10">
        <f t="shared" si="7"/>
        <v>1.0388219584425573</v>
      </c>
      <c r="L97" s="13">
        <f t="shared" si="8"/>
        <v>50.231140830899484</v>
      </c>
      <c r="M97" s="13">
        <f t="shared" si="9"/>
        <v>50.26773</v>
      </c>
      <c r="N97" s="13">
        <f>M97-L97</f>
        <v>3.6589169100516017E-2</v>
      </c>
      <c r="O97" s="2">
        <f>N97/L97</f>
        <v>7.2841604819790071E-4</v>
      </c>
    </row>
    <row r="98" spans="1:15" x14ac:dyDescent="0.25">
      <c r="A98" s="1">
        <v>46163</v>
      </c>
      <c r="B98" s="6">
        <v>47.98</v>
      </c>
      <c r="C98" s="6">
        <v>50.01</v>
      </c>
      <c r="F98" s="13">
        <f>F97+D98</f>
        <v>0.4365</v>
      </c>
      <c r="G98" s="13">
        <f t="shared" si="5"/>
        <v>0.29772999999999999</v>
      </c>
      <c r="H98" s="13">
        <f>B98+F98</f>
        <v>48.416499999999999</v>
      </c>
      <c r="I98" s="13">
        <f>C98+G98</f>
        <v>50.307729999999999</v>
      </c>
      <c r="J98" s="10">
        <f t="shared" si="6"/>
        <v>1.0390616835169828</v>
      </c>
      <c r="K98" s="10">
        <f t="shared" si="7"/>
        <v>1.0388708064383008</v>
      </c>
      <c r="L98" s="13">
        <f t="shared" si="8"/>
        <v>50.296123350934074</v>
      </c>
      <c r="M98" s="13">
        <f t="shared" si="9"/>
        <v>50.307729999999999</v>
      </c>
      <c r="N98" s="13">
        <f>M98-L98</f>
        <v>1.1606649065925012E-2</v>
      </c>
      <c r="O98" s="2">
        <f>N98/L98</f>
        <v>2.3076627566186885E-4</v>
      </c>
    </row>
    <row r="99" spans="1:15" x14ac:dyDescent="0.25">
      <c r="A99" s="1">
        <v>46164</v>
      </c>
      <c r="B99" s="6">
        <v>48.06</v>
      </c>
      <c r="C99" s="6">
        <v>50.04</v>
      </c>
      <c r="F99" s="13">
        <f>F98+D99</f>
        <v>0.4365</v>
      </c>
      <c r="G99" s="13">
        <f t="shared" si="5"/>
        <v>0.29772999999999999</v>
      </c>
      <c r="H99" s="13">
        <f>B99+F99</f>
        <v>48.496500000000005</v>
      </c>
      <c r="I99" s="13">
        <f>C99+G99</f>
        <v>50.337730000000001</v>
      </c>
      <c r="J99" s="10">
        <f t="shared" si="6"/>
        <v>1.0379662449867515</v>
      </c>
      <c r="K99" s="10">
        <f t="shared" si="7"/>
        <v>1.0388164710350469</v>
      </c>
      <c r="L99" s="13">
        <f t="shared" si="8"/>
        <v>50.38159806443506</v>
      </c>
      <c r="M99" s="13">
        <f t="shared" si="9"/>
        <v>50.337730000000001</v>
      </c>
      <c r="N99" s="13">
        <f>M99-L99</f>
        <v>-4.386806443505975E-2</v>
      </c>
      <c r="O99" s="2">
        <f>N99/L99</f>
        <v>-8.7071601776019707E-4</v>
      </c>
    </row>
    <row r="100" spans="1:15" x14ac:dyDescent="0.25">
      <c r="A100" s="1">
        <v>46168</v>
      </c>
      <c r="B100" s="6">
        <v>48.23</v>
      </c>
      <c r="C100" s="6">
        <v>50.19</v>
      </c>
      <c r="F100" s="13">
        <f>F99+D100</f>
        <v>0.4365</v>
      </c>
      <c r="G100" s="13">
        <f t="shared" si="5"/>
        <v>0.29772999999999999</v>
      </c>
      <c r="H100" s="13">
        <f>B100+F100</f>
        <v>48.666499999999999</v>
      </c>
      <c r="I100" s="13">
        <f>C100+G100</f>
        <v>50.487729999999999</v>
      </c>
      <c r="J100" s="10">
        <f t="shared" si="6"/>
        <v>1.037422662406378</v>
      </c>
      <c r="K100" s="10">
        <f t="shared" si="7"/>
        <v>1.0387714572248932</v>
      </c>
      <c r="L100" s="13">
        <f t="shared" si="8"/>
        <v>50.555561787627113</v>
      </c>
      <c r="M100" s="13">
        <f t="shared" si="9"/>
        <v>50.487729999999999</v>
      </c>
      <c r="N100" s="13">
        <f>M100-L100</f>
        <v>-6.7831787627113727E-2</v>
      </c>
      <c r="O100" s="2">
        <f>N100/L100</f>
        <v>-1.3417275019524117E-3</v>
      </c>
    </row>
    <row r="101" spans="1:15" x14ac:dyDescent="0.25">
      <c r="A101" s="1">
        <v>46169</v>
      </c>
      <c r="B101" s="6">
        <v>48.22</v>
      </c>
      <c r="C101" s="6">
        <v>50.2</v>
      </c>
      <c r="F101" s="13">
        <f>F100+D101</f>
        <v>0.4365</v>
      </c>
      <c r="G101" s="13">
        <f t="shared" si="5"/>
        <v>0.29772999999999999</v>
      </c>
      <c r="H101" s="13">
        <f>B101+F101</f>
        <v>48.656500000000001</v>
      </c>
      <c r="I101" s="13">
        <f>C101+G101</f>
        <v>50.497730000000004</v>
      </c>
      <c r="J101" s="10">
        <f t="shared" si="6"/>
        <v>1.037841398374318</v>
      </c>
      <c r="K101" s="10">
        <f t="shared" si="7"/>
        <v>1.0387557444522286</v>
      </c>
      <c r="L101" s="13">
        <f t="shared" si="8"/>
        <v>50.542983408463016</v>
      </c>
      <c r="M101" s="13">
        <f t="shared" si="9"/>
        <v>50.497730000000004</v>
      </c>
      <c r="N101" s="13">
        <f>M101-L101</f>
        <v>-4.5253408463011624E-2</v>
      </c>
      <c r="O101" s="2">
        <f>N101/L101</f>
        <v>-8.9534501945198405E-4</v>
      </c>
    </row>
    <row r="102" spans="1:15" x14ac:dyDescent="0.25">
      <c r="A102" s="1">
        <v>46170</v>
      </c>
      <c r="B102" s="6">
        <v>48.26</v>
      </c>
      <c r="C102" s="6">
        <v>50.23</v>
      </c>
      <c r="F102" s="13">
        <f>F101+D102</f>
        <v>0.4365</v>
      </c>
      <c r="G102" s="13">
        <f t="shared" si="5"/>
        <v>0.29772999999999999</v>
      </c>
      <c r="H102" s="13">
        <f>B102+F102</f>
        <v>48.6965</v>
      </c>
      <c r="I102" s="13">
        <f>C102+G102</f>
        <v>50.527729999999998</v>
      </c>
      <c r="J102" s="10">
        <f t="shared" si="6"/>
        <v>1.0376049613421909</v>
      </c>
      <c r="K102" s="10">
        <f t="shared" si="7"/>
        <v>1.0386604052381094</v>
      </c>
      <c r="L102" s="13">
        <f t="shared" si="8"/>
        <v>50.583769109717949</v>
      </c>
      <c r="M102" s="13">
        <f t="shared" si="9"/>
        <v>50.527729999999998</v>
      </c>
      <c r="N102" s="13">
        <f>M102-L102</f>
        <v>-5.6039109717950453E-2</v>
      </c>
      <c r="O102" s="2">
        <f>N102/L102</f>
        <v>-1.1078476496363819E-3</v>
      </c>
    </row>
    <row r="103" spans="1:15" x14ac:dyDescent="0.25">
      <c r="A103" s="1">
        <v>46171</v>
      </c>
      <c r="B103" s="6">
        <v>48.33</v>
      </c>
      <c r="C103" s="6">
        <v>50.27</v>
      </c>
      <c r="F103" s="13">
        <f>F102+D103</f>
        <v>0.4365</v>
      </c>
      <c r="G103" s="13">
        <f t="shared" si="5"/>
        <v>0.29772999999999999</v>
      </c>
      <c r="H103" s="13">
        <f>B103+F103</f>
        <v>48.766500000000001</v>
      </c>
      <c r="I103" s="13">
        <f>C103+G103</f>
        <v>50.567730000000005</v>
      </c>
      <c r="J103" s="10">
        <f t="shared" si="6"/>
        <v>1.0369358063424687</v>
      </c>
      <c r="K103" s="10">
        <f t="shared" si="7"/>
        <v>1.0386117209294532</v>
      </c>
      <c r="L103" s="13">
        <f t="shared" si="8"/>
        <v>50.651832652044263</v>
      </c>
      <c r="M103" s="13">
        <f t="shared" si="9"/>
        <v>50.567730000000005</v>
      </c>
      <c r="N103" s="13">
        <f>M103-L103</f>
        <v>-8.4102652044258264E-2</v>
      </c>
      <c r="O103" s="2">
        <f>N103/L103</f>
        <v>-1.6604068923232525E-3</v>
      </c>
    </row>
    <row r="104" spans="1:15" x14ac:dyDescent="0.25">
      <c r="A104" s="1">
        <v>46174</v>
      </c>
      <c r="B104" s="6">
        <v>48.11</v>
      </c>
      <c r="C104" s="6">
        <v>50.23</v>
      </c>
      <c r="D104" s="13">
        <v>0.11409999999999999</v>
      </c>
      <c r="E104" s="13">
        <v>0</v>
      </c>
      <c r="F104" s="13">
        <f>F103+D104</f>
        <v>0.55059999999999998</v>
      </c>
      <c r="G104" s="13">
        <f t="shared" si="5"/>
        <v>0.29772999999999999</v>
      </c>
      <c r="H104" s="13">
        <f>B104+F104</f>
        <v>48.660600000000002</v>
      </c>
      <c r="I104" s="13">
        <f>C104+G104</f>
        <v>50.527729999999998</v>
      </c>
      <c r="J104" s="10">
        <f t="shared" si="6"/>
        <v>1.0383704680994479</v>
      </c>
      <c r="K104" s="10">
        <f t="shared" si="7"/>
        <v>1.0386387318309394</v>
      </c>
      <c r="L104" s="13">
        <f t="shared" si="8"/>
        <v>50.539469507459749</v>
      </c>
      <c r="M104" s="13">
        <f t="shared" si="9"/>
        <v>50.527729999999998</v>
      </c>
      <c r="N104" s="13">
        <f>M104-L104</f>
        <v>-1.1739507459751053E-2</v>
      </c>
      <c r="O104" s="2">
        <f>N104/L104</f>
        <v>-2.3228394706474456E-4</v>
      </c>
    </row>
    <row r="105" spans="1:15" x14ac:dyDescent="0.25">
      <c r="A105" s="1">
        <v>46175</v>
      </c>
      <c r="B105" s="6">
        <v>48.2</v>
      </c>
      <c r="C105" s="6">
        <v>50.27</v>
      </c>
      <c r="F105" s="13">
        <f>F104+D105</f>
        <v>0.55059999999999998</v>
      </c>
      <c r="G105" s="13">
        <f t="shared" si="5"/>
        <v>0.29772999999999999</v>
      </c>
      <c r="H105" s="13">
        <f>B105+F105</f>
        <v>48.750600000000006</v>
      </c>
      <c r="I105" s="13">
        <f>C105+G105</f>
        <v>50.567730000000005</v>
      </c>
      <c r="J105" s="10">
        <f t="shared" si="6"/>
        <v>1.0372740027815042</v>
      </c>
      <c r="K105" s="10">
        <f t="shared" si="7"/>
        <v>1.0385747549428896</v>
      </c>
      <c r="L105" s="13">
        <f t="shared" si="8"/>
        <v>50.634261359997396</v>
      </c>
      <c r="M105" s="13">
        <f t="shared" si="9"/>
        <v>50.567730000000005</v>
      </c>
      <c r="N105" s="13">
        <f>M105-L105</f>
        <v>-6.6531359997391348E-2</v>
      </c>
      <c r="O105" s="2">
        <f>N105/L105</f>
        <v>-1.3139593273489153E-3</v>
      </c>
    </row>
    <row r="106" spans="1:15" x14ac:dyDescent="0.25">
      <c r="A106" s="1">
        <v>46176</v>
      </c>
      <c r="B106" s="6">
        <v>48.03</v>
      </c>
      <c r="C106" s="6">
        <v>50.17</v>
      </c>
      <c r="F106" s="13">
        <f>F105+D106</f>
        <v>0.55059999999999998</v>
      </c>
      <c r="G106" s="13">
        <f t="shared" si="5"/>
        <v>0.29772999999999999</v>
      </c>
      <c r="H106" s="13">
        <f>B106+F106</f>
        <v>48.580600000000004</v>
      </c>
      <c r="I106" s="13">
        <f>C106+G106</f>
        <v>50.467730000000003</v>
      </c>
      <c r="J106" s="10">
        <f t="shared" si="6"/>
        <v>1.0388453415560943</v>
      </c>
      <c r="K106" s="10">
        <f t="shared" si="7"/>
        <v>1.0386120320048646</v>
      </c>
      <c r="L106" s="13">
        <f t="shared" si="8"/>
        <v>50.45458473997855</v>
      </c>
      <c r="M106" s="13">
        <f t="shared" si="9"/>
        <v>50.467730000000003</v>
      </c>
      <c r="N106" s="13">
        <f>M106-L106</f>
        <v>1.3145260021452998E-2</v>
      </c>
      <c r="O106" s="2">
        <f>N106/L106</f>
        <v>2.6053648224830451E-4</v>
      </c>
    </row>
    <row r="107" spans="1:15" x14ac:dyDescent="0.25">
      <c r="A107" s="1">
        <v>46177</v>
      </c>
      <c r="B107" s="6">
        <v>48.08</v>
      </c>
      <c r="C107" s="6">
        <v>50.22</v>
      </c>
      <c r="F107" s="13">
        <f>F106+D107</f>
        <v>0.55059999999999998</v>
      </c>
      <c r="G107" s="13">
        <f t="shared" si="5"/>
        <v>0.29772999999999999</v>
      </c>
      <c r="H107" s="13">
        <f>B107+F107</f>
        <v>48.630600000000001</v>
      </c>
      <c r="I107" s="13">
        <f>C107+G107</f>
        <v>50.51773</v>
      </c>
      <c r="J107" s="10">
        <f t="shared" si="6"/>
        <v>1.038805402359831</v>
      </c>
      <c r="K107" s="10">
        <f t="shared" si="7"/>
        <v>1.0386784737607315</v>
      </c>
      <c r="L107" s="13">
        <f t="shared" si="8"/>
        <v>50.508326283615773</v>
      </c>
      <c r="M107" s="13">
        <f t="shared" si="9"/>
        <v>50.51773</v>
      </c>
      <c r="N107" s="13">
        <f>M107-L107</f>
        <v>9.403716384227323E-3</v>
      </c>
      <c r="O107" s="2">
        <f>N107/L107</f>
        <v>1.8618150859767775E-4</v>
      </c>
    </row>
    <row r="108" spans="1:15" x14ac:dyDescent="0.25">
      <c r="A108" s="1">
        <v>46178</v>
      </c>
      <c r="B108" s="6">
        <v>48.01</v>
      </c>
      <c r="C108" s="6">
        <v>50.14</v>
      </c>
      <c r="F108" s="13">
        <f>F107+D108</f>
        <v>0.55059999999999998</v>
      </c>
      <c r="G108" s="13">
        <f t="shared" si="5"/>
        <v>0.29772999999999999</v>
      </c>
      <c r="H108" s="13">
        <f>B108+F108</f>
        <v>48.560600000000001</v>
      </c>
      <c r="I108" s="13">
        <f>C108+G108</f>
        <v>50.437730000000002</v>
      </c>
      <c r="J108" s="10">
        <f t="shared" si="6"/>
        <v>1.0386554120006755</v>
      </c>
      <c r="K108" s="10">
        <f t="shared" si="7"/>
        <v>1.0387343261989028</v>
      </c>
      <c r="L108" s="13">
        <f t="shared" si="8"/>
        <v>50.438849892905381</v>
      </c>
      <c r="M108" s="13">
        <f t="shared" si="9"/>
        <v>50.437730000000002</v>
      </c>
      <c r="N108" s="13">
        <f>M108-L108</f>
        <v>-1.1198929053790607E-3</v>
      </c>
      <c r="O108" s="2">
        <f>N108/L108</f>
        <v>-2.2202982577058768E-5</v>
      </c>
    </row>
    <row r="109" spans="1:15" x14ac:dyDescent="0.25">
      <c r="A109" s="1">
        <v>46181</v>
      </c>
      <c r="B109" s="6">
        <v>47.95</v>
      </c>
      <c r="C109" s="6">
        <v>50.07</v>
      </c>
      <c r="F109" s="13">
        <f>F108+D109</f>
        <v>0.55059999999999998</v>
      </c>
      <c r="G109" s="13">
        <f t="shared" si="5"/>
        <v>0.29772999999999999</v>
      </c>
      <c r="H109" s="13">
        <f>B109+F109</f>
        <v>48.500600000000006</v>
      </c>
      <c r="I109" s="13">
        <f>C109+G109</f>
        <v>50.367730000000002</v>
      </c>
      <c r="J109" s="10">
        <f t="shared" si="6"/>
        <v>1.0384970495210368</v>
      </c>
      <c r="K109" s="10">
        <f t="shared" si="7"/>
        <v>1.0387228205594048</v>
      </c>
      <c r="L109" s="13">
        <f t="shared" si="8"/>
        <v>50.379238061242511</v>
      </c>
      <c r="M109" s="13">
        <f t="shared" si="9"/>
        <v>50.367730000000002</v>
      </c>
      <c r="N109" s="13">
        <f>M109-L109</f>
        <v>-1.1508061242508916E-2</v>
      </c>
      <c r="O109" s="2">
        <f>N109/L109</f>
        <v>-2.2842864809744388E-4</v>
      </c>
    </row>
    <row r="110" spans="1:15" x14ac:dyDescent="0.25">
      <c r="A110" s="1">
        <v>46182</v>
      </c>
      <c r="B110" s="6">
        <v>47.99</v>
      </c>
      <c r="C110" s="6">
        <v>50.14</v>
      </c>
      <c r="F110" s="13">
        <f>F109+D110</f>
        <v>0.55059999999999998</v>
      </c>
      <c r="G110" s="13">
        <f t="shared" si="5"/>
        <v>0.29772999999999999</v>
      </c>
      <c r="H110" s="13">
        <f>B110+F110</f>
        <v>48.540600000000005</v>
      </c>
      <c r="I110" s="13">
        <f>C110+G110</f>
        <v>50.437730000000002</v>
      </c>
      <c r="J110" s="10">
        <f t="shared" si="6"/>
        <v>1.0390833652653655</v>
      </c>
      <c r="K110" s="10">
        <f t="shared" si="7"/>
        <v>1.0387342317047485</v>
      </c>
      <c r="L110" s="13">
        <f t="shared" si="8"/>
        <v>50.420228943645846</v>
      </c>
      <c r="M110" s="13">
        <f t="shared" si="9"/>
        <v>50.437730000000002</v>
      </c>
      <c r="N110" s="13">
        <f>M110-L110</f>
        <v>1.7501056354156219E-2</v>
      </c>
      <c r="O110" s="2">
        <f>N110/L110</f>
        <v>3.4710386527036526E-4</v>
      </c>
    </row>
    <row r="111" spans="1:15" x14ac:dyDescent="0.25">
      <c r="A111" s="1">
        <v>46183</v>
      </c>
      <c r="B111" s="6">
        <v>47.9</v>
      </c>
      <c r="C111" s="6">
        <v>50.08</v>
      </c>
      <c r="F111" s="13">
        <f>F110+D111</f>
        <v>0.55059999999999998</v>
      </c>
      <c r="G111" s="13">
        <f t="shared" si="5"/>
        <v>0.29772999999999999</v>
      </c>
      <c r="H111" s="13">
        <f>B111+F111</f>
        <v>48.450600000000001</v>
      </c>
      <c r="I111" s="13">
        <f>C111+G111</f>
        <v>50.37773</v>
      </c>
      <c r="J111" s="10">
        <f t="shared" si="6"/>
        <v>1.039775152423293</v>
      </c>
      <c r="K111" s="10">
        <f t="shared" si="7"/>
        <v>1.0387215695338039</v>
      </c>
      <c r="L111" s="13">
        <f t="shared" si="8"/>
        <v>50.327296766634092</v>
      </c>
      <c r="M111" s="13">
        <f t="shared" si="9"/>
        <v>50.37773</v>
      </c>
      <c r="N111" s="13">
        <f>M111-L111</f>
        <v>5.0433233365907881E-2</v>
      </c>
      <c r="O111" s="2">
        <f>N111/L111</f>
        <v>1.0021049530986139E-3</v>
      </c>
    </row>
    <row r="112" spans="1:15" x14ac:dyDescent="0.25">
      <c r="A112" s="1">
        <v>46184</v>
      </c>
      <c r="B112" s="6">
        <v>48.18</v>
      </c>
      <c r="C112" s="6">
        <v>50.31</v>
      </c>
      <c r="F112" s="13">
        <f>F111+D112</f>
        <v>0.55059999999999998</v>
      </c>
      <c r="G112" s="13">
        <f t="shared" si="5"/>
        <v>0.29772999999999999</v>
      </c>
      <c r="H112" s="13">
        <f>B112+F112</f>
        <v>48.730600000000003</v>
      </c>
      <c r="I112" s="13">
        <f>C112+G112</f>
        <v>50.607730000000004</v>
      </c>
      <c r="J112" s="10">
        <f t="shared" si="6"/>
        <v>1.0385205599766882</v>
      </c>
      <c r="K112" s="10">
        <f t="shared" si="7"/>
        <v>1.0386912808775226</v>
      </c>
      <c r="L112" s="13">
        <f t="shared" si="8"/>
        <v>50.617525316323984</v>
      </c>
      <c r="M112" s="13">
        <f t="shared" si="9"/>
        <v>50.607730000000004</v>
      </c>
      <c r="N112" s="13">
        <f>M112-L112</f>
        <v>-9.795316323980785E-3</v>
      </c>
      <c r="O112" s="2">
        <f>N112/L112</f>
        <v>-1.9351630216544443E-4</v>
      </c>
    </row>
    <row r="113" spans="1:15" x14ac:dyDescent="0.25">
      <c r="A113" s="1">
        <v>46185</v>
      </c>
      <c r="B113" s="6">
        <v>48.26</v>
      </c>
      <c r="C113" s="6">
        <v>50.32</v>
      </c>
      <c r="F113" s="13">
        <f>F112+D113</f>
        <v>0.55059999999999998</v>
      </c>
      <c r="G113" s="13">
        <f t="shared" si="5"/>
        <v>0.29772999999999999</v>
      </c>
      <c r="H113" s="13">
        <f>B113+F113</f>
        <v>48.810600000000001</v>
      </c>
      <c r="I113" s="13">
        <f>C113+G113</f>
        <v>50.617730000000002</v>
      </c>
      <c r="J113" s="10">
        <f t="shared" si="6"/>
        <v>1.0370233105104218</v>
      </c>
      <c r="K113" s="10">
        <f t="shared" si="7"/>
        <v>1.0386715922822127</v>
      </c>
      <c r="L113" s="13">
        <f t="shared" si="8"/>
        <v>50.699144634400405</v>
      </c>
      <c r="M113" s="13">
        <f t="shared" si="9"/>
        <v>50.617730000000002</v>
      </c>
      <c r="N113" s="13">
        <f>M113-L113</f>
        <v>-8.1414634400402974E-2</v>
      </c>
      <c r="O113" s="2">
        <f>N113/L113</f>
        <v>-1.6058384216833805E-3</v>
      </c>
    </row>
    <row r="114" spans="1:15" x14ac:dyDescent="0.25">
      <c r="A114" s="1">
        <v>46188</v>
      </c>
      <c r="B114" s="6">
        <v>48.27</v>
      </c>
      <c r="C114" s="6">
        <v>50.39</v>
      </c>
      <c r="F114" s="13">
        <f>F113+D114</f>
        <v>0.55059999999999998</v>
      </c>
      <c r="G114" s="13">
        <f t="shared" si="5"/>
        <v>0.29772999999999999</v>
      </c>
      <c r="H114" s="13">
        <f>B114+F114</f>
        <v>48.820600000000006</v>
      </c>
      <c r="I114" s="13">
        <f>C114+G114</f>
        <v>50.687730000000002</v>
      </c>
      <c r="J114" s="10">
        <f t="shared" si="6"/>
        <v>1.038244716369729</v>
      </c>
      <c r="K114" s="10">
        <f t="shared" si="7"/>
        <v>1.0385307415395042</v>
      </c>
      <c r="L114" s="13">
        <f t="shared" si="8"/>
        <v>50.708570338173004</v>
      </c>
      <c r="M114" s="13">
        <f t="shared" si="9"/>
        <v>50.687730000000002</v>
      </c>
      <c r="N114" s="13">
        <f>M114-L114</f>
        <v>-2.0840338173002237E-2</v>
      </c>
      <c r="O114" s="2">
        <f>N114/L114</f>
        <v>-4.1098256239564693E-4</v>
      </c>
    </row>
    <row r="115" spans="1:15" x14ac:dyDescent="0.25">
      <c r="A115" s="1">
        <v>46189</v>
      </c>
      <c r="B115" s="6">
        <v>48.33</v>
      </c>
      <c r="C115" s="6">
        <v>50.46</v>
      </c>
      <c r="F115" s="13">
        <f>F114+D115</f>
        <v>0.55059999999999998</v>
      </c>
      <c r="G115" s="13">
        <f t="shared" si="5"/>
        <v>0.29772999999999999</v>
      </c>
      <c r="H115" s="13">
        <f>B115+F115</f>
        <v>48.880600000000001</v>
      </c>
      <c r="I115" s="13">
        <f>C115+G115</f>
        <v>50.757730000000002</v>
      </c>
      <c r="J115" s="10">
        <f t="shared" si="6"/>
        <v>1.0384023518532914</v>
      </c>
      <c r="K115" s="10">
        <f t="shared" si="7"/>
        <v>1.0384240915026155</v>
      </c>
      <c r="L115" s="13">
        <f t="shared" si="8"/>
        <v>50.764005764895892</v>
      </c>
      <c r="M115" s="13">
        <f t="shared" si="9"/>
        <v>50.757730000000002</v>
      </c>
      <c r="N115" s="13">
        <f>M115-L115</f>
        <v>-6.2757648958893242E-3</v>
      </c>
      <c r="O115" s="2">
        <f>N115/L115</f>
        <v>-1.2362627419424641E-4</v>
      </c>
    </row>
    <row r="116" spans="1:15" x14ac:dyDescent="0.25">
      <c r="A116" s="1">
        <v>46190</v>
      </c>
      <c r="B116" s="6">
        <v>48.31</v>
      </c>
      <c r="C116" s="6">
        <v>50.43</v>
      </c>
      <c r="F116" s="13">
        <f>F115+D116</f>
        <v>0.55059999999999998</v>
      </c>
      <c r="G116" s="13">
        <f t="shared" si="5"/>
        <v>0.29772999999999999</v>
      </c>
      <c r="H116" s="13">
        <f>B116+F116</f>
        <v>48.860600000000005</v>
      </c>
      <c r="I116" s="13">
        <f>C116+G116</f>
        <v>50.727730000000001</v>
      </c>
      <c r="J116" s="10">
        <f t="shared" si="6"/>
        <v>1.0382134071214844</v>
      </c>
      <c r="K116" s="10">
        <f t="shared" si="7"/>
        <v>1.0383033521161518</v>
      </c>
      <c r="L116" s="13">
        <f t="shared" si="8"/>
        <v>50.738024165272698</v>
      </c>
      <c r="M116" s="13">
        <f t="shared" si="9"/>
        <v>50.727730000000001</v>
      </c>
      <c r="N116" s="13">
        <f>M116-L116</f>
        <v>-1.0294165272696887E-2</v>
      </c>
      <c r="O116" s="2">
        <f>N116/L116</f>
        <v>-2.0288857207298702E-4</v>
      </c>
    </row>
    <row r="117" spans="1:15" x14ac:dyDescent="0.25">
      <c r="A117" s="1">
        <v>46191</v>
      </c>
      <c r="B117" s="6">
        <v>48.35</v>
      </c>
      <c r="C117" s="6">
        <v>50.53</v>
      </c>
      <c r="F117" s="13">
        <f>F116+D117</f>
        <v>0.55059999999999998</v>
      </c>
      <c r="G117" s="13">
        <f t="shared" si="5"/>
        <v>0.29772999999999999</v>
      </c>
      <c r="H117" s="13">
        <f>B117+F117</f>
        <v>48.900600000000004</v>
      </c>
      <c r="I117" s="13">
        <f>C117+G117</f>
        <v>50.827730000000003</v>
      </c>
      <c r="J117" s="10">
        <f t="shared" si="6"/>
        <v>1.0394091279043611</v>
      </c>
      <c r="K117" s="10">
        <f t="shared" si="7"/>
        <v>1.0382976212356156</v>
      </c>
      <c r="L117" s="13">
        <f t="shared" si="8"/>
        <v>50.773656900491098</v>
      </c>
      <c r="M117" s="13">
        <f t="shared" si="9"/>
        <v>50.827730000000003</v>
      </c>
      <c r="N117" s="13">
        <f>M117-L117</f>
        <v>5.4073099508904932E-2</v>
      </c>
      <c r="O117" s="2">
        <f>N117/L117</f>
        <v>1.0649833557366225E-3</v>
      </c>
    </row>
    <row r="118" spans="1:15" x14ac:dyDescent="0.25">
      <c r="A118" s="1">
        <v>46195</v>
      </c>
      <c r="B118" s="6">
        <v>48.27</v>
      </c>
      <c r="C118" s="6">
        <v>50.45</v>
      </c>
      <c r="F118" s="13">
        <f>F117+D118</f>
        <v>0.55059999999999998</v>
      </c>
      <c r="G118" s="13">
        <f t="shared" si="5"/>
        <v>0.29772999999999999</v>
      </c>
      <c r="H118" s="13">
        <f>B118+F118</f>
        <v>48.820600000000006</v>
      </c>
      <c r="I118" s="13">
        <f>C118+G118</f>
        <v>50.747730000000004</v>
      </c>
      <c r="J118" s="10">
        <f t="shared" si="6"/>
        <v>1.0394737057717438</v>
      </c>
      <c r="K118" s="10">
        <f t="shared" si="7"/>
        <v>1.0383182223483538</v>
      </c>
      <c r="L118" s="13">
        <f t="shared" si="8"/>
        <v>50.690312847295502</v>
      </c>
      <c r="M118" s="13">
        <f t="shared" si="9"/>
        <v>50.747730000000004</v>
      </c>
      <c r="N118" s="13">
        <f>M118-L118</f>
        <v>5.7417152704502428E-2</v>
      </c>
      <c r="O118" s="2">
        <f>N118/L118</f>
        <v>1.1327046427484385E-3</v>
      </c>
    </row>
    <row r="119" spans="1:15" x14ac:dyDescent="0.25">
      <c r="A119" s="1">
        <v>46196</v>
      </c>
      <c r="B119" s="6">
        <v>48.38</v>
      </c>
      <c r="C119" s="6">
        <v>50.46</v>
      </c>
      <c r="F119" s="13">
        <f>F118+D119</f>
        <v>0.55059999999999998</v>
      </c>
      <c r="G119" s="13">
        <f t="shared" si="5"/>
        <v>0.29772999999999999</v>
      </c>
      <c r="H119" s="13">
        <f>B119+F119</f>
        <v>48.930600000000005</v>
      </c>
      <c r="I119" s="13">
        <f>C119+G119</f>
        <v>50.757730000000002</v>
      </c>
      <c r="J119" s="10">
        <f t="shared" si="6"/>
        <v>1.0373412547567371</v>
      </c>
      <c r="K119" s="10">
        <f t="shared" si="7"/>
        <v>1.0382869728368529</v>
      </c>
      <c r="L119" s="13">
        <f t="shared" si="8"/>
        <v>50.805533610438367</v>
      </c>
      <c r="M119" s="13">
        <f t="shared" si="9"/>
        <v>50.757730000000002</v>
      </c>
      <c r="N119" s="13">
        <f>M119-L119</f>
        <v>-4.7803610438364785E-2</v>
      </c>
      <c r="O119" s="2">
        <f>N119/L119</f>
        <v>-9.4091346042949903E-4</v>
      </c>
    </row>
    <row r="120" spans="1:15" x14ac:dyDescent="0.25">
      <c r="A120" s="1">
        <v>46197</v>
      </c>
      <c r="B120" s="6">
        <v>48.5</v>
      </c>
      <c r="C120" s="6">
        <v>50.58</v>
      </c>
      <c r="F120" s="13">
        <f>F119+D120</f>
        <v>0.55059999999999998</v>
      </c>
      <c r="G120" s="13">
        <f t="shared" si="5"/>
        <v>0.29772999999999999</v>
      </c>
      <c r="H120" s="13">
        <f>B120+F120</f>
        <v>49.050600000000003</v>
      </c>
      <c r="I120" s="13">
        <f>C120+G120</f>
        <v>50.87773</v>
      </c>
      <c r="J120" s="10">
        <f t="shared" si="6"/>
        <v>1.0372499011225143</v>
      </c>
      <c r="K120" s="10">
        <f t="shared" si="7"/>
        <v>1.0382783347726598</v>
      </c>
      <c r="L120" s="13">
        <f t="shared" si="8"/>
        <v>50.928598989831336</v>
      </c>
      <c r="M120" s="13">
        <f t="shared" si="9"/>
        <v>50.87773</v>
      </c>
      <c r="N120" s="13">
        <f>M120-L120</f>
        <v>-5.0868989831336364E-2</v>
      </c>
      <c r="O120" s="2">
        <f>N120/L120</f>
        <v>-9.9882955432355658E-4</v>
      </c>
    </row>
    <row r="121" spans="1:15" x14ac:dyDescent="0.25">
      <c r="A121" s="1">
        <v>46198</v>
      </c>
      <c r="B121" s="6">
        <v>48.49</v>
      </c>
      <c r="C121" s="6">
        <v>50.6</v>
      </c>
      <c r="F121" s="13">
        <f>F120+D121</f>
        <v>0.55059999999999998</v>
      </c>
      <c r="G121" s="13">
        <f t="shared" si="5"/>
        <v>0.29772999999999999</v>
      </c>
      <c r="H121" s="13">
        <f>B121+F121</f>
        <v>49.040600000000005</v>
      </c>
      <c r="I121" s="13">
        <f>C121+G121</f>
        <v>50.897730000000003</v>
      </c>
      <c r="J121" s="10">
        <f t="shared" si="6"/>
        <v>1.0378692348788554</v>
      </c>
      <c r="K121" s="10">
        <f t="shared" si="7"/>
        <v>1.0382797265978867</v>
      </c>
      <c r="L121" s="13">
        <f t="shared" si="8"/>
        <v>50.917792504252105</v>
      </c>
      <c r="M121" s="13">
        <f t="shared" si="9"/>
        <v>50.897730000000003</v>
      </c>
      <c r="N121" s="13">
        <f>M121-L121</f>
        <v>-2.0062504252102542E-2</v>
      </c>
      <c r="O121" s="2">
        <f>N121/L121</f>
        <v>-3.9401755781983555E-4</v>
      </c>
    </row>
    <row r="122" spans="1:15" x14ac:dyDescent="0.25">
      <c r="A122" s="1">
        <v>46199</v>
      </c>
      <c r="B122" s="6">
        <v>48.51</v>
      </c>
      <c r="C122" s="6">
        <v>50.6</v>
      </c>
      <c r="F122" s="13">
        <f>F121+D122</f>
        <v>0.55059999999999998</v>
      </c>
      <c r="G122" s="13">
        <f t="shared" si="5"/>
        <v>0.29772999999999999</v>
      </c>
      <c r="H122" s="13">
        <f>B122+F122</f>
        <v>49.060600000000001</v>
      </c>
      <c r="I122" s="13">
        <f>C122+G122</f>
        <v>50.897730000000003</v>
      </c>
      <c r="J122" s="10">
        <f t="shared" si="6"/>
        <v>1.0374461380415243</v>
      </c>
      <c r="K122" s="10">
        <f t="shared" si="7"/>
        <v>1.0382717854328534</v>
      </c>
      <c r="L122" s="13">
        <f t="shared" si="8"/>
        <v>50.938626354728278</v>
      </c>
      <c r="M122" s="13">
        <f t="shared" si="9"/>
        <v>50.897730000000003</v>
      </c>
      <c r="N122" s="13">
        <f>M122-L122</f>
        <v>-4.0896354728275242E-2</v>
      </c>
      <c r="O122" s="2">
        <f>N122/L122</f>
        <v>-8.0285546852951444E-4</v>
      </c>
    </row>
    <row r="123" spans="1:15" x14ac:dyDescent="0.25">
      <c r="A123" s="1">
        <v>46202</v>
      </c>
      <c r="B123" s="6">
        <v>48.52</v>
      </c>
      <c r="C123" s="6">
        <v>50.61</v>
      </c>
      <c r="F123" s="13">
        <f>F122+D123</f>
        <v>0.55059999999999998</v>
      </c>
      <c r="G123" s="13">
        <f t="shared" si="5"/>
        <v>0.29772999999999999</v>
      </c>
      <c r="H123" s="13">
        <f>B123+F123</f>
        <v>49.070600000000006</v>
      </c>
      <c r="I123" s="13">
        <f>C123+G123</f>
        <v>50.907730000000001</v>
      </c>
      <c r="J123" s="10">
        <f t="shared" si="6"/>
        <v>1.0374385069675121</v>
      </c>
      <c r="K123" s="10">
        <f t="shared" si="7"/>
        <v>1.0382969204641053</v>
      </c>
      <c r="L123" s="13">
        <f t="shared" si="8"/>
        <v>50.948619474261378</v>
      </c>
      <c r="M123" s="13">
        <f t="shared" si="9"/>
        <v>50.907730000000001</v>
      </c>
      <c r="N123" s="13">
        <f>M123-L123</f>
        <v>-4.088947426137679E-2</v>
      </c>
      <c r="O123" s="2">
        <f>N123/L123</f>
        <v>-8.0256294838437488E-4</v>
      </c>
    </row>
    <row r="124" spans="1:15" x14ac:dyDescent="0.25">
      <c r="A124" s="1">
        <v>46203</v>
      </c>
      <c r="B124" s="6">
        <v>48.43</v>
      </c>
      <c r="C124" s="6">
        <v>50.6</v>
      </c>
      <c r="F124" s="13">
        <f>F123+D124</f>
        <v>0.55059999999999998</v>
      </c>
      <c r="G124" s="13">
        <f t="shared" si="5"/>
        <v>0.29772999999999999</v>
      </c>
      <c r="H124" s="13">
        <f>B124+F124</f>
        <v>48.980600000000003</v>
      </c>
      <c r="I124" s="13">
        <f>C124+G124</f>
        <v>50.897730000000003</v>
      </c>
      <c r="J124" s="10">
        <f t="shared" si="6"/>
        <v>1.0391405985226805</v>
      </c>
      <c r="K124" s="10">
        <f t="shared" si="7"/>
        <v>1.0383354269852672</v>
      </c>
      <c r="L124" s="13">
        <f t="shared" si="8"/>
        <v>50.856406142484154</v>
      </c>
      <c r="M124" s="13">
        <f t="shared" si="9"/>
        <v>50.897730000000003</v>
      </c>
      <c r="N124" s="13">
        <f>M124-L124</f>
        <v>4.1323857515848772E-2</v>
      </c>
      <c r="O124" s="2">
        <f>N124/L124</f>
        <v>8.1255953084989759E-4</v>
      </c>
    </row>
    <row r="125" spans="1:15" x14ac:dyDescent="0.25">
      <c r="A125" s="1">
        <v>46204</v>
      </c>
      <c r="B125" s="6">
        <v>48.27</v>
      </c>
      <c r="C125" s="6">
        <v>50.16</v>
      </c>
      <c r="D125" s="13">
        <v>0.11119999999999999</v>
      </c>
      <c r="E125" s="13">
        <v>0.41535</v>
      </c>
      <c r="F125" s="13">
        <f>F124+D125</f>
        <v>0.66179999999999994</v>
      </c>
      <c r="G125" s="13">
        <f t="shared" si="5"/>
        <v>0.71307999999999994</v>
      </c>
      <c r="H125" s="13">
        <f>B125+F125</f>
        <v>48.931800000000003</v>
      </c>
      <c r="I125" s="13">
        <f>C125+G125</f>
        <v>50.873079999999995</v>
      </c>
      <c r="J125" s="10">
        <f t="shared" si="6"/>
        <v>1.0396731777698756</v>
      </c>
      <c r="K125" s="10">
        <f t="shared" si="7"/>
        <v>1.0384553857346857</v>
      </c>
      <c r="L125" s="13">
        <f t="shared" si="8"/>
        <v>50.807621446157697</v>
      </c>
      <c r="M125" s="13">
        <f t="shared" si="9"/>
        <v>50.873079999999995</v>
      </c>
      <c r="N125" s="13">
        <f>M125-L125</f>
        <v>6.5458553842297817E-2</v>
      </c>
      <c r="O125" s="2">
        <f>N125/L125</f>
        <v>1.2883609186796145E-3</v>
      </c>
    </row>
    <row r="126" spans="1:15" x14ac:dyDescent="0.25">
      <c r="A126" s="1">
        <v>46205</v>
      </c>
      <c r="B126" s="6">
        <v>48.24</v>
      </c>
      <c r="C126" s="6">
        <v>50.13</v>
      </c>
      <c r="F126" s="13">
        <f>F125+D126</f>
        <v>0.66179999999999994</v>
      </c>
      <c r="G126" s="13">
        <f t="shared" si="5"/>
        <v>0.71307999999999994</v>
      </c>
      <c r="H126" s="13">
        <f>B126+F126</f>
        <v>48.901800000000001</v>
      </c>
      <c r="I126" s="13">
        <f>C126+G126</f>
        <v>50.84308</v>
      </c>
      <c r="J126" s="10">
        <f t="shared" si="6"/>
        <v>1.0396975162468456</v>
      </c>
      <c r="K126" s="10">
        <f t="shared" si="7"/>
        <v>1.0384979944692234</v>
      </c>
      <c r="L126" s="13">
        <f t="shared" si="8"/>
        <v>50.782337582120455</v>
      </c>
      <c r="M126" s="13">
        <f t="shared" si="9"/>
        <v>50.84308</v>
      </c>
      <c r="N126" s="13">
        <f>M126-L126</f>
        <v>6.0742417879545485E-2</v>
      </c>
      <c r="O126" s="2">
        <f>N126/L126</f>
        <v>1.1961327652812066E-3</v>
      </c>
    </row>
    <row r="127" spans="1:15" x14ac:dyDescent="0.25">
      <c r="A127" s="1">
        <v>46209</v>
      </c>
      <c r="B127" s="6">
        <v>48.22</v>
      </c>
      <c r="C127" s="6">
        <v>50.11</v>
      </c>
      <c r="F127" s="13">
        <f>F126+D127</f>
        <v>0.66179999999999994</v>
      </c>
      <c r="G127" s="13">
        <f t="shared" si="5"/>
        <v>0.71307999999999994</v>
      </c>
      <c r="H127" s="13">
        <f>B127+F127</f>
        <v>48.881799999999998</v>
      </c>
      <c r="I127" s="13">
        <f>C127+G127</f>
        <v>50.823079999999997</v>
      </c>
      <c r="J127" s="10">
        <f t="shared" si="6"/>
        <v>1.0397137584949818</v>
      </c>
      <c r="K127" s="10">
        <f t="shared" si="7"/>
        <v>1.0385434122759809</v>
      </c>
      <c r="L127" s="13">
        <f t="shared" si="8"/>
        <v>50.763651266045684</v>
      </c>
      <c r="M127" s="13">
        <f t="shared" si="9"/>
        <v>50.823079999999997</v>
      </c>
      <c r="N127" s="13">
        <f>M127-L127</f>
        <v>5.9428733954312918E-2</v>
      </c>
      <c r="O127" s="2">
        <f>N127/L127</f>
        <v>1.170694630353807E-3</v>
      </c>
    </row>
    <row r="128" spans="1:15" x14ac:dyDescent="0.25">
      <c r="A128" s="1">
        <v>46210</v>
      </c>
      <c r="B128" s="6">
        <v>48.02</v>
      </c>
      <c r="C128" s="6">
        <v>49.94</v>
      </c>
      <c r="F128" s="13">
        <f>F127+D128</f>
        <v>0.66179999999999994</v>
      </c>
      <c r="G128" s="13">
        <f t="shared" si="5"/>
        <v>0.71307999999999994</v>
      </c>
      <c r="H128" s="13">
        <f>B128+F128</f>
        <v>48.681800000000003</v>
      </c>
      <c r="I128" s="13">
        <f>C128+G128</f>
        <v>50.653079999999996</v>
      </c>
      <c r="J128" s="10">
        <f t="shared" si="6"/>
        <v>1.0404931617154665</v>
      </c>
      <c r="K128" s="10">
        <f t="shared" si="7"/>
        <v>1.0386352997617205</v>
      </c>
      <c r="L128" s="13">
        <f t="shared" si="8"/>
        <v>50.558162687736846</v>
      </c>
      <c r="M128" s="13">
        <f t="shared" si="9"/>
        <v>50.653079999999996</v>
      </c>
      <c r="N128" s="13">
        <f>M128-L128</f>
        <v>9.4917312263149256E-2</v>
      </c>
      <c r="O128" s="2">
        <f>N128/L128</f>
        <v>1.8773884812505648E-3</v>
      </c>
    </row>
    <row r="129" spans="1:15" x14ac:dyDescent="0.25">
      <c r="A129" s="1">
        <v>46211</v>
      </c>
      <c r="B129" s="6">
        <v>47.83</v>
      </c>
      <c r="C129" s="6">
        <v>49.81</v>
      </c>
      <c r="F129" s="13">
        <f>F128+D129</f>
        <v>0.66179999999999994</v>
      </c>
      <c r="G129" s="13">
        <f t="shared" si="5"/>
        <v>0.71307999999999994</v>
      </c>
      <c r="H129" s="13">
        <f>B129+F129</f>
        <v>48.491799999999998</v>
      </c>
      <c r="I129" s="13">
        <f>C129+G129</f>
        <v>50.52308</v>
      </c>
      <c r="J129" s="10">
        <f t="shared" si="6"/>
        <v>1.0418891441439584</v>
      </c>
      <c r="K129" s="10">
        <f t="shared" si="7"/>
        <v>1.0388049044928667</v>
      </c>
      <c r="L129" s="13">
        <f t="shared" si="8"/>
        <v>50.365295228985396</v>
      </c>
      <c r="M129" s="13">
        <f t="shared" si="9"/>
        <v>50.52308</v>
      </c>
      <c r="N129" s="13">
        <f>M129-L129</f>
        <v>0.15778477101460453</v>
      </c>
      <c r="O129" s="2">
        <f>N129/L129</f>
        <v>3.1328074281553871E-3</v>
      </c>
    </row>
    <row r="130" spans="1:15" x14ac:dyDescent="0.25">
      <c r="A130" s="1">
        <v>46212</v>
      </c>
      <c r="B130" s="6">
        <v>48.02</v>
      </c>
      <c r="C130" s="6">
        <v>49.9</v>
      </c>
      <c r="F130" s="13">
        <f>F129+D130</f>
        <v>0.66179999999999994</v>
      </c>
      <c r="G130" s="13">
        <f t="shared" si="5"/>
        <v>0.71307999999999994</v>
      </c>
      <c r="H130" s="13">
        <f>B130+F130</f>
        <v>48.681800000000003</v>
      </c>
      <c r="I130" s="13">
        <f>C130+G130</f>
        <v>50.613079999999997</v>
      </c>
      <c r="J130" s="10">
        <f t="shared" si="6"/>
        <v>1.0396714994104572</v>
      </c>
      <c r="K130" s="10">
        <f t="shared" si="7"/>
        <v>1.038834311200121</v>
      </c>
      <c r="L130" s="13">
        <f t="shared" si="8"/>
        <v>50.570892599540841</v>
      </c>
      <c r="M130" s="13">
        <f t="shared" si="9"/>
        <v>50.613079999999997</v>
      </c>
      <c r="N130" s="13">
        <f>M130-L130</f>
        <v>4.218740045915581E-2</v>
      </c>
      <c r="O130" s="2">
        <f>N130/L130</f>
        <v>8.3422297473030669E-4</v>
      </c>
    </row>
    <row r="131" spans="1:15" x14ac:dyDescent="0.25">
      <c r="A131" s="1">
        <v>46213</v>
      </c>
      <c r="B131" s="6">
        <v>48.08</v>
      </c>
      <c r="C131" s="6">
        <v>49.99</v>
      </c>
      <c r="F131" s="13">
        <f>F130+D131</f>
        <v>0.66179999999999994</v>
      </c>
      <c r="G131" s="13">
        <f t="shared" si="5"/>
        <v>0.71307999999999994</v>
      </c>
      <c r="H131" s="13">
        <f>B131+F131</f>
        <v>48.741799999999998</v>
      </c>
      <c r="I131" s="13">
        <f>C131+G131</f>
        <v>50.70308</v>
      </c>
      <c r="J131" s="10">
        <f t="shared" si="6"/>
        <v>1.0402381528790485</v>
      </c>
      <c r="K131" s="10">
        <f t="shared" si="7"/>
        <v>1.0388574612229089</v>
      </c>
      <c r="L131" s="13">
        <f t="shared" si="8"/>
        <v>50.63465422965406</v>
      </c>
      <c r="M131" s="13">
        <f t="shared" si="9"/>
        <v>50.70308</v>
      </c>
      <c r="N131" s="13">
        <f>M131-L131</f>
        <v>6.8425770345939441E-2</v>
      </c>
      <c r="O131" s="2">
        <f>N131/L131</f>
        <v>1.3513624490372456E-3</v>
      </c>
    </row>
    <row r="132" spans="1:15" x14ac:dyDescent="0.25">
      <c r="A132" s="1">
        <v>46216</v>
      </c>
      <c r="B132" s="6">
        <v>47.89</v>
      </c>
      <c r="C132" s="6">
        <v>49.82</v>
      </c>
      <c r="F132" s="13">
        <f>F131+D132</f>
        <v>0.66179999999999994</v>
      </c>
      <c r="G132" s="13">
        <f t="shared" ref="G132:G175" si="10">G131+E132</f>
        <v>0.71307999999999994</v>
      </c>
      <c r="H132" s="13">
        <f>B132+F132</f>
        <v>48.5518</v>
      </c>
      <c r="I132" s="13">
        <f>C132+G132</f>
        <v>50.533079999999998</v>
      </c>
      <c r="J132" s="10">
        <f t="shared" ref="J132:J175" si="11">I132/H132</f>
        <v>1.040807549874567</v>
      </c>
      <c r="K132" s="10">
        <f t="shared" si="7"/>
        <v>1.0389718107178028</v>
      </c>
      <c r="L132" s="13">
        <f t="shared" si="8"/>
        <v>50.43839968580243</v>
      </c>
      <c r="M132" s="13">
        <f t="shared" si="9"/>
        <v>50.533079999999998</v>
      </c>
      <c r="N132" s="13">
        <f>M132-L132</f>
        <v>9.4680314197567839E-2</v>
      </c>
      <c r="O132" s="2">
        <f>N132/L132</f>
        <v>1.8771474667587198E-3</v>
      </c>
    </row>
    <row r="133" spans="1:15" x14ac:dyDescent="0.25">
      <c r="A133" s="1">
        <v>46217</v>
      </c>
      <c r="B133" s="6">
        <v>47.96</v>
      </c>
      <c r="C133" s="6">
        <v>49.91</v>
      </c>
      <c r="F133" s="13">
        <f>F132+D133</f>
        <v>0.66179999999999994</v>
      </c>
      <c r="G133" s="13">
        <f t="shared" si="10"/>
        <v>0.71307999999999994</v>
      </c>
      <c r="H133" s="13">
        <f>B133+F133</f>
        <v>48.6218</v>
      </c>
      <c r="I133" s="13">
        <f>C133+G133</f>
        <v>50.623079999999995</v>
      </c>
      <c r="J133" s="10">
        <f t="shared" si="11"/>
        <v>1.0411601380450743</v>
      </c>
      <c r="K133" s="10">
        <f t="shared" si="7"/>
        <v>1.0391786520945354</v>
      </c>
      <c r="L133" s="13">
        <f t="shared" si="8"/>
        <v>50.516679586358862</v>
      </c>
      <c r="M133" s="13">
        <f t="shared" si="9"/>
        <v>50.623079999999995</v>
      </c>
      <c r="N133" s="13">
        <f>M133-L133</f>
        <v>0.10640041364113273</v>
      </c>
      <c r="O133" s="2">
        <f>N133/L133</f>
        <v>2.1062432153570181E-3</v>
      </c>
    </row>
    <row r="134" spans="1:15" x14ac:dyDescent="0.25">
      <c r="A134" s="1">
        <v>46218</v>
      </c>
      <c r="B134" s="6">
        <v>48.03</v>
      </c>
      <c r="C134" s="6">
        <v>49.96</v>
      </c>
      <c r="F134" s="13">
        <f>F133+D134</f>
        <v>0.66179999999999994</v>
      </c>
      <c r="G134" s="13">
        <f t="shared" si="10"/>
        <v>0.71307999999999994</v>
      </c>
      <c r="H134" s="13">
        <f>B134+F134</f>
        <v>48.691800000000001</v>
      </c>
      <c r="I134" s="13">
        <f>C134+G134</f>
        <v>50.673079999999999</v>
      </c>
      <c r="J134" s="10">
        <f t="shared" si="11"/>
        <v>1.0406902188869585</v>
      </c>
      <c r="K134" s="10">
        <f t="shared" si="7"/>
        <v>1.0393009272203968</v>
      </c>
      <c r="L134" s="13">
        <f t="shared" si="8"/>
        <v>50.599479092056697</v>
      </c>
      <c r="M134" s="13">
        <f t="shared" si="9"/>
        <v>50.673079999999999</v>
      </c>
      <c r="N134" s="13">
        <f>M134-L134</f>
        <v>7.3600907943301763E-2</v>
      </c>
      <c r="O134" s="2">
        <f>N134/L134</f>
        <v>1.4545783724254965E-3</v>
      </c>
    </row>
    <row r="135" spans="1:15" x14ac:dyDescent="0.25">
      <c r="A135" s="1">
        <v>46219</v>
      </c>
      <c r="B135" s="6">
        <v>47.96</v>
      </c>
      <c r="C135" s="6">
        <v>49.89</v>
      </c>
      <c r="F135" s="13">
        <f>F134+D135</f>
        <v>0.66179999999999994</v>
      </c>
      <c r="G135" s="13">
        <f t="shared" si="10"/>
        <v>0.71307999999999994</v>
      </c>
      <c r="H135" s="13">
        <f>B135+F135</f>
        <v>48.6218</v>
      </c>
      <c r="I135" s="13">
        <f>C135+G135</f>
        <v>50.603079999999999</v>
      </c>
      <c r="J135" s="10">
        <f t="shared" si="11"/>
        <v>1.040748799921023</v>
      </c>
      <c r="K135" s="10">
        <f t="shared" si="7"/>
        <v>1.0394182496237834</v>
      </c>
      <c r="L135" s="13">
        <f t="shared" si="8"/>
        <v>50.53268182312469</v>
      </c>
      <c r="M135" s="13">
        <f t="shared" si="9"/>
        <v>50.603079999999999</v>
      </c>
      <c r="N135" s="13">
        <f>M135-L135</f>
        <v>7.0398176875308138E-2</v>
      </c>
      <c r="O135" s="2">
        <f>N135/L135</f>
        <v>1.3931217250989563E-3</v>
      </c>
    </row>
    <row r="136" spans="1:15" x14ac:dyDescent="0.25">
      <c r="A136" s="1">
        <v>46220</v>
      </c>
      <c r="B136" s="6">
        <v>47.93</v>
      </c>
      <c r="C136" s="6">
        <v>49.85</v>
      </c>
      <c r="F136" s="13">
        <f>F135+D136</f>
        <v>0.66179999999999994</v>
      </c>
      <c r="G136" s="13">
        <f t="shared" si="10"/>
        <v>0.71307999999999994</v>
      </c>
      <c r="H136" s="13">
        <f>B136+F136</f>
        <v>48.591799999999999</v>
      </c>
      <c r="I136" s="13">
        <f>C136+G136</f>
        <v>50.563079999999999</v>
      </c>
      <c r="J136" s="10">
        <f t="shared" si="11"/>
        <v>1.0405681617062961</v>
      </c>
      <c r="K136" s="10">
        <f t="shared" si="7"/>
        <v>1.0395359873530241</v>
      </c>
      <c r="L136" s="13">
        <f t="shared" si="8"/>
        <v>50.507203702068956</v>
      </c>
      <c r="M136" s="13">
        <f t="shared" si="9"/>
        <v>50.563079999999999</v>
      </c>
      <c r="N136" s="13">
        <f>M136-L136</f>
        <v>5.5876297931042984E-2</v>
      </c>
      <c r="O136" s="2">
        <f>N136/L136</f>
        <v>1.1063035336631413E-3</v>
      </c>
    </row>
    <row r="137" spans="1:15" x14ac:dyDescent="0.25">
      <c r="A137" s="1">
        <v>46223</v>
      </c>
      <c r="B137" s="6">
        <v>47.82</v>
      </c>
      <c r="C137" s="6">
        <v>49.8</v>
      </c>
      <c r="F137" s="13">
        <f>F136+D137</f>
        <v>0.66179999999999994</v>
      </c>
      <c r="G137" s="13">
        <f t="shared" si="10"/>
        <v>0.71307999999999994</v>
      </c>
      <c r="H137" s="13">
        <f>B137+F137</f>
        <v>48.4818</v>
      </c>
      <c r="I137" s="13">
        <f>C137+G137</f>
        <v>50.513079999999995</v>
      </c>
      <c r="J137" s="10">
        <f t="shared" si="11"/>
        <v>1.0418977843231891</v>
      </c>
      <c r="K137" s="10">
        <f t="shared" si="7"/>
        <v>1.0396604201739652</v>
      </c>
      <c r="L137" s="13">
        <f t="shared" si="8"/>
        <v>50.398575831651847</v>
      </c>
      <c r="M137" s="13">
        <f t="shared" si="9"/>
        <v>50.513079999999995</v>
      </c>
      <c r="N137" s="13">
        <f>M137-L137</f>
        <v>0.11450416834814803</v>
      </c>
      <c r="O137" s="2">
        <f>N137/L137</f>
        <v>2.2719723019680232E-3</v>
      </c>
    </row>
    <row r="138" spans="1:15" x14ac:dyDescent="0.25">
      <c r="A138" s="1">
        <v>46224</v>
      </c>
      <c r="B138" s="6">
        <v>47.83</v>
      </c>
      <c r="C138" s="6">
        <v>49.78</v>
      </c>
      <c r="F138" s="13">
        <f>F137+D138</f>
        <v>0.66179999999999994</v>
      </c>
      <c r="G138" s="13">
        <f t="shared" si="10"/>
        <v>0.71307999999999994</v>
      </c>
      <c r="H138" s="13">
        <f>B138+F138</f>
        <v>48.491799999999998</v>
      </c>
      <c r="I138" s="13">
        <f>C138+G138</f>
        <v>50.493079999999999</v>
      </c>
      <c r="J138" s="10">
        <f t="shared" si="11"/>
        <v>1.0412704828445223</v>
      </c>
      <c r="K138" s="10">
        <f t="shared" si="7"/>
        <v>1.0397502590276042</v>
      </c>
      <c r="L138" s="13">
        <f t="shared" si="8"/>
        <v>50.415005162991882</v>
      </c>
      <c r="M138" s="13">
        <f t="shared" si="9"/>
        <v>50.493079999999999</v>
      </c>
      <c r="N138" s="13">
        <f>M138-L138</f>
        <v>7.8074837008117015E-2</v>
      </c>
      <c r="O138" s="2">
        <f>N138/L138</f>
        <v>1.548642844639226E-3</v>
      </c>
    </row>
    <row r="139" spans="1:15" x14ac:dyDescent="0.25">
      <c r="A139" s="1">
        <v>46225</v>
      </c>
      <c r="B139" s="6">
        <v>47.8</v>
      </c>
      <c r="C139" s="6">
        <v>49.75</v>
      </c>
      <c r="F139" s="13">
        <f>F138+D139</f>
        <v>0.66179999999999994</v>
      </c>
      <c r="G139" s="13">
        <f t="shared" si="10"/>
        <v>0.71307999999999994</v>
      </c>
      <c r="H139" s="13">
        <f>B139+F139</f>
        <v>48.461799999999997</v>
      </c>
      <c r="I139" s="13">
        <f>C139+G139</f>
        <v>50.463079999999998</v>
      </c>
      <c r="J139" s="10">
        <f t="shared" si="11"/>
        <v>1.0412960311007846</v>
      </c>
      <c r="K139" s="10">
        <f t="shared" si="7"/>
        <v>1.0399479978448067</v>
      </c>
      <c r="L139" s="13">
        <f t="shared" si="8"/>
        <v>50.388169102943948</v>
      </c>
      <c r="M139" s="13">
        <f t="shared" si="9"/>
        <v>50.463079999999998</v>
      </c>
      <c r="N139" s="13">
        <f>M139-L139</f>
        <v>7.4910897056049919E-2</v>
      </c>
      <c r="O139" s="2">
        <f>N139/L139</f>
        <v>1.486676304967652E-3</v>
      </c>
    </row>
    <row r="140" spans="1:15" x14ac:dyDescent="0.25">
      <c r="A140" s="1">
        <v>46226</v>
      </c>
      <c r="B140" s="6">
        <v>47.71</v>
      </c>
      <c r="C140" s="6">
        <v>49.72</v>
      </c>
      <c r="F140" s="13">
        <f>F139+D140</f>
        <v>0.66179999999999994</v>
      </c>
      <c r="G140" s="13">
        <f t="shared" si="10"/>
        <v>0.71307999999999994</v>
      </c>
      <c r="H140" s="13">
        <f>B140+F140</f>
        <v>48.3718</v>
      </c>
      <c r="I140" s="13">
        <f>C140+G140</f>
        <v>50.433079999999997</v>
      </c>
      <c r="J140" s="10">
        <f t="shared" si="11"/>
        <v>1.0426132581380059</v>
      </c>
      <c r="K140" s="10">
        <f t="shared" si="7"/>
        <v>1.0402161656955813</v>
      </c>
      <c r="L140" s="13">
        <f t="shared" si="8"/>
        <v>50.304156562149423</v>
      </c>
      <c r="M140" s="13">
        <f t="shared" si="9"/>
        <v>50.433079999999997</v>
      </c>
      <c r="N140" s="13">
        <f>M140-L140</f>
        <v>0.12892343785057392</v>
      </c>
      <c r="O140" s="2">
        <f>N140/L140</f>
        <v>2.5628784311549383E-3</v>
      </c>
    </row>
    <row r="141" spans="1:15" x14ac:dyDescent="0.25">
      <c r="A141" s="1">
        <v>46227</v>
      </c>
      <c r="B141" s="6">
        <v>47.8</v>
      </c>
      <c r="C141" s="6">
        <v>49.75</v>
      </c>
      <c r="F141" s="13">
        <f>F140+D141</f>
        <v>0.66179999999999994</v>
      </c>
      <c r="G141" s="13">
        <f t="shared" si="10"/>
        <v>0.71307999999999994</v>
      </c>
      <c r="H141" s="13">
        <f>B141+F141</f>
        <v>48.461799999999997</v>
      </c>
      <c r="I141" s="13">
        <f>C141+G141</f>
        <v>50.463079999999998</v>
      </c>
      <c r="J141" s="10">
        <f t="shared" si="11"/>
        <v>1.0412960311007846</v>
      </c>
      <c r="K141" s="10">
        <f t="shared" si="7"/>
        <v>1.0403875055066776</v>
      </c>
      <c r="L141" s="13">
        <f t="shared" si="8"/>
        <v>50.410747778706117</v>
      </c>
      <c r="M141" s="13">
        <f t="shared" si="9"/>
        <v>50.463079999999998</v>
      </c>
      <c r="N141" s="13">
        <f>M141-L141</f>
        <v>5.2332221293880821E-2</v>
      </c>
      <c r="O141" s="2">
        <f>N141/L141</f>
        <v>1.0381163462127088E-3</v>
      </c>
    </row>
    <row r="142" spans="1:15" x14ac:dyDescent="0.25">
      <c r="A142" s="1">
        <v>46230</v>
      </c>
      <c r="B142" s="6">
        <v>47.92</v>
      </c>
      <c r="C142" s="6">
        <v>49.83</v>
      </c>
      <c r="F142" s="13">
        <f>F141+D142</f>
        <v>0.66179999999999994</v>
      </c>
      <c r="G142" s="13">
        <f t="shared" si="10"/>
        <v>0.71307999999999994</v>
      </c>
      <c r="H142" s="13">
        <f>B142+F142</f>
        <v>48.581800000000001</v>
      </c>
      <c r="I142" s="13">
        <f>C142+G142</f>
        <v>50.543079999999996</v>
      </c>
      <c r="J142" s="10">
        <f t="shared" si="11"/>
        <v>1.0403706737914198</v>
      </c>
      <c r="K142" s="10">
        <f t="shared" si="7"/>
        <v>1.0405337322941723</v>
      </c>
      <c r="L142" s="13">
        <f t="shared" si="8"/>
        <v>50.543897715024308</v>
      </c>
      <c r="M142" s="13">
        <f t="shared" si="9"/>
        <v>50.543079999999996</v>
      </c>
      <c r="N142" s="13">
        <f>M142-L142</f>
        <v>-8.1771502431138288E-4</v>
      </c>
      <c r="O142" s="2">
        <f>N142/L142</f>
        <v>-1.6178313530978733E-5</v>
      </c>
    </row>
    <row r="143" spans="1:15" x14ac:dyDescent="0.25">
      <c r="A143" s="1">
        <v>46231</v>
      </c>
      <c r="B143" s="6">
        <v>47.99</v>
      </c>
      <c r="C143" s="6">
        <v>49.93</v>
      </c>
      <c r="F143" s="13">
        <f>F142+D143</f>
        <v>0.66179999999999994</v>
      </c>
      <c r="G143" s="13">
        <f t="shared" si="10"/>
        <v>0.71307999999999994</v>
      </c>
      <c r="H143" s="13">
        <f>B143+F143</f>
        <v>48.651800000000001</v>
      </c>
      <c r="I143" s="13">
        <f>C143+G143</f>
        <v>50.643079999999998</v>
      </c>
      <c r="J143" s="10">
        <f t="shared" si="11"/>
        <v>1.0409292153630492</v>
      </c>
      <c r="K143" s="10">
        <f t="shared" si="7"/>
        <v>1.0407082677139492</v>
      </c>
      <c r="L143" s="13">
        <f t="shared" si="8"/>
        <v>50.623839036829615</v>
      </c>
      <c r="M143" s="13">
        <f t="shared" si="9"/>
        <v>50.643079999999998</v>
      </c>
      <c r="N143" s="13">
        <f>M143-L143</f>
        <v>1.9240963170382486E-2</v>
      </c>
      <c r="O143" s="2">
        <f>N143/L143</f>
        <v>3.8007712446273367E-4</v>
      </c>
    </row>
    <row r="144" spans="1:15" x14ac:dyDescent="0.25">
      <c r="A144" s="1">
        <v>46232</v>
      </c>
      <c r="B144" s="6">
        <v>47.81</v>
      </c>
      <c r="C144" s="6">
        <v>49.77</v>
      </c>
      <c r="F144" s="13">
        <f>F143+D144</f>
        <v>0.66179999999999994</v>
      </c>
      <c r="G144" s="13">
        <f t="shared" si="10"/>
        <v>0.71307999999999994</v>
      </c>
      <c r="H144" s="13">
        <f>B144+F144</f>
        <v>48.471800000000002</v>
      </c>
      <c r="I144" s="13">
        <f>C144+G144</f>
        <v>50.483080000000001</v>
      </c>
      <c r="J144" s="10">
        <f t="shared" si="11"/>
        <v>1.0414938170235064</v>
      </c>
      <c r="K144" s="10">
        <f t="shared" si="7"/>
        <v>1.0408259286389909</v>
      </c>
      <c r="L144" s="13">
        <f t="shared" si="8"/>
        <v>50.445003010977004</v>
      </c>
      <c r="M144" s="13">
        <f t="shared" si="9"/>
        <v>50.483080000000001</v>
      </c>
      <c r="N144" s="13">
        <f>M144-L144</f>
        <v>3.8076989022997054E-2</v>
      </c>
      <c r="O144" s="2">
        <f>N144/L144</f>
        <v>7.5482182079980001E-4</v>
      </c>
    </row>
    <row r="145" spans="1:15" x14ac:dyDescent="0.25">
      <c r="A145" s="1">
        <v>46233</v>
      </c>
      <c r="B145" s="6">
        <v>47.88</v>
      </c>
      <c r="C145" s="6">
        <v>49.83</v>
      </c>
      <c r="F145" s="13">
        <f>F144+D145</f>
        <v>0.66179999999999994</v>
      </c>
      <c r="G145" s="13">
        <f t="shared" si="10"/>
        <v>0.71307999999999994</v>
      </c>
      <c r="H145" s="13">
        <f>B145+F145</f>
        <v>48.541800000000002</v>
      </c>
      <c r="I145" s="13">
        <f>C145+G145</f>
        <v>50.543079999999996</v>
      </c>
      <c r="J145" s="10">
        <f t="shared" si="11"/>
        <v>1.0412279725926932</v>
      </c>
      <c r="K145" s="10">
        <f t="shared" si="7"/>
        <v>1.0409036683801316</v>
      </c>
      <c r="L145" s="13">
        <f t="shared" si="8"/>
        <v>50.52356406280817</v>
      </c>
      <c r="M145" s="13">
        <f t="shared" si="9"/>
        <v>50.543079999999996</v>
      </c>
      <c r="N145" s="13">
        <f>M145-L145</f>
        <v>1.9515937191826538E-2</v>
      </c>
      <c r="O145" s="2">
        <f>N145/L145</f>
        <v>3.8627396055364142E-4</v>
      </c>
    </row>
    <row r="146" spans="1:15" x14ac:dyDescent="0.25">
      <c r="A146" s="1">
        <v>46234</v>
      </c>
      <c r="B146" s="6">
        <v>47.77</v>
      </c>
      <c r="C146" s="6">
        <v>49.75</v>
      </c>
      <c r="F146" s="13">
        <f>F145+D146</f>
        <v>0.66179999999999994</v>
      </c>
      <c r="G146" s="13">
        <f t="shared" si="10"/>
        <v>0.71307999999999994</v>
      </c>
      <c r="H146" s="13">
        <f>B146+F146</f>
        <v>48.431800000000003</v>
      </c>
      <c r="I146" s="13">
        <f>C146+G146</f>
        <v>50.463079999999998</v>
      </c>
      <c r="J146" s="10">
        <f t="shared" si="11"/>
        <v>1.0419410387390102</v>
      </c>
      <c r="K146" s="10">
        <f t="shared" si="7"/>
        <v>1.0410158445047402</v>
      </c>
      <c r="L146" s="13">
        <f t="shared" si="8"/>
        <v>50.412838286252857</v>
      </c>
      <c r="M146" s="13">
        <f t="shared" si="9"/>
        <v>50.463079999999998</v>
      </c>
      <c r="N146" s="13">
        <f>M146-L146</f>
        <v>5.0241713747141148E-2</v>
      </c>
      <c r="O146" s="2">
        <f>N146/L146</f>
        <v>9.966055365075849E-4</v>
      </c>
    </row>
    <row r="147" spans="1:15" x14ac:dyDescent="0.25">
      <c r="A147" s="1">
        <v>46237</v>
      </c>
      <c r="B147" s="6">
        <v>47.84</v>
      </c>
      <c r="C147" s="6">
        <v>49.9</v>
      </c>
      <c r="D147" s="13">
        <v>0.11849999999999999</v>
      </c>
      <c r="E147" s="13">
        <v>0</v>
      </c>
      <c r="F147" s="13">
        <f>F146+D147</f>
        <v>0.78029999999999999</v>
      </c>
      <c r="G147" s="13">
        <f t="shared" si="10"/>
        <v>0.71307999999999994</v>
      </c>
      <c r="H147" s="13">
        <f>B147+F147</f>
        <v>48.6203</v>
      </c>
      <c r="I147" s="13">
        <f>C147+G147</f>
        <v>50.613079999999997</v>
      </c>
      <c r="J147" s="10">
        <f t="shared" si="11"/>
        <v>1.0409865837931891</v>
      </c>
      <c r="K147" s="10">
        <f t="shared" si="7"/>
        <v>1.0410794857696504</v>
      </c>
      <c r="L147" s="13">
        <f t="shared" si="8"/>
        <v>50.61450266457382</v>
      </c>
      <c r="M147" s="13">
        <f t="shared" si="9"/>
        <v>50.613079999999997</v>
      </c>
      <c r="N147" s="13">
        <f>M147-L147</f>
        <v>-1.4226645738233401E-3</v>
      </c>
      <c r="O147" s="2">
        <f>N147/L147</f>
        <v>-2.8107844568807621E-5</v>
      </c>
    </row>
    <row r="148" spans="1:15" x14ac:dyDescent="0.25">
      <c r="A148" s="1">
        <v>46238</v>
      </c>
      <c r="B148" s="6">
        <v>47.97</v>
      </c>
      <c r="C148" s="6">
        <v>50.03</v>
      </c>
      <c r="F148" s="13">
        <f>F147+D148</f>
        <v>0.78029999999999999</v>
      </c>
      <c r="G148" s="13">
        <f t="shared" si="10"/>
        <v>0.71307999999999994</v>
      </c>
      <c r="H148" s="13">
        <f>B148+F148</f>
        <v>48.750299999999996</v>
      </c>
      <c r="I148" s="13">
        <f>C148+G148</f>
        <v>50.743079999999999</v>
      </c>
      <c r="J148" s="10">
        <f t="shared" si="11"/>
        <v>1.0408772869090037</v>
      </c>
      <c r="K148" s="10">
        <f t="shared" si="7"/>
        <v>1.0410986920293275</v>
      </c>
      <c r="L148" s="13">
        <f t="shared" si="8"/>
        <v>50.75293725511618</v>
      </c>
      <c r="M148" s="13">
        <f t="shared" si="9"/>
        <v>50.743079999999999</v>
      </c>
      <c r="N148" s="13">
        <f>M148-L148</f>
        <v>-9.8572551161808519E-3</v>
      </c>
      <c r="O148" s="2">
        <f>N148/L148</f>
        <v>-1.942203870217814E-4</v>
      </c>
    </row>
    <row r="149" spans="1:15" x14ac:dyDescent="0.25">
      <c r="A149" s="1">
        <v>46239</v>
      </c>
      <c r="B149" s="6">
        <v>47.99</v>
      </c>
      <c r="C149" s="6">
        <v>50.05</v>
      </c>
      <c r="F149" s="13">
        <f>F148+D149</f>
        <v>0.78029999999999999</v>
      </c>
      <c r="G149" s="13">
        <f t="shared" si="10"/>
        <v>0.71307999999999994</v>
      </c>
      <c r="H149" s="13">
        <f>B149+F149</f>
        <v>48.770299999999999</v>
      </c>
      <c r="I149" s="13">
        <f>C149+G149</f>
        <v>50.763079999999995</v>
      </c>
      <c r="J149" s="10">
        <f t="shared" si="11"/>
        <v>1.040860523720379</v>
      </c>
      <c r="K149" s="10">
        <f t="shared" si="7"/>
        <v>1.0410472610081483</v>
      </c>
      <c r="L149" s="13">
        <f t="shared" si="8"/>
        <v>50.774695539877911</v>
      </c>
      <c r="M149" s="13">
        <f t="shared" si="9"/>
        <v>50.763079999999995</v>
      </c>
      <c r="N149" s="13">
        <f>M149-L149</f>
        <v>-1.1615539877915637E-2</v>
      </c>
      <c r="O149" s="2">
        <f>N149/L149</f>
        <v>-2.2876631271561077E-4</v>
      </c>
    </row>
    <row r="150" spans="1:15" x14ac:dyDescent="0.25">
      <c r="A150" s="1">
        <v>46240</v>
      </c>
      <c r="B150" s="6">
        <v>47.89</v>
      </c>
      <c r="C150" s="6">
        <v>49.96</v>
      </c>
      <c r="F150" s="13">
        <f>F149+D150</f>
        <v>0.78029999999999999</v>
      </c>
      <c r="G150" s="13">
        <f t="shared" si="10"/>
        <v>0.71307999999999994</v>
      </c>
      <c r="H150" s="13">
        <f>B150+F150</f>
        <v>48.670299999999997</v>
      </c>
      <c r="I150" s="13">
        <f>C150+G150</f>
        <v>50.673079999999999</v>
      </c>
      <c r="J150" s="10">
        <f t="shared" si="11"/>
        <v>1.0411499415454599</v>
      </c>
      <c r="K150" s="10">
        <f t="shared" si="7"/>
        <v>1.0411211831148983</v>
      </c>
      <c r="L150" s="13">
        <f t="shared" si="8"/>
        <v>50.668082507444879</v>
      </c>
      <c r="M150" s="13">
        <f t="shared" si="9"/>
        <v>50.673079999999999</v>
      </c>
      <c r="N150" s="13">
        <f>M150-L150</f>
        <v>4.9974925551197202E-3</v>
      </c>
      <c r="O150" s="2">
        <f>N150/L150</f>
        <v>9.8631965288708474E-5</v>
      </c>
    </row>
    <row r="151" spans="1:15" x14ac:dyDescent="0.25">
      <c r="A151" s="1">
        <v>46241</v>
      </c>
      <c r="B151" s="6">
        <v>47.95</v>
      </c>
      <c r="C151" s="6">
        <v>50.03</v>
      </c>
      <c r="F151" s="13">
        <f>F150+D151</f>
        <v>0.78029999999999999</v>
      </c>
      <c r="G151" s="13">
        <f t="shared" si="10"/>
        <v>0.71307999999999994</v>
      </c>
      <c r="H151" s="13">
        <f>B151+F151</f>
        <v>48.7303</v>
      </c>
      <c r="I151" s="13">
        <f>C151+G151</f>
        <v>50.743079999999999</v>
      </c>
      <c r="J151" s="10">
        <f t="shared" si="11"/>
        <v>1.0413044861205452</v>
      </c>
      <c r="K151" s="10">
        <f t="shared" ref="K151:K175" si="12">AVERAGE(J132:J151)</f>
        <v>1.041174499776973</v>
      </c>
      <c r="L151" s="13">
        <f t="shared" si="8"/>
        <v>50.73414758954393</v>
      </c>
      <c r="M151" s="13">
        <f t="shared" si="9"/>
        <v>50.743079999999999</v>
      </c>
      <c r="N151" s="13">
        <f>M151-L151</f>
        <v>8.9324104560688511E-3</v>
      </c>
      <c r="O151" s="2">
        <f>N151/L151</f>
        <v>1.7606308335630299E-4</v>
      </c>
    </row>
    <row r="152" spans="1:15" x14ac:dyDescent="0.25">
      <c r="A152" s="1">
        <v>46244</v>
      </c>
      <c r="B152" s="6">
        <v>47.79</v>
      </c>
      <c r="C152" s="6">
        <v>49.9</v>
      </c>
      <c r="F152" s="13">
        <f>F151+D152</f>
        <v>0.78029999999999999</v>
      </c>
      <c r="G152" s="13">
        <f t="shared" si="10"/>
        <v>0.71307999999999994</v>
      </c>
      <c r="H152" s="13">
        <f>B152+F152</f>
        <v>48.570299999999996</v>
      </c>
      <c r="I152" s="13">
        <f>C152+G152</f>
        <v>50.613079999999997</v>
      </c>
      <c r="J152" s="10">
        <f t="shared" si="11"/>
        <v>1.0420582125290558</v>
      </c>
      <c r="K152" s="10">
        <f t="shared" si="12"/>
        <v>1.0412370329096976</v>
      </c>
      <c r="L152" s="13">
        <f t="shared" ref="L152:L175" si="13">K151*H152</f>
        <v>50.570157806517507</v>
      </c>
      <c r="M152" s="13">
        <f t="shared" ref="M152:M175" si="14">I152</f>
        <v>50.613079999999997</v>
      </c>
      <c r="N152" s="13">
        <f>M152-L152</f>
        <v>4.292219348248949E-2</v>
      </c>
      <c r="O152" s="2">
        <f>N152/L152</f>
        <v>8.487652667945137E-4</v>
      </c>
    </row>
    <row r="153" spans="1:15" x14ac:dyDescent="0.25">
      <c r="A153" s="1">
        <v>46245</v>
      </c>
      <c r="B153" s="6">
        <v>47.82</v>
      </c>
      <c r="C153" s="6">
        <v>49.91</v>
      </c>
      <c r="F153" s="13">
        <f>F152+D153</f>
        <v>0.78029999999999999</v>
      </c>
      <c r="G153" s="13">
        <f t="shared" si="10"/>
        <v>0.71307999999999994</v>
      </c>
      <c r="H153" s="13">
        <f>B153+F153</f>
        <v>48.600299999999997</v>
      </c>
      <c r="I153" s="13">
        <f>C153+G153</f>
        <v>50.623079999999995</v>
      </c>
      <c r="J153" s="10">
        <f t="shared" si="11"/>
        <v>1.04162073073623</v>
      </c>
      <c r="K153" s="10">
        <f t="shared" si="12"/>
        <v>1.0412600625442552</v>
      </c>
      <c r="L153" s="13">
        <f t="shared" si="13"/>
        <v>50.604432170521171</v>
      </c>
      <c r="M153" s="13">
        <f t="shared" si="14"/>
        <v>50.623079999999995</v>
      </c>
      <c r="N153" s="13">
        <f>M153-L153</f>
        <v>1.8647829478823041E-2</v>
      </c>
      <c r="O153" s="2">
        <f>N153/L153</f>
        <v>3.6850190149324602E-4</v>
      </c>
    </row>
    <row r="154" spans="1:15" x14ac:dyDescent="0.25">
      <c r="A154" s="1">
        <v>46246</v>
      </c>
      <c r="B154" s="6">
        <v>47.82</v>
      </c>
      <c r="C154" s="6">
        <v>49.91</v>
      </c>
      <c r="F154" s="13">
        <f>F153+D154</f>
        <v>0.78029999999999999</v>
      </c>
      <c r="G154" s="13">
        <f t="shared" si="10"/>
        <v>0.71307999999999994</v>
      </c>
      <c r="H154" s="13">
        <f>B154+F154</f>
        <v>48.600299999999997</v>
      </c>
      <c r="I154" s="13">
        <f>C154+G154</f>
        <v>50.623079999999995</v>
      </c>
      <c r="J154" s="10">
        <f t="shared" si="11"/>
        <v>1.04162073073623</v>
      </c>
      <c r="K154" s="10">
        <f t="shared" si="12"/>
        <v>1.0413065881367189</v>
      </c>
      <c r="L154" s="13">
        <f t="shared" si="13"/>
        <v>50.60555141766956</v>
      </c>
      <c r="M154" s="13">
        <f t="shared" si="14"/>
        <v>50.623079999999995</v>
      </c>
      <c r="N154" s="13">
        <f>M154-L154</f>
        <v>1.7528582330434972E-2</v>
      </c>
      <c r="O154" s="2">
        <f>N154/L154</f>
        <v>3.4637666895009168E-4</v>
      </c>
    </row>
    <row r="155" spans="1:15" x14ac:dyDescent="0.25">
      <c r="A155" s="1">
        <v>46247</v>
      </c>
      <c r="B155" s="6">
        <v>47.91</v>
      </c>
      <c r="C155" s="6">
        <v>49.99</v>
      </c>
      <c r="F155" s="13">
        <f>F154+D155</f>
        <v>0.78029999999999999</v>
      </c>
      <c r="G155" s="13">
        <f t="shared" si="10"/>
        <v>0.71307999999999994</v>
      </c>
      <c r="H155" s="13">
        <f>B155+F155</f>
        <v>48.690299999999993</v>
      </c>
      <c r="I155" s="13">
        <f>C155+G155</f>
        <v>50.70308</v>
      </c>
      <c r="J155" s="10">
        <f t="shared" si="11"/>
        <v>1.0413384185351087</v>
      </c>
      <c r="K155" s="10">
        <f t="shared" si="12"/>
        <v>1.0413360690674234</v>
      </c>
      <c r="L155" s="13">
        <f t="shared" si="13"/>
        <v>50.70153016835328</v>
      </c>
      <c r="M155" s="13">
        <f t="shared" si="14"/>
        <v>50.70308</v>
      </c>
      <c r="N155" s="13">
        <f>M155-L155</f>
        <v>1.5498316467201789E-3</v>
      </c>
      <c r="O155" s="2">
        <f>N155/L155</f>
        <v>3.0567748972742998E-5</v>
      </c>
    </row>
    <row r="156" spans="1:15" x14ac:dyDescent="0.25">
      <c r="A156" s="1">
        <v>46248</v>
      </c>
      <c r="B156" s="6">
        <v>47.72</v>
      </c>
      <c r="C156" s="6">
        <v>49.87</v>
      </c>
      <c r="F156" s="13">
        <f>F155+D156</f>
        <v>0.78029999999999999</v>
      </c>
      <c r="G156" s="13">
        <f t="shared" si="10"/>
        <v>0.71307999999999994</v>
      </c>
      <c r="H156" s="13">
        <f>B156+F156</f>
        <v>48.500299999999996</v>
      </c>
      <c r="I156" s="13">
        <f>C156+G156</f>
        <v>50.583079999999995</v>
      </c>
      <c r="J156" s="10">
        <f t="shared" si="11"/>
        <v>1.0429436518949367</v>
      </c>
      <c r="K156" s="10">
        <f t="shared" si="12"/>
        <v>1.0414548435768551</v>
      </c>
      <c r="L156" s="13">
        <f t="shared" si="13"/>
        <v>50.50511175059075</v>
      </c>
      <c r="M156" s="13">
        <f t="shared" si="14"/>
        <v>50.583079999999995</v>
      </c>
      <c r="N156" s="13">
        <f>M156-L156</f>
        <v>7.7968249409245516E-2</v>
      </c>
      <c r="O156" s="2">
        <f>N156/L156</f>
        <v>1.5437694662329608E-3</v>
      </c>
    </row>
    <row r="157" spans="1:15" x14ac:dyDescent="0.25">
      <c r="A157" s="1">
        <v>46251</v>
      </c>
      <c r="B157" s="6">
        <v>47.65</v>
      </c>
      <c r="C157" s="6">
        <v>49.78</v>
      </c>
      <c r="F157" s="13">
        <f>F156+D157</f>
        <v>0.78029999999999999</v>
      </c>
      <c r="G157" s="13">
        <f t="shared" si="10"/>
        <v>0.71307999999999994</v>
      </c>
      <c r="H157" s="13">
        <f>B157+F157</f>
        <v>48.430299999999995</v>
      </c>
      <c r="I157" s="13">
        <f>C157+G157</f>
        <v>50.493079999999999</v>
      </c>
      <c r="J157" s="10">
        <f t="shared" si="11"/>
        <v>1.0425927570136877</v>
      </c>
      <c r="K157" s="10">
        <f t="shared" si="12"/>
        <v>1.04148959221138</v>
      </c>
      <c r="L157" s="13">
        <f t="shared" si="13"/>
        <v>50.437970510880163</v>
      </c>
      <c r="M157" s="13">
        <f t="shared" si="14"/>
        <v>50.493079999999999</v>
      </c>
      <c r="N157" s="13">
        <f>M157-L157</f>
        <v>5.5109489119836041E-2</v>
      </c>
      <c r="O157" s="2">
        <f>N157/L157</f>
        <v>1.0926190836316099E-3</v>
      </c>
    </row>
    <row r="158" spans="1:15" x14ac:dyDescent="0.25">
      <c r="A158" s="1">
        <v>46252</v>
      </c>
      <c r="B158" s="6">
        <v>47.59</v>
      </c>
      <c r="C158" s="6">
        <v>49.78</v>
      </c>
      <c r="F158" s="13">
        <f>F157+D158</f>
        <v>0.78029999999999999</v>
      </c>
      <c r="G158" s="13">
        <f t="shared" si="10"/>
        <v>0.71307999999999994</v>
      </c>
      <c r="H158" s="13">
        <f>B158+F158</f>
        <v>48.3703</v>
      </c>
      <c r="I158" s="13">
        <f>C158+G158</f>
        <v>50.493079999999999</v>
      </c>
      <c r="J158" s="10">
        <f t="shared" si="11"/>
        <v>1.0438860209674119</v>
      </c>
      <c r="K158" s="10">
        <f t="shared" si="12"/>
        <v>1.0416203691175245</v>
      </c>
      <c r="L158" s="13">
        <f t="shared" si="13"/>
        <v>50.377164022142118</v>
      </c>
      <c r="M158" s="13">
        <f t="shared" si="14"/>
        <v>50.493079999999999</v>
      </c>
      <c r="N158" s="13">
        <f>M158-L158</f>
        <v>0.1159159778578811</v>
      </c>
      <c r="O158" s="2">
        <f>N158/L158</f>
        <v>2.3009627498469924E-3</v>
      </c>
    </row>
    <row r="159" spans="1:15" x14ac:dyDescent="0.25">
      <c r="A159" s="1">
        <v>46253</v>
      </c>
      <c r="B159" s="6">
        <v>47.74</v>
      </c>
      <c r="C159" s="6">
        <v>49.84</v>
      </c>
      <c r="F159" s="13">
        <f>F158+D159</f>
        <v>0.78029999999999999</v>
      </c>
      <c r="G159" s="13">
        <f t="shared" si="10"/>
        <v>0.71307999999999994</v>
      </c>
      <c r="H159" s="13">
        <f>B159+F159</f>
        <v>48.520299999999999</v>
      </c>
      <c r="I159" s="13">
        <f>C159+G159</f>
        <v>50.553080000000001</v>
      </c>
      <c r="J159" s="10">
        <f t="shared" si="11"/>
        <v>1.041895454067679</v>
      </c>
      <c r="K159" s="10">
        <f t="shared" si="12"/>
        <v>1.0416503402658694</v>
      </c>
      <c r="L159" s="13">
        <f t="shared" si="13"/>
        <v>50.539732795693027</v>
      </c>
      <c r="M159" s="13">
        <f t="shared" si="14"/>
        <v>50.553080000000001</v>
      </c>
      <c r="N159" s="13">
        <f>M159-L159</f>
        <v>1.3347204306974447E-2</v>
      </c>
      <c r="O159" s="2">
        <f>N159/L159</f>
        <v>2.6409328994536928E-4</v>
      </c>
    </row>
    <row r="160" spans="1:15" x14ac:dyDescent="0.25">
      <c r="A160" s="1">
        <v>46254</v>
      </c>
      <c r="B160" s="6">
        <v>47.65</v>
      </c>
      <c r="C160" s="6">
        <v>49.79</v>
      </c>
      <c r="F160" s="13">
        <f>F159+D160</f>
        <v>0.78029999999999999</v>
      </c>
      <c r="G160" s="13">
        <f t="shared" si="10"/>
        <v>0.71307999999999994</v>
      </c>
      <c r="H160" s="13">
        <f>B160+F160</f>
        <v>48.430299999999995</v>
      </c>
      <c r="I160" s="13">
        <f>C160+G160</f>
        <v>50.503079999999997</v>
      </c>
      <c r="J160" s="10">
        <f t="shared" si="11"/>
        <v>1.0427992393191865</v>
      </c>
      <c r="K160" s="10">
        <f t="shared" si="12"/>
        <v>1.0416596393249284</v>
      </c>
      <c r="L160" s="13">
        <f t="shared" si="13"/>
        <v>50.447438474178135</v>
      </c>
      <c r="M160" s="13">
        <f t="shared" si="14"/>
        <v>50.503079999999997</v>
      </c>
      <c r="N160" s="13">
        <f>M160-L160</f>
        <v>5.5641525821862103E-2</v>
      </c>
      <c r="O160" s="2">
        <f>N160/L160</f>
        <v>1.1029603782626662E-3</v>
      </c>
    </row>
    <row r="161" spans="1:15" x14ac:dyDescent="0.25">
      <c r="A161" s="1">
        <v>46255</v>
      </c>
      <c r="B161" s="6">
        <v>47.65</v>
      </c>
      <c r="C161" s="6">
        <v>49.77</v>
      </c>
      <c r="F161" s="13">
        <f>F160+D161</f>
        <v>0.78029999999999999</v>
      </c>
      <c r="G161" s="13">
        <f t="shared" si="10"/>
        <v>0.71307999999999994</v>
      </c>
      <c r="H161" s="13">
        <f>B161+F161</f>
        <v>48.430299999999995</v>
      </c>
      <c r="I161" s="13">
        <f>C161+G161</f>
        <v>50.483080000000001</v>
      </c>
      <c r="J161" s="10">
        <f t="shared" si="11"/>
        <v>1.0423862747081889</v>
      </c>
      <c r="K161" s="10">
        <f t="shared" si="12"/>
        <v>1.0417141515052986</v>
      </c>
      <c r="L161" s="13">
        <f t="shared" si="13"/>
        <v>50.447888830398078</v>
      </c>
      <c r="M161" s="13">
        <f t="shared" si="14"/>
        <v>50.483080000000001</v>
      </c>
      <c r="N161" s="13">
        <f>M161-L161</f>
        <v>3.5191169601922923E-2</v>
      </c>
      <c r="O161" s="2">
        <f>N161/L161</f>
        <v>6.9757467394191515E-4</v>
      </c>
    </row>
    <row r="162" spans="1:15" x14ac:dyDescent="0.25">
      <c r="A162" s="1">
        <v>46258</v>
      </c>
      <c r="B162" s="6">
        <v>47.68</v>
      </c>
      <c r="C162" s="6">
        <v>49.81</v>
      </c>
      <c r="F162" s="13">
        <f>F161+D162</f>
        <v>0.78029999999999999</v>
      </c>
      <c r="G162" s="13">
        <f t="shared" si="10"/>
        <v>0.71307999999999994</v>
      </c>
      <c r="H162" s="13">
        <f>B162+F162</f>
        <v>48.460299999999997</v>
      </c>
      <c r="I162" s="13">
        <f>C162+G162</f>
        <v>50.52308</v>
      </c>
      <c r="J162" s="10">
        <f t="shared" si="11"/>
        <v>1.0425663893950305</v>
      </c>
      <c r="K162" s="10">
        <f t="shared" si="12"/>
        <v>1.0418239372854792</v>
      </c>
      <c r="L162" s="13">
        <f t="shared" si="13"/>
        <v>50.481780296192213</v>
      </c>
      <c r="M162" s="13">
        <f t="shared" si="14"/>
        <v>50.52308</v>
      </c>
      <c r="N162" s="13">
        <f>M162-L162</f>
        <v>4.129970380778758E-2</v>
      </c>
      <c r="O162" s="2">
        <f>N162/L162</f>
        <v>8.1811108018515686E-4</v>
      </c>
    </row>
    <row r="163" spans="1:15" x14ac:dyDescent="0.25">
      <c r="A163" s="1">
        <v>46259</v>
      </c>
      <c r="B163" s="6">
        <v>47.91</v>
      </c>
      <c r="C163" s="6">
        <v>49.98</v>
      </c>
      <c r="F163" s="13">
        <f>F162+D163</f>
        <v>0.78029999999999999</v>
      </c>
      <c r="G163" s="13">
        <f t="shared" si="10"/>
        <v>0.71307999999999994</v>
      </c>
      <c r="H163" s="13">
        <f>B163+F163</f>
        <v>48.690299999999993</v>
      </c>
      <c r="I163" s="13">
        <f>C163+G163</f>
        <v>50.693079999999995</v>
      </c>
      <c r="J163" s="10">
        <f t="shared" si="11"/>
        <v>1.0411330388188202</v>
      </c>
      <c r="K163" s="10">
        <f t="shared" si="12"/>
        <v>1.0418341284582679</v>
      </c>
      <c r="L163" s="13">
        <f t="shared" si="13"/>
        <v>50.72672005361116</v>
      </c>
      <c r="M163" s="13">
        <f t="shared" si="14"/>
        <v>50.693079999999995</v>
      </c>
      <c r="N163" s="13">
        <f>M163-L163</f>
        <v>-3.3640053611165399E-2</v>
      </c>
      <c r="O163" s="2">
        <f>N163/L163</f>
        <v>-6.6316240386944973E-4</v>
      </c>
    </row>
    <row r="164" spans="1:15" x14ac:dyDescent="0.25">
      <c r="A164" s="1">
        <v>46260</v>
      </c>
      <c r="B164" s="6">
        <v>47.78</v>
      </c>
      <c r="C164" s="6">
        <v>49.85</v>
      </c>
      <c r="F164" s="13">
        <f>F163+D164</f>
        <v>0.78029999999999999</v>
      </c>
      <c r="G164" s="13">
        <f t="shared" si="10"/>
        <v>0.71307999999999994</v>
      </c>
      <c r="H164" s="13">
        <f>B164+F164</f>
        <v>48.560299999999998</v>
      </c>
      <c r="I164" s="13">
        <f>C164+G164</f>
        <v>50.563079999999999</v>
      </c>
      <c r="J164" s="10">
        <f t="shared" si="11"/>
        <v>1.0412431554170793</v>
      </c>
      <c r="K164" s="10">
        <f t="shared" si="12"/>
        <v>1.0418215953779464</v>
      </c>
      <c r="L164" s="13">
        <f t="shared" si="13"/>
        <v>50.591777828172027</v>
      </c>
      <c r="M164" s="13">
        <f t="shared" si="14"/>
        <v>50.563079999999999</v>
      </c>
      <c r="N164" s="13">
        <f>M164-L164</f>
        <v>-2.8697828172028039E-2</v>
      </c>
      <c r="O164" s="2">
        <f>N164/L164</f>
        <v>-5.6724292768473646E-4</v>
      </c>
    </row>
    <row r="165" spans="1:15" x14ac:dyDescent="0.25">
      <c r="A165" s="1">
        <v>46261</v>
      </c>
      <c r="B165" s="6">
        <v>47.7</v>
      </c>
      <c r="C165" s="6">
        <v>49.78</v>
      </c>
      <c r="F165" s="13">
        <f>F164+D165</f>
        <v>0.78029999999999999</v>
      </c>
      <c r="G165" s="13">
        <f t="shared" si="10"/>
        <v>0.71307999999999994</v>
      </c>
      <c r="H165" s="13">
        <f>B165+F165</f>
        <v>48.4803</v>
      </c>
      <c r="I165" s="13">
        <f>C165+G165</f>
        <v>50.493079999999999</v>
      </c>
      <c r="J165" s="10">
        <f t="shared" si="11"/>
        <v>1.0415174823588138</v>
      </c>
      <c r="K165" s="10">
        <f t="shared" si="12"/>
        <v>1.0418360708662524</v>
      </c>
      <c r="L165" s="13">
        <f t="shared" si="13"/>
        <v>50.507823490401456</v>
      </c>
      <c r="M165" s="13">
        <f t="shared" si="14"/>
        <v>50.493079999999999</v>
      </c>
      <c r="N165" s="13">
        <f>M165-L165</f>
        <v>-1.4743490401457393E-2</v>
      </c>
      <c r="O165" s="2">
        <f>N165/L165</f>
        <v>-2.9190508286818689E-4</v>
      </c>
    </row>
    <row r="166" spans="1:15" x14ac:dyDescent="0.25">
      <c r="A166" s="1">
        <v>46262</v>
      </c>
      <c r="B166" s="6">
        <v>47.6</v>
      </c>
      <c r="C166" s="6">
        <v>49.74</v>
      </c>
      <c r="F166" s="13">
        <f>F165+D166</f>
        <v>0.78029999999999999</v>
      </c>
      <c r="G166" s="13">
        <f t="shared" si="10"/>
        <v>0.71307999999999994</v>
      </c>
      <c r="H166" s="13">
        <f>B166+F166</f>
        <v>48.380299999999998</v>
      </c>
      <c r="I166" s="13">
        <f>C166+G166</f>
        <v>50.45308</v>
      </c>
      <c r="J166" s="10">
        <f t="shared" si="11"/>
        <v>1.0428434714129511</v>
      </c>
      <c r="K166" s="10">
        <f t="shared" si="12"/>
        <v>1.0418811924999494</v>
      </c>
      <c r="L166" s="13">
        <f t="shared" si="13"/>
        <v>50.404341659330548</v>
      </c>
      <c r="M166" s="13">
        <f t="shared" si="14"/>
        <v>50.45308</v>
      </c>
      <c r="N166" s="13">
        <f>M166-L166</f>
        <v>4.8738340669451929E-2</v>
      </c>
      <c r="O166" s="2">
        <f>N166/L166</f>
        <v>9.6694727209932279E-4</v>
      </c>
    </row>
    <row r="167" spans="1:15" x14ac:dyDescent="0.25">
      <c r="A167" s="1">
        <v>46265</v>
      </c>
      <c r="B167" s="6">
        <v>47.55</v>
      </c>
      <c r="C167" s="6">
        <v>49.72</v>
      </c>
      <c r="F167" s="13">
        <f>F166+D167</f>
        <v>0.78029999999999999</v>
      </c>
      <c r="G167" s="13">
        <f t="shared" si="10"/>
        <v>0.71307999999999994</v>
      </c>
      <c r="H167" s="13">
        <f>B167+F167</f>
        <v>48.330299999999994</v>
      </c>
      <c r="I167" s="13">
        <f>C167+G167</f>
        <v>50.433079999999997</v>
      </c>
      <c r="J167" s="10">
        <f t="shared" si="11"/>
        <v>1.0435085236383801</v>
      </c>
      <c r="K167" s="10">
        <f t="shared" si="12"/>
        <v>1.0420072894922088</v>
      </c>
      <c r="L167" s="13">
        <f t="shared" si="13"/>
        <v>50.354430597880295</v>
      </c>
      <c r="M167" s="13">
        <f t="shared" si="14"/>
        <v>50.433079999999997</v>
      </c>
      <c r="N167" s="13">
        <f>M167-L167</f>
        <v>7.8649402119701506E-2</v>
      </c>
      <c r="O167" s="2">
        <f>N167/L167</f>
        <v>1.5619162243691879E-3</v>
      </c>
    </row>
    <row r="168" spans="1:15" x14ac:dyDescent="0.25">
      <c r="A168" s="1">
        <v>46266</v>
      </c>
      <c r="B168" s="6">
        <v>47.27</v>
      </c>
      <c r="C168" s="6">
        <v>49.58</v>
      </c>
      <c r="D168" s="13">
        <v>0.1206</v>
      </c>
      <c r="E168" s="13">
        <v>0</v>
      </c>
      <c r="F168" s="13">
        <f>F167+D168</f>
        <v>0.90090000000000003</v>
      </c>
      <c r="G168" s="13">
        <f t="shared" si="10"/>
        <v>0.71307999999999994</v>
      </c>
      <c r="H168" s="13">
        <f>B168+F168</f>
        <v>48.170900000000003</v>
      </c>
      <c r="I168" s="13">
        <f>C168+G168</f>
        <v>50.293079999999996</v>
      </c>
      <c r="J168" s="10">
        <f t="shared" si="11"/>
        <v>1.0440552283640121</v>
      </c>
      <c r="K168" s="10">
        <f t="shared" si="12"/>
        <v>1.0421661865649594</v>
      </c>
      <c r="L168" s="13">
        <f t="shared" si="13"/>
        <v>50.19442894140024</v>
      </c>
      <c r="M168" s="13">
        <f t="shared" si="14"/>
        <v>50.293079999999996</v>
      </c>
      <c r="N168" s="13">
        <f>M168-L168</f>
        <v>9.8651058599756425E-2</v>
      </c>
      <c r="O168" s="2">
        <f>N168/L168</f>
        <v>1.965378642217987E-3</v>
      </c>
    </row>
    <row r="169" spans="1:15" x14ac:dyDescent="0.25">
      <c r="A169" s="1">
        <v>46267</v>
      </c>
      <c r="B169" s="6">
        <v>47.25</v>
      </c>
      <c r="C169" s="6">
        <v>49.59</v>
      </c>
      <c r="F169" s="13">
        <f>F168+D169</f>
        <v>0.90090000000000003</v>
      </c>
      <c r="G169" s="13">
        <f t="shared" si="10"/>
        <v>0.71307999999999994</v>
      </c>
      <c r="H169" s="13">
        <f>B169+F169</f>
        <v>48.1509</v>
      </c>
      <c r="I169" s="13">
        <f>C169+G169</f>
        <v>50.303080000000001</v>
      </c>
      <c r="J169" s="10">
        <f t="shared" si="11"/>
        <v>1.0446965684961236</v>
      </c>
      <c r="K169" s="10">
        <f t="shared" si="12"/>
        <v>1.0423579888037466</v>
      </c>
      <c r="L169" s="13">
        <f t="shared" si="13"/>
        <v>50.181239832670705</v>
      </c>
      <c r="M169" s="13">
        <f t="shared" si="14"/>
        <v>50.303080000000001</v>
      </c>
      <c r="N169" s="13">
        <f>M169-L169</f>
        <v>0.12184016732929592</v>
      </c>
      <c r="O169" s="2">
        <f>N169/L169</f>
        <v>2.4280023318589148E-3</v>
      </c>
    </row>
    <row r="170" spans="1:15" x14ac:dyDescent="0.25">
      <c r="A170" s="1">
        <v>46268</v>
      </c>
      <c r="B170" s="6">
        <v>47.4</v>
      </c>
      <c r="C170" s="6">
        <v>49.68</v>
      </c>
      <c r="F170" s="13">
        <f>F169+D170</f>
        <v>0.90090000000000003</v>
      </c>
      <c r="G170" s="13">
        <f t="shared" si="10"/>
        <v>0.71307999999999994</v>
      </c>
      <c r="H170" s="13">
        <f>B170+F170</f>
        <v>48.300899999999999</v>
      </c>
      <c r="I170" s="13">
        <f>C170+G170</f>
        <v>50.393079999999998</v>
      </c>
      <c r="J170" s="10">
        <f t="shared" si="11"/>
        <v>1.0433155489856296</v>
      </c>
      <c r="K170" s="10">
        <f t="shared" si="12"/>
        <v>1.0424662691757551</v>
      </c>
      <c r="L170" s="13">
        <f t="shared" si="13"/>
        <v>50.346828981410887</v>
      </c>
      <c r="M170" s="13">
        <f t="shared" si="14"/>
        <v>50.393079999999998</v>
      </c>
      <c r="N170" s="13">
        <f>M170-L170</f>
        <v>4.6251018589110515E-2</v>
      </c>
      <c r="O170" s="2">
        <f>N170/L170</f>
        <v>9.1864809611321037E-4</v>
      </c>
    </row>
    <row r="171" spans="1:15" x14ac:dyDescent="0.25">
      <c r="A171" s="1">
        <v>46269</v>
      </c>
      <c r="B171" s="6">
        <v>47.45</v>
      </c>
      <c r="C171" s="6">
        <v>49.74</v>
      </c>
      <c r="F171" s="13">
        <f>F170+D171</f>
        <v>0.90090000000000003</v>
      </c>
      <c r="G171" s="13">
        <f t="shared" si="10"/>
        <v>0.71307999999999994</v>
      </c>
      <c r="H171" s="13">
        <f>B171+F171</f>
        <v>48.350900000000003</v>
      </c>
      <c r="I171" s="13">
        <f>C171+G171</f>
        <v>50.45308</v>
      </c>
      <c r="J171" s="10">
        <f t="shared" si="11"/>
        <v>1.0434775774597784</v>
      </c>
      <c r="K171" s="10">
        <f t="shared" si="12"/>
        <v>1.0425749237427167</v>
      </c>
      <c r="L171" s="13">
        <f t="shared" si="13"/>
        <v>50.40418233429002</v>
      </c>
      <c r="M171" s="13">
        <f t="shared" si="14"/>
        <v>50.45308</v>
      </c>
      <c r="N171" s="13">
        <f>M171-L171</f>
        <v>4.8897665709979776E-2</v>
      </c>
      <c r="O171" s="2">
        <f>N171/L171</f>
        <v>9.7011127738728616E-4</v>
      </c>
    </row>
    <row r="172" spans="1:15" x14ac:dyDescent="0.25">
      <c r="A172" s="1">
        <v>46273</v>
      </c>
      <c r="B172" s="6">
        <v>47.39</v>
      </c>
      <c r="C172" s="6">
        <v>49.68</v>
      </c>
      <c r="F172" s="13">
        <f>F171+D172</f>
        <v>0.90090000000000003</v>
      </c>
      <c r="G172" s="13">
        <f t="shared" si="10"/>
        <v>0.71307999999999994</v>
      </c>
      <c r="H172" s="13">
        <f>B172+F172</f>
        <v>48.290900000000001</v>
      </c>
      <c r="I172" s="13">
        <f>C172+G172</f>
        <v>50.393079999999998</v>
      </c>
      <c r="J172" s="10">
        <f t="shared" si="11"/>
        <v>1.0435315970503758</v>
      </c>
      <c r="K172" s="10">
        <f t="shared" si="12"/>
        <v>1.0426485929687828</v>
      </c>
      <c r="L172" s="13">
        <f t="shared" si="13"/>
        <v>50.346881384967155</v>
      </c>
      <c r="M172" s="13">
        <f t="shared" si="14"/>
        <v>50.393079999999998</v>
      </c>
      <c r="N172" s="13">
        <f>M172-L172</f>
        <v>4.6198615032842838E-2</v>
      </c>
      <c r="O172" s="2">
        <f>N172/L172</f>
        <v>9.1760628984334806E-4</v>
      </c>
    </row>
    <row r="173" spans="1:15" x14ac:dyDescent="0.25">
      <c r="A173" s="1">
        <v>46274</v>
      </c>
      <c r="B173" s="6">
        <v>47.23</v>
      </c>
      <c r="C173" s="6">
        <v>49.55</v>
      </c>
      <c r="F173" s="13">
        <f>F172+D173</f>
        <v>0.90090000000000003</v>
      </c>
      <c r="G173" s="13">
        <f t="shared" si="10"/>
        <v>0.71307999999999994</v>
      </c>
      <c r="H173" s="13">
        <f>B173+F173</f>
        <v>48.130899999999997</v>
      </c>
      <c r="I173" s="13">
        <f>C173+G173</f>
        <v>50.263079999999995</v>
      </c>
      <c r="J173" s="10">
        <f t="shared" si="11"/>
        <v>1.0442996079441689</v>
      </c>
      <c r="K173" s="10">
        <f t="shared" si="12"/>
        <v>1.0427825368291797</v>
      </c>
      <c r="L173" s="13">
        <f t="shared" si="13"/>
        <v>50.183615163321186</v>
      </c>
      <c r="M173" s="13">
        <f t="shared" si="14"/>
        <v>50.263079999999995</v>
      </c>
      <c r="N173" s="13">
        <f>M173-L173</f>
        <v>7.9464836678809547E-2</v>
      </c>
      <c r="O173" s="2">
        <f>N173/L173</f>
        <v>1.5834817085256499E-3</v>
      </c>
    </row>
    <row r="174" spans="1:15" x14ac:dyDescent="0.25">
      <c r="A174" s="1">
        <v>46275</v>
      </c>
      <c r="B174" s="6">
        <v>46.97</v>
      </c>
      <c r="C174" s="6">
        <v>49.35</v>
      </c>
      <c r="F174" s="13">
        <f>F173+D174</f>
        <v>0.90090000000000003</v>
      </c>
      <c r="G174" s="13">
        <f t="shared" si="10"/>
        <v>0.71307999999999994</v>
      </c>
      <c r="H174" s="13">
        <f>B174+F174</f>
        <v>47.870899999999999</v>
      </c>
      <c r="I174" s="13">
        <f>C174+G174</f>
        <v>50.063079999999999</v>
      </c>
      <c r="J174" s="10">
        <f t="shared" si="11"/>
        <v>1.0457935823224547</v>
      </c>
      <c r="K174" s="10">
        <f t="shared" si="12"/>
        <v>1.0429911794084907</v>
      </c>
      <c r="L174" s="13">
        <f t="shared" si="13"/>
        <v>49.918938542295976</v>
      </c>
      <c r="M174" s="13">
        <f t="shared" si="14"/>
        <v>50.063079999999999</v>
      </c>
      <c r="N174" s="13">
        <f>M174-L174</f>
        <v>0.14414145770402342</v>
      </c>
      <c r="O174" s="2">
        <f>N174/L174</f>
        <v>2.8875104702375302E-3</v>
      </c>
    </row>
    <row r="175" spans="1:15" x14ac:dyDescent="0.25">
      <c r="A175" s="1">
        <v>46276</v>
      </c>
      <c r="B175" s="6">
        <v>46.99</v>
      </c>
      <c r="C175" s="6">
        <v>49.41</v>
      </c>
      <c r="F175" s="13">
        <f>F174+D175</f>
        <v>0.90090000000000003</v>
      </c>
      <c r="G175" s="13">
        <f t="shared" si="10"/>
        <v>0.71307999999999994</v>
      </c>
      <c r="H175" s="13">
        <f>B175+F175</f>
        <v>47.890900000000002</v>
      </c>
      <c r="I175" s="13">
        <f>C175+G175</f>
        <v>50.123079999999995</v>
      </c>
      <c r="J175" s="10">
        <f t="shared" si="11"/>
        <v>1.046609689941095</v>
      </c>
      <c r="K175" s="10">
        <f t="shared" si="12"/>
        <v>1.0432547429787902</v>
      </c>
      <c r="L175" s="13">
        <f t="shared" si="13"/>
        <v>49.949786273934087</v>
      </c>
      <c r="M175" s="13">
        <f t="shared" si="14"/>
        <v>50.123079999999995</v>
      </c>
      <c r="N175" s="13">
        <f>M175-L175</f>
        <v>0.17329372606590709</v>
      </c>
      <c r="O175" s="2">
        <f>N175/L175</f>
        <v>3.4693587098757837E-3</v>
      </c>
    </row>
  </sheetData>
  <conditionalFormatting sqref="O23:O175">
    <cfRule type="cellIs" dxfId="3" priority="13" operator="lessThan">
      <formula>$Q$3</formula>
    </cfRule>
    <cfRule type="cellIs" dxfId="2" priority="14" operator="greaterThan">
      <formula>$Q$4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E2DC-669F-4C74-8785-E8E3DF955D99}">
  <dimension ref="A1:T175"/>
  <sheetViews>
    <sheetView tabSelected="1" workbookViewId="0">
      <selection activeCell="O5" sqref="O5"/>
    </sheetView>
  </sheetViews>
  <sheetFormatPr defaultRowHeight="15" x14ac:dyDescent="0.25"/>
  <cols>
    <col min="1" max="1" width="9.42578125" bestFit="1" customWidth="1"/>
    <col min="2" max="3" width="9" style="6" bestFit="1" customWidth="1"/>
    <col min="4" max="7" width="13.140625" style="13" bestFit="1" customWidth="1"/>
    <col min="8" max="8" width="14.5703125" style="13" bestFit="1" customWidth="1"/>
    <col min="9" max="9" width="14.42578125" style="13" bestFit="1" customWidth="1"/>
    <col min="10" max="11" width="12" style="10" bestFit="1" customWidth="1"/>
    <col min="12" max="13" width="14.28515625" style="13" bestFit="1" customWidth="1"/>
    <col min="14" max="14" width="13.85546875" style="13" bestFit="1" customWidth="1"/>
    <col min="15" max="15" width="10.28515625" style="2" bestFit="1" customWidth="1"/>
    <col min="19" max="19" width="10" bestFit="1" customWidth="1"/>
  </cols>
  <sheetData>
    <row r="1" spans="1:20" s="3" customFormat="1" x14ac:dyDescent="0.25">
      <c r="A1" s="3" t="s">
        <v>0</v>
      </c>
      <c r="B1" s="5" t="s">
        <v>10</v>
      </c>
      <c r="C1" s="5" t="s">
        <v>2</v>
      </c>
      <c r="D1" s="12" t="s">
        <v>76</v>
      </c>
      <c r="E1" s="12" t="s">
        <v>75</v>
      </c>
      <c r="F1" s="12" t="str">
        <f>_xlfn.CONCAT(D1," cum")</f>
        <v>FALN div cum</v>
      </c>
      <c r="G1" s="12" t="str">
        <f>_xlfn.CONCAT(E1," cum")</f>
        <v>ANGL div cum</v>
      </c>
      <c r="H1" s="12" t="str">
        <f>_xlfn.CONCAT(B1," + cum div")</f>
        <v>FALN + cum div</v>
      </c>
      <c r="I1" s="12" t="str">
        <f>_xlfn.CONCAT(C1," + cum div")</f>
        <v>ANGL + cum div</v>
      </c>
      <c r="J1" s="9" t="s">
        <v>73</v>
      </c>
      <c r="K1" s="9" t="s">
        <v>74</v>
      </c>
      <c r="L1" s="12" t="str">
        <f>_xlfn.CONCAT(B1,"*")</f>
        <v>FALN*</v>
      </c>
      <c r="M1" s="12" t="str">
        <f>_xlfn.CONCAT(C1,"*")</f>
        <v>ANGL*</v>
      </c>
      <c r="N1" s="12" t="str">
        <f>_xlfn.CONCAT(M1,"-",L1)</f>
        <v>ANGL*-FALN*</v>
      </c>
      <c r="O1" s="4" t="str">
        <f>_xlfn.CONCAT("diff/",L1)</f>
        <v>diff/FALN*</v>
      </c>
    </row>
    <row r="2" spans="1:20" x14ac:dyDescent="0.25">
      <c r="A2" s="1">
        <v>46024</v>
      </c>
      <c r="B2" s="6">
        <v>27.33</v>
      </c>
      <c r="C2" s="6">
        <v>29.4</v>
      </c>
      <c r="S2" s="16">
        <f>AVERAGE(K:K)</f>
        <v>1.07478514838877</v>
      </c>
      <c r="T2" t="s">
        <v>92</v>
      </c>
    </row>
    <row r="3" spans="1:20" x14ac:dyDescent="0.25">
      <c r="A3" s="1">
        <v>46027</v>
      </c>
      <c r="B3" s="6">
        <v>27.41</v>
      </c>
      <c r="C3" s="6">
        <v>29.48</v>
      </c>
      <c r="F3" s="13">
        <f>F2+D3</f>
        <v>0</v>
      </c>
      <c r="G3" s="13">
        <f>G2+E3</f>
        <v>0</v>
      </c>
      <c r="H3" s="13">
        <f>B3+F3</f>
        <v>27.41</v>
      </c>
      <c r="I3" s="13">
        <f>C3+G3</f>
        <v>29.48</v>
      </c>
      <c r="J3" s="10">
        <f>I3/H3</f>
        <v>1.0755198832542867</v>
      </c>
      <c r="Q3" s="11">
        <v>-1.5E-3</v>
      </c>
    </row>
    <row r="4" spans="1:20" x14ac:dyDescent="0.25">
      <c r="A4" s="1">
        <v>46028</v>
      </c>
      <c r="B4" s="6">
        <v>27.45</v>
      </c>
      <c r="C4" s="6">
        <v>29.53</v>
      </c>
      <c r="F4" s="13">
        <f>F3+D4</f>
        <v>0</v>
      </c>
      <c r="G4" s="13">
        <f t="shared" ref="G4:G67" si="0">G3+E4</f>
        <v>0</v>
      </c>
      <c r="H4" s="13">
        <f>B4+F4</f>
        <v>27.45</v>
      </c>
      <c r="I4" s="13">
        <f>C4+G4</f>
        <v>29.53</v>
      </c>
      <c r="J4" s="10">
        <f t="shared" ref="J4:J67" si="1">I4/H4</f>
        <v>1.0757741347905283</v>
      </c>
      <c r="Q4" s="2">
        <v>1.5E-3</v>
      </c>
      <c r="S4" s="14">
        <f>MAX(K:K)</f>
        <v>1.0770410066318434</v>
      </c>
      <c r="T4" t="s">
        <v>89</v>
      </c>
    </row>
    <row r="5" spans="1:20" x14ac:dyDescent="0.25">
      <c r="A5" s="1">
        <v>46029</v>
      </c>
      <c r="B5" s="6">
        <v>27.46</v>
      </c>
      <c r="C5" s="6">
        <v>29.52</v>
      </c>
      <c r="F5" s="13">
        <f>F4+D5</f>
        <v>0</v>
      </c>
      <c r="G5" s="13">
        <f t="shared" si="0"/>
        <v>0</v>
      </c>
      <c r="H5" s="13">
        <f>B5+F5</f>
        <v>27.46</v>
      </c>
      <c r="I5" s="13">
        <f>C5+G5</f>
        <v>29.52</v>
      </c>
      <c r="J5" s="10">
        <f t="shared" si="1"/>
        <v>1.0750182083029862</v>
      </c>
      <c r="S5" s="15">
        <f>MIN(K:K)</f>
        <v>1.0728428346318764</v>
      </c>
      <c r="T5" t="s">
        <v>90</v>
      </c>
    </row>
    <row r="6" spans="1:20" x14ac:dyDescent="0.25">
      <c r="A6" s="1">
        <v>46030</v>
      </c>
      <c r="B6" s="6">
        <v>27.49</v>
      </c>
      <c r="C6" s="6">
        <v>29.55</v>
      </c>
      <c r="F6" s="13">
        <f>F5+D6</f>
        <v>0</v>
      </c>
      <c r="G6" s="13">
        <f t="shared" si="0"/>
        <v>0</v>
      </c>
      <c r="H6" s="13">
        <f>B6+F6</f>
        <v>27.49</v>
      </c>
      <c r="I6" s="13">
        <f>C6+G6</f>
        <v>29.55</v>
      </c>
      <c r="J6" s="10">
        <f t="shared" si="1"/>
        <v>1.0749363404874501</v>
      </c>
      <c r="S6" s="14">
        <f>S4-S5</f>
        <v>4.1981719999670819E-3</v>
      </c>
      <c r="T6" t="s">
        <v>91</v>
      </c>
    </row>
    <row r="7" spans="1:20" x14ac:dyDescent="0.25">
      <c r="A7" s="1">
        <v>46031</v>
      </c>
      <c r="B7" s="6">
        <v>27.52</v>
      </c>
      <c r="C7" s="6">
        <v>29.57</v>
      </c>
      <c r="F7" s="13">
        <f>F6+D7</f>
        <v>0</v>
      </c>
      <c r="G7" s="13">
        <f t="shared" si="0"/>
        <v>0</v>
      </c>
      <c r="H7" s="13">
        <f>B7+F7</f>
        <v>27.52</v>
      </c>
      <c r="I7" s="13">
        <f>C7+G7</f>
        <v>29.57</v>
      </c>
      <c r="J7" s="10">
        <f t="shared" si="1"/>
        <v>1.0744912790697674</v>
      </c>
    </row>
    <row r="8" spans="1:20" x14ac:dyDescent="0.25">
      <c r="A8" s="1">
        <v>46034</v>
      </c>
      <c r="B8" s="6">
        <v>27.54</v>
      </c>
      <c r="C8" s="6">
        <v>29.55</v>
      </c>
      <c r="F8" s="13">
        <f>F7+D8</f>
        <v>0</v>
      </c>
      <c r="G8" s="13">
        <f t="shared" si="0"/>
        <v>0</v>
      </c>
      <c r="H8" s="13">
        <f>B8+F8</f>
        <v>27.54</v>
      </c>
      <c r="I8" s="13">
        <f>C8+G8</f>
        <v>29.55</v>
      </c>
      <c r="J8" s="10">
        <f t="shared" si="1"/>
        <v>1.0729847494553377</v>
      </c>
    </row>
    <row r="9" spans="1:20" x14ac:dyDescent="0.25">
      <c r="A9" s="1">
        <v>46035</v>
      </c>
      <c r="B9" s="6">
        <v>27.51</v>
      </c>
      <c r="C9" s="6">
        <v>29.56</v>
      </c>
      <c r="F9" s="13">
        <f>F8+D9</f>
        <v>0</v>
      </c>
      <c r="G9" s="13">
        <f t="shared" si="0"/>
        <v>0</v>
      </c>
      <c r="H9" s="13">
        <f>B9+F9</f>
        <v>27.51</v>
      </c>
      <c r="I9" s="13">
        <f>C9+G9</f>
        <v>29.56</v>
      </c>
      <c r="J9" s="10">
        <f t="shared" si="1"/>
        <v>1.074518356961105</v>
      </c>
    </row>
    <row r="10" spans="1:20" x14ac:dyDescent="0.25">
      <c r="A10" s="1">
        <v>46036</v>
      </c>
      <c r="B10" s="6">
        <v>27.54</v>
      </c>
      <c r="C10" s="6">
        <v>29.58</v>
      </c>
      <c r="F10" s="13">
        <f>F9+D10</f>
        <v>0</v>
      </c>
      <c r="G10" s="13">
        <f t="shared" si="0"/>
        <v>0</v>
      </c>
      <c r="H10" s="13">
        <f>B10+F10</f>
        <v>27.54</v>
      </c>
      <c r="I10" s="13">
        <f>C10+G10</f>
        <v>29.58</v>
      </c>
      <c r="J10" s="10">
        <f t="shared" si="1"/>
        <v>1.074074074074074</v>
      </c>
    </row>
    <row r="11" spans="1:20" x14ac:dyDescent="0.25">
      <c r="A11" s="1">
        <v>46037</v>
      </c>
      <c r="B11" s="6">
        <v>27.53</v>
      </c>
      <c r="C11" s="6">
        <v>29.57</v>
      </c>
      <c r="F11" s="13">
        <f>F10+D11</f>
        <v>0</v>
      </c>
      <c r="G11" s="13">
        <f t="shared" si="0"/>
        <v>0</v>
      </c>
      <c r="H11" s="13">
        <f>B11+F11</f>
        <v>27.53</v>
      </c>
      <c r="I11" s="13">
        <f>C11+G11</f>
        <v>29.57</v>
      </c>
      <c r="J11" s="10">
        <f t="shared" si="1"/>
        <v>1.0741009807482746</v>
      </c>
    </row>
    <row r="12" spans="1:20" x14ac:dyDescent="0.25">
      <c r="A12" s="1">
        <v>46038</v>
      </c>
      <c r="B12" s="6">
        <v>27.53</v>
      </c>
      <c r="C12" s="6">
        <v>29.58</v>
      </c>
      <c r="F12" s="13">
        <f>F11+D12</f>
        <v>0</v>
      </c>
      <c r="G12" s="13">
        <f t="shared" si="0"/>
        <v>0</v>
      </c>
      <c r="H12" s="13">
        <f>B12+F12</f>
        <v>27.53</v>
      </c>
      <c r="I12" s="13">
        <f>C12+G12</f>
        <v>29.58</v>
      </c>
      <c r="J12" s="10">
        <f t="shared" si="1"/>
        <v>1.0744642208499817</v>
      </c>
    </row>
    <row r="13" spans="1:20" x14ac:dyDescent="0.25">
      <c r="A13" s="1">
        <v>46042</v>
      </c>
      <c r="B13" s="6">
        <v>27.45</v>
      </c>
      <c r="C13" s="6">
        <v>29.49</v>
      </c>
      <c r="F13" s="13">
        <f>F12+D13</f>
        <v>0</v>
      </c>
      <c r="G13" s="13">
        <f t="shared" si="0"/>
        <v>0</v>
      </c>
      <c r="H13" s="13">
        <f>B13+F13</f>
        <v>27.45</v>
      </c>
      <c r="I13" s="13">
        <f>C13+G13</f>
        <v>29.49</v>
      </c>
      <c r="J13" s="10">
        <f t="shared" si="1"/>
        <v>1.0743169398907104</v>
      </c>
    </row>
    <row r="14" spans="1:20" x14ac:dyDescent="0.25">
      <c r="A14" s="1">
        <v>46043</v>
      </c>
      <c r="B14" s="6">
        <v>27.57</v>
      </c>
      <c r="C14" s="6">
        <v>29.61</v>
      </c>
      <c r="F14" s="13">
        <f>F13+D14</f>
        <v>0</v>
      </c>
      <c r="G14" s="13">
        <f t="shared" si="0"/>
        <v>0</v>
      </c>
      <c r="H14" s="13">
        <f>B14+F14</f>
        <v>27.57</v>
      </c>
      <c r="I14" s="13">
        <f>C14+G14</f>
        <v>29.61</v>
      </c>
      <c r="J14" s="10">
        <f t="shared" si="1"/>
        <v>1.0739934711643091</v>
      </c>
    </row>
    <row r="15" spans="1:20" x14ac:dyDescent="0.25">
      <c r="A15" s="1">
        <v>46044</v>
      </c>
      <c r="B15" s="6">
        <v>27.57</v>
      </c>
      <c r="C15" s="6">
        <v>29.62</v>
      </c>
      <c r="F15" s="13">
        <f>F14+D15</f>
        <v>0</v>
      </c>
      <c r="G15" s="13">
        <f t="shared" si="0"/>
        <v>0</v>
      </c>
      <c r="H15" s="13">
        <f>B15+F15</f>
        <v>27.57</v>
      </c>
      <c r="I15" s="13">
        <f>C15+G15</f>
        <v>29.62</v>
      </c>
      <c r="J15" s="10">
        <f t="shared" si="1"/>
        <v>1.0743561842582519</v>
      </c>
    </row>
    <row r="16" spans="1:20" x14ac:dyDescent="0.25">
      <c r="A16" s="1">
        <v>46045</v>
      </c>
      <c r="B16" s="6">
        <v>27.54</v>
      </c>
      <c r="C16" s="6">
        <v>29.59</v>
      </c>
      <c r="F16" s="13">
        <f>F15+D16</f>
        <v>0</v>
      </c>
      <c r="G16" s="13">
        <f t="shared" si="0"/>
        <v>0</v>
      </c>
      <c r="H16" s="13">
        <f>B16+F16</f>
        <v>27.54</v>
      </c>
      <c r="I16" s="13">
        <f>C16+G16</f>
        <v>29.59</v>
      </c>
      <c r="J16" s="10">
        <f t="shared" si="1"/>
        <v>1.0744371822803196</v>
      </c>
    </row>
    <row r="17" spans="1:15" x14ac:dyDescent="0.25">
      <c r="A17" s="1">
        <v>46048</v>
      </c>
      <c r="B17" s="6">
        <v>27.55</v>
      </c>
      <c r="C17" s="6">
        <v>29.6</v>
      </c>
      <c r="F17" s="13">
        <f>F16+D17</f>
        <v>0</v>
      </c>
      <c r="G17" s="13">
        <f t="shared" si="0"/>
        <v>0</v>
      </c>
      <c r="H17" s="13">
        <f>B17+F17</f>
        <v>27.55</v>
      </c>
      <c r="I17" s="13">
        <f>C17+G17</f>
        <v>29.6</v>
      </c>
      <c r="J17" s="10">
        <f t="shared" si="1"/>
        <v>1.074410163339383</v>
      </c>
    </row>
    <row r="18" spans="1:15" x14ac:dyDescent="0.25">
      <c r="A18" s="1">
        <v>46049</v>
      </c>
      <c r="B18" s="6">
        <v>27.59</v>
      </c>
      <c r="C18" s="6">
        <v>29.61</v>
      </c>
      <c r="F18" s="13">
        <f>F17+D18</f>
        <v>0</v>
      </c>
      <c r="G18" s="13">
        <f t="shared" si="0"/>
        <v>0</v>
      </c>
      <c r="H18" s="13">
        <f>B18+F18</f>
        <v>27.59</v>
      </c>
      <c r="I18" s="13">
        <f>C18+G18</f>
        <v>29.61</v>
      </c>
      <c r="J18" s="10">
        <f t="shared" si="1"/>
        <v>1.0732149329467198</v>
      </c>
    </row>
    <row r="19" spans="1:15" x14ac:dyDescent="0.25">
      <c r="A19" s="1">
        <v>46050</v>
      </c>
      <c r="B19" s="6">
        <v>27.57</v>
      </c>
      <c r="C19" s="6">
        <v>29.59</v>
      </c>
      <c r="F19" s="13">
        <f>F18+D19</f>
        <v>0</v>
      </c>
      <c r="G19" s="13">
        <f t="shared" si="0"/>
        <v>0</v>
      </c>
      <c r="H19" s="13">
        <f>B19+F19</f>
        <v>27.57</v>
      </c>
      <c r="I19" s="13">
        <f>C19+G19</f>
        <v>29.59</v>
      </c>
      <c r="J19" s="10">
        <f t="shared" si="1"/>
        <v>1.0732680449764236</v>
      </c>
    </row>
    <row r="20" spans="1:15" x14ac:dyDescent="0.25">
      <c r="A20" s="1">
        <v>46051</v>
      </c>
      <c r="B20" s="6">
        <v>27.58</v>
      </c>
      <c r="C20" s="6">
        <v>29.58</v>
      </c>
      <c r="F20" s="13">
        <f>F19+D20</f>
        <v>0</v>
      </c>
      <c r="G20" s="13">
        <f t="shared" si="0"/>
        <v>0</v>
      </c>
      <c r="H20" s="13">
        <f>B20+F20</f>
        <v>27.58</v>
      </c>
      <c r="I20" s="13">
        <f>C20+G20</f>
        <v>29.58</v>
      </c>
      <c r="J20" s="10">
        <f t="shared" si="1"/>
        <v>1.0725163161711384</v>
      </c>
    </row>
    <row r="21" spans="1:15" x14ac:dyDescent="0.25">
      <c r="A21" s="1">
        <v>46052</v>
      </c>
      <c r="B21" s="6">
        <v>27.57</v>
      </c>
      <c r="C21" s="6">
        <v>29.59</v>
      </c>
      <c r="F21" s="13">
        <f>F20+D21</f>
        <v>0</v>
      </c>
      <c r="G21" s="13">
        <f t="shared" si="0"/>
        <v>0</v>
      </c>
      <c r="H21" s="13">
        <f>B21+F21</f>
        <v>27.57</v>
      </c>
      <c r="I21" s="13">
        <f>C21+G21</f>
        <v>29.59</v>
      </c>
      <c r="J21" s="10">
        <f t="shared" si="1"/>
        <v>1.0732680449764236</v>
      </c>
    </row>
    <row r="22" spans="1:15" x14ac:dyDescent="0.25">
      <c r="A22" s="1">
        <v>46055</v>
      </c>
      <c r="B22" s="6">
        <v>27.45</v>
      </c>
      <c r="C22" s="6">
        <v>29.46</v>
      </c>
      <c r="D22" s="13">
        <v>0.14729999999999999</v>
      </c>
      <c r="E22" s="13">
        <v>0.15909999999999999</v>
      </c>
      <c r="F22" s="13">
        <f>F21+D22</f>
        <v>0.14729999999999999</v>
      </c>
      <c r="G22" s="13">
        <f t="shared" si="0"/>
        <v>0.15909999999999999</v>
      </c>
      <c r="H22" s="13">
        <f>B22+F22</f>
        <v>27.597300000000001</v>
      </c>
      <c r="I22" s="13">
        <f>C22+G22</f>
        <v>29.6191</v>
      </c>
      <c r="J22" s="10">
        <f t="shared" si="1"/>
        <v>1.0732607900048192</v>
      </c>
      <c r="K22" s="10">
        <f>AVERAGE(J3:J22)</f>
        <v>1.0741462149001146</v>
      </c>
    </row>
    <row r="23" spans="1:15" x14ac:dyDescent="0.25">
      <c r="A23" s="1">
        <v>46056</v>
      </c>
      <c r="B23" s="6">
        <v>27.45</v>
      </c>
      <c r="C23" s="6">
        <v>29.45</v>
      </c>
      <c r="F23" s="13">
        <f>F22+D23</f>
        <v>0.14729999999999999</v>
      </c>
      <c r="G23" s="13">
        <f t="shared" si="0"/>
        <v>0.15909999999999999</v>
      </c>
      <c r="H23" s="13">
        <f>B23+F23</f>
        <v>27.597300000000001</v>
      </c>
      <c r="I23" s="13">
        <f>C23+G23</f>
        <v>29.609099999999998</v>
      </c>
      <c r="J23" s="10">
        <f t="shared" si="1"/>
        <v>1.0728984357165374</v>
      </c>
      <c r="K23" s="10">
        <f t="shared" ref="K23:K86" si="2">AVERAGE(J4:J23)</f>
        <v>1.0740151425232272</v>
      </c>
      <c r="L23" s="13">
        <f>K22*H23</f>
        <v>29.643535336462936</v>
      </c>
      <c r="M23" s="13">
        <f>I23</f>
        <v>29.609099999999998</v>
      </c>
      <c r="N23" s="13">
        <f>M23-L23</f>
        <v>-3.4435336462937727E-2</v>
      </c>
      <c r="O23" s="2">
        <f>N23/L23</f>
        <v>-1.1616474240365201E-3</v>
      </c>
    </row>
    <row r="24" spans="1:15" x14ac:dyDescent="0.25">
      <c r="A24" s="1">
        <v>46057</v>
      </c>
      <c r="B24" s="6">
        <v>27.43</v>
      </c>
      <c r="C24" s="6">
        <v>29.44</v>
      </c>
      <c r="F24" s="13">
        <f>F23+D24</f>
        <v>0.14729999999999999</v>
      </c>
      <c r="G24" s="13">
        <f t="shared" si="0"/>
        <v>0.15909999999999999</v>
      </c>
      <c r="H24" s="13">
        <f>B24+F24</f>
        <v>27.577300000000001</v>
      </c>
      <c r="I24" s="13">
        <f>C24+G24</f>
        <v>29.5991</v>
      </c>
      <c r="J24" s="10">
        <f t="shared" si="1"/>
        <v>1.0733139212323179</v>
      </c>
      <c r="K24" s="10">
        <f t="shared" si="2"/>
        <v>1.0738921318453167</v>
      </c>
      <c r="L24" s="13">
        <f t="shared" ref="L24:L87" si="3">K23*H24</f>
        <v>29.618437789905794</v>
      </c>
      <c r="M24" s="13">
        <f t="shared" ref="M24:M87" si="4">I24</f>
        <v>29.5991</v>
      </c>
      <c r="N24" s="13">
        <f>M24-L24</f>
        <v>-1.9337789905794267E-2</v>
      </c>
      <c r="O24" s="2">
        <f>N24/L24</f>
        <v>-6.5289702458192259E-4</v>
      </c>
    </row>
    <row r="25" spans="1:15" x14ac:dyDescent="0.25">
      <c r="A25" s="1">
        <v>46058</v>
      </c>
      <c r="B25" s="6">
        <v>27.4</v>
      </c>
      <c r="C25" s="6">
        <v>29.41</v>
      </c>
      <c r="F25" s="13">
        <f>F24+D25</f>
        <v>0.14729999999999999</v>
      </c>
      <c r="G25" s="13">
        <f t="shared" si="0"/>
        <v>0.15909999999999999</v>
      </c>
      <c r="H25" s="13">
        <f>B25+F25</f>
        <v>27.5473</v>
      </c>
      <c r="I25" s="13">
        <f>C25+G25</f>
        <v>29.569099999999999</v>
      </c>
      <c r="J25" s="10">
        <f t="shared" si="1"/>
        <v>1.0733937627281076</v>
      </c>
      <c r="K25" s="10">
        <f t="shared" si="2"/>
        <v>1.0738109095665727</v>
      </c>
      <c r="L25" s="13">
        <f t="shared" si="3"/>
        <v>29.582828723582494</v>
      </c>
      <c r="M25" s="13">
        <f t="shared" si="4"/>
        <v>29.569099999999999</v>
      </c>
      <c r="N25" s="13">
        <f>M25-L25</f>
        <v>-1.3728723582495661E-2</v>
      </c>
      <c r="O25" s="2">
        <f>N25/L25</f>
        <v>-4.6407744542534425E-4</v>
      </c>
    </row>
    <row r="26" spans="1:15" x14ac:dyDescent="0.25">
      <c r="A26" s="1">
        <v>46059</v>
      </c>
      <c r="B26" s="6">
        <v>27.45</v>
      </c>
      <c r="C26" s="6">
        <v>29.5</v>
      </c>
      <c r="F26" s="13">
        <f>F25+D26</f>
        <v>0.14729999999999999</v>
      </c>
      <c r="G26" s="13">
        <f t="shared" si="0"/>
        <v>0.15909999999999999</v>
      </c>
      <c r="H26" s="13">
        <f>B26+F26</f>
        <v>27.597300000000001</v>
      </c>
      <c r="I26" s="13">
        <f>C26+G26</f>
        <v>29.659099999999999</v>
      </c>
      <c r="J26" s="10">
        <f t="shared" si="1"/>
        <v>1.0747102071579466</v>
      </c>
      <c r="K26" s="10">
        <f t="shared" si="2"/>
        <v>1.0737996029000973</v>
      </c>
      <c r="L26" s="13">
        <f t="shared" si="3"/>
        <v>29.634281814581577</v>
      </c>
      <c r="M26" s="13">
        <f t="shared" si="4"/>
        <v>29.659099999999999</v>
      </c>
      <c r="N26" s="13">
        <f>M26-L26</f>
        <v>2.4818185418421734E-2</v>
      </c>
      <c r="O26" s="2">
        <f>N26/L26</f>
        <v>8.3748226374124322E-4</v>
      </c>
    </row>
    <row r="27" spans="1:15" x14ac:dyDescent="0.25">
      <c r="A27" s="1">
        <v>46062</v>
      </c>
      <c r="B27" s="6">
        <v>27.51</v>
      </c>
      <c r="C27" s="6">
        <v>29.55</v>
      </c>
      <c r="F27" s="13">
        <f>F26+D27</f>
        <v>0.14729999999999999</v>
      </c>
      <c r="G27" s="13">
        <f t="shared" si="0"/>
        <v>0.15909999999999999</v>
      </c>
      <c r="H27" s="13">
        <f>B27+F27</f>
        <v>27.657300000000003</v>
      </c>
      <c r="I27" s="13">
        <f>C27+G27</f>
        <v>29.709099999999999</v>
      </c>
      <c r="J27" s="10">
        <f t="shared" si="1"/>
        <v>1.0741865619565176</v>
      </c>
      <c r="K27" s="10">
        <f t="shared" si="2"/>
        <v>1.0737843670444351</v>
      </c>
      <c r="L27" s="13">
        <f t="shared" si="3"/>
        <v>29.698397757288866</v>
      </c>
      <c r="M27" s="13">
        <f t="shared" si="4"/>
        <v>29.709099999999999</v>
      </c>
      <c r="N27" s="13">
        <f>M27-L27</f>
        <v>1.0702242711133181E-2</v>
      </c>
      <c r="O27" s="2">
        <f>N27/L27</f>
        <v>3.6036431320630872E-4</v>
      </c>
    </row>
    <row r="28" spans="1:15" x14ac:dyDescent="0.25">
      <c r="A28" s="1">
        <v>46063</v>
      </c>
      <c r="B28" s="6">
        <v>27.53</v>
      </c>
      <c r="C28" s="6">
        <v>29.58</v>
      </c>
      <c r="F28" s="13">
        <f>F27+D28</f>
        <v>0.14729999999999999</v>
      </c>
      <c r="G28" s="13">
        <f t="shared" si="0"/>
        <v>0.15909999999999999</v>
      </c>
      <c r="H28" s="13">
        <f>B28+F28</f>
        <v>27.677300000000002</v>
      </c>
      <c r="I28" s="13">
        <f>C28+G28</f>
        <v>29.739099999999997</v>
      </c>
      <c r="J28" s="10">
        <f t="shared" si="1"/>
        <v>1.0744942606395853</v>
      </c>
      <c r="K28" s="10">
        <f t="shared" si="2"/>
        <v>1.0738598426036474</v>
      </c>
      <c r="L28" s="13">
        <f t="shared" si="3"/>
        <v>29.719452061998947</v>
      </c>
      <c r="M28" s="13">
        <f t="shared" si="4"/>
        <v>29.739099999999997</v>
      </c>
      <c r="N28" s="13">
        <f>M28-L28</f>
        <v>1.9647938001050136E-2</v>
      </c>
      <c r="O28" s="2">
        <f>N28/L28</f>
        <v>6.6111373655415248E-4</v>
      </c>
    </row>
    <row r="29" spans="1:15" x14ac:dyDescent="0.25">
      <c r="A29" s="1">
        <v>46064</v>
      </c>
      <c r="B29" s="6">
        <v>27.53</v>
      </c>
      <c r="C29" s="6">
        <v>29.62</v>
      </c>
      <c r="F29" s="13">
        <f>F28+D29</f>
        <v>0.14729999999999999</v>
      </c>
      <c r="G29" s="13">
        <f t="shared" si="0"/>
        <v>0.15909999999999999</v>
      </c>
      <c r="H29" s="13">
        <f>B29+F29</f>
        <v>27.677300000000002</v>
      </c>
      <c r="I29" s="13">
        <f>C29+G29</f>
        <v>29.7791</v>
      </c>
      <c r="J29" s="10">
        <f t="shared" si="1"/>
        <v>1.0759394883171407</v>
      </c>
      <c r="K29" s="10">
        <f t="shared" si="2"/>
        <v>1.0739308991714487</v>
      </c>
      <c r="L29" s="13">
        <f t="shared" si="3"/>
        <v>29.721541021693934</v>
      </c>
      <c r="M29" s="13">
        <f t="shared" si="4"/>
        <v>29.7791</v>
      </c>
      <c r="N29" s="13">
        <f>M29-L29</f>
        <v>5.7558978306065711E-2</v>
      </c>
      <c r="O29" s="2">
        <f>N29/L29</f>
        <v>1.9366081410130472E-3</v>
      </c>
    </row>
    <row r="30" spans="1:15" x14ac:dyDescent="0.25">
      <c r="A30" s="1">
        <v>46065</v>
      </c>
      <c r="B30" s="6">
        <v>27.56</v>
      </c>
      <c r="C30" s="6">
        <v>29.66</v>
      </c>
      <c r="F30" s="13">
        <f>F29+D30</f>
        <v>0.14729999999999999</v>
      </c>
      <c r="G30" s="13">
        <f t="shared" si="0"/>
        <v>0.15909999999999999</v>
      </c>
      <c r="H30" s="13">
        <f>B30+F30</f>
        <v>27.7073</v>
      </c>
      <c r="I30" s="13">
        <f>C30+G30</f>
        <v>29.819099999999999</v>
      </c>
      <c r="J30" s="10">
        <f t="shared" si="1"/>
        <v>1.0762181807682452</v>
      </c>
      <c r="K30" s="10">
        <f t="shared" si="2"/>
        <v>1.0740381045061576</v>
      </c>
      <c r="L30" s="13">
        <f t="shared" si="3"/>
        <v>29.755725602613079</v>
      </c>
      <c r="M30" s="13">
        <f t="shared" si="4"/>
        <v>29.819099999999999</v>
      </c>
      <c r="N30" s="13">
        <f>M30-L30</f>
        <v>6.3374397386919412E-2</v>
      </c>
      <c r="O30" s="2">
        <f>N30/L30</f>
        <v>2.1298219453050079E-3</v>
      </c>
    </row>
    <row r="31" spans="1:15" x14ac:dyDescent="0.25">
      <c r="A31" s="1">
        <v>46066</v>
      </c>
      <c r="B31" s="6">
        <v>27.59</v>
      </c>
      <c r="C31" s="6">
        <v>29.7</v>
      </c>
      <c r="F31" s="13">
        <f>F30+D31</f>
        <v>0.14729999999999999</v>
      </c>
      <c r="G31" s="13">
        <f t="shared" si="0"/>
        <v>0.15909999999999999</v>
      </c>
      <c r="H31" s="13">
        <f>B31+F31</f>
        <v>27.737300000000001</v>
      </c>
      <c r="I31" s="13">
        <f>C31+G31</f>
        <v>29.859099999999998</v>
      </c>
      <c r="J31" s="10">
        <f t="shared" si="1"/>
        <v>1.0764962703651759</v>
      </c>
      <c r="K31" s="10">
        <f t="shared" si="2"/>
        <v>1.0741578689870026</v>
      </c>
      <c r="L31" s="13">
        <f t="shared" si="3"/>
        <v>29.790917116118646</v>
      </c>
      <c r="M31" s="13">
        <f t="shared" si="4"/>
        <v>29.859099999999998</v>
      </c>
      <c r="N31" s="13">
        <f>M31-L31</f>
        <v>6.8182883881352296E-2</v>
      </c>
      <c r="O31" s="2">
        <f>N31/L31</f>
        <v>2.2887138256130197E-3</v>
      </c>
    </row>
    <row r="32" spans="1:15" x14ac:dyDescent="0.25">
      <c r="A32" s="1">
        <v>46070</v>
      </c>
      <c r="B32" s="6">
        <v>27.57</v>
      </c>
      <c r="C32" s="6">
        <v>29.67</v>
      </c>
      <c r="F32" s="13">
        <f>F31+D32</f>
        <v>0.14729999999999999</v>
      </c>
      <c r="G32" s="13">
        <f t="shared" si="0"/>
        <v>0.15909999999999999</v>
      </c>
      <c r="H32" s="13">
        <f>B32+F32</f>
        <v>27.717300000000002</v>
      </c>
      <c r="I32" s="13">
        <f>C32+G32</f>
        <v>29.8291</v>
      </c>
      <c r="J32" s="10">
        <f t="shared" si="1"/>
        <v>1.0761906823536203</v>
      </c>
      <c r="K32" s="10">
        <f t="shared" si="2"/>
        <v>1.0742441920621846</v>
      </c>
      <c r="L32" s="13">
        <f t="shared" si="3"/>
        <v>29.772755902073449</v>
      </c>
      <c r="M32" s="13">
        <f t="shared" si="4"/>
        <v>29.8291</v>
      </c>
      <c r="N32" s="13">
        <f>M32-L32</f>
        <v>5.6344097926551484E-2</v>
      </c>
      <c r="O32" s="2">
        <f>N32/L32</f>
        <v>1.8924716983498172E-3</v>
      </c>
    </row>
    <row r="33" spans="1:15" x14ac:dyDescent="0.25">
      <c r="A33" s="1">
        <v>46071</v>
      </c>
      <c r="B33" s="6">
        <v>27.63</v>
      </c>
      <c r="C33" s="6">
        <v>29.71</v>
      </c>
      <c r="F33" s="13">
        <f>F32+D33</f>
        <v>0.14729999999999999</v>
      </c>
      <c r="G33" s="13">
        <f t="shared" si="0"/>
        <v>0.15909999999999999</v>
      </c>
      <c r="H33" s="13">
        <f>B33+F33</f>
        <v>27.7773</v>
      </c>
      <c r="I33" s="13">
        <f>C33+G33</f>
        <v>29.8691</v>
      </c>
      <c r="J33" s="10">
        <f t="shared" si="1"/>
        <v>1.0753060952648386</v>
      </c>
      <c r="K33" s="10">
        <f t="shared" si="2"/>
        <v>1.0742936498308908</v>
      </c>
      <c r="L33" s="13">
        <f t="shared" si="3"/>
        <v>29.83960319616892</v>
      </c>
      <c r="M33" s="13">
        <f t="shared" si="4"/>
        <v>29.8691</v>
      </c>
      <c r="N33" s="13">
        <f>M33-L33</f>
        <v>2.9496803831079887E-2</v>
      </c>
      <c r="O33" s="2">
        <f>N33/L33</f>
        <v>9.8851193285529201E-4</v>
      </c>
    </row>
    <row r="34" spans="1:15" x14ac:dyDescent="0.25">
      <c r="A34" s="1">
        <v>46072</v>
      </c>
      <c r="B34" s="6">
        <v>27.65</v>
      </c>
      <c r="C34" s="6">
        <v>29.75</v>
      </c>
      <c r="F34" s="13">
        <f>F33+D34</f>
        <v>0.14729999999999999</v>
      </c>
      <c r="G34" s="13">
        <f t="shared" si="0"/>
        <v>0.15909999999999999</v>
      </c>
      <c r="H34" s="13">
        <f>B34+F34</f>
        <v>27.7973</v>
      </c>
      <c r="I34" s="13">
        <f>C34+G34</f>
        <v>29.909099999999999</v>
      </c>
      <c r="J34" s="10">
        <f t="shared" si="1"/>
        <v>1.0759714072949531</v>
      </c>
      <c r="K34" s="10">
        <f t="shared" si="2"/>
        <v>1.0743925466374233</v>
      </c>
      <c r="L34" s="13">
        <f t="shared" si="3"/>
        <v>29.862462872444222</v>
      </c>
      <c r="M34" s="13">
        <f t="shared" si="4"/>
        <v>29.909099999999999</v>
      </c>
      <c r="N34" s="13">
        <f>M34-L34</f>
        <v>4.6637127555776203E-2</v>
      </c>
      <c r="O34" s="2">
        <f>N34/L34</f>
        <v>1.5617307840610464E-3</v>
      </c>
    </row>
    <row r="35" spans="1:15" x14ac:dyDescent="0.25">
      <c r="A35" s="1">
        <v>46073</v>
      </c>
      <c r="B35" s="6">
        <v>27.64</v>
      </c>
      <c r="C35" s="6">
        <v>29.75</v>
      </c>
      <c r="F35" s="13">
        <f>F34+D35</f>
        <v>0.14729999999999999</v>
      </c>
      <c r="G35" s="13">
        <f t="shared" si="0"/>
        <v>0.15909999999999999</v>
      </c>
      <c r="H35" s="13">
        <f>B35+F35</f>
        <v>27.787300000000002</v>
      </c>
      <c r="I35" s="13">
        <f>C35+G35</f>
        <v>29.909099999999999</v>
      </c>
      <c r="J35" s="10">
        <f t="shared" si="1"/>
        <v>1.0763586242636023</v>
      </c>
      <c r="K35" s="10">
        <f t="shared" si="2"/>
        <v>1.0744926686376908</v>
      </c>
      <c r="L35" s="13">
        <f t="shared" si="3"/>
        <v>29.854468011178074</v>
      </c>
      <c r="M35" s="13">
        <f t="shared" si="4"/>
        <v>29.909099999999999</v>
      </c>
      <c r="N35" s="13">
        <f>M35-L35</f>
        <v>5.4631988821924438E-2</v>
      </c>
      <c r="O35" s="2">
        <f>N35/L35</f>
        <v>1.829943471157121E-3</v>
      </c>
    </row>
    <row r="36" spans="1:15" x14ac:dyDescent="0.25">
      <c r="A36" s="1">
        <v>46076</v>
      </c>
      <c r="B36" s="6">
        <v>27.6</v>
      </c>
      <c r="C36" s="6">
        <v>29.7</v>
      </c>
      <c r="F36" s="13">
        <f>F35+D36</f>
        <v>0.14729999999999999</v>
      </c>
      <c r="G36" s="13">
        <f t="shared" si="0"/>
        <v>0.15909999999999999</v>
      </c>
      <c r="H36" s="13">
        <f>B36+F36</f>
        <v>27.747300000000003</v>
      </c>
      <c r="I36" s="13">
        <f>C36+G36</f>
        <v>29.859099999999998</v>
      </c>
      <c r="J36" s="10">
        <f t="shared" si="1"/>
        <v>1.0761083060333796</v>
      </c>
      <c r="K36" s="10">
        <f t="shared" si="2"/>
        <v>1.0745762248253439</v>
      </c>
      <c r="L36" s="13">
        <f t="shared" si="3"/>
        <v>29.814270424490601</v>
      </c>
      <c r="M36" s="13">
        <f t="shared" si="4"/>
        <v>29.859099999999998</v>
      </c>
      <c r="N36" s="13">
        <f>M36-L36</f>
        <v>4.4829575509396591E-2</v>
      </c>
      <c r="O36" s="2">
        <f>N36/L36</f>
        <v>1.5036281240869082E-3</v>
      </c>
    </row>
    <row r="37" spans="1:15" x14ac:dyDescent="0.25">
      <c r="A37" s="1">
        <v>46077</v>
      </c>
      <c r="B37" s="6">
        <v>27.59</v>
      </c>
      <c r="C37" s="6">
        <v>29.7</v>
      </c>
      <c r="F37" s="13">
        <f>F36+D37</f>
        <v>0.14729999999999999</v>
      </c>
      <c r="G37" s="13">
        <f t="shared" si="0"/>
        <v>0.15909999999999999</v>
      </c>
      <c r="H37" s="13">
        <f>B37+F37</f>
        <v>27.737300000000001</v>
      </c>
      <c r="I37" s="13">
        <f>C37+G37</f>
        <v>29.859099999999998</v>
      </c>
      <c r="J37" s="10">
        <f t="shared" si="1"/>
        <v>1.0764962703651759</v>
      </c>
      <c r="K37" s="10">
        <f t="shared" si="2"/>
        <v>1.0746805301766336</v>
      </c>
      <c r="L37" s="13">
        <f t="shared" si="3"/>
        <v>29.80584312084801</v>
      </c>
      <c r="M37" s="13">
        <f t="shared" si="4"/>
        <v>29.859099999999998</v>
      </c>
      <c r="N37" s="13">
        <f>M37-L37</f>
        <v>5.3256879151987846E-2</v>
      </c>
      <c r="O37" s="2">
        <f>N37/L37</f>
        <v>1.7867932450713587E-3</v>
      </c>
    </row>
    <row r="38" spans="1:15" x14ac:dyDescent="0.25">
      <c r="A38" s="1">
        <v>46078</v>
      </c>
      <c r="B38" s="6">
        <v>27.62</v>
      </c>
      <c r="C38" s="6">
        <v>29.71</v>
      </c>
      <c r="F38" s="13">
        <f>F37+D38</f>
        <v>0.14729999999999999</v>
      </c>
      <c r="G38" s="13">
        <f t="shared" si="0"/>
        <v>0.15909999999999999</v>
      </c>
      <c r="H38" s="13">
        <f>B38+F38</f>
        <v>27.767300000000002</v>
      </c>
      <c r="I38" s="13">
        <f>C38+G38</f>
        <v>29.8691</v>
      </c>
      <c r="J38" s="10">
        <f t="shared" si="1"/>
        <v>1.0756933515321978</v>
      </c>
      <c r="K38" s="10">
        <f t="shared" si="2"/>
        <v>1.0748044511059076</v>
      </c>
      <c r="L38" s="13">
        <f t="shared" si="3"/>
        <v>29.84097668557364</v>
      </c>
      <c r="M38" s="13">
        <f t="shared" si="4"/>
        <v>29.8691</v>
      </c>
      <c r="N38" s="13">
        <f>M38-L38</f>
        <v>2.8123314426359514E-2</v>
      </c>
      <c r="O38" s="2">
        <f>N38/L38</f>
        <v>9.424394758485061E-4</v>
      </c>
    </row>
    <row r="39" spans="1:15" x14ac:dyDescent="0.25">
      <c r="A39" s="1">
        <v>46079</v>
      </c>
      <c r="B39" s="6">
        <v>27.64</v>
      </c>
      <c r="C39" s="6">
        <v>29.71</v>
      </c>
      <c r="F39" s="13">
        <f>F38+D39</f>
        <v>0.14729999999999999</v>
      </c>
      <c r="G39" s="13">
        <f t="shared" si="0"/>
        <v>0.15909999999999999</v>
      </c>
      <c r="H39" s="13">
        <f>B39+F39</f>
        <v>27.787300000000002</v>
      </c>
      <c r="I39" s="13">
        <f>C39+G39</f>
        <v>29.8691</v>
      </c>
      <c r="J39" s="10">
        <f t="shared" si="1"/>
        <v>1.0749191177264432</v>
      </c>
      <c r="K39" s="10">
        <f t="shared" si="2"/>
        <v>1.0748870047434085</v>
      </c>
      <c r="L39" s="13">
        <f t="shared" si="3"/>
        <v>29.86591372421519</v>
      </c>
      <c r="M39" s="13">
        <f t="shared" si="4"/>
        <v>29.8691</v>
      </c>
      <c r="N39" s="13">
        <f>M39-L39</f>
        <v>3.1862757848095669E-3</v>
      </c>
      <c r="O39" s="2">
        <f>N39/L39</f>
        <v>1.0668603057759939E-4</v>
      </c>
    </row>
    <row r="40" spans="1:15" x14ac:dyDescent="0.25">
      <c r="A40" s="1">
        <v>46080</v>
      </c>
      <c r="B40" s="6">
        <v>27.57</v>
      </c>
      <c r="C40" s="6">
        <v>29.63</v>
      </c>
      <c r="F40" s="13">
        <f>F39+D40</f>
        <v>0.14729999999999999</v>
      </c>
      <c r="G40" s="13">
        <f t="shared" si="0"/>
        <v>0.15909999999999999</v>
      </c>
      <c r="H40" s="13">
        <f>B40+F40</f>
        <v>27.717300000000002</v>
      </c>
      <c r="I40" s="13">
        <f>C40+G40</f>
        <v>29.789099999999998</v>
      </c>
      <c r="J40" s="10">
        <f t="shared" si="1"/>
        <v>1.0747475403448385</v>
      </c>
      <c r="K40" s="10">
        <f t="shared" si="2"/>
        <v>1.0749985659520935</v>
      </c>
      <c r="L40" s="13">
        <f t="shared" si="3"/>
        <v>29.792965576574478</v>
      </c>
      <c r="M40" s="13">
        <f t="shared" si="4"/>
        <v>29.789099999999998</v>
      </c>
      <c r="N40" s="13">
        <f>M40-L40</f>
        <v>-3.8655765744799453E-3</v>
      </c>
      <c r="O40" s="2">
        <f>N40/L40</f>
        <v>-1.2974796230152258E-4</v>
      </c>
    </row>
    <row r="41" spans="1:15" x14ac:dyDescent="0.25">
      <c r="A41" s="1">
        <v>46083</v>
      </c>
      <c r="B41" s="6">
        <v>27.37</v>
      </c>
      <c r="C41" s="6">
        <v>29.5</v>
      </c>
      <c r="D41" s="13">
        <v>0.15057999999999999</v>
      </c>
      <c r="E41" s="13">
        <v>0.14050000000000001</v>
      </c>
      <c r="F41" s="13">
        <f>F40+D41</f>
        <v>0.29787999999999998</v>
      </c>
      <c r="G41" s="13">
        <f t="shared" si="0"/>
        <v>0.29959999999999998</v>
      </c>
      <c r="H41" s="13">
        <f>B41+F41</f>
        <v>27.66788</v>
      </c>
      <c r="I41" s="13">
        <f>C41+G41</f>
        <v>29.799600000000002</v>
      </c>
      <c r="J41" s="10">
        <f t="shared" si="1"/>
        <v>1.0770467415645868</v>
      </c>
      <c r="K41" s="10">
        <f t="shared" si="2"/>
        <v>1.0751875007815013</v>
      </c>
      <c r="L41" s="13">
        <f t="shared" si="3"/>
        <v>29.742931322934609</v>
      </c>
      <c r="M41" s="13">
        <f t="shared" si="4"/>
        <v>29.799600000000002</v>
      </c>
      <c r="N41" s="13">
        <f>M41-L41</f>
        <v>5.6668677065392359E-2</v>
      </c>
      <c r="O41" s="2">
        <f>N41/L41</f>
        <v>1.9052821811714118E-3</v>
      </c>
    </row>
    <row r="42" spans="1:15" x14ac:dyDescent="0.25">
      <c r="A42" s="1">
        <v>46084</v>
      </c>
      <c r="B42" s="6">
        <v>27.23</v>
      </c>
      <c r="C42" s="6">
        <v>29.32</v>
      </c>
      <c r="F42" s="13">
        <f>F41+D42</f>
        <v>0.29787999999999998</v>
      </c>
      <c r="G42" s="13">
        <f t="shared" si="0"/>
        <v>0.29959999999999998</v>
      </c>
      <c r="H42" s="13">
        <f>B42+F42</f>
        <v>27.52788</v>
      </c>
      <c r="I42" s="13">
        <f>C42+G42</f>
        <v>29.619600000000002</v>
      </c>
      <c r="J42" s="10">
        <f t="shared" si="1"/>
        <v>1.0759855099629902</v>
      </c>
      <c r="K42" s="10">
        <f t="shared" si="2"/>
        <v>1.07532373677941</v>
      </c>
      <c r="L42" s="13">
        <f t="shared" si="3"/>
        <v>29.597632499013073</v>
      </c>
      <c r="M42" s="13">
        <f t="shared" si="4"/>
        <v>29.619600000000002</v>
      </c>
      <c r="N42" s="13">
        <f>M42-L42</f>
        <v>2.1967500986928457E-2</v>
      </c>
      <c r="O42" s="2">
        <f>N42/L42</f>
        <v>7.4220466747335144E-4</v>
      </c>
    </row>
    <row r="43" spans="1:15" x14ac:dyDescent="0.25">
      <c r="A43" s="1">
        <v>46085</v>
      </c>
      <c r="B43" s="6">
        <v>27.33</v>
      </c>
      <c r="C43" s="6">
        <v>29.41</v>
      </c>
      <c r="F43" s="13">
        <f>F42+D43</f>
        <v>0.29787999999999998</v>
      </c>
      <c r="G43" s="13">
        <f t="shared" si="0"/>
        <v>0.29959999999999998</v>
      </c>
      <c r="H43" s="13">
        <f>B43+F43</f>
        <v>27.627879999999998</v>
      </c>
      <c r="I43" s="13">
        <f>C43+G43</f>
        <v>29.709600000000002</v>
      </c>
      <c r="J43" s="10">
        <f t="shared" si="1"/>
        <v>1.075348524751085</v>
      </c>
      <c r="K43" s="10">
        <f t="shared" si="2"/>
        <v>1.0754462412311372</v>
      </c>
      <c r="L43" s="13">
        <f t="shared" si="3"/>
        <v>29.70891516089312</v>
      </c>
      <c r="M43" s="13">
        <f t="shared" si="4"/>
        <v>29.709600000000002</v>
      </c>
      <c r="N43" s="13">
        <f>M43-L43</f>
        <v>6.8483910688144078E-4</v>
      </c>
      <c r="O43" s="2">
        <f>N43/L43</f>
        <v>2.3051636290742731E-5</v>
      </c>
    </row>
    <row r="44" spans="1:15" x14ac:dyDescent="0.25">
      <c r="A44" s="1">
        <v>46086</v>
      </c>
      <c r="B44" s="6">
        <v>27.19</v>
      </c>
      <c r="C44" s="6">
        <v>29.23</v>
      </c>
      <c r="F44" s="13">
        <f>F43+D44</f>
        <v>0.29787999999999998</v>
      </c>
      <c r="G44" s="13">
        <f t="shared" si="0"/>
        <v>0.29959999999999998</v>
      </c>
      <c r="H44" s="13">
        <f>B44+F44</f>
        <v>27.487880000000001</v>
      </c>
      <c r="I44" s="13">
        <f>C44+G44</f>
        <v>29.529600000000002</v>
      </c>
      <c r="J44" s="10">
        <f t="shared" si="1"/>
        <v>1.0742770995798876</v>
      </c>
      <c r="K44" s="10">
        <f t="shared" si="2"/>
        <v>1.0754944001485158</v>
      </c>
      <c r="L44" s="13">
        <f t="shared" si="3"/>
        <v>29.561737225412553</v>
      </c>
      <c r="M44" s="13">
        <f t="shared" si="4"/>
        <v>29.529600000000002</v>
      </c>
      <c r="N44" s="13">
        <f>M44-L44</f>
        <v>-3.2137225412551373E-2</v>
      </c>
      <c r="O44" s="2">
        <f>N44/L44</f>
        <v>-1.0871223557499463E-3</v>
      </c>
    </row>
    <row r="45" spans="1:15" x14ac:dyDescent="0.25">
      <c r="A45" s="1">
        <v>46087</v>
      </c>
      <c r="B45" s="6">
        <v>26.98</v>
      </c>
      <c r="C45" s="6">
        <v>29.05</v>
      </c>
      <c r="F45" s="13">
        <f>F44+D45</f>
        <v>0.29787999999999998</v>
      </c>
      <c r="G45" s="13">
        <f t="shared" si="0"/>
        <v>0.29959999999999998</v>
      </c>
      <c r="H45" s="13">
        <f>B45+F45</f>
        <v>27.27788</v>
      </c>
      <c r="I45" s="13">
        <f>C45+G45</f>
        <v>29.349600000000002</v>
      </c>
      <c r="J45" s="10">
        <f t="shared" si="1"/>
        <v>1.0759487174223217</v>
      </c>
      <c r="K45" s="10">
        <f t="shared" si="2"/>
        <v>1.0756221478832264</v>
      </c>
      <c r="L45" s="13">
        <f t="shared" si="3"/>
        <v>29.337207187923198</v>
      </c>
      <c r="M45" s="13">
        <f t="shared" si="4"/>
        <v>29.349600000000002</v>
      </c>
      <c r="N45" s="13">
        <f>M45-L45</f>
        <v>1.2392812076804205E-2</v>
      </c>
      <c r="O45" s="2">
        <f>N45/L45</f>
        <v>4.2242644289282468E-4</v>
      </c>
    </row>
    <row r="46" spans="1:15" x14ac:dyDescent="0.25">
      <c r="A46" s="1">
        <v>46090</v>
      </c>
      <c r="B46" s="6">
        <v>27.12</v>
      </c>
      <c r="C46" s="6">
        <v>29.17</v>
      </c>
      <c r="F46" s="13">
        <f>F45+D46</f>
        <v>0.29787999999999998</v>
      </c>
      <c r="G46" s="13">
        <f t="shared" si="0"/>
        <v>0.29959999999999998</v>
      </c>
      <c r="H46" s="13">
        <f>B46+F46</f>
        <v>27.41788</v>
      </c>
      <c r="I46" s="13">
        <f>C46+G46</f>
        <v>29.469600000000003</v>
      </c>
      <c r="J46" s="10">
        <f t="shared" si="1"/>
        <v>1.0748314603463143</v>
      </c>
      <c r="K46" s="10">
        <f t="shared" si="2"/>
        <v>1.0756282105426449</v>
      </c>
      <c r="L46" s="13">
        <f t="shared" si="3"/>
        <v>29.491278976004555</v>
      </c>
      <c r="M46" s="13">
        <f t="shared" si="4"/>
        <v>29.469600000000003</v>
      </c>
      <c r="N46" s="13">
        <f>M46-L46</f>
        <v>-2.1678976004551487E-2</v>
      </c>
      <c r="O46" s="2">
        <f>N46/L46</f>
        <v>-7.3509785798677927E-4</v>
      </c>
    </row>
    <row r="47" spans="1:15" x14ac:dyDescent="0.25">
      <c r="A47" s="1">
        <v>46091</v>
      </c>
      <c r="B47" s="6">
        <v>27.06</v>
      </c>
      <c r="C47" s="6">
        <v>29.12</v>
      </c>
      <c r="F47" s="13">
        <f>F46+D47</f>
        <v>0.29787999999999998</v>
      </c>
      <c r="G47" s="13">
        <f t="shared" si="0"/>
        <v>0.29959999999999998</v>
      </c>
      <c r="H47" s="13">
        <f>B47+F47</f>
        <v>27.357879999999998</v>
      </c>
      <c r="I47" s="13">
        <f>C47+G47</f>
        <v>29.419600000000003</v>
      </c>
      <c r="J47" s="10">
        <f t="shared" si="1"/>
        <v>1.0753611025415715</v>
      </c>
      <c r="K47" s="10">
        <f t="shared" si="2"/>
        <v>1.0756869375718976</v>
      </c>
      <c r="L47" s="13">
        <f t="shared" si="3"/>
        <v>29.426907508640411</v>
      </c>
      <c r="M47" s="13">
        <f t="shared" si="4"/>
        <v>29.419600000000003</v>
      </c>
      <c r="N47" s="13">
        <f>M47-L47</f>
        <v>-7.3075086404088552E-3</v>
      </c>
      <c r="O47" s="2">
        <f>N47/L47</f>
        <v>-2.483274410762736E-4</v>
      </c>
    </row>
    <row r="48" spans="1:15" x14ac:dyDescent="0.25">
      <c r="A48" s="1">
        <v>46092</v>
      </c>
      <c r="B48" s="6">
        <v>26.96</v>
      </c>
      <c r="C48" s="6">
        <v>29.02</v>
      </c>
      <c r="F48" s="13">
        <f>F47+D48</f>
        <v>0.29787999999999998</v>
      </c>
      <c r="G48" s="13">
        <f t="shared" si="0"/>
        <v>0.29959999999999998</v>
      </c>
      <c r="H48" s="13">
        <f>B48+F48</f>
        <v>27.25788</v>
      </c>
      <c r="I48" s="13">
        <f>C48+G48</f>
        <v>29.319600000000001</v>
      </c>
      <c r="J48" s="10">
        <f t="shared" si="1"/>
        <v>1.0756375770969717</v>
      </c>
      <c r="K48" s="10">
        <f t="shared" si="2"/>
        <v>1.0757441033947672</v>
      </c>
      <c r="L48" s="13">
        <f t="shared" si="3"/>
        <v>29.320945461902276</v>
      </c>
      <c r="M48" s="13">
        <f t="shared" si="4"/>
        <v>29.319600000000001</v>
      </c>
      <c r="N48" s="13">
        <f>M48-L48</f>
        <v>-1.3454619022752468E-3</v>
      </c>
      <c r="O48" s="2">
        <f>N48/L48</f>
        <v>-4.5887398277229911E-5</v>
      </c>
    </row>
    <row r="49" spans="1:15" x14ac:dyDescent="0.25">
      <c r="A49" s="1">
        <v>46093</v>
      </c>
      <c r="B49" s="6">
        <v>26.75</v>
      </c>
      <c r="C49" s="6">
        <v>28.82</v>
      </c>
      <c r="F49" s="13">
        <f>F48+D49</f>
        <v>0.29787999999999998</v>
      </c>
      <c r="G49" s="13">
        <f t="shared" si="0"/>
        <v>0.29959999999999998</v>
      </c>
      <c r="H49" s="13">
        <f>B49+F49</f>
        <v>27.047879999999999</v>
      </c>
      <c r="I49" s="13">
        <f>C49+G49</f>
        <v>29.119600000000002</v>
      </c>
      <c r="J49" s="10">
        <f t="shared" si="1"/>
        <v>1.0765945427146233</v>
      </c>
      <c r="K49" s="10">
        <f t="shared" si="2"/>
        <v>1.0757768561146412</v>
      </c>
      <c r="L49" s="13">
        <f t="shared" si="3"/>
        <v>29.096597419329257</v>
      </c>
      <c r="M49" s="13">
        <f t="shared" si="4"/>
        <v>29.119600000000002</v>
      </c>
      <c r="N49" s="13">
        <f>M49-L49</f>
        <v>2.3002580670745232E-2</v>
      </c>
      <c r="O49" s="2">
        <f>N49/L49</f>
        <v>7.9055912755847911E-4</v>
      </c>
    </row>
    <row r="50" spans="1:15" x14ac:dyDescent="0.25">
      <c r="A50" s="1">
        <v>46094</v>
      </c>
      <c r="B50" s="6">
        <v>26.66</v>
      </c>
      <c r="C50" s="6">
        <v>28.72</v>
      </c>
      <c r="F50" s="13">
        <f>F49+D50</f>
        <v>0.29787999999999998</v>
      </c>
      <c r="G50" s="13">
        <f t="shared" si="0"/>
        <v>0.29959999999999998</v>
      </c>
      <c r="H50" s="13">
        <f>B50+F50</f>
        <v>26.957879999999999</v>
      </c>
      <c r="I50" s="13">
        <f>C50+G50</f>
        <v>29.019600000000001</v>
      </c>
      <c r="J50" s="10">
        <f t="shared" si="1"/>
        <v>1.0764793077200434</v>
      </c>
      <c r="K50" s="10">
        <f t="shared" si="2"/>
        <v>1.075789912462231</v>
      </c>
      <c r="L50" s="13">
        <f t="shared" si="3"/>
        <v>29.000663393915765</v>
      </c>
      <c r="M50" s="13">
        <f t="shared" si="4"/>
        <v>29.019600000000001</v>
      </c>
      <c r="N50" s="13">
        <f>M50-L50</f>
        <v>1.8936606084235308E-2</v>
      </c>
      <c r="O50" s="2">
        <f>N50/L50</f>
        <v>6.529714795492623E-4</v>
      </c>
    </row>
    <row r="51" spans="1:15" x14ac:dyDescent="0.25">
      <c r="A51" s="1">
        <v>46097</v>
      </c>
      <c r="B51" s="6">
        <v>26.76</v>
      </c>
      <c r="C51" s="6">
        <v>28.79</v>
      </c>
      <c r="F51" s="13">
        <f>F50+D51</f>
        <v>0.29787999999999998</v>
      </c>
      <c r="G51" s="13">
        <f t="shared" si="0"/>
        <v>0.29959999999999998</v>
      </c>
      <c r="H51" s="13">
        <f>B51+F51</f>
        <v>27.057880000000001</v>
      </c>
      <c r="I51" s="13">
        <f>C51+G51</f>
        <v>29.089600000000001</v>
      </c>
      <c r="J51" s="10">
        <f t="shared" si="1"/>
        <v>1.0750879226310412</v>
      </c>
      <c r="K51" s="10">
        <f t="shared" si="2"/>
        <v>1.0757194950755244</v>
      </c>
      <c r="L51" s="13">
        <f t="shared" si="3"/>
        <v>29.108594356613551</v>
      </c>
      <c r="M51" s="13">
        <f t="shared" si="4"/>
        <v>29.089600000000001</v>
      </c>
      <c r="N51" s="13">
        <f>M51-L51</f>
        <v>-1.8994356613550423E-2</v>
      </c>
      <c r="O51" s="2">
        <f>N51/L51</f>
        <v>-6.5253431274790686E-4</v>
      </c>
    </row>
    <row r="52" spans="1:15" x14ac:dyDescent="0.25">
      <c r="A52" s="1">
        <v>46098</v>
      </c>
      <c r="B52" s="6">
        <v>26.88</v>
      </c>
      <c r="C52" s="6">
        <v>28.9</v>
      </c>
      <c r="F52" s="13">
        <f>F51+D52</f>
        <v>0.29787999999999998</v>
      </c>
      <c r="G52" s="13">
        <f t="shared" si="0"/>
        <v>0.29959999999999998</v>
      </c>
      <c r="H52" s="13">
        <f>B52+F52</f>
        <v>27.177879999999998</v>
      </c>
      <c r="I52" s="13">
        <f>C52+G52</f>
        <v>29.1996</v>
      </c>
      <c r="J52" s="10">
        <f t="shared" si="1"/>
        <v>1.0743884364784893</v>
      </c>
      <c r="K52" s="10">
        <f t="shared" si="2"/>
        <v>1.0756293827817678</v>
      </c>
      <c r="L52" s="13">
        <f t="shared" si="3"/>
        <v>29.235775350823193</v>
      </c>
      <c r="M52" s="13">
        <f t="shared" si="4"/>
        <v>29.1996</v>
      </c>
      <c r="N52" s="13">
        <f>M52-L52</f>
        <v>-3.6175350823192787E-2</v>
      </c>
      <c r="O52" s="2">
        <f>N52/L52</f>
        <v>-1.2373658775625459E-3</v>
      </c>
    </row>
    <row r="53" spans="1:15" x14ac:dyDescent="0.25">
      <c r="A53" s="1">
        <v>46099</v>
      </c>
      <c r="B53" s="6">
        <v>26.7</v>
      </c>
      <c r="C53" s="6">
        <v>28.75</v>
      </c>
      <c r="F53" s="13">
        <f>F52+D53</f>
        <v>0.29787999999999998</v>
      </c>
      <c r="G53" s="13">
        <f t="shared" si="0"/>
        <v>0.29959999999999998</v>
      </c>
      <c r="H53" s="13">
        <f>B53+F53</f>
        <v>26.997879999999999</v>
      </c>
      <c r="I53" s="13">
        <f>C53+G53</f>
        <v>29.049600000000002</v>
      </c>
      <c r="J53" s="10">
        <f t="shared" si="1"/>
        <v>1.075995596691296</v>
      </c>
      <c r="K53" s="10">
        <f t="shared" si="2"/>
        <v>1.0756638578530906</v>
      </c>
      <c r="L53" s="13">
        <f t="shared" si="3"/>
        <v>29.039713000816231</v>
      </c>
      <c r="M53" s="13">
        <f t="shared" si="4"/>
        <v>29.049600000000002</v>
      </c>
      <c r="N53" s="13">
        <f>M53-L53</f>
        <v>9.8869991837702287E-3</v>
      </c>
      <c r="O53" s="2">
        <f>N53/L53</f>
        <v>3.4046476917634589E-4</v>
      </c>
    </row>
    <row r="54" spans="1:15" x14ac:dyDescent="0.25">
      <c r="A54" s="1">
        <v>46100</v>
      </c>
      <c r="B54" s="6">
        <v>26.78</v>
      </c>
      <c r="C54" s="6">
        <v>28.8</v>
      </c>
      <c r="F54" s="13">
        <f>F53+D54</f>
        <v>0.29787999999999998</v>
      </c>
      <c r="G54" s="13">
        <f t="shared" si="0"/>
        <v>0.29959999999999998</v>
      </c>
      <c r="H54" s="13">
        <f>B54+F54</f>
        <v>27.07788</v>
      </c>
      <c r="I54" s="13">
        <f>C54+G54</f>
        <v>29.099600000000002</v>
      </c>
      <c r="J54" s="10">
        <f t="shared" si="1"/>
        <v>1.074663156790709</v>
      </c>
      <c r="K54" s="10">
        <f t="shared" si="2"/>
        <v>1.0755984453278784</v>
      </c>
      <c r="L54" s="13">
        <f t="shared" si="3"/>
        <v>29.126696863283044</v>
      </c>
      <c r="M54" s="13">
        <f t="shared" si="4"/>
        <v>29.099600000000002</v>
      </c>
      <c r="N54" s="13">
        <f>M54-L54</f>
        <v>-2.7096863283041728E-2</v>
      </c>
      <c r="O54" s="2">
        <f>N54/L54</f>
        <v>-9.3031020339281545E-4</v>
      </c>
    </row>
    <row r="55" spans="1:15" x14ac:dyDescent="0.25">
      <c r="A55" s="1">
        <v>46101</v>
      </c>
      <c r="B55" s="6">
        <v>26.46</v>
      </c>
      <c r="C55" s="6">
        <v>28.46</v>
      </c>
      <c r="F55" s="13">
        <f>F54+D55</f>
        <v>0.29787999999999998</v>
      </c>
      <c r="G55" s="13">
        <f t="shared" si="0"/>
        <v>0.29959999999999998</v>
      </c>
      <c r="H55" s="13">
        <f>B55+F55</f>
        <v>26.75788</v>
      </c>
      <c r="I55" s="13">
        <f>C55+G55</f>
        <v>28.759600000000002</v>
      </c>
      <c r="J55" s="10">
        <f t="shared" si="1"/>
        <v>1.0748086171251237</v>
      </c>
      <c r="K55" s="10">
        <f t="shared" si="2"/>
        <v>1.0755209449709544</v>
      </c>
      <c r="L55" s="13">
        <f t="shared" si="3"/>
        <v>28.78073412826993</v>
      </c>
      <c r="M55" s="13">
        <f t="shared" si="4"/>
        <v>28.759600000000002</v>
      </c>
      <c r="N55" s="13">
        <f>M55-L55</f>
        <v>-2.1134128269927999E-2</v>
      </c>
      <c r="O55" s="2">
        <f>N55/L55</f>
        <v>-7.3431512121051009E-4</v>
      </c>
    </row>
    <row r="56" spans="1:15" x14ac:dyDescent="0.25">
      <c r="A56" s="1">
        <v>46104</v>
      </c>
      <c r="B56" s="6">
        <v>26.68</v>
      </c>
      <c r="C56" s="6">
        <v>28.67</v>
      </c>
      <c r="F56" s="13">
        <f>F55+D56</f>
        <v>0.29787999999999998</v>
      </c>
      <c r="G56" s="13">
        <f t="shared" si="0"/>
        <v>0.29959999999999998</v>
      </c>
      <c r="H56" s="13">
        <f>B56+F56</f>
        <v>26.977879999999999</v>
      </c>
      <c r="I56" s="13">
        <f>C56+G56</f>
        <v>28.969600000000003</v>
      </c>
      <c r="J56" s="10">
        <f t="shared" si="1"/>
        <v>1.0738278915911852</v>
      </c>
      <c r="K56" s="10">
        <f t="shared" si="2"/>
        <v>1.0754069242488449</v>
      </c>
      <c r="L56" s="13">
        <f t="shared" si="3"/>
        <v>29.01527499091301</v>
      </c>
      <c r="M56" s="13">
        <f t="shared" si="4"/>
        <v>28.969600000000003</v>
      </c>
      <c r="N56" s="13">
        <f>M56-L56</f>
        <v>-4.5674990913006752E-2</v>
      </c>
      <c r="O56" s="2">
        <f>N56/L56</f>
        <v>-1.5741705335314321E-3</v>
      </c>
    </row>
    <row r="57" spans="1:15" x14ac:dyDescent="0.25">
      <c r="A57" s="1">
        <v>46105</v>
      </c>
      <c r="B57" s="6">
        <v>26.62</v>
      </c>
      <c r="C57" s="6">
        <v>28.59</v>
      </c>
      <c r="F57" s="13">
        <f>F56+D57</f>
        <v>0.29787999999999998</v>
      </c>
      <c r="G57" s="13">
        <f t="shared" si="0"/>
        <v>0.29959999999999998</v>
      </c>
      <c r="H57" s="13">
        <f>B57+F57</f>
        <v>26.91788</v>
      </c>
      <c r="I57" s="13">
        <f>C57+G57</f>
        <v>28.889600000000002</v>
      </c>
      <c r="J57" s="10">
        <f t="shared" si="1"/>
        <v>1.0732494535230859</v>
      </c>
      <c r="K57" s="10">
        <f t="shared" si="2"/>
        <v>1.0752445834067403</v>
      </c>
      <c r="L57" s="13">
        <f t="shared" si="3"/>
        <v>28.947674538099498</v>
      </c>
      <c r="M57" s="13">
        <f t="shared" si="4"/>
        <v>28.889600000000002</v>
      </c>
      <c r="N57" s="13">
        <f>M57-L57</f>
        <v>-5.807453809949692E-2</v>
      </c>
      <c r="O57" s="2">
        <f>N57/L57</f>
        <v>-2.0061901007993608E-3</v>
      </c>
    </row>
    <row r="58" spans="1:15" x14ac:dyDescent="0.25">
      <c r="A58" s="1">
        <v>46106</v>
      </c>
      <c r="B58" s="6">
        <v>26.74</v>
      </c>
      <c r="C58" s="6">
        <v>28.73</v>
      </c>
      <c r="F58" s="13">
        <f>F57+D58</f>
        <v>0.29787999999999998</v>
      </c>
      <c r="G58" s="13">
        <f t="shared" si="0"/>
        <v>0.29959999999999998</v>
      </c>
      <c r="H58" s="13">
        <f>B58+F58</f>
        <v>27.037879999999998</v>
      </c>
      <c r="I58" s="13">
        <f>C58+G58</f>
        <v>29.029600000000002</v>
      </c>
      <c r="J58" s="10">
        <f t="shared" si="1"/>
        <v>1.0736640594602833</v>
      </c>
      <c r="K58" s="10">
        <f t="shared" si="2"/>
        <v>1.0751431188031448</v>
      </c>
      <c r="L58" s="13">
        <f t="shared" si="3"/>
        <v>29.072334016801435</v>
      </c>
      <c r="M58" s="13">
        <f t="shared" si="4"/>
        <v>29.029600000000002</v>
      </c>
      <c r="N58" s="13">
        <f>M58-L58</f>
        <v>-4.2734016801432517E-2</v>
      </c>
      <c r="O58" s="2">
        <f>N58/L58</f>
        <v>-1.4699203984357E-3</v>
      </c>
    </row>
    <row r="59" spans="1:15" x14ac:dyDescent="0.25">
      <c r="A59" s="1">
        <v>46107</v>
      </c>
      <c r="B59" s="6">
        <v>26.54</v>
      </c>
      <c r="C59" s="6">
        <v>28.51</v>
      </c>
      <c r="F59" s="13">
        <f>F58+D59</f>
        <v>0.29787999999999998</v>
      </c>
      <c r="G59" s="13">
        <f t="shared" si="0"/>
        <v>0.29959999999999998</v>
      </c>
      <c r="H59" s="13">
        <f>B59+F59</f>
        <v>26.837879999999998</v>
      </c>
      <c r="I59" s="13">
        <f>C59+G59</f>
        <v>28.809600000000003</v>
      </c>
      <c r="J59" s="10">
        <f t="shared" si="1"/>
        <v>1.0734677999901634</v>
      </c>
      <c r="K59" s="10">
        <f t="shared" si="2"/>
        <v>1.0750705529163309</v>
      </c>
      <c r="L59" s="13">
        <f t="shared" si="3"/>
        <v>28.854562005264544</v>
      </c>
      <c r="M59" s="13">
        <f t="shared" si="4"/>
        <v>28.809600000000003</v>
      </c>
      <c r="N59" s="13">
        <f>M59-L59</f>
        <v>-4.496200526454075E-2</v>
      </c>
      <c r="O59" s="2">
        <f>N59/L59</f>
        <v>-1.5582286522435303E-3</v>
      </c>
    </row>
    <row r="60" spans="1:15" x14ac:dyDescent="0.25">
      <c r="A60" s="1">
        <v>46108</v>
      </c>
      <c r="B60" s="6">
        <v>26.41</v>
      </c>
      <c r="C60" s="6">
        <v>28.41</v>
      </c>
      <c r="F60" s="13">
        <f>F59+D60</f>
        <v>0.29787999999999998</v>
      </c>
      <c r="G60" s="13">
        <f t="shared" si="0"/>
        <v>0.29959999999999998</v>
      </c>
      <c r="H60" s="13">
        <f>B60+F60</f>
        <v>26.707879999999999</v>
      </c>
      <c r="I60" s="13">
        <f>C60+G60</f>
        <v>28.709600000000002</v>
      </c>
      <c r="J60" s="10">
        <f t="shared" si="1"/>
        <v>1.074948666835406</v>
      </c>
      <c r="K60" s="10">
        <f t="shared" si="2"/>
        <v>1.0750806092408594</v>
      </c>
      <c r="L60" s="13">
        <f t="shared" si="3"/>
        <v>28.712855318823017</v>
      </c>
      <c r="M60" s="13">
        <f t="shared" si="4"/>
        <v>28.709600000000002</v>
      </c>
      <c r="N60" s="13">
        <f>M60-L60</f>
        <v>-3.2553188230153296E-3</v>
      </c>
      <c r="O60" s="2">
        <f>N60/L60</f>
        <v>-1.1337495999157112E-4</v>
      </c>
    </row>
    <row r="61" spans="1:15" x14ac:dyDescent="0.25">
      <c r="A61" s="1">
        <v>46111</v>
      </c>
      <c r="B61" s="6">
        <v>26.45</v>
      </c>
      <c r="C61" s="6">
        <v>28.42</v>
      </c>
      <c r="F61" s="13">
        <f>F60+D61</f>
        <v>0.29787999999999998</v>
      </c>
      <c r="G61" s="13">
        <f t="shared" si="0"/>
        <v>0.29959999999999998</v>
      </c>
      <c r="H61" s="13">
        <f>B61+F61</f>
        <v>26.747879999999999</v>
      </c>
      <c r="I61" s="13">
        <f>C61+G61</f>
        <v>28.719600000000003</v>
      </c>
      <c r="J61" s="10">
        <f t="shared" si="1"/>
        <v>1.0737150009645626</v>
      </c>
      <c r="K61" s="10">
        <f t="shared" si="2"/>
        <v>1.074914022210858</v>
      </c>
      <c r="L61" s="13">
        <f t="shared" si="3"/>
        <v>28.756127126301397</v>
      </c>
      <c r="M61" s="13">
        <f t="shared" si="4"/>
        <v>28.719600000000003</v>
      </c>
      <c r="N61" s="13">
        <f>M61-L61</f>
        <v>-3.6527126301393764E-2</v>
      </c>
      <c r="O61" s="2">
        <f>N61/L61</f>
        <v>-1.2702380310450334E-3</v>
      </c>
    </row>
    <row r="62" spans="1:15" x14ac:dyDescent="0.25">
      <c r="A62" s="1">
        <v>46112</v>
      </c>
      <c r="B62" s="6">
        <v>26.72</v>
      </c>
      <c r="C62" s="6">
        <v>28.72</v>
      </c>
      <c r="F62" s="13">
        <f>F61+D62</f>
        <v>0.29787999999999998</v>
      </c>
      <c r="G62" s="13">
        <f t="shared" si="0"/>
        <v>0.29959999999999998</v>
      </c>
      <c r="H62" s="13">
        <f>B62+F62</f>
        <v>27.017879999999998</v>
      </c>
      <c r="I62" s="13">
        <f>C62+G62</f>
        <v>29.019600000000001</v>
      </c>
      <c r="J62" s="10">
        <f t="shared" si="1"/>
        <v>1.0740887145845641</v>
      </c>
      <c r="K62" s="10">
        <f t="shared" si="2"/>
        <v>1.0748191824419364</v>
      </c>
      <c r="L62" s="13">
        <f t="shared" si="3"/>
        <v>29.041898062410294</v>
      </c>
      <c r="M62" s="13">
        <f t="shared" si="4"/>
        <v>29.019600000000001</v>
      </c>
      <c r="N62" s="13">
        <f>M62-L62</f>
        <v>-2.2298062410293085E-2</v>
      </c>
      <c r="O62" s="2">
        <f>N62/L62</f>
        <v>-7.6778943175047029E-4</v>
      </c>
    </row>
    <row r="63" spans="1:15" x14ac:dyDescent="0.25">
      <c r="A63" s="1">
        <v>46113</v>
      </c>
      <c r="B63" s="6">
        <v>26.73</v>
      </c>
      <c r="C63" s="6">
        <v>28.73</v>
      </c>
      <c r="D63" s="13">
        <v>0.14197000000000001</v>
      </c>
      <c r="E63" s="13">
        <v>0.17449999999999999</v>
      </c>
      <c r="F63" s="13">
        <f>F62+D63</f>
        <v>0.43984999999999996</v>
      </c>
      <c r="G63" s="13">
        <f t="shared" si="0"/>
        <v>0.47409999999999997</v>
      </c>
      <c r="H63" s="13">
        <f>B63+F63</f>
        <v>27.16985</v>
      </c>
      <c r="I63" s="13">
        <f>C63+G63</f>
        <v>29.2041</v>
      </c>
      <c r="J63" s="10">
        <f t="shared" si="1"/>
        <v>1.0748715948008547</v>
      </c>
      <c r="K63" s="10">
        <f t="shared" si="2"/>
        <v>1.0747953359444249</v>
      </c>
      <c r="L63" s="13">
        <f t="shared" si="3"/>
        <v>29.202675964070046</v>
      </c>
      <c r="M63" s="13">
        <f t="shared" si="4"/>
        <v>29.2041</v>
      </c>
      <c r="N63" s="13">
        <f>M63-L63</f>
        <v>1.4240359299542149E-3</v>
      </c>
      <c r="O63" s="2">
        <f>N63/L63</f>
        <v>4.8763884916104918E-5</v>
      </c>
    </row>
    <row r="64" spans="1:15" x14ac:dyDescent="0.25">
      <c r="A64" s="1">
        <v>46114</v>
      </c>
      <c r="B64" s="6">
        <v>26.79</v>
      </c>
      <c r="C64" s="6">
        <v>28.81</v>
      </c>
      <c r="F64" s="13">
        <f>F63+D64</f>
        <v>0.43984999999999996</v>
      </c>
      <c r="G64" s="13">
        <f t="shared" si="0"/>
        <v>0.47409999999999997</v>
      </c>
      <c r="H64" s="13">
        <f>B64+F64</f>
        <v>27.229849999999999</v>
      </c>
      <c r="I64" s="13">
        <f>C64+G64</f>
        <v>29.284099999999999</v>
      </c>
      <c r="J64" s="10">
        <f t="shared" si="1"/>
        <v>1.0754411059921374</v>
      </c>
      <c r="K64" s="10">
        <f t="shared" si="2"/>
        <v>1.0748535362650373</v>
      </c>
      <c r="L64" s="13">
        <f t="shared" si="3"/>
        <v>29.266515778466296</v>
      </c>
      <c r="M64" s="13">
        <f t="shared" si="4"/>
        <v>29.284099999999999</v>
      </c>
      <c r="N64" s="13">
        <f>M64-L64</f>
        <v>1.758422153370276E-2</v>
      </c>
      <c r="O64" s="2">
        <f>N64/L64</f>
        <v>6.0083071270960347E-4</v>
      </c>
    </row>
    <row r="65" spans="1:15" x14ac:dyDescent="0.25">
      <c r="A65" s="1">
        <v>46118</v>
      </c>
      <c r="B65" s="6">
        <v>26.84</v>
      </c>
      <c r="C65" s="6">
        <v>28.89</v>
      </c>
      <c r="F65" s="13">
        <f>F64+D65</f>
        <v>0.43984999999999996</v>
      </c>
      <c r="G65" s="13">
        <f t="shared" si="0"/>
        <v>0.47409999999999997</v>
      </c>
      <c r="H65" s="13">
        <f>B65+F65</f>
        <v>27.27985</v>
      </c>
      <c r="I65" s="13">
        <f>C65+G65</f>
        <v>29.364100000000001</v>
      </c>
      <c r="J65" s="10">
        <f t="shared" si="1"/>
        <v>1.0764025462016837</v>
      </c>
      <c r="K65" s="10">
        <f t="shared" si="2"/>
        <v>1.0748762277040056</v>
      </c>
      <c r="L65" s="13">
        <f t="shared" si="3"/>
        <v>29.32184324127978</v>
      </c>
      <c r="M65" s="13">
        <f t="shared" si="4"/>
        <v>29.364100000000001</v>
      </c>
      <c r="N65" s="13">
        <f>M65-L65</f>
        <v>4.2256758720220944E-2</v>
      </c>
      <c r="O65" s="2">
        <f>N65/L65</f>
        <v>1.4411358239829607E-3</v>
      </c>
    </row>
    <row r="66" spans="1:15" x14ac:dyDescent="0.25">
      <c r="A66" s="1">
        <v>46119</v>
      </c>
      <c r="B66" s="6">
        <v>26.88</v>
      </c>
      <c r="C66" s="6">
        <v>28.94</v>
      </c>
      <c r="F66" s="13">
        <f>F65+D66</f>
        <v>0.43984999999999996</v>
      </c>
      <c r="G66" s="13">
        <f t="shared" si="0"/>
        <v>0.47409999999999997</v>
      </c>
      <c r="H66" s="13">
        <f>B66+F66</f>
        <v>27.319849999999999</v>
      </c>
      <c r="I66" s="13">
        <f>C66+G66</f>
        <v>29.414100000000001</v>
      </c>
      <c r="J66" s="10">
        <f t="shared" si="1"/>
        <v>1.0766567166364385</v>
      </c>
      <c r="K66" s="10">
        <f t="shared" si="2"/>
        <v>1.0749674905185118</v>
      </c>
      <c r="L66" s="13">
        <f t="shared" si="3"/>
        <v>29.365457309439275</v>
      </c>
      <c r="M66" s="13">
        <f t="shared" si="4"/>
        <v>29.414100000000001</v>
      </c>
      <c r="N66" s="13">
        <f>M66-L66</f>
        <v>4.864269056072601E-2</v>
      </c>
      <c r="O66" s="2">
        <f>N66/L66</f>
        <v>1.6564594941652834E-3</v>
      </c>
    </row>
    <row r="67" spans="1:15" x14ac:dyDescent="0.25">
      <c r="A67" s="1">
        <v>46120</v>
      </c>
      <c r="B67" s="6">
        <v>27.08</v>
      </c>
      <c r="C67" s="6">
        <v>29.14</v>
      </c>
      <c r="F67" s="13">
        <f>F66+D67</f>
        <v>0.43984999999999996</v>
      </c>
      <c r="G67" s="13">
        <f t="shared" si="0"/>
        <v>0.47409999999999997</v>
      </c>
      <c r="H67" s="13">
        <f>B67+F67</f>
        <v>27.519849999999998</v>
      </c>
      <c r="I67" s="13">
        <f>C67+G67</f>
        <v>29.614100000000001</v>
      </c>
      <c r="J67" s="10">
        <f t="shared" si="1"/>
        <v>1.0760996153685431</v>
      </c>
      <c r="K67" s="10">
        <f t="shared" si="2"/>
        <v>1.0750044161598604</v>
      </c>
      <c r="L67" s="13">
        <f t="shared" si="3"/>
        <v>29.582944093945866</v>
      </c>
      <c r="M67" s="13">
        <f t="shared" si="4"/>
        <v>29.614100000000001</v>
      </c>
      <c r="N67" s="13">
        <f>M67-L67</f>
        <v>3.1155906054134874E-2</v>
      </c>
      <c r="O67" s="2">
        <f>N67/L67</f>
        <v>1.0531712447278334E-3</v>
      </c>
    </row>
    <row r="68" spans="1:15" x14ac:dyDescent="0.25">
      <c r="A68" s="1">
        <v>46121</v>
      </c>
      <c r="B68" s="6">
        <v>27.13</v>
      </c>
      <c r="C68" s="6">
        <v>29.19</v>
      </c>
      <c r="F68" s="13">
        <f>F67+D68</f>
        <v>0.43984999999999996</v>
      </c>
      <c r="G68" s="13">
        <f t="shared" ref="G68:G131" si="5">G67+E68</f>
        <v>0.47409999999999997</v>
      </c>
      <c r="H68" s="13">
        <f>B68+F68</f>
        <v>27.569849999999999</v>
      </c>
      <c r="I68" s="13">
        <f>C68+G68</f>
        <v>29.664100000000001</v>
      </c>
      <c r="J68" s="10">
        <f t="shared" ref="J68:J131" si="6">I68/H68</f>
        <v>1.0759616029829688</v>
      </c>
      <c r="K68" s="10">
        <f t="shared" si="2"/>
        <v>1.0750206174541603</v>
      </c>
      <c r="L68" s="13">
        <f t="shared" si="3"/>
        <v>29.637710502864927</v>
      </c>
      <c r="M68" s="13">
        <f t="shared" si="4"/>
        <v>29.664100000000001</v>
      </c>
      <c r="N68" s="13">
        <f>M68-L68</f>
        <v>2.6389497135074436E-2</v>
      </c>
      <c r="O68" s="2">
        <f>N68/L68</f>
        <v>8.9040268925372949E-4</v>
      </c>
    </row>
    <row r="69" spans="1:15" x14ac:dyDescent="0.25">
      <c r="A69" s="1">
        <v>46122</v>
      </c>
      <c r="B69" s="6">
        <v>27.04</v>
      </c>
      <c r="C69" s="6">
        <v>29.13</v>
      </c>
      <c r="F69" s="13">
        <f>F68+D69</f>
        <v>0.43984999999999996</v>
      </c>
      <c r="G69" s="13">
        <f t="shared" si="5"/>
        <v>0.47409999999999997</v>
      </c>
      <c r="H69" s="13">
        <f>B69+F69</f>
        <v>27.479849999999999</v>
      </c>
      <c r="I69" s="13">
        <f>C69+G69</f>
        <v>29.604099999999999</v>
      </c>
      <c r="J69" s="10">
        <f t="shared" si="6"/>
        <v>1.0773020958993589</v>
      </c>
      <c r="K69" s="10">
        <f t="shared" si="2"/>
        <v>1.0750559951133971</v>
      </c>
      <c r="L69" s="13">
        <f t="shared" si="3"/>
        <v>29.541405314547706</v>
      </c>
      <c r="M69" s="13">
        <f t="shared" si="4"/>
        <v>29.604099999999999</v>
      </c>
      <c r="N69" s="13">
        <f>M69-L69</f>
        <v>6.2694685452292731E-2</v>
      </c>
      <c r="O69" s="2">
        <f>N69/L69</f>
        <v>2.1222648274426756E-3</v>
      </c>
    </row>
    <row r="70" spans="1:15" x14ac:dyDescent="0.25">
      <c r="A70" s="1">
        <v>46125</v>
      </c>
      <c r="B70" s="6">
        <v>27.14</v>
      </c>
      <c r="C70" s="6">
        <v>29.23</v>
      </c>
      <c r="F70" s="13">
        <f>F69+D70</f>
        <v>0.43984999999999996</v>
      </c>
      <c r="G70" s="13">
        <f t="shared" si="5"/>
        <v>0.47409999999999997</v>
      </c>
      <c r="H70" s="13">
        <f>B70+F70</f>
        <v>27.57985</v>
      </c>
      <c r="I70" s="13">
        <f>C70+G70</f>
        <v>29.7041</v>
      </c>
      <c r="J70" s="10">
        <f t="shared" si="6"/>
        <v>1.0770218112136216</v>
      </c>
      <c r="K70" s="10">
        <f t="shared" si="2"/>
        <v>1.075083120288076</v>
      </c>
      <c r="L70" s="13">
        <f t="shared" si="3"/>
        <v>29.649883086828225</v>
      </c>
      <c r="M70" s="13">
        <f t="shared" si="4"/>
        <v>29.7041</v>
      </c>
      <c r="N70" s="13">
        <f>M70-L70</f>
        <v>5.4216913171774905E-2</v>
      </c>
      <c r="O70" s="2">
        <f>N70/L70</f>
        <v>1.8285708922697382E-3</v>
      </c>
    </row>
    <row r="71" spans="1:15" x14ac:dyDescent="0.25">
      <c r="A71" s="1">
        <v>46126</v>
      </c>
      <c r="B71" s="6">
        <v>27.26</v>
      </c>
      <c r="C71" s="6">
        <v>29.34</v>
      </c>
      <c r="F71" s="13">
        <f>F70+D71</f>
        <v>0.43984999999999996</v>
      </c>
      <c r="G71" s="13">
        <f t="shared" si="5"/>
        <v>0.47409999999999997</v>
      </c>
      <c r="H71" s="13">
        <f>B71+F71</f>
        <v>27.699850000000001</v>
      </c>
      <c r="I71" s="13">
        <f>C71+G71</f>
        <v>29.8141</v>
      </c>
      <c r="J71" s="10">
        <f t="shared" si="6"/>
        <v>1.0763271281252424</v>
      </c>
      <c r="K71" s="10">
        <f t="shared" si="2"/>
        <v>1.0751450805627862</v>
      </c>
      <c r="L71" s="13">
        <f t="shared" si="3"/>
        <v>29.779641169511663</v>
      </c>
      <c r="M71" s="13">
        <f t="shared" si="4"/>
        <v>29.8141</v>
      </c>
      <c r="N71" s="13">
        <f>M71-L71</f>
        <v>3.4458830488336645E-2</v>
      </c>
      <c r="O71" s="2">
        <f>N71/L71</f>
        <v>1.1571271222574544E-3</v>
      </c>
    </row>
    <row r="72" spans="1:15" x14ac:dyDescent="0.25">
      <c r="A72" s="1">
        <v>46127</v>
      </c>
      <c r="B72" s="6">
        <v>27.23</v>
      </c>
      <c r="C72" s="6">
        <v>29.32</v>
      </c>
      <c r="F72" s="13">
        <f>F71+D72</f>
        <v>0.43984999999999996</v>
      </c>
      <c r="G72" s="13">
        <f t="shared" si="5"/>
        <v>0.47409999999999997</v>
      </c>
      <c r="H72" s="13">
        <f>B72+F72</f>
        <v>27.66985</v>
      </c>
      <c r="I72" s="13">
        <f>C72+G72</f>
        <v>29.7941</v>
      </c>
      <c r="J72" s="10">
        <f t="shared" si="6"/>
        <v>1.0767712871591282</v>
      </c>
      <c r="K72" s="10">
        <f t="shared" si="2"/>
        <v>1.0752642230968181</v>
      </c>
      <c r="L72" s="13">
        <f t="shared" si="3"/>
        <v>29.74910310741021</v>
      </c>
      <c r="M72" s="13">
        <f t="shared" si="4"/>
        <v>29.7941</v>
      </c>
      <c r="N72" s="13">
        <f>M72-L72</f>
        <v>4.4996892589789894E-2</v>
      </c>
      <c r="O72" s="2">
        <f>N72/L72</f>
        <v>1.5125461909667323E-3</v>
      </c>
    </row>
    <row r="73" spans="1:15" x14ac:dyDescent="0.25">
      <c r="A73" s="1">
        <v>46128</v>
      </c>
      <c r="B73" s="6">
        <v>27.17</v>
      </c>
      <c r="C73" s="6">
        <v>29.28</v>
      </c>
      <c r="F73" s="13">
        <f>F72+D73</f>
        <v>0.43984999999999996</v>
      </c>
      <c r="G73" s="13">
        <f t="shared" si="5"/>
        <v>0.47409999999999997</v>
      </c>
      <c r="H73" s="13">
        <f>B73+F73</f>
        <v>27.609850000000002</v>
      </c>
      <c r="I73" s="13">
        <f>C73+G73</f>
        <v>29.754100000000001</v>
      </c>
      <c r="J73" s="10">
        <f t="shared" si="6"/>
        <v>1.0776625008828371</v>
      </c>
      <c r="K73" s="10">
        <f t="shared" si="2"/>
        <v>1.0753475683063951</v>
      </c>
      <c r="L73" s="13">
        <f t="shared" si="3"/>
        <v>29.687883910069687</v>
      </c>
      <c r="M73" s="13">
        <f t="shared" si="4"/>
        <v>29.754100000000001</v>
      </c>
      <c r="N73" s="13">
        <f>M73-L73</f>
        <v>6.6216089930314581E-2</v>
      </c>
      <c r="O73" s="2">
        <f>N73/L73</f>
        <v>2.2304078704597423E-3</v>
      </c>
    </row>
    <row r="74" spans="1:15" x14ac:dyDescent="0.25">
      <c r="A74" s="1">
        <v>46129</v>
      </c>
      <c r="B74" s="6">
        <v>27.29</v>
      </c>
      <c r="C74" s="6">
        <v>29.4</v>
      </c>
      <c r="F74" s="13">
        <f>F73+D74</f>
        <v>0.43984999999999996</v>
      </c>
      <c r="G74" s="13">
        <f t="shared" si="5"/>
        <v>0.47409999999999997</v>
      </c>
      <c r="H74" s="13">
        <f>B74+F74</f>
        <v>27.729849999999999</v>
      </c>
      <c r="I74" s="13">
        <f>C74+G74</f>
        <v>29.874099999999999</v>
      </c>
      <c r="J74" s="10">
        <f t="shared" si="6"/>
        <v>1.0773264190033485</v>
      </c>
      <c r="K74" s="10">
        <f t="shared" si="2"/>
        <v>1.0754807314170272</v>
      </c>
      <c r="L74" s="13">
        <f t="shared" si="3"/>
        <v>29.819226767001091</v>
      </c>
      <c r="M74" s="13">
        <f t="shared" si="4"/>
        <v>29.874099999999999</v>
      </c>
      <c r="N74" s="13">
        <f>M74-L74</f>
        <v>5.4873232998907895E-2</v>
      </c>
      <c r="O74" s="2">
        <f>N74/L74</f>
        <v>1.8401963748983716E-3</v>
      </c>
    </row>
    <row r="75" spans="1:15" x14ac:dyDescent="0.25">
      <c r="A75" s="1">
        <v>46132</v>
      </c>
      <c r="B75" s="6">
        <v>27.26</v>
      </c>
      <c r="C75" s="6">
        <v>29.36</v>
      </c>
      <c r="F75" s="13">
        <f>F74+D75</f>
        <v>0.43984999999999996</v>
      </c>
      <c r="G75" s="13">
        <f t="shared" si="5"/>
        <v>0.47409999999999997</v>
      </c>
      <c r="H75" s="13">
        <f>B75+F75</f>
        <v>27.699850000000001</v>
      </c>
      <c r="I75" s="13">
        <f>C75+G75</f>
        <v>29.834099999999999</v>
      </c>
      <c r="J75" s="10">
        <f t="shared" si="6"/>
        <v>1.077049153695778</v>
      </c>
      <c r="K75" s="10">
        <f t="shared" si="2"/>
        <v>1.0755927582455598</v>
      </c>
      <c r="L75" s="13">
        <f t="shared" si="3"/>
        <v>29.790654938141941</v>
      </c>
      <c r="M75" s="13">
        <f t="shared" si="4"/>
        <v>29.834099999999999</v>
      </c>
      <c r="N75" s="13">
        <f>M75-L75</f>
        <v>4.3445061858058409E-2</v>
      </c>
      <c r="O75" s="2">
        <f>N75/L75</f>
        <v>1.4583453082273224E-3</v>
      </c>
    </row>
    <row r="76" spans="1:15" x14ac:dyDescent="0.25">
      <c r="A76" s="1">
        <v>46133</v>
      </c>
      <c r="B76" s="6">
        <v>27.18</v>
      </c>
      <c r="C76" s="6">
        <v>29.28</v>
      </c>
      <c r="F76" s="13">
        <f>F75+D76</f>
        <v>0.43984999999999996</v>
      </c>
      <c r="G76" s="13">
        <f t="shared" si="5"/>
        <v>0.47409999999999997</v>
      </c>
      <c r="H76" s="13">
        <f>B76+F76</f>
        <v>27.61985</v>
      </c>
      <c r="I76" s="13">
        <f>C76+G76</f>
        <v>29.754100000000001</v>
      </c>
      <c r="J76" s="10">
        <f t="shared" si="6"/>
        <v>1.0772723240712749</v>
      </c>
      <c r="K76" s="10">
        <f t="shared" si="2"/>
        <v>1.0757649798695641</v>
      </c>
      <c r="L76" s="13">
        <f t="shared" si="3"/>
        <v>29.707710643828623</v>
      </c>
      <c r="M76" s="13">
        <f t="shared" si="4"/>
        <v>29.754100000000001</v>
      </c>
      <c r="N76" s="13">
        <f>M76-L76</f>
        <v>4.6389356171378182E-2</v>
      </c>
      <c r="O76" s="2">
        <f>N76/L76</f>
        <v>1.5615257845866674E-3</v>
      </c>
    </row>
    <row r="77" spans="1:15" x14ac:dyDescent="0.25">
      <c r="A77" s="1">
        <v>46134</v>
      </c>
      <c r="B77" s="6">
        <v>27.23</v>
      </c>
      <c r="C77" s="6">
        <v>29.33</v>
      </c>
      <c r="F77" s="13">
        <f>F76+D77</f>
        <v>0.43984999999999996</v>
      </c>
      <c r="G77" s="13">
        <f t="shared" si="5"/>
        <v>0.47409999999999997</v>
      </c>
      <c r="H77" s="13">
        <f>B77+F77</f>
        <v>27.66985</v>
      </c>
      <c r="I77" s="13">
        <f>C77+G77</f>
        <v>29.804099999999998</v>
      </c>
      <c r="J77" s="10">
        <f t="shared" si="6"/>
        <v>1.0771326913590062</v>
      </c>
      <c r="K77" s="10">
        <f t="shared" si="2"/>
        <v>1.0759591417613599</v>
      </c>
      <c r="L77" s="13">
        <f t="shared" si="3"/>
        <v>29.766255628243858</v>
      </c>
      <c r="M77" s="13">
        <f t="shared" si="4"/>
        <v>29.804099999999998</v>
      </c>
      <c r="N77" s="13">
        <f>M77-L77</f>
        <v>3.7844371756140305E-2</v>
      </c>
      <c r="O77" s="2">
        <f>N77/L77</f>
        <v>1.2713850283618301E-3</v>
      </c>
    </row>
    <row r="78" spans="1:15" x14ac:dyDescent="0.25">
      <c r="A78" s="1">
        <v>46135</v>
      </c>
      <c r="B78" s="6">
        <v>27.18</v>
      </c>
      <c r="C78" s="6">
        <v>29.29</v>
      </c>
      <c r="F78" s="13">
        <f>F77+D78</f>
        <v>0.43984999999999996</v>
      </c>
      <c r="G78" s="13">
        <f t="shared" si="5"/>
        <v>0.47409999999999997</v>
      </c>
      <c r="H78" s="13">
        <f>B78+F78</f>
        <v>27.61985</v>
      </c>
      <c r="I78" s="13">
        <f>C78+G78</f>
        <v>29.764099999999999</v>
      </c>
      <c r="J78" s="10">
        <f t="shared" si="6"/>
        <v>1.0776343825183698</v>
      </c>
      <c r="K78" s="10">
        <f t="shared" si="2"/>
        <v>1.0761576579142644</v>
      </c>
      <c r="L78" s="13">
        <f t="shared" si="3"/>
        <v>29.717830101577494</v>
      </c>
      <c r="M78" s="13">
        <f t="shared" si="4"/>
        <v>29.764099999999999</v>
      </c>
      <c r="N78" s="13">
        <f>M78-L78</f>
        <v>4.6269898422504951E-2</v>
      </c>
      <c r="O78" s="2">
        <f>N78/L78</f>
        <v>1.5569743236417801E-3</v>
      </c>
    </row>
    <row r="79" spans="1:15" x14ac:dyDescent="0.25">
      <c r="A79" s="1">
        <v>46136</v>
      </c>
      <c r="B79" s="6">
        <v>27.2</v>
      </c>
      <c r="C79" s="6">
        <v>29.29</v>
      </c>
      <c r="F79" s="13">
        <f>F78+D79</f>
        <v>0.43984999999999996</v>
      </c>
      <c r="G79" s="13">
        <f t="shared" si="5"/>
        <v>0.47409999999999997</v>
      </c>
      <c r="H79" s="13">
        <f>B79+F79</f>
        <v>27.639849999999999</v>
      </c>
      <c r="I79" s="13">
        <f>C79+G79</f>
        <v>29.764099999999999</v>
      </c>
      <c r="J79" s="10">
        <f t="shared" si="6"/>
        <v>1.0768546138998583</v>
      </c>
      <c r="K79" s="10">
        <f t="shared" si="2"/>
        <v>1.076326998609749</v>
      </c>
      <c r="L79" s="13">
        <f t="shared" si="3"/>
        <v>29.744836241101581</v>
      </c>
      <c r="M79" s="13">
        <f t="shared" si="4"/>
        <v>29.764099999999999</v>
      </c>
      <c r="N79" s="13">
        <f>M79-L79</f>
        <v>1.9263758898418359E-2</v>
      </c>
      <c r="O79" s="2">
        <f>N79/L79</f>
        <v>6.4763371841326833E-4</v>
      </c>
    </row>
    <row r="80" spans="1:15" x14ac:dyDescent="0.25">
      <c r="A80" s="1">
        <v>46139</v>
      </c>
      <c r="B80" s="6">
        <v>27.22</v>
      </c>
      <c r="C80" s="6">
        <v>29.3</v>
      </c>
      <c r="F80" s="13">
        <f>F79+D80</f>
        <v>0.43984999999999996</v>
      </c>
      <c r="G80" s="13">
        <f t="shared" si="5"/>
        <v>0.47409999999999997</v>
      </c>
      <c r="H80" s="13">
        <f>B80+F80</f>
        <v>27.659849999999999</v>
      </c>
      <c r="I80" s="13">
        <f>C80+G80</f>
        <v>29.774100000000001</v>
      </c>
      <c r="J80" s="10">
        <f t="shared" si="6"/>
        <v>1.0764375077955954</v>
      </c>
      <c r="K80" s="10">
        <f t="shared" si="2"/>
        <v>1.0764014406577584</v>
      </c>
      <c r="L80" s="13">
        <f t="shared" si="3"/>
        <v>29.771043332495864</v>
      </c>
      <c r="M80" s="13">
        <f t="shared" si="4"/>
        <v>29.774100000000001</v>
      </c>
      <c r="N80" s="13">
        <f>M80-L80</f>
        <v>3.0566675041363567E-3</v>
      </c>
      <c r="O80" s="2">
        <f>N80/L80</f>
        <v>1.026725019341168E-4</v>
      </c>
    </row>
    <row r="81" spans="1:15" x14ac:dyDescent="0.25">
      <c r="A81" s="1">
        <v>46140</v>
      </c>
      <c r="B81" s="6">
        <v>27.2</v>
      </c>
      <c r="C81" s="6">
        <v>29.27</v>
      </c>
      <c r="F81" s="13">
        <f>F80+D81</f>
        <v>0.43984999999999996</v>
      </c>
      <c r="G81" s="13">
        <f t="shared" si="5"/>
        <v>0.47409999999999997</v>
      </c>
      <c r="H81" s="13">
        <f>B81+F81</f>
        <v>27.639849999999999</v>
      </c>
      <c r="I81" s="13">
        <f>C81+G81</f>
        <v>29.7441</v>
      </c>
      <c r="J81" s="10">
        <f t="shared" si="6"/>
        <v>1.076131020971532</v>
      </c>
      <c r="K81" s="10">
        <f t="shared" si="2"/>
        <v>1.0765222416581071</v>
      </c>
      <c r="L81" s="13">
        <f t="shared" si="3"/>
        <v>29.751574359564344</v>
      </c>
      <c r="M81" s="13">
        <f t="shared" si="4"/>
        <v>29.7441</v>
      </c>
      <c r="N81" s="13">
        <f>M81-L81</f>
        <v>-7.4743595643447236E-3</v>
      </c>
      <c r="O81" s="2">
        <f>N81/L81</f>
        <v>-2.5122568217778751E-4</v>
      </c>
    </row>
    <row r="82" spans="1:15" x14ac:dyDescent="0.25">
      <c r="A82" s="1">
        <v>46141</v>
      </c>
      <c r="B82" s="6">
        <v>27.07</v>
      </c>
      <c r="C82" s="6">
        <v>29.17</v>
      </c>
      <c r="F82" s="13">
        <f>F81+D82</f>
        <v>0.43984999999999996</v>
      </c>
      <c r="G82" s="13">
        <f t="shared" si="5"/>
        <v>0.47409999999999997</v>
      </c>
      <c r="H82" s="13">
        <f>B82+F82</f>
        <v>27.50985</v>
      </c>
      <c r="I82" s="13">
        <f>C82+G82</f>
        <v>29.644100000000002</v>
      </c>
      <c r="J82" s="10">
        <f t="shared" si="6"/>
        <v>1.077581302697034</v>
      </c>
      <c r="K82" s="10">
        <f t="shared" si="2"/>
        <v>1.0766968710637306</v>
      </c>
      <c r="L82" s="13">
        <f t="shared" si="3"/>
        <v>29.614965389678275</v>
      </c>
      <c r="M82" s="13">
        <f t="shared" si="4"/>
        <v>29.644100000000002</v>
      </c>
      <c r="N82" s="13">
        <f>M82-L82</f>
        <v>2.9134610321726484E-2</v>
      </c>
      <c r="O82" s="2">
        <f>N82/L82</f>
        <v>9.8377998887956802E-4</v>
      </c>
    </row>
    <row r="83" spans="1:15" x14ac:dyDescent="0.25">
      <c r="A83" s="1">
        <v>46142</v>
      </c>
      <c r="B83" s="6">
        <v>27.14</v>
      </c>
      <c r="C83" s="6">
        <v>29.26</v>
      </c>
      <c r="F83" s="13">
        <f>F82+D83</f>
        <v>0.43984999999999996</v>
      </c>
      <c r="G83" s="13">
        <f t="shared" si="5"/>
        <v>0.47409999999999997</v>
      </c>
      <c r="H83" s="13">
        <f>B83+F83</f>
        <v>27.57985</v>
      </c>
      <c r="I83" s="13">
        <f>C83+G83</f>
        <v>29.734100000000002</v>
      </c>
      <c r="J83" s="10">
        <f t="shared" si="6"/>
        <v>1.0781095618721639</v>
      </c>
      <c r="K83" s="10">
        <f t="shared" si="2"/>
        <v>1.0768587694172962</v>
      </c>
      <c r="L83" s="13">
        <f t="shared" si="3"/>
        <v>29.69513819940703</v>
      </c>
      <c r="M83" s="13">
        <f t="shared" si="4"/>
        <v>29.734100000000002</v>
      </c>
      <c r="N83" s="13">
        <f>M83-L83</f>
        <v>3.896180059297194E-2</v>
      </c>
      <c r="O83" s="2">
        <f>N83/L83</f>
        <v>1.3120599180693475E-3</v>
      </c>
    </row>
    <row r="84" spans="1:15" x14ac:dyDescent="0.25">
      <c r="A84" s="1">
        <v>46143</v>
      </c>
      <c r="B84" s="6">
        <v>27.04</v>
      </c>
      <c r="C84" s="6">
        <v>29.14</v>
      </c>
      <c r="D84" s="13">
        <v>0.15162999999999999</v>
      </c>
      <c r="E84" s="13">
        <v>0.15629999999999999</v>
      </c>
      <c r="F84" s="13">
        <f>F83+D84</f>
        <v>0.59148000000000001</v>
      </c>
      <c r="G84" s="13">
        <f t="shared" si="5"/>
        <v>0.63039999999999996</v>
      </c>
      <c r="H84" s="13">
        <f>B84+F84</f>
        <v>27.63148</v>
      </c>
      <c r="I84" s="13">
        <f>C84+G84</f>
        <v>29.770400000000002</v>
      </c>
      <c r="J84" s="10">
        <f t="shared" si="6"/>
        <v>1.0774088105305979</v>
      </c>
      <c r="K84" s="10">
        <f t="shared" si="2"/>
        <v>1.0769571546442192</v>
      </c>
      <c r="L84" s="13">
        <f t="shared" si="3"/>
        <v>29.755201549978633</v>
      </c>
      <c r="M84" s="13">
        <f t="shared" si="4"/>
        <v>29.770400000000002</v>
      </c>
      <c r="N84" s="13">
        <f>M84-L84</f>
        <v>1.5198450021369325E-2</v>
      </c>
      <c r="O84" s="2">
        <f>N84/L84</f>
        <v>5.1078296330277217E-4</v>
      </c>
    </row>
    <row r="85" spans="1:15" x14ac:dyDescent="0.25">
      <c r="A85" s="1">
        <v>46146</v>
      </c>
      <c r="B85" s="6">
        <v>26.95</v>
      </c>
      <c r="C85" s="6">
        <v>29.04</v>
      </c>
      <c r="F85" s="13">
        <f>F84+D85</f>
        <v>0.59148000000000001</v>
      </c>
      <c r="G85" s="13">
        <f t="shared" si="5"/>
        <v>0.63039999999999996</v>
      </c>
      <c r="H85" s="13">
        <f>B85+F85</f>
        <v>27.54148</v>
      </c>
      <c r="I85" s="13">
        <f>C85+G85</f>
        <v>29.670400000000001</v>
      </c>
      <c r="J85" s="10">
        <f t="shared" si="6"/>
        <v>1.0772986782119189</v>
      </c>
      <c r="K85" s="10">
        <f t="shared" si="2"/>
        <v>1.0770019612447308</v>
      </c>
      <c r="L85" s="13">
        <f t="shared" si="3"/>
        <v>29.660993935490669</v>
      </c>
      <c r="M85" s="13">
        <f t="shared" si="4"/>
        <v>29.670400000000001</v>
      </c>
      <c r="N85" s="13">
        <f>M85-L85</f>
        <v>9.4060645093314577E-3</v>
      </c>
      <c r="O85" s="2">
        <f>N85/L85</f>
        <v>3.1711899236379576E-4</v>
      </c>
    </row>
    <row r="86" spans="1:15" x14ac:dyDescent="0.25">
      <c r="A86" s="1">
        <v>46147</v>
      </c>
      <c r="B86" s="6">
        <v>27.03</v>
      </c>
      <c r="C86" s="6">
        <v>29.11</v>
      </c>
      <c r="F86" s="13">
        <f>F85+D86</f>
        <v>0.59148000000000001</v>
      </c>
      <c r="G86" s="13">
        <f t="shared" si="5"/>
        <v>0.63039999999999996</v>
      </c>
      <c r="H86" s="13">
        <f>B86+F86</f>
        <v>27.621480000000002</v>
      </c>
      <c r="I86" s="13">
        <f>C86+G86</f>
        <v>29.740400000000001</v>
      </c>
      <c r="J86" s="10">
        <f t="shared" si="6"/>
        <v>1.076712761227856</v>
      </c>
      <c r="K86" s="10">
        <f t="shared" si="2"/>
        <v>1.0770047634743019</v>
      </c>
      <c r="L86" s="13">
        <f t="shared" si="3"/>
        <v>29.748388132482109</v>
      </c>
      <c r="M86" s="13">
        <f t="shared" si="4"/>
        <v>29.740400000000001</v>
      </c>
      <c r="N86" s="13">
        <f>M86-L86</f>
        <v>-7.9881324821080568E-3</v>
      </c>
      <c r="O86" s="2">
        <f>N86/L86</f>
        <v>-2.6852320356093032E-4</v>
      </c>
    </row>
    <row r="87" spans="1:15" x14ac:dyDescent="0.25">
      <c r="A87" s="1">
        <v>46148</v>
      </c>
      <c r="B87" s="6">
        <v>27.12</v>
      </c>
      <c r="C87" s="6">
        <v>29.21</v>
      </c>
      <c r="F87" s="13">
        <f>F86+D87</f>
        <v>0.59148000000000001</v>
      </c>
      <c r="G87" s="13">
        <f t="shared" si="5"/>
        <v>0.63039999999999996</v>
      </c>
      <c r="H87" s="13">
        <f>B87+F87</f>
        <v>27.711480000000002</v>
      </c>
      <c r="I87" s="13">
        <f>C87+G87</f>
        <v>29.840400000000002</v>
      </c>
      <c r="J87" s="10">
        <f t="shared" si="6"/>
        <v>1.0768244785193717</v>
      </c>
      <c r="K87" s="10">
        <f t="shared" ref="K87:K150" si="7">AVERAGE(J68:J87)</f>
        <v>1.0770410066318434</v>
      </c>
      <c r="L87" s="13">
        <f t="shared" si="3"/>
        <v>29.845395962922847</v>
      </c>
      <c r="M87" s="13">
        <f t="shared" si="4"/>
        <v>29.840400000000002</v>
      </c>
      <c r="N87" s="13">
        <f>M87-L87</f>
        <v>-4.9959629228446545E-3</v>
      </c>
      <c r="O87" s="2">
        <f>N87/L87</f>
        <v>-1.6739476095579953E-4</v>
      </c>
    </row>
    <row r="88" spans="1:15" x14ac:dyDescent="0.25">
      <c r="A88" s="1">
        <v>46149</v>
      </c>
      <c r="B88" s="6">
        <v>27.04</v>
      </c>
      <c r="C88" s="6">
        <v>29.08</v>
      </c>
      <c r="F88" s="13">
        <f>F87+D88</f>
        <v>0.59148000000000001</v>
      </c>
      <c r="G88" s="13">
        <f t="shared" si="5"/>
        <v>0.63039999999999996</v>
      </c>
      <c r="H88" s="13">
        <f>B88+F88</f>
        <v>27.63148</v>
      </c>
      <c r="I88" s="13">
        <f>C88+G88</f>
        <v>29.7104</v>
      </c>
      <c r="J88" s="10">
        <f t="shared" si="6"/>
        <v>1.075237374183359</v>
      </c>
      <c r="K88" s="10">
        <f t="shared" si="7"/>
        <v>1.0770047951918627</v>
      </c>
      <c r="L88" s="13">
        <f t="shared" ref="L88:L151" si="8">K87*H88</f>
        <v>29.760237033927648</v>
      </c>
      <c r="M88" s="13">
        <f t="shared" ref="M88:M151" si="9">I88</f>
        <v>29.7104</v>
      </c>
      <c r="N88" s="13">
        <f>M88-L88</f>
        <v>-4.9837033927648378E-2</v>
      </c>
      <c r="O88" s="2">
        <f>N88/L88</f>
        <v>-1.6746181783039067E-3</v>
      </c>
    </row>
    <row r="89" spans="1:15" x14ac:dyDescent="0.25">
      <c r="A89" s="1">
        <v>46150</v>
      </c>
      <c r="B89" s="6">
        <v>27.13</v>
      </c>
      <c r="C89" s="6">
        <v>29.17</v>
      </c>
      <c r="F89" s="13">
        <f>F88+D89</f>
        <v>0.59148000000000001</v>
      </c>
      <c r="G89" s="13">
        <f t="shared" si="5"/>
        <v>0.63039999999999996</v>
      </c>
      <c r="H89" s="13">
        <f>B89+F89</f>
        <v>27.72148</v>
      </c>
      <c r="I89" s="13">
        <f>C89+G89</f>
        <v>29.800400000000003</v>
      </c>
      <c r="J89" s="10">
        <f t="shared" si="6"/>
        <v>1.0749931100359722</v>
      </c>
      <c r="K89" s="10">
        <f t="shared" si="7"/>
        <v>1.0768893458986935</v>
      </c>
      <c r="L89" s="13">
        <f t="shared" si="8"/>
        <v>29.856166889815317</v>
      </c>
      <c r="M89" s="13">
        <f t="shared" si="9"/>
        <v>29.800400000000003</v>
      </c>
      <c r="N89" s="13">
        <f>M89-L89</f>
        <v>-5.5766889815313192E-2</v>
      </c>
      <c r="O89" s="2">
        <f>N89/L89</f>
        <v>-1.867851624125824E-3</v>
      </c>
    </row>
    <row r="90" spans="1:15" x14ac:dyDescent="0.25">
      <c r="A90" s="1">
        <v>46153</v>
      </c>
      <c r="B90" s="6">
        <v>27.04</v>
      </c>
      <c r="C90" s="6">
        <v>29.09</v>
      </c>
      <c r="F90" s="13">
        <f>F89+D90</f>
        <v>0.59148000000000001</v>
      </c>
      <c r="G90" s="13">
        <f t="shared" si="5"/>
        <v>0.63039999999999996</v>
      </c>
      <c r="H90" s="13">
        <f>B90+F90</f>
        <v>27.63148</v>
      </c>
      <c r="I90" s="13">
        <f>C90+G90</f>
        <v>29.720400000000001</v>
      </c>
      <c r="J90" s="10">
        <f t="shared" si="6"/>
        <v>1.0755992802412322</v>
      </c>
      <c r="K90" s="10">
        <f t="shared" si="7"/>
        <v>1.0768182193500739</v>
      </c>
      <c r="L90" s="13">
        <f t="shared" si="8"/>
        <v>29.75604642341283</v>
      </c>
      <c r="M90" s="13">
        <f t="shared" si="9"/>
        <v>29.720400000000001</v>
      </c>
      <c r="N90" s="13">
        <f>M90-L90</f>
        <v>-3.5646423412828199E-2</v>
      </c>
      <c r="O90" s="2">
        <f>N90/L90</f>
        <v>-1.1979556324653623E-3</v>
      </c>
    </row>
    <row r="91" spans="1:15" x14ac:dyDescent="0.25">
      <c r="A91" s="1">
        <v>46154</v>
      </c>
      <c r="B91" s="6">
        <v>26.98</v>
      </c>
      <c r="C91" s="6">
        <v>29.02</v>
      </c>
      <c r="F91" s="13">
        <f>F90+D91</f>
        <v>0.59148000000000001</v>
      </c>
      <c r="G91" s="13">
        <f t="shared" si="5"/>
        <v>0.63039999999999996</v>
      </c>
      <c r="H91" s="13">
        <f>B91+F91</f>
        <v>27.571480000000001</v>
      </c>
      <c r="I91" s="13">
        <f>C91+G91</f>
        <v>29.650400000000001</v>
      </c>
      <c r="J91" s="10">
        <f t="shared" si="6"/>
        <v>1.0754011028787718</v>
      </c>
      <c r="K91" s="10">
        <f t="shared" si="7"/>
        <v>1.0767719180877502</v>
      </c>
      <c r="L91" s="13">
        <f t="shared" si="8"/>
        <v>29.689471998446177</v>
      </c>
      <c r="M91" s="13">
        <f t="shared" si="9"/>
        <v>29.650400000000001</v>
      </c>
      <c r="N91" s="13">
        <f>M91-L91</f>
        <v>-3.9071998446175371E-2</v>
      </c>
      <c r="O91" s="2">
        <f>N91/L91</f>
        <v>-1.3160220043057767E-3</v>
      </c>
    </row>
    <row r="92" spans="1:15" x14ac:dyDescent="0.25">
      <c r="A92" s="1">
        <v>46155</v>
      </c>
      <c r="B92" s="6">
        <v>26.96</v>
      </c>
      <c r="C92" s="6">
        <v>29.01</v>
      </c>
      <c r="F92" s="13">
        <f>F91+D92</f>
        <v>0.59148000000000001</v>
      </c>
      <c r="G92" s="13">
        <f t="shared" si="5"/>
        <v>0.63039999999999996</v>
      </c>
      <c r="H92" s="13">
        <f>B92+F92</f>
        <v>27.551480000000002</v>
      </c>
      <c r="I92" s="13">
        <f>C92+G92</f>
        <v>29.640400000000003</v>
      </c>
      <c r="J92" s="10">
        <f t="shared" si="6"/>
        <v>1.0758187944894431</v>
      </c>
      <c r="K92" s="10">
        <f t="shared" si="7"/>
        <v>1.076724293454266</v>
      </c>
      <c r="L92" s="13">
        <f t="shared" si="8"/>
        <v>29.666659965756288</v>
      </c>
      <c r="M92" s="13">
        <f t="shared" si="9"/>
        <v>29.640400000000003</v>
      </c>
      <c r="N92" s="13">
        <f>M92-L92</f>
        <v>-2.6259965756285197E-2</v>
      </c>
      <c r="O92" s="2">
        <f>N92/L92</f>
        <v>-8.8516758497911871E-4</v>
      </c>
    </row>
    <row r="93" spans="1:15" x14ac:dyDescent="0.25">
      <c r="A93" s="1">
        <v>46156</v>
      </c>
      <c r="B93" s="6">
        <v>26.96</v>
      </c>
      <c r="C93" s="6">
        <v>29.01</v>
      </c>
      <c r="F93" s="13">
        <f>F92+D93</f>
        <v>0.59148000000000001</v>
      </c>
      <c r="G93" s="13">
        <f t="shared" si="5"/>
        <v>0.63039999999999996</v>
      </c>
      <c r="H93" s="13">
        <f>B93+F93</f>
        <v>27.551480000000002</v>
      </c>
      <c r="I93" s="13">
        <f>C93+G93</f>
        <v>29.640400000000003</v>
      </c>
      <c r="J93" s="10">
        <f t="shared" si="6"/>
        <v>1.0758187944894431</v>
      </c>
      <c r="K93" s="10">
        <f t="shared" si="7"/>
        <v>1.0766321081345962</v>
      </c>
      <c r="L93" s="13">
        <f t="shared" si="8"/>
        <v>29.665347836619343</v>
      </c>
      <c r="M93" s="13">
        <f t="shared" si="9"/>
        <v>29.640400000000003</v>
      </c>
      <c r="N93" s="13">
        <f>M93-L93</f>
        <v>-2.494783661934008E-2</v>
      </c>
      <c r="O93" s="2">
        <f>N93/L93</f>
        <v>-8.4097569854023769E-4</v>
      </c>
    </row>
    <row r="94" spans="1:15" x14ac:dyDescent="0.25">
      <c r="A94" s="1">
        <v>46157</v>
      </c>
      <c r="B94" s="6">
        <v>26.8</v>
      </c>
      <c r="C94" s="6">
        <v>28.82</v>
      </c>
      <c r="F94" s="13">
        <f>F93+D94</f>
        <v>0.59148000000000001</v>
      </c>
      <c r="G94" s="13">
        <f t="shared" si="5"/>
        <v>0.63039999999999996</v>
      </c>
      <c r="H94" s="13">
        <f>B94+F94</f>
        <v>27.391480000000001</v>
      </c>
      <c r="I94" s="13">
        <f>C94+G94</f>
        <v>29.450400000000002</v>
      </c>
      <c r="J94" s="10">
        <f t="shared" si="6"/>
        <v>1.0751664386152191</v>
      </c>
      <c r="K94" s="10">
        <f t="shared" si="7"/>
        <v>1.0765241091151898</v>
      </c>
      <c r="L94" s="13">
        <f t="shared" si="8"/>
        <v>29.490546857326631</v>
      </c>
      <c r="M94" s="13">
        <f t="shared" si="9"/>
        <v>29.450400000000002</v>
      </c>
      <c r="N94" s="13">
        <f>M94-L94</f>
        <v>-4.0146857326629259E-2</v>
      </c>
      <c r="O94" s="2">
        <f>N94/L94</f>
        <v>-1.3613466552810016E-3</v>
      </c>
    </row>
    <row r="95" spans="1:15" x14ac:dyDescent="0.25">
      <c r="A95" s="1">
        <v>46160</v>
      </c>
      <c r="B95" s="6">
        <v>26.82</v>
      </c>
      <c r="C95" s="6">
        <v>28.84</v>
      </c>
      <c r="F95" s="13">
        <f>F94+D95</f>
        <v>0.59148000000000001</v>
      </c>
      <c r="G95" s="13">
        <f t="shared" si="5"/>
        <v>0.63039999999999996</v>
      </c>
      <c r="H95" s="13">
        <f>B95+F95</f>
        <v>27.411480000000001</v>
      </c>
      <c r="I95" s="13">
        <f>C95+G95</f>
        <v>29.470400000000001</v>
      </c>
      <c r="J95" s="10">
        <f t="shared" si="6"/>
        <v>1.0751115955796622</v>
      </c>
      <c r="K95" s="10">
        <f t="shared" si="7"/>
        <v>1.0764272312093843</v>
      </c>
      <c r="L95" s="13">
        <f t="shared" si="8"/>
        <v>29.509119086528845</v>
      </c>
      <c r="M95" s="13">
        <f t="shared" si="9"/>
        <v>29.470400000000001</v>
      </c>
      <c r="N95" s="13">
        <f>M95-L95</f>
        <v>-3.871908652884315E-2</v>
      </c>
      <c r="O95" s="2">
        <f>N95/L95</f>
        <v>-1.3121058075406505E-3</v>
      </c>
    </row>
    <row r="96" spans="1:15" x14ac:dyDescent="0.25">
      <c r="A96" s="1">
        <v>46161</v>
      </c>
      <c r="B96" s="6">
        <v>26.73</v>
      </c>
      <c r="C96" s="6">
        <v>28.75</v>
      </c>
      <c r="F96" s="13">
        <f>F95+D96</f>
        <v>0.59148000000000001</v>
      </c>
      <c r="G96" s="13">
        <f t="shared" si="5"/>
        <v>0.63039999999999996</v>
      </c>
      <c r="H96" s="13">
        <f>B96+F96</f>
        <v>27.321480000000001</v>
      </c>
      <c r="I96" s="13">
        <f>C96+G96</f>
        <v>29.380400000000002</v>
      </c>
      <c r="J96" s="10">
        <f t="shared" si="6"/>
        <v>1.075359021546417</v>
      </c>
      <c r="K96" s="10">
        <f t="shared" si="7"/>
        <v>1.0763315660831414</v>
      </c>
      <c r="L96" s="13">
        <f t="shared" si="8"/>
        <v>29.409585068942572</v>
      </c>
      <c r="M96" s="13">
        <f t="shared" si="9"/>
        <v>29.380400000000002</v>
      </c>
      <c r="N96" s="13">
        <f>M96-L96</f>
        <v>-2.918506894257078E-2</v>
      </c>
      <c r="O96" s="2">
        <f>N96/L96</f>
        <v>-9.923658859570621E-4</v>
      </c>
    </row>
    <row r="97" spans="1:15" x14ac:dyDescent="0.25">
      <c r="A97" s="1">
        <v>46162</v>
      </c>
      <c r="B97" s="6">
        <v>26.93</v>
      </c>
      <c r="C97" s="6">
        <v>28.92</v>
      </c>
      <c r="F97" s="13">
        <f>F96+D97</f>
        <v>0.59148000000000001</v>
      </c>
      <c r="G97" s="13">
        <f t="shared" si="5"/>
        <v>0.63039999999999996</v>
      </c>
      <c r="H97" s="13">
        <f>B97+F97</f>
        <v>27.52148</v>
      </c>
      <c r="I97" s="13">
        <f>C97+G97</f>
        <v>29.550400000000003</v>
      </c>
      <c r="J97" s="10">
        <f t="shared" si="6"/>
        <v>1.0737213260333385</v>
      </c>
      <c r="K97" s="10">
        <f t="shared" si="7"/>
        <v>1.076160997816858</v>
      </c>
      <c r="L97" s="13">
        <f t="shared" si="8"/>
        <v>29.622237669325855</v>
      </c>
      <c r="M97" s="13">
        <f t="shared" si="9"/>
        <v>29.550400000000003</v>
      </c>
      <c r="N97" s="13">
        <f>M97-L97</f>
        <v>-7.1837669325852005E-2</v>
      </c>
      <c r="O97" s="2">
        <f>N97/L97</f>
        <v>-2.4251263570219976E-3</v>
      </c>
    </row>
    <row r="98" spans="1:15" x14ac:dyDescent="0.25">
      <c r="A98" s="1">
        <v>46163</v>
      </c>
      <c r="B98" s="6">
        <v>26.98</v>
      </c>
      <c r="C98" s="6">
        <v>29</v>
      </c>
      <c r="F98" s="13">
        <f>F97+D98</f>
        <v>0.59148000000000001</v>
      </c>
      <c r="G98" s="13">
        <f t="shared" si="5"/>
        <v>0.63039999999999996</v>
      </c>
      <c r="H98" s="13">
        <f>B98+F98</f>
        <v>27.571480000000001</v>
      </c>
      <c r="I98" s="13">
        <f>C98+G98</f>
        <v>29.630400000000002</v>
      </c>
      <c r="J98" s="10">
        <f t="shared" si="6"/>
        <v>1.0746757156307896</v>
      </c>
      <c r="K98" s="10">
        <f t="shared" si="7"/>
        <v>1.076013064472479</v>
      </c>
      <c r="L98" s="13">
        <f t="shared" si="8"/>
        <v>29.671351428087547</v>
      </c>
      <c r="M98" s="13">
        <f t="shared" si="9"/>
        <v>29.630400000000002</v>
      </c>
      <c r="N98" s="13">
        <f>M98-L98</f>
        <v>-4.0951428087545594E-2</v>
      </c>
      <c r="O98" s="2">
        <f>N98/L98</f>
        <v>-1.3801672696572924E-3</v>
      </c>
    </row>
    <row r="99" spans="1:15" x14ac:dyDescent="0.25">
      <c r="A99" s="1">
        <v>46164</v>
      </c>
      <c r="B99" s="6">
        <v>27.02</v>
      </c>
      <c r="C99" s="6">
        <v>29.03</v>
      </c>
      <c r="F99" s="13">
        <f>F98+D99</f>
        <v>0.59148000000000001</v>
      </c>
      <c r="G99" s="13">
        <f t="shared" si="5"/>
        <v>0.63039999999999996</v>
      </c>
      <c r="H99" s="13">
        <f>B99+F99</f>
        <v>27.61148</v>
      </c>
      <c r="I99" s="13">
        <f>C99+G99</f>
        <v>29.660400000000003</v>
      </c>
      <c r="J99" s="10">
        <f t="shared" si="6"/>
        <v>1.0742053667532492</v>
      </c>
      <c r="K99" s="10">
        <f t="shared" si="7"/>
        <v>1.0758806021151486</v>
      </c>
      <c r="L99" s="13">
        <f t="shared" si="8"/>
        <v>29.710313209420566</v>
      </c>
      <c r="M99" s="13">
        <f t="shared" si="9"/>
        <v>29.660400000000003</v>
      </c>
      <c r="N99" s="13">
        <f>M99-L99</f>
        <v>-4.9913209420562765E-2</v>
      </c>
      <c r="O99" s="2">
        <f>N99/L99</f>
        <v>-1.6799960696724076E-3</v>
      </c>
    </row>
    <row r="100" spans="1:15" x14ac:dyDescent="0.25">
      <c r="A100" s="1">
        <v>46168</v>
      </c>
      <c r="B100" s="6">
        <v>27.06</v>
      </c>
      <c r="C100" s="6">
        <v>29.11</v>
      </c>
      <c r="F100" s="13">
        <f>F99+D100</f>
        <v>0.59148000000000001</v>
      </c>
      <c r="G100" s="13">
        <f t="shared" si="5"/>
        <v>0.63039999999999996</v>
      </c>
      <c r="H100" s="13">
        <f>B100+F100</f>
        <v>27.651479999999999</v>
      </c>
      <c r="I100" s="13">
        <f>C100+G100</f>
        <v>29.740400000000001</v>
      </c>
      <c r="J100" s="10">
        <f t="shared" si="6"/>
        <v>1.0755446001443685</v>
      </c>
      <c r="K100" s="10">
        <f t="shared" si="7"/>
        <v>1.0758359567325873</v>
      </c>
      <c r="L100" s="13">
        <f t="shared" si="8"/>
        <v>29.749690951774987</v>
      </c>
      <c r="M100" s="13">
        <f t="shared" si="9"/>
        <v>29.740400000000001</v>
      </c>
      <c r="N100" s="13">
        <f>M100-L100</f>
        <v>-9.290951774985956E-3</v>
      </c>
      <c r="O100" s="2">
        <f>N100/L100</f>
        <v>-3.1230414426982879E-4</v>
      </c>
    </row>
    <row r="101" spans="1:15" x14ac:dyDescent="0.25">
      <c r="A101" s="1">
        <v>46169</v>
      </c>
      <c r="B101" s="6">
        <v>27.08</v>
      </c>
      <c r="C101" s="6">
        <v>29.12</v>
      </c>
      <c r="F101" s="13">
        <f>F100+D101</f>
        <v>0.59148000000000001</v>
      </c>
      <c r="G101" s="13">
        <f t="shared" si="5"/>
        <v>0.63039999999999996</v>
      </c>
      <c r="H101" s="13">
        <f>B101+F101</f>
        <v>27.671479999999999</v>
      </c>
      <c r="I101" s="13">
        <f>C101+G101</f>
        <v>29.750400000000003</v>
      </c>
      <c r="J101" s="10">
        <f t="shared" si="6"/>
        <v>1.0751286161781013</v>
      </c>
      <c r="K101" s="10">
        <f t="shared" si="7"/>
        <v>1.0757858364929154</v>
      </c>
      <c r="L101" s="13">
        <f t="shared" si="8"/>
        <v>29.769973160006654</v>
      </c>
      <c r="M101" s="13">
        <f t="shared" si="9"/>
        <v>29.750400000000003</v>
      </c>
      <c r="N101" s="13">
        <f>M101-L101</f>
        <v>-1.957316000665088E-2</v>
      </c>
      <c r="O101" s="2">
        <f>N101/L101</f>
        <v>-6.574799346122926E-4</v>
      </c>
    </row>
    <row r="102" spans="1:15" x14ac:dyDescent="0.25">
      <c r="A102" s="1">
        <v>46170</v>
      </c>
      <c r="B102" s="6">
        <v>27.11</v>
      </c>
      <c r="C102" s="6">
        <v>29.14</v>
      </c>
      <c r="F102" s="13">
        <f>F101+D102</f>
        <v>0.59148000000000001</v>
      </c>
      <c r="G102" s="13">
        <f t="shared" si="5"/>
        <v>0.63039999999999996</v>
      </c>
      <c r="H102" s="13">
        <f>B102+F102</f>
        <v>27.70148</v>
      </c>
      <c r="I102" s="13">
        <f>C102+G102</f>
        <v>29.770400000000002</v>
      </c>
      <c r="J102" s="10">
        <f t="shared" si="6"/>
        <v>1.074686262250248</v>
      </c>
      <c r="K102" s="10">
        <f t="shared" si="7"/>
        <v>1.0756410844705762</v>
      </c>
      <c r="L102" s="13">
        <f t="shared" si="8"/>
        <v>29.800859833891764</v>
      </c>
      <c r="M102" s="13">
        <f t="shared" si="9"/>
        <v>29.770400000000002</v>
      </c>
      <c r="N102" s="13">
        <f>M102-L102</f>
        <v>-3.0459833891761434E-2</v>
      </c>
      <c r="O102" s="2">
        <f>N102/L102</f>
        <v>-1.0221125853932657E-3</v>
      </c>
    </row>
    <row r="103" spans="1:15" x14ac:dyDescent="0.25">
      <c r="A103" s="1">
        <v>46171</v>
      </c>
      <c r="B103" s="6">
        <v>27.2</v>
      </c>
      <c r="C103" s="6">
        <v>29.23</v>
      </c>
      <c r="F103" s="13">
        <f>F102+D103</f>
        <v>0.59148000000000001</v>
      </c>
      <c r="G103" s="13">
        <f t="shared" si="5"/>
        <v>0.63039999999999996</v>
      </c>
      <c r="H103" s="13">
        <f>B103+F103</f>
        <v>27.79148</v>
      </c>
      <c r="I103" s="13">
        <f>C103+G103</f>
        <v>29.860400000000002</v>
      </c>
      <c r="J103" s="10">
        <f t="shared" si="6"/>
        <v>1.0744443980673215</v>
      </c>
      <c r="K103" s="10">
        <f t="shared" si="7"/>
        <v>1.0754578262803343</v>
      </c>
      <c r="L103" s="13">
        <f t="shared" si="8"/>
        <v>29.893657686242328</v>
      </c>
      <c r="M103" s="13">
        <f t="shared" si="9"/>
        <v>29.860400000000002</v>
      </c>
      <c r="N103" s="13">
        <f>M103-L103</f>
        <v>-3.3257686242325946E-2</v>
      </c>
      <c r="O103" s="2">
        <f>N103/L103</f>
        <v>-1.1125331865170789E-3</v>
      </c>
    </row>
    <row r="104" spans="1:15" x14ac:dyDescent="0.25">
      <c r="A104" s="1">
        <v>46174</v>
      </c>
      <c r="B104" s="6">
        <v>27.04</v>
      </c>
      <c r="C104" s="6">
        <v>29.06</v>
      </c>
      <c r="D104" s="13">
        <v>0.14907000000000001</v>
      </c>
      <c r="E104" s="13">
        <v>0.1535</v>
      </c>
      <c r="F104" s="13">
        <f>F103+D104</f>
        <v>0.74055000000000004</v>
      </c>
      <c r="G104" s="13">
        <f t="shared" si="5"/>
        <v>0.78389999999999993</v>
      </c>
      <c r="H104" s="13">
        <f>B104+F104</f>
        <v>27.780549999999998</v>
      </c>
      <c r="I104" s="13">
        <f>C104+G104</f>
        <v>29.843899999999998</v>
      </c>
      <c r="J104" s="10">
        <f t="shared" si="6"/>
        <v>1.074273187535884</v>
      </c>
      <c r="K104" s="10">
        <f t="shared" si="7"/>
        <v>1.0753010451305984</v>
      </c>
      <c r="L104" s="13">
        <f t="shared" si="8"/>
        <v>29.876809915872137</v>
      </c>
      <c r="M104" s="13">
        <f t="shared" si="9"/>
        <v>29.843899999999998</v>
      </c>
      <c r="N104" s="13">
        <f>M104-L104</f>
        <v>-3.2909915872139095E-2</v>
      </c>
      <c r="O104" s="2">
        <f>N104/L104</f>
        <v>-1.1015204087989198E-3</v>
      </c>
    </row>
    <row r="105" spans="1:15" x14ac:dyDescent="0.25">
      <c r="A105" s="1">
        <v>46175</v>
      </c>
      <c r="B105" s="6">
        <v>27.04</v>
      </c>
      <c r="C105" s="6">
        <v>29.09</v>
      </c>
      <c r="F105" s="13">
        <f>F104+D105</f>
        <v>0.74055000000000004</v>
      </c>
      <c r="G105" s="13">
        <f t="shared" si="5"/>
        <v>0.78389999999999993</v>
      </c>
      <c r="H105" s="13">
        <f>B105+F105</f>
        <v>27.780549999999998</v>
      </c>
      <c r="I105" s="13">
        <f>C105+G105</f>
        <v>29.873899999999999</v>
      </c>
      <c r="J105" s="10">
        <f t="shared" si="6"/>
        <v>1.0753530797626398</v>
      </c>
      <c r="K105" s="10">
        <f t="shared" si="7"/>
        <v>1.0752037652081341</v>
      </c>
      <c r="L105" s="13">
        <f t="shared" si="8"/>
        <v>29.872454449302843</v>
      </c>
      <c r="M105" s="13">
        <f t="shared" si="9"/>
        <v>29.873899999999999</v>
      </c>
      <c r="N105" s="13">
        <f>M105-L105</f>
        <v>1.4455506971557952E-3</v>
      </c>
      <c r="O105" s="2">
        <f>N105/L105</f>
        <v>4.8390757432037232E-5</v>
      </c>
    </row>
    <row r="106" spans="1:15" x14ac:dyDescent="0.25">
      <c r="A106" s="1">
        <v>46176</v>
      </c>
      <c r="B106" s="6">
        <v>26.98</v>
      </c>
      <c r="C106" s="6">
        <v>29.03</v>
      </c>
      <c r="F106" s="13">
        <f>F105+D106</f>
        <v>0.74055000000000004</v>
      </c>
      <c r="G106" s="13">
        <f t="shared" si="5"/>
        <v>0.78389999999999993</v>
      </c>
      <c r="H106" s="13">
        <f>B106+F106</f>
        <v>27.720549999999999</v>
      </c>
      <c r="I106" s="13">
        <f>C106+G106</f>
        <v>29.8139</v>
      </c>
      <c r="J106" s="10">
        <f t="shared" si="6"/>
        <v>1.0755161784308032</v>
      </c>
      <c r="K106" s="10">
        <f t="shared" si="7"/>
        <v>1.0751439360682817</v>
      </c>
      <c r="L106" s="13">
        <f t="shared" si="8"/>
        <v>29.805239733640342</v>
      </c>
      <c r="M106" s="13">
        <f t="shared" si="9"/>
        <v>29.8139</v>
      </c>
      <c r="N106" s="13">
        <f>M106-L106</f>
        <v>8.6602663596586638E-3</v>
      </c>
      <c r="O106" s="2">
        <f>N106/L106</f>
        <v>2.9056187559813729E-4</v>
      </c>
    </row>
    <row r="107" spans="1:15" x14ac:dyDescent="0.25">
      <c r="A107" s="1">
        <v>46177</v>
      </c>
      <c r="B107" s="6">
        <v>27.03</v>
      </c>
      <c r="C107" s="6">
        <v>29.09</v>
      </c>
      <c r="F107" s="13">
        <f>F106+D107</f>
        <v>0.74055000000000004</v>
      </c>
      <c r="G107" s="13">
        <f t="shared" si="5"/>
        <v>0.78389999999999993</v>
      </c>
      <c r="H107" s="13">
        <f>B107+F107</f>
        <v>27.77055</v>
      </c>
      <c r="I107" s="13">
        <f>C107+G107</f>
        <v>29.873899999999999</v>
      </c>
      <c r="J107" s="10">
        <f t="shared" si="6"/>
        <v>1.0757403076280447</v>
      </c>
      <c r="K107" s="10">
        <f t="shared" si="7"/>
        <v>1.0750897275237155</v>
      </c>
      <c r="L107" s="13">
        <f t="shared" si="8"/>
        <v>29.85733843378102</v>
      </c>
      <c r="M107" s="13">
        <f t="shared" si="9"/>
        <v>29.873899999999999</v>
      </c>
      <c r="N107" s="13">
        <f>M107-L107</f>
        <v>1.6561566218978641E-2</v>
      </c>
      <c r="O107" s="2">
        <f>N107/L107</f>
        <v>5.546899719715354E-4</v>
      </c>
    </row>
    <row r="108" spans="1:15" x14ac:dyDescent="0.25">
      <c r="A108" s="1">
        <v>46178</v>
      </c>
      <c r="B108" s="6">
        <v>26.89</v>
      </c>
      <c r="C108" s="6">
        <v>28.94</v>
      </c>
      <c r="F108" s="13">
        <f>F107+D108</f>
        <v>0.74055000000000004</v>
      </c>
      <c r="G108" s="13">
        <f t="shared" si="5"/>
        <v>0.78389999999999993</v>
      </c>
      <c r="H108" s="13">
        <f>B108+F108</f>
        <v>27.630549999999999</v>
      </c>
      <c r="I108" s="13">
        <f>C108+G108</f>
        <v>29.7239</v>
      </c>
      <c r="J108" s="10">
        <f t="shared" si="6"/>
        <v>1.0757621545716607</v>
      </c>
      <c r="K108" s="10">
        <f t="shared" si="7"/>
        <v>1.0751159665431305</v>
      </c>
      <c r="L108" s="13">
        <f t="shared" si="8"/>
        <v>29.705320470830397</v>
      </c>
      <c r="M108" s="13">
        <f t="shared" si="9"/>
        <v>29.7239</v>
      </c>
      <c r="N108" s="13">
        <f>M108-L108</f>
        <v>1.8579529169603148E-2</v>
      </c>
      <c r="O108" s="2">
        <f>N108/L108</f>
        <v>6.2546132730153864E-4</v>
      </c>
    </row>
    <row r="109" spans="1:15" x14ac:dyDescent="0.25">
      <c r="A109" s="1">
        <v>46181</v>
      </c>
      <c r="B109" s="6">
        <v>26.91</v>
      </c>
      <c r="C109" s="6">
        <v>28.95</v>
      </c>
      <c r="F109" s="13">
        <f>F108+D109</f>
        <v>0.74055000000000004</v>
      </c>
      <c r="G109" s="13">
        <f t="shared" si="5"/>
        <v>0.78389999999999993</v>
      </c>
      <c r="H109" s="13">
        <f>B109+F109</f>
        <v>27.650549999999999</v>
      </c>
      <c r="I109" s="13">
        <f>C109+G109</f>
        <v>29.733899999999998</v>
      </c>
      <c r="J109" s="10">
        <f t="shared" si="6"/>
        <v>1.0753456983676635</v>
      </c>
      <c r="K109" s="10">
        <f t="shared" si="7"/>
        <v>1.075133595959715</v>
      </c>
      <c r="L109" s="13">
        <f t="shared" si="8"/>
        <v>29.727547788699155</v>
      </c>
      <c r="M109" s="13">
        <f t="shared" si="9"/>
        <v>29.733899999999998</v>
      </c>
      <c r="N109" s="13">
        <f>M109-L109</f>
        <v>6.3522113008431802E-3</v>
      </c>
      <c r="O109" s="2">
        <f>N109/L109</f>
        <v>2.136809718041377E-4</v>
      </c>
    </row>
    <row r="110" spans="1:15" x14ac:dyDescent="0.25">
      <c r="A110" s="1">
        <v>46182</v>
      </c>
      <c r="B110" s="6">
        <v>26.97</v>
      </c>
      <c r="C110" s="6">
        <v>29</v>
      </c>
      <c r="F110" s="13">
        <f>F109+D110</f>
        <v>0.74055000000000004</v>
      </c>
      <c r="G110" s="13">
        <f t="shared" si="5"/>
        <v>0.78389999999999993</v>
      </c>
      <c r="H110" s="13">
        <f>B110+F110</f>
        <v>27.710549999999998</v>
      </c>
      <c r="I110" s="13">
        <f>C110+G110</f>
        <v>29.783899999999999</v>
      </c>
      <c r="J110" s="10">
        <f t="shared" si="6"/>
        <v>1.0748216834382573</v>
      </c>
      <c r="K110" s="10">
        <f t="shared" si="7"/>
        <v>1.0750947161195663</v>
      </c>
      <c r="L110" s="13">
        <f t="shared" si="8"/>
        <v>29.792543267521477</v>
      </c>
      <c r="M110" s="13">
        <f t="shared" si="9"/>
        <v>29.783899999999999</v>
      </c>
      <c r="N110" s="13">
        <f>M110-L110</f>
        <v>-8.6432675214780375E-3</v>
      </c>
      <c r="O110" s="2">
        <f>N110/L110</f>
        <v>-2.9011512860335585E-4</v>
      </c>
    </row>
    <row r="111" spans="1:15" x14ac:dyDescent="0.25">
      <c r="A111" s="1">
        <v>46183</v>
      </c>
      <c r="B111" s="6">
        <v>26.89</v>
      </c>
      <c r="C111" s="6">
        <v>28.92</v>
      </c>
      <c r="F111" s="13">
        <f>F110+D111</f>
        <v>0.74055000000000004</v>
      </c>
      <c r="G111" s="13">
        <f t="shared" si="5"/>
        <v>0.78389999999999993</v>
      </c>
      <c r="H111" s="13">
        <f>B111+F111</f>
        <v>27.630549999999999</v>
      </c>
      <c r="I111" s="13">
        <f>C111+G111</f>
        <v>29.703900000000001</v>
      </c>
      <c r="J111" s="10">
        <f t="shared" si="6"/>
        <v>1.0750383180935594</v>
      </c>
      <c r="K111" s="10">
        <f t="shared" si="7"/>
        <v>1.0750765768803057</v>
      </c>
      <c r="L111" s="13">
        <f t="shared" si="8"/>
        <v>29.705458308477482</v>
      </c>
      <c r="M111" s="13">
        <f t="shared" si="9"/>
        <v>29.703900000000001</v>
      </c>
      <c r="N111" s="13">
        <f>M111-L111</f>
        <v>-1.5583084774810629E-3</v>
      </c>
      <c r="O111" s="2">
        <f>N111/L111</f>
        <v>-5.2458657977895786E-5</v>
      </c>
    </row>
    <row r="112" spans="1:15" x14ac:dyDescent="0.25">
      <c r="A112" s="1">
        <v>46184</v>
      </c>
      <c r="B112" s="6">
        <v>27.08</v>
      </c>
      <c r="C112" s="6">
        <v>29.11</v>
      </c>
      <c r="F112" s="13">
        <f>F111+D112</f>
        <v>0.74055000000000004</v>
      </c>
      <c r="G112" s="13">
        <f t="shared" si="5"/>
        <v>0.78389999999999993</v>
      </c>
      <c r="H112" s="13">
        <f>B112+F112</f>
        <v>27.820549999999997</v>
      </c>
      <c r="I112" s="13">
        <f>C112+G112</f>
        <v>29.893899999999999</v>
      </c>
      <c r="J112" s="10">
        <f t="shared" si="6"/>
        <v>1.0745258451037094</v>
      </c>
      <c r="K112" s="10">
        <f t="shared" si="7"/>
        <v>1.075011929411019</v>
      </c>
      <c r="L112" s="13">
        <f t="shared" si="8"/>
        <v>29.909221660927386</v>
      </c>
      <c r="M112" s="13">
        <f t="shared" si="9"/>
        <v>29.893899999999999</v>
      </c>
      <c r="N112" s="13">
        <f>M112-L112</f>
        <v>-1.5321660927387626E-2</v>
      </c>
      <c r="O112" s="2">
        <f>N112/L112</f>
        <v>-5.1227213804107242E-4</v>
      </c>
    </row>
    <row r="113" spans="1:15" x14ac:dyDescent="0.25">
      <c r="A113" s="1">
        <v>46185</v>
      </c>
      <c r="B113" s="6">
        <v>27.09</v>
      </c>
      <c r="C113" s="6">
        <v>29.12</v>
      </c>
      <c r="F113" s="13">
        <f>F112+D113</f>
        <v>0.74055000000000004</v>
      </c>
      <c r="G113" s="13">
        <f t="shared" si="5"/>
        <v>0.78389999999999993</v>
      </c>
      <c r="H113" s="13">
        <f>B113+F113</f>
        <v>27.830549999999999</v>
      </c>
      <c r="I113" s="13">
        <f>C113+G113</f>
        <v>29.9039</v>
      </c>
      <c r="J113" s="10">
        <f t="shared" si="6"/>
        <v>1.0744990666731344</v>
      </c>
      <c r="K113" s="10">
        <f t="shared" si="7"/>
        <v>1.0749459430202035</v>
      </c>
      <c r="L113" s="13">
        <f t="shared" si="8"/>
        <v>29.918173252069831</v>
      </c>
      <c r="M113" s="13">
        <f t="shared" si="9"/>
        <v>29.9039</v>
      </c>
      <c r="N113" s="13">
        <f>M113-L113</f>
        <v>-1.4273252069830988E-2</v>
      </c>
      <c r="O113" s="2">
        <f>N113/L113</f>
        <v>-4.7707632246041362E-4</v>
      </c>
    </row>
    <row r="114" spans="1:15" x14ac:dyDescent="0.25">
      <c r="A114" s="1">
        <v>46188</v>
      </c>
      <c r="B114" s="6">
        <v>27.15</v>
      </c>
      <c r="C114" s="6">
        <v>29.18</v>
      </c>
      <c r="F114" s="13">
        <f>F113+D114</f>
        <v>0.74055000000000004</v>
      </c>
      <c r="G114" s="13">
        <f t="shared" si="5"/>
        <v>0.78389999999999993</v>
      </c>
      <c r="H114" s="13">
        <f>B114+F114</f>
        <v>27.890549999999998</v>
      </c>
      <c r="I114" s="13">
        <f>C114+G114</f>
        <v>29.963899999999999</v>
      </c>
      <c r="J114" s="10">
        <f t="shared" si="6"/>
        <v>1.0743387993424296</v>
      </c>
      <c r="K114" s="10">
        <f t="shared" si="7"/>
        <v>1.0749045610565642</v>
      </c>
      <c r="L114" s="13">
        <f t="shared" si="8"/>
        <v>29.980833571102135</v>
      </c>
      <c r="M114" s="13">
        <f t="shared" si="9"/>
        <v>29.963899999999999</v>
      </c>
      <c r="N114" s="13">
        <f>M114-L114</f>
        <v>-1.6933571102136113E-2</v>
      </c>
      <c r="O114" s="2">
        <f>N114/L114</f>
        <v>-5.6481321848429224E-4</v>
      </c>
    </row>
    <row r="115" spans="1:15" x14ac:dyDescent="0.25">
      <c r="A115" s="1">
        <v>46189</v>
      </c>
      <c r="B115" s="6">
        <v>27.17</v>
      </c>
      <c r="C115" s="6">
        <v>29.18</v>
      </c>
      <c r="F115" s="13">
        <f>F114+D115</f>
        <v>0.74055000000000004</v>
      </c>
      <c r="G115" s="13">
        <f t="shared" si="5"/>
        <v>0.78389999999999993</v>
      </c>
      <c r="H115" s="13">
        <f>B115+F115</f>
        <v>27.910550000000001</v>
      </c>
      <c r="I115" s="13">
        <f>C115+G115</f>
        <v>29.963899999999999</v>
      </c>
      <c r="J115" s="10">
        <f t="shared" si="6"/>
        <v>1.0735689551083729</v>
      </c>
      <c r="K115" s="10">
        <f t="shared" si="7"/>
        <v>1.0748274290329998</v>
      </c>
      <c r="L115" s="13">
        <f t="shared" si="8"/>
        <v>30.00117749659729</v>
      </c>
      <c r="M115" s="13">
        <f t="shared" si="9"/>
        <v>29.963899999999999</v>
      </c>
      <c r="N115" s="13">
        <f>M115-L115</f>
        <v>-3.7277496597290849E-2</v>
      </c>
      <c r="O115" s="2">
        <f>N115/L115</f>
        <v>-1.2425344505734427E-3</v>
      </c>
    </row>
    <row r="116" spans="1:15" x14ac:dyDescent="0.25">
      <c r="A116" s="1">
        <v>46190</v>
      </c>
      <c r="B116" s="6">
        <v>27.1</v>
      </c>
      <c r="C116" s="6">
        <v>29.09</v>
      </c>
      <c r="F116" s="13">
        <f>F115+D116</f>
        <v>0.74055000000000004</v>
      </c>
      <c r="G116" s="13">
        <f t="shared" si="5"/>
        <v>0.78389999999999993</v>
      </c>
      <c r="H116" s="13">
        <f>B116+F116</f>
        <v>27.84055</v>
      </c>
      <c r="I116" s="13">
        <f>C116+G116</f>
        <v>29.873899999999999</v>
      </c>
      <c r="J116" s="10">
        <f t="shared" si="6"/>
        <v>1.0730355542544956</v>
      </c>
      <c r="K116" s="10">
        <f t="shared" si="7"/>
        <v>1.0747112556684035</v>
      </c>
      <c r="L116" s="13">
        <f t="shared" si="8"/>
        <v>29.923786779364683</v>
      </c>
      <c r="M116" s="13">
        <f t="shared" si="9"/>
        <v>29.873899999999999</v>
      </c>
      <c r="N116" s="13">
        <f>M116-L116</f>
        <v>-4.9886779364683775E-2</v>
      </c>
      <c r="O116" s="2">
        <f>N116/L116</f>
        <v>-1.6671278850003532E-3</v>
      </c>
    </row>
    <row r="117" spans="1:15" x14ac:dyDescent="0.25">
      <c r="A117" s="1">
        <v>46191</v>
      </c>
      <c r="B117" s="6">
        <v>27.19</v>
      </c>
      <c r="C117" s="6">
        <v>29.18</v>
      </c>
      <c r="F117" s="13">
        <f>F116+D117</f>
        <v>0.74055000000000004</v>
      </c>
      <c r="G117" s="13">
        <f t="shared" si="5"/>
        <v>0.78389999999999993</v>
      </c>
      <c r="H117" s="13">
        <f>B117+F117</f>
        <v>27.93055</v>
      </c>
      <c r="I117" s="13">
        <f>C117+G117</f>
        <v>29.963899999999999</v>
      </c>
      <c r="J117" s="10">
        <f t="shared" si="6"/>
        <v>1.0728002133864174</v>
      </c>
      <c r="K117" s="10">
        <f t="shared" si="7"/>
        <v>1.0746652000360577</v>
      </c>
      <c r="L117" s="13">
        <f t="shared" si="8"/>
        <v>30.017276462009129</v>
      </c>
      <c r="M117" s="13">
        <f t="shared" si="9"/>
        <v>29.963899999999999</v>
      </c>
      <c r="N117" s="13">
        <f>M117-L117</f>
        <v>-5.337646200912971E-2</v>
      </c>
      <c r="O117" s="2">
        <f>N117/L117</f>
        <v>-1.7781913717816722E-3</v>
      </c>
    </row>
    <row r="118" spans="1:15" x14ac:dyDescent="0.25">
      <c r="A118" s="1">
        <v>46195</v>
      </c>
      <c r="B118" s="6">
        <v>27.16</v>
      </c>
      <c r="C118" s="6">
        <v>29.17</v>
      </c>
      <c r="F118" s="13">
        <f>F117+D118</f>
        <v>0.74055000000000004</v>
      </c>
      <c r="G118" s="13">
        <f t="shared" si="5"/>
        <v>0.78389999999999993</v>
      </c>
      <c r="H118" s="13">
        <f>B118+F118</f>
        <v>27.900549999999999</v>
      </c>
      <c r="I118" s="13">
        <f>C118+G118</f>
        <v>29.953900000000001</v>
      </c>
      <c r="J118" s="10">
        <f t="shared" si="6"/>
        <v>1.0735953233896824</v>
      </c>
      <c r="K118" s="10">
        <f t="shared" si="7"/>
        <v>1.0746111804240024</v>
      </c>
      <c r="L118" s="13">
        <f t="shared" si="8"/>
        <v>29.983750146866029</v>
      </c>
      <c r="M118" s="13">
        <f t="shared" si="9"/>
        <v>29.953900000000001</v>
      </c>
      <c r="N118" s="13">
        <f>M118-L118</f>
        <v>-2.9850146866028382E-2</v>
      </c>
      <c r="O118" s="2">
        <f>N118/L118</f>
        <v>-9.9554414373841712E-4</v>
      </c>
    </row>
    <row r="119" spans="1:15" x14ac:dyDescent="0.25">
      <c r="A119" s="1">
        <v>46196</v>
      </c>
      <c r="B119" s="6">
        <v>27.16</v>
      </c>
      <c r="C119" s="6">
        <v>29.15</v>
      </c>
      <c r="F119" s="13">
        <f>F118+D119</f>
        <v>0.74055000000000004</v>
      </c>
      <c r="G119" s="13">
        <f t="shared" si="5"/>
        <v>0.78389999999999993</v>
      </c>
      <c r="H119" s="13">
        <f>B119+F119</f>
        <v>27.900549999999999</v>
      </c>
      <c r="I119" s="13">
        <f>C119+G119</f>
        <v>29.933899999999998</v>
      </c>
      <c r="J119" s="10">
        <f t="shared" si="6"/>
        <v>1.0728784916426379</v>
      </c>
      <c r="K119" s="10">
        <f t="shared" si="7"/>
        <v>1.0745448366684716</v>
      </c>
      <c r="L119" s="13">
        <f t="shared" si="8"/>
        <v>29.982242969978898</v>
      </c>
      <c r="M119" s="13">
        <f t="shared" si="9"/>
        <v>29.933899999999998</v>
      </c>
      <c r="N119" s="13">
        <f>M119-L119</f>
        <v>-4.8342969978900641E-2</v>
      </c>
      <c r="O119" s="2">
        <f>N119/L119</f>
        <v>-1.612386705934785E-3</v>
      </c>
    </row>
    <row r="120" spans="1:15" x14ac:dyDescent="0.25">
      <c r="A120" s="1">
        <v>46197</v>
      </c>
      <c r="B120" s="6">
        <v>27.18</v>
      </c>
      <c r="C120" s="6">
        <v>29.19</v>
      </c>
      <c r="F120" s="13">
        <f>F119+D120</f>
        <v>0.74055000000000004</v>
      </c>
      <c r="G120" s="13">
        <f t="shared" si="5"/>
        <v>0.78389999999999993</v>
      </c>
      <c r="H120" s="13">
        <f>B120+F120</f>
        <v>27.920549999999999</v>
      </c>
      <c r="I120" s="13">
        <f>C120+G120</f>
        <v>29.9739</v>
      </c>
      <c r="J120" s="10">
        <f t="shared" si="6"/>
        <v>1.0735426057151454</v>
      </c>
      <c r="K120" s="10">
        <f t="shared" si="7"/>
        <v>1.0744447369470105</v>
      </c>
      <c r="L120" s="13">
        <f t="shared" si="8"/>
        <v>30.001882839443891</v>
      </c>
      <c r="M120" s="13">
        <f t="shared" si="9"/>
        <v>29.9739</v>
      </c>
      <c r="N120" s="13">
        <f>M120-L120</f>
        <v>-2.7982839443890128E-2</v>
      </c>
      <c r="O120" s="2">
        <f>N120/L120</f>
        <v>-9.3270277714372989E-4</v>
      </c>
    </row>
    <row r="121" spans="1:15" x14ac:dyDescent="0.25">
      <c r="A121" s="1">
        <v>46198</v>
      </c>
      <c r="B121" s="6">
        <v>27.22</v>
      </c>
      <c r="C121" s="6">
        <v>29.24</v>
      </c>
      <c r="F121" s="13">
        <f>F120+D121</f>
        <v>0.74055000000000004</v>
      </c>
      <c r="G121" s="13">
        <f t="shared" si="5"/>
        <v>0.78389999999999993</v>
      </c>
      <c r="H121" s="13">
        <f>B121+F121</f>
        <v>27.960549999999998</v>
      </c>
      <c r="I121" s="13">
        <f>C121+G121</f>
        <v>30.023899999999998</v>
      </c>
      <c r="J121" s="10">
        <f t="shared" si="6"/>
        <v>1.0737950433736103</v>
      </c>
      <c r="K121" s="10">
        <f t="shared" si="7"/>
        <v>1.0743780583067859</v>
      </c>
      <c r="L121" s="13">
        <f t="shared" si="8"/>
        <v>30.042065789643733</v>
      </c>
      <c r="M121" s="13">
        <f t="shared" si="9"/>
        <v>30.023899999999998</v>
      </c>
      <c r="N121" s="13">
        <f>M121-L121</f>
        <v>-1.8165789643735053E-2</v>
      </c>
      <c r="O121" s="2">
        <f>N121/L121</f>
        <v>-6.0467844558137094E-4</v>
      </c>
    </row>
    <row r="122" spans="1:15" x14ac:dyDescent="0.25">
      <c r="A122" s="1">
        <v>46199</v>
      </c>
      <c r="B122" s="6">
        <v>27.19</v>
      </c>
      <c r="C122" s="6">
        <v>29.22</v>
      </c>
      <c r="F122" s="13">
        <f>F121+D122</f>
        <v>0.74055000000000004</v>
      </c>
      <c r="G122" s="13">
        <f t="shared" si="5"/>
        <v>0.78389999999999993</v>
      </c>
      <c r="H122" s="13">
        <f>B122+F122</f>
        <v>27.93055</v>
      </c>
      <c r="I122" s="13">
        <f>C122+G122</f>
        <v>30.003899999999998</v>
      </c>
      <c r="J122" s="10">
        <f t="shared" si="6"/>
        <v>1.0742323369930058</v>
      </c>
      <c r="K122" s="10">
        <f t="shared" si="7"/>
        <v>1.0743553620439239</v>
      </c>
      <c r="L122" s="13">
        <f t="shared" si="8"/>
        <v>30.0079700764406</v>
      </c>
      <c r="M122" s="13">
        <f t="shared" si="9"/>
        <v>30.003899999999998</v>
      </c>
      <c r="N122" s="13">
        <f>M122-L122</f>
        <v>-4.0700764406018664E-3</v>
      </c>
      <c r="O122" s="2">
        <f>N122/L122</f>
        <v>-1.3563318112601368E-4</v>
      </c>
    </row>
    <row r="123" spans="1:15" x14ac:dyDescent="0.25">
      <c r="A123" s="1">
        <v>46202</v>
      </c>
      <c r="B123" s="6">
        <v>27.23</v>
      </c>
      <c r="C123" s="6">
        <v>29.25</v>
      </c>
      <c r="F123" s="13">
        <f>F122+D123</f>
        <v>0.74055000000000004</v>
      </c>
      <c r="G123" s="13">
        <f t="shared" si="5"/>
        <v>0.78389999999999993</v>
      </c>
      <c r="H123" s="13">
        <f>B123+F123</f>
        <v>27.970549999999999</v>
      </c>
      <c r="I123" s="13">
        <f>C123+G123</f>
        <v>30.033899999999999</v>
      </c>
      <c r="J123" s="10">
        <f t="shared" si="6"/>
        <v>1.0737686602515861</v>
      </c>
      <c r="K123" s="10">
        <f t="shared" si="7"/>
        <v>1.074321575153137</v>
      </c>
      <c r="L123" s="13">
        <f t="shared" si="8"/>
        <v>30.050310371817677</v>
      </c>
      <c r="M123" s="13">
        <f t="shared" si="9"/>
        <v>30.033899999999999</v>
      </c>
      <c r="N123" s="13">
        <f>M123-L123</f>
        <v>-1.6410371817677571E-2</v>
      </c>
      <c r="O123" s="2">
        <f>N123/L123</f>
        <v>-5.4609658318430687E-4</v>
      </c>
    </row>
    <row r="124" spans="1:15" x14ac:dyDescent="0.25">
      <c r="A124" s="1">
        <v>46203</v>
      </c>
      <c r="B124" s="6">
        <v>27.24</v>
      </c>
      <c r="C124" s="6">
        <v>29.24</v>
      </c>
      <c r="F124" s="13">
        <f>F123+D124</f>
        <v>0.74055000000000004</v>
      </c>
      <c r="G124" s="13">
        <f t="shared" si="5"/>
        <v>0.78389999999999993</v>
      </c>
      <c r="H124" s="13">
        <f>B124+F124</f>
        <v>27.980549999999997</v>
      </c>
      <c r="I124" s="13">
        <f>C124+G124</f>
        <v>30.023899999999998</v>
      </c>
      <c r="J124" s="10">
        <f t="shared" si="6"/>
        <v>1.0730275137550906</v>
      </c>
      <c r="K124" s="10">
        <f t="shared" si="7"/>
        <v>1.0742592914640972</v>
      </c>
      <c r="L124" s="13">
        <f t="shared" si="8"/>
        <v>30.060108549651105</v>
      </c>
      <c r="M124" s="13">
        <f t="shared" si="9"/>
        <v>30.023899999999998</v>
      </c>
      <c r="N124" s="13">
        <f>M124-L124</f>
        <v>-3.6208549651107091E-2</v>
      </c>
      <c r="O124" s="2">
        <f>N124/L124</f>
        <v>-1.2045382201897388E-3</v>
      </c>
    </row>
    <row r="125" spans="1:15" x14ac:dyDescent="0.25">
      <c r="A125" s="1">
        <v>46204</v>
      </c>
      <c r="B125" s="6">
        <v>27.12</v>
      </c>
      <c r="C125" s="6">
        <v>29.11</v>
      </c>
      <c r="D125" s="13">
        <v>0.14105000000000001</v>
      </c>
      <c r="E125" s="13">
        <v>0.17100000000000001</v>
      </c>
      <c r="F125" s="13">
        <f>F124+D125</f>
        <v>0.88160000000000005</v>
      </c>
      <c r="G125" s="13">
        <f t="shared" si="5"/>
        <v>0.95489999999999997</v>
      </c>
      <c r="H125" s="13">
        <f>B125+F125</f>
        <v>28.0016</v>
      </c>
      <c r="I125" s="13">
        <f>C125+G125</f>
        <v>30.064899999999998</v>
      </c>
      <c r="J125" s="10">
        <f t="shared" si="6"/>
        <v>1.0736850751385634</v>
      </c>
      <c r="K125" s="10">
        <f t="shared" si="7"/>
        <v>1.0741758912328936</v>
      </c>
      <c r="L125" s="13">
        <f t="shared" si="8"/>
        <v>30.080978975861061</v>
      </c>
      <c r="M125" s="13">
        <f t="shared" si="9"/>
        <v>30.064899999999998</v>
      </c>
      <c r="N125" s="13">
        <f>M125-L125</f>
        <v>-1.6078975861063327E-2</v>
      </c>
      <c r="O125" s="2">
        <f>N125/L125</f>
        <v>-5.3452302446559824E-4</v>
      </c>
    </row>
    <row r="126" spans="1:15" x14ac:dyDescent="0.25">
      <c r="A126" s="1">
        <v>46205</v>
      </c>
      <c r="B126" s="6">
        <v>27.17</v>
      </c>
      <c r="C126" s="6">
        <v>29.16</v>
      </c>
      <c r="F126" s="13">
        <f>F125+D126</f>
        <v>0.88160000000000005</v>
      </c>
      <c r="G126" s="13">
        <f t="shared" si="5"/>
        <v>0.95489999999999997</v>
      </c>
      <c r="H126" s="13">
        <f>B126+F126</f>
        <v>28.051600000000001</v>
      </c>
      <c r="I126" s="13">
        <f>C126+G126</f>
        <v>30.114899999999999</v>
      </c>
      <c r="J126" s="10">
        <f t="shared" si="6"/>
        <v>1.0735537366852514</v>
      </c>
      <c r="K126" s="10">
        <f t="shared" si="7"/>
        <v>1.074077769145616</v>
      </c>
      <c r="L126" s="13">
        <f t="shared" si="8"/>
        <v>30.132352430508639</v>
      </c>
      <c r="M126" s="13">
        <f t="shared" si="9"/>
        <v>30.114899999999999</v>
      </c>
      <c r="N126" s="13">
        <f>M126-L126</f>
        <v>-1.7452430508640759E-2</v>
      </c>
      <c r="O126" s="2">
        <f>N126/L126</f>
        <v>-5.7919243274781249E-4</v>
      </c>
    </row>
    <row r="127" spans="1:15" x14ac:dyDescent="0.25">
      <c r="A127" s="1">
        <v>46209</v>
      </c>
      <c r="B127" s="6">
        <v>27.21</v>
      </c>
      <c r="C127" s="6">
        <v>29.18</v>
      </c>
      <c r="F127" s="13">
        <f>F126+D127</f>
        <v>0.88160000000000005</v>
      </c>
      <c r="G127" s="13">
        <f t="shared" si="5"/>
        <v>0.95489999999999997</v>
      </c>
      <c r="H127" s="13">
        <f>B127+F127</f>
        <v>28.0916</v>
      </c>
      <c r="I127" s="13">
        <f>C127+G127</f>
        <v>30.134899999999998</v>
      </c>
      <c r="J127" s="10">
        <f t="shared" si="6"/>
        <v>1.0727370459496788</v>
      </c>
      <c r="K127" s="10">
        <f t="shared" si="7"/>
        <v>1.0739276060616976</v>
      </c>
      <c r="L127" s="13">
        <f t="shared" si="8"/>
        <v>30.172563059730987</v>
      </c>
      <c r="M127" s="13">
        <f t="shared" si="9"/>
        <v>30.134899999999998</v>
      </c>
      <c r="N127" s="13">
        <f>M127-L127</f>
        <v>-3.766305973098838E-2</v>
      </c>
      <c r="O127" s="2">
        <f>N127/L127</f>
        <v>-1.2482552329554789E-3</v>
      </c>
    </row>
    <row r="128" spans="1:15" x14ac:dyDescent="0.25">
      <c r="A128" s="1">
        <v>46210</v>
      </c>
      <c r="B128" s="6">
        <v>27.15</v>
      </c>
      <c r="C128" s="6">
        <v>29.14</v>
      </c>
      <c r="F128" s="13">
        <f>F127+D128</f>
        <v>0.88160000000000005</v>
      </c>
      <c r="G128" s="13">
        <f t="shared" si="5"/>
        <v>0.95489999999999997</v>
      </c>
      <c r="H128" s="13">
        <f>B128+F128</f>
        <v>28.031599999999997</v>
      </c>
      <c r="I128" s="13">
        <f>C128+G128</f>
        <v>30.094899999999999</v>
      </c>
      <c r="J128" s="10">
        <f t="shared" si="6"/>
        <v>1.0736062158421211</v>
      </c>
      <c r="K128" s="10">
        <f t="shared" si="7"/>
        <v>1.0738198091252209</v>
      </c>
      <c r="L128" s="13">
        <f t="shared" si="8"/>
        <v>30.103909082079078</v>
      </c>
      <c r="M128" s="13">
        <f t="shared" si="9"/>
        <v>30.094899999999999</v>
      </c>
      <c r="N128" s="13">
        <f>M128-L128</f>
        <v>-9.0090820790784676E-3</v>
      </c>
      <c r="O128" s="2">
        <f>N128/L128</f>
        <v>-2.9926618681032336E-4</v>
      </c>
    </row>
    <row r="129" spans="1:15" x14ac:dyDescent="0.25">
      <c r="A129" s="1">
        <v>46211</v>
      </c>
      <c r="B129" s="6">
        <v>27.1</v>
      </c>
      <c r="C129" s="6">
        <v>29.05</v>
      </c>
      <c r="F129" s="13">
        <f>F128+D129</f>
        <v>0.88160000000000005</v>
      </c>
      <c r="G129" s="13">
        <f t="shared" si="5"/>
        <v>0.95489999999999997</v>
      </c>
      <c r="H129" s="13">
        <f>B129+F129</f>
        <v>27.9816</v>
      </c>
      <c r="I129" s="13">
        <f>C129+G129</f>
        <v>30.004899999999999</v>
      </c>
      <c r="J129" s="10">
        <f t="shared" si="6"/>
        <v>1.0723082311233096</v>
      </c>
      <c r="K129" s="10">
        <f t="shared" si="7"/>
        <v>1.073667935763003</v>
      </c>
      <c r="L129" s="13">
        <f t="shared" si="8"/>
        <v>30.047196371018281</v>
      </c>
      <c r="M129" s="13">
        <f t="shared" si="9"/>
        <v>30.004899999999999</v>
      </c>
      <c r="N129" s="13">
        <f>M129-L129</f>
        <v>-4.229637101828132E-2</v>
      </c>
      <c r="O129" s="2">
        <f>N129/L129</f>
        <v>-1.4076644787757255E-3</v>
      </c>
    </row>
    <row r="130" spans="1:15" x14ac:dyDescent="0.25">
      <c r="A130" s="1">
        <v>46212</v>
      </c>
      <c r="B130" s="6">
        <v>27.12</v>
      </c>
      <c r="C130" s="6">
        <v>29.09</v>
      </c>
      <c r="F130" s="13">
        <f>F129+D130</f>
        <v>0.88160000000000005</v>
      </c>
      <c r="G130" s="13">
        <f t="shared" si="5"/>
        <v>0.95489999999999997</v>
      </c>
      <c r="H130" s="13">
        <f>B130+F130</f>
        <v>28.0016</v>
      </c>
      <c r="I130" s="13">
        <f>C130+G130</f>
        <v>30.044899999999998</v>
      </c>
      <c r="J130" s="10">
        <f t="shared" si="6"/>
        <v>1.0729708302382721</v>
      </c>
      <c r="K130" s="10">
        <f t="shared" si="7"/>
        <v>1.0735753931030039</v>
      </c>
      <c r="L130" s="13">
        <f t="shared" si="8"/>
        <v>30.064420070061306</v>
      </c>
      <c r="M130" s="13">
        <f t="shared" si="9"/>
        <v>30.044899999999998</v>
      </c>
      <c r="N130" s="13">
        <f>M130-L130</f>
        <v>-1.9520070061307848E-2</v>
      </c>
      <c r="O130" s="2">
        <f>N130/L130</f>
        <v>-6.4927479112581615E-4</v>
      </c>
    </row>
    <row r="131" spans="1:15" x14ac:dyDescent="0.25">
      <c r="A131" s="1">
        <v>46213</v>
      </c>
      <c r="B131" s="6">
        <v>27.09</v>
      </c>
      <c r="C131" s="6">
        <v>29.03</v>
      </c>
      <c r="F131" s="13">
        <f>F130+D131</f>
        <v>0.88160000000000005</v>
      </c>
      <c r="G131" s="13">
        <f t="shared" si="5"/>
        <v>0.95489999999999997</v>
      </c>
      <c r="H131" s="13">
        <f>B131+F131</f>
        <v>27.971599999999999</v>
      </c>
      <c r="I131" s="13">
        <f>C131+G131</f>
        <v>29.9849</v>
      </c>
      <c r="J131" s="10">
        <f t="shared" si="6"/>
        <v>1.0719765762416165</v>
      </c>
      <c r="K131" s="10">
        <f t="shared" si="7"/>
        <v>1.0734223060104067</v>
      </c>
      <c r="L131" s="13">
        <f t="shared" si="8"/>
        <v>30.02962146571998</v>
      </c>
      <c r="M131" s="13">
        <f t="shared" si="9"/>
        <v>29.9849</v>
      </c>
      <c r="N131" s="13">
        <f>M131-L131</f>
        <v>-4.4721465719980813E-2</v>
      </c>
      <c r="O131" s="2">
        <f>N131/L131</f>
        <v>-1.4892450699397649E-3</v>
      </c>
    </row>
    <row r="132" spans="1:15" x14ac:dyDescent="0.25">
      <c r="A132" s="1">
        <v>46216</v>
      </c>
      <c r="B132" s="6">
        <v>27</v>
      </c>
      <c r="C132" s="6">
        <v>28.96</v>
      </c>
      <c r="F132" s="13">
        <f>F131+D132</f>
        <v>0.88160000000000005</v>
      </c>
      <c r="G132" s="13">
        <f t="shared" ref="G132:G175" si="10">G131+E132</f>
        <v>0.95489999999999997</v>
      </c>
      <c r="H132" s="13">
        <f>B132+F132</f>
        <v>27.881599999999999</v>
      </c>
      <c r="I132" s="13">
        <f>C132+G132</f>
        <v>29.914899999999999</v>
      </c>
      <c r="J132" s="10">
        <f t="shared" ref="J132:J175" si="11">I132/H132</f>
        <v>1.0729262309193159</v>
      </c>
      <c r="K132" s="10">
        <f t="shared" si="7"/>
        <v>1.0733423253011871</v>
      </c>
      <c r="L132" s="13">
        <f t="shared" si="8"/>
        <v>29.928731367259754</v>
      </c>
      <c r="M132" s="13">
        <f t="shared" si="9"/>
        <v>29.914899999999999</v>
      </c>
      <c r="N132" s="13">
        <f>M132-L132</f>
        <v>-1.3831367259754757E-2</v>
      </c>
      <c r="O132" s="2">
        <f>N132/L132</f>
        <v>-4.6214345305947203E-4</v>
      </c>
    </row>
    <row r="133" spans="1:15" x14ac:dyDescent="0.25">
      <c r="A133" s="1">
        <v>46217</v>
      </c>
      <c r="B133" s="6">
        <v>27.07</v>
      </c>
      <c r="C133" s="6">
        <v>29.03</v>
      </c>
      <c r="F133" s="13">
        <f>F132+D133</f>
        <v>0.88160000000000005</v>
      </c>
      <c r="G133" s="13">
        <f t="shared" si="10"/>
        <v>0.95489999999999997</v>
      </c>
      <c r="H133" s="13">
        <f>B133+F133</f>
        <v>27.951599999999999</v>
      </c>
      <c r="I133" s="13">
        <f>C133+G133</f>
        <v>29.9849</v>
      </c>
      <c r="J133" s="10">
        <f t="shared" si="11"/>
        <v>1.072743599650825</v>
      </c>
      <c r="K133" s="10">
        <f t="shared" si="7"/>
        <v>1.0732545519500714</v>
      </c>
      <c r="L133" s="13">
        <f t="shared" si="8"/>
        <v>30.001635339888661</v>
      </c>
      <c r="M133" s="13">
        <f t="shared" si="9"/>
        <v>29.9849</v>
      </c>
      <c r="N133" s="13">
        <f>M133-L133</f>
        <v>-1.6735339888661827E-2</v>
      </c>
      <c r="O133" s="2">
        <f>N133/L133</f>
        <v>-5.5781425575863065E-4</v>
      </c>
    </row>
    <row r="134" spans="1:15" x14ac:dyDescent="0.25">
      <c r="A134" s="1">
        <v>46218</v>
      </c>
      <c r="B134" s="6">
        <v>27.14</v>
      </c>
      <c r="C134" s="6">
        <v>29.07</v>
      </c>
      <c r="F134" s="13">
        <f>F133+D134</f>
        <v>0.88160000000000005</v>
      </c>
      <c r="G134" s="13">
        <f t="shared" si="10"/>
        <v>0.95489999999999997</v>
      </c>
      <c r="H134" s="13">
        <f>B134+F134</f>
        <v>28.021599999999999</v>
      </c>
      <c r="I134" s="13">
        <f>C134+G134</f>
        <v>30.024899999999999</v>
      </c>
      <c r="J134" s="10">
        <f t="shared" si="11"/>
        <v>1.0714912781568504</v>
      </c>
      <c r="K134" s="10">
        <f t="shared" si="7"/>
        <v>1.0731121758907924</v>
      </c>
      <c r="L134" s="13">
        <f t="shared" si="8"/>
        <v>30.074309752924119</v>
      </c>
      <c r="M134" s="13">
        <f t="shared" si="9"/>
        <v>30.024899999999999</v>
      </c>
      <c r="N134" s="13">
        <f>M134-L134</f>
        <v>-4.9409752924120198E-2</v>
      </c>
      <c r="O134" s="2">
        <f>N134/L134</f>
        <v>-1.6429222592321041E-3</v>
      </c>
    </row>
    <row r="135" spans="1:15" x14ac:dyDescent="0.25">
      <c r="A135" s="1">
        <v>46219</v>
      </c>
      <c r="B135" s="6">
        <v>27.12</v>
      </c>
      <c r="C135" s="6">
        <v>29.06</v>
      </c>
      <c r="F135" s="13">
        <f>F134+D135</f>
        <v>0.88160000000000005</v>
      </c>
      <c r="G135" s="13">
        <f t="shared" si="10"/>
        <v>0.95489999999999997</v>
      </c>
      <c r="H135" s="13">
        <f>B135+F135</f>
        <v>28.0016</v>
      </c>
      <c r="I135" s="13">
        <f>C135+G135</f>
        <v>30.014899999999997</v>
      </c>
      <c r="J135" s="10">
        <f t="shared" si="11"/>
        <v>1.0718994628878349</v>
      </c>
      <c r="K135" s="10">
        <f t="shared" si="7"/>
        <v>1.0730287012797657</v>
      </c>
      <c r="L135" s="13">
        <f t="shared" si="8"/>
        <v>30.048857904423613</v>
      </c>
      <c r="M135" s="13">
        <f t="shared" si="9"/>
        <v>30.014899999999997</v>
      </c>
      <c r="N135" s="13">
        <f>M135-L135</f>
        <v>-3.3957904423616014E-2</v>
      </c>
      <c r="O135" s="2">
        <f>N135/L135</f>
        <v>-1.1300896869899648E-3</v>
      </c>
    </row>
    <row r="136" spans="1:15" x14ac:dyDescent="0.25">
      <c r="A136" s="1">
        <v>46220</v>
      </c>
      <c r="B136" s="6">
        <v>27.12</v>
      </c>
      <c r="C136" s="6">
        <v>29.05</v>
      </c>
      <c r="F136" s="13">
        <f>F135+D136</f>
        <v>0.88160000000000005</v>
      </c>
      <c r="G136" s="13">
        <f t="shared" si="10"/>
        <v>0.95489999999999997</v>
      </c>
      <c r="H136" s="13">
        <f>B136+F136</f>
        <v>28.0016</v>
      </c>
      <c r="I136" s="13">
        <f>C136+G136</f>
        <v>30.004899999999999</v>
      </c>
      <c r="J136" s="10">
        <f t="shared" si="11"/>
        <v>1.0715423404376891</v>
      </c>
      <c r="K136" s="10">
        <f t="shared" si="7"/>
        <v>1.0729540405889253</v>
      </c>
      <c r="L136" s="13">
        <f t="shared" si="8"/>
        <v>30.046520481755486</v>
      </c>
      <c r="M136" s="13">
        <f t="shared" si="9"/>
        <v>30.004899999999999</v>
      </c>
      <c r="N136" s="13">
        <f>M136-L136</f>
        <v>-4.1620481755487049E-2</v>
      </c>
      <c r="O136" s="2">
        <f>N136/L136</f>
        <v>-1.3852013839925118E-3</v>
      </c>
    </row>
    <row r="137" spans="1:15" x14ac:dyDescent="0.25">
      <c r="A137" s="1">
        <v>46223</v>
      </c>
      <c r="B137" s="6">
        <v>27.07</v>
      </c>
      <c r="C137" s="6">
        <v>29.03</v>
      </c>
      <c r="F137" s="13">
        <f>F136+D137</f>
        <v>0.88160000000000005</v>
      </c>
      <c r="G137" s="13">
        <f t="shared" si="10"/>
        <v>0.95489999999999997</v>
      </c>
      <c r="H137" s="13">
        <f>B137+F137</f>
        <v>27.951599999999999</v>
      </c>
      <c r="I137" s="13">
        <f>C137+G137</f>
        <v>29.9849</v>
      </c>
      <c r="J137" s="10">
        <f t="shared" si="11"/>
        <v>1.072743599650825</v>
      </c>
      <c r="K137" s="10">
        <f t="shared" si="7"/>
        <v>1.0729512099021454</v>
      </c>
      <c r="L137" s="13">
        <f t="shared" si="8"/>
        <v>29.990782160925402</v>
      </c>
      <c r="M137" s="13">
        <f t="shared" si="9"/>
        <v>29.9849</v>
      </c>
      <c r="N137" s="13">
        <f>M137-L137</f>
        <v>-5.882160925402502E-3</v>
      </c>
      <c r="O137" s="2">
        <f>N137/L137</f>
        <v>-1.9613229471108267E-4</v>
      </c>
    </row>
    <row r="138" spans="1:15" x14ac:dyDescent="0.25">
      <c r="A138" s="1">
        <v>46224</v>
      </c>
      <c r="B138" s="6">
        <v>27.04</v>
      </c>
      <c r="C138" s="6">
        <v>28.99</v>
      </c>
      <c r="F138" s="13">
        <f>F137+D138</f>
        <v>0.88160000000000005</v>
      </c>
      <c r="G138" s="13">
        <f t="shared" si="10"/>
        <v>0.95489999999999997</v>
      </c>
      <c r="H138" s="13">
        <f>B138+F138</f>
        <v>27.921599999999998</v>
      </c>
      <c r="I138" s="13">
        <f>C138+G138</f>
        <v>29.944899999999997</v>
      </c>
      <c r="J138" s="10">
        <f t="shared" si="11"/>
        <v>1.0724636124004354</v>
      </c>
      <c r="K138" s="10">
        <f t="shared" si="7"/>
        <v>1.0728946243526836</v>
      </c>
      <c r="L138" s="13">
        <f t="shared" si="8"/>
        <v>29.958514502403741</v>
      </c>
      <c r="M138" s="13">
        <f t="shared" si="9"/>
        <v>29.944899999999997</v>
      </c>
      <c r="N138" s="13">
        <f>M138-L138</f>
        <v>-1.3614502403743955E-2</v>
      </c>
      <c r="O138" s="2">
        <f>N138/L138</f>
        <v>-4.5444517626705379E-4</v>
      </c>
    </row>
    <row r="139" spans="1:15" x14ac:dyDescent="0.25">
      <c r="A139" s="1">
        <v>46225</v>
      </c>
      <c r="B139" s="6">
        <v>26.98</v>
      </c>
      <c r="C139" s="6">
        <v>28.94</v>
      </c>
      <c r="F139" s="13">
        <f>F138+D139</f>
        <v>0.88160000000000005</v>
      </c>
      <c r="G139" s="13">
        <f t="shared" si="10"/>
        <v>0.95489999999999997</v>
      </c>
      <c r="H139" s="13">
        <f>B139+F139</f>
        <v>27.861599999999999</v>
      </c>
      <c r="I139" s="13">
        <f>C139+G139</f>
        <v>29.8949</v>
      </c>
      <c r="J139" s="10">
        <f t="shared" si="11"/>
        <v>1.0729785798374825</v>
      </c>
      <c r="K139" s="10">
        <f t="shared" si="7"/>
        <v>1.0728996287624255</v>
      </c>
      <c r="L139" s="13">
        <f t="shared" si="8"/>
        <v>29.892560865864727</v>
      </c>
      <c r="M139" s="13">
        <f t="shared" si="9"/>
        <v>29.8949</v>
      </c>
      <c r="N139" s="13">
        <f>M139-L139</f>
        <v>2.3391341352727579E-3</v>
      </c>
      <c r="O139" s="2">
        <f>N139/L139</f>
        <v>7.8251379858989932E-5</v>
      </c>
    </row>
    <row r="140" spans="1:15" x14ac:dyDescent="0.25">
      <c r="A140" s="1">
        <v>46226</v>
      </c>
      <c r="B140" s="6">
        <v>26.86</v>
      </c>
      <c r="C140" s="6">
        <v>28.82</v>
      </c>
      <c r="F140" s="13">
        <f>F139+D140</f>
        <v>0.88160000000000005</v>
      </c>
      <c r="G140" s="13">
        <f t="shared" si="10"/>
        <v>0.95489999999999997</v>
      </c>
      <c r="H140" s="13">
        <f>B140+F140</f>
        <v>27.741599999999998</v>
      </c>
      <c r="I140" s="13">
        <f>C140+G140</f>
        <v>29.774899999999999</v>
      </c>
      <c r="J140" s="10">
        <f t="shared" si="11"/>
        <v>1.0732942584421952</v>
      </c>
      <c r="K140" s="10">
        <f t="shared" si="7"/>
        <v>1.072887211398778</v>
      </c>
      <c r="L140" s="13">
        <f t="shared" si="8"/>
        <v>29.763952341275701</v>
      </c>
      <c r="M140" s="13">
        <f t="shared" si="9"/>
        <v>29.774899999999999</v>
      </c>
      <c r="N140" s="13">
        <f>M140-L140</f>
        <v>1.0947658724298037E-2</v>
      </c>
      <c r="O140" s="2">
        <f>N140/L140</f>
        <v>3.678160278840446E-4</v>
      </c>
    </row>
    <row r="141" spans="1:15" x14ac:dyDescent="0.25">
      <c r="A141" s="1">
        <v>46227</v>
      </c>
      <c r="B141" s="6">
        <v>26.87</v>
      </c>
      <c r="C141" s="6">
        <v>28.82</v>
      </c>
      <c r="F141" s="13">
        <f>F140+D141</f>
        <v>0.88160000000000005</v>
      </c>
      <c r="G141" s="13">
        <f t="shared" si="10"/>
        <v>0.95489999999999997</v>
      </c>
      <c r="H141" s="13">
        <f>B141+F141</f>
        <v>27.7516</v>
      </c>
      <c r="I141" s="13">
        <f>C141+G141</f>
        <v>29.774899999999999</v>
      </c>
      <c r="J141" s="10">
        <f t="shared" si="11"/>
        <v>1.0729075080355728</v>
      </c>
      <c r="K141" s="10">
        <f t="shared" si="7"/>
        <v>1.0728428346318764</v>
      </c>
      <c r="L141" s="13">
        <f t="shared" si="8"/>
        <v>29.774336735854327</v>
      </c>
      <c r="M141" s="13">
        <f t="shared" si="9"/>
        <v>29.774899999999999</v>
      </c>
      <c r="N141" s="13">
        <f>M141-L141</f>
        <v>5.6326414567209326E-4</v>
      </c>
      <c r="O141" s="2">
        <f>N141/L141</f>
        <v>1.891777306977956E-5</v>
      </c>
    </row>
    <row r="142" spans="1:15" x14ac:dyDescent="0.25">
      <c r="A142" s="1">
        <v>46230</v>
      </c>
      <c r="B142" s="6">
        <v>26.89</v>
      </c>
      <c r="C142" s="6">
        <v>28.89</v>
      </c>
      <c r="F142" s="13">
        <f>F141+D142</f>
        <v>0.88160000000000005</v>
      </c>
      <c r="G142" s="13">
        <f t="shared" si="10"/>
        <v>0.95489999999999997</v>
      </c>
      <c r="H142" s="13">
        <f>B142+F142</f>
        <v>27.771599999999999</v>
      </c>
      <c r="I142" s="13">
        <f>C142+G142</f>
        <v>29.844899999999999</v>
      </c>
      <c r="J142" s="10">
        <f t="shared" si="11"/>
        <v>1.0746554033617077</v>
      </c>
      <c r="K142" s="10">
        <f t="shared" si="7"/>
        <v>1.0728639879503112</v>
      </c>
      <c r="L142" s="13">
        <f t="shared" si="8"/>
        <v>29.794562066262618</v>
      </c>
      <c r="M142" s="13">
        <f t="shared" si="9"/>
        <v>29.844899999999999</v>
      </c>
      <c r="N142" s="13">
        <f>M142-L142</f>
        <v>5.0337933737381491E-2</v>
      </c>
      <c r="O142" s="2">
        <f>N142/L142</f>
        <v>1.6895007090700226E-3</v>
      </c>
    </row>
    <row r="143" spans="1:15" x14ac:dyDescent="0.25">
      <c r="A143" s="1">
        <v>46231</v>
      </c>
      <c r="B143" s="6">
        <v>26.95</v>
      </c>
      <c r="C143" s="6">
        <v>28.92</v>
      </c>
      <c r="F143" s="13">
        <f>F142+D143</f>
        <v>0.88160000000000005</v>
      </c>
      <c r="G143" s="13">
        <f t="shared" si="10"/>
        <v>0.95489999999999997</v>
      </c>
      <c r="H143" s="13">
        <f>B143+F143</f>
        <v>27.831599999999998</v>
      </c>
      <c r="I143" s="13">
        <f>C143+G143</f>
        <v>29.8749</v>
      </c>
      <c r="J143" s="10">
        <f t="shared" si="11"/>
        <v>1.0734165480964084</v>
      </c>
      <c r="K143" s="10">
        <f t="shared" si="7"/>
        <v>1.0728463823425523</v>
      </c>
      <c r="L143" s="13">
        <f t="shared" si="8"/>
        <v>29.859521367037882</v>
      </c>
      <c r="M143" s="13">
        <f t="shared" si="9"/>
        <v>29.8749</v>
      </c>
      <c r="N143" s="13">
        <f>M143-L143</f>
        <v>1.5378632962118388E-2</v>
      </c>
      <c r="O143" s="2">
        <f>N143/L143</f>
        <v>5.1503280220341916E-4</v>
      </c>
    </row>
    <row r="144" spans="1:15" x14ac:dyDescent="0.25">
      <c r="A144" s="1">
        <v>46232</v>
      </c>
      <c r="B144" s="6">
        <v>26.86</v>
      </c>
      <c r="C144" s="6">
        <v>28.84</v>
      </c>
      <c r="F144" s="13">
        <f>F143+D144</f>
        <v>0.88160000000000005</v>
      </c>
      <c r="G144" s="13">
        <f t="shared" si="10"/>
        <v>0.95489999999999997</v>
      </c>
      <c r="H144" s="13">
        <f>B144+F144</f>
        <v>27.741599999999998</v>
      </c>
      <c r="I144" s="13">
        <f>C144+G144</f>
        <v>29.794899999999998</v>
      </c>
      <c r="J144" s="10">
        <f t="shared" si="11"/>
        <v>1.0740151973930847</v>
      </c>
      <c r="K144" s="10">
        <f t="shared" si="7"/>
        <v>1.0728957665244521</v>
      </c>
      <c r="L144" s="13">
        <f t="shared" si="8"/>
        <v>29.762475200394146</v>
      </c>
      <c r="M144" s="13">
        <f t="shared" si="9"/>
        <v>29.794899999999998</v>
      </c>
      <c r="N144" s="13">
        <f>M144-L144</f>
        <v>3.2424799605852428E-2</v>
      </c>
      <c r="O144" s="2">
        <f>N144/L144</f>
        <v>1.0894523855133871E-3</v>
      </c>
    </row>
    <row r="145" spans="1:15" x14ac:dyDescent="0.25">
      <c r="A145" s="1">
        <v>46233</v>
      </c>
      <c r="B145" s="6">
        <v>26.95</v>
      </c>
      <c r="C145" s="6">
        <v>28.93</v>
      </c>
      <c r="F145" s="13">
        <f>F144+D145</f>
        <v>0.88160000000000005</v>
      </c>
      <c r="G145" s="13">
        <f t="shared" si="10"/>
        <v>0.95489999999999997</v>
      </c>
      <c r="H145" s="13">
        <f>B145+F145</f>
        <v>27.831599999999998</v>
      </c>
      <c r="I145" s="13">
        <f>C145+G145</f>
        <v>29.884899999999998</v>
      </c>
      <c r="J145" s="10">
        <f t="shared" si="11"/>
        <v>1.0737758519093406</v>
      </c>
      <c r="K145" s="10">
        <f t="shared" si="7"/>
        <v>1.0729003053629906</v>
      </c>
      <c r="L145" s="13">
        <f t="shared" si="8"/>
        <v>29.86040581560194</v>
      </c>
      <c r="M145" s="13">
        <f t="shared" si="9"/>
        <v>29.884899999999998</v>
      </c>
      <c r="N145" s="13">
        <f>M145-L145</f>
        <v>2.4494184398058394E-2</v>
      </c>
      <c r="O145" s="2">
        <f>N145/L145</f>
        <v>8.2028973582335849E-4</v>
      </c>
    </row>
    <row r="146" spans="1:15" x14ac:dyDescent="0.25">
      <c r="A146" s="1">
        <v>46234</v>
      </c>
      <c r="B146" s="6">
        <v>26.92</v>
      </c>
      <c r="C146" s="6">
        <v>28.92</v>
      </c>
      <c r="F146" s="13">
        <f>F145+D146</f>
        <v>0.88160000000000005</v>
      </c>
      <c r="G146" s="13">
        <f t="shared" si="10"/>
        <v>0.95489999999999997</v>
      </c>
      <c r="H146" s="13">
        <f>B146+F146</f>
        <v>27.801600000000001</v>
      </c>
      <c r="I146" s="13">
        <f>C146+G146</f>
        <v>29.8749</v>
      </c>
      <c r="J146" s="10">
        <f t="shared" si="11"/>
        <v>1.0745748446132597</v>
      </c>
      <c r="K146" s="10">
        <f t="shared" si="7"/>
        <v>1.072951360759391</v>
      </c>
      <c r="L146" s="13">
        <f t="shared" si="8"/>
        <v>29.82834512957972</v>
      </c>
      <c r="M146" s="13">
        <f t="shared" si="9"/>
        <v>29.8749</v>
      </c>
      <c r="N146" s="13">
        <f>M146-L146</f>
        <v>4.6554870420280281E-2</v>
      </c>
      <c r="O146" s="2">
        <f>N146/L146</f>
        <v>1.5607594124996715E-3</v>
      </c>
    </row>
    <row r="147" spans="1:15" x14ac:dyDescent="0.25">
      <c r="A147" s="1">
        <v>46237</v>
      </c>
      <c r="B147" s="6">
        <v>26.87</v>
      </c>
      <c r="C147" s="6">
        <v>28.85</v>
      </c>
      <c r="D147" s="13">
        <v>0.14807000000000001</v>
      </c>
      <c r="E147" s="13">
        <v>0.16839999999999999</v>
      </c>
      <c r="F147" s="13">
        <f>F146+D147</f>
        <v>1.0296700000000001</v>
      </c>
      <c r="G147" s="13">
        <f t="shared" si="10"/>
        <v>1.1233</v>
      </c>
      <c r="H147" s="13">
        <f>B147+F147</f>
        <v>27.89967</v>
      </c>
      <c r="I147" s="13">
        <f>C147+G147</f>
        <v>29.973300000000002</v>
      </c>
      <c r="J147" s="10">
        <f t="shared" si="11"/>
        <v>1.0743245350213819</v>
      </c>
      <c r="K147" s="10">
        <f t="shared" si="7"/>
        <v>1.0730307352129764</v>
      </c>
      <c r="L147" s="13">
        <f t="shared" si="8"/>
        <v>29.93498889123796</v>
      </c>
      <c r="M147" s="13">
        <f t="shared" si="9"/>
        <v>29.973300000000002</v>
      </c>
      <c r="N147" s="13">
        <f>M147-L147</f>
        <v>3.8311108762041357E-2</v>
      </c>
      <c r="O147" s="2">
        <f>N147/L147</f>
        <v>1.2798103550743292E-3</v>
      </c>
    </row>
    <row r="148" spans="1:15" x14ac:dyDescent="0.25">
      <c r="A148" s="1">
        <v>46238</v>
      </c>
      <c r="B148" s="6">
        <v>26.98</v>
      </c>
      <c r="C148" s="6">
        <v>28.97</v>
      </c>
      <c r="F148" s="13">
        <f>F147+D148</f>
        <v>1.0296700000000001</v>
      </c>
      <c r="G148" s="13">
        <f t="shared" si="10"/>
        <v>1.1233</v>
      </c>
      <c r="H148" s="13">
        <f>B148+F148</f>
        <v>28.00967</v>
      </c>
      <c r="I148" s="13">
        <f>C148+G148</f>
        <v>30.093299999999999</v>
      </c>
      <c r="J148" s="10">
        <f t="shared" si="11"/>
        <v>1.0743896661403007</v>
      </c>
      <c r="K148" s="10">
        <f t="shared" si="7"/>
        <v>1.0730699077278856</v>
      </c>
      <c r="L148" s="13">
        <f t="shared" si="8"/>
        <v>30.055236793172849</v>
      </c>
      <c r="M148" s="13">
        <f t="shared" si="9"/>
        <v>30.093299999999999</v>
      </c>
      <c r="N148" s="13">
        <f>M148-L148</f>
        <v>3.8063206827150253E-2</v>
      </c>
      <c r="O148" s="2">
        <f>N148/L148</f>
        <v>1.2664417548623819E-3</v>
      </c>
    </row>
    <row r="149" spans="1:15" x14ac:dyDescent="0.25">
      <c r="A149" s="1">
        <v>46239</v>
      </c>
      <c r="B149" s="6">
        <v>26.98</v>
      </c>
      <c r="C149" s="6">
        <v>28.97</v>
      </c>
      <c r="F149" s="13">
        <f>F148+D149</f>
        <v>1.0296700000000001</v>
      </c>
      <c r="G149" s="13">
        <f t="shared" si="10"/>
        <v>1.1233</v>
      </c>
      <c r="H149" s="13">
        <f>B149+F149</f>
        <v>28.00967</v>
      </c>
      <c r="I149" s="13">
        <f>C149+G149</f>
        <v>30.093299999999999</v>
      </c>
      <c r="J149" s="10">
        <f t="shared" si="11"/>
        <v>1.0743896661403007</v>
      </c>
      <c r="K149" s="10">
        <f t="shared" si="7"/>
        <v>1.0731739794787349</v>
      </c>
      <c r="L149" s="13">
        <f t="shared" si="8"/>
        <v>30.056334002388525</v>
      </c>
      <c r="M149" s="13">
        <f t="shared" si="9"/>
        <v>30.093299999999999</v>
      </c>
      <c r="N149" s="13">
        <f>M149-L149</f>
        <v>3.6965997611474677E-2</v>
      </c>
      <c r="O149" s="2">
        <f>N149/L149</f>
        <v>1.2298904320313E-3</v>
      </c>
    </row>
    <row r="150" spans="1:15" x14ac:dyDescent="0.25">
      <c r="A150" s="1">
        <v>46240</v>
      </c>
      <c r="B150" s="6">
        <v>26.93</v>
      </c>
      <c r="C150" s="6">
        <v>28.95</v>
      </c>
      <c r="F150" s="13">
        <f>F149+D150</f>
        <v>1.0296700000000001</v>
      </c>
      <c r="G150" s="13">
        <f t="shared" si="10"/>
        <v>1.1233</v>
      </c>
      <c r="H150" s="13">
        <f>B150+F150</f>
        <v>27.959669999999999</v>
      </c>
      <c r="I150" s="13">
        <f>C150+G150</f>
        <v>30.0733</v>
      </c>
      <c r="J150" s="10">
        <f t="shared" si="11"/>
        <v>1.0755956704782281</v>
      </c>
      <c r="K150" s="10">
        <f t="shared" si="7"/>
        <v>1.073305221490733</v>
      </c>
      <c r="L150" s="13">
        <f t="shared" si="8"/>
        <v>30.0055903188122</v>
      </c>
      <c r="M150" s="13">
        <f t="shared" si="9"/>
        <v>30.0733</v>
      </c>
      <c r="N150" s="13">
        <f>M150-L150</f>
        <v>6.7709681187800186E-2</v>
      </c>
      <c r="O150" s="2">
        <f>N150/L150</f>
        <v>2.2565688749455852E-3</v>
      </c>
    </row>
    <row r="151" spans="1:15" x14ac:dyDescent="0.25">
      <c r="A151" s="1">
        <v>46241</v>
      </c>
      <c r="B151" s="6">
        <v>26.99</v>
      </c>
      <c r="C151" s="6">
        <v>29.02</v>
      </c>
      <c r="F151" s="13">
        <f>F150+D151</f>
        <v>1.0296700000000001</v>
      </c>
      <c r="G151" s="13">
        <f t="shared" si="10"/>
        <v>1.1233</v>
      </c>
      <c r="H151" s="13">
        <f>B151+F151</f>
        <v>28.019669999999998</v>
      </c>
      <c r="I151" s="13">
        <f>C151+G151</f>
        <v>30.1433</v>
      </c>
      <c r="J151" s="10">
        <f t="shared" si="11"/>
        <v>1.0757906856147843</v>
      </c>
      <c r="K151" s="10">
        <f t="shared" ref="K151:K175" si="12">AVERAGE(J132:J151)</f>
        <v>1.0734959269593916</v>
      </c>
      <c r="L151" s="13">
        <f t="shared" si="8"/>
        <v>30.073658115447245</v>
      </c>
      <c r="M151" s="13">
        <f t="shared" si="9"/>
        <v>30.1433</v>
      </c>
      <c r="N151" s="13">
        <f>M151-L151</f>
        <v>6.9641884552755329E-2</v>
      </c>
      <c r="O151" s="2">
        <f>N151/L151</f>
        <v>2.3157104561544505E-3</v>
      </c>
    </row>
    <row r="152" spans="1:15" x14ac:dyDescent="0.25">
      <c r="A152" s="1">
        <v>46244</v>
      </c>
      <c r="B152" s="6">
        <v>26.99</v>
      </c>
      <c r="C152" s="6">
        <v>28.96</v>
      </c>
      <c r="F152" s="13">
        <f>F151+D152</f>
        <v>1.0296700000000001</v>
      </c>
      <c r="G152" s="13">
        <f t="shared" si="10"/>
        <v>1.1233</v>
      </c>
      <c r="H152" s="13">
        <f>B152+F152</f>
        <v>28.019669999999998</v>
      </c>
      <c r="I152" s="13">
        <f>C152+G152</f>
        <v>30.083300000000001</v>
      </c>
      <c r="J152" s="10">
        <f t="shared" si="11"/>
        <v>1.0736493327722991</v>
      </c>
      <c r="K152" s="10">
        <f t="shared" si="12"/>
        <v>1.0735320820520404</v>
      </c>
      <c r="L152" s="13">
        <f t="shared" ref="L152:L175" si="13">K151*H152</f>
        <v>30.079001619746254</v>
      </c>
      <c r="M152" s="13">
        <f t="shared" ref="M152:M175" si="14">I152</f>
        <v>30.083300000000001</v>
      </c>
      <c r="N152" s="13">
        <f>M152-L152</f>
        <v>4.2983802537470694E-3</v>
      </c>
      <c r="O152" s="2">
        <f>N152/L152</f>
        <v>1.429030227826867E-4</v>
      </c>
    </row>
    <row r="153" spans="1:15" x14ac:dyDescent="0.25">
      <c r="A153" s="1">
        <v>46245</v>
      </c>
      <c r="B153" s="6">
        <v>27</v>
      </c>
      <c r="C153" s="6">
        <v>28.96</v>
      </c>
      <c r="F153" s="13">
        <f>F152+D153</f>
        <v>1.0296700000000001</v>
      </c>
      <c r="G153" s="13">
        <f t="shared" si="10"/>
        <v>1.1233</v>
      </c>
      <c r="H153" s="13">
        <f>B153+F153</f>
        <v>28.029669999999999</v>
      </c>
      <c r="I153" s="13">
        <f>C153+G153</f>
        <v>30.083300000000001</v>
      </c>
      <c r="J153" s="10">
        <f t="shared" si="11"/>
        <v>1.0732662924679457</v>
      </c>
      <c r="K153" s="10">
        <f t="shared" si="12"/>
        <v>1.0735582166928963</v>
      </c>
      <c r="L153" s="13">
        <f t="shared" si="13"/>
        <v>30.090749994331617</v>
      </c>
      <c r="M153" s="13">
        <f t="shared" si="14"/>
        <v>30.083300000000001</v>
      </c>
      <c r="N153" s="13">
        <f>M153-L153</f>
        <v>-7.4499943316155282E-3</v>
      </c>
      <c r="O153" s="2">
        <f>N153/L153</f>
        <v>-2.4758420222224206E-4</v>
      </c>
    </row>
    <row r="154" spans="1:15" x14ac:dyDescent="0.25">
      <c r="A154" s="1">
        <v>46246</v>
      </c>
      <c r="B154" s="6">
        <v>27.02</v>
      </c>
      <c r="C154" s="6">
        <v>29.03</v>
      </c>
      <c r="F154" s="13">
        <f>F153+D154</f>
        <v>1.0296700000000001</v>
      </c>
      <c r="G154" s="13">
        <f t="shared" si="10"/>
        <v>1.1233</v>
      </c>
      <c r="H154" s="13">
        <f>B154+F154</f>
        <v>28.049669999999999</v>
      </c>
      <c r="I154" s="13">
        <f>C154+G154</f>
        <v>30.153300000000002</v>
      </c>
      <c r="J154" s="10">
        <f t="shared" si="11"/>
        <v>1.0749966042381249</v>
      </c>
      <c r="K154" s="10">
        <f t="shared" si="12"/>
        <v>1.07373348299696</v>
      </c>
      <c r="L154" s="13">
        <f t="shared" si="13"/>
        <v>30.112953704024232</v>
      </c>
      <c r="M154" s="13">
        <f t="shared" si="14"/>
        <v>30.153300000000002</v>
      </c>
      <c r="N154" s="13">
        <f>M154-L154</f>
        <v>4.0346295975769664E-2</v>
      </c>
      <c r="O154" s="2">
        <f>N154/L154</f>
        <v>1.3398318999965078E-3</v>
      </c>
    </row>
    <row r="155" spans="1:15" x14ac:dyDescent="0.25">
      <c r="A155" s="1">
        <v>46247</v>
      </c>
      <c r="B155" s="6">
        <v>27.12</v>
      </c>
      <c r="C155" s="6">
        <v>29.09</v>
      </c>
      <c r="F155" s="13">
        <f>F154+D155</f>
        <v>1.0296700000000001</v>
      </c>
      <c r="G155" s="13">
        <f t="shared" si="10"/>
        <v>1.1233</v>
      </c>
      <c r="H155" s="13">
        <f>B155+F155</f>
        <v>28.14967</v>
      </c>
      <c r="I155" s="13">
        <f>C155+G155</f>
        <v>30.2133</v>
      </c>
      <c r="J155" s="10">
        <f t="shared" si="11"/>
        <v>1.0733092075324506</v>
      </c>
      <c r="K155" s="10">
        <f t="shared" si="12"/>
        <v>1.0738039702291908</v>
      </c>
      <c r="L155" s="13">
        <f t="shared" si="13"/>
        <v>30.225243214315036</v>
      </c>
      <c r="M155" s="13">
        <f t="shared" si="14"/>
        <v>30.2133</v>
      </c>
      <c r="N155" s="13">
        <f>M155-L155</f>
        <v>-1.1943214315035533E-2</v>
      </c>
      <c r="O155" s="2">
        <f>N155/L155</f>
        <v>-3.9514038746854763E-4</v>
      </c>
    </row>
    <row r="156" spans="1:15" x14ac:dyDescent="0.25">
      <c r="A156" s="1">
        <v>46248</v>
      </c>
      <c r="B156" s="6">
        <v>27.07</v>
      </c>
      <c r="C156" s="6">
        <v>29.04</v>
      </c>
      <c r="F156" s="13">
        <f>F155+D156</f>
        <v>1.0296700000000001</v>
      </c>
      <c r="G156" s="13">
        <f t="shared" si="10"/>
        <v>1.1233</v>
      </c>
      <c r="H156" s="13">
        <f>B156+F156</f>
        <v>28.09967</v>
      </c>
      <c r="I156" s="13">
        <f>C156+G156</f>
        <v>30.1633</v>
      </c>
      <c r="J156" s="10">
        <f t="shared" si="11"/>
        <v>1.0734396524941396</v>
      </c>
      <c r="K156" s="10">
        <f t="shared" si="12"/>
        <v>1.0738988358320132</v>
      </c>
      <c r="L156" s="13">
        <f t="shared" si="13"/>
        <v>30.173537208130085</v>
      </c>
      <c r="M156" s="13">
        <f t="shared" si="14"/>
        <v>30.1633</v>
      </c>
      <c r="N156" s="13">
        <f>M156-L156</f>
        <v>-1.0237208130085662E-2</v>
      </c>
      <c r="O156" s="2">
        <f>N156/L156</f>
        <v>-3.3927769420839744E-4</v>
      </c>
    </row>
    <row r="157" spans="1:15" x14ac:dyDescent="0.25">
      <c r="A157" s="1">
        <v>46251</v>
      </c>
      <c r="B157" s="6">
        <v>27.02</v>
      </c>
      <c r="C157" s="6">
        <v>29</v>
      </c>
      <c r="F157" s="13">
        <f>F156+D157</f>
        <v>1.0296700000000001</v>
      </c>
      <c r="G157" s="13">
        <f t="shared" si="10"/>
        <v>1.1233</v>
      </c>
      <c r="H157" s="13">
        <f>B157+F157</f>
        <v>28.049669999999999</v>
      </c>
      <c r="I157" s="13">
        <f>C157+G157</f>
        <v>30.1233</v>
      </c>
      <c r="J157" s="10">
        <f t="shared" si="11"/>
        <v>1.0739270729388262</v>
      </c>
      <c r="K157" s="10">
        <f t="shared" si="12"/>
        <v>1.0739580094964134</v>
      </c>
      <c r="L157" s="13">
        <f t="shared" si="13"/>
        <v>30.122507958472145</v>
      </c>
      <c r="M157" s="13">
        <f t="shared" si="14"/>
        <v>30.1233</v>
      </c>
      <c r="N157" s="13">
        <f>M157-L157</f>
        <v>7.9204152785550264E-4</v>
      </c>
      <c r="O157" s="2">
        <f>N157/L157</f>
        <v>2.6294010078690543E-5</v>
      </c>
    </row>
    <row r="158" spans="1:15" x14ac:dyDescent="0.25">
      <c r="A158" s="1">
        <v>46252</v>
      </c>
      <c r="B158" s="6">
        <v>26.98</v>
      </c>
      <c r="C158" s="6">
        <v>28.99</v>
      </c>
      <c r="F158" s="13">
        <f>F157+D158</f>
        <v>1.0296700000000001</v>
      </c>
      <c r="G158" s="13">
        <f t="shared" si="10"/>
        <v>1.1233</v>
      </c>
      <c r="H158" s="13">
        <f>B158+F158</f>
        <v>28.00967</v>
      </c>
      <c r="I158" s="13">
        <f>C158+G158</f>
        <v>30.113299999999999</v>
      </c>
      <c r="J158" s="10">
        <f t="shared" si="11"/>
        <v>1.0751037052560777</v>
      </c>
      <c r="K158" s="10">
        <f t="shared" si="12"/>
        <v>1.0740900141391951</v>
      </c>
      <c r="L158" s="13">
        <f t="shared" si="13"/>
        <v>30.081209439851406</v>
      </c>
      <c r="M158" s="13">
        <f t="shared" si="14"/>
        <v>30.113299999999999</v>
      </c>
      <c r="N158" s="13">
        <f>M158-L158</f>
        <v>3.2090560148592573E-2</v>
      </c>
      <c r="O158" s="2">
        <f>N158/L158</f>
        <v>1.0667975372718622E-3</v>
      </c>
    </row>
    <row r="159" spans="1:15" x14ac:dyDescent="0.25">
      <c r="A159" s="1">
        <v>46253</v>
      </c>
      <c r="B159" s="6">
        <v>27.07</v>
      </c>
      <c r="C159" s="6">
        <v>29.07</v>
      </c>
      <c r="F159" s="13">
        <f>F158+D159</f>
        <v>1.0296700000000001</v>
      </c>
      <c r="G159" s="13">
        <f t="shared" si="10"/>
        <v>1.1233</v>
      </c>
      <c r="H159" s="13">
        <f>B159+F159</f>
        <v>28.09967</v>
      </c>
      <c r="I159" s="13">
        <f>C159+G159</f>
        <v>30.193300000000001</v>
      </c>
      <c r="J159" s="10">
        <f t="shared" si="11"/>
        <v>1.074507280690485</v>
      </c>
      <c r="K159" s="10">
        <f t="shared" si="12"/>
        <v>1.0741664491818455</v>
      </c>
      <c r="L159" s="13">
        <f t="shared" si="13"/>
        <v>30.181574947606716</v>
      </c>
      <c r="M159" s="13">
        <f t="shared" si="14"/>
        <v>30.193300000000001</v>
      </c>
      <c r="N159" s="13">
        <f>M159-L159</f>
        <v>1.1725052393284585E-2</v>
      </c>
      <c r="O159" s="2">
        <f>N159/L159</f>
        <v>3.884837823618723E-4</v>
      </c>
    </row>
    <row r="160" spans="1:15" x14ac:dyDescent="0.25">
      <c r="A160" s="1">
        <v>46254</v>
      </c>
      <c r="B160" s="6">
        <v>27</v>
      </c>
      <c r="C160" s="6">
        <v>28.99</v>
      </c>
      <c r="F160" s="13">
        <f>F159+D160</f>
        <v>1.0296700000000001</v>
      </c>
      <c r="G160" s="13">
        <f t="shared" si="10"/>
        <v>1.1233</v>
      </c>
      <c r="H160" s="13">
        <f>B160+F160</f>
        <v>28.029669999999999</v>
      </c>
      <c r="I160" s="13">
        <f>C160+G160</f>
        <v>30.113299999999999</v>
      </c>
      <c r="J160" s="10">
        <f t="shared" si="11"/>
        <v>1.0743365869095141</v>
      </c>
      <c r="K160" s="10">
        <f t="shared" si="12"/>
        <v>1.0742185656052117</v>
      </c>
      <c r="L160" s="13">
        <f t="shared" si="13"/>
        <v>30.108531095638899</v>
      </c>
      <c r="M160" s="13">
        <f t="shared" si="14"/>
        <v>30.113299999999999</v>
      </c>
      <c r="N160" s="13">
        <f>M160-L160</f>
        <v>4.7689043611001125E-3</v>
      </c>
      <c r="O160" s="2">
        <f>N160/L160</f>
        <v>1.583904689986975E-4</v>
      </c>
    </row>
    <row r="161" spans="1:15" x14ac:dyDescent="0.25">
      <c r="A161" s="1">
        <v>46255</v>
      </c>
      <c r="B161" s="6">
        <v>27</v>
      </c>
      <c r="C161" s="6">
        <v>29</v>
      </c>
      <c r="F161" s="13">
        <f>F160+D161</f>
        <v>1.0296700000000001</v>
      </c>
      <c r="G161" s="13">
        <f t="shared" si="10"/>
        <v>1.1233</v>
      </c>
      <c r="H161" s="13">
        <f>B161+F161</f>
        <v>28.029669999999999</v>
      </c>
      <c r="I161" s="13">
        <f>C161+G161</f>
        <v>30.1233</v>
      </c>
      <c r="J161" s="10">
        <f t="shared" si="11"/>
        <v>1.0746933517233703</v>
      </c>
      <c r="K161" s="10">
        <f t="shared" si="12"/>
        <v>1.0743078577896015</v>
      </c>
      <c r="L161" s="13">
        <f t="shared" si="13"/>
        <v>30.109991901787431</v>
      </c>
      <c r="M161" s="13">
        <f t="shared" si="14"/>
        <v>30.1233</v>
      </c>
      <c r="N161" s="13">
        <f>M161-L161</f>
        <v>1.3308098212569064E-2</v>
      </c>
      <c r="O161" s="2">
        <f>N161/L161</f>
        <v>4.4198278949982212E-4</v>
      </c>
    </row>
    <row r="162" spans="1:15" x14ac:dyDescent="0.25">
      <c r="A162" s="1">
        <v>46258</v>
      </c>
      <c r="B162" s="6">
        <v>27.03</v>
      </c>
      <c r="C162" s="6">
        <v>29.03</v>
      </c>
      <c r="F162" s="13">
        <f>F161+D162</f>
        <v>1.0296700000000001</v>
      </c>
      <c r="G162" s="13">
        <f t="shared" si="10"/>
        <v>1.1233</v>
      </c>
      <c r="H162" s="13">
        <f>B162+F162</f>
        <v>28.059670000000001</v>
      </c>
      <c r="I162" s="13">
        <f>C162+G162</f>
        <v>30.153300000000002</v>
      </c>
      <c r="J162" s="10">
        <f t="shared" si="11"/>
        <v>1.0746134933162079</v>
      </c>
      <c r="K162" s="10">
        <f t="shared" si="12"/>
        <v>1.0743057622873262</v>
      </c>
      <c r="L162" s="13">
        <f t="shared" si="13"/>
        <v>30.144723967983147</v>
      </c>
      <c r="M162" s="13">
        <f t="shared" si="14"/>
        <v>30.153300000000002</v>
      </c>
      <c r="N162" s="13">
        <f>M162-L162</f>
        <v>8.57603201685464E-3</v>
      </c>
      <c r="O162" s="2">
        <f>N162/L162</f>
        <v>2.8449529098237172E-4</v>
      </c>
    </row>
    <row r="163" spans="1:15" x14ac:dyDescent="0.25">
      <c r="A163" s="1">
        <v>46259</v>
      </c>
      <c r="B163" s="6">
        <v>27.12</v>
      </c>
      <c r="C163" s="6">
        <v>29.11</v>
      </c>
      <c r="F163" s="13">
        <f>F162+D163</f>
        <v>1.0296700000000001</v>
      </c>
      <c r="G163" s="13">
        <f t="shared" si="10"/>
        <v>1.1233</v>
      </c>
      <c r="H163" s="13">
        <f>B163+F163</f>
        <v>28.14967</v>
      </c>
      <c r="I163" s="13">
        <f>C163+G163</f>
        <v>30.2333</v>
      </c>
      <c r="J163" s="10">
        <f t="shared" si="11"/>
        <v>1.0740196954351506</v>
      </c>
      <c r="K163" s="10">
        <f t="shared" si="12"/>
        <v>1.0743359196542637</v>
      </c>
      <c r="L163" s="13">
        <f t="shared" si="13"/>
        <v>30.241352687486678</v>
      </c>
      <c r="M163" s="13">
        <f t="shared" si="14"/>
        <v>30.2333</v>
      </c>
      <c r="N163" s="13">
        <f>M163-L163</f>
        <v>-8.0526874866784226E-3</v>
      </c>
      <c r="O163" s="2">
        <f>N163/L163</f>
        <v>-2.6628066442313866E-4</v>
      </c>
    </row>
    <row r="164" spans="1:15" x14ac:dyDescent="0.25">
      <c r="A164" s="1">
        <v>46260</v>
      </c>
      <c r="B164" s="6">
        <v>27.09</v>
      </c>
      <c r="C164" s="6">
        <v>29.1</v>
      </c>
      <c r="F164" s="13">
        <f>F163+D164</f>
        <v>1.0296700000000001</v>
      </c>
      <c r="G164" s="13">
        <f t="shared" si="10"/>
        <v>1.1233</v>
      </c>
      <c r="H164" s="13">
        <f>B164+F164</f>
        <v>28.119669999999999</v>
      </c>
      <c r="I164" s="13">
        <f>C164+G164</f>
        <v>30.223300000000002</v>
      </c>
      <c r="J164" s="10">
        <f t="shared" si="11"/>
        <v>1.0748099106426214</v>
      </c>
      <c r="K164" s="10">
        <f t="shared" si="12"/>
        <v>1.0743756553167403</v>
      </c>
      <c r="L164" s="13">
        <f t="shared" si="13"/>
        <v>30.209971529824408</v>
      </c>
      <c r="M164" s="13">
        <f t="shared" si="14"/>
        <v>30.223300000000002</v>
      </c>
      <c r="N164" s="13">
        <f>M164-L164</f>
        <v>1.332847017559402E-2</v>
      </c>
      <c r="O164" s="2">
        <f>N164/L164</f>
        <v>4.4119439710281288E-4</v>
      </c>
    </row>
    <row r="165" spans="1:15" x14ac:dyDescent="0.25">
      <c r="A165" s="1">
        <v>46261</v>
      </c>
      <c r="B165" s="6">
        <v>27.09</v>
      </c>
      <c r="C165" s="6">
        <v>29.1</v>
      </c>
      <c r="F165" s="13">
        <f>F164+D165</f>
        <v>1.0296700000000001</v>
      </c>
      <c r="G165" s="13">
        <f t="shared" si="10"/>
        <v>1.1233</v>
      </c>
      <c r="H165" s="13">
        <f>B165+F165</f>
        <v>28.119669999999999</v>
      </c>
      <c r="I165" s="13">
        <f>C165+G165</f>
        <v>30.223300000000002</v>
      </c>
      <c r="J165" s="10">
        <f t="shared" si="11"/>
        <v>1.0748099106426214</v>
      </c>
      <c r="K165" s="10">
        <f t="shared" si="12"/>
        <v>1.0744273582534043</v>
      </c>
      <c r="L165" s="13">
        <f t="shared" si="13"/>
        <v>30.21108888354048</v>
      </c>
      <c r="M165" s="13">
        <f t="shared" si="14"/>
        <v>30.223300000000002</v>
      </c>
      <c r="N165" s="13">
        <f>M165-L165</f>
        <v>1.2211116459521776E-2</v>
      </c>
      <c r="O165" s="2">
        <f>N165/L165</f>
        <v>4.0419319232729153E-4</v>
      </c>
    </row>
    <row r="166" spans="1:15" x14ac:dyDescent="0.25">
      <c r="A166" s="1">
        <v>46262</v>
      </c>
      <c r="B166" s="6">
        <v>27.03</v>
      </c>
      <c r="C166" s="6">
        <v>29.03</v>
      </c>
      <c r="F166" s="13">
        <f>F165+D166</f>
        <v>1.0296700000000001</v>
      </c>
      <c r="G166" s="13">
        <f t="shared" si="10"/>
        <v>1.1233</v>
      </c>
      <c r="H166" s="13">
        <f>B166+F166</f>
        <v>28.059670000000001</v>
      </c>
      <c r="I166" s="13">
        <f>C166+G166</f>
        <v>30.153300000000002</v>
      </c>
      <c r="J166" s="10">
        <f t="shared" si="11"/>
        <v>1.0746134933162079</v>
      </c>
      <c r="K166" s="10">
        <f t="shared" si="12"/>
        <v>1.0744292906885518</v>
      </c>
      <c r="L166" s="13">
        <f t="shared" si="13"/>
        <v>30.148077111562301</v>
      </c>
      <c r="M166" s="13">
        <f t="shared" si="14"/>
        <v>30.153300000000002</v>
      </c>
      <c r="N166" s="13">
        <f>M166-L166</f>
        <v>5.222888437700135E-3</v>
      </c>
      <c r="O166" s="2">
        <f>N166/L166</f>
        <v>1.732411794746627E-4</v>
      </c>
    </row>
    <row r="167" spans="1:15" x14ac:dyDescent="0.25">
      <c r="A167" s="1">
        <v>46265</v>
      </c>
      <c r="B167" s="6">
        <v>27.01</v>
      </c>
      <c r="C167" s="6">
        <v>29.01</v>
      </c>
      <c r="F167" s="13">
        <f>F166+D167</f>
        <v>1.0296700000000001</v>
      </c>
      <c r="G167" s="13">
        <f t="shared" si="10"/>
        <v>1.1233</v>
      </c>
      <c r="H167" s="13">
        <f>B167+F167</f>
        <v>28.039670000000001</v>
      </c>
      <c r="I167" s="13">
        <f>C167+G167</f>
        <v>30.133300000000002</v>
      </c>
      <c r="J167" s="10">
        <f t="shared" si="11"/>
        <v>1.0746667132673102</v>
      </c>
      <c r="K167" s="10">
        <f t="shared" si="12"/>
        <v>1.074446399600848</v>
      </c>
      <c r="L167" s="13">
        <f t="shared" si="13"/>
        <v>30.126642749241064</v>
      </c>
      <c r="M167" s="13">
        <f t="shared" si="14"/>
        <v>30.133300000000002</v>
      </c>
      <c r="N167" s="13">
        <f>M167-L167</f>
        <v>6.6572507589377494E-3</v>
      </c>
      <c r="O167" s="2">
        <f>N167/L167</f>
        <v>2.2097552702268677E-4</v>
      </c>
    </row>
    <row r="168" spans="1:15" x14ac:dyDescent="0.25">
      <c r="A168" s="1">
        <v>46266</v>
      </c>
      <c r="B168" s="6">
        <v>26.77</v>
      </c>
      <c r="C168" s="6">
        <v>28.72</v>
      </c>
      <c r="D168" s="13">
        <v>0.14246</v>
      </c>
      <c r="E168" s="13">
        <v>0.159</v>
      </c>
      <c r="F168" s="13">
        <f>F167+D168</f>
        <v>1.1721300000000001</v>
      </c>
      <c r="G168" s="13">
        <f t="shared" si="10"/>
        <v>1.2823</v>
      </c>
      <c r="H168" s="13">
        <f>B168+F168</f>
        <v>27.942129999999999</v>
      </c>
      <c r="I168" s="13">
        <f>C168+G168</f>
        <v>30.002299999999998</v>
      </c>
      <c r="J168" s="10">
        <f t="shared" si="11"/>
        <v>1.0737298838706999</v>
      </c>
      <c r="K168" s="10">
        <f t="shared" si="12"/>
        <v>1.0744134104873682</v>
      </c>
      <c r="L168" s="13">
        <f t="shared" si="13"/>
        <v>30.022320975678841</v>
      </c>
      <c r="M168" s="13">
        <f t="shared" si="14"/>
        <v>30.002299999999998</v>
      </c>
      <c r="N168" s="13">
        <f>M168-L168</f>
        <v>-2.00209756788432E-2</v>
      </c>
      <c r="O168" s="2">
        <f>N168/L168</f>
        <v>-6.6686968322876312E-4</v>
      </c>
    </row>
    <row r="169" spans="1:15" x14ac:dyDescent="0.25">
      <c r="A169" s="1">
        <v>46267</v>
      </c>
      <c r="B169" s="6">
        <v>26.8</v>
      </c>
      <c r="C169" s="6">
        <v>28.77</v>
      </c>
      <c r="F169" s="13">
        <f>F168+D169</f>
        <v>1.1721300000000001</v>
      </c>
      <c r="G169" s="13">
        <f t="shared" si="10"/>
        <v>1.2823</v>
      </c>
      <c r="H169" s="13">
        <f>B169+F169</f>
        <v>27.97213</v>
      </c>
      <c r="I169" s="13">
        <f>C169+G169</f>
        <v>30.052299999999999</v>
      </c>
      <c r="J169" s="10">
        <f t="shared" si="11"/>
        <v>1.0743658062507218</v>
      </c>
      <c r="K169" s="10">
        <f t="shared" si="12"/>
        <v>1.0744122174928894</v>
      </c>
      <c r="L169" s="13">
        <f t="shared" si="13"/>
        <v>30.053631591896025</v>
      </c>
      <c r="M169" s="13">
        <f t="shared" si="14"/>
        <v>30.052299999999999</v>
      </c>
      <c r="N169" s="13">
        <f>M169-L169</f>
        <v>-1.331591896025941E-3</v>
      </c>
      <c r="O169" s="2">
        <f>N169/L169</f>
        <v>-4.4307187700570779E-5</v>
      </c>
    </row>
    <row r="170" spans="1:15" x14ac:dyDescent="0.25">
      <c r="A170" s="1">
        <v>46268</v>
      </c>
      <c r="B170" s="6">
        <v>26.82</v>
      </c>
      <c r="C170" s="6">
        <v>28.81</v>
      </c>
      <c r="F170" s="13">
        <f>F169+D170</f>
        <v>1.1721300000000001</v>
      </c>
      <c r="G170" s="13">
        <f t="shared" si="10"/>
        <v>1.2823</v>
      </c>
      <c r="H170" s="13">
        <f>B170+F170</f>
        <v>27.99213</v>
      </c>
      <c r="I170" s="13">
        <f>C170+G170</f>
        <v>30.092299999999998</v>
      </c>
      <c r="J170" s="10">
        <f t="shared" si="11"/>
        <v>1.0750271594194512</v>
      </c>
      <c r="K170" s="10">
        <f t="shared" si="12"/>
        <v>1.0743837919399506</v>
      </c>
      <c r="L170" s="13">
        <f t="shared" si="13"/>
        <v>30.075086465649232</v>
      </c>
      <c r="M170" s="13">
        <f t="shared" si="14"/>
        <v>30.092299999999998</v>
      </c>
      <c r="N170" s="13">
        <f>M170-L170</f>
        <v>1.7213534350766224E-2</v>
      </c>
      <c r="O170" s="2">
        <f>N170/L170</f>
        <v>5.7235194886062768E-4</v>
      </c>
    </row>
    <row r="171" spans="1:15" x14ac:dyDescent="0.25">
      <c r="A171" s="1">
        <v>46269</v>
      </c>
      <c r="B171" s="6">
        <v>26.81</v>
      </c>
      <c r="C171" s="6">
        <v>28.8</v>
      </c>
      <c r="F171" s="13">
        <f>F170+D171</f>
        <v>1.1721300000000001</v>
      </c>
      <c r="G171" s="13">
        <f t="shared" si="10"/>
        <v>1.2823</v>
      </c>
      <c r="H171" s="13">
        <f>B171+F171</f>
        <v>27.982129999999998</v>
      </c>
      <c r="I171" s="13">
        <f>C171+G171</f>
        <v>30.0823</v>
      </c>
      <c r="J171" s="10">
        <f t="shared" si="11"/>
        <v>1.0750539719456669</v>
      </c>
      <c r="K171" s="10">
        <f t="shared" si="12"/>
        <v>1.0743469562564947</v>
      </c>
      <c r="L171" s="13">
        <f t="shared" si="13"/>
        <v>30.063546935956648</v>
      </c>
      <c r="M171" s="13">
        <f t="shared" si="14"/>
        <v>30.0823</v>
      </c>
      <c r="N171" s="13">
        <f>M171-L171</f>
        <v>1.8753064043352197E-2</v>
      </c>
      <c r="O171" s="2">
        <f>N171/L171</f>
        <v>6.2378082277853681E-4</v>
      </c>
    </row>
    <row r="172" spans="1:15" x14ac:dyDescent="0.25">
      <c r="A172" s="1">
        <v>46273</v>
      </c>
      <c r="B172" s="6">
        <v>26.76</v>
      </c>
      <c r="C172" s="6">
        <v>28.79</v>
      </c>
      <c r="F172" s="13">
        <f>F171+D172</f>
        <v>1.1721300000000001</v>
      </c>
      <c r="G172" s="13">
        <f t="shared" si="10"/>
        <v>1.2823</v>
      </c>
      <c r="H172" s="13">
        <f>B172+F172</f>
        <v>27.932130000000001</v>
      </c>
      <c r="I172" s="13">
        <f>C172+G172</f>
        <v>30.072299999999998</v>
      </c>
      <c r="J172" s="10">
        <f t="shared" si="11"/>
        <v>1.0766203651493818</v>
      </c>
      <c r="K172" s="10">
        <f t="shared" si="12"/>
        <v>1.0744955078753489</v>
      </c>
      <c r="L172" s="13">
        <f t="shared" si="13"/>
        <v>30.008798847260724</v>
      </c>
      <c r="M172" s="13">
        <f t="shared" si="14"/>
        <v>30.072299999999998</v>
      </c>
      <c r="N172" s="13">
        <f>M172-L172</f>
        <v>6.3501152739274147E-2</v>
      </c>
      <c r="O172" s="2">
        <f>N172/L172</f>
        <v>2.1160844545122701E-3</v>
      </c>
    </row>
    <row r="173" spans="1:15" x14ac:dyDescent="0.25">
      <c r="A173" s="1">
        <v>46274</v>
      </c>
      <c r="B173" s="6">
        <v>26.7</v>
      </c>
      <c r="C173" s="6">
        <v>28.73</v>
      </c>
      <c r="F173" s="13">
        <f>F172+D173</f>
        <v>1.1721300000000001</v>
      </c>
      <c r="G173" s="13">
        <f t="shared" si="10"/>
        <v>1.2823</v>
      </c>
      <c r="H173" s="13">
        <f>B173+F173</f>
        <v>27.872129999999999</v>
      </c>
      <c r="I173" s="13">
        <f>C173+G173</f>
        <v>30.0123</v>
      </c>
      <c r="J173" s="10">
        <f t="shared" si="11"/>
        <v>1.0767853048905842</v>
      </c>
      <c r="K173" s="10">
        <f t="shared" si="12"/>
        <v>1.0746714584964807</v>
      </c>
      <c r="L173" s="13">
        <f t="shared" si="13"/>
        <v>29.948478479917746</v>
      </c>
      <c r="M173" s="13">
        <f t="shared" si="14"/>
        <v>30.0123</v>
      </c>
      <c r="N173" s="13">
        <f>M173-L173</f>
        <v>6.3821520082253613E-2</v>
      </c>
      <c r="O173" s="2">
        <f>N173/L173</f>
        <v>2.1310438233130865E-3</v>
      </c>
    </row>
    <row r="174" spans="1:15" x14ac:dyDescent="0.25">
      <c r="A174" s="1">
        <v>46275</v>
      </c>
      <c r="B174" s="6">
        <v>26.52</v>
      </c>
      <c r="C174" s="6">
        <v>28.55</v>
      </c>
      <c r="F174" s="13">
        <f>F173+D174</f>
        <v>1.1721300000000001</v>
      </c>
      <c r="G174" s="13">
        <f t="shared" si="10"/>
        <v>1.2823</v>
      </c>
      <c r="H174" s="13">
        <f>B174+F174</f>
        <v>27.692129999999999</v>
      </c>
      <c r="I174" s="13">
        <f>C174+G174</f>
        <v>29.8323</v>
      </c>
      <c r="J174" s="10">
        <f t="shared" si="11"/>
        <v>1.0772844125749808</v>
      </c>
      <c r="K174" s="10">
        <f t="shared" si="12"/>
        <v>1.0747858489133235</v>
      </c>
      <c r="L174" s="13">
        <f t="shared" si="13"/>
        <v>29.759941735974149</v>
      </c>
      <c r="M174" s="13">
        <f t="shared" si="14"/>
        <v>29.8323</v>
      </c>
      <c r="N174" s="13">
        <f>M174-L174</f>
        <v>7.2358264025851327E-2</v>
      </c>
      <c r="O174" s="2">
        <f>N174/L174</f>
        <v>2.431398040621291E-3</v>
      </c>
    </row>
    <row r="175" spans="1:15" x14ac:dyDescent="0.25">
      <c r="A175" s="1">
        <v>46276</v>
      </c>
      <c r="B175" s="6">
        <v>26.52</v>
      </c>
      <c r="C175" s="6">
        <v>28.51</v>
      </c>
      <c r="F175" s="13">
        <f>F174+D175</f>
        <v>1.1721300000000001</v>
      </c>
      <c r="G175" s="13">
        <f t="shared" si="10"/>
        <v>1.2823</v>
      </c>
      <c r="H175" s="13">
        <f>B175+F175</f>
        <v>27.692129999999999</v>
      </c>
      <c r="I175" s="13">
        <f>C175+G175</f>
        <v>29.792300000000001</v>
      </c>
      <c r="J175" s="10">
        <f t="shared" si="11"/>
        <v>1.0758399588619583</v>
      </c>
      <c r="K175" s="10">
        <f t="shared" si="12"/>
        <v>1.0749123864797989</v>
      </c>
      <c r="L175" s="13">
        <f t="shared" si="13"/>
        <v>29.763109450268111</v>
      </c>
      <c r="M175" s="13">
        <f t="shared" si="14"/>
        <v>29.792300000000001</v>
      </c>
      <c r="N175" s="13">
        <f>M175-L175</f>
        <v>2.9190549731890059E-2</v>
      </c>
      <c r="O175" s="2">
        <f>N175/L175</f>
        <v>9.8076277213794629E-4</v>
      </c>
    </row>
  </sheetData>
  <conditionalFormatting sqref="O23:O175">
    <cfRule type="cellIs" dxfId="1" priority="15" operator="lessThan">
      <formula>$Q$3</formula>
    </cfRule>
    <cfRule type="cellIs" dxfId="0" priority="16" operator="greaterThan">
      <formula>$Q$4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prices</vt:lpstr>
      <vt:lpstr>cwb icvt</vt:lpstr>
      <vt:lpstr>bwx igov</vt:lpstr>
      <vt:lpstr>vwob emb</vt:lpstr>
      <vt:lpstr>cmf vtec</vt:lpstr>
      <vt:lpstr>pffd pff</vt:lpstr>
      <vt:lpstr>bndx iagg</vt:lpstr>
      <vt:lpstr>faln angl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2026-09-15T00:23:55Z</dcterms:created>
  <dcterms:modified xsi:type="dcterms:W3CDTF">2026-09-15T00:41:55Z</dcterms:modified>
</cp:coreProperties>
</file>