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84A1BE7B-7A2B-4C04-99CE-6C7190B3A334}" xr6:coauthVersionLast="47" xr6:coauthVersionMax="47" xr10:uidLastSave="{00000000-0000-0000-0000-000000000000}"/>
  <bookViews>
    <workbookView xWindow="1275" yWindow="1920" windowWidth="27210" windowHeight="10515" xr2:uid="{9C6607E4-DDDD-4912-B193-8A1CF3EF4BDC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N176" i="1" s="1"/>
  <c r="AX174" i="1"/>
  <c r="AV174" i="1"/>
  <c r="AU174" i="1"/>
  <c r="AY175" i="1" s="1"/>
  <c r="AM174" i="1"/>
  <c r="AK174" i="1"/>
  <c r="AJ174" i="1"/>
  <c r="AX173" i="1"/>
  <c r="AV173" i="1"/>
  <c r="AU173" i="1"/>
  <c r="AY174" i="1" s="1"/>
  <c r="AM173" i="1"/>
  <c r="AK173" i="1"/>
  <c r="AJ173" i="1"/>
  <c r="AN174" i="1" s="1"/>
  <c r="AX172" i="1"/>
  <c r="AV172" i="1"/>
  <c r="AU172" i="1"/>
  <c r="AY173" i="1" s="1"/>
  <c r="AM172" i="1"/>
  <c r="AK172" i="1"/>
  <c r="AJ172" i="1"/>
  <c r="AN173" i="1" s="1"/>
  <c r="AX171" i="1"/>
  <c r="AV171" i="1"/>
  <c r="AU171" i="1"/>
  <c r="AY172" i="1" s="1"/>
  <c r="AM171" i="1"/>
  <c r="AK171" i="1"/>
  <c r="AJ171" i="1"/>
  <c r="AX170" i="1"/>
  <c r="AV170" i="1"/>
  <c r="AU170" i="1"/>
  <c r="AY171" i="1" s="1"/>
  <c r="AM170" i="1"/>
  <c r="AK170" i="1"/>
  <c r="AJ170" i="1"/>
  <c r="AN171" i="1" s="1"/>
  <c r="AX169" i="1"/>
  <c r="AV169" i="1"/>
  <c r="AU169" i="1"/>
  <c r="AY170" i="1" s="1"/>
  <c r="AM169" i="1"/>
  <c r="AK169" i="1"/>
  <c r="AJ169" i="1"/>
  <c r="AN170" i="1" s="1"/>
  <c r="AX168" i="1"/>
  <c r="AV168" i="1"/>
  <c r="AU168" i="1"/>
  <c r="AY169" i="1" s="1"/>
  <c r="AM168" i="1"/>
  <c r="AK168" i="1"/>
  <c r="AJ168" i="1"/>
  <c r="AX167" i="1"/>
  <c r="AV167" i="1"/>
  <c r="AU167" i="1"/>
  <c r="AY168" i="1" s="1"/>
  <c r="AM167" i="1"/>
  <c r="AK167" i="1"/>
  <c r="AJ167" i="1"/>
  <c r="AN168" i="1" s="1"/>
  <c r="AX166" i="1"/>
  <c r="AV166" i="1"/>
  <c r="AU166" i="1"/>
  <c r="AY167" i="1" s="1"/>
  <c r="AM166" i="1"/>
  <c r="AK166" i="1"/>
  <c r="AJ166" i="1"/>
  <c r="AX165" i="1"/>
  <c r="AV165" i="1"/>
  <c r="AU165" i="1"/>
  <c r="AY166" i="1" s="1"/>
  <c r="AM165" i="1"/>
  <c r="AK165" i="1"/>
  <c r="AJ165" i="1"/>
  <c r="AX164" i="1"/>
  <c r="AV164" i="1"/>
  <c r="AU164" i="1"/>
  <c r="AY165" i="1" s="1"/>
  <c r="AM164" i="1"/>
  <c r="AK164" i="1"/>
  <c r="AJ164" i="1"/>
  <c r="AX163" i="1"/>
  <c r="AV163" i="1"/>
  <c r="AU163" i="1"/>
  <c r="AY164" i="1" s="1"/>
  <c r="AM163" i="1"/>
  <c r="AK163" i="1"/>
  <c r="AJ163" i="1"/>
  <c r="AN164" i="1" s="1"/>
  <c r="AX162" i="1"/>
  <c r="AV162" i="1"/>
  <c r="AU162" i="1"/>
  <c r="AY163" i="1" s="1"/>
  <c r="AM162" i="1"/>
  <c r="AK162" i="1"/>
  <c r="AJ162" i="1"/>
  <c r="AN163" i="1" s="1"/>
  <c r="AX161" i="1"/>
  <c r="AV161" i="1"/>
  <c r="AU161" i="1"/>
  <c r="AY162" i="1" s="1"/>
  <c r="AM161" i="1"/>
  <c r="AK161" i="1"/>
  <c r="AJ161" i="1"/>
  <c r="AX160" i="1"/>
  <c r="AV160" i="1"/>
  <c r="AU160" i="1"/>
  <c r="AY161" i="1" s="1"/>
  <c r="AM160" i="1"/>
  <c r="AK160" i="1"/>
  <c r="AJ160" i="1"/>
  <c r="AX159" i="1"/>
  <c r="AV159" i="1"/>
  <c r="AU159" i="1"/>
  <c r="AY160" i="1" s="1"/>
  <c r="AM159" i="1"/>
  <c r="AK159" i="1"/>
  <c r="AJ159" i="1"/>
  <c r="AX158" i="1"/>
  <c r="AV158" i="1"/>
  <c r="AU158" i="1"/>
  <c r="AY159" i="1" s="1"/>
  <c r="AM158" i="1"/>
  <c r="AK158" i="1"/>
  <c r="AJ158" i="1"/>
  <c r="AX157" i="1"/>
  <c r="AV157" i="1"/>
  <c r="AU157" i="1"/>
  <c r="AY158" i="1" s="1"/>
  <c r="AM157" i="1"/>
  <c r="AK157" i="1"/>
  <c r="AJ157" i="1"/>
  <c r="AX156" i="1"/>
  <c r="AV156" i="1"/>
  <c r="AU156" i="1"/>
  <c r="AY157" i="1" s="1"/>
  <c r="AM156" i="1"/>
  <c r="AK156" i="1"/>
  <c r="AJ156" i="1"/>
  <c r="AX155" i="1"/>
  <c r="AV155" i="1"/>
  <c r="AU155" i="1"/>
  <c r="AY156" i="1" s="1"/>
  <c r="AM155" i="1"/>
  <c r="AK155" i="1"/>
  <c r="AJ155" i="1"/>
  <c r="AX154" i="1"/>
  <c r="AV154" i="1"/>
  <c r="AU154" i="1"/>
  <c r="AY155" i="1" s="1"/>
  <c r="AM154" i="1"/>
  <c r="AK154" i="1"/>
  <c r="AJ154" i="1"/>
  <c r="AX153" i="1"/>
  <c r="AV153" i="1"/>
  <c r="AU153" i="1"/>
  <c r="AM153" i="1"/>
  <c r="AK153" i="1"/>
  <c r="AJ153" i="1"/>
  <c r="AN154" i="1" s="1"/>
  <c r="AX152" i="1"/>
  <c r="AV152" i="1"/>
  <c r="AU152" i="1"/>
  <c r="AY153" i="1" s="1"/>
  <c r="AM152" i="1"/>
  <c r="AK152" i="1"/>
  <c r="AJ152" i="1"/>
  <c r="AN153" i="1" s="1"/>
  <c r="AX151" i="1"/>
  <c r="AV151" i="1"/>
  <c r="AU151" i="1"/>
  <c r="AY152" i="1" s="1"/>
  <c r="AM151" i="1"/>
  <c r="AK151" i="1"/>
  <c r="AJ151" i="1"/>
  <c r="AN152" i="1" s="1"/>
  <c r="AX150" i="1"/>
  <c r="AV150" i="1"/>
  <c r="AU150" i="1"/>
  <c r="AY151" i="1" s="1"/>
  <c r="AM150" i="1"/>
  <c r="AK150" i="1"/>
  <c r="AJ150" i="1"/>
  <c r="AX149" i="1"/>
  <c r="AV149" i="1"/>
  <c r="AU149" i="1"/>
  <c r="AY150" i="1" s="1"/>
  <c r="AM149" i="1"/>
  <c r="AK149" i="1"/>
  <c r="AJ149" i="1"/>
  <c r="AN150" i="1" s="1"/>
  <c r="AX148" i="1"/>
  <c r="AV148" i="1"/>
  <c r="AU148" i="1"/>
  <c r="AY149" i="1" s="1"/>
  <c r="AM148" i="1"/>
  <c r="AK148" i="1"/>
  <c r="AJ148" i="1"/>
  <c r="AX147" i="1"/>
  <c r="AV147" i="1"/>
  <c r="AU147" i="1"/>
  <c r="AY148" i="1" s="1"/>
  <c r="AM147" i="1"/>
  <c r="AK147" i="1"/>
  <c r="AJ147" i="1"/>
  <c r="AN148" i="1" s="1"/>
  <c r="AX146" i="1"/>
  <c r="AV146" i="1"/>
  <c r="AU146" i="1"/>
  <c r="AM146" i="1"/>
  <c r="AK146" i="1"/>
  <c r="AJ146" i="1"/>
  <c r="AX145" i="1"/>
  <c r="AV145" i="1"/>
  <c r="AU145" i="1"/>
  <c r="AY146" i="1" s="1"/>
  <c r="AM145" i="1"/>
  <c r="AK145" i="1"/>
  <c r="AJ145" i="1"/>
  <c r="AN146" i="1" s="1"/>
  <c r="AX144" i="1"/>
  <c r="AV144" i="1"/>
  <c r="AU144" i="1"/>
  <c r="AY145" i="1" s="1"/>
  <c r="AM144" i="1"/>
  <c r="AK144" i="1"/>
  <c r="AJ144" i="1"/>
  <c r="AN145" i="1" s="1"/>
  <c r="AX143" i="1"/>
  <c r="AV143" i="1"/>
  <c r="AU143" i="1"/>
  <c r="AY144" i="1" s="1"/>
  <c r="AM143" i="1"/>
  <c r="AK143" i="1"/>
  <c r="AJ143" i="1"/>
  <c r="AN144" i="1" s="1"/>
  <c r="AX142" i="1"/>
  <c r="AV142" i="1"/>
  <c r="AU142" i="1"/>
  <c r="AY143" i="1" s="1"/>
  <c r="AM142" i="1"/>
  <c r="AK142" i="1"/>
  <c r="AJ142" i="1"/>
  <c r="AN143" i="1" s="1"/>
  <c r="AX141" i="1"/>
  <c r="AV141" i="1"/>
  <c r="AU141" i="1"/>
  <c r="AY142" i="1" s="1"/>
  <c r="AM141" i="1"/>
  <c r="AK141" i="1"/>
  <c r="AJ141" i="1"/>
  <c r="AX140" i="1"/>
  <c r="AV140" i="1"/>
  <c r="AU140" i="1"/>
  <c r="AY141" i="1" s="1"/>
  <c r="AM140" i="1"/>
  <c r="AK140" i="1"/>
  <c r="AJ140" i="1"/>
  <c r="AN141" i="1" s="1"/>
  <c r="AX139" i="1"/>
  <c r="AV139" i="1"/>
  <c r="AU139" i="1"/>
  <c r="AY140" i="1" s="1"/>
  <c r="AM139" i="1"/>
  <c r="AK139" i="1"/>
  <c r="AJ139" i="1"/>
  <c r="AN140" i="1" s="1"/>
  <c r="AX138" i="1"/>
  <c r="AV138" i="1"/>
  <c r="AU138" i="1"/>
  <c r="AY139" i="1" s="1"/>
  <c r="AM138" i="1"/>
  <c r="AK138" i="1"/>
  <c r="AJ138" i="1"/>
  <c r="AX137" i="1"/>
  <c r="AV137" i="1"/>
  <c r="AU137" i="1"/>
  <c r="AY138" i="1" s="1"/>
  <c r="AM137" i="1"/>
  <c r="AK137" i="1"/>
  <c r="AJ137" i="1"/>
  <c r="AN138" i="1" s="1"/>
  <c r="AX136" i="1"/>
  <c r="AV136" i="1"/>
  <c r="AU136" i="1"/>
  <c r="AY137" i="1" s="1"/>
  <c r="AM136" i="1"/>
  <c r="AK136" i="1"/>
  <c r="AJ136" i="1"/>
  <c r="AN137" i="1" s="1"/>
  <c r="AX135" i="1"/>
  <c r="AV135" i="1"/>
  <c r="AU135" i="1"/>
  <c r="AM135" i="1"/>
  <c r="AK135" i="1"/>
  <c r="AJ135" i="1"/>
  <c r="AN136" i="1" s="1"/>
  <c r="AX134" i="1"/>
  <c r="AV134" i="1"/>
  <c r="AU134" i="1"/>
  <c r="AY135" i="1" s="1"/>
  <c r="AM134" i="1"/>
  <c r="AK134" i="1"/>
  <c r="AJ134" i="1"/>
  <c r="AN135" i="1" s="1"/>
  <c r="AX133" i="1"/>
  <c r="AV133" i="1"/>
  <c r="AU133" i="1"/>
  <c r="AY134" i="1" s="1"/>
  <c r="AM133" i="1"/>
  <c r="AK133" i="1"/>
  <c r="AJ133" i="1"/>
  <c r="AN134" i="1" s="1"/>
  <c r="AX132" i="1"/>
  <c r="AV132" i="1"/>
  <c r="AU132" i="1"/>
  <c r="AM132" i="1"/>
  <c r="AK132" i="1"/>
  <c r="AJ132" i="1"/>
  <c r="AX131" i="1"/>
  <c r="AV131" i="1"/>
  <c r="AU131" i="1"/>
  <c r="AM131" i="1"/>
  <c r="AK131" i="1"/>
  <c r="AJ131" i="1"/>
  <c r="AN132" i="1" s="1"/>
  <c r="AX130" i="1"/>
  <c r="AV130" i="1"/>
  <c r="AU130" i="1"/>
  <c r="AY131" i="1" s="1"/>
  <c r="AM130" i="1"/>
  <c r="AK130" i="1"/>
  <c r="AJ130" i="1"/>
  <c r="AN131" i="1" s="1"/>
  <c r="AX129" i="1"/>
  <c r="AV129" i="1"/>
  <c r="AU129" i="1"/>
  <c r="AM129" i="1"/>
  <c r="AK129" i="1"/>
  <c r="AJ129" i="1"/>
  <c r="AN130" i="1" s="1"/>
  <c r="AX128" i="1"/>
  <c r="AV128" i="1"/>
  <c r="AU128" i="1"/>
  <c r="AY129" i="1" s="1"/>
  <c r="AM128" i="1"/>
  <c r="AK128" i="1"/>
  <c r="AJ128" i="1"/>
  <c r="AN129" i="1" s="1"/>
  <c r="AX127" i="1"/>
  <c r="AV127" i="1"/>
  <c r="AU127" i="1"/>
  <c r="AY128" i="1" s="1"/>
  <c r="AM127" i="1"/>
  <c r="AK127" i="1"/>
  <c r="AJ127" i="1"/>
  <c r="AN128" i="1" s="1"/>
  <c r="AX126" i="1"/>
  <c r="AV126" i="1"/>
  <c r="AU126" i="1"/>
  <c r="AY127" i="1" s="1"/>
  <c r="AM126" i="1"/>
  <c r="AK126" i="1"/>
  <c r="AJ126" i="1"/>
  <c r="AN127" i="1" s="1"/>
  <c r="AX125" i="1"/>
  <c r="AV125" i="1"/>
  <c r="AU125" i="1"/>
  <c r="AY126" i="1" s="1"/>
  <c r="AM125" i="1"/>
  <c r="AK125" i="1"/>
  <c r="AJ125" i="1"/>
  <c r="AN126" i="1" s="1"/>
  <c r="AX124" i="1"/>
  <c r="AV124" i="1"/>
  <c r="AU124" i="1"/>
  <c r="AY125" i="1" s="1"/>
  <c r="AM124" i="1"/>
  <c r="AK124" i="1"/>
  <c r="AJ124" i="1"/>
  <c r="AN125" i="1" s="1"/>
  <c r="AX123" i="1"/>
  <c r="AV123" i="1"/>
  <c r="AU123" i="1"/>
  <c r="AY124" i="1" s="1"/>
  <c r="AM123" i="1"/>
  <c r="AK123" i="1"/>
  <c r="AJ123" i="1"/>
  <c r="AN124" i="1" s="1"/>
  <c r="AX122" i="1"/>
  <c r="AV122" i="1"/>
  <c r="AU122" i="1"/>
  <c r="AY123" i="1" s="1"/>
  <c r="AM122" i="1"/>
  <c r="AK122" i="1"/>
  <c r="AJ122" i="1"/>
  <c r="AN123" i="1" s="1"/>
  <c r="AX121" i="1"/>
  <c r="AV121" i="1"/>
  <c r="AU121" i="1"/>
  <c r="AY122" i="1" s="1"/>
  <c r="AM121" i="1"/>
  <c r="AK121" i="1"/>
  <c r="AJ121" i="1"/>
  <c r="AN122" i="1" s="1"/>
  <c r="AX120" i="1"/>
  <c r="AV120" i="1"/>
  <c r="AU120" i="1"/>
  <c r="AY121" i="1" s="1"/>
  <c r="AM120" i="1"/>
  <c r="AK120" i="1"/>
  <c r="AJ120" i="1"/>
  <c r="AN121" i="1" s="1"/>
  <c r="AX119" i="1"/>
  <c r="AV119" i="1"/>
  <c r="AU119" i="1"/>
  <c r="AY120" i="1" s="1"/>
  <c r="AM119" i="1"/>
  <c r="AK119" i="1"/>
  <c r="AJ119" i="1"/>
  <c r="AN120" i="1" s="1"/>
  <c r="AX118" i="1"/>
  <c r="AV118" i="1"/>
  <c r="AU118" i="1"/>
  <c r="AY119" i="1" s="1"/>
  <c r="AM118" i="1"/>
  <c r="AK118" i="1"/>
  <c r="AJ118" i="1"/>
  <c r="AN119" i="1" s="1"/>
  <c r="AX117" i="1"/>
  <c r="AV117" i="1"/>
  <c r="AU117" i="1"/>
  <c r="AM117" i="1"/>
  <c r="AK117" i="1"/>
  <c r="AJ117" i="1"/>
  <c r="AN118" i="1" s="1"/>
  <c r="AX116" i="1"/>
  <c r="AV116" i="1"/>
  <c r="AU116" i="1"/>
  <c r="AM116" i="1"/>
  <c r="AK116" i="1"/>
  <c r="AJ116" i="1"/>
  <c r="AN117" i="1" s="1"/>
  <c r="AX115" i="1"/>
  <c r="AV115" i="1"/>
  <c r="AU115" i="1"/>
  <c r="AY116" i="1" s="1"/>
  <c r="AM115" i="1"/>
  <c r="AK115" i="1"/>
  <c r="AJ115" i="1"/>
  <c r="AN116" i="1" s="1"/>
  <c r="AX114" i="1"/>
  <c r="AV114" i="1"/>
  <c r="AU114" i="1"/>
  <c r="AM114" i="1"/>
  <c r="AK114" i="1"/>
  <c r="AJ114" i="1"/>
  <c r="AN115" i="1" s="1"/>
  <c r="AX113" i="1"/>
  <c r="AV113" i="1"/>
  <c r="AU113" i="1"/>
  <c r="AM113" i="1"/>
  <c r="AK113" i="1"/>
  <c r="AJ113" i="1"/>
  <c r="AN114" i="1" s="1"/>
  <c r="AX112" i="1"/>
  <c r="AV112" i="1"/>
  <c r="AU112" i="1"/>
  <c r="AM112" i="1"/>
  <c r="AK112" i="1"/>
  <c r="AJ112" i="1"/>
  <c r="AN113" i="1" s="1"/>
  <c r="AX111" i="1"/>
  <c r="AV111" i="1"/>
  <c r="AU111" i="1"/>
  <c r="AM111" i="1"/>
  <c r="AK111" i="1"/>
  <c r="AJ111" i="1"/>
  <c r="AN112" i="1" s="1"/>
  <c r="AX110" i="1"/>
  <c r="AV110" i="1"/>
  <c r="AU110" i="1"/>
  <c r="AM110" i="1"/>
  <c r="AK110" i="1"/>
  <c r="AJ110" i="1"/>
  <c r="AN111" i="1" s="1"/>
  <c r="AX109" i="1"/>
  <c r="AV109" i="1"/>
  <c r="AU109" i="1"/>
  <c r="AY110" i="1" s="1"/>
  <c r="AM109" i="1"/>
  <c r="AK109" i="1"/>
  <c r="AJ109" i="1"/>
  <c r="AN110" i="1" s="1"/>
  <c r="AX108" i="1"/>
  <c r="AV108" i="1"/>
  <c r="AU108" i="1"/>
  <c r="AY109" i="1" s="1"/>
  <c r="AM108" i="1"/>
  <c r="AK108" i="1"/>
  <c r="AJ108" i="1"/>
  <c r="AN109" i="1" s="1"/>
  <c r="AX107" i="1"/>
  <c r="AV107" i="1"/>
  <c r="AU107" i="1"/>
  <c r="AM107" i="1"/>
  <c r="AK107" i="1"/>
  <c r="AJ107" i="1"/>
  <c r="AN108" i="1" s="1"/>
  <c r="AX106" i="1"/>
  <c r="AV106" i="1"/>
  <c r="AU106" i="1"/>
  <c r="AM106" i="1"/>
  <c r="AK106" i="1"/>
  <c r="AJ106" i="1"/>
  <c r="AN107" i="1" s="1"/>
  <c r="AX105" i="1"/>
  <c r="AV105" i="1"/>
  <c r="AU105" i="1"/>
  <c r="AY106" i="1" s="1"/>
  <c r="AM105" i="1"/>
  <c r="AK105" i="1"/>
  <c r="AJ105" i="1"/>
  <c r="AN106" i="1" s="1"/>
  <c r="AX104" i="1"/>
  <c r="AV104" i="1"/>
  <c r="AU104" i="1"/>
  <c r="AM104" i="1"/>
  <c r="AK104" i="1"/>
  <c r="AJ104" i="1"/>
  <c r="AN105" i="1" s="1"/>
  <c r="AX103" i="1"/>
  <c r="AV103" i="1"/>
  <c r="AU103" i="1"/>
  <c r="AY104" i="1" s="1"/>
  <c r="AM103" i="1"/>
  <c r="AK103" i="1"/>
  <c r="AJ103" i="1"/>
  <c r="AN104" i="1" s="1"/>
  <c r="AX102" i="1"/>
  <c r="AV102" i="1"/>
  <c r="AU102" i="1"/>
  <c r="AM102" i="1"/>
  <c r="AK102" i="1"/>
  <c r="AJ102" i="1"/>
  <c r="AN103" i="1" s="1"/>
  <c r="AX101" i="1"/>
  <c r="AV101" i="1"/>
  <c r="AU101" i="1"/>
  <c r="AY102" i="1" s="1"/>
  <c r="AM101" i="1"/>
  <c r="AK101" i="1"/>
  <c r="AJ101" i="1"/>
  <c r="AN102" i="1" s="1"/>
  <c r="AX100" i="1"/>
  <c r="AV100" i="1"/>
  <c r="AU100" i="1"/>
  <c r="AY101" i="1" s="1"/>
  <c r="AM100" i="1"/>
  <c r="AK100" i="1"/>
  <c r="AJ100" i="1"/>
  <c r="AN101" i="1" s="1"/>
  <c r="AX99" i="1"/>
  <c r="AV99" i="1"/>
  <c r="AU99" i="1"/>
  <c r="AM99" i="1"/>
  <c r="AK99" i="1"/>
  <c r="AJ99" i="1"/>
  <c r="AN100" i="1" s="1"/>
  <c r="AX98" i="1"/>
  <c r="AV98" i="1"/>
  <c r="AU98" i="1"/>
  <c r="AY99" i="1" s="1"/>
  <c r="AM98" i="1"/>
  <c r="AK98" i="1"/>
  <c r="AJ98" i="1"/>
  <c r="AN99" i="1" s="1"/>
  <c r="AX97" i="1"/>
  <c r="AV97" i="1"/>
  <c r="AU97" i="1"/>
  <c r="AY98" i="1" s="1"/>
  <c r="AM97" i="1"/>
  <c r="AK97" i="1"/>
  <c r="AJ97" i="1"/>
  <c r="AN98" i="1" s="1"/>
  <c r="AX96" i="1"/>
  <c r="AV96" i="1"/>
  <c r="AU96" i="1"/>
  <c r="AY97" i="1" s="1"/>
  <c r="AM96" i="1"/>
  <c r="AK96" i="1"/>
  <c r="AJ96" i="1"/>
  <c r="AN97" i="1" s="1"/>
  <c r="AX95" i="1"/>
  <c r="AV95" i="1"/>
  <c r="AU95" i="1"/>
  <c r="AY96" i="1" s="1"/>
  <c r="AM95" i="1"/>
  <c r="AK95" i="1"/>
  <c r="AJ95" i="1"/>
  <c r="AN96" i="1" s="1"/>
  <c r="AX94" i="1"/>
  <c r="AV94" i="1"/>
  <c r="AU94" i="1"/>
  <c r="AY95" i="1" s="1"/>
  <c r="AM94" i="1"/>
  <c r="AK94" i="1"/>
  <c r="AJ94" i="1"/>
  <c r="AN95" i="1" s="1"/>
  <c r="AX93" i="1"/>
  <c r="AV93" i="1"/>
  <c r="AU93" i="1"/>
  <c r="AY94" i="1" s="1"/>
  <c r="AM93" i="1"/>
  <c r="AK93" i="1"/>
  <c r="AJ93" i="1"/>
  <c r="AN94" i="1" s="1"/>
  <c r="AX92" i="1"/>
  <c r="AV92" i="1"/>
  <c r="AU92" i="1"/>
  <c r="AY93" i="1" s="1"/>
  <c r="AM92" i="1"/>
  <c r="AK92" i="1"/>
  <c r="AJ92" i="1"/>
  <c r="AN93" i="1" s="1"/>
  <c r="AX91" i="1"/>
  <c r="AV91" i="1"/>
  <c r="AU91" i="1"/>
  <c r="AY92" i="1" s="1"/>
  <c r="AM91" i="1"/>
  <c r="AK91" i="1"/>
  <c r="AJ91" i="1"/>
  <c r="AN92" i="1" s="1"/>
  <c r="AX90" i="1"/>
  <c r="AV90" i="1"/>
  <c r="AU90" i="1"/>
  <c r="AM90" i="1"/>
  <c r="AK90" i="1"/>
  <c r="AJ90" i="1"/>
  <c r="AX89" i="1"/>
  <c r="AV89" i="1"/>
  <c r="AU89" i="1"/>
  <c r="AY90" i="1" s="1"/>
  <c r="AM89" i="1"/>
  <c r="AK89" i="1"/>
  <c r="AJ89" i="1"/>
  <c r="AN90" i="1" s="1"/>
  <c r="AX88" i="1"/>
  <c r="AV88" i="1"/>
  <c r="AU88" i="1"/>
  <c r="AY89" i="1" s="1"/>
  <c r="AM88" i="1"/>
  <c r="AK88" i="1"/>
  <c r="AJ88" i="1"/>
  <c r="AX87" i="1"/>
  <c r="AV87" i="1"/>
  <c r="AU87" i="1"/>
  <c r="AM87" i="1"/>
  <c r="AK87" i="1"/>
  <c r="AJ87" i="1"/>
  <c r="AN88" i="1" s="1"/>
  <c r="AX86" i="1"/>
  <c r="AV86" i="1"/>
  <c r="AU86" i="1"/>
  <c r="AY87" i="1" s="1"/>
  <c r="AM86" i="1"/>
  <c r="AK86" i="1"/>
  <c r="AJ86" i="1"/>
  <c r="AX85" i="1"/>
  <c r="AV85" i="1"/>
  <c r="AU85" i="1"/>
  <c r="AY86" i="1" s="1"/>
  <c r="AM85" i="1"/>
  <c r="AK85" i="1"/>
  <c r="AJ85" i="1"/>
  <c r="AN86" i="1" s="1"/>
  <c r="AX84" i="1"/>
  <c r="AV84" i="1"/>
  <c r="AU84" i="1"/>
  <c r="AM84" i="1"/>
  <c r="AK84" i="1"/>
  <c r="AJ84" i="1"/>
  <c r="AN85" i="1" s="1"/>
  <c r="AX83" i="1"/>
  <c r="AV83" i="1"/>
  <c r="AU83" i="1"/>
  <c r="AM83" i="1"/>
  <c r="AK83" i="1"/>
  <c r="AJ83" i="1"/>
  <c r="AN84" i="1" s="1"/>
  <c r="AX82" i="1"/>
  <c r="AV82" i="1"/>
  <c r="AU82" i="1"/>
  <c r="AM82" i="1"/>
  <c r="AK82" i="1"/>
  <c r="AJ82" i="1"/>
  <c r="AN83" i="1" s="1"/>
  <c r="AX81" i="1"/>
  <c r="AV81" i="1"/>
  <c r="AU81" i="1"/>
  <c r="AM81" i="1"/>
  <c r="AK81" i="1"/>
  <c r="AJ81" i="1"/>
  <c r="AN82" i="1" s="1"/>
  <c r="AX80" i="1"/>
  <c r="AV80" i="1"/>
  <c r="AU80" i="1"/>
  <c r="AY81" i="1" s="1"/>
  <c r="AM80" i="1"/>
  <c r="AK80" i="1"/>
  <c r="AJ80" i="1"/>
  <c r="AN81" i="1" s="1"/>
  <c r="AX79" i="1"/>
  <c r="AV79" i="1"/>
  <c r="AU79" i="1"/>
  <c r="AM79" i="1"/>
  <c r="AK79" i="1"/>
  <c r="AJ79" i="1"/>
  <c r="AN80" i="1" s="1"/>
  <c r="AX78" i="1"/>
  <c r="AV78" i="1"/>
  <c r="AU78" i="1"/>
  <c r="AY79" i="1" s="1"/>
  <c r="AM78" i="1"/>
  <c r="AK78" i="1"/>
  <c r="AJ78" i="1"/>
  <c r="AN79" i="1" s="1"/>
  <c r="AX77" i="1"/>
  <c r="AV77" i="1"/>
  <c r="AU77" i="1"/>
  <c r="AY78" i="1" s="1"/>
  <c r="AM77" i="1"/>
  <c r="AK77" i="1"/>
  <c r="AJ77" i="1"/>
  <c r="AX76" i="1"/>
  <c r="AV76" i="1"/>
  <c r="AU76" i="1"/>
  <c r="AY77" i="1" s="1"/>
  <c r="AM76" i="1"/>
  <c r="AK76" i="1"/>
  <c r="AJ76" i="1"/>
  <c r="AN77" i="1" s="1"/>
  <c r="AX75" i="1"/>
  <c r="AV75" i="1"/>
  <c r="AU75" i="1"/>
  <c r="AY76" i="1" s="1"/>
  <c r="AM75" i="1"/>
  <c r="AK75" i="1"/>
  <c r="AJ75" i="1"/>
  <c r="AN76" i="1" s="1"/>
  <c r="AX74" i="1"/>
  <c r="AV74" i="1"/>
  <c r="AU74" i="1"/>
  <c r="AY75" i="1" s="1"/>
  <c r="AM74" i="1"/>
  <c r="AK74" i="1"/>
  <c r="AJ74" i="1"/>
  <c r="AN75" i="1" s="1"/>
  <c r="AX73" i="1"/>
  <c r="AV73" i="1"/>
  <c r="AU73" i="1"/>
  <c r="AY74" i="1" s="1"/>
  <c r="AM73" i="1"/>
  <c r="AK73" i="1"/>
  <c r="AJ73" i="1"/>
  <c r="AX72" i="1"/>
  <c r="AV72" i="1"/>
  <c r="AU72" i="1"/>
  <c r="AY73" i="1" s="1"/>
  <c r="AM72" i="1"/>
  <c r="AK72" i="1"/>
  <c r="AJ72" i="1"/>
  <c r="AN73" i="1" s="1"/>
  <c r="AX71" i="1"/>
  <c r="AV71" i="1"/>
  <c r="AU71" i="1"/>
  <c r="AY72" i="1" s="1"/>
  <c r="AM71" i="1"/>
  <c r="AK71" i="1"/>
  <c r="AJ71" i="1"/>
  <c r="AN72" i="1" s="1"/>
  <c r="AX70" i="1"/>
  <c r="AV70" i="1"/>
  <c r="AU70" i="1"/>
  <c r="AM70" i="1"/>
  <c r="AK70" i="1"/>
  <c r="AJ70" i="1"/>
  <c r="AN71" i="1" s="1"/>
  <c r="AX69" i="1"/>
  <c r="AV69" i="1"/>
  <c r="AU69" i="1"/>
  <c r="AM69" i="1"/>
  <c r="AK69" i="1"/>
  <c r="AJ69" i="1"/>
  <c r="AN70" i="1" s="1"/>
  <c r="AX68" i="1"/>
  <c r="AV68" i="1"/>
  <c r="AU68" i="1"/>
  <c r="AY69" i="1" s="1"/>
  <c r="AM68" i="1"/>
  <c r="AK68" i="1"/>
  <c r="AJ68" i="1"/>
  <c r="AN69" i="1" s="1"/>
  <c r="AX67" i="1"/>
  <c r="AV67" i="1"/>
  <c r="AU67" i="1"/>
  <c r="AM67" i="1"/>
  <c r="AK67" i="1"/>
  <c r="AJ67" i="1"/>
  <c r="AN68" i="1" s="1"/>
  <c r="AX66" i="1"/>
  <c r="AV66" i="1"/>
  <c r="AU66" i="1"/>
  <c r="AM66" i="1"/>
  <c r="AK66" i="1"/>
  <c r="AJ66" i="1"/>
  <c r="AX65" i="1"/>
  <c r="AV65" i="1"/>
  <c r="AU65" i="1"/>
  <c r="AM65" i="1"/>
  <c r="AK65" i="1"/>
  <c r="AJ65" i="1"/>
  <c r="AN66" i="1" s="1"/>
  <c r="AX64" i="1"/>
  <c r="AV64" i="1"/>
  <c r="AU64" i="1"/>
  <c r="AM64" i="1"/>
  <c r="AK64" i="1"/>
  <c r="AJ64" i="1"/>
  <c r="AN65" i="1" s="1"/>
  <c r="AX63" i="1"/>
  <c r="AV63" i="1"/>
  <c r="AU63" i="1"/>
  <c r="AM63" i="1"/>
  <c r="AK63" i="1"/>
  <c r="AJ63" i="1"/>
  <c r="AN64" i="1" s="1"/>
  <c r="AX62" i="1"/>
  <c r="AV62" i="1"/>
  <c r="AU62" i="1"/>
  <c r="AY63" i="1" s="1"/>
  <c r="AM62" i="1"/>
  <c r="AK62" i="1"/>
  <c r="AJ62" i="1"/>
  <c r="AN63" i="1" s="1"/>
  <c r="AX61" i="1"/>
  <c r="AV61" i="1"/>
  <c r="AU61" i="1"/>
  <c r="AM61" i="1"/>
  <c r="AK61" i="1"/>
  <c r="AJ61" i="1"/>
  <c r="AN62" i="1" s="1"/>
  <c r="AX60" i="1"/>
  <c r="AV60" i="1"/>
  <c r="AU60" i="1"/>
  <c r="AY61" i="1" s="1"/>
  <c r="AM60" i="1"/>
  <c r="AK60" i="1"/>
  <c r="AJ60" i="1"/>
  <c r="AN61" i="1" s="1"/>
  <c r="AX59" i="1"/>
  <c r="AV59" i="1"/>
  <c r="AU59" i="1"/>
  <c r="AM59" i="1"/>
  <c r="AK59" i="1"/>
  <c r="AJ59" i="1"/>
  <c r="AN60" i="1" s="1"/>
  <c r="AX58" i="1"/>
  <c r="AV58" i="1"/>
  <c r="AU58" i="1"/>
  <c r="AM58" i="1"/>
  <c r="AK58" i="1"/>
  <c r="AJ58" i="1"/>
  <c r="AN59" i="1" s="1"/>
  <c r="AX57" i="1"/>
  <c r="AV57" i="1"/>
  <c r="AU57" i="1"/>
  <c r="AM57" i="1"/>
  <c r="AK57" i="1"/>
  <c r="AJ57" i="1"/>
  <c r="AN58" i="1" s="1"/>
  <c r="AX56" i="1"/>
  <c r="AV56" i="1"/>
  <c r="AU56" i="1"/>
  <c r="AY57" i="1" s="1"/>
  <c r="AM56" i="1"/>
  <c r="AK56" i="1"/>
  <c r="AJ56" i="1"/>
  <c r="AN57" i="1" s="1"/>
  <c r="AX55" i="1"/>
  <c r="AV55" i="1"/>
  <c r="AU55" i="1"/>
  <c r="AM55" i="1"/>
  <c r="AK55" i="1"/>
  <c r="AJ55" i="1"/>
  <c r="AN56" i="1" s="1"/>
  <c r="AX54" i="1"/>
  <c r="AV54" i="1"/>
  <c r="AU54" i="1"/>
  <c r="AM54" i="1"/>
  <c r="AK54" i="1"/>
  <c r="AJ54" i="1"/>
  <c r="AX53" i="1"/>
  <c r="AV53" i="1"/>
  <c r="AU53" i="1"/>
  <c r="AY54" i="1" s="1"/>
  <c r="AM53" i="1"/>
  <c r="AK53" i="1"/>
  <c r="AJ53" i="1"/>
  <c r="AN54" i="1" s="1"/>
  <c r="AX52" i="1"/>
  <c r="AV52" i="1"/>
  <c r="AU52" i="1"/>
  <c r="AM52" i="1"/>
  <c r="AK52" i="1"/>
  <c r="AJ52" i="1"/>
  <c r="AX51" i="1"/>
  <c r="AV51" i="1"/>
  <c r="AU51" i="1"/>
  <c r="AM51" i="1"/>
  <c r="AK51" i="1"/>
  <c r="AJ51" i="1"/>
  <c r="AX50" i="1"/>
  <c r="AV50" i="1"/>
  <c r="AU50" i="1"/>
  <c r="AM50" i="1"/>
  <c r="AK50" i="1"/>
  <c r="AJ50" i="1"/>
  <c r="AN51" i="1" s="1"/>
  <c r="AX49" i="1"/>
  <c r="AV49" i="1"/>
  <c r="AU49" i="1"/>
  <c r="AM49" i="1"/>
  <c r="AK49" i="1"/>
  <c r="AJ49" i="1"/>
  <c r="AN50" i="1" s="1"/>
  <c r="AX48" i="1"/>
  <c r="AV48" i="1"/>
  <c r="AU48" i="1"/>
  <c r="AM48" i="1"/>
  <c r="AK48" i="1"/>
  <c r="AJ48" i="1"/>
  <c r="AX47" i="1"/>
  <c r="AV47" i="1"/>
  <c r="AU47" i="1"/>
  <c r="AY48" i="1" s="1"/>
  <c r="AM47" i="1"/>
  <c r="AK47" i="1"/>
  <c r="AJ47" i="1"/>
  <c r="AX46" i="1"/>
  <c r="AV46" i="1"/>
  <c r="AU46" i="1"/>
  <c r="AM46" i="1"/>
  <c r="AK46" i="1"/>
  <c r="AJ46" i="1"/>
  <c r="AX45" i="1"/>
  <c r="AV45" i="1"/>
  <c r="AU45" i="1"/>
  <c r="AY46" i="1" s="1"/>
  <c r="AM45" i="1"/>
  <c r="AK45" i="1"/>
  <c r="AJ45" i="1"/>
  <c r="AX44" i="1"/>
  <c r="AV44" i="1"/>
  <c r="AU44" i="1"/>
  <c r="AY45" i="1" s="1"/>
  <c r="AM44" i="1"/>
  <c r="AK44" i="1"/>
  <c r="AJ44" i="1"/>
  <c r="AX43" i="1"/>
  <c r="AV43" i="1"/>
  <c r="AU43" i="1"/>
  <c r="AM43" i="1"/>
  <c r="AK43" i="1"/>
  <c r="AJ43" i="1"/>
  <c r="AN44" i="1" s="1"/>
  <c r="AX42" i="1"/>
  <c r="AV42" i="1"/>
  <c r="AU42" i="1"/>
  <c r="AY43" i="1" s="1"/>
  <c r="AM42" i="1"/>
  <c r="AK42" i="1"/>
  <c r="AJ42" i="1"/>
  <c r="AN43" i="1" s="1"/>
  <c r="AX41" i="1"/>
  <c r="AV41" i="1"/>
  <c r="AU41" i="1"/>
  <c r="AY42" i="1" s="1"/>
  <c r="AM41" i="1"/>
  <c r="AK41" i="1"/>
  <c r="AJ41" i="1"/>
  <c r="AN42" i="1" s="1"/>
  <c r="AX40" i="1"/>
  <c r="AV40" i="1"/>
  <c r="AU40" i="1"/>
  <c r="AM40" i="1"/>
  <c r="AK40" i="1"/>
  <c r="AJ40" i="1"/>
  <c r="AN41" i="1" s="1"/>
  <c r="AX39" i="1"/>
  <c r="AV39" i="1"/>
  <c r="AU39" i="1"/>
  <c r="AM39" i="1"/>
  <c r="AK39" i="1"/>
  <c r="AJ39" i="1"/>
  <c r="AN40" i="1" s="1"/>
  <c r="AX38" i="1"/>
  <c r="AV38" i="1"/>
  <c r="AU38" i="1"/>
  <c r="AM38" i="1"/>
  <c r="AK38" i="1"/>
  <c r="AJ38" i="1"/>
  <c r="AN39" i="1" s="1"/>
  <c r="AX37" i="1"/>
  <c r="AV37" i="1"/>
  <c r="AU37" i="1"/>
  <c r="AM37" i="1"/>
  <c r="AK37" i="1"/>
  <c r="AJ37" i="1"/>
  <c r="AN38" i="1" s="1"/>
  <c r="AX36" i="1"/>
  <c r="AV36" i="1"/>
  <c r="AU36" i="1"/>
  <c r="AY37" i="1" s="1"/>
  <c r="AM36" i="1"/>
  <c r="AK36" i="1"/>
  <c r="AJ36" i="1"/>
  <c r="AN37" i="1" s="1"/>
  <c r="AX35" i="1"/>
  <c r="AV35" i="1"/>
  <c r="AU35" i="1"/>
  <c r="AY36" i="1" s="1"/>
  <c r="AM35" i="1"/>
  <c r="AK35" i="1"/>
  <c r="AJ35" i="1"/>
  <c r="AN36" i="1" s="1"/>
  <c r="AX34" i="1"/>
  <c r="AV34" i="1"/>
  <c r="AU34" i="1"/>
  <c r="AY35" i="1" s="1"/>
  <c r="AM34" i="1"/>
  <c r="AK34" i="1"/>
  <c r="AJ34" i="1"/>
  <c r="AN35" i="1" s="1"/>
  <c r="AX33" i="1"/>
  <c r="AV33" i="1"/>
  <c r="AU33" i="1"/>
  <c r="AY34" i="1" s="1"/>
  <c r="AM33" i="1"/>
  <c r="AK33" i="1"/>
  <c r="AJ33" i="1"/>
  <c r="AN34" i="1" s="1"/>
  <c r="AX32" i="1"/>
  <c r="AV32" i="1"/>
  <c r="AU32" i="1"/>
  <c r="AY33" i="1" s="1"/>
  <c r="AM32" i="1"/>
  <c r="AK32" i="1"/>
  <c r="AJ32" i="1"/>
  <c r="AN33" i="1" s="1"/>
  <c r="AX31" i="1"/>
  <c r="AV31" i="1"/>
  <c r="AU31" i="1"/>
  <c r="AM31" i="1"/>
  <c r="AK31" i="1"/>
  <c r="AJ31" i="1"/>
  <c r="AN32" i="1" s="1"/>
  <c r="AX30" i="1"/>
  <c r="AV30" i="1"/>
  <c r="AU30" i="1"/>
  <c r="AY31" i="1" s="1"/>
  <c r="AM30" i="1"/>
  <c r="AK30" i="1"/>
  <c r="AJ30" i="1"/>
  <c r="AX29" i="1"/>
  <c r="AV29" i="1"/>
  <c r="AU29" i="1"/>
  <c r="AY30" i="1" s="1"/>
  <c r="AM29" i="1"/>
  <c r="AK29" i="1"/>
  <c r="AJ29" i="1"/>
  <c r="AN30" i="1" s="1"/>
  <c r="AX28" i="1"/>
  <c r="AV28" i="1"/>
  <c r="AU28" i="1"/>
  <c r="AM28" i="1"/>
  <c r="AK28" i="1"/>
  <c r="AJ28" i="1"/>
  <c r="AN29" i="1" s="1"/>
  <c r="AX27" i="1"/>
  <c r="AV27" i="1"/>
  <c r="AU27" i="1"/>
  <c r="AM27" i="1"/>
  <c r="AK27" i="1"/>
  <c r="AJ27" i="1"/>
  <c r="AN28" i="1" s="1"/>
  <c r="AX26" i="1"/>
  <c r="AV26" i="1"/>
  <c r="AU26" i="1"/>
  <c r="AY27" i="1" s="1"/>
  <c r="AM26" i="1"/>
  <c r="AK26" i="1"/>
  <c r="AJ26" i="1"/>
  <c r="AN27" i="1" s="1"/>
  <c r="AX25" i="1"/>
  <c r="AV25" i="1"/>
  <c r="AU25" i="1"/>
  <c r="AM25" i="1"/>
  <c r="AK25" i="1"/>
  <c r="AJ25" i="1"/>
  <c r="AN26" i="1" s="1"/>
  <c r="AX24" i="1"/>
  <c r="AV24" i="1"/>
  <c r="AU24" i="1"/>
  <c r="AM24" i="1"/>
  <c r="AK24" i="1"/>
  <c r="AJ24" i="1"/>
  <c r="AN25" i="1" s="1"/>
  <c r="AX23" i="1"/>
  <c r="AV23" i="1"/>
  <c r="AU23" i="1"/>
  <c r="AY24" i="1" s="1"/>
  <c r="AM23" i="1"/>
  <c r="AK23" i="1"/>
  <c r="AJ23" i="1"/>
  <c r="AN24" i="1" s="1"/>
  <c r="AX22" i="1"/>
  <c r="AW22" i="1"/>
  <c r="AV22" i="1"/>
  <c r="AU22" i="1"/>
  <c r="AY23" i="1" s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47" i="1" l="1"/>
  <c r="AY103" i="1"/>
  <c r="AY88" i="1"/>
  <c r="AY105" i="1"/>
  <c r="AY100" i="1"/>
  <c r="AY85" i="1"/>
  <c r="AY60" i="1"/>
  <c r="AY59" i="1"/>
  <c r="AY58" i="1"/>
  <c r="AY55" i="1"/>
  <c r="AY25" i="1"/>
  <c r="AY28" i="1"/>
  <c r="AY62" i="1"/>
  <c r="AY56" i="1"/>
  <c r="AY53" i="1"/>
  <c r="AY52" i="1"/>
  <c r="AY44" i="1"/>
  <c r="AY39" i="1"/>
  <c r="AY91" i="1"/>
  <c r="AY66" i="1"/>
  <c r="AY65" i="1"/>
  <c r="AY64" i="1"/>
  <c r="AY51" i="1"/>
  <c r="AY50" i="1"/>
  <c r="AY49" i="1"/>
  <c r="AY47" i="1"/>
  <c r="AY41" i="1"/>
  <c r="AY40" i="1"/>
  <c r="AY32" i="1"/>
  <c r="AY26" i="1"/>
  <c r="AY154" i="1"/>
  <c r="AY107" i="1"/>
  <c r="AN139" i="1"/>
  <c r="AY29" i="1"/>
  <c r="AN133" i="1"/>
  <c r="AN67" i="1"/>
  <c r="AZ176" i="1"/>
  <c r="BA176" i="1"/>
  <c r="AW176" i="1"/>
  <c r="AP176" i="1"/>
  <c r="AO176" i="1"/>
  <c r="AL176" i="1"/>
  <c r="BA175" i="1"/>
  <c r="AZ175" i="1"/>
  <c r="BB175" i="1" s="1"/>
  <c r="AW175" i="1"/>
  <c r="BA174" i="1"/>
  <c r="AZ174" i="1"/>
  <c r="BB174" i="1" s="1"/>
  <c r="AW174" i="1"/>
  <c r="AP174" i="1"/>
  <c r="AL174" i="1"/>
  <c r="AN175" i="1" s="1"/>
  <c r="AO174" i="1"/>
  <c r="AQ174" i="1" s="1"/>
  <c r="BE174" i="1" s="1"/>
  <c r="BA173" i="1"/>
  <c r="AZ173" i="1"/>
  <c r="BB173" i="1" s="1"/>
  <c r="AW173" i="1"/>
  <c r="AO173" i="1"/>
  <c r="AP173" i="1"/>
  <c r="AL173" i="1"/>
  <c r="BA172" i="1"/>
  <c r="AZ172" i="1"/>
  <c r="BB172" i="1" s="1"/>
  <c r="AW172" i="1"/>
  <c r="BA171" i="1"/>
  <c r="AZ171" i="1"/>
  <c r="BB171" i="1" s="1"/>
  <c r="AW171" i="1"/>
  <c r="AP171" i="1"/>
  <c r="AL171" i="1"/>
  <c r="AN172" i="1" s="1"/>
  <c r="AO171" i="1"/>
  <c r="AQ171" i="1" s="1"/>
  <c r="AZ170" i="1"/>
  <c r="BA170" i="1"/>
  <c r="AW170" i="1"/>
  <c r="AP170" i="1"/>
  <c r="AO170" i="1"/>
  <c r="AQ170" i="1" s="1"/>
  <c r="AL170" i="1"/>
  <c r="BA169" i="1"/>
  <c r="AZ169" i="1"/>
  <c r="BB169" i="1" s="1"/>
  <c r="AW169" i="1"/>
  <c r="BA168" i="1"/>
  <c r="AZ168" i="1"/>
  <c r="AW168" i="1"/>
  <c r="AP168" i="1"/>
  <c r="AL168" i="1"/>
  <c r="AN169" i="1" s="1"/>
  <c r="AO168" i="1"/>
  <c r="AQ168" i="1" s="1"/>
  <c r="AW167" i="1"/>
  <c r="AZ167" i="1"/>
  <c r="BA167" i="1"/>
  <c r="AZ166" i="1"/>
  <c r="BA166" i="1"/>
  <c r="AW166" i="1"/>
  <c r="AW165" i="1"/>
  <c r="AZ165" i="1"/>
  <c r="BA165" i="1"/>
  <c r="AW164" i="1"/>
  <c r="BA164" i="1"/>
  <c r="AZ164" i="1"/>
  <c r="BB164" i="1" s="1"/>
  <c r="AL164" i="1"/>
  <c r="AN165" i="1" s="1"/>
  <c r="AO164" i="1"/>
  <c r="AP164" i="1"/>
  <c r="AW163" i="1"/>
  <c r="AZ163" i="1"/>
  <c r="BA163" i="1"/>
  <c r="AL163" i="1"/>
  <c r="AP163" i="1"/>
  <c r="AO163" i="1"/>
  <c r="AQ163" i="1" s="1"/>
  <c r="BA162" i="1"/>
  <c r="AW162" i="1"/>
  <c r="AZ162" i="1"/>
  <c r="AZ161" i="1"/>
  <c r="BA161" i="1"/>
  <c r="AW161" i="1"/>
  <c r="BA160" i="1"/>
  <c r="AW160" i="1"/>
  <c r="AZ160" i="1"/>
  <c r="BB160" i="1" s="1"/>
  <c r="BA159" i="1"/>
  <c r="AW159" i="1"/>
  <c r="AZ159" i="1"/>
  <c r="BB159" i="1" s="1"/>
  <c r="AW158" i="1"/>
  <c r="BA158" i="1"/>
  <c r="AZ158" i="1"/>
  <c r="BA157" i="1"/>
  <c r="AW157" i="1"/>
  <c r="AZ157" i="1"/>
  <c r="BB157" i="1" s="1"/>
  <c r="AW156" i="1"/>
  <c r="AZ156" i="1"/>
  <c r="BA156" i="1"/>
  <c r="AZ155" i="1"/>
  <c r="AW155" i="1"/>
  <c r="BA155" i="1"/>
  <c r="AW154" i="1"/>
  <c r="AZ154" i="1"/>
  <c r="BA154" i="1"/>
  <c r="AP154" i="1"/>
  <c r="AO154" i="1"/>
  <c r="AQ154" i="1" s="1"/>
  <c r="AL154" i="1"/>
  <c r="AN155" i="1" s="1"/>
  <c r="BA153" i="1"/>
  <c r="AW153" i="1"/>
  <c r="AZ153" i="1"/>
  <c r="BB153" i="1" s="1"/>
  <c r="AO153" i="1"/>
  <c r="AP153" i="1"/>
  <c r="AL153" i="1"/>
  <c r="AW152" i="1"/>
  <c r="BA152" i="1"/>
  <c r="AZ152" i="1"/>
  <c r="BB152" i="1" s="1"/>
  <c r="AP152" i="1"/>
  <c r="AL152" i="1"/>
  <c r="AO152" i="1"/>
  <c r="AQ152" i="1" s="1"/>
  <c r="BA151" i="1"/>
  <c r="AW151" i="1"/>
  <c r="AZ151" i="1"/>
  <c r="BB151" i="1" s="1"/>
  <c r="AW150" i="1"/>
  <c r="BA150" i="1"/>
  <c r="AZ150" i="1"/>
  <c r="BB150" i="1" s="1"/>
  <c r="AO150" i="1"/>
  <c r="AP150" i="1"/>
  <c r="AL150" i="1"/>
  <c r="AN151" i="1" s="1"/>
  <c r="BA149" i="1"/>
  <c r="AZ149" i="1"/>
  <c r="BB149" i="1" s="1"/>
  <c r="AW149" i="1"/>
  <c r="AW148" i="1"/>
  <c r="BA148" i="1"/>
  <c r="AZ148" i="1"/>
  <c r="BB148" i="1" s="1"/>
  <c r="AL148" i="1"/>
  <c r="AN149" i="1" s="1"/>
  <c r="AP148" i="1"/>
  <c r="AO148" i="1"/>
  <c r="AQ148" i="1" s="1"/>
  <c r="BE148" i="1" s="1"/>
  <c r="BA147" i="1"/>
  <c r="AW147" i="1"/>
  <c r="AZ147" i="1"/>
  <c r="BB147" i="1" s="1"/>
  <c r="AW146" i="1"/>
  <c r="BA146" i="1"/>
  <c r="AZ146" i="1"/>
  <c r="BB146" i="1" s="1"/>
  <c r="AL146" i="1"/>
  <c r="AN147" i="1" s="1"/>
  <c r="AP146" i="1"/>
  <c r="AO146" i="1"/>
  <c r="AQ146" i="1" s="1"/>
  <c r="AZ145" i="1"/>
  <c r="BA145" i="1"/>
  <c r="AW145" i="1"/>
  <c r="AL145" i="1"/>
  <c r="AO145" i="1"/>
  <c r="AP145" i="1"/>
  <c r="BA144" i="1"/>
  <c r="AW144" i="1"/>
  <c r="AZ144" i="1"/>
  <c r="BB144" i="1" s="1"/>
  <c r="AP144" i="1"/>
  <c r="AO144" i="1"/>
  <c r="AQ144" i="1" s="1"/>
  <c r="AL144" i="1"/>
  <c r="BA143" i="1"/>
  <c r="AW143" i="1"/>
  <c r="AZ143" i="1"/>
  <c r="BB143" i="1" s="1"/>
  <c r="AP143" i="1"/>
  <c r="AO143" i="1"/>
  <c r="AQ143" i="1" s="1"/>
  <c r="AL143" i="1"/>
  <c r="AZ142" i="1"/>
  <c r="AW142" i="1"/>
  <c r="BA142" i="1"/>
  <c r="BA141" i="1"/>
  <c r="AZ141" i="1"/>
  <c r="BB141" i="1" s="1"/>
  <c r="AW141" i="1"/>
  <c r="AP141" i="1"/>
  <c r="AO141" i="1"/>
  <c r="AQ141" i="1" s="1"/>
  <c r="AL141" i="1"/>
  <c r="AN142" i="1" s="1"/>
  <c r="AZ140" i="1"/>
  <c r="AW140" i="1"/>
  <c r="BA140" i="1"/>
  <c r="AL140" i="1"/>
  <c r="AO140" i="1"/>
  <c r="AP140" i="1"/>
  <c r="AW139" i="1"/>
  <c r="AZ139" i="1"/>
  <c r="BA139" i="1"/>
  <c r="AL139" i="1"/>
  <c r="AO139" i="1"/>
  <c r="AP139" i="1"/>
  <c r="BA138" i="1"/>
  <c r="AW138" i="1"/>
  <c r="AZ138" i="1"/>
  <c r="BB138" i="1" s="1"/>
  <c r="AP138" i="1"/>
  <c r="AO138" i="1"/>
  <c r="AQ138" i="1" s="1"/>
  <c r="AL138" i="1"/>
  <c r="BA137" i="1"/>
  <c r="AW137" i="1"/>
  <c r="AZ137" i="1"/>
  <c r="BB137" i="1" s="1"/>
  <c r="AL137" i="1"/>
  <c r="AP137" i="1"/>
  <c r="AO137" i="1"/>
  <c r="AQ137" i="1" s="1"/>
  <c r="AL136" i="1"/>
  <c r="AO136" i="1"/>
  <c r="AP136" i="1"/>
  <c r="BA135" i="1"/>
  <c r="AW135" i="1"/>
  <c r="AY136" i="1" s="1"/>
  <c r="AZ135" i="1"/>
  <c r="BB135" i="1" s="1"/>
  <c r="AL135" i="1"/>
  <c r="AO135" i="1"/>
  <c r="AP135" i="1"/>
  <c r="AZ134" i="1"/>
  <c r="BA134" i="1"/>
  <c r="AW134" i="1"/>
  <c r="AO134" i="1"/>
  <c r="AL134" i="1"/>
  <c r="AP134" i="1"/>
  <c r="AO133" i="1"/>
  <c r="AP133" i="1"/>
  <c r="AL133" i="1"/>
  <c r="AL132" i="1"/>
  <c r="AP132" i="1"/>
  <c r="AO132" i="1"/>
  <c r="AQ132" i="1" s="1"/>
  <c r="AW131" i="1"/>
  <c r="AY132" i="1" s="1"/>
  <c r="BA131" i="1"/>
  <c r="AZ131" i="1"/>
  <c r="BB131" i="1" s="1"/>
  <c r="AL131" i="1"/>
  <c r="AP131" i="1"/>
  <c r="AO131" i="1"/>
  <c r="AQ131" i="1" s="1"/>
  <c r="AO130" i="1"/>
  <c r="AP130" i="1"/>
  <c r="AL130" i="1"/>
  <c r="BA129" i="1"/>
  <c r="AW129" i="1"/>
  <c r="AY130" i="1" s="1"/>
  <c r="AZ129" i="1"/>
  <c r="BB129" i="1" s="1"/>
  <c r="AO129" i="1"/>
  <c r="AL129" i="1"/>
  <c r="AP129" i="1"/>
  <c r="AW128" i="1"/>
  <c r="AZ128" i="1"/>
  <c r="BA128" i="1"/>
  <c r="AP128" i="1"/>
  <c r="AL128" i="1"/>
  <c r="AO128" i="1"/>
  <c r="AQ128" i="1" s="1"/>
  <c r="AZ127" i="1"/>
  <c r="BA127" i="1"/>
  <c r="AW127" i="1"/>
  <c r="AO127" i="1"/>
  <c r="AL127" i="1"/>
  <c r="AP127" i="1"/>
  <c r="AZ126" i="1"/>
  <c r="AW126" i="1"/>
  <c r="BA126" i="1"/>
  <c r="AO126" i="1"/>
  <c r="AL126" i="1"/>
  <c r="AP126" i="1"/>
  <c r="BA125" i="1"/>
  <c r="AW125" i="1"/>
  <c r="AZ125" i="1"/>
  <c r="AO125" i="1"/>
  <c r="AP125" i="1"/>
  <c r="AL125" i="1"/>
  <c r="AZ124" i="1"/>
  <c r="AW124" i="1"/>
  <c r="BA124" i="1"/>
  <c r="AL124" i="1"/>
  <c r="AO124" i="1"/>
  <c r="AP124" i="1"/>
  <c r="AW123" i="1"/>
  <c r="BA123" i="1"/>
  <c r="AZ123" i="1"/>
  <c r="BB123" i="1" s="1"/>
  <c r="AO123" i="1"/>
  <c r="AP123" i="1"/>
  <c r="AL123" i="1"/>
  <c r="AW122" i="1"/>
  <c r="BA122" i="1"/>
  <c r="AZ122" i="1"/>
  <c r="AP122" i="1"/>
  <c r="AL122" i="1"/>
  <c r="AO122" i="1"/>
  <c r="AQ122" i="1" s="1"/>
  <c r="AW121" i="1"/>
  <c r="BA121" i="1"/>
  <c r="AZ121" i="1"/>
  <c r="BB121" i="1" s="1"/>
  <c r="AL121" i="1"/>
  <c r="AO121" i="1"/>
  <c r="AP121" i="1"/>
  <c r="AW120" i="1"/>
  <c r="AZ120" i="1"/>
  <c r="BA120" i="1"/>
  <c r="AP120" i="1"/>
  <c r="AL120" i="1"/>
  <c r="AO120" i="1"/>
  <c r="AQ120" i="1" s="1"/>
  <c r="AZ119" i="1"/>
  <c r="BA119" i="1"/>
  <c r="AW119" i="1"/>
  <c r="AP119" i="1"/>
  <c r="AO119" i="1"/>
  <c r="AQ119" i="1" s="1"/>
  <c r="AL119" i="1"/>
  <c r="AP118" i="1"/>
  <c r="AL118" i="1"/>
  <c r="AO118" i="1"/>
  <c r="AQ118" i="1" s="1"/>
  <c r="AO117" i="1"/>
  <c r="AP117" i="1"/>
  <c r="AL117" i="1"/>
  <c r="AW116" i="1"/>
  <c r="AY117" i="1" s="1"/>
  <c r="AZ116" i="1"/>
  <c r="BA116" i="1"/>
  <c r="AP116" i="1"/>
  <c r="AL116" i="1"/>
  <c r="AO116" i="1"/>
  <c r="AQ116" i="1" s="1"/>
  <c r="AL115" i="1"/>
  <c r="AO115" i="1"/>
  <c r="AP115" i="1"/>
  <c r="AP114" i="1"/>
  <c r="AL114" i="1"/>
  <c r="AO114" i="1"/>
  <c r="AQ114" i="1" s="1"/>
  <c r="AL113" i="1"/>
  <c r="AP113" i="1"/>
  <c r="AO113" i="1"/>
  <c r="AQ113" i="1" s="1"/>
  <c r="AP112" i="1"/>
  <c r="AO112" i="1"/>
  <c r="AQ112" i="1" s="1"/>
  <c r="AL112" i="1"/>
  <c r="AL111" i="1"/>
  <c r="AP111" i="1"/>
  <c r="AO111" i="1"/>
  <c r="AQ111" i="1" s="1"/>
  <c r="BA110" i="1"/>
  <c r="AW110" i="1"/>
  <c r="AY111" i="1" s="1"/>
  <c r="AZ110" i="1"/>
  <c r="AL110" i="1"/>
  <c r="AP110" i="1"/>
  <c r="AO110" i="1"/>
  <c r="AQ110" i="1" s="1"/>
  <c r="AW109" i="1"/>
  <c r="AZ109" i="1"/>
  <c r="BA109" i="1"/>
  <c r="AO109" i="1"/>
  <c r="AL109" i="1"/>
  <c r="AP109" i="1"/>
  <c r="AL108" i="1"/>
  <c r="AO108" i="1"/>
  <c r="AP108" i="1"/>
  <c r="AW107" i="1"/>
  <c r="AY108" i="1" s="1"/>
  <c r="BA107" i="1"/>
  <c r="AZ107" i="1"/>
  <c r="BB107" i="1" s="1"/>
  <c r="AL107" i="1"/>
  <c r="AO107" i="1"/>
  <c r="AP107" i="1"/>
  <c r="AZ106" i="1"/>
  <c r="AW106" i="1"/>
  <c r="BA106" i="1"/>
  <c r="AP106" i="1"/>
  <c r="AO106" i="1"/>
  <c r="AQ106" i="1" s="1"/>
  <c r="AL106" i="1"/>
  <c r="BA105" i="1"/>
  <c r="AW105" i="1"/>
  <c r="AZ105" i="1"/>
  <c r="BB105" i="1" s="1"/>
  <c r="AL105" i="1"/>
  <c r="AP105" i="1"/>
  <c r="AO105" i="1"/>
  <c r="AQ105" i="1" s="1"/>
  <c r="BA104" i="1"/>
  <c r="AZ104" i="1"/>
  <c r="BB104" i="1" s="1"/>
  <c r="AW104" i="1"/>
  <c r="AP104" i="1"/>
  <c r="AL104" i="1"/>
  <c r="AO104" i="1"/>
  <c r="AQ104" i="1" s="1"/>
  <c r="AW103" i="1"/>
  <c r="BA103" i="1"/>
  <c r="AZ103" i="1"/>
  <c r="BB103" i="1" s="1"/>
  <c r="AO103" i="1"/>
  <c r="AP103" i="1"/>
  <c r="AL103" i="1"/>
  <c r="BA102" i="1"/>
  <c r="AZ102" i="1"/>
  <c r="BB102" i="1" s="1"/>
  <c r="AW102" i="1"/>
  <c r="AP102" i="1"/>
  <c r="AL102" i="1"/>
  <c r="AO102" i="1"/>
  <c r="AQ102" i="1" s="1"/>
  <c r="BE102" i="1" s="1"/>
  <c r="AZ101" i="1"/>
  <c r="AW101" i="1"/>
  <c r="BA101" i="1"/>
  <c r="AO101" i="1"/>
  <c r="AP101" i="1"/>
  <c r="AL101" i="1"/>
  <c r="AZ100" i="1"/>
  <c r="AW100" i="1"/>
  <c r="BA100" i="1"/>
  <c r="AL100" i="1"/>
  <c r="AP100" i="1"/>
  <c r="AO100" i="1"/>
  <c r="AQ100" i="1" s="1"/>
  <c r="AZ99" i="1"/>
  <c r="BA99" i="1"/>
  <c r="AW99" i="1"/>
  <c r="AL99" i="1"/>
  <c r="AO99" i="1"/>
  <c r="AP99" i="1"/>
  <c r="AZ98" i="1"/>
  <c r="BA98" i="1"/>
  <c r="AW98" i="1"/>
  <c r="AL98" i="1"/>
  <c r="AP98" i="1"/>
  <c r="AO98" i="1"/>
  <c r="AQ98" i="1" s="1"/>
  <c r="AW97" i="1"/>
  <c r="BA97" i="1"/>
  <c r="AZ97" i="1"/>
  <c r="BB97" i="1" s="1"/>
  <c r="AP97" i="1"/>
  <c r="AL97" i="1"/>
  <c r="AO97" i="1"/>
  <c r="AQ97" i="1" s="1"/>
  <c r="AZ96" i="1"/>
  <c r="BA96" i="1"/>
  <c r="AW96" i="1"/>
  <c r="AP96" i="1"/>
  <c r="AO96" i="1"/>
  <c r="AQ96" i="1" s="1"/>
  <c r="AL96" i="1"/>
  <c r="BA95" i="1"/>
  <c r="AW95" i="1"/>
  <c r="AZ95" i="1"/>
  <c r="BB95" i="1" s="1"/>
  <c r="AP95" i="1"/>
  <c r="AL95" i="1"/>
  <c r="AO95" i="1"/>
  <c r="AQ95" i="1" s="1"/>
  <c r="AZ94" i="1"/>
  <c r="AW94" i="1"/>
  <c r="BA94" i="1"/>
  <c r="AL94" i="1"/>
  <c r="AP94" i="1"/>
  <c r="AO94" i="1"/>
  <c r="AQ94" i="1" s="1"/>
  <c r="AZ93" i="1"/>
  <c r="AW93" i="1"/>
  <c r="BA93" i="1"/>
  <c r="AO93" i="1"/>
  <c r="AP93" i="1"/>
  <c r="AL93" i="1"/>
  <c r="AZ92" i="1"/>
  <c r="AW92" i="1"/>
  <c r="BA92" i="1"/>
  <c r="AP92" i="1"/>
  <c r="AL92" i="1"/>
  <c r="AO92" i="1"/>
  <c r="AQ92" i="1" s="1"/>
  <c r="BA91" i="1"/>
  <c r="AZ91" i="1"/>
  <c r="BB91" i="1" s="1"/>
  <c r="AW91" i="1"/>
  <c r="AW90" i="1"/>
  <c r="BA90" i="1"/>
  <c r="AZ90" i="1"/>
  <c r="BB90" i="1" s="1"/>
  <c r="AP90" i="1"/>
  <c r="AO90" i="1"/>
  <c r="AQ90" i="1" s="1"/>
  <c r="AL90" i="1"/>
  <c r="AN91" i="1" s="1"/>
  <c r="BA89" i="1"/>
  <c r="AZ89" i="1"/>
  <c r="BB89" i="1" s="1"/>
  <c r="AW89" i="1"/>
  <c r="AW88" i="1"/>
  <c r="BA88" i="1"/>
  <c r="AZ88" i="1"/>
  <c r="BB88" i="1" s="1"/>
  <c r="AP88" i="1"/>
  <c r="AL88" i="1"/>
  <c r="AN89" i="1" s="1"/>
  <c r="AO88" i="1"/>
  <c r="AQ88" i="1" s="1"/>
  <c r="AZ87" i="1"/>
  <c r="AW87" i="1"/>
  <c r="BA87" i="1"/>
  <c r="BA86" i="1"/>
  <c r="AW86" i="1"/>
  <c r="AZ86" i="1"/>
  <c r="BB86" i="1" s="1"/>
  <c r="AL86" i="1"/>
  <c r="AN87" i="1" s="1"/>
  <c r="AO86" i="1"/>
  <c r="AP86" i="1"/>
  <c r="BA85" i="1"/>
  <c r="AW85" i="1"/>
  <c r="AZ85" i="1"/>
  <c r="BB85" i="1" s="1"/>
  <c r="AL85" i="1"/>
  <c r="AO85" i="1"/>
  <c r="AP85" i="1"/>
  <c r="AL84" i="1"/>
  <c r="AO84" i="1"/>
  <c r="AP84" i="1"/>
  <c r="AO83" i="1"/>
  <c r="AP83" i="1"/>
  <c r="AL83" i="1"/>
  <c r="AP82" i="1"/>
  <c r="AL82" i="1"/>
  <c r="AO82" i="1"/>
  <c r="AQ82" i="1" s="1"/>
  <c r="AW81" i="1"/>
  <c r="AY82" i="1" s="1"/>
  <c r="AZ81" i="1"/>
  <c r="BA81" i="1"/>
  <c r="AO81" i="1"/>
  <c r="AL81" i="1"/>
  <c r="AP81" i="1"/>
  <c r="AP80" i="1"/>
  <c r="AL80" i="1"/>
  <c r="AO80" i="1"/>
  <c r="AQ80" i="1" s="1"/>
  <c r="AZ79" i="1"/>
  <c r="BA79" i="1"/>
  <c r="AW79" i="1"/>
  <c r="AY80" i="1" s="1"/>
  <c r="AO79" i="1"/>
  <c r="AL79" i="1"/>
  <c r="AP79" i="1"/>
  <c r="BA78" i="1"/>
  <c r="AW78" i="1"/>
  <c r="AZ78" i="1"/>
  <c r="BB78" i="1" s="1"/>
  <c r="AW77" i="1"/>
  <c r="BA77" i="1"/>
  <c r="AZ77" i="1"/>
  <c r="BB77" i="1" s="1"/>
  <c r="AL77" i="1"/>
  <c r="AN78" i="1" s="1"/>
  <c r="AP77" i="1"/>
  <c r="AO77" i="1"/>
  <c r="AQ77" i="1" s="1"/>
  <c r="BA76" i="1"/>
  <c r="AW76" i="1"/>
  <c r="AZ76" i="1"/>
  <c r="AP76" i="1"/>
  <c r="AL76" i="1"/>
  <c r="AO76" i="1"/>
  <c r="AQ76" i="1" s="1"/>
  <c r="AZ75" i="1"/>
  <c r="AW75" i="1"/>
  <c r="BA75" i="1"/>
  <c r="AP75" i="1"/>
  <c r="AO75" i="1"/>
  <c r="AL75" i="1"/>
  <c r="AZ74" i="1"/>
  <c r="AW74" i="1"/>
  <c r="BA74" i="1"/>
  <c r="AW73" i="1"/>
  <c r="AZ73" i="1"/>
  <c r="BA73" i="1"/>
  <c r="AO73" i="1"/>
  <c r="AL73" i="1"/>
  <c r="AN74" i="1" s="1"/>
  <c r="AP73" i="1"/>
  <c r="AW72" i="1"/>
  <c r="AZ72" i="1"/>
  <c r="BA72" i="1"/>
  <c r="AL72" i="1"/>
  <c r="AP72" i="1"/>
  <c r="AO72" i="1"/>
  <c r="AQ72" i="1" s="1"/>
  <c r="AL71" i="1"/>
  <c r="AP71" i="1"/>
  <c r="AO71" i="1"/>
  <c r="AQ71" i="1" s="1"/>
  <c r="AL70" i="1"/>
  <c r="AP70" i="1"/>
  <c r="AO70" i="1"/>
  <c r="AW69" i="1"/>
  <c r="AY70" i="1" s="1"/>
  <c r="BA69" i="1"/>
  <c r="AZ69" i="1"/>
  <c r="BB69" i="1" s="1"/>
  <c r="AL69" i="1"/>
  <c r="AP69" i="1"/>
  <c r="AO69" i="1"/>
  <c r="AQ69" i="1" s="1"/>
  <c r="AL68" i="1"/>
  <c r="AO68" i="1"/>
  <c r="AP68" i="1"/>
  <c r="AO67" i="1"/>
  <c r="AP67" i="1"/>
  <c r="AL67" i="1"/>
  <c r="AZ66" i="1"/>
  <c r="BA66" i="1"/>
  <c r="AW66" i="1"/>
  <c r="AY67" i="1" s="1"/>
  <c r="AP66" i="1"/>
  <c r="AO66" i="1"/>
  <c r="AQ66" i="1" s="1"/>
  <c r="AL66" i="1"/>
  <c r="AZ65" i="1"/>
  <c r="AW65" i="1"/>
  <c r="BA65" i="1"/>
  <c r="AP65" i="1"/>
  <c r="AL65" i="1"/>
  <c r="AO65" i="1"/>
  <c r="AQ65" i="1" s="1"/>
  <c r="AZ64" i="1"/>
  <c r="AW64" i="1"/>
  <c r="BA64" i="1"/>
  <c r="AP64" i="1"/>
  <c r="AL64" i="1"/>
  <c r="AO64" i="1"/>
  <c r="AQ64" i="1" s="1"/>
  <c r="AZ63" i="1"/>
  <c r="BA63" i="1"/>
  <c r="AW63" i="1"/>
  <c r="AL63" i="1"/>
  <c r="AP63" i="1"/>
  <c r="AO63" i="1"/>
  <c r="AQ63" i="1" s="1"/>
  <c r="BA62" i="1"/>
  <c r="AZ62" i="1"/>
  <c r="BB62" i="1" s="1"/>
  <c r="AW62" i="1"/>
  <c r="AL62" i="1"/>
  <c r="AP62" i="1"/>
  <c r="AO62" i="1"/>
  <c r="AQ62" i="1" s="1"/>
  <c r="BE62" i="1" s="1"/>
  <c r="AZ61" i="1"/>
  <c r="AW61" i="1"/>
  <c r="BA61" i="1"/>
  <c r="AL61" i="1"/>
  <c r="AO61" i="1"/>
  <c r="AP61" i="1"/>
  <c r="AW60" i="1"/>
  <c r="BA60" i="1"/>
  <c r="AZ60" i="1"/>
  <c r="BB60" i="1" s="1"/>
  <c r="AP60" i="1"/>
  <c r="AO60" i="1"/>
  <c r="AQ60" i="1" s="1"/>
  <c r="AL60" i="1"/>
  <c r="AW59" i="1"/>
  <c r="AZ59" i="1"/>
  <c r="BA59" i="1"/>
  <c r="AL59" i="1"/>
  <c r="AP59" i="1"/>
  <c r="AO59" i="1"/>
  <c r="AQ59" i="1" s="1"/>
  <c r="AZ58" i="1"/>
  <c r="BA58" i="1"/>
  <c r="AW58" i="1"/>
  <c r="AO58" i="1"/>
  <c r="AL58" i="1"/>
  <c r="AP58" i="1"/>
  <c r="AW57" i="1"/>
  <c r="AZ57" i="1"/>
  <c r="BA57" i="1"/>
  <c r="AL57" i="1"/>
  <c r="AP57" i="1"/>
  <c r="AO57" i="1"/>
  <c r="AQ57" i="1" s="1"/>
  <c r="BA56" i="1"/>
  <c r="AZ56" i="1"/>
  <c r="BB56" i="1" s="1"/>
  <c r="AW56" i="1"/>
  <c r="AP56" i="1"/>
  <c r="AL56" i="1"/>
  <c r="AO56" i="1"/>
  <c r="AW55" i="1"/>
  <c r="BA55" i="1"/>
  <c r="AZ55" i="1"/>
  <c r="BB55" i="1" s="1"/>
  <c r="AW54" i="1"/>
  <c r="BA54" i="1"/>
  <c r="AZ54" i="1"/>
  <c r="AP54" i="1"/>
  <c r="AL54" i="1"/>
  <c r="AN55" i="1" s="1"/>
  <c r="AO54" i="1"/>
  <c r="AQ54" i="1" s="1"/>
  <c r="AZ53" i="1"/>
  <c r="BA53" i="1"/>
  <c r="AW53" i="1"/>
  <c r="AW52" i="1"/>
  <c r="BA52" i="1"/>
  <c r="AZ52" i="1"/>
  <c r="BB52" i="1" s="1"/>
  <c r="BA51" i="1"/>
  <c r="AW51" i="1"/>
  <c r="AZ51" i="1"/>
  <c r="BB51" i="1" s="1"/>
  <c r="AO51" i="1"/>
  <c r="AL51" i="1"/>
  <c r="AN52" i="1" s="1"/>
  <c r="AP51" i="1"/>
  <c r="AW50" i="1"/>
  <c r="AZ50" i="1"/>
  <c r="BA50" i="1"/>
  <c r="AO50" i="1"/>
  <c r="AP50" i="1"/>
  <c r="AL50" i="1"/>
  <c r="AW49" i="1"/>
  <c r="AZ49" i="1"/>
  <c r="BA49" i="1"/>
  <c r="AW48" i="1"/>
  <c r="AZ48" i="1"/>
  <c r="BA48" i="1"/>
  <c r="AW47" i="1"/>
  <c r="BA47" i="1"/>
  <c r="AZ47" i="1"/>
  <c r="BB47" i="1" s="1"/>
  <c r="AW46" i="1"/>
  <c r="AZ46" i="1"/>
  <c r="BA46" i="1"/>
  <c r="BA45" i="1"/>
  <c r="AW45" i="1"/>
  <c r="AZ45" i="1"/>
  <c r="BB45" i="1" s="1"/>
  <c r="BA44" i="1"/>
  <c r="AW44" i="1"/>
  <c r="AZ44" i="1"/>
  <c r="BB44" i="1" s="1"/>
  <c r="AL44" i="1"/>
  <c r="AN45" i="1" s="1"/>
  <c r="AO44" i="1"/>
  <c r="AP44" i="1"/>
  <c r="AW43" i="1"/>
  <c r="AZ43" i="1"/>
  <c r="BA43" i="1"/>
  <c r="AL43" i="1"/>
  <c r="AP43" i="1"/>
  <c r="AO43" i="1"/>
  <c r="BA42" i="1"/>
  <c r="AW42" i="1"/>
  <c r="AZ42" i="1"/>
  <c r="BB42" i="1" s="1"/>
  <c r="AO42" i="1"/>
  <c r="AP42" i="1"/>
  <c r="AL42" i="1"/>
  <c r="BA41" i="1"/>
  <c r="AZ41" i="1"/>
  <c r="BB41" i="1" s="1"/>
  <c r="AW41" i="1"/>
  <c r="AO41" i="1"/>
  <c r="AP41" i="1"/>
  <c r="AL41" i="1"/>
  <c r="AW40" i="1"/>
  <c r="BA40" i="1"/>
  <c r="AZ40" i="1"/>
  <c r="AO40" i="1"/>
  <c r="AL40" i="1"/>
  <c r="AP40" i="1"/>
  <c r="AW39" i="1"/>
  <c r="AZ39" i="1"/>
  <c r="BA39" i="1"/>
  <c r="AL39" i="1"/>
  <c r="AO39" i="1"/>
  <c r="AP39" i="1"/>
  <c r="AP38" i="1"/>
  <c r="AL38" i="1"/>
  <c r="AO38" i="1"/>
  <c r="AQ38" i="1" s="1"/>
  <c r="AW37" i="1"/>
  <c r="AY38" i="1" s="1"/>
  <c r="BA37" i="1"/>
  <c r="AZ37" i="1"/>
  <c r="AP37" i="1"/>
  <c r="AL37" i="1"/>
  <c r="AO37" i="1"/>
  <c r="AQ37" i="1" s="1"/>
  <c r="AW36" i="1"/>
  <c r="AZ36" i="1"/>
  <c r="BA36" i="1"/>
  <c r="AL36" i="1"/>
  <c r="AP36" i="1"/>
  <c r="AO36" i="1"/>
  <c r="AQ36" i="1" s="1"/>
  <c r="AZ35" i="1"/>
  <c r="AW35" i="1"/>
  <c r="BA35" i="1"/>
  <c r="AP35" i="1"/>
  <c r="AO35" i="1"/>
  <c r="AL35" i="1"/>
  <c r="BA34" i="1"/>
  <c r="AW34" i="1"/>
  <c r="AZ34" i="1"/>
  <c r="BB34" i="1" s="1"/>
  <c r="AP34" i="1"/>
  <c r="AL34" i="1"/>
  <c r="AO34" i="1"/>
  <c r="AQ34" i="1" s="1"/>
  <c r="BE34" i="1" s="1"/>
  <c r="AW33" i="1"/>
  <c r="BA33" i="1"/>
  <c r="AZ33" i="1"/>
  <c r="BB33" i="1" s="1"/>
  <c r="AO33" i="1"/>
  <c r="AL33" i="1"/>
  <c r="AP33" i="1"/>
  <c r="AZ32" i="1"/>
  <c r="BA32" i="1"/>
  <c r="AW32" i="1"/>
  <c r="AO32" i="1"/>
  <c r="AP32" i="1"/>
  <c r="AL32" i="1"/>
  <c r="BA31" i="1"/>
  <c r="AW31" i="1"/>
  <c r="AZ31" i="1"/>
  <c r="BB31" i="1" s="1"/>
  <c r="BA30" i="1"/>
  <c r="AW30" i="1"/>
  <c r="AZ30" i="1"/>
  <c r="BB30" i="1" s="1"/>
  <c r="AO30" i="1"/>
  <c r="AL30" i="1"/>
  <c r="AN31" i="1" s="1"/>
  <c r="AP30" i="1"/>
  <c r="AW29" i="1"/>
  <c r="BA29" i="1"/>
  <c r="AZ29" i="1"/>
  <c r="BB29" i="1" s="1"/>
  <c r="AL29" i="1"/>
  <c r="AO29" i="1"/>
  <c r="AP29" i="1"/>
  <c r="AW28" i="1"/>
  <c r="BA28" i="1"/>
  <c r="AZ28" i="1"/>
  <c r="BB28" i="1" s="1"/>
  <c r="AP28" i="1"/>
  <c r="AL28" i="1"/>
  <c r="AO28" i="1"/>
  <c r="AQ28" i="1" s="1"/>
  <c r="BE28" i="1" s="1"/>
  <c r="AW27" i="1"/>
  <c r="AZ27" i="1"/>
  <c r="BA27" i="1"/>
  <c r="AP27" i="1"/>
  <c r="AL27" i="1"/>
  <c r="AO27" i="1"/>
  <c r="AQ27" i="1" s="1"/>
  <c r="AW26" i="1"/>
  <c r="BA26" i="1"/>
  <c r="AZ26" i="1"/>
  <c r="BB26" i="1" s="1"/>
  <c r="AO26" i="1"/>
  <c r="AL26" i="1"/>
  <c r="AP26" i="1"/>
  <c r="BA25" i="1"/>
  <c r="AZ25" i="1"/>
  <c r="BB25" i="1" s="1"/>
  <c r="AW25" i="1"/>
  <c r="AO25" i="1"/>
  <c r="AL25" i="1"/>
  <c r="AP25" i="1"/>
  <c r="BA24" i="1"/>
  <c r="AW24" i="1"/>
  <c r="AZ24" i="1"/>
  <c r="BB24" i="1" s="1"/>
  <c r="AL24" i="1"/>
  <c r="AO24" i="1"/>
  <c r="AP24" i="1"/>
  <c r="AW23" i="1"/>
  <c r="AZ23" i="1"/>
  <c r="BA23" i="1"/>
  <c r="AL23" i="1"/>
  <c r="AP23" i="1"/>
  <c r="AO23" i="1"/>
  <c r="AQ23" i="1" s="1"/>
  <c r="BA22" i="1"/>
  <c r="AZ22" i="1"/>
  <c r="BB22" i="1" s="1"/>
  <c r="AO22" i="1"/>
  <c r="AP22" i="1"/>
  <c r="BB76" i="1" l="1"/>
  <c r="BB122" i="1"/>
  <c r="BE146" i="1"/>
  <c r="BB125" i="1"/>
  <c r="BE95" i="1"/>
  <c r="BE90" i="1"/>
  <c r="BE171" i="1"/>
  <c r="BB168" i="1"/>
  <c r="BE168" i="1" s="1"/>
  <c r="BE143" i="1"/>
  <c r="BE138" i="1"/>
  <c r="BE77" i="1"/>
  <c r="BB46" i="1"/>
  <c r="BE144" i="1"/>
  <c r="BB110" i="1"/>
  <c r="BE110" i="1" s="1"/>
  <c r="BE141" i="1"/>
  <c r="BE122" i="1"/>
  <c r="BE105" i="1"/>
  <c r="BE104" i="1"/>
  <c r="BE152" i="1"/>
  <c r="BE137" i="1"/>
  <c r="BE131" i="1"/>
  <c r="AZ132" i="1"/>
  <c r="BA132" i="1"/>
  <c r="AW132" i="1"/>
  <c r="AY133" i="1" s="1"/>
  <c r="AW117" i="1"/>
  <c r="AY118" i="1" s="1"/>
  <c r="AZ117" i="1"/>
  <c r="BA117" i="1"/>
  <c r="AZ108" i="1"/>
  <c r="AW108" i="1"/>
  <c r="BA108" i="1"/>
  <c r="AW70" i="1"/>
  <c r="AY71" i="1" s="1"/>
  <c r="AZ70" i="1"/>
  <c r="BA70" i="1"/>
  <c r="BA67" i="1"/>
  <c r="AZ67" i="1"/>
  <c r="AW67" i="1"/>
  <c r="AY68" i="1" s="1"/>
  <c r="BB32" i="1"/>
  <c r="BB79" i="1"/>
  <c r="BE88" i="1"/>
  <c r="BE69" i="1"/>
  <c r="BB50" i="1"/>
  <c r="BB37" i="1"/>
  <c r="BE37" i="1" s="1"/>
  <c r="BE97" i="1"/>
  <c r="BE76" i="1"/>
  <c r="BE60" i="1"/>
  <c r="AQ84" i="1"/>
  <c r="AQ56" i="1"/>
  <c r="BE56" i="1" s="1"/>
  <c r="AQ86" i="1"/>
  <c r="BE86" i="1" s="1"/>
  <c r="AQ75" i="1"/>
  <c r="AQ70" i="1"/>
  <c r="BB39" i="1"/>
  <c r="BB75" i="1"/>
  <c r="BB54" i="1"/>
  <c r="BE54" i="1" s="1"/>
  <c r="AQ43" i="1"/>
  <c r="AQ25" i="1"/>
  <c r="BE25" i="1" s="1"/>
  <c r="AQ24" i="1"/>
  <c r="BE24" i="1" s="1"/>
  <c r="AQ40" i="1"/>
  <c r="BB40" i="1"/>
  <c r="BB27" i="1"/>
  <c r="BE27" i="1" s="1"/>
  <c r="AQ176" i="1"/>
  <c r="BB162" i="1"/>
  <c r="BB158" i="1"/>
  <c r="AQ44" i="1"/>
  <c r="BE44" i="1" s="1"/>
  <c r="AQ42" i="1"/>
  <c r="BE42" i="1" s="1"/>
  <c r="BB43" i="1"/>
  <c r="AL175" i="1"/>
  <c r="AO175" i="1"/>
  <c r="AP175" i="1"/>
  <c r="AO172" i="1"/>
  <c r="AL172" i="1"/>
  <c r="AP172" i="1"/>
  <c r="AL169" i="1"/>
  <c r="AO169" i="1"/>
  <c r="AP169" i="1"/>
  <c r="AL165" i="1"/>
  <c r="AN166" i="1" s="1"/>
  <c r="AP165" i="1"/>
  <c r="AO165" i="1"/>
  <c r="AQ165" i="1" s="1"/>
  <c r="AL155" i="1"/>
  <c r="AN156" i="1" s="1"/>
  <c r="AO155" i="1"/>
  <c r="AP155" i="1"/>
  <c r="AP151" i="1"/>
  <c r="AO151" i="1"/>
  <c r="AQ151" i="1" s="1"/>
  <c r="BE151" i="1" s="1"/>
  <c r="AL151" i="1"/>
  <c r="AL149" i="1"/>
  <c r="AO149" i="1"/>
  <c r="AP149" i="1"/>
  <c r="AP147" i="1"/>
  <c r="AO147" i="1"/>
  <c r="AQ147" i="1" s="1"/>
  <c r="BE147" i="1" s="1"/>
  <c r="AL147" i="1"/>
  <c r="AP142" i="1"/>
  <c r="AO142" i="1"/>
  <c r="AQ142" i="1" s="1"/>
  <c r="AL142" i="1"/>
  <c r="AZ136" i="1"/>
  <c r="AW136" i="1"/>
  <c r="BA136" i="1"/>
  <c r="BA130" i="1"/>
  <c r="AW130" i="1"/>
  <c r="AZ130" i="1"/>
  <c r="BB130" i="1" s="1"/>
  <c r="BA118" i="1"/>
  <c r="AW118" i="1"/>
  <c r="AZ118" i="1"/>
  <c r="AW111" i="1"/>
  <c r="AY112" i="1" s="1"/>
  <c r="BA111" i="1"/>
  <c r="AZ111" i="1"/>
  <c r="BB111" i="1" s="1"/>
  <c r="BE111" i="1" s="1"/>
  <c r="AO91" i="1"/>
  <c r="AP91" i="1"/>
  <c r="AL91" i="1"/>
  <c r="AP89" i="1"/>
  <c r="AO89" i="1"/>
  <c r="AQ89" i="1" s="1"/>
  <c r="BE89" i="1" s="1"/>
  <c r="AL89" i="1"/>
  <c r="AO87" i="1"/>
  <c r="AL87" i="1"/>
  <c r="AP87" i="1"/>
  <c r="AW82" i="1"/>
  <c r="AY83" i="1" s="1"/>
  <c r="BA82" i="1"/>
  <c r="AZ82" i="1"/>
  <c r="BB82" i="1" s="1"/>
  <c r="BE82" i="1" s="1"/>
  <c r="BA80" i="1"/>
  <c r="AW80" i="1"/>
  <c r="AZ80" i="1"/>
  <c r="BB80" i="1" s="1"/>
  <c r="BE80" i="1" s="1"/>
  <c r="AL78" i="1"/>
  <c r="AO78" i="1"/>
  <c r="AP78" i="1"/>
  <c r="AL74" i="1"/>
  <c r="AO74" i="1"/>
  <c r="AP74" i="1"/>
  <c r="AW71" i="1"/>
  <c r="AZ71" i="1"/>
  <c r="BA71" i="1"/>
  <c r="BA68" i="1"/>
  <c r="AW68" i="1"/>
  <c r="AZ68" i="1"/>
  <c r="BB68" i="1" s="1"/>
  <c r="AL55" i="1"/>
  <c r="AO55" i="1"/>
  <c r="AP55" i="1"/>
  <c r="AO52" i="1"/>
  <c r="AL52" i="1"/>
  <c r="AN53" i="1" s="1"/>
  <c r="AP52" i="1"/>
  <c r="AP45" i="1"/>
  <c r="AO45" i="1"/>
  <c r="AQ45" i="1" s="1"/>
  <c r="BE45" i="1" s="1"/>
  <c r="AL45" i="1"/>
  <c r="AN46" i="1" s="1"/>
  <c r="BA38" i="1"/>
  <c r="AW38" i="1"/>
  <c r="AZ38" i="1"/>
  <c r="BB38" i="1" s="1"/>
  <c r="BE38" i="1" s="1"/>
  <c r="AL31" i="1"/>
  <c r="AO31" i="1"/>
  <c r="AP31" i="1"/>
  <c r="BC22" i="1"/>
  <c r="BB176" i="1"/>
  <c r="BE176" i="1" s="1"/>
  <c r="AQ173" i="1"/>
  <c r="BE173" i="1" s="1"/>
  <c r="BB170" i="1"/>
  <c r="BE170" i="1" s="1"/>
  <c r="BB167" i="1"/>
  <c r="BB166" i="1"/>
  <c r="BB165" i="1"/>
  <c r="AQ164" i="1"/>
  <c r="BE164" i="1" s="1"/>
  <c r="BB163" i="1"/>
  <c r="BE163" i="1" s="1"/>
  <c r="BB161" i="1"/>
  <c r="BB156" i="1"/>
  <c r="BB155" i="1"/>
  <c r="BB154" i="1"/>
  <c r="BE154" i="1" s="1"/>
  <c r="AQ153" i="1"/>
  <c r="BE153" i="1" s="1"/>
  <c r="AQ150" i="1"/>
  <c r="BE150" i="1" s="1"/>
  <c r="BB145" i="1"/>
  <c r="AQ145" i="1"/>
  <c r="BE145" i="1" s="1"/>
  <c r="BB142" i="1"/>
  <c r="BB140" i="1"/>
  <c r="AQ140" i="1"/>
  <c r="BE140" i="1" s="1"/>
  <c r="BB139" i="1"/>
  <c r="AQ139" i="1"/>
  <c r="BE139" i="1" s="1"/>
  <c r="AQ136" i="1"/>
  <c r="AQ135" i="1"/>
  <c r="BE135" i="1" s="1"/>
  <c r="BB134" i="1"/>
  <c r="AQ134" i="1"/>
  <c r="BE134" i="1" s="1"/>
  <c r="AQ133" i="1"/>
  <c r="AQ130" i="1"/>
  <c r="BE130" i="1" s="1"/>
  <c r="AQ129" i="1"/>
  <c r="BE129" i="1" s="1"/>
  <c r="BB128" i="1"/>
  <c r="BE128" i="1" s="1"/>
  <c r="BB127" i="1"/>
  <c r="AQ127" i="1"/>
  <c r="BE127" i="1" s="1"/>
  <c r="BB126" i="1"/>
  <c r="AQ126" i="1"/>
  <c r="AQ125" i="1"/>
  <c r="BE125" i="1" s="1"/>
  <c r="BB124" i="1"/>
  <c r="AQ124" i="1"/>
  <c r="AQ123" i="1"/>
  <c r="BE123" i="1" s="1"/>
  <c r="AQ121" i="1"/>
  <c r="BE121" i="1" s="1"/>
  <c r="BB120" i="1"/>
  <c r="BE120" i="1" s="1"/>
  <c r="BB119" i="1"/>
  <c r="BE119" i="1" s="1"/>
  <c r="AQ117" i="1"/>
  <c r="BB116" i="1"/>
  <c r="BE116" i="1" s="1"/>
  <c r="AQ115" i="1"/>
  <c r="BB109" i="1"/>
  <c r="AQ109" i="1"/>
  <c r="BE109" i="1" s="1"/>
  <c r="AQ108" i="1"/>
  <c r="AQ107" i="1"/>
  <c r="BE107" i="1" s="1"/>
  <c r="BB106" i="1"/>
  <c r="BE106" i="1" s="1"/>
  <c r="AQ103" i="1"/>
  <c r="BE103" i="1" s="1"/>
  <c r="BB101" i="1"/>
  <c r="AQ101" i="1"/>
  <c r="BE101" i="1" s="1"/>
  <c r="BB100" i="1"/>
  <c r="BE100" i="1" s="1"/>
  <c r="BB99" i="1"/>
  <c r="AQ99" i="1"/>
  <c r="BE99" i="1" s="1"/>
  <c r="BB98" i="1"/>
  <c r="BE98" i="1" s="1"/>
  <c r="BB96" i="1"/>
  <c r="BE96" i="1" s="1"/>
  <c r="BB94" i="1"/>
  <c r="BE94" i="1" s="1"/>
  <c r="BB93" i="1"/>
  <c r="AQ93" i="1"/>
  <c r="BE93" i="1" s="1"/>
  <c r="BB92" i="1"/>
  <c r="BE92" i="1" s="1"/>
  <c r="BB87" i="1"/>
  <c r="AQ85" i="1"/>
  <c r="BE85" i="1" s="1"/>
  <c r="BB81" i="1"/>
  <c r="BB48" i="1"/>
  <c r="AQ41" i="1"/>
  <c r="BE41" i="1" s="1"/>
  <c r="AQ39" i="1"/>
  <c r="BE39" i="1" s="1"/>
  <c r="BB36" i="1"/>
  <c r="BE36" i="1" s="1"/>
  <c r="AQ35" i="1"/>
  <c r="AQ33" i="1"/>
  <c r="BE33" i="1" s="1"/>
  <c r="AQ22" i="1"/>
  <c r="BE75" i="1"/>
  <c r="BB74" i="1"/>
  <c r="BB73" i="1"/>
  <c r="AQ73" i="1"/>
  <c r="BB72" i="1"/>
  <c r="BE72" i="1" s="1"/>
  <c r="AQ68" i="1"/>
  <c r="BE68" i="1" s="1"/>
  <c r="BB67" i="1"/>
  <c r="AQ67" i="1"/>
  <c r="BB66" i="1"/>
  <c r="BE66" i="1" s="1"/>
  <c r="BB65" i="1"/>
  <c r="BE65" i="1" s="1"/>
  <c r="BB64" i="1"/>
  <c r="BE64" i="1" s="1"/>
  <c r="BB63" i="1"/>
  <c r="BE63" i="1" s="1"/>
  <c r="BB61" i="1"/>
  <c r="AQ61" i="1"/>
  <c r="BB59" i="1"/>
  <c r="BE59" i="1" s="1"/>
  <c r="BB58" i="1"/>
  <c r="AQ58" i="1"/>
  <c r="BE58" i="1" s="1"/>
  <c r="BB57" i="1"/>
  <c r="BE57" i="1" s="1"/>
  <c r="BB53" i="1"/>
  <c r="AQ51" i="1"/>
  <c r="BE51" i="1" s="1"/>
  <c r="AQ79" i="1"/>
  <c r="BE79" i="1" s="1"/>
  <c r="BB49" i="1"/>
  <c r="AQ83" i="1"/>
  <c r="AQ81" i="1"/>
  <c r="BE81" i="1" s="1"/>
  <c r="AQ50" i="1"/>
  <c r="BE50" i="1" s="1"/>
  <c r="AQ29" i="1"/>
  <c r="BE29" i="1" s="1"/>
  <c r="BB23" i="1"/>
  <c r="AQ30" i="1"/>
  <c r="BE30" i="1" s="1"/>
  <c r="AQ26" i="1"/>
  <c r="BE26" i="1" s="1"/>
  <c r="AQ32" i="1"/>
  <c r="BE32" i="1" s="1"/>
  <c r="BB35" i="1"/>
  <c r="BE67" i="1" l="1"/>
  <c r="BE126" i="1"/>
  <c r="BE73" i="1"/>
  <c r="BB70" i="1"/>
  <c r="BE70" i="1" s="1"/>
  <c r="BE61" i="1"/>
  <c r="AZ133" i="1"/>
  <c r="BA133" i="1"/>
  <c r="AW133" i="1"/>
  <c r="BE124" i="1"/>
  <c r="BB118" i="1"/>
  <c r="BE118" i="1" s="1"/>
  <c r="BB132" i="1"/>
  <c r="BE132" i="1" s="1"/>
  <c r="BB117" i="1"/>
  <c r="BE117" i="1" s="1"/>
  <c r="BB108" i="1"/>
  <c r="BE108" i="1" s="1"/>
  <c r="BE43" i="1"/>
  <c r="BE40" i="1"/>
  <c r="AQ74" i="1"/>
  <c r="AQ55" i="1"/>
  <c r="BE55" i="1" s="1"/>
  <c r="AL166" i="1"/>
  <c r="AN167" i="1" s="1"/>
  <c r="AP166" i="1"/>
  <c r="AO166" i="1"/>
  <c r="AQ166" i="1" s="1"/>
  <c r="BE166" i="1" s="1"/>
  <c r="AO156" i="1"/>
  <c r="AL156" i="1"/>
  <c r="AN157" i="1" s="1"/>
  <c r="AP156" i="1"/>
  <c r="AW112" i="1"/>
  <c r="AY113" i="1" s="1"/>
  <c r="AZ112" i="1"/>
  <c r="BA112" i="1"/>
  <c r="AZ83" i="1"/>
  <c r="BA83" i="1"/>
  <c r="AW83" i="1"/>
  <c r="AY84" i="1" s="1"/>
  <c r="AL53" i="1"/>
  <c r="AP53" i="1"/>
  <c r="AO53" i="1"/>
  <c r="AQ53" i="1" s="1"/>
  <c r="BE53" i="1" s="1"/>
  <c r="AL46" i="1"/>
  <c r="AN47" i="1" s="1"/>
  <c r="AO46" i="1"/>
  <c r="AP46" i="1"/>
  <c r="AR22" i="1"/>
  <c r="AR23" i="1" s="1"/>
  <c r="AR24" i="1" s="1"/>
  <c r="AR25" i="1" s="1"/>
  <c r="AR26" i="1" s="1"/>
  <c r="AR27" i="1" s="1"/>
  <c r="AR28" i="1" s="1"/>
  <c r="AR29" i="1" s="1"/>
  <c r="AR30" i="1" s="1"/>
  <c r="BE22" i="1"/>
  <c r="BE74" i="1"/>
  <c r="AQ31" i="1"/>
  <c r="AQ175" i="1"/>
  <c r="BE175" i="1" s="1"/>
  <c r="AQ172" i="1"/>
  <c r="BE172" i="1" s="1"/>
  <c r="AQ169" i="1"/>
  <c r="BE169" i="1" s="1"/>
  <c r="BE165" i="1"/>
  <c r="AQ155" i="1"/>
  <c r="BE155" i="1" s="1"/>
  <c r="AQ149" i="1"/>
  <c r="BE149" i="1" s="1"/>
  <c r="BE142" i="1"/>
  <c r="BB136" i="1"/>
  <c r="BE136" i="1" s="1"/>
  <c r="AQ91" i="1"/>
  <c r="BE91" i="1" s="1"/>
  <c r="AQ87" i="1"/>
  <c r="BE87" i="1" s="1"/>
  <c r="AQ78" i="1"/>
  <c r="BE78" i="1" s="1"/>
  <c r="BB71" i="1"/>
  <c r="AQ52" i="1"/>
  <c r="BE52" i="1" s="1"/>
  <c r="BC23" i="1"/>
  <c r="BC24" i="1" s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E35" i="1"/>
  <c r="BE23" i="1"/>
  <c r="BB133" i="1" l="1"/>
  <c r="BE133" i="1" s="1"/>
  <c r="AL167" i="1"/>
  <c r="AP167" i="1"/>
  <c r="AO167" i="1"/>
  <c r="AQ167" i="1" s="1"/>
  <c r="BE167" i="1" s="1"/>
  <c r="AP157" i="1"/>
  <c r="AO157" i="1"/>
  <c r="AQ157" i="1" s="1"/>
  <c r="BE157" i="1" s="1"/>
  <c r="AL157" i="1"/>
  <c r="AN158" i="1" s="1"/>
  <c r="BA113" i="1"/>
  <c r="AW113" i="1"/>
  <c r="AY114" i="1" s="1"/>
  <c r="AZ113" i="1"/>
  <c r="BA84" i="1"/>
  <c r="AZ84" i="1"/>
  <c r="BB84" i="1" s="1"/>
  <c r="BE84" i="1" s="1"/>
  <c r="AW84" i="1"/>
  <c r="AP47" i="1"/>
  <c r="AO47" i="1"/>
  <c r="AQ47" i="1" s="1"/>
  <c r="BE47" i="1" s="1"/>
  <c r="AL47" i="1"/>
  <c r="AN48" i="1" s="1"/>
  <c r="BF22" i="1"/>
  <c r="BF23" i="1" s="1"/>
  <c r="BF24" i="1" s="1"/>
  <c r="BF25" i="1" s="1"/>
  <c r="BF26" i="1" s="1"/>
  <c r="BF27" i="1" s="1"/>
  <c r="BF28" i="1" s="1"/>
  <c r="BF29" i="1" s="1"/>
  <c r="BF30" i="1" s="1"/>
  <c r="AQ156" i="1"/>
  <c r="BE156" i="1" s="1"/>
  <c r="BB112" i="1"/>
  <c r="BE112" i="1" s="1"/>
  <c r="BB83" i="1"/>
  <c r="AQ46" i="1"/>
  <c r="BE46" i="1" s="1"/>
  <c r="AR31" i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BE31" i="1"/>
  <c r="BE71" i="1"/>
  <c r="BB113" i="1" l="1"/>
  <c r="AW114" i="1"/>
  <c r="AY115" i="1" s="1"/>
  <c r="AZ114" i="1"/>
  <c r="BA114" i="1"/>
  <c r="BF31" i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AP158" i="1"/>
  <c r="AL158" i="1"/>
  <c r="AN159" i="1" s="1"/>
  <c r="AO158" i="1"/>
  <c r="AQ158" i="1" s="1"/>
  <c r="BE158" i="1" s="1"/>
  <c r="AO48" i="1"/>
  <c r="AL48" i="1"/>
  <c r="AN49" i="1" s="1"/>
  <c r="AP48" i="1"/>
  <c r="BC83" i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E83" i="1"/>
  <c r="BF46" i="1"/>
  <c r="BF47" i="1" s="1"/>
  <c r="BE113" i="1" l="1"/>
  <c r="BA115" i="1"/>
  <c r="AZ115" i="1"/>
  <c r="BB115" i="1" s="1"/>
  <c r="BE115" i="1" s="1"/>
  <c r="AW115" i="1"/>
  <c r="BB114" i="1"/>
  <c r="AL159" i="1"/>
  <c r="AN160" i="1" s="1"/>
  <c r="AO159" i="1"/>
  <c r="AP159" i="1"/>
  <c r="AP49" i="1"/>
  <c r="AO49" i="1"/>
  <c r="AQ49" i="1" s="1"/>
  <c r="BE49" i="1" s="1"/>
  <c r="AL49" i="1"/>
  <c r="AQ48" i="1"/>
  <c r="BC114" i="1" l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114" i="1"/>
  <c r="BB14" i="1"/>
  <c r="BB19" i="1"/>
  <c r="BB15" i="1"/>
  <c r="AP160" i="1"/>
  <c r="AO160" i="1"/>
  <c r="AL160" i="1"/>
  <c r="AN161" i="1" s="1"/>
  <c r="BE48" i="1"/>
  <c r="AR48" i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Q159" i="1"/>
  <c r="BB16" i="1" l="1"/>
  <c r="AT1" i="1" s="1"/>
  <c r="AQ160" i="1"/>
  <c r="AO161" i="1"/>
  <c r="AL161" i="1"/>
  <c r="AN162" i="1" s="1"/>
  <c r="AP161" i="1"/>
  <c r="BF48" i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E159" i="1"/>
  <c r="AR160" i="1" l="1"/>
  <c r="BE160" i="1"/>
  <c r="BF160" i="1" s="1"/>
  <c r="AP162" i="1"/>
  <c r="AL162" i="1"/>
  <c r="AO162" i="1"/>
  <c r="AQ162" i="1" s="1"/>
  <c r="AQ161" i="1"/>
  <c r="AQ14" i="1" l="1"/>
  <c r="AQ19" i="1"/>
  <c r="AQ15" i="1"/>
  <c r="BE162" i="1"/>
  <c r="BE161" i="1"/>
  <c r="AR161" i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E15" i="1" l="1"/>
  <c r="BE14" i="1"/>
  <c r="BE18" i="1"/>
  <c r="BF161" i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AQ16" i="1"/>
  <c r="AI1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<sst xmlns="http://schemas.openxmlformats.org/spreadsheetml/2006/main" count="74" uniqueCount="53">
  <si>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</si>
  <si>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PFFD</t>
  </si>
  <si>
    <t>PFF</t>
  </si>
  <si>
    <t>PFFD log rtn</t>
  </si>
  <si>
    <t>PFF log rtn</t>
  </si>
  <si>
    <t>PFFD div</t>
  </si>
  <si>
    <t>PFFD div cumsum</t>
  </si>
  <si>
    <t>PFF div</t>
  </si>
  <si>
    <t>PFF div cumsum</t>
  </si>
  <si>
    <t>PFFD div adjustment</t>
  </si>
  <si>
    <t>PFF div adjustment</t>
  </si>
  <si>
    <t>PFFD*</t>
  </si>
  <si>
    <t>PFF*</t>
  </si>
  <si>
    <t>PFF/PFFD</t>
  </si>
  <si>
    <t>PFF/PFFD avg</t>
  </si>
  <si>
    <t>PFF/PFFD 10 dma</t>
  </si>
  <si>
    <t>PFF/PFFD 20 dma</t>
  </si>
  <si>
    <t>PFFD x avg</t>
  </si>
  <si>
    <t>PFFD x 10 dma</t>
  </si>
  <si>
    <t>PFFD x 20 dma</t>
  </si>
  <si>
    <t>log diff PFFD x avg / PFF</t>
  </si>
  <si>
    <t>log diff PFFD x 10 dma / PFF</t>
  </si>
  <si>
    <t>log diff PFFD x 20 dma / PFF</t>
  </si>
  <si>
    <t>PFF*/PFFD*</t>
  </si>
  <si>
    <t>PFF*/PFFD* avg</t>
  </si>
  <si>
    <t>PFF*/PFFD* 10 dma</t>
  </si>
  <si>
    <t>PFF*/PFFD* 20 dma</t>
  </si>
  <si>
    <t>PFFD* x avg</t>
  </si>
  <si>
    <t>PFFD* x 10 dma</t>
  </si>
  <si>
    <t>PFFD* x 20 dma</t>
  </si>
  <si>
    <t>log diff PFFD* x avg / PFF*</t>
  </si>
  <si>
    <t>log diff PFFD* x 10 dma / PFF*</t>
  </si>
  <si>
    <t>log diff PFFD* x 20 dma / PFF*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</si>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</sst>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PFF/PFFD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1.6459148161032899</c:v>
                </c:pt>
                <c:pt idx="1">
                  <c:v>1.6459148161032899</c:v>
                </c:pt>
                <c:pt idx="2">
                  <c:v>1.6459148161032899</c:v>
                </c:pt>
                <c:pt idx="3">
                  <c:v>1.6459148161032899</c:v>
                </c:pt>
                <c:pt idx="4">
                  <c:v>1.6459148161032899</c:v>
                </c:pt>
                <c:pt idx="5">
                  <c:v>1.6459148161032899</c:v>
                </c:pt>
                <c:pt idx="6">
                  <c:v>1.6459148161032899</c:v>
                </c:pt>
                <c:pt idx="7">
                  <c:v>1.6459148161032899</c:v>
                </c:pt>
                <c:pt idx="8">
                  <c:v>1.6459148161032899</c:v>
                </c:pt>
                <c:pt idx="9">
                  <c:v>1.6459148161032899</c:v>
                </c:pt>
                <c:pt idx="10">
                  <c:v>1.6459148161032899</c:v>
                </c:pt>
                <c:pt idx="11">
                  <c:v>1.6459148161032899</c:v>
                </c:pt>
                <c:pt idx="12">
                  <c:v>1.6459148161032899</c:v>
                </c:pt>
                <c:pt idx="13">
                  <c:v>1.6459148161032899</c:v>
                </c:pt>
                <c:pt idx="14">
                  <c:v>1.6459148161032899</c:v>
                </c:pt>
                <c:pt idx="15">
                  <c:v>1.6459148161032899</c:v>
                </c:pt>
                <c:pt idx="16">
                  <c:v>1.6459148161032899</c:v>
                </c:pt>
                <c:pt idx="17">
                  <c:v>1.6459148161032899</c:v>
                </c:pt>
                <c:pt idx="18">
                  <c:v>1.6459148161032899</c:v>
                </c:pt>
                <c:pt idx="19">
                  <c:v>1.6459148161032899</c:v>
                </c:pt>
                <c:pt idx="20">
                  <c:v>1.6459148161032899</c:v>
                </c:pt>
                <c:pt idx="21">
                  <c:v>1.6459148161032899</c:v>
                </c:pt>
                <c:pt idx="22">
                  <c:v>1.6459148161032899</c:v>
                </c:pt>
                <c:pt idx="23">
                  <c:v>1.6459148161032899</c:v>
                </c:pt>
                <c:pt idx="24">
                  <c:v>1.6459148161032899</c:v>
                </c:pt>
                <c:pt idx="25">
                  <c:v>1.6459148161032899</c:v>
                </c:pt>
                <c:pt idx="26">
                  <c:v>1.6459148161032899</c:v>
                </c:pt>
                <c:pt idx="27">
                  <c:v>1.6459148161032899</c:v>
                </c:pt>
                <c:pt idx="28">
                  <c:v>1.6459148161032899</c:v>
                </c:pt>
                <c:pt idx="29">
                  <c:v>1.6459148161032899</c:v>
                </c:pt>
                <c:pt idx="30">
                  <c:v>1.6459148161032899</c:v>
                </c:pt>
                <c:pt idx="31">
                  <c:v>1.6459148161032899</c:v>
                </c:pt>
                <c:pt idx="32">
                  <c:v>1.6459148161032899</c:v>
                </c:pt>
                <c:pt idx="33">
                  <c:v>1.6459148161032899</c:v>
                </c:pt>
                <c:pt idx="34">
                  <c:v>1.6459148161032899</c:v>
                </c:pt>
                <c:pt idx="35">
                  <c:v>1.6459148161032899</c:v>
                </c:pt>
                <c:pt idx="36">
                  <c:v>1.6459148161032899</c:v>
                </c:pt>
                <c:pt idx="37">
                  <c:v>1.6459148161032899</c:v>
                </c:pt>
                <c:pt idx="38">
                  <c:v>1.6459148161032899</c:v>
                </c:pt>
                <c:pt idx="39">
                  <c:v>1.6459148161032899</c:v>
                </c:pt>
                <c:pt idx="40">
                  <c:v>1.6459148161032899</c:v>
                </c:pt>
                <c:pt idx="41">
                  <c:v>1.6459148161032899</c:v>
                </c:pt>
                <c:pt idx="42">
                  <c:v>1.6459148161032899</c:v>
                </c:pt>
                <c:pt idx="43">
                  <c:v>1.6459148161032899</c:v>
                </c:pt>
                <c:pt idx="44">
                  <c:v>1.6459148161032899</c:v>
                </c:pt>
                <c:pt idx="45">
                  <c:v>1.6459148161032899</c:v>
                </c:pt>
                <c:pt idx="46">
                  <c:v>1.6459148161032899</c:v>
                </c:pt>
                <c:pt idx="47">
                  <c:v>1.6459148161032899</c:v>
                </c:pt>
                <c:pt idx="48">
                  <c:v>1.6459148161032899</c:v>
                </c:pt>
                <c:pt idx="49">
                  <c:v>1.6459148161032899</c:v>
                </c:pt>
                <c:pt idx="50">
                  <c:v>1.6459148161032899</c:v>
                </c:pt>
                <c:pt idx="51">
                  <c:v>1.6459148161032899</c:v>
                </c:pt>
                <c:pt idx="52">
                  <c:v>1.6459148161032899</c:v>
                </c:pt>
                <c:pt idx="53">
                  <c:v>1.6459148161032899</c:v>
                </c:pt>
                <c:pt idx="54">
                  <c:v>1.6459148161032899</c:v>
                </c:pt>
                <c:pt idx="55">
                  <c:v>1.6459148161032899</c:v>
                </c:pt>
                <c:pt idx="56">
                  <c:v>1.6459148161032899</c:v>
                </c:pt>
                <c:pt idx="57">
                  <c:v>1.6459148161032899</c:v>
                </c:pt>
                <c:pt idx="58">
                  <c:v>1.6459148161032899</c:v>
                </c:pt>
                <c:pt idx="59">
                  <c:v>1.6459148161032899</c:v>
                </c:pt>
                <c:pt idx="60">
                  <c:v>1.6459148161032899</c:v>
                </c:pt>
                <c:pt idx="61">
                  <c:v>1.6459148161032899</c:v>
                </c:pt>
                <c:pt idx="62">
                  <c:v>1.6459148161032899</c:v>
                </c:pt>
                <c:pt idx="63">
                  <c:v>1.6459148161032899</c:v>
                </c:pt>
                <c:pt idx="64">
                  <c:v>1.6459148161032899</c:v>
                </c:pt>
                <c:pt idx="65">
                  <c:v>1.6459148161032899</c:v>
                </c:pt>
                <c:pt idx="66">
                  <c:v>1.6459148161032899</c:v>
                </c:pt>
                <c:pt idx="67">
                  <c:v>1.6459148161032899</c:v>
                </c:pt>
                <c:pt idx="68">
                  <c:v>1.6459148161032899</c:v>
                </c:pt>
                <c:pt idx="69">
                  <c:v>1.6459148161032899</c:v>
                </c:pt>
                <c:pt idx="70">
                  <c:v>1.6459148161032899</c:v>
                </c:pt>
                <c:pt idx="71">
                  <c:v>1.6459148161032899</c:v>
                </c:pt>
                <c:pt idx="72">
                  <c:v>1.6459148161032899</c:v>
                </c:pt>
                <c:pt idx="73">
                  <c:v>1.6459148161032899</c:v>
                </c:pt>
                <c:pt idx="74">
                  <c:v>1.6459148161032899</c:v>
                </c:pt>
                <c:pt idx="75">
                  <c:v>1.6459148161032899</c:v>
                </c:pt>
                <c:pt idx="76">
                  <c:v>1.6459148161032899</c:v>
                </c:pt>
                <c:pt idx="77">
                  <c:v>1.6459148161032899</c:v>
                </c:pt>
                <c:pt idx="78">
                  <c:v>1.6459148161032899</c:v>
                </c:pt>
                <c:pt idx="79">
                  <c:v>1.6459148161032899</c:v>
                </c:pt>
                <c:pt idx="80">
                  <c:v>1.6459148161032899</c:v>
                </c:pt>
                <c:pt idx="81">
                  <c:v>1.6459148161032899</c:v>
                </c:pt>
                <c:pt idx="82">
                  <c:v>1.6459148161032899</c:v>
                </c:pt>
                <c:pt idx="83">
                  <c:v>1.6459148161032899</c:v>
                </c:pt>
                <c:pt idx="84">
                  <c:v>1.6459148161032899</c:v>
                </c:pt>
                <c:pt idx="85">
                  <c:v>1.6459148161032899</c:v>
                </c:pt>
                <c:pt idx="86">
                  <c:v>1.6459148161032899</c:v>
                </c:pt>
                <c:pt idx="87">
                  <c:v>1.6459148161032899</c:v>
                </c:pt>
                <c:pt idx="88">
                  <c:v>1.6459148161032899</c:v>
                </c:pt>
                <c:pt idx="89">
                  <c:v>1.6459148161032899</c:v>
                </c:pt>
                <c:pt idx="90">
                  <c:v>1.6459148161032899</c:v>
                </c:pt>
                <c:pt idx="91">
                  <c:v>1.6459148161032899</c:v>
                </c:pt>
                <c:pt idx="92">
                  <c:v>1.6459148161032899</c:v>
                </c:pt>
                <c:pt idx="93">
                  <c:v>1.6459148161032899</c:v>
                </c:pt>
                <c:pt idx="94">
                  <c:v>1.6459148161032899</c:v>
                </c:pt>
                <c:pt idx="95">
                  <c:v>1.6459148161032899</c:v>
                </c:pt>
                <c:pt idx="96">
                  <c:v>1.6459148161032899</c:v>
                </c:pt>
                <c:pt idx="97">
                  <c:v>1.6459148161032899</c:v>
                </c:pt>
                <c:pt idx="98">
                  <c:v>1.6459148161032899</c:v>
                </c:pt>
                <c:pt idx="99">
                  <c:v>1.6459148161032899</c:v>
                </c:pt>
                <c:pt idx="100">
                  <c:v>1.6459148161032899</c:v>
                </c:pt>
                <c:pt idx="101">
                  <c:v>1.6459148161032899</c:v>
                </c:pt>
                <c:pt idx="102">
                  <c:v>1.6459148161032899</c:v>
                </c:pt>
                <c:pt idx="103">
                  <c:v>1.6459148161032899</c:v>
                </c:pt>
                <c:pt idx="104">
                  <c:v>1.6459148161032899</c:v>
                </c:pt>
                <c:pt idx="105">
                  <c:v>1.6459148161032899</c:v>
                </c:pt>
                <c:pt idx="106">
                  <c:v>1.6459148161032899</c:v>
                </c:pt>
                <c:pt idx="107">
                  <c:v>1.6459148161032899</c:v>
                </c:pt>
                <c:pt idx="108">
                  <c:v>1.6459148161032899</c:v>
                </c:pt>
                <c:pt idx="109">
                  <c:v>1.6459148161032899</c:v>
                </c:pt>
                <c:pt idx="110">
                  <c:v>1.6459148161032899</c:v>
                </c:pt>
                <c:pt idx="111">
                  <c:v>1.6459148161032899</c:v>
                </c:pt>
                <c:pt idx="112">
                  <c:v>1.6459148161032899</c:v>
                </c:pt>
                <c:pt idx="113">
                  <c:v>1.6459148161032899</c:v>
                </c:pt>
                <c:pt idx="114">
                  <c:v>1.6459148161032899</c:v>
                </c:pt>
                <c:pt idx="115">
                  <c:v>1.6459148161032899</c:v>
                </c:pt>
                <c:pt idx="116">
                  <c:v>1.6459148161032899</c:v>
                </c:pt>
                <c:pt idx="117">
                  <c:v>1.6459148161032899</c:v>
                </c:pt>
                <c:pt idx="118">
                  <c:v>1.6459148161032899</c:v>
                </c:pt>
                <c:pt idx="119">
                  <c:v>1.6459148161032899</c:v>
                </c:pt>
                <c:pt idx="120">
                  <c:v>1.6459148161032899</c:v>
                </c:pt>
                <c:pt idx="121">
                  <c:v>1.6459148161032899</c:v>
                </c:pt>
                <c:pt idx="122">
                  <c:v>1.6459148161032899</c:v>
                </c:pt>
                <c:pt idx="123">
                  <c:v>1.6459148161032899</c:v>
                </c:pt>
                <c:pt idx="124">
                  <c:v>1.6459148161032899</c:v>
                </c:pt>
                <c:pt idx="125">
                  <c:v>1.6459148161032899</c:v>
                </c:pt>
                <c:pt idx="126">
                  <c:v>1.6459148161032899</c:v>
                </c:pt>
                <c:pt idx="127">
                  <c:v>1.6459148161032899</c:v>
                </c:pt>
                <c:pt idx="128">
                  <c:v>1.6459148161032899</c:v>
                </c:pt>
                <c:pt idx="129">
                  <c:v>1.6459148161032899</c:v>
                </c:pt>
                <c:pt idx="130">
                  <c:v>1.6459148161032899</c:v>
                </c:pt>
                <c:pt idx="131">
                  <c:v>1.6459148161032899</c:v>
                </c:pt>
                <c:pt idx="132">
                  <c:v>1.6459148161032899</c:v>
                </c:pt>
                <c:pt idx="133">
                  <c:v>1.6459148161032899</c:v>
                </c:pt>
                <c:pt idx="134">
                  <c:v>1.6459148161032899</c:v>
                </c:pt>
                <c:pt idx="135">
                  <c:v>1.6459148161032899</c:v>
                </c:pt>
                <c:pt idx="136">
                  <c:v>1.6459148161032899</c:v>
                </c:pt>
                <c:pt idx="137">
                  <c:v>1.6459148161032899</c:v>
                </c:pt>
                <c:pt idx="138">
                  <c:v>1.6459148161032899</c:v>
                </c:pt>
                <c:pt idx="139">
                  <c:v>1.6459148161032899</c:v>
                </c:pt>
                <c:pt idx="140">
                  <c:v>1.6459148161032899</c:v>
                </c:pt>
                <c:pt idx="141">
                  <c:v>1.6459148161032899</c:v>
                </c:pt>
                <c:pt idx="142">
                  <c:v>1.6459148161032899</c:v>
                </c:pt>
                <c:pt idx="143">
                  <c:v>1.6459148161032899</c:v>
                </c:pt>
                <c:pt idx="144">
                  <c:v>1.6459148161032899</c:v>
                </c:pt>
                <c:pt idx="145">
                  <c:v>1.6459148161032899</c:v>
                </c:pt>
                <c:pt idx="146">
                  <c:v>1.6459148161032899</c:v>
                </c:pt>
                <c:pt idx="147">
                  <c:v>1.6459148161032899</c:v>
                </c:pt>
                <c:pt idx="148">
                  <c:v>1.6459148161032899</c:v>
                </c:pt>
                <c:pt idx="149">
                  <c:v>1.6459148161032899</c:v>
                </c:pt>
                <c:pt idx="150">
                  <c:v>1.6459148161032899</c:v>
                </c:pt>
                <c:pt idx="151">
                  <c:v>1.6459148161032899</c:v>
                </c:pt>
                <c:pt idx="152">
                  <c:v>1.6459148161032899</c:v>
                </c:pt>
                <c:pt idx="153">
                  <c:v>1.6459148161032899</c:v>
                </c:pt>
                <c:pt idx="154">
                  <c:v>1.6459148161032899</c:v>
                </c:pt>
                <c:pt idx="155">
                  <c:v>1.6459148161032899</c:v>
                </c:pt>
                <c:pt idx="156">
                  <c:v>1.6459148161032899</c:v>
                </c:pt>
                <c:pt idx="157">
                  <c:v>1.6459148161032899</c:v>
                </c:pt>
                <c:pt idx="158">
                  <c:v>1.6459148161032899</c:v>
                </c:pt>
                <c:pt idx="159">
                  <c:v>1.6459148161032899</c:v>
                </c:pt>
                <c:pt idx="160">
                  <c:v>1.6459148161032899</c:v>
                </c:pt>
                <c:pt idx="161">
                  <c:v>1.6459148161032899</c:v>
                </c:pt>
                <c:pt idx="162">
                  <c:v>1.6459148161032899</c:v>
                </c:pt>
                <c:pt idx="163">
                  <c:v>1.6459148161032899</c:v>
                </c:pt>
                <c:pt idx="164">
                  <c:v>1.6459148161032899</c:v>
                </c:pt>
                <c:pt idx="165">
                  <c:v>1.6459148161032899</c:v>
                </c:pt>
                <c:pt idx="166">
                  <c:v>1.6459148161032899</c:v>
                </c:pt>
                <c:pt idx="167">
                  <c:v>1.6459148161032899</c:v>
                </c:pt>
                <c:pt idx="168">
                  <c:v>1.6459148161032899</c:v>
                </c:pt>
                <c:pt idx="169">
                  <c:v>1.6459148161032899</c:v>
                </c:pt>
                <c:pt idx="170">
                  <c:v>1.6459148161032899</c:v>
                </c:pt>
                <c:pt idx="171">
                  <c:v>1.6459148161032899</c:v>
                </c:pt>
                <c:pt idx="172">
                  <c:v>1.6459148161032899</c:v>
                </c:pt>
                <c:pt idx="173">
                  <c:v>1.6459148161032899</c:v>
                </c:pt>
                <c:pt idx="174">
                  <c:v>1.6459148161032899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62-4217-8C6C-1BD39D7956DD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PFF/PFFD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1.6308743455753001</c:v>
                </c:pt>
                <c:pt idx="10">
                  <c:v>1.63072469004868</c:v>
                </c:pt>
                <c:pt idx="11">
                  <c:v>1.63056886951306</c:v>
                </c:pt>
                <c:pt idx="12">
                  <c:v>1.63035951031968</c:v>
                </c:pt>
                <c:pt idx="13">
                  <c:v>1.6302345818436199</c:v>
                </c:pt>
                <c:pt idx="14">
                  <c:v>1.63061531822003</c:v>
                </c:pt>
                <c:pt idx="15">
                  <c:v>1.6301977065972599</c:v>
                </c:pt>
                <c:pt idx="16">
                  <c:v>1.62956803997815</c:v>
                </c:pt>
                <c:pt idx="17">
                  <c:v>1.6299391106439101</c:v>
                </c:pt>
                <c:pt idx="18">
                  <c:v>1.63010076893866</c:v>
                </c:pt>
                <c:pt idx="19">
                  <c:v>1.6302707601594699</c:v>
                </c:pt>
                <c:pt idx="20">
                  <c:v>1.63013496884356</c:v>
                </c:pt>
                <c:pt idx="21">
                  <c:v>1.6299184865837399</c:v>
                </c:pt>
                <c:pt idx="22">
                  <c:v>1.6300759246971599</c:v>
                </c:pt>
                <c:pt idx="23">
                  <c:v>1.63008745232076</c:v>
                </c:pt>
                <c:pt idx="24">
                  <c:v>1.63034260069901</c:v>
                </c:pt>
                <c:pt idx="25">
                  <c:v>1.6307876461350299</c:v>
                </c:pt>
                <c:pt idx="26">
                  <c:v>1.6312379463175</c:v>
                </c:pt>
                <c:pt idx="27">
                  <c:v>1.6311448501888699</c:v>
                </c:pt>
                <c:pt idx="28">
                  <c:v>1.6318329949986199</c:v>
                </c:pt>
                <c:pt idx="29">
                  <c:v>1.6318329949986199</c:v>
                </c:pt>
                <c:pt idx="30">
                  <c:v>1.63222559165607</c:v>
                </c:pt>
                <c:pt idx="31">
                  <c:v>1.63247746254449</c:v>
                </c:pt>
                <c:pt idx="32">
                  <c:v>1.63277549329227</c:v>
                </c:pt>
                <c:pt idx="33">
                  <c:v>1.63320684385087</c:v>
                </c:pt>
                <c:pt idx="34">
                  <c:v>1.6330239109749001</c:v>
                </c:pt>
                <c:pt idx="35">
                  <c:v>1.6326065276350901</c:v>
                </c:pt>
                <c:pt idx="36">
                  <c:v>1.63266031427307</c:v>
                </c:pt>
                <c:pt idx="37">
                  <c:v>1.63308691705859</c:v>
                </c:pt>
                <c:pt idx="38">
                  <c:v>1.6325532001255001</c:v>
                </c:pt>
                <c:pt idx="39">
                  <c:v>1.63331046567264</c:v>
                </c:pt>
                <c:pt idx="40">
                  <c:v>1.63411389952692</c:v>
                </c:pt>
                <c:pt idx="41">
                  <c:v>1.63530275968174</c:v>
                </c:pt>
                <c:pt idx="42">
                  <c:v>1.6362758945540199</c:v>
                </c:pt>
                <c:pt idx="43">
                  <c:v>1.63752991735444</c:v>
                </c:pt>
                <c:pt idx="44">
                  <c:v>1.6392354258261099</c:v>
                </c:pt>
                <c:pt idx="45">
                  <c:v>1.6410291524274301</c:v>
                </c:pt>
                <c:pt idx="46">
                  <c:v>1.6425872146164699</c:v>
                </c:pt>
                <c:pt idx="47">
                  <c:v>1.6444474657375101</c:v>
                </c:pt>
                <c:pt idx="48">
                  <c:v>1.6464374929423999</c:v>
                </c:pt>
                <c:pt idx="49">
                  <c:v>1.6474657522512699</c:v>
                </c:pt>
                <c:pt idx="50">
                  <c:v>1.64824414052966</c:v>
                </c:pt>
                <c:pt idx="51">
                  <c:v>1.6488060697148901</c:v>
                </c:pt>
                <c:pt idx="52">
                  <c:v>1.64949137082484</c:v>
                </c:pt>
                <c:pt idx="53">
                  <c:v>1.65024512223433</c:v>
                </c:pt>
                <c:pt idx="54">
                  <c:v>1.6503629467013701</c:v>
                </c:pt>
                <c:pt idx="55">
                  <c:v>1.6502628952757401</c:v>
                </c:pt>
                <c:pt idx="56">
                  <c:v>1.6500779786767501</c:v>
                </c:pt>
                <c:pt idx="57">
                  <c:v>1.64967956327093</c:v>
                </c:pt>
                <c:pt idx="58">
                  <c:v>1.6492394378300299</c:v>
                </c:pt>
                <c:pt idx="59">
                  <c:v>1.6494032056186001</c:v>
                </c:pt>
                <c:pt idx="60">
                  <c:v>1.64912171175015</c:v>
                </c:pt>
                <c:pt idx="61">
                  <c:v>1.64942771606526</c:v>
                </c:pt>
                <c:pt idx="62">
                  <c:v>1.6494322425669099</c:v>
                </c:pt>
                <c:pt idx="63">
                  <c:v>1.6491550540378801</c:v>
                </c:pt>
                <c:pt idx="64">
                  <c:v>1.6486398577499399</c:v>
                </c:pt>
                <c:pt idx="65">
                  <c:v>1.6488367234259</c:v>
                </c:pt>
                <c:pt idx="66">
                  <c:v>1.64848304653028</c:v>
                </c:pt>
                <c:pt idx="67">
                  <c:v>1.64803179290152</c:v>
                </c:pt>
                <c:pt idx="68">
                  <c:v>1.64789086134947</c:v>
                </c:pt>
                <c:pt idx="69">
                  <c:v>1.6478411630148899</c:v>
                </c:pt>
                <c:pt idx="70">
                  <c:v>1.6481111858981801</c:v>
                </c:pt>
                <c:pt idx="71">
                  <c:v>1.6485922431025499</c:v>
                </c:pt>
                <c:pt idx="72">
                  <c:v>1.64931964452368</c:v>
                </c:pt>
                <c:pt idx="73">
                  <c:v>1.6495736355984001</c:v>
                </c:pt>
                <c:pt idx="74">
                  <c:v>1.65051609309582</c:v>
                </c:pt>
                <c:pt idx="75">
                  <c:v>1.6512723843582999</c:v>
                </c:pt>
                <c:pt idx="76">
                  <c:v>1.65209611679235</c:v>
                </c:pt>
                <c:pt idx="77">
                  <c:v>1.6525609920177</c:v>
                </c:pt>
                <c:pt idx="78">
                  <c:v>1.65311166467992</c:v>
                </c:pt>
                <c:pt idx="79">
                  <c:v>1.6527139945934499</c:v>
                </c:pt>
                <c:pt idx="80">
                  <c:v>1.6524076632259199</c:v>
                </c:pt>
                <c:pt idx="81">
                  <c:v>1.6514740688710301</c:v>
                </c:pt>
                <c:pt idx="82">
                  <c:v>1.6508615883025199</c:v>
                </c:pt>
                <c:pt idx="83">
                  <c:v>1.65078430981818</c:v>
                </c:pt>
                <c:pt idx="84">
                  <c:v>1.6513688633575601</c:v>
                </c:pt>
                <c:pt idx="85">
                  <c:v>1.65154602541735</c:v>
                </c:pt>
                <c:pt idx="86">
                  <c:v>1.65231228821646</c:v>
                </c:pt>
                <c:pt idx="87">
                  <c:v>1.6531849595263</c:v>
                </c:pt>
                <c:pt idx="88">
                  <c:v>1.65426844770785</c:v>
                </c:pt>
                <c:pt idx="89">
                  <c:v>1.6550454531144501</c:v>
                </c:pt>
                <c:pt idx="90">
                  <c:v>1.6562476552677201</c:v>
                </c:pt>
                <c:pt idx="91">
                  <c:v>1.6573809800767101</c:v>
                </c:pt>
                <c:pt idx="92">
                  <c:v>1.65782952181322</c:v>
                </c:pt>
                <c:pt idx="93">
                  <c:v>1.65808870578832</c:v>
                </c:pt>
                <c:pt idx="94">
                  <c:v>1.6577406183643399</c:v>
                </c:pt>
                <c:pt idx="95">
                  <c:v>1.6574605084268299</c:v>
                </c:pt>
                <c:pt idx="96">
                  <c:v>1.6570628476081199</c:v>
                </c:pt>
                <c:pt idx="97">
                  <c:v>1.65733024361739</c:v>
                </c:pt>
                <c:pt idx="98">
                  <c:v>1.65693838721294</c:v>
                </c:pt>
                <c:pt idx="99">
                  <c:v>1.6571236092747501</c:v>
                </c:pt>
                <c:pt idx="100">
                  <c:v>1.6569645805942701</c:v>
                </c:pt>
                <c:pt idx="101">
                  <c:v>1.65701591487149</c:v>
                </c:pt>
                <c:pt idx="102">
                  <c:v>1.6570382784870701</c:v>
                </c:pt>
                <c:pt idx="103">
                  <c:v>1.6573800246225201</c:v>
                </c:pt>
                <c:pt idx="104">
                  <c:v>1.6575293825706701</c:v>
                </c:pt>
                <c:pt idx="105">
                  <c:v>1.65748254831331</c:v>
                </c:pt>
                <c:pt idx="106">
                  <c:v>1.6568388056232599</c:v>
                </c:pt>
                <c:pt idx="107">
                  <c:v>1.6565487666234999</c:v>
                </c:pt>
                <c:pt idx="108">
                  <c:v>1.6562699255408</c:v>
                </c:pt>
                <c:pt idx="109">
                  <c:v>1.6559647019469399</c:v>
                </c:pt>
                <c:pt idx="110">
                  <c:v>1.6554389469627799</c:v>
                </c:pt>
                <c:pt idx="111">
                  <c:v>1.6545986770304599</c:v>
                </c:pt>
                <c:pt idx="112">
                  <c:v>1.6541579938264599</c:v>
                </c:pt>
                <c:pt idx="113">
                  <c:v>1.6529256338952301</c:v>
                </c:pt>
                <c:pt idx="114">
                  <c:v>1.65218253410754</c:v>
                </c:pt>
                <c:pt idx="115">
                  <c:v>1.6521641878477999</c:v>
                </c:pt>
                <c:pt idx="116">
                  <c:v>1.65187862399152</c:v>
                </c:pt>
                <c:pt idx="117">
                  <c:v>1.65042263790613</c:v>
                </c:pt>
                <c:pt idx="118">
                  <c:v>1.6491212018625101</c:v>
                </c:pt>
                <c:pt idx="119">
                  <c:v>1.6469971456385899</c:v>
                </c:pt>
                <c:pt idx="120">
                  <c:v>1.64460896341923</c:v>
                </c:pt>
                <c:pt idx="121">
                  <c:v>1.6433837303422001</c:v>
                </c:pt>
                <c:pt idx="122">
                  <c:v>1.64117308522659</c:v>
                </c:pt>
                <c:pt idx="123">
                  <c:v>1.6402243327817201</c:v>
                </c:pt>
                <c:pt idx="124">
                  <c:v>1.63925046411487</c:v>
                </c:pt>
                <c:pt idx="125">
                  <c:v>1.6375225533596001</c:v>
                </c:pt>
                <c:pt idx="126">
                  <c:v>1.6365472771801299</c:v>
                </c:pt>
                <c:pt idx="127">
                  <c:v>1.63636217846081</c:v>
                </c:pt>
                <c:pt idx="128">
                  <c:v>1.6357197801738801</c:v>
                </c:pt>
                <c:pt idx="129">
                  <c:v>1.6362559732033699</c:v>
                </c:pt>
                <c:pt idx="130">
                  <c:v>1.63699229656095</c:v>
                </c:pt>
                <c:pt idx="131">
                  <c:v>1.63742445383611</c:v>
                </c:pt>
                <c:pt idx="132">
                  <c:v>1.6384713929599799</c:v>
                </c:pt>
                <c:pt idx="133">
                  <c:v>1.63828556458704</c:v>
                </c:pt>
                <c:pt idx="134">
                  <c:v>1.63749801893736</c:v>
                </c:pt>
                <c:pt idx="135">
                  <c:v>1.6377922525003501</c:v>
                </c:pt>
                <c:pt idx="136">
                  <c:v>1.63791466201054</c:v>
                </c:pt>
                <c:pt idx="137">
                  <c:v>1.6380031054067701</c:v>
                </c:pt>
                <c:pt idx="138">
                  <c:v>1.63829909533705</c:v>
                </c:pt>
                <c:pt idx="139">
                  <c:v>1.63881589663607</c:v>
                </c:pt>
                <c:pt idx="140">
                  <c:v>1.6393232779902001</c:v>
                </c:pt>
                <c:pt idx="141">
                  <c:v>1.63922288752459</c:v>
                </c:pt>
                <c:pt idx="142">
                  <c:v>1.63916271929914</c:v>
                </c:pt>
                <c:pt idx="143">
                  <c:v>1.63998222078264</c:v>
                </c:pt>
                <c:pt idx="144">
                  <c:v>1.64124724168963</c:v>
                </c:pt>
                <c:pt idx="145">
                  <c:v>1.64189054592885</c:v>
                </c:pt>
                <c:pt idx="146">
                  <c:v>1.64277125104823</c:v>
                </c:pt>
                <c:pt idx="147">
                  <c:v>1.64371160732977</c:v>
                </c:pt>
                <c:pt idx="148">
                  <c:v>1.6447020335620499</c:v>
                </c:pt>
                <c:pt idx="149">
                  <c:v>1.6451630638523</c:v>
                </c:pt>
                <c:pt idx="150">
                  <c:v>1.64575287438403</c:v>
                </c:pt>
                <c:pt idx="151">
                  <c:v>1.64628406721906</c:v>
                </c:pt>
                <c:pt idx="152">
                  <c:v>1.6471485249887401</c:v>
                </c:pt>
                <c:pt idx="153">
                  <c:v>1.6477963577775001</c:v>
                </c:pt>
                <c:pt idx="154">
                  <c:v>1.64854483166165</c:v>
                </c:pt>
                <c:pt idx="155">
                  <c:v>1.6493091498316701</c:v>
                </c:pt>
                <c:pt idx="156">
                  <c:v>1.6501127814482399</c:v>
                </c:pt>
                <c:pt idx="157">
                  <c:v>1.65055178480078</c:v>
                </c:pt>
                <c:pt idx="158">
                  <c:v>1.6509773844854301</c:v>
                </c:pt>
                <c:pt idx="159">
                  <c:v>1.6518796981552</c:v>
                </c:pt>
                <c:pt idx="160">
                  <c:v>1.65298586382236</c:v>
                </c:pt>
                <c:pt idx="161">
                  <c:v>1.65409564565589</c:v>
                </c:pt>
                <c:pt idx="162">
                  <c:v>1.6549113195253899</c:v>
                </c:pt>
                <c:pt idx="163">
                  <c:v>1.6557015015655701</c:v>
                </c:pt>
                <c:pt idx="164">
                  <c:v>1.6563162939596101</c:v>
                </c:pt>
                <c:pt idx="165">
                  <c:v>1.65717398489866</c:v>
                </c:pt>
                <c:pt idx="166">
                  <c:v>1.6579812610920901</c:v>
                </c:pt>
                <c:pt idx="167">
                  <c:v>1.6589338687563899</c:v>
                </c:pt>
                <c:pt idx="168">
                  <c:v>1.66016309502014</c:v>
                </c:pt>
                <c:pt idx="169">
                  <c:v>1.6607946587956399</c:v>
                </c:pt>
                <c:pt idx="170">
                  <c:v>1.6611358110052099</c:v>
                </c:pt>
                <c:pt idx="171">
                  <c:v>1.6613959368437601</c:v>
                </c:pt>
                <c:pt idx="172">
                  <c:v>1.6620012191603499</c:v>
                </c:pt>
                <c:pt idx="173">
                  <c:v>1.6625910818363101</c:v>
                </c:pt>
                <c:pt idx="174">
                  <c:v>1.6634067637367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62-4217-8C6C-1BD39D7956DD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PFF/PFFD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1.63057255286739</c:v>
                </c:pt>
                <c:pt idx="20">
                  <c:v>1.6304298294461199</c:v>
                </c:pt>
                <c:pt idx="21">
                  <c:v>1.6302436780484</c:v>
                </c:pt>
                <c:pt idx="22">
                  <c:v>1.63021771750842</c:v>
                </c:pt>
                <c:pt idx="23">
                  <c:v>1.6301610170821901</c:v>
                </c:pt>
                <c:pt idx="24">
                  <c:v>1.6304789594595199</c:v>
                </c:pt>
                <c:pt idx="25">
                  <c:v>1.63049267636615</c:v>
                </c:pt>
                <c:pt idx="26">
                  <c:v>1.6304029931478301</c:v>
                </c:pt>
                <c:pt idx="27">
                  <c:v>1.6305419804163901</c:v>
                </c:pt>
                <c:pt idx="28">
                  <c:v>1.63096688196864</c:v>
                </c:pt>
                <c:pt idx="29">
                  <c:v>1.6310518775790399</c:v>
                </c:pt>
                <c:pt idx="30">
                  <c:v>1.6311802802498201</c:v>
                </c:pt>
                <c:pt idx="31">
                  <c:v>1.6311979745641201</c:v>
                </c:pt>
                <c:pt idx="32">
                  <c:v>1.6314257089947199</c:v>
                </c:pt>
                <c:pt idx="33">
                  <c:v>1.6316471480858199</c:v>
                </c:pt>
                <c:pt idx="34">
                  <c:v>1.6316832558369601</c:v>
                </c:pt>
                <c:pt idx="35">
                  <c:v>1.63169708688506</c:v>
                </c:pt>
                <c:pt idx="36">
                  <c:v>1.63194913029529</c:v>
                </c:pt>
                <c:pt idx="37">
                  <c:v>1.6321158836237299</c:v>
                </c:pt>
                <c:pt idx="38">
                  <c:v>1.63219309756206</c:v>
                </c:pt>
                <c:pt idx="39">
                  <c:v>1.63257173033563</c:v>
                </c:pt>
                <c:pt idx="40">
                  <c:v>1.6331697455915</c:v>
                </c:pt>
                <c:pt idx="41">
                  <c:v>1.6338901111131201</c:v>
                </c:pt>
                <c:pt idx="42">
                  <c:v>1.6345256939231501</c:v>
                </c:pt>
                <c:pt idx="43">
                  <c:v>1.63536838060265</c:v>
                </c:pt>
                <c:pt idx="44">
                  <c:v>1.63612966840051</c:v>
                </c:pt>
                <c:pt idx="45">
                  <c:v>1.6368178400312601</c:v>
                </c:pt>
                <c:pt idx="46">
                  <c:v>1.63762376444477</c:v>
                </c:pt>
                <c:pt idx="47">
                  <c:v>1.6387671913980499</c:v>
                </c:pt>
                <c:pt idx="48">
                  <c:v>1.6394953465339499</c:v>
                </c:pt>
                <c:pt idx="49">
                  <c:v>1.6403881089619601</c:v>
                </c:pt>
                <c:pt idx="50">
                  <c:v>1.6411790200282901</c:v>
                </c:pt>
                <c:pt idx="51">
                  <c:v>1.64205441469832</c:v>
                </c:pt>
                <c:pt idx="52">
                  <c:v>1.6428836326894301</c:v>
                </c:pt>
                <c:pt idx="53">
                  <c:v>1.6438875197943901</c:v>
                </c:pt>
                <c:pt idx="54">
                  <c:v>1.6447991862637401</c:v>
                </c:pt>
                <c:pt idx="55">
                  <c:v>1.64564602385159</c:v>
                </c:pt>
                <c:pt idx="56">
                  <c:v>1.64633259664661</c:v>
                </c:pt>
                <c:pt idx="57">
                  <c:v>1.6470635145042201</c:v>
                </c:pt>
                <c:pt idx="58">
                  <c:v>1.6478384653862199</c:v>
                </c:pt>
                <c:pt idx="59">
                  <c:v>1.6484344789349401</c:v>
                </c:pt>
                <c:pt idx="60">
                  <c:v>1.6486829261399101</c:v>
                </c:pt>
                <c:pt idx="61">
                  <c:v>1.6491168928900799</c:v>
                </c:pt>
                <c:pt idx="62">
                  <c:v>1.6494618066958799</c:v>
                </c:pt>
                <c:pt idx="63">
                  <c:v>1.6497000881361099</c:v>
                </c:pt>
                <c:pt idx="64">
                  <c:v>1.64950140222565</c:v>
                </c:pt>
                <c:pt idx="65">
                  <c:v>1.6495498093508201</c:v>
                </c:pt>
                <c:pt idx="66">
                  <c:v>1.6492805126035199</c:v>
                </c:pt>
                <c:pt idx="67">
                  <c:v>1.64885567808623</c:v>
                </c:pt>
                <c:pt idx="68">
                  <c:v>1.64856514958975</c:v>
                </c:pt>
                <c:pt idx="69">
                  <c:v>1.6486221843167499</c:v>
                </c:pt>
                <c:pt idx="70">
                  <c:v>1.6486164488241699</c:v>
                </c:pt>
                <c:pt idx="71">
                  <c:v>1.6490099795839099</c:v>
                </c:pt>
                <c:pt idx="72">
                  <c:v>1.6493759435452999</c:v>
                </c:pt>
                <c:pt idx="73">
                  <c:v>1.6493643448181401</c:v>
                </c:pt>
                <c:pt idx="74">
                  <c:v>1.6495779754228801</c:v>
                </c:pt>
                <c:pt idx="75">
                  <c:v>1.6500545538921001</c:v>
                </c:pt>
                <c:pt idx="76">
                  <c:v>1.6502895816613099</c:v>
                </c:pt>
                <c:pt idx="77">
                  <c:v>1.6502963924596099</c:v>
                </c:pt>
                <c:pt idx="78">
                  <c:v>1.6505012630147</c:v>
                </c:pt>
                <c:pt idx="79">
                  <c:v>1.6502775788041699</c:v>
                </c:pt>
                <c:pt idx="80">
                  <c:v>1.6502594245620501</c:v>
                </c:pt>
                <c:pt idx="81">
                  <c:v>1.65003315598679</c:v>
                </c:pt>
                <c:pt idx="82">
                  <c:v>1.6500906164131</c:v>
                </c:pt>
                <c:pt idx="83">
                  <c:v>1.6501789727082901</c:v>
                </c:pt>
                <c:pt idx="84">
                  <c:v>1.6509424782266899</c:v>
                </c:pt>
                <c:pt idx="85">
                  <c:v>1.6514092048878299</c:v>
                </c:pt>
                <c:pt idx="86">
                  <c:v>1.6522042025044099</c:v>
                </c:pt>
                <c:pt idx="87">
                  <c:v>1.652872975772</c:v>
                </c:pt>
                <c:pt idx="88">
                  <c:v>1.6536900561938901</c:v>
                </c:pt>
                <c:pt idx="89">
                  <c:v>1.65387972385395</c:v>
                </c:pt>
                <c:pt idx="90">
                  <c:v>1.6543276592468199</c:v>
                </c:pt>
                <c:pt idx="91">
                  <c:v>1.65442752447387</c:v>
                </c:pt>
                <c:pt idx="92">
                  <c:v>1.6543455550578701</c:v>
                </c:pt>
                <c:pt idx="93">
                  <c:v>1.6544365078032499</c:v>
                </c:pt>
                <c:pt idx="94">
                  <c:v>1.65455474086095</c:v>
                </c:pt>
                <c:pt idx="95">
                  <c:v>1.65450326692209</c:v>
                </c:pt>
                <c:pt idx="96">
                  <c:v>1.6546875679122901</c:v>
                </c:pt>
                <c:pt idx="97">
                  <c:v>1.6552576015718401</c:v>
                </c:pt>
                <c:pt idx="98">
                  <c:v>1.6556034174604</c:v>
                </c:pt>
                <c:pt idx="99">
                  <c:v>1.6560845311946</c:v>
                </c:pt>
                <c:pt idx="100">
                  <c:v>1.6566061179310001</c:v>
                </c:pt>
                <c:pt idx="101">
                  <c:v>1.6571984474740999</c:v>
                </c:pt>
                <c:pt idx="102">
                  <c:v>1.6574339001501399</c:v>
                </c:pt>
                <c:pt idx="103">
                  <c:v>1.6577343652054199</c:v>
                </c:pt>
                <c:pt idx="104">
                  <c:v>1.65763500046751</c:v>
                </c:pt>
                <c:pt idx="105">
                  <c:v>1.6574715283700701</c:v>
                </c:pt>
                <c:pt idx="106">
                  <c:v>1.65695082661569</c:v>
                </c:pt>
                <c:pt idx="107">
                  <c:v>1.6569395051204401</c:v>
                </c:pt>
                <c:pt idx="108">
                  <c:v>1.6566041563768701</c:v>
                </c:pt>
                <c:pt idx="109">
                  <c:v>1.65654415561084</c:v>
                </c:pt>
                <c:pt idx="110">
                  <c:v>1.65620176377853</c:v>
                </c:pt>
                <c:pt idx="111">
                  <c:v>1.65580729595098</c:v>
                </c:pt>
                <c:pt idx="112">
                  <c:v>1.65559813615677</c:v>
                </c:pt>
                <c:pt idx="113">
                  <c:v>1.65515282925887</c:v>
                </c:pt>
                <c:pt idx="114">
                  <c:v>1.65485595833911</c:v>
                </c:pt>
                <c:pt idx="115">
                  <c:v>1.65482336808056</c:v>
                </c:pt>
                <c:pt idx="116">
                  <c:v>1.6543587148073899</c:v>
                </c:pt>
                <c:pt idx="117">
                  <c:v>1.65348570226481</c:v>
                </c:pt>
                <c:pt idx="118">
                  <c:v>1.65269556370166</c:v>
                </c:pt>
                <c:pt idx="119">
                  <c:v>1.6514809237927699</c:v>
                </c:pt>
                <c:pt idx="120">
                  <c:v>1.6500239551910001</c:v>
                </c:pt>
                <c:pt idx="121">
                  <c:v>1.6489912036863299</c:v>
                </c:pt>
                <c:pt idx="122">
                  <c:v>1.6476655395265301</c:v>
                </c:pt>
                <c:pt idx="123">
                  <c:v>1.64657498333848</c:v>
                </c:pt>
                <c:pt idx="124">
                  <c:v>1.6457164991112101</c:v>
                </c:pt>
                <c:pt idx="125">
                  <c:v>1.6448433706037</c:v>
                </c:pt>
                <c:pt idx="126">
                  <c:v>1.6442129505858201</c:v>
                </c:pt>
                <c:pt idx="127">
                  <c:v>1.6433924081834701</c:v>
                </c:pt>
                <c:pt idx="128">
                  <c:v>1.6424204910181901</c:v>
                </c:pt>
                <c:pt idx="129">
                  <c:v>1.64162655942098</c:v>
                </c:pt>
                <c:pt idx="130">
                  <c:v>1.6408006299900899</c:v>
                </c:pt>
                <c:pt idx="131">
                  <c:v>1.6404040920891501</c:v>
                </c:pt>
                <c:pt idx="132">
                  <c:v>1.6398222390932899</c:v>
                </c:pt>
                <c:pt idx="133">
                  <c:v>1.6392549486843799</c:v>
                </c:pt>
                <c:pt idx="134">
                  <c:v>1.63837424152611</c:v>
                </c:pt>
                <c:pt idx="135">
                  <c:v>1.63765740292997</c:v>
                </c:pt>
                <c:pt idx="136">
                  <c:v>1.63723096959533</c:v>
                </c:pt>
                <c:pt idx="137">
                  <c:v>1.63718264193379</c:v>
                </c:pt>
                <c:pt idx="138">
                  <c:v>1.63700943775546</c:v>
                </c:pt>
                <c:pt idx="139">
                  <c:v>1.63753593491972</c:v>
                </c:pt>
                <c:pt idx="140">
                  <c:v>1.6381577872755799</c:v>
                </c:pt>
                <c:pt idx="141">
                  <c:v>1.6383236706803499</c:v>
                </c:pt>
                <c:pt idx="142">
                  <c:v>1.6388170561295601</c:v>
                </c:pt>
                <c:pt idx="143">
                  <c:v>1.63913389268484</c:v>
                </c:pt>
                <c:pt idx="144">
                  <c:v>1.6393726303134899</c:v>
                </c:pt>
                <c:pt idx="145">
                  <c:v>1.6398413992145999</c:v>
                </c:pt>
                <c:pt idx="146">
                  <c:v>1.6403429565293799</c:v>
                </c:pt>
                <c:pt idx="147">
                  <c:v>1.64085735636827</c:v>
                </c:pt>
                <c:pt idx="148">
                  <c:v>1.6415005644495499</c:v>
                </c:pt>
                <c:pt idx="149">
                  <c:v>1.6419894802441799</c:v>
                </c:pt>
                <c:pt idx="150">
                  <c:v>1.64253807618712</c:v>
                </c:pt>
                <c:pt idx="151">
                  <c:v>1.64275347737182</c:v>
                </c:pt>
                <c:pt idx="152">
                  <c:v>1.6431556221439401</c:v>
                </c:pt>
                <c:pt idx="153">
                  <c:v>1.6438892892800701</c:v>
                </c:pt>
                <c:pt idx="154">
                  <c:v>1.64489603667564</c:v>
                </c:pt>
                <c:pt idx="155">
                  <c:v>1.64559984788026</c:v>
                </c:pt>
                <c:pt idx="156">
                  <c:v>1.6464420162482301</c:v>
                </c:pt>
                <c:pt idx="157">
                  <c:v>1.64713169606527</c:v>
                </c:pt>
                <c:pt idx="158">
                  <c:v>1.64783970902374</c:v>
                </c:pt>
                <c:pt idx="159">
                  <c:v>1.64852138100375</c:v>
                </c:pt>
                <c:pt idx="160">
                  <c:v>1.6493693691032001</c:v>
                </c:pt>
                <c:pt idx="161">
                  <c:v>1.65018985643748</c:v>
                </c:pt>
                <c:pt idx="162">
                  <c:v>1.6510299222570699</c:v>
                </c:pt>
                <c:pt idx="163">
                  <c:v>1.65174892967154</c:v>
                </c:pt>
                <c:pt idx="164">
                  <c:v>1.6524305628106299</c:v>
                </c:pt>
                <c:pt idx="165">
                  <c:v>1.6532415673651599</c:v>
                </c:pt>
                <c:pt idx="166">
                  <c:v>1.6540470212701699</c:v>
                </c:pt>
                <c:pt idx="167">
                  <c:v>1.65474282677858</c:v>
                </c:pt>
                <c:pt idx="168">
                  <c:v>1.6555702397527801</c:v>
                </c:pt>
                <c:pt idx="169">
                  <c:v>1.6563371784754199</c:v>
                </c:pt>
                <c:pt idx="170">
                  <c:v>1.6570608374137801</c:v>
                </c:pt>
                <c:pt idx="171">
                  <c:v>1.6577457912498299</c:v>
                </c:pt>
                <c:pt idx="172">
                  <c:v>1.6584562693428699</c:v>
                </c:pt>
                <c:pt idx="173">
                  <c:v>1.6591462917009401</c:v>
                </c:pt>
                <c:pt idx="174">
                  <c:v>1.65986152884816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62-4217-8C6C-1BD39D795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PFFD* x 10 dma / PFF*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-8.4606239290041605E-4</c:v>
                </c:pt>
                <c:pt idx="11">
                  <c:v>-2.0740862747201501E-4</c:v>
                </c:pt>
                <c:pt idx="12">
                  <c:v>-1.56683495875287E-4</c:v>
                </c:pt>
                <c:pt idx="13">
                  <c:v>4.70972427166251E-4</c:v>
                </c:pt>
                <c:pt idx="14">
                  <c:v>-1.9773917681455001E-4</c:v>
                </c:pt>
                <c:pt idx="15">
                  <c:v>1.4872226059076199E-3</c:v>
                </c:pt>
                <c:pt idx="16">
                  <c:v>1.4646034847925701E-3</c:v>
                </c:pt>
                <c:pt idx="17">
                  <c:v>-5.3857757606656895E-4</c:v>
                </c:pt>
                <c:pt idx="18">
                  <c:v>-1.2571598277835101E-4</c:v>
                </c:pt>
                <c:pt idx="19">
                  <c:v>-1.05587649708441E-3</c:v>
                </c:pt>
                <c:pt idx="20">
                  <c:v>-8.3088441959372602E-4</c:v>
                </c:pt>
                <c:pt idx="21">
                  <c:v>3.4877329156191299E-4</c:v>
                </c:pt>
                <c:pt idx="22">
                  <c:v>-1.8728071417083701E-3</c:v>
                </c:pt>
                <c:pt idx="23">
                  <c:v>-9.4214040244360907E-5</c:v>
                </c:pt>
                <c:pt idx="24">
                  <c:v>-2.1113551184515E-3</c:v>
                </c:pt>
                <c:pt idx="25">
                  <c:v>-1.6263636323282E-3</c:v>
                </c:pt>
                <c:pt idx="26">
                  <c:v>-1.10956922715545E-3</c:v>
                </c:pt>
                <c:pt idx="27">
                  <c:v>9.1940965683718701E-4</c:v>
                </c:pt>
                <c:pt idx="28">
                  <c:v>-3.6688830857170601E-3</c:v>
                </c:pt>
                <c:pt idx="29">
                  <c:v>-3.4751412471238398E-5</c:v>
                </c:pt>
                <c:pt idx="30">
                  <c:v>-1.8160872427408999E-3</c:v>
                </c:pt>
                <c:pt idx="31">
                  <c:v>4.9694856821646302E-4</c:v>
                </c:pt>
                <c:pt idx="32">
                  <c:v>-1.7644573609738299E-3</c:v>
                </c:pt>
                <c:pt idx="33">
                  <c:v>-7.5661565759171196E-4</c:v>
                </c:pt>
                <c:pt idx="34">
                  <c:v>1.1731781586711101E-3</c:v>
                </c:pt>
                <c:pt idx="35">
                  <c:v>2.7798825989907299E-3</c:v>
                </c:pt>
                <c:pt idx="36">
                  <c:v>-1.49172176526913E-4</c:v>
                </c:pt>
                <c:pt idx="37">
                  <c:v>-6.8316954736697398E-4</c:v>
                </c:pt>
                <c:pt idx="38">
                  <c:v>8.4872020331759797E-4</c:v>
                </c:pt>
                <c:pt idx="39">
                  <c:v>2.23702721818805E-5</c:v>
                </c:pt>
                <c:pt idx="40">
                  <c:v>-2.0012344954672902E-3</c:v>
                </c:pt>
                <c:pt idx="41">
                  <c:v>-2.2216055574048699E-3</c:v>
                </c:pt>
                <c:pt idx="42">
                  <c:v>-2.9896890070551102E-3</c:v>
                </c:pt>
                <c:pt idx="43">
                  <c:v>-3.6725774902355902E-3</c:v>
                </c:pt>
                <c:pt idx="44">
                  <c:v>-4.4073541766247301E-3</c:v>
                </c:pt>
                <c:pt idx="45">
                  <c:v>-2.6361594884660999E-3</c:v>
                </c:pt>
                <c:pt idx="46">
                  <c:v>-3.1755037521077199E-3</c:v>
                </c:pt>
                <c:pt idx="47">
                  <c:v>-5.0012483154798998E-3</c:v>
                </c:pt>
                <c:pt idx="48">
                  <c:v>-3.80521578982359E-3</c:v>
                </c:pt>
                <c:pt idx="49">
                  <c:v>-1.89695575692482E-3</c:v>
                </c:pt>
                <c:pt idx="50">
                  <c:v>-1.8840389563193E-3</c:v>
                </c:pt>
                <c:pt idx="51">
                  <c:v>-3.6301513747804501E-4</c:v>
                </c:pt>
                <c:pt idx="52">
                  <c:v>-1.8615699948893399E-3</c:v>
                </c:pt>
                <c:pt idx="53">
                  <c:v>-2.67842265687049E-3</c:v>
                </c:pt>
                <c:pt idx="54">
                  <c:v>4.8578005068597397E-4</c:v>
                </c:pt>
                <c:pt idx="55">
                  <c:v>3.0149344581939098E-3</c:v>
                </c:pt>
                <c:pt idx="56">
                  <c:v>2.2159153376533399E-3</c:v>
                </c:pt>
                <c:pt idx="57">
                  <c:v>1.0390940354179201E-3</c:v>
                </c:pt>
                <c:pt idx="58">
                  <c:v>1.55039235172938E-3</c:v>
                </c:pt>
                <c:pt idx="59">
                  <c:v>-1.1910317836947399E-3</c:v>
                </c:pt>
                <c:pt idx="60">
                  <c:v>9.6558589679025602E-4</c:v>
                </c:pt>
                <c:pt idx="61">
                  <c:v>-9.7754670964111403E-4</c:v>
                </c:pt>
                <c:pt idx="62">
                  <c:v>-8.9312301048572005E-4</c:v>
                </c:pt>
                <c:pt idx="63">
                  <c:v>-5.7164378809541796E-4</c:v>
                </c:pt>
                <c:pt idx="64">
                  <c:v>3.3564455193338802E-3</c:v>
                </c:pt>
                <c:pt idx="65">
                  <c:v>1.1347782200354401E-3</c:v>
                </c:pt>
                <c:pt idx="66">
                  <c:v>3.7593195214538902E-3</c:v>
                </c:pt>
                <c:pt idx="67">
                  <c:v>2.9851251667817398E-3</c:v>
                </c:pt>
                <c:pt idx="68">
                  <c:v>1.4886730780640501E-3</c:v>
                </c:pt>
                <c:pt idx="69">
                  <c:v>-1.7034693366287401E-3</c:v>
                </c:pt>
                <c:pt idx="70">
                  <c:v>-1.6315667266789801E-3</c:v>
                </c:pt>
                <c:pt idx="71">
                  <c:v>-5.2547888605635499E-3</c:v>
                </c:pt>
                <c:pt idx="72">
                  <c:v>-6.4490192088545503E-3</c:v>
                </c:pt>
                <c:pt idx="73">
                  <c:v>-2.7778906835014099E-3</c:v>
                </c:pt>
                <c:pt idx="74">
                  <c:v>-2.53513628799164E-3</c:v>
                </c:pt>
                <c:pt idx="75">
                  <c:v>-2.68605149302544E-3</c:v>
                </c:pt>
                <c:pt idx="76">
                  <c:v>-4.5979737923365501E-5</c:v>
                </c:pt>
                <c:pt idx="77">
                  <c:v>2.0905442480940498E-3</c:v>
                </c:pt>
                <c:pt idx="78">
                  <c:v>7.4174852457131702E-4</c:v>
                </c:pt>
                <c:pt idx="79">
                  <c:v>3.75766975540765E-3</c:v>
                </c:pt>
                <c:pt idx="80">
                  <c:v>3.1675399086698599E-3</c:v>
                </c:pt>
                <c:pt idx="81">
                  <c:v>2.9444731378972899E-3</c:v>
                </c:pt>
                <c:pt idx="82">
                  <c:v>-2.4444309225871299E-4</c:v>
                </c:pt>
                <c:pt idx="83">
                  <c:v>-6.2312788677026205E-4</c:v>
                </c:pt>
                <c:pt idx="84">
                  <c:v>-4.6451376019424496E-3</c:v>
                </c:pt>
                <c:pt idx="85">
                  <c:v>-2.6726336517536599E-3</c:v>
                </c:pt>
                <c:pt idx="86">
                  <c:v>-3.9499781159153301E-3</c:v>
                </c:pt>
                <c:pt idx="87">
                  <c:v>-2.6084165161210601E-3</c:v>
                </c:pt>
                <c:pt idx="88">
                  <c:v>-5.0221592439811296E-3</c:v>
                </c:pt>
                <c:pt idx="89">
                  <c:v>-2.01068697033769E-7</c:v>
                </c:pt>
                <c:pt idx="90">
                  <c:v>-2.49155783583359E-3</c:v>
                </c:pt>
                <c:pt idx="91">
                  <c:v>-1.4426722233307999E-3</c:v>
                </c:pt>
                <c:pt idx="92">
                  <c:v>-1.0274011681757E-4</c:v>
                </c:pt>
                <c:pt idx="93">
                  <c:v>1.32838043052744E-3</c:v>
                </c:pt>
                <c:pt idx="94">
                  <c:v>1.23782287682472E-3</c:v>
                </c:pt>
                <c:pt idx="95">
                  <c:v>2.3265679717204102E-3</c:v>
                </c:pt>
                <c:pt idx="96">
                  <c:v>1.5199836397567501E-3</c:v>
                </c:pt>
                <c:pt idx="97">
                  <c:v>-1.67385909585164E-3</c:v>
                </c:pt>
                <c:pt idx="98">
                  <c:v>-5.1678651734686704E-4</c:v>
                </c:pt>
                <c:pt idx="99">
                  <c:v>2.6363744431522399E-4</c:v>
                </c:pt>
                <c:pt idx="100">
                  <c:v>-4.9366202060862003E-4</c:v>
                </c:pt>
                <c:pt idx="101">
                  <c:v>-1.4323924109955501E-3</c:v>
                </c:pt>
                <c:pt idx="102">
                  <c:v>3.0087102374774501E-4</c:v>
                </c:pt>
                <c:pt idx="103">
                  <c:v>-4.9955243329209101E-4</c:v>
                </c:pt>
                <c:pt idx="104">
                  <c:v>5.22436141164538E-4</c:v>
                </c:pt>
                <c:pt idx="105">
                  <c:v>3.0021055521099699E-3</c:v>
                </c:pt>
                <c:pt idx="106">
                  <c:v>5.8558582474084898E-3</c:v>
                </c:pt>
                <c:pt idx="107">
                  <c:v>3.6863501737275902E-4</c:v>
                </c:pt>
                <c:pt idx="108">
                  <c:v>1.0793490853218499E-3</c:v>
                </c:pt>
                <c:pt idx="109">
                  <c:v>2.0250046103687299E-3</c:v>
                </c:pt>
                <c:pt idx="110">
                  <c:v>2.1582816546972701E-3</c:v>
                </c:pt>
                <c:pt idx="111">
                  <c:v>2.7698263445005001E-3</c:v>
                </c:pt>
                <c:pt idx="112">
                  <c:v>6.3063690422591903E-4</c:v>
                </c:pt>
                <c:pt idx="113">
                  <c:v>4.3347938358527403E-3</c:v>
                </c:pt>
                <c:pt idx="114">
                  <c:v>1.5942349220803701E-3</c:v>
                </c:pt>
                <c:pt idx="115">
                  <c:v>-6.6858945990543603E-4</c:v>
                </c:pt>
                <c:pt idx="116">
                  <c:v>3.8711317693592099E-3</c:v>
                </c:pt>
                <c:pt idx="117">
                  <c:v>5.6098519444460499E-3</c:v>
                </c:pt>
                <c:pt idx="118">
                  <c:v>4.81277713173773E-3</c:v>
                </c:pt>
                <c:pt idx="119">
                  <c:v>1.0170072197188001E-2</c:v>
                </c:pt>
                <c:pt idx="120">
                  <c:v>1.09643759332768E-2</c:v>
                </c:pt>
                <c:pt idx="121">
                  <c:v>3.5909732506326699E-3</c:v>
                </c:pt>
                <c:pt idx="122">
                  <c:v>7.2261190222073501E-3</c:v>
                </c:pt>
                <c:pt idx="123">
                  <c:v>3.03653503926724E-3</c:v>
                </c:pt>
                <c:pt idx="124">
                  <c:v>5.0938729373711995E-4</c:v>
                </c:pt>
                <c:pt idx="125">
                  <c:v>2.4548477358067502E-3</c:v>
                </c:pt>
                <c:pt idx="126">
                  <c:v>1.43118148608059E-3</c:v>
                </c:pt>
                <c:pt idx="127">
                  <c:v>-1.9885607979716899E-3</c:v>
                </c:pt>
                <c:pt idx="128">
                  <c:v>5.5278631021597497E-4</c:v>
                </c:pt>
                <c:pt idx="129">
                  <c:v>-8.1736770701541198E-4</c:v>
                </c:pt>
                <c:pt idx="130">
                  <c:v>3.1504205370475898E-4</c:v>
                </c:pt>
                <c:pt idx="131">
                  <c:v>-3.3980911667760498E-3</c:v>
                </c:pt>
                <c:pt idx="132">
                  <c:v>-2.5578320048699199E-3</c:v>
                </c:pt>
                <c:pt idx="133">
                  <c:v>1.83063744683095E-3</c:v>
                </c:pt>
                <c:pt idx="134">
                  <c:v>3.4038111631204799E-3</c:v>
                </c:pt>
                <c:pt idx="135">
                  <c:v>-8.0130866558880698E-4</c:v>
                </c:pt>
                <c:pt idx="136">
                  <c:v>4.1032181862365102E-4</c:v>
                </c:pt>
                <c:pt idx="137">
                  <c:v>-2.1261426242128001E-3</c:v>
                </c:pt>
                <c:pt idx="138">
                  <c:v>-4.8513675093860801E-4</c:v>
                </c:pt>
                <c:pt idx="139">
                  <c:v>-2.5470718576120401E-3</c:v>
                </c:pt>
                <c:pt idx="140">
                  <c:v>-1.3864207078948601E-3</c:v>
                </c:pt>
                <c:pt idx="141">
                  <c:v>-1.5636901729594701E-3</c:v>
                </c:pt>
                <c:pt idx="142">
                  <c:v>-1.1279244405291099E-3</c:v>
                </c:pt>
                <c:pt idx="143">
                  <c:v>-2.6695091603146899E-3</c:v>
                </c:pt>
                <c:pt idx="144">
                  <c:v>-3.1445549627436998E-3</c:v>
                </c:pt>
                <c:pt idx="145">
                  <c:v>-1.8199734826235101E-3</c:v>
                </c:pt>
                <c:pt idx="146">
                  <c:v>-1.88075793933005E-3</c:v>
                </c:pt>
                <c:pt idx="147">
                  <c:v>-4.3198953995461998E-3</c:v>
                </c:pt>
                <c:pt idx="148">
                  <c:v>-2.5629721823292001E-3</c:v>
                </c:pt>
                <c:pt idx="149">
                  <c:v>-1.1756085426476901E-3</c:v>
                </c:pt>
                <c:pt idx="150">
                  <c:v>-8.1474499379918504E-4</c:v>
                </c:pt>
                <c:pt idx="151">
                  <c:v>-6.4461307424975396E-4</c:v>
                </c:pt>
                <c:pt idx="152">
                  <c:v>-1.9489419624622701E-3</c:v>
                </c:pt>
                <c:pt idx="153">
                  <c:v>-1.66283895743304E-3</c:v>
                </c:pt>
                <c:pt idx="154">
                  <c:v>-2.8607147674352901E-3</c:v>
                </c:pt>
                <c:pt idx="155">
                  <c:v>-2.5833001978670502E-3</c:v>
                </c:pt>
                <c:pt idx="156">
                  <c:v>-2.6733676120221199E-3</c:v>
                </c:pt>
                <c:pt idx="157">
                  <c:v>-3.0083371879715301E-3</c:v>
                </c:pt>
                <c:pt idx="158">
                  <c:v>-1.4349204921499199E-3</c:v>
                </c:pt>
                <c:pt idx="159">
                  <c:v>-3.0773022735166699E-3</c:v>
                </c:pt>
                <c:pt idx="160">
                  <c:v>-3.6240022211896602E-3</c:v>
                </c:pt>
                <c:pt idx="161">
                  <c:v>-3.1540009866037099E-3</c:v>
                </c:pt>
                <c:pt idx="162">
                  <c:v>-2.3008479135788501E-3</c:v>
                </c:pt>
                <c:pt idx="163">
                  <c:v>-1.8071986899460899E-3</c:v>
                </c:pt>
                <c:pt idx="164">
                  <c:v>-1.8351860822444499E-3</c:v>
                </c:pt>
                <c:pt idx="165">
                  <c:v>-3.0210687125343302E-3</c:v>
                </c:pt>
                <c:pt idx="166">
                  <c:v>-2.1602702976231498E-3</c:v>
                </c:pt>
                <c:pt idx="167">
                  <c:v>-3.37565072193587E-3</c:v>
                </c:pt>
                <c:pt idx="168">
                  <c:v>-3.2543312221764899E-3</c:v>
                </c:pt>
                <c:pt idx="169">
                  <c:v>-1.02516787574857E-3</c:v>
                </c:pt>
                <c:pt idx="170">
                  <c:v>-9.9230730728755103E-5</c:v>
                </c:pt>
                <c:pt idx="171">
                  <c:v>4.3342752280319099E-4</c:v>
                </c:pt>
                <c:pt idx="172">
                  <c:v>-1.20971684968462E-3</c:v>
                </c:pt>
                <c:pt idx="173">
                  <c:v>-8.8762497238160899E-4</c:v>
                </c:pt>
                <c:pt idx="174">
                  <c:v>-2.3565219902781098E-3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F0-48C9-9DEE-21EFA340A8CE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PFFD* x 20 dma / PFF*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-6.4578340135502098E-4</c:v>
                </c:pt>
                <c:pt idx="21">
                  <c:v>5.0727303488203404E-4</c:v>
                </c:pt>
                <c:pt idx="22">
                  <c:v>-1.71842323824094E-3</c:v>
                </c:pt>
                <c:pt idx="23">
                  <c:v>-7.4490529782687798E-5</c:v>
                </c:pt>
                <c:pt idx="24">
                  <c:v>-2.1562273000439299E-3</c:v>
                </c:pt>
                <c:pt idx="25">
                  <c:v>-1.6547458515652101E-3</c:v>
                </c:pt>
                <c:pt idx="26">
                  <c:v>-1.4244710826389899E-3</c:v>
                </c:pt>
                <c:pt idx="27">
                  <c:v>2.5141896797655497E-4</c:v>
                </c:pt>
                <c:pt idx="28">
                  <c:v>-4.2170313572756496E-3</c:v>
                </c:pt>
                <c:pt idx="29">
                  <c:v>-7.6544266064387096E-4</c:v>
                </c:pt>
                <c:pt idx="30">
                  <c:v>-2.5166964470664998E-3</c:v>
                </c:pt>
                <c:pt idx="31">
                  <c:v>-3.4224692795315799E-4</c:v>
                </c:pt>
                <c:pt idx="32">
                  <c:v>-2.7236519842675998E-3</c:v>
                </c:pt>
                <c:pt idx="33">
                  <c:v>-1.73596200849912E-3</c:v>
                </c:pt>
                <c:pt idx="34">
                  <c:v>8.9208852650104903E-5</c:v>
                </c:pt>
                <c:pt idx="35">
                  <c:v>1.8517652704343199E-3</c:v>
                </c:pt>
                <c:pt idx="36">
                  <c:v>-7.9173300213056198E-4</c:v>
                </c:pt>
                <c:pt idx="37">
                  <c:v>-1.18196955172897E-3</c:v>
                </c:pt>
                <c:pt idx="38">
                  <c:v>2.1400015370876999E-4</c:v>
                </c:pt>
                <c:pt idx="39">
                  <c:v>-2.1773445303143501E-4</c:v>
                </c:pt>
                <c:pt idx="40">
                  <c:v>-2.2404562985129301E-3</c:v>
                </c:pt>
                <c:pt idx="41">
                  <c:v>-2.3746752836965599E-3</c:v>
                </c:pt>
                <c:pt idx="42">
                  <c:v>-3.21762115769458E-3</c:v>
                </c:pt>
                <c:pt idx="43">
                  <c:v>-3.8941245972415302E-3</c:v>
                </c:pt>
                <c:pt idx="44">
                  <c:v>-4.6661415043003397E-3</c:v>
                </c:pt>
                <c:pt idx="45">
                  <c:v>-3.2557583711937798E-3</c:v>
                </c:pt>
                <c:pt idx="46">
                  <c:v>-4.2544351964478597E-3</c:v>
                </c:pt>
                <c:pt idx="47">
                  <c:v>-6.3229835391683201E-3</c:v>
                </c:pt>
                <c:pt idx="48">
                  <c:v>-5.34528713646554E-3</c:v>
                </c:pt>
                <c:pt idx="49">
                  <c:v>-3.9852200348950099E-3</c:v>
                </c:pt>
                <c:pt idx="50">
                  <c:v>-4.2550861294468499E-3</c:v>
                </c:pt>
                <c:pt idx="51">
                  <c:v>-2.9317091376105499E-3</c:v>
                </c:pt>
                <c:pt idx="52">
                  <c:v>-4.4429446263785097E-3</c:v>
                </c:pt>
                <c:pt idx="53">
                  <c:v>-5.37724755907116E-3</c:v>
                </c:pt>
                <c:pt idx="54">
                  <c:v>-2.26523572981007E-3</c:v>
                </c:pt>
                <c:pt idx="55">
                  <c:v>5.3763184368404201E-4</c:v>
                </c:pt>
                <c:pt idx="56">
                  <c:v>1.04637212474434E-4</c:v>
                </c:pt>
                <c:pt idx="57">
                  <c:v>-7.5532439200539704E-4</c:v>
                </c:pt>
                <c:pt idx="58">
                  <c:v>2.2626411934382901E-4</c:v>
                </c:pt>
                <c:pt idx="59">
                  <c:v>-1.99379418896485E-3</c:v>
                </c:pt>
                <c:pt idx="60">
                  <c:v>4.2217252148030198E-4</c:v>
                </c:pt>
                <c:pt idx="61">
                  <c:v>-1.20158368752725E-3</c:v>
                </c:pt>
                <c:pt idx="62">
                  <c:v>-1.0062986422147899E-3</c:v>
                </c:pt>
                <c:pt idx="63">
                  <c:v>-4.4567269195373101E-4</c:v>
                </c:pt>
                <c:pt idx="64">
                  <c:v>3.8212683655466499E-3</c:v>
                </c:pt>
                <c:pt idx="65">
                  <c:v>1.82029114995762E-3</c:v>
                </c:pt>
                <c:pt idx="66">
                  <c:v>4.3849232666746301E-3</c:v>
                </c:pt>
                <c:pt idx="67">
                  <c:v>3.6920557685726101E-3</c:v>
                </c:pt>
                <c:pt idx="68">
                  <c:v>2.2409638153251601E-3</c:v>
                </c:pt>
                <c:pt idx="69">
                  <c:v>-1.01443084077311E-3</c:v>
                </c:pt>
                <c:pt idx="70">
                  <c:v>-8.5406718145961103E-4</c:v>
                </c:pt>
                <c:pt idx="71">
                  <c:v>-4.6177070750553096E-3</c:v>
                </c:pt>
                <c:pt idx="72">
                  <c:v>-5.9095573403479601E-3</c:v>
                </c:pt>
                <c:pt idx="73">
                  <c:v>-2.50044559918064E-3</c:v>
                </c:pt>
                <c:pt idx="74">
                  <c:v>-2.4586088860100801E-3</c:v>
                </c:pt>
                <c:pt idx="75">
                  <c:v>-3.08596032359301E-3</c:v>
                </c:pt>
                <c:pt idx="76">
                  <c:v>-6.5141518331077403E-4</c:v>
                </c:pt>
                <c:pt idx="77">
                  <c:v>1.0958720528034601E-3</c:v>
                </c:pt>
                <c:pt idx="78">
                  <c:v>-5.6406036468911801E-4</c:v>
                </c:pt>
                <c:pt idx="79">
                  <c:v>2.21255994198799E-3</c:v>
                </c:pt>
                <c:pt idx="80">
                  <c:v>1.6971006582083799E-3</c:v>
                </c:pt>
                <c:pt idx="81">
                  <c:v>1.6186284953532101E-3</c:v>
                </c:pt>
                <c:pt idx="82">
                  <c:v>-1.1427274915103401E-3</c:v>
                </c:pt>
                <c:pt idx="83">
                  <c:v>-1.07600705625096E-3</c:v>
                </c:pt>
                <c:pt idx="84">
                  <c:v>-4.9528239961255296E-3</c:v>
                </c:pt>
                <c:pt idx="85">
                  <c:v>-2.8303088546015498E-3</c:v>
                </c:pt>
                <c:pt idx="86">
                  <c:v>-3.8917258404224898E-3</c:v>
                </c:pt>
                <c:pt idx="87">
                  <c:v>-2.48973999173192E-3</c:v>
                </c:pt>
                <c:pt idx="88">
                  <c:v>-4.9828882739323599E-3</c:v>
                </c:pt>
                <c:pt idx="89">
                  <c:v>-7.8157618170179505E-5</c:v>
                </c:pt>
                <c:pt idx="90">
                  <c:v>-2.88284583623202E-3</c:v>
                </c:pt>
                <c:pt idx="91">
                  <c:v>-2.2480698591202299E-3</c:v>
                </c:pt>
                <c:pt idx="92">
                  <c:v>-1.48420089679816E-3</c:v>
                </c:pt>
                <c:pt idx="93">
                  <c:v>-4.0446190786471998E-4</c:v>
                </c:pt>
                <c:pt idx="94">
                  <c:v>-6.3298735566751899E-4</c:v>
                </c:pt>
                <c:pt idx="95">
                  <c:v>6.9891917267304296E-4</c:v>
                </c:pt>
                <c:pt idx="96">
                  <c:v>-5.7470443209848596E-6</c:v>
                </c:pt>
                <c:pt idx="97">
                  <c:v>-2.8895015294948001E-3</c:v>
                </c:pt>
                <c:pt idx="98">
                  <c:v>-1.5844564783788601E-3</c:v>
                </c:pt>
                <c:pt idx="99">
                  <c:v>-4.0091390800271498E-4</c:v>
                </c:pt>
                <c:pt idx="100">
                  <c:v>-1.0162687932917501E-3</c:v>
                </c:pt>
                <c:pt idx="101">
                  <c:v>-1.5857016068873901E-3</c:v>
                </c:pt>
                <c:pt idx="102">
                  <c:v>4.3209554056885201E-4</c:v>
                </c:pt>
                <c:pt idx="103">
                  <c:v>-2.04007622929801E-4</c:v>
                </c:pt>
                <c:pt idx="104">
                  <c:v>8.3184513067846805E-4</c:v>
                </c:pt>
                <c:pt idx="105">
                  <c:v>3.1997707125978199E-3</c:v>
                </c:pt>
                <c:pt idx="106">
                  <c:v>6.0199863054225099E-3</c:v>
                </c:pt>
                <c:pt idx="107">
                  <c:v>6.4444133668939603E-4</c:v>
                </c:pt>
                <c:pt idx="108">
                  <c:v>1.56004579929925E-3</c:v>
                </c:pt>
                <c:pt idx="109">
                  <c:v>2.5149522304603201E-3</c:v>
                </c:pt>
                <c:pt idx="110">
                  <c:v>2.8385608498954101E-3</c:v>
                </c:pt>
                <c:pt idx="111">
                  <c:v>3.6031641240898901E-3</c:v>
                </c:pt>
                <c:pt idx="112">
                  <c:v>1.7726608369292699E-3</c:v>
                </c:pt>
                <c:pt idx="113">
                  <c:v>5.57436034614544E-3</c:v>
                </c:pt>
                <c:pt idx="114">
                  <c:v>3.26174095116981E-3</c:v>
                </c:pt>
                <c:pt idx="115">
                  <c:v>1.2245319661098901E-3</c:v>
                </c:pt>
                <c:pt idx="116">
                  <c:v>5.7163541489467602E-3</c:v>
                </c:pt>
                <c:pt idx="117">
                  <c:v>7.3072406010773602E-3</c:v>
                </c:pt>
                <c:pt idx="118">
                  <c:v>6.8121688596212296E-3</c:v>
                </c:pt>
                <c:pt idx="119">
                  <c:v>1.2428301163878001E-2</c:v>
                </c:pt>
                <c:pt idx="120">
                  <c:v>1.3717657732985E-2</c:v>
                </c:pt>
                <c:pt idx="121">
                  <c:v>6.8582314120070199E-3</c:v>
                </c:pt>
                <c:pt idx="122">
                  <c:v>1.05674929633958E-2</c:v>
                </c:pt>
                <c:pt idx="123">
                  <c:v>6.9125037194469399E-3</c:v>
                </c:pt>
                <c:pt idx="124">
                  <c:v>4.3418043955698498E-3</c:v>
                </c:pt>
                <c:pt idx="125">
                  <c:v>6.3965913784907198E-3</c:v>
                </c:pt>
                <c:pt idx="126">
                  <c:v>5.9211722984166002E-3</c:v>
                </c:pt>
                <c:pt idx="127">
                  <c:v>2.74437821420933E-3</c:v>
                </c:pt>
                <c:pt idx="128">
                  <c:v>4.9454339573600297E-3</c:v>
                </c:pt>
                <c:pt idx="129">
                  <c:v>3.4141339887900799E-3</c:v>
                </c:pt>
                <c:pt idx="130">
                  <c:v>3.7857940573636601E-3</c:v>
                </c:pt>
                <c:pt idx="131">
                  <c:v>-8.2865008533172097E-4</c:v>
                </c:pt>
                <c:pt idx="132">
                  <c:v>-4.4994272495286602E-4</c:v>
                </c:pt>
                <c:pt idx="133">
                  <c:v>2.99509060403709E-3</c:v>
                </c:pt>
                <c:pt idx="134">
                  <c:v>4.3019059325402698E-3</c:v>
                </c:pt>
                <c:pt idx="135">
                  <c:v>1.7142456935672699E-6</c:v>
                </c:pt>
                <c:pt idx="136">
                  <c:v>5.7895481997415304E-4</c:v>
                </c:pt>
                <c:pt idx="137">
                  <c:v>-2.3183616914853101E-3</c:v>
                </c:pt>
                <c:pt idx="138">
                  <c:v>-7.9601289859297403E-4</c:v>
                </c:pt>
                <c:pt idx="139">
                  <c:v>-3.1664967216353699E-3</c:v>
                </c:pt>
                <c:pt idx="140">
                  <c:v>-2.0273751190011701E-3</c:v>
                </c:pt>
                <c:pt idx="141">
                  <c:v>-2.16826516250342E-3</c:v>
                </c:pt>
                <c:pt idx="142">
                  <c:v>-1.60820370056217E-3</c:v>
                </c:pt>
                <c:pt idx="143">
                  <c:v>-2.8479099943827398E-3</c:v>
                </c:pt>
                <c:pt idx="144">
                  <c:v>-3.6217213008782299E-3</c:v>
                </c:pt>
                <c:pt idx="145">
                  <c:v>-2.90574004522311E-3</c:v>
                </c:pt>
                <c:pt idx="146">
                  <c:v>-3.0434881706101098E-3</c:v>
                </c:pt>
                <c:pt idx="147">
                  <c:v>-5.6789661510745597E-3</c:v>
                </c:pt>
                <c:pt idx="148">
                  <c:v>-4.1416537674974297E-3</c:v>
                </c:pt>
                <c:pt idx="149">
                  <c:v>-2.9328402957541199E-3</c:v>
                </c:pt>
                <c:pt idx="150">
                  <c:v>-2.53076999098065E-3</c:v>
                </c:pt>
                <c:pt idx="151">
                  <c:v>-2.3545548037957301E-3</c:v>
                </c:pt>
                <c:pt idx="152">
                  <c:v>-3.8150028665385602E-3</c:v>
                </c:pt>
                <c:pt idx="153">
                  <c:v>-3.77959229054601E-3</c:v>
                </c:pt>
                <c:pt idx="154">
                  <c:v>-4.89633619708588E-3</c:v>
                </c:pt>
                <c:pt idx="155">
                  <c:v>-4.4342273607109097E-3</c:v>
                </c:pt>
                <c:pt idx="156">
                  <c:v>-4.5880539910661796E-3</c:v>
                </c:pt>
                <c:pt idx="157">
                  <c:v>-4.9235925467372597E-3</c:v>
                </c:pt>
                <c:pt idx="158">
                  <c:v>-3.2306492358560399E-3</c:v>
                </c:pt>
                <c:pt idx="159">
                  <c:v>-4.73480993404199E-3</c:v>
                </c:pt>
                <c:pt idx="160">
                  <c:v>-5.4349661205953196E-3</c:v>
                </c:pt>
                <c:pt idx="161">
                  <c:v>-5.1433189580714399E-3</c:v>
                </c:pt>
                <c:pt idx="162">
                  <c:v>-4.4891187241394501E-3</c:v>
                </c:pt>
                <c:pt idx="163">
                  <c:v>-4.0043362830831097E-3</c:v>
                </c:pt>
                <c:pt idx="164">
                  <c:v>-4.09764640026651E-3</c:v>
                </c:pt>
                <c:pt idx="165">
                  <c:v>-5.2690469586174999E-3</c:v>
                </c:pt>
                <c:pt idx="166">
                  <c:v>-4.43175133504717E-3</c:v>
                </c:pt>
                <c:pt idx="167">
                  <c:v>-5.6176257457701004E-3</c:v>
                </c:pt>
                <c:pt idx="168">
                  <c:v>-5.6126880454501499E-3</c:v>
                </c:pt>
                <c:pt idx="169">
                  <c:v>-3.5866548820078798E-3</c:v>
                </c:pt>
                <c:pt idx="170">
                  <c:v>-2.5537281296716102E-3</c:v>
                </c:pt>
                <c:pt idx="171">
                  <c:v>-1.7693735180667101E-3</c:v>
                </c:pt>
                <c:pt idx="172">
                  <c:v>-3.1297531163774501E-3</c:v>
                </c:pt>
                <c:pt idx="173">
                  <c:v>-2.7088455439162802E-3</c:v>
                </c:pt>
                <c:pt idx="174">
                  <c:v>-4.08711335120184E-3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F0-48C9-9DEE-21EFA340A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PFF*/PFFD*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1.6383944060714599</c:v>
                </c:pt>
                <c:pt idx="1">
                  <c:v>1.6383944060714599</c:v>
                </c:pt>
                <c:pt idx="2">
                  <c:v>1.6383944060714599</c:v>
                </c:pt>
                <c:pt idx="3">
                  <c:v>1.6383944060714599</c:v>
                </c:pt>
                <c:pt idx="4">
                  <c:v>1.6383944060714599</c:v>
                </c:pt>
                <c:pt idx="5">
                  <c:v>1.6383944060714599</c:v>
                </c:pt>
                <c:pt idx="6">
                  <c:v>1.6383944060714599</c:v>
                </c:pt>
                <c:pt idx="7">
                  <c:v>1.6383944060714599</c:v>
                </c:pt>
                <c:pt idx="8">
                  <c:v>1.6383944060714599</c:v>
                </c:pt>
                <c:pt idx="9">
                  <c:v>1.6383944060714599</c:v>
                </c:pt>
                <c:pt idx="10">
                  <c:v>1.6383944060714599</c:v>
                </c:pt>
                <c:pt idx="11">
                  <c:v>1.6383944060714599</c:v>
                </c:pt>
                <c:pt idx="12">
                  <c:v>1.6383944060714599</c:v>
                </c:pt>
                <c:pt idx="13">
                  <c:v>1.6383944060714599</c:v>
                </c:pt>
                <c:pt idx="14">
                  <c:v>1.6383944060714599</c:v>
                </c:pt>
                <c:pt idx="15">
                  <c:v>1.6383944060714599</c:v>
                </c:pt>
                <c:pt idx="16">
                  <c:v>1.6383944060714599</c:v>
                </c:pt>
                <c:pt idx="17">
                  <c:v>1.6383944060714599</c:v>
                </c:pt>
                <c:pt idx="18">
                  <c:v>1.6383944060714599</c:v>
                </c:pt>
                <c:pt idx="19">
                  <c:v>1.6383944060714599</c:v>
                </c:pt>
                <c:pt idx="20">
                  <c:v>1.6383944060714599</c:v>
                </c:pt>
                <c:pt idx="21">
                  <c:v>1.6383944060714599</c:v>
                </c:pt>
                <c:pt idx="22">
                  <c:v>1.6383944060714599</c:v>
                </c:pt>
                <c:pt idx="23">
                  <c:v>1.6383944060714599</c:v>
                </c:pt>
                <c:pt idx="24">
                  <c:v>1.6383944060714599</c:v>
                </c:pt>
                <c:pt idx="25">
                  <c:v>1.6383944060714599</c:v>
                </c:pt>
                <c:pt idx="26">
                  <c:v>1.6383944060714599</c:v>
                </c:pt>
                <c:pt idx="27">
                  <c:v>1.6383944060714599</c:v>
                </c:pt>
                <c:pt idx="28">
                  <c:v>1.6383944060714599</c:v>
                </c:pt>
                <c:pt idx="29">
                  <c:v>1.6383944060714599</c:v>
                </c:pt>
                <c:pt idx="30">
                  <c:v>1.6383944060714599</c:v>
                </c:pt>
                <c:pt idx="31">
                  <c:v>1.6383944060714599</c:v>
                </c:pt>
                <c:pt idx="32">
                  <c:v>1.6383944060714599</c:v>
                </c:pt>
                <c:pt idx="33">
                  <c:v>1.6383944060714599</c:v>
                </c:pt>
                <c:pt idx="34">
                  <c:v>1.6383944060714599</c:v>
                </c:pt>
                <c:pt idx="35">
                  <c:v>1.6383944060714599</c:v>
                </c:pt>
                <c:pt idx="36">
                  <c:v>1.6383944060714599</c:v>
                </c:pt>
                <c:pt idx="37">
                  <c:v>1.6383944060714599</c:v>
                </c:pt>
                <c:pt idx="38">
                  <c:v>1.6383944060714599</c:v>
                </c:pt>
                <c:pt idx="39">
                  <c:v>1.6383944060714599</c:v>
                </c:pt>
                <c:pt idx="40">
                  <c:v>1.6383944060714599</c:v>
                </c:pt>
                <c:pt idx="41">
                  <c:v>1.6383944060714599</c:v>
                </c:pt>
                <c:pt idx="42">
                  <c:v>1.6383944060714599</c:v>
                </c:pt>
                <c:pt idx="43">
                  <c:v>1.6383944060714599</c:v>
                </c:pt>
                <c:pt idx="44">
                  <c:v>1.6383944060714599</c:v>
                </c:pt>
                <c:pt idx="45">
                  <c:v>1.6383944060714599</c:v>
                </c:pt>
                <c:pt idx="46">
                  <c:v>1.6383944060714599</c:v>
                </c:pt>
                <c:pt idx="47">
                  <c:v>1.6383944060714599</c:v>
                </c:pt>
                <c:pt idx="48">
                  <c:v>1.6383944060714599</c:v>
                </c:pt>
                <c:pt idx="49">
                  <c:v>1.6383944060714599</c:v>
                </c:pt>
                <c:pt idx="50">
                  <c:v>1.6383944060714599</c:v>
                </c:pt>
                <c:pt idx="51">
                  <c:v>1.6383944060714599</c:v>
                </c:pt>
                <c:pt idx="52">
                  <c:v>1.6383944060714599</c:v>
                </c:pt>
                <c:pt idx="53">
                  <c:v>1.6383944060714599</c:v>
                </c:pt>
                <c:pt idx="54">
                  <c:v>1.6383944060714599</c:v>
                </c:pt>
                <c:pt idx="55">
                  <c:v>1.6383944060714599</c:v>
                </c:pt>
                <c:pt idx="56">
                  <c:v>1.6383944060714599</c:v>
                </c:pt>
                <c:pt idx="57">
                  <c:v>1.6383944060714599</c:v>
                </c:pt>
                <c:pt idx="58">
                  <c:v>1.6383944060714599</c:v>
                </c:pt>
                <c:pt idx="59">
                  <c:v>1.6383944060714599</c:v>
                </c:pt>
                <c:pt idx="60">
                  <c:v>1.6383944060714599</c:v>
                </c:pt>
                <c:pt idx="61">
                  <c:v>1.6383944060714599</c:v>
                </c:pt>
                <c:pt idx="62">
                  <c:v>1.6383944060714599</c:v>
                </c:pt>
                <c:pt idx="63">
                  <c:v>1.6383944060714599</c:v>
                </c:pt>
                <c:pt idx="64">
                  <c:v>1.6383944060714599</c:v>
                </c:pt>
                <c:pt idx="65">
                  <c:v>1.6383944060714599</c:v>
                </c:pt>
                <c:pt idx="66">
                  <c:v>1.6383944060714599</c:v>
                </c:pt>
                <c:pt idx="67">
                  <c:v>1.6383944060714599</c:v>
                </c:pt>
                <c:pt idx="68">
                  <c:v>1.6383944060714599</c:v>
                </c:pt>
                <c:pt idx="69">
                  <c:v>1.6383944060714599</c:v>
                </c:pt>
                <c:pt idx="70">
                  <c:v>1.6383944060714599</c:v>
                </c:pt>
                <c:pt idx="71">
                  <c:v>1.6383944060714599</c:v>
                </c:pt>
                <c:pt idx="72">
                  <c:v>1.6383944060714599</c:v>
                </c:pt>
                <c:pt idx="73">
                  <c:v>1.6383944060714599</c:v>
                </c:pt>
                <c:pt idx="74">
                  <c:v>1.6383944060714599</c:v>
                </c:pt>
                <c:pt idx="75">
                  <c:v>1.6383944060714599</c:v>
                </c:pt>
                <c:pt idx="76">
                  <c:v>1.6383944060714599</c:v>
                </c:pt>
                <c:pt idx="77">
                  <c:v>1.6383944060714599</c:v>
                </c:pt>
                <c:pt idx="78">
                  <c:v>1.6383944060714599</c:v>
                </c:pt>
                <c:pt idx="79">
                  <c:v>1.6383944060714599</c:v>
                </c:pt>
                <c:pt idx="80">
                  <c:v>1.6383944060714599</c:v>
                </c:pt>
                <c:pt idx="81">
                  <c:v>1.6383944060714599</c:v>
                </c:pt>
                <c:pt idx="82">
                  <c:v>1.6383944060714599</c:v>
                </c:pt>
                <c:pt idx="83">
                  <c:v>1.6383944060714599</c:v>
                </c:pt>
                <c:pt idx="84">
                  <c:v>1.6383944060714599</c:v>
                </c:pt>
                <c:pt idx="85">
                  <c:v>1.6383944060714599</c:v>
                </c:pt>
                <c:pt idx="86">
                  <c:v>1.6383944060714599</c:v>
                </c:pt>
                <c:pt idx="87">
                  <c:v>1.6383944060714599</c:v>
                </c:pt>
                <c:pt idx="88">
                  <c:v>1.6383944060714599</c:v>
                </c:pt>
                <c:pt idx="89">
                  <c:v>1.6383944060714599</c:v>
                </c:pt>
                <c:pt idx="90">
                  <c:v>1.6383944060714599</c:v>
                </c:pt>
                <c:pt idx="91">
                  <c:v>1.6383944060714599</c:v>
                </c:pt>
                <c:pt idx="92">
                  <c:v>1.6383944060714599</c:v>
                </c:pt>
                <c:pt idx="93">
                  <c:v>1.6383944060714599</c:v>
                </c:pt>
                <c:pt idx="94">
                  <c:v>1.6383944060714599</c:v>
                </c:pt>
                <c:pt idx="95">
                  <c:v>1.6383944060714599</c:v>
                </c:pt>
                <c:pt idx="96">
                  <c:v>1.6383944060714599</c:v>
                </c:pt>
                <c:pt idx="97">
                  <c:v>1.6383944060714599</c:v>
                </c:pt>
                <c:pt idx="98">
                  <c:v>1.6383944060714599</c:v>
                </c:pt>
                <c:pt idx="99">
                  <c:v>1.6383944060714599</c:v>
                </c:pt>
                <c:pt idx="100">
                  <c:v>1.6383944060714599</c:v>
                </c:pt>
                <c:pt idx="101">
                  <c:v>1.6383944060714599</c:v>
                </c:pt>
                <c:pt idx="102">
                  <c:v>1.6383944060714599</c:v>
                </c:pt>
                <c:pt idx="103">
                  <c:v>1.6383944060714599</c:v>
                </c:pt>
                <c:pt idx="104">
                  <c:v>1.6383944060714599</c:v>
                </c:pt>
                <c:pt idx="105">
                  <c:v>1.6383944060714599</c:v>
                </c:pt>
                <c:pt idx="106">
                  <c:v>1.6383944060714599</c:v>
                </c:pt>
                <c:pt idx="107">
                  <c:v>1.6383944060714599</c:v>
                </c:pt>
                <c:pt idx="108">
                  <c:v>1.6383944060714599</c:v>
                </c:pt>
                <c:pt idx="109">
                  <c:v>1.6383944060714599</c:v>
                </c:pt>
                <c:pt idx="110">
                  <c:v>1.6383944060714599</c:v>
                </c:pt>
                <c:pt idx="111">
                  <c:v>1.6383944060714599</c:v>
                </c:pt>
                <c:pt idx="112">
                  <c:v>1.6383944060714599</c:v>
                </c:pt>
                <c:pt idx="113">
                  <c:v>1.6383944060714599</c:v>
                </c:pt>
                <c:pt idx="114">
                  <c:v>1.6383944060714599</c:v>
                </c:pt>
                <c:pt idx="115">
                  <c:v>1.6383944060714599</c:v>
                </c:pt>
                <c:pt idx="116">
                  <c:v>1.6383944060714599</c:v>
                </c:pt>
                <c:pt idx="117">
                  <c:v>1.6383944060714599</c:v>
                </c:pt>
                <c:pt idx="118">
                  <c:v>1.6383944060714599</c:v>
                </c:pt>
                <c:pt idx="119">
                  <c:v>1.6383944060714599</c:v>
                </c:pt>
                <c:pt idx="120">
                  <c:v>1.6383944060714599</c:v>
                </c:pt>
                <c:pt idx="121">
                  <c:v>1.6383944060714599</c:v>
                </c:pt>
                <c:pt idx="122">
                  <c:v>1.6383944060714599</c:v>
                </c:pt>
                <c:pt idx="123">
                  <c:v>1.6383944060714599</c:v>
                </c:pt>
                <c:pt idx="124">
                  <c:v>1.6383944060714599</c:v>
                </c:pt>
                <c:pt idx="125">
                  <c:v>1.6383944060714599</c:v>
                </c:pt>
                <c:pt idx="126">
                  <c:v>1.6383944060714599</c:v>
                </c:pt>
                <c:pt idx="127">
                  <c:v>1.6383944060714599</c:v>
                </c:pt>
                <c:pt idx="128">
                  <c:v>1.6383944060714599</c:v>
                </c:pt>
                <c:pt idx="129">
                  <c:v>1.6383944060714599</c:v>
                </c:pt>
                <c:pt idx="130">
                  <c:v>1.6383944060714599</c:v>
                </c:pt>
                <c:pt idx="131">
                  <c:v>1.6383944060714599</c:v>
                </c:pt>
                <c:pt idx="132">
                  <c:v>1.6383944060714599</c:v>
                </c:pt>
                <c:pt idx="133">
                  <c:v>1.6383944060714599</c:v>
                </c:pt>
                <c:pt idx="134">
                  <c:v>1.6383944060714599</c:v>
                </c:pt>
                <c:pt idx="135">
                  <c:v>1.6383944060714599</c:v>
                </c:pt>
                <c:pt idx="136">
                  <c:v>1.6383944060714599</c:v>
                </c:pt>
                <c:pt idx="137">
                  <c:v>1.6383944060714599</c:v>
                </c:pt>
                <c:pt idx="138">
                  <c:v>1.6383944060714599</c:v>
                </c:pt>
                <c:pt idx="139">
                  <c:v>1.6383944060714599</c:v>
                </c:pt>
                <c:pt idx="140">
                  <c:v>1.6383944060714599</c:v>
                </c:pt>
                <c:pt idx="141">
                  <c:v>1.6383944060714599</c:v>
                </c:pt>
                <c:pt idx="142">
                  <c:v>1.6383944060714599</c:v>
                </c:pt>
                <c:pt idx="143">
                  <c:v>1.6383944060714599</c:v>
                </c:pt>
                <c:pt idx="144">
                  <c:v>1.6383944060714599</c:v>
                </c:pt>
                <c:pt idx="145">
                  <c:v>1.6383944060714599</c:v>
                </c:pt>
                <c:pt idx="146">
                  <c:v>1.6383944060714599</c:v>
                </c:pt>
                <c:pt idx="147">
                  <c:v>1.6383944060714599</c:v>
                </c:pt>
                <c:pt idx="148">
                  <c:v>1.6383944060714599</c:v>
                </c:pt>
                <c:pt idx="149">
                  <c:v>1.6383944060714599</c:v>
                </c:pt>
                <c:pt idx="150">
                  <c:v>1.6383944060714599</c:v>
                </c:pt>
                <c:pt idx="151">
                  <c:v>1.6383944060714599</c:v>
                </c:pt>
                <c:pt idx="152">
                  <c:v>1.6383944060714599</c:v>
                </c:pt>
                <c:pt idx="153">
                  <c:v>1.6383944060714599</c:v>
                </c:pt>
                <c:pt idx="154">
                  <c:v>1.6383944060714599</c:v>
                </c:pt>
                <c:pt idx="155">
                  <c:v>1.6383944060714599</c:v>
                </c:pt>
                <c:pt idx="156">
                  <c:v>1.6383944060714599</c:v>
                </c:pt>
                <c:pt idx="157">
                  <c:v>1.6383944060714599</c:v>
                </c:pt>
                <c:pt idx="158">
                  <c:v>1.6383944060714599</c:v>
                </c:pt>
                <c:pt idx="159">
                  <c:v>1.6383944060714599</c:v>
                </c:pt>
                <c:pt idx="160">
                  <c:v>1.6383944060714599</c:v>
                </c:pt>
                <c:pt idx="161">
                  <c:v>1.6383944060714599</c:v>
                </c:pt>
                <c:pt idx="162">
                  <c:v>1.6383944060714599</c:v>
                </c:pt>
                <c:pt idx="163">
                  <c:v>1.6383944060714599</c:v>
                </c:pt>
                <c:pt idx="164">
                  <c:v>1.6383944060714599</c:v>
                </c:pt>
                <c:pt idx="165">
                  <c:v>1.6383944060714599</c:v>
                </c:pt>
                <c:pt idx="166">
                  <c:v>1.6383944060714599</c:v>
                </c:pt>
                <c:pt idx="167">
                  <c:v>1.6383944060714599</c:v>
                </c:pt>
                <c:pt idx="168">
                  <c:v>1.6383944060714599</c:v>
                </c:pt>
                <c:pt idx="169">
                  <c:v>1.6383944060714599</c:v>
                </c:pt>
                <c:pt idx="170">
                  <c:v>1.6383944060714599</c:v>
                </c:pt>
                <c:pt idx="171">
                  <c:v>1.6383944060714599</c:v>
                </c:pt>
                <c:pt idx="172">
                  <c:v>1.6383944060714599</c:v>
                </c:pt>
                <c:pt idx="173">
                  <c:v>1.6383944060714599</c:v>
                </c:pt>
                <c:pt idx="174">
                  <c:v>1.6383944060714599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7C-41AE-8582-CA2312E16CFF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PFF*/PFFD*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1.6308743455753001</c:v>
                </c:pt>
                <c:pt idx="10">
                  <c:v>1.63072469004868</c:v>
                </c:pt>
                <c:pt idx="11">
                  <c:v>1.63056886951306</c:v>
                </c:pt>
                <c:pt idx="12">
                  <c:v>1.63035951031968</c:v>
                </c:pt>
                <c:pt idx="13">
                  <c:v>1.6302345818436199</c:v>
                </c:pt>
                <c:pt idx="14">
                  <c:v>1.63061531822003</c:v>
                </c:pt>
                <c:pt idx="15">
                  <c:v>1.6301977065972599</c:v>
                </c:pt>
                <c:pt idx="16">
                  <c:v>1.62956803997815</c:v>
                </c:pt>
                <c:pt idx="17">
                  <c:v>1.6299391106439101</c:v>
                </c:pt>
                <c:pt idx="18">
                  <c:v>1.63010076893866</c:v>
                </c:pt>
                <c:pt idx="19">
                  <c:v>1.6302707601594699</c:v>
                </c:pt>
                <c:pt idx="20">
                  <c:v>1.63020787403297</c:v>
                </c:pt>
                <c:pt idx="21">
                  <c:v>1.6300655189040101</c:v>
                </c:pt>
                <c:pt idx="22">
                  <c:v>1.6302951993966199</c:v>
                </c:pt>
                <c:pt idx="23">
                  <c:v>1.6303808960561399</c:v>
                </c:pt>
                <c:pt idx="24">
                  <c:v>1.6307078831237301</c:v>
                </c:pt>
                <c:pt idx="25">
                  <c:v>1.6312248963499401</c:v>
                </c:pt>
                <c:pt idx="26">
                  <c:v>1.6317472960363899</c:v>
                </c:pt>
                <c:pt idx="27">
                  <c:v>1.6317274776470401</c:v>
                </c:pt>
                <c:pt idx="28">
                  <c:v>1.63248558340815</c:v>
                </c:pt>
                <c:pt idx="29">
                  <c:v>1.6325575286627401</c:v>
                </c:pt>
                <c:pt idx="30">
                  <c:v>1.63294744864162</c:v>
                </c:pt>
                <c:pt idx="31">
                  <c:v>1.6331971245555601</c:v>
                </c:pt>
                <c:pt idx="32">
                  <c:v>1.63349314429338</c:v>
                </c:pt>
                <c:pt idx="33">
                  <c:v>1.6339212178065501</c:v>
                </c:pt>
                <c:pt idx="34">
                  <c:v>1.63373907935304</c:v>
                </c:pt>
                <c:pt idx="35">
                  <c:v>1.6333232411813099</c:v>
                </c:pt>
                <c:pt idx="36">
                  <c:v>1.6333763459745501</c:v>
                </c:pt>
                <c:pt idx="37">
                  <c:v>1.6338008318677999</c:v>
                </c:pt>
                <c:pt idx="38">
                  <c:v>1.6332698008506901</c:v>
                </c:pt>
                <c:pt idx="39">
                  <c:v>1.6333388957502499</c:v>
                </c:pt>
                <c:pt idx="40">
                  <c:v>1.63344747308657</c:v>
                </c:pt>
                <c:pt idx="41">
                  <c:v>1.63394189545422</c:v>
                </c:pt>
                <c:pt idx="42">
                  <c:v>1.6342171762620701</c:v>
                </c:pt>
                <c:pt idx="43">
                  <c:v>1.63476722241591</c:v>
                </c:pt>
                <c:pt idx="44">
                  <c:v>1.6357654884459001</c:v>
                </c:pt>
                <c:pt idx="45">
                  <c:v>1.63685344171275</c:v>
                </c:pt>
                <c:pt idx="46">
                  <c:v>1.6377027048962101</c:v>
                </c:pt>
                <c:pt idx="47">
                  <c:v>1.6388448227240899</c:v>
                </c:pt>
                <c:pt idx="48">
                  <c:v>1.6401126307827401</c:v>
                </c:pt>
                <c:pt idx="49">
                  <c:v>1.6411119847929001</c:v>
                </c:pt>
                <c:pt idx="50">
                  <c:v>1.6418715803324899</c:v>
                </c:pt>
                <c:pt idx="51">
                  <c:v>1.64241031330681</c:v>
                </c:pt>
                <c:pt idx="52">
                  <c:v>1.6430739572597199</c:v>
                </c:pt>
                <c:pt idx="53">
                  <c:v>1.6437990275299901</c:v>
                </c:pt>
                <c:pt idx="54">
                  <c:v>1.64390028505749</c:v>
                </c:pt>
                <c:pt idx="55">
                  <c:v>1.6437871032001501</c:v>
                </c:pt>
                <c:pt idx="56">
                  <c:v>1.6435960137324399</c:v>
                </c:pt>
                <c:pt idx="57">
                  <c:v>1.6431935408759499</c:v>
                </c:pt>
                <c:pt idx="58">
                  <c:v>1.64274904678544</c:v>
                </c:pt>
                <c:pt idx="59">
                  <c:v>1.6428970441925399</c:v>
                </c:pt>
                <c:pt idx="60">
                  <c:v>1.6426075075356501</c:v>
                </c:pt>
                <c:pt idx="61">
                  <c:v>1.6427821380782099</c:v>
                </c:pt>
                <c:pt idx="62">
                  <c:v>1.6426600758110399</c:v>
                </c:pt>
                <c:pt idx="63">
                  <c:v>1.6422719416089699</c:v>
                </c:pt>
                <c:pt idx="64">
                  <c:v>1.6416487705073399</c:v>
                </c:pt>
                <c:pt idx="65">
                  <c:v>1.64173231275785</c:v>
                </c:pt>
                <c:pt idx="66">
                  <c:v>1.6412746587462499</c:v>
                </c:pt>
                <c:pt idx="67">
                  <c:v>1.64072400914054</c:v>
                </c:pt>
                <c:pt idx="68">
                  <c:v>1.64048754959832</c:v>
                </c:pt>
                <c:pt idx="69">
                  <c:v>1.64034531686194</c:v>
                </c:pt>
                <c:pt idx="70">
                  <c:v>1.64051655512034</c:v>
                </c:pt>
                <c:pt idx="71">
                  <c:v>1.6410111345609399</c:v>
                </c:pt>
                <c:pt idx="72">
                  <c:v>1.6417489590676899</c:v>
                </c:pt>
                <c:pt idx="73">
                  <c:v>1.64202061284932</c:v>
                </c:pt>
                <c:pt idx="74">
                  <c:v>1.64296257827486</c:v>
                </c:pt>
                <c:pt idx="75">
                  <c:v>1.6437220455471699</c:v>
                </c:pt>
                <c:pt idx="76">
                  <c:v>1.6445445977886</c:v>
                </c:pt>
                <c:pt idx="77">
                  <c:v>1.6450173619698301</c:v>
                </c:pt>
                <c:pt idx="78">
                  <c:v>1.6455687920270901</c:v>
                </c:pt>
                <c:pt idx="79">
                  <c:v>1.6451800360084501</c:v>
                </c:pt>
                <c:pt idx="80">
                  <c:v>1.6448753633067601</c:v>
                </c:pt>
                <c:pt idx="81">
                  <c:v>1.6439633015931601</c:v>
                </c:pt>
                <c:pt idx="82">
                  <c:v>1.6432369977049699</c:v>
                </c:pt>
                <c:pt idx="83">
                  <c:v>1.6430315342145501</c:v>
                </c:pt>
                <c:pt idx="84">
                  <c:v>1.64348080975777</c:v>
                </c:pt>
                <c:pt idx="85">
                  <c:v>1.64353056117996</c:v>
                </c:pt>
                <c:pt idx="86">
                  <c:v>1.64415432958843</c:v>
                </c:pt>
                <c:pt idx="87">
                  <c:v>1.64488816672518</c:v>
                </c:pt>
                <c:pt idx="88">
                  <c:v>1.6458253877618301</c:v>
                </c:pt>
                <c:pt idx="89">
                  <c:v>1.6464682705112399</c:v>
                </c:pt>
                <c:pt idx="90">
                  <c:v>1.64752812541341</c:v>
                </c:pt>
                <c:pt idx="91">
                  <c:v>1.64851487424772</c:v>
                </c:pt>
                <c:pt idx="92">
                  <c:v>1.64894677878509</c:v>
                </c:pt>
                <c:pt idx="93">
                  <c:v>1.64919643286273</c:v>
                </c:pt>
                <c:pt idx="94">
                  <c:v>1.6488439216001001</c:v>
                </c:pt>
                <c:pt idx="95">
                  <c:v>1.6485572342436701</c:v>
                </c:pt>
                <c:pt idx="96">
                  <c:v>1.64815903907846</c:v>
                </c:pt>
                <c:pt idx="97">
                  <c:v>1.6484061959018399</c:v>
                </c:pt>
                <c:pt idx="98">
                  <c:v>1.6480150413613699</c:v>
                </c:pt>
                <c:pt idx="99">
                  <c:v>1.6481905315082901</c:v>
                </c:pt>
                <c:pt idx="100">
                  <c:v>1.64803340403244</c:v>
                </c:pt>
                <c:pt idx="101">
                  <c:v>1.64808230825754</c:v>
                </c:pt>
                <c:pt idx="102">
                  <c:v>1.6479725353649901</c:v>
                </c:pt>
                <c:pt idx="103">
                  <c:v>1.6481763538996701</c:v>
                </c:pt>
                <c:pt idx="104">
                  <c:v>1.6481922768166599</c:v>
                </c:pt>
                <c:pt idx="105">
                  <c:v>1.64801621844393</c:v>
                </c:pt>
                <c:pt idx="106">
                  <c:v>1.6472502696942899</c:v>
                </c:pt>
                <c:pt idx="107">
                  <c:v>1.6468225709139801</c:v>
                </c:pt>
                <c:pt idx="108">
                  <c:v>1.6464013452387301</c:v>
                </c:pt>
                <c:pt idx="109">
                  <c:v>1.64595035805316</c:v>
                </c:pt>
                <c:pt idx="110">
                  <c:v>1.6452900963488899</c:v>
                </c:pt>
                <c:pt idx="111">
                  <c:v>1.6443244471387699</c:v>
                </c:pt>
                <c:pt idx="112">
                  <c:v>1.6438945751121501</c:v>
                </c:pt>
                <c:pt idx="113">
                  <c:v>1.64269338149022</c:v>
                </c:pt>
                <c:pt idx="114">
                  <c:v>1.64196949317584</c:v>
                </c:pt>
                <c:pt idx="115">
                  <c:v>1.6419510946018101</c:v>
                </c:pt>
                <c:pt idx="116">
                  <c:v>1.64167242484454</c:v>
                </c:pt>
                <c:pt idx="117">
                  <c:v>1.6402569770411399</c:v>
                </c:pt>
                <c:pt idx="118">
                  <c:v>1.6389905488833301</c:v>
                </c:pt>
                <c:pt idx="119">
                  <c:v>1.63692411112912</c:v>
                </c:pt>
                <c:pt idx="120">
                  <c:v>1.63459136415614</c:v>
                </c:pt>
                <c:pt idx="121">
                  <c:v>1.6333906524395301</c:v>
                </c:pt>
                <c:pt idx="122">
                  <c:v>1.63122488418819</c:v>
                </c:pt>
                <c:pt idx="123">
                  <c:v>1.6301743913839399</c:v>
                </c:pt>
                <c:pt idx="124">
                  <c:v>1.62910114978123</c:v>
                </c:pt>
                <c:pt idx="125">
                  <c:v>1.6273050693273901</c:v>
                </c:pt>
                <c:pt idx="126">
                  <c:v>1.6262421286950499</c:v>
                </c:pt>
                <c:pt idx="127">
                  <c:v>1.62594118450692</c:v>
                </c:pt>
                <c:pt idx="128">
                  <c:v>1.6252072728099201</c:v>
                </c:pt>
                <c:pt idx="129">
                  <c:v>1.6256202565134199</c:v>
                </c:pt>
                <c:pt idx="130">
                  <c:v>1.62622364688968</c:v>
                </c:pt>
                <c:pt idx="131">
                  <c:v>1.62652634548732</c:v>
                </c:pt>
                <c:pt idx="132">
                  <c:v>1.6274325386967201</c:v>
                </c:pt>
                <c:pt idx="133">
                  <c:v>1.6272502286550801</c:v>
                </c:pt>
                <c:pt idx="134">
                  <c:v>1.6264878865908401</c:v>
                </c:pt>
                <c:pt idx="135">
                  <c:v>1.62675637344513</c:v>
                </c:pt>
                <c:pt idx="136">
                  <c:v>1.6268674984953999</c:v>
                </c:pt>
                <c:pt idx="137">
                  <c:v>1.62695258879449</c:v>
                </c:pt>
                <c:pt idx="138">
                  <c:v>1.6272225327866301</c:v>
                </c:pt>
                <c:pt idx="139">
                  <c:v>1.6277061588428501</c:v>
                </c:pt>
                <c:pt idx="140">
                  <c:v>1.6281917799443899</c:v>
                </c:pt>
                <c:pt idx="141">
                  <c:v>1.62808984557153</c:v>
                </c:pt>
                <c:pt idx="142">
                  <c:v>1.6280133647695501</c:v>
                </c:pt>
                <c:pt idx="143">
                  <c:v>1.6288042790020401</c:v>
                </c:pt>
                <c:pt idx="144">
                  <c:v>1.63002562029621</c:v>
                </c:pt>
                <c:pt idx="145">
                  <c:v>1.6305459400122799</c:v>
                </c:pt>
                <c:pt idx="146">
                  <c:v>1.63129858712542</c:v>
                </c:pt>
                <c:pt idx="147">
                  <c:v>1.63210166102711</c:v>
                </c:pt>
                <c:pt idx="148">
                  <c:v>1.63295645927567</c:v>
                </c:pt>
                <c:pt idx="149">
                  <c:v>1.6333069430101801</c:v>
                </c:pt>
                <c:pt idx="150">
                  <c:v>1.6337743234567801</c:v>
                </c:pt>
                <c:pt idx="151">
                  <c:v>1.63418312907886</c:v>
                </c:pt>
                <c:pt idx="152">
                  <c:v>1.63492752096511</c:v>
                </c:pt>
                <c:pt idx="153">
                  <c:v>1.63545584459946</c:v>
                </c:pt>
                <c:pt idx="154">
                  <c:v>1.6360765356676099</c:v>
                </c:pt>
                <c:pt idx="155">
                  <c:v>1.6368078908105801</c:v>
                </c:pt>
                <c:pt idx="156">
                  <c:v>1.63756529545132</c:v>
                </c:pt>
                <c:pt idx="157">
                  <c:v>1.6379791146470399</c:v>
                </c:pt>
                <c:pt idx="158">
                  <c:v>1.6383832260756701</c:v>
                </c:pt>
                <c:pt idx="159">
                  <c:v>1.6392387747094901</c:v>
                </c:pt>
                <c:pt idx="160">
                  <c:v>1.64029396902481</c:v>
                </c:pt>
                <c:pt idx="161">
                  <c:v>1.64135874999913</c:v>
                </c:pt>
                <c:pt idx="162">
                  <c:v>1.64213559519845</c:v>
                </c:pt>
                <c:pt idx="163">
                  <c:v>1.6428813491968399</c:v>
                </c:pt>
                <c:pt idx="164">
                  <c:v>1.6434571486679299</c:v>
                </c:pt>
                <c:pt idx="165">
                  <c:v>1.64426926633371</c:v>
                </c:pt>
                <c:pt idx="166">
                  <c:v>1.6449328300928601</c:v>
                </c:pt>
                <c:pt idx="167">
                  <c:v>1.6457324170768299</c:v>
                </c:pt>
                <c:pt idx="168">
                  <c:v>1.64680898988524</c:v>
                </c:pt>
                <c:pt idx="169">
                  <c:v>1.6473155218042399</c:v>
                </c:pt>
                <c:pt idx="170">
                  <c:v>1.6475444055212101</c:v>
                </c:pt>
                <c:pt idx="171">
                  <c:v>1.6476798899374001</c:v>
                </c:pt>
                <c:pt idx="172">
                  <c:v>1.6481333606759001</c:v>
                </c:pt>
                <c:pt idx="173">
                  <c:v>1.64858245975286</c:v>
                </c:pt>
                <c:pt idx="174">
                  <c:v>1.6492397448735701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7C-41AE-8582-CA2312E16CFF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PFF*/PFFD*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1.63057255286739</c:v>
                </c:pt>
                <c:pt idx="20">
                  <c:v>1.63046628204082</c:v>
                </c:pt>
                <c:pt idx="21">
                  <c:v>1.6303171942085399</c:v>
                </c:pt>
                <c:pt idx="22">
                  <c:v>1.6303273548581501</c:v>
                </c:pt>
                <c:pt idx="23">
                  <c:v>1.6303077389498799</c:v>
                </c:pt>
                <c:pt idx="24">
                  <c:v>1.6306616006718799</c:v>
                </c:pt>
                <c:pt idx="25">
                  <c:v>1.6307113014736001</c:v>
                </c:pt>
                <c:pt idx="26">
                  <c:v>1.63065766800727</c:v>
                </c:pt>
                <c:pt idx="27">
                  <c:v>1.63083329414548</c:v>
                </c:pt>
                <c:pt idx="28">
                  <c:v>1.6312931761734</c:v>
                </c:pt>
                <c:pt idx="29">
                  <c:v>1.6314141444111101</c:v>
                </c:pt>
                <c:pt idx="30">
                  <c:v>1.6315776613372901</c:v>
                </c:pt>
                <c:pt idx="31">
                  <c:v>1.63163132172979</c:v>
                </c:pt>
                <c:pt idx="32">
                  <c:v>1.631894171845</c:v>
                </c:pt>
                <c:pt idx="33">
                  <c:v>1.63215105693135</c:v>
                </c:pt>
                <c:pt idx="34">
                  <c:v>1.63222348123839</c:v>
                </c:pt>
                <c:pt idx="35">
                  <c:v>1.6322740687656201</c:v>
                </c:pt>
                <c:pt idx="36">
                  <c:v>1.63256182100547</c:v>
                </c:pt>
                <c:pt idx="37">
                  <c:v>1.6327641547574201</c:v>
                </c:pt>
                <c:pt idx="38">
                  <c:v>1.6328776921294199</c:v>
                </c:pt>
                <c:pt idx="39">
                  <c:v>1.63294821220649</c:v>
                </c:pt>
                <c:pt idx="40">
                  <c:v>1.6331974608641</c:v>
                </c:pt>
                <c:pt idx="41">
                  <c:v>1.6335695100048899</c:v>
                </c:pt>
                <c:pt idx="42">
                  <c:v>1.63385516027772</c:v>
                </c:pt>
                <c:pt idx="43">
                  <c:v>1.6343442201112299</c:v>
                </c:pt>
                <c:pt idx="44">
                  <c:v>1.6347522838994699</c:v>
                </c:pt>
                <c:pt idx="45">
                  <c:v>1.6350883414470301</c:v>
                </c:pt>
                <c:pt idx="46">
                  <c:v>1.6355395254353799</c:v>
                </c:pt>
                <c:pt idx="47">
                  <c:v>1.63632282729594</c:v>
                </c:pt>
                <c:pt idx="48">
                  <c:v>1.6366912158167199</c:v>
                </c:pt>
                <c:pt idx="49">
                  <c:v>1.63722544027157</c:v>
                </c:pt>
                <c:pt idx="50">
                  <c:v>1.63765952670953</c:v>
                </c:pt>
                <c:pt idx="51">
                  <c:v>1.6381761043805201</c:v>
                </c:pt>
                <c:pt idx="52">
                  <c:v>1.6386455667608899</c:v>
                </c:pt>
                <c:pt idx="53">
                  <c:v>1.63928312497295</c:v>
                </c:pt>
                <c:pt idx="54">
                  <c:v>1.6398328867517</c:v>
                </c:pt>
                <c:pt idx="55">
                  <c:v>1.6403202724564501</c:v>
                </c:pt>
                <c:pt idx="56">
                  <c:v>1.6406493593143201</c:v>
                </c:pt>
                <c:pt idx="57">
                  <c:v>1.6410191818000199</c:v>
                </c:pt>
                <c:pt idx="58">
                  <c:v>1.6414308387840899</c:v>
                </c:pt>
                <c:pt idx="59">
                  <c:v>1.64200451449272</c:v>
                </c:pt>
                <c:pt idx="60">
                  <c:v>1.64223954393407</c:v>
                </c:pt>
                <c:pt idx="61">
                  <c:v>1.64259622569251</c:v>
                </c:pt>
                <c:pt idx="62">
                  <c:v>1.64286701653538</c:v>
                </c:pt>
                <c:pt idx="63">
                  <c:v>1.6430354845694799</c:v>
                </c:pt>
                <c:pt idx="64">
                  <c:v>1.6427745277824199</c:v>
                </c:pt>
                <c:pt idx="65">
                  <c:v>1.642759707979</c:v>
                </c:pt>
                <c:pt idx="66">
                  <c:v>1.64243533623935</c:v>
                </c:pt>
                <c:pt idx="67">
                  <c:v>1.64195877500825</c:v>
                </c:pt>
                <c:pt idx="68">
                  <c:v>1.6416182981918801</c:v>
                </c:pt>
                <c:pt idx="69">
                  <c:v>1.64162118052724</c:v>
                </c:pt>
                <c:pt idx="70">
                  <c:v>1.6415620313279899</c:v>
                </c:pt>
                <c:pt idx="71">
                  <c:v>1.6418966363195699</c:v>
                </c:pt>
                <c:pt idx="72">
                  <c:v>1.64220451743937</c:v>
                </c:pt>
                <c:pt idx="73">
                  <c:v>1.64214627722914</c:v>
                </c:pt>
                <c:pt idx="74">
                  <c:v>1.6423056743911</c:v>
                </c:pt>
                <c:pt idx="75">
                  <c:v>1.64272717915251</c:v>
                </c:pt>
                <c:pt idx="76">
                  <c:v>1.64290962826743</c:v>
                </c:pt>
                <c:pt idx="77">
                  <c:v>1.64287068555518</c:v>
                </c:pt>
                <c:pt idx="78">
                  <c:v>1.6430281708126999</c:v>
                </c:pt>
                <c:pt idx="79">
                  <c:v>1.6427626764351899</c:v>
                </c:pt>
                <c:pt idx="80">
                  <c:v>1.6426959592135499</c:v>
                </c:pt>
                <c:pt idx="81">
                  <c:v>1.64248721807705</c:v>
                </c:pt>
                <c:pt idx="82">
                  <c:v>1.64249297838633</c:v>
                </c:pt>
                <c:pt idx="83">
                  <c:v>1.64252607353193</c:v>
                </c:pt>
                <c:pt idx="84">
                  <c:v>1.64322169401632</c:v>
                </c:pt>
                <c:pt idx="85">
                  <c:v>1.6436263033635601</c:v>
                </c:pt>
                <c:pt idx="86">
                  <c:v>1.6443494636885201</c:v>
                </c:pt>
                <c:pt idx="87">
                  <c:v>1.6449527643474999</c:v>
                </c:pt>
                <c:pt idx="88">
                  <c:v>1.6456970898944601</c:v>
                </c:pt>
                <c:pt idx="89">
                  <c:v>1.6458241532598501</c:v>
                </c:pt>
                <c:pt idx="90">
                  <c:v>1.64620174436009</c:v>
                </c:pt>
                <c:pt idx="91">
                  <c:v>1.64623908792044</c:v>
                </c:pt>
                <c:pt idx="92">
                  <c:v>1.6460918882450299</c:v>
                </c:pt>
                <c:pt idx="93">
                  <c:v>1.64611398353864</c:v>
                </c:pt>
                <c:pt idx="94">
                  <c:v>1.6461623656789399</c:v>
                </c:pt>
                <c:pt idx="95">
                  <c:v>1.6460438977118099</c:v>
                </c:pt>
                <c:pt idx="96">
                  <c:v>1.6461566843334501</c:v>
                </c:pt>
                <c:pt idx="97">
                  <c:v>1.64664718131351</c:v>
                </c:pt>
                <c:pt idx="98">
                  <c:v>1.6469202145616</c:v>
                </c:pt>
                <c:pt idx="99">
                  <c:v>1.6473294010097601</c:v>
                </c:pt>
                <c:pt idx="100">
                  <c:v>1.6477807647229299</c:v>
                </c:pt>
                <c:pt idx="101">
                  <c:v>1.64829859125263</c:v>
                </c:pt>
                <c:pt idx="102">
                  <c:v>1.6484596570750401</c:v>
                </c:pt>
                <c:pt idx="103">
                  <c:v>1.6486863933811999</c:v>
                </c:pt>
                <c:pt idx="104">
                  <c:v>1.6485180992083801</c:v>
                </c:pt>
                <c:pt idx="105">
                  <c:v>1.6482867263437999</c:v>
                </c:pt>
                <c:pt idx="106">
                  <c:v>1.64770465438637</c:v>
                </c:pt>
                <c:pt idx="107">
                  <c:v>1.64761438340791</c:v>
                </c:pt>
                <c:pt idx="108">
                  <c:v>1.64720819330005</c:v>
                </c:pt>
                <c:pt idx="109">
                  <c:v>1.6470704447807201</c:v>
                </c:pt>
                <c:pt idx="110">
                  <c:v>1.64666175019067</c:v>
                </c:pt>
                <c:pt idx="111">
                  <c:v>1.6462033776981599</c:v>
                </c:pt>
                <c:pt idx="112">
                  <c:v>1.6459335552385701</c:v>
                </c:pt>
                <c:pt idx="113">
                  <c:v>1.64543486769494</c:v>
                </c:pt>
                <c:pt idx="114">
                  <c:v>1.6450808849962499</c:v>
                </c:pt>
                <c:pt idx="115">
                  <c:v>1.6449836565228699</c:v>
                </c:pt>
                <c:pt idx="116">
                  <c:v>1.6444613472694201</c:v>
                </c:pt>
                <c:pt idx="117">
                  <c:v>1.6435397739775599</c:v>
                </c:pt>
                <c:pt idx="118">
                  <c:v>1.6426959470610301</c:v>
                </c:pt>
                <c:pt idx="119">
                  <c:v>1.6414372345911401</c:v>
                </c:pt>
                <c:pt idx="120">
                  <c:v>1.63994073025252</c:v>
                </c:pt>
                <c:pt idx="121">
                  <c:v>1.63885754978915</c:v>
                </c:pt>
                <c:pt idx="122">
                  <c:v>1.63755972965017</c:v>
                </c:pt>
                <c:pt idx="123">
                  <c:v>1.63643388643708</c:v>
                </c:pt>
                <c:pt idx="124">
                  <c:v>1.63553532147854</c:v>
                </c:pt>
                <c:pt idx="125">
                  <c:v>1.6346280819646</c:v>
                </c:pt>
                <c:pt idx="126">
                  <c:v>1.6339572767697901</c:v>
                </c:pt>
                <c:pt idx="127">
                  <c:v>1.63309908077403</c:v>
                </c:pt>
                <c:pt idx="128">
                  <c:v>1.6320989108466299</c:v>
                </c:pt>
                <c:pt idx="129">
                  <c:v>1.63127218382127</c:v>
                </c:pt>
                <c:pt idx="130">
                  <c:v>1.6304075055229099</c:v>
                </c:pt>
                <c:pt idx="131">
                  <c:v>1.6299584989634199</c:v>
                </c:pt>
                <c:pt idx="132">
                  <c:v>1.62932871144245</c:v>
                </c:pt>
                <c:pt idx="133">
                  <c:v>1.62871231001951</c:v>
                </c:pt>
                <c:pt idx="134">
                  <c:v>1.62779451818604</c:v>
                </c:pt>
                <c:pt idx="135">
                  <c:v>1.62703072138626</c:v>
                </c:pt>
                <c:pt idx="136">
                  <c:v>1.6265548135952199</c:v>
                </c:pt>
                <c:pt idx="137">
                  <c:v>1.62644688665071</c:v>
                </c:pt>
                <c:pt idx="138">
                  <c:v>1.62621490279827</c:v>
                </c:pt>
                <c:pt idx="139">
                  <c:v>1.62666320767814</c:v>
                </c:pt>
                <c:pt idx="140">
                  <c:v>1.62720771341704</c:v>
                </c:pt>
                <c:pt idx="141">
                  <c:v>1.6273080955294299</c:v>
                </c:pt>
                <c:pt idx="142">
                  <c:v>1.62772295173313</c:v>
                </c:pt>
                <c:pt idx="143">
                  <c:v>1.6280272538285601</c:v>
                </c:pt>
                <c:pt idx="144">
                  <c:v>1.6282567534435199</c:v>
                </c:pt>
                <c:pt idx="145">
                  <c:v>1.6286511567287001</c:v>
                </c:pt>
                <c:pt idx="146">
                  <c:v>1.6290830428104099</c:v>
                </c:pt>
                <c:pt idx="147">
                  <c:v>1.6295271249108001</c:v>
                </c:pt>
                <c:pt idx="148">
                  <c:v>1.6300894960311501</c:v>
                </c:pt>
                <c:pt idx="149">
                  <c:v>1.63050655092652</c:v>
                </c:pt>
                <c:pt idx="150">
                  <c:v>1.6309830517005901</c:v>
                </c:pt>
                <c:pt idx="151">
                  <c:v>1.6311364873251899</c:v>
                </c:pt>
                <c:pt idx="152">
                  <c:v>1.6314704428673299</c:v>
                </c:pt>
                <c:pt idx="153">
                  <c:v>1.6321300618007499</c:v>
                </c:pt>
                <c:pt idx="154">
                  <c:v>1.6330510779819101</c:v>
                </c:pt>
                <c:pt idx="155">
                  <c:v>1.6336769154114299</c:v>
                </c:pt>
                <c:pt idx="156">
                  <c:v>1.6344319412883701</c:v>
                </c:pt>
                <c:pt idx="157">
                  <c:v>1.6350403878370801</c:v>
                </c:pt>
                <c:pt idx="158">
                  <c:v>1.6356698426756699</c:v>
                </c:pt>
                <c:pt idx="159">
                  <c:v>1.6362728588598401</c:v>
                </c:pt>
                <c:pt idx="160">
                  <c:v>1.6370341462408</c:v>
                </c:pt>
                <c:pt idx="161">
                  <c:v>1.6377709395389899</c:v>
                </c:pt>
                <c:pt idx="162">
                  <c:v>1.6385315580817801</c:v>
                </c:pt>
                <c:pt idx="163">
                  <c:v>1.63916859689815</c:v>
                </c:pt>
                <c:pt idx="164">
                  <c:v>1.63976684216777</c:v>
                </c:pt>
                <c:pt idx="165">
                  <c:v>1.64053857857214</c:v>
                </c:pt>
                <c:pt idx="166">
                  <c:v>1.6412490627720899</c:v>
                </c:pt>
                <c:pt idx="167">
                  <c:v>1.6418557658619399</c:v>
                </c:pt>
                <c:pt idx="168">
                  <c:v>1.6425961079804501</c:v>
                </c:pt>
                <c:pt idx="169">
                  <c:v>1.64327714825686</c:v>
                </c:pt>
                <c:pt idx="170">
                  <c:v>1.6439191872730099</c:v>
                </c:pt>
                <c:pt idx="171">
                  <c:v>1.64451931996826</c:v>
                </c:pt>
                <c:pt idx="172">
                  <c:v>1.6451344779371799</c:v>
                </c:pt>
                <c:pt idx="173">
                  <c:v>1.64573190447485</c:v>
                </c:pt>
                <c:pt idx="174">
                  <c:v>1.6463484467707501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7C-41AE-8582-CA2312E16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PFFD x avg / PFF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8.1095539075885896E-3</c:v>
                </c:pt>
                <c:pt idx="2">
                  <c:v>7.9277720756103197E-3</c:v>
                </c:pt>
                <c:pt idx="3">
                  <c:v>9.2004416715046698E-3</c:v>
                </c:pt>
                <c:pt idx="4">
                  <c:v>1.1712428464831399E-2</c:v>
                </c:pt>
                <c:pt idx="5">
                  <c:v>8.2645363073283497E-3</c:v>
                </c:pt>
                <c:pt idx="6">
                  <c:v>7.1989365465451698E-3</c:v>
                </c:pt>
                <c:pt idx="7">
                  <c:v>1.17212760170825E-2</c:v>
                </c:pt>
                <c:pt idx="8">
                  <c:v>1.06201472732866E-2</c:v>
                </c:pt>
                <c:pt idx="9">
                  <c:v>9.6409069273860303E-3</c:v>
                </c:pt>
                <c:pt idx="10">
                  <c:v>8.3340071276185798E-3</c:v>
                </c:pt>
                <c:pt idx="11">
                  <c:v>9.0644290871741192E-3</c:v>
                </c:pt>
                <c:pt idx="12">
                  <c:v>9.2107117224954592E-3</c:v>
                </c:pt>
                <c:pt idx="13">
                  <c:v>9.9667723016856405E-3</c:v>
                </c:pt>
                <c:pt idx="14">
                  <c:v>9.37468996991302E-3</c:v>
                </c:pt>
                <c:pt idx="15">
                  <c:v>1.08261320324302E-2</c:v>
                </c:pt>
                <c:pt idx="16">
                  <c:v>1.10596524825692E-2</c:v>
                </c:pt>
                <c:pt idx="17">
                  <c:v>9.4427977260474593E-3</c:v>
                </c:pt>
                <c:pt idx="18">
                  <c:v>9.6279741815439909E-3</c:v>
                </c:pt>
                <c:pt idx="19">
                  <c:v>8.5986380124298406E-3</c:v>
                </c:pt>
                <c:pt idx="20">
                  <c:v>9.1662781395861308E-3</c:v>
                </c:pt>
                <c:pt idx="21">
                  <c:v>1.0392557161765899E-2</c:v>
                </c:pt>
                <c:pt idx="22">
                  <c:v>8.2457876610539799E-3</c:v>
                </c:pt>
                <c:pt idx="23">
                  <c:v>9.8960354727880302E-3</c:v>
                </c:pt>
                <c:pt idx="24">
                  <c:v>7.8111202020399399E-3</c:v>
                </c:pt>
                <c:pt idx="25">
                  <c:v>8.0964889937368504E-3</c:v>
                </c:pt>
                <c:pt idx="26">
                  <c:v>8.2971803028248896E-3</c:v>
                </c:pt>
                <c:pt idx="27">
                  <c:v>1.00139464872045E-2</c:v>
                </c:pt>
                <c:pt idx="28">
                  <c:v>5.4154849035661602E-3</c:v>
                </c:pt>
                <c:pt idx="29">
                  <c:v>8.5986380124298406E-3</c:v>
                </c:pt>
                <c:pt idx="30">
                  <c:v>6.76192694218715E-3</c:v>
                </c:pt>
                <c:pt idx="31">
                  <c:v>8.8474859578995604E-3</c:v>
                </c:pt>
                <c:pt idx="32">
                  <c:v>6.4217295563847301E-3</c:v>
                </c:pt>
                <c:pt idx="33">
                  <c:v>7.2527340381278102E-3</c:v>
                </c:pt>
                <c:pt idx="34">
                  <c:v>8.9318994609159704E-3</c:v>
                </c:pt>
                <c:pt idx="35">
                  <c:v>1.06562519071099E-2</c:v>
                </c:pt>
                <c:pt idx="36">
                  <c:v>7.9677231650032796E-3</c:v>
                </c:pt>
                <c:pt idx="37">
                  <c:v>7.3993933829536703E-3</c:v>
                </c:pt>
                <c:pt idx="38">
                  <c:v>8.6810960353183794E-3</c:v>
                </c:pt>
                <c:pt idx="39">
                  <c:v>3.9687612415570698E-3</c:v>
                </c:pt>
                <c:pt idx="40">
                  <c:v>1.85946253818914E-3</c:v>
                </c:pt>
                <c:pt idx="41">
                  <c:v>1.5866236478604401E-3</c:v>
                </c:pt>
                <c:pt idx="42">
                  <c:v>4.8884828853373104E-4</c:v>
                </c:pt>
                <c:pt idx="43">
                  <c:v>-3.9242839251394399E-4</c:v>
                </c:pt>
                <c:pt idx="44">
                  <c:v>-1.46886225679928E-3</c:v>
                </c:pt>
                <c:pt idx="45">
                  <c:v>-2.98332757649509E-4</c:v>
                </c:pt>
                <c:pt idx="46">
                  <c:v>-1.52900379387667E-3</c:v>
                </c:pt>
                <c:pt idx="47">
                  <c:v>-3.9224439456851997E-3</c:v>
                </c:pt>
                <c:pt idx="48">
                  <c:v>-3.4412539094654001E-3</c:v>
                </c:pt>
                <c:pt idx="49">
                  <c:v>-2.2838361430014302E-3</c:v>
                </c:pt>
                <c:pt idx="50">
                  <c:v>-2.86736400217348E-3</c:v>
                </c:pt>
                <c:pt idx="51">
                  <c:v>-1.82704855492424E-3</c:v>
                </c:pt>
                <c:pt idx="52">
                  <c:v>-3.66818386729806E-3</c:v>
                </c:pt>
                <c:pt idx="53">
                  <c:v>-4.9597143341717298E-3</c:v>
                </c:pt>
                <c:pt idx="54">
                  <c:v>-2.1834162291195199E-3</c:v>
                </c:pt>
                <c:pt idx="55">
                  <c:v>3.09547942874456E-4</c:v>
                </c:pt>
                <c:pt idx="56">
                  <c:v>-4.0660237188814901E-4</c:v>
                </c:pt>
                <c:pt idx="57">
                  <c:v>-1.50837663381446E-3</c:v>
                </c:pt>
                <c:pt idx="58">
                  <c:v>-7.7283560125580495E-4</c:v>
                </c:pt>
                <c:pt idx="59">
                  <c:v>-3.27606943342732E-3</c:v>
                </c:pt>
                <c:pt idx="60">
                  <c:v>-1.1605473071508001E-3</c:v>
                </c:pt>
                <c:pt idx="61">
                  <c:v>-3.6811096993166802E-3</c:v>
                </c:pt>
                <c:pt idx="62">
                  <c:v>-3.69558422963855E-3</c:v>
                </c:pt>
                <c:pt idx="63">
                  <c:v>-3.2825405501370501E-3</c:v>
                </c:pt>
                <c:pt idx="64">
                  <c:v>9.4479615173115696E-4</c:v>
                </c:pt>
                <c:pt idx="65">
                  <c:v>-8.86193839171663E-4</c:v>
                </c:pt>
                <c:pt idx="66">
                  <c:v>1.74365075536907E-3</c:v>
                </c:pt>
                <c:pt idx="67">
                  <c:v>1.2329033716685701E-3</c:v>
                </c:pt>
                <c:pt idx="68">
                  <c:v>8.3119721484339803E-5</c:v>
                </c:pt>
                <c:pt idx="69">
                  <c:v>-2.9750621090988199E-3</c:v>
                </c:pt>
                <c:pt idx="70">
                  <c:v>-2.79786746368638E-3</c:v>
                </c:pt>
                <c:pt idx="71">
                  <c:v>-6.5888734416538397E-3</c:v>
                </c:pt>
                <c:pt idx="72">
                  <c:v>-8.0890519511757197E-3</c:v>
                </c:pt>
                <c:pt idx="73">
                  <c:v>-4.8194622085876698E-3</c:v>
                </c:pt>
                <c:pt idx="74">
                  <c:v>-4.7702946059866597E-3</c:v>
                </c:pt>
                <c:pt idx="75">
                  <c:v>-5.4665775538838002E-3</c:v>
                </c:pt>
                <c:pt idx="76">
                  <c:v>-3.2572666485252998E-3</c:v>
                </c:pt>
                <c:pt idx="77">
                  <c:v>-1.5910085143427499E-3</c:v>
                </c:pt>
                <c:pt idx="78">
                  <c:v>-3.2572666485252998E-3</c:v>
                </c:pt>
                <c:pt idx="79">
                  <c:v>-5.63229662270043E-4</c:v>
                </c:pt>
                <c:pt idx="80">
                  <c:v>-9.40181303433178E-4</c:v>
                </c:pt>
                <c:pt idx="81">
                  <c:v>-9.3799655671294698E-4</c:v>
                </c:pt>
                <c:pt idx="82">
                  <c:v>-4.3909855320344998E-3</c:v>
                </c:pt>
                <c:pt idx="83">
                  <c:v>-4.3520934708841099E-3</c:v>
                </c:pt>
                <c:pt idx="84">
                  <c:v>-8.2987027659338491E-3</c:v>
                </c:pt>
                <c:pt idx="85">
                  <c:v>-6.5365113553057198E-3</c:v>
                </c:pt>
                <c:pt idx="86">
                  <c:v>-7.8869369711576705E-3</c:v>
                </c:pt>
                <c:pt idx="87">
                  <c:v>-6.8706618897587399E-3</c:v>
                </c:pt>
                <c:pt idx="88">
                  <c:v>-9.7973198680887906E-3</c:v>
                </c:pt>
                <c:pt idx="89">
                  <c:v>-5.2702876976796903E-3</c:v>
                </c:pt>
                <c:pt idx="90">
                  <c:v>-8.2109786673575103E-3</c:v>
                </c:pt>
                <c:pt idx="91">
                  <c:v>-7.7936701680760704E-3</c:v>
                </c:pt>
                <c:pt idx="92">
                  <c:v>-7.1005532946898297E-3</c:v>
                </c:pt>
                <c:pt idx="93">
                  <c:v>-5.9187379932335799E-3</c:v>
                </c:pt>
                <c:pt idx="94">
                  <c:v>-6.1991212724901799E-3</c:v>
                </c:pt>
                <c:pt idx="95">
                  <c:v>-4.8443187445263696E-3</c:v>
                </c:pt>
                <c:pt idx="96">
                  <c:v>-5.4869922884975501E-3</c:v>
                </c:pt>
                <c:pt idx="97">
                  <c:v>-8.4828419621712104E-3</c:v>
                </c:pt>
                <c:pt idx="98">
                  <c:v>-7.4369660101978301E-3</c:v>
                </c:pt>
                <c:pt idx="99">
                  <c:v>-6.3890904733466102E-3</c:v>
                </c:pt>
                <c:pt idx="100">
                  <c:v>-7.2522178130666097E-3</c:v>
                </c:pt>
                <c:pt idx="101">
                  <c:v>-8.1030900083489104E-3</c:v>
                </c:pt>
                <c:pt idx="102">
                  <c:v>-7.2354563041951E-3</c:v>
                </c:pt>
                <c:pt idx="103">
                  <c:v>-7.9806871804902393E-3</c:v>
                </c:pt>
                <c:pt idx="104">
                  <c:v>-7.1005532946898297E-3</c:v>
                </c:pt>
                <c:pt idx="105">
                  <c:v>-4.5611052647336198E-3</c:v>
                </c:pt>
                <c:pt idx="106">
                  <c:v>-1.5896548755247901E-3</c:v>
                </c:pt>
                <c:pt idx="107">
                  <c:v>-6.7340236655595003E-3</c:v>
                </c:pt>
                <c:pt idx="108">
                  <c:v>-5.7539626592122703E-3</c:v>
                </c:pt>
                <c:pt idx="109">
                  <c:v>-4.5447698277107998E-3</c:v>
                </c:pt>
                <c:pt idx="110">
                  <c:v>-4.07595829789503E-3</c:v>
                </c:pt>
                <c:pt idx="111">
                  <c:v>-3.0262403956421101E-3</c:v>
                </c:pt>
                <c:pt idx="112">
                  <c:v>-4.5737834727958299E-3</c:v>
                </c:pt>
                <c:pt idx="113">
                  <c:v>-5.2509400969943801E-4</c:v>
                </c:pt>
                <c:pt idx="114">
                  <c:v>-2.6076060703651501E-3</c:v>
                </c:pt>
                <c:pt idx="115">
                  <c:v>-4.45014092948871E-3</c:v>
                </c:pt>
                <c:pt idx="116">
                  <c:v>1.44076967227648E-4</c:v>
                </c:pt>
                <c:pt idx="117">
                  <c:v>2.0914972516231701E-3</c:v>
                </c:pt>
                <c:pt idx="118">
                  <c:v>2.1388051537214398E-3</c:v>
                </c:pt>
                <c:pt idx="119">
                  <c:v>8.3849619484198008E-3</c:v>
                </c:pt>
                <c:pt idx="120">
                  <c:v>1.04802055820961E-2</c:v>
                </c:pt>
                <c:pt idx="121">
                  <c:v>4.4230286954556903E-3</c:v>
                </c:pt>
                <c:pt idx="122">
                  <c:v>8.8862093193885806E-3</c:v>
                </c:pt>
                <c:pt idx="123">
                  <c:v>5.2528265086220398E-3</c:v>
                </c:pt>
                <c:pt idx="124">
                  <c:v>3.3113514193270901E-3</c:v>
                </c:pt>
                <c:pt idx="125">
                  <c:v>6.0564241670044696E-3</c:v>
                </c:pt>
                <c:pt idx="126">
                  <c:v>6.0879962133264902E-3</c:v>
                </c:pt>
                <c:pt idx="127">
                  <c:v>3.21908205422866E-3</c:v>
                </c:pt>
                <c:pt idx="128">
                  <c:v>6.0578173544572301E-3</c:v>
                </c:pt>
                <c:pt idx="129">
                  <c:v>5.1051951514183899E-3</c:v>
                </c:pt>
                <c:pt idx="130">
                  <c:v>5.9696204000172504E-3</c:v>
                </c:pt>
                <c:pt idx="131">
                  <c:v>1.7892254881165699E-3</c:v>
                </c:pt>
                <c:pt idx="132">
                  <c:v>2.4891047123670098E-3</c:v>
                </c:pt>
                <c:pt idx="133">
                  <c:v>6.3884451590373896E-3</c:v>
                </c:pt>
                <c:pt idx="134">
                  <c:v>8.1236330799255106E-3</c:v>
                </c:pt>
                <c:pt idx="135">
                  <c:v>4.2595201621886099E-3</c:v>
                </c:pt>
                <c:pt idx="136">
                  <c:v>5.3400172959426704E-3</c:v>
                </c:pt>
                <c:pt idx="137">
                  <c:v>2.6801437496184002E-3</c:v>
                </c:pt>
                <c:pt idx="138">
                  <c:v>4.2501942699606898E-3</c:v>
                </c:pt>
                <c:pt idx="139">
                  <c:v>1.9541909046693899E-3</c:v>
                </c:pt>
                <c:pt idx="140">
                  <c:v>2.8732907693684302E-3</c:v>
                </c:pt>
                <c:pt idx="141">
                  <c:v>2.4004417236846102E-3</c:v>
                </c:pt>
                <c:pt idx="142">
                  <c:v>2.8556439255690898E-3</c:v>
                </c:pt>
                <c:pt idx="143">
                  <c:v>1.39004507662847E-3</c:v>
                </c:pt>
                <c:pt idx="144">
                  <c:v>4.0498507249591402E-4</c:v>
                </c:pt>
                <c:pt idx="145">
                  <c:v>3.4202927670184502E-4</c:v>
                </c:pt>
                <c:pt idx="146">
                  <c:v>-2.50697366816289E-5</c:v>
                </c:pt>
                <c:pt idx="147">
                  <c:v>-3.0321174094482999E-3</c:v>
                </c:pt>
                <c:pt idx="148">
                  <c:v>-1.7747309787697E-3</c:v>
                </c:pt>
                <c:pt idx="149">
                  <c:v>-8.4841530115462797E-4</c:v>
                </c:pt>
                <c:pt idx="150">
                  <c:v>-7.1405969260834303E-4</c:v>
                </c:pt>
                <c:pt idx="151">
                  <c:v>-8.2943394611728095E-4</c:v>
                </c:pt>
                <c:pt idx="152">
                  <c:v>-2.3976943920456101E-3</c:v>
                </c:pt>
                <c:pt idx="153">
                  <c:v>-2.5436870289640202E-3</c:v>
                </c:pt>
                <c:pt idx="154">
                  <c:v>-4.1340044238506596E-3</c:v>
                </c:pt>
                <c:pt idx="155">
                  <c:v>-4.2925316953350704E-3</c:v>
                </c:pt>
                <c:pt idx="156">
                  <c:v>-4.8956500588391303E-3</c:v>
                </c:pt>
                <c:pt idx="157">
                  <c:v>-5.6877430971936198E-3</c:v>
                </c:pt>
                <c:pt idx="158">
                  <c:v>-4.3526144766648303E-3</c:v>
                </c:pt>
                <c:pt idx="159">
                  <c:v>-6.3109599987057098E-3</c:v>
                </c:pt>
                <c:pt idx="160">
                  <c:v>-7.4074852615581398E-3</c:v>
                </c:pt>
                <c:pt idx="161">
                  <c:v>-7.5438955626959802E-3</c:v>
                </c:pt>
                <c:pt idx="162">
                  <c:v>-7.32939319415835E-3</c:v>
                </c:pt>
                <c:pt idx="163">
                  <c:v>-7.3209298067721104E-3</c:v>
                </c:pt>
                <c:pt idx="164">
                  <c:v>-7.8469556934195606E-3</c:v>
                </c:pt>
                <c:pt idx="165">
                  <c:v>-9.4678248954205794E-3</c:v>
                </c:pt>
                <c:pt idx="166">
                  <c:v>-9.7645510074277995E-3</c:v>
                </c:pt>
                <c:pt idx="167">
                  <c:v>-1.1426130841753E-2</c:v>
                </c:pt>
                <c:pt idx="168">
                  <c:v>-1.17610149847771E-2</c:v>
                </c:pt>
                <c:pt idx="169">
                  <c:v>-1.0116728508526299E-2</c:v>
                </c:pt>
                <c:pt idx="170">
                  <c:v>-9.4627956738471304E-3</c:v>
                </c:pt>
                <c:pt idx="171">
                  <c:v>-9.1112220795426004E-3</c:v>
                </c:pt>
                <c:pt idx="172">
                  <c:v>-1.09733732886267E-2</c:v>
                </c:pt>
                <c:pt idx="173">
                  <c:v>-1.0872273706280701E-2</c:v>
                </c:pt>
                <c:pt idx="174">
                  <c:v>-1.2751967265348401E-2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00-4C07-9ED6-F3D69724DDF1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PFFD x 10 dma / PFF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-8.4606239290041605E-4</c:v>
                </c:pt>
                <c:pt idx="11">
                  <c:v>-2.0740862747201501E-4</c:v>
                </c:pt>
                <c:pt idx="12">
                  <c:v>-1.56683495875287E-4</c:v>
                </c:pt>
                <c:pt idx="13">
                  <c:v>4.70972427166251E-4</c:v>
                </c:pt>
                <c:pt idx="14">
                  <c:v>-1.9773917681455001E-4</c:v>
                </c:pt>
                <c:pt idx="15">
                  <c:v>1.4872226059076199E-3</c:v>
                </c:pt>
                <c:pt idx="16">
                  <c:v>1.4646034847925701E-3</c:v>
                </c:pt>
                <c:pt idx="17">
                  <c:v>-5.3857757606656895E-4</c:v>
                </c:pt>
                <c:pt idx="18">
                  <c:v>-1.2571598277835101E-4</c:v>
                </c:pt>
                <c:pt idx="19">
                  <c:v>-1.05587649708441E-3</c:v>
                </c:pt>
                <c:pt idx="20">
                  <c:v>-3.8395916136431299E-4</c:v>
                </c:pt>
                <c:pt idx="21">
                  <c:v>7.5902267189419202E-4</c:v>
                </c:pt>
                <c:pt idx="22">
                  <c:v>-1.5205558536412001E-3</c:v>
                </c:pt>
                <c:pt idx="23">
                  <c:v>2.26279923397059E-4</c:v>
                </c:pt>
                <c:pt idx="24">
                  <c:v>-1.85156354004044E-3</c:v>
                </c:pt>
                <c:pt idx="25">
                  <c:v>-1.4096826474117401E-3</c:v>
                </c:pt>
                <c:pt idx="26">
                  <c:v>-9.3605195528801896E-4</c:v>
                </c:pt>
                <c:pt idx="27">
                  <c:v>1.05680046604382E-3</c:v>
                </c:pt>
                <c:pt idx="28">
                  <c:v>-3.5987335915874299E-3</c:v>
                </c:pt>
                <c:pt idx="29">
                  <c:v>6.2089700976183099E-6</c:v>
                </c:pt>
                <c:pt idx="30">
                  <c:v>-1.83050210014493E-3</c:v>
                </c:pt>
                <c:pt idx="31">
                  <c:v>4.9561427624403602E-4</c:v>
                </c:pt>
                <c:pt idx="32">
                  <c:v>-1.7758427083012199E-3</c:v>
                </c:pt>
                <c:pt idx="33">
                  <c:v>-7.6229142076124595E-4</c:v>
                </c:pt>
                <c:pt idx="34">
                  <c:v>1.18102151819789E-3</c:v>
                </c:pt>
                <c:pt idx="35">
                  <c:v>2.7933592967873001E-3</c:v>
                </c:pt>
                <c:pt idx="36">
                  <c:v>-1.50791353512236E-4</c:v>
                </c:pt>
                <c:pt idx="37">
                  <c:v>-6.86176423481881E-4</c:v>
                </c:pt>
                <c:pt idx="38">
                  <c:v>8.5678514314188505E-4</c:v>
                </c:pt>
                <c:pt idx="39">
                  <c:v>-4.1824178410464997E-3</c:v>
                </c:pt>
                <c:pt idx="40">
                  <c:v>-5.82797057201314E-3</c:v>
                </c:pt>
                <c:pt idx="41">
                  <c:v>-5.6090252429234003E-3</c:v>
                </c:pt>
                <c:pt idx="42">
                  <c:v>-5.9795392396634001E-3</c:v>
                </c:pt>
                <c:pt idx="43">
                  <c:v>-6.2659135791640402E-3</c:v>
                </c:pt>
                <c:pt idx="44">
                  <c:v>-6.5762526083892499E-3</c:v>
                </c:pt>
                <c:pt idx="45">
                  <c:v>-4.3647522449479703E-3</c:v>
                </c:pt>
                <c:pt idx="46">
                  <c:v>-4.5017756577496798E-3</c:v>
                </c:pt>
                <c:pt idx="47">
                  <c:v>-5.94622412977165E-3</c:v>
                </c:pt>
                <c:pt idx="48">
                  <c:v>-4.3331620565714201E-3</c:v>
                </c:pt>
                <c:pt idx="49">
                  <c:v>-1.9663264754812199E-3</c:v>
                </c:pt>
                <c:pt idx="50">
                  <c:v>-1.9255133836687201E-3</c:v>
                </c:pt>
                <c:pt idx="51">
                  <c:v>-4.1283336660879501E-4</c:v>
                </c:pt>
                <c:pt idx="52">
                  <c:v>-1.91310083965185E-3</c:v>
                </c:pt>
                <c:pt idx="53">
                  <c:v>-2.7890829018278598E-3</c:v>
                </c:pt>
                <c:pt idx="54">
                  <c:v>4.4407072740599099E-4</c:v>
                </c:pt>
                <c:pt idx="55">
                  <c:v>3.0084305117408301E-3</c:v>
                </c:pt>
                <c:pt idx="56">
                  <c:v>2.2316544669179501E-3</c:v>
                </c:pt>
                <c:pt idx="57">
                  <c:v>1.0178211139812599E-3</c:v>
                </c:pt>
                <c:pt idx="58">
                  <c:v>1.51188052087936E-3</c:v>
                </c:pt>
                <c:pt idx="59">
                  <c:v>-1.25818341131089E-3</c:v>
                </c:pt>
                <c:pt idx="60">
                  <c:v>9.5663276188511295E-4</c:v>
                </c:pt>
                <c:pt idx="61">
                  <c:v>-1.7346082676630999E-3</c:v>
                </c:pt>
                <c:pt idx="62">
                  <c:v>-1.56354408002255E-3</c:v>
                </c:pt>
                <c:pt idx="63">
                  <c:v>-1.14775611813149E-3</c:v>
                </c:pt>
                <c:pt idx="64">
                  <c:v>2.9115155881756899E-3</c:v>
                </c:pt>
                <c:pt idx="65">
                  <c:v>7.6807663915627101E-4</c:v>
                </c:pt>
                <c:pt idx="66">
                  <c:v>3.51732506954122E-3</c:v>
                </c:pt>
                <c:pt idx="67">
                  <c:v>2.7920538169693599E-3</c:v>
                </c:pt>
                <c:pt idx="68">
                  <c:v>1.36849397977807E-3</c:v>
                </c:pt>
                <c:pt idx="69">
                  <c:v>-1.7752065761625E-3</c:v>
                </c:pt>
                <c:pt idx="70">
                  <c:v>-1.6281711392179699E-3</c:v>
                </c:pt>
                <c:pt idx="71">
                  <c:v>-5.2553259110304498E-3</c:v>
                </c:pt>
                <c:pt idx="72">
                  <c:v>-6.46366305954129E-3</c:v>
                </c:pt>
                <c:pt idx="73">
                  <c:v>-2.7529448346219599E-3</c:v>
                </c:pt>
                <c:pt idx="74">
                  <c:v>-2.5497916049357998E-3</c:v>
                </c:pt>
                <c:pt idx="75">
                  <c:v>-2.6749037056595501E-3</c:v>
                </c:pt>
                <c:pt idx="76">
                  <c:v>-7.4827300305433202E-6</c:v>
                </c:pt>
                <c:pt idx="77">
                  <c:v>2.1574981175491899E-3</c:v>
                </c:pt>
                <c:pt idx="78">
                  <c:v>7.7258549856204202E-4</c:v>
                </c:pt>
                <c:pt idx="79">
                  <c:v>3.7997907833797299E-3</c:v>
                </c:pt>
                <c:pt idx="80">
                  <c:v>3.1822516888092801E-3</c:v>
                </c:pt>
                <c:pt idx="81">
                  <c:v>2.9990687546252301E-3</c:v>
                </c:pt>
                <c:pt idx="82">
                  <c:v>-1.01907022026525E-3</c:v>
                </c:pt>
                <c:pt idx="83">
                  <c:v>-1.3511159674523699E-3</c:v>
                </c:pt>
                <c:pt idx="84">
                  <c:v>-5.3445373597037597E-3</c:v>
                </c:pt>
                <c:pt idx="85">
                  <c:v>-3.2283020784084899E-3</c:v>
                </c:pt>
                <c:pt idx="86">
                  <c:v>-4.4714515058460599E-3</c:v>
                </c:pt>
                <c:pt idx="87">
                  <c:v>-2.9913170575468599E-3</c:v>
                </c:pt>
                <c:pt idx="88">
                  <c:v>-5.3899629005115498E-3</c:v>
                </c:pt>
                <c:pt idx="89">
                  <c:v>-2.0775099699221801E-4</c:v>
                </c:pt>
                <c:pt idx="90">
                  <c:v>-2.6788549500480099E-3</c:v>
                </c:pt>
                <c:pt idx="91">
                  <c:v>-1.5354239561742799E-3</c:v>
                </c:pt>
                <c:pt idx="92">
                  <c:v>-1.5826853900208999E-4</c:v>
                </c:pt>
                <c:pt idx="93">
                  <c:v>1.2941429969847899E-3</c:v>
                </c:pt>
                <c:pt idx="94">
                  <c:v>1.1700868391105201E-3</c:v>
                </c:pt>
                <c:pt idx="95">
                  <c:v>2.3149343957933198E-3</c:v>
                </c:pt>
                <c:pt idx="96">
                  <c:v>1.5032756666333001E-3</c:v>
                </c:pt>
                <c:pt idx="97">
                  <c:v>-1.7325245386289299E-3</c:v>
                </c:pt>
                <c:pt idx="98">
                  <c:v>-5.2529415313465203E-4</c:v>
                </c:pt>
                <c:pt idx="99">
                  <c:v>2.86115092101823E-4</c:v>
                </c:pt>
                <c:pt idx="100">
                  <c:v>-4.65232768418446E-4</c:v>
                </c:pt>
                <c:pt idx="101">
                  <c:v>-1.4120762665072899E-3</c:v>
                </c:pt>
                <c:pt idx="102">
                  <c:v>-5.1346212822236503E-4</c:v>
                </c:pt>
                <c:pt idx="103">
                  <c:v>-1.2451967764717099E-3</c:v>
                </c:pt>
                <c:pt idx="104">
                  <c:v>-1.5884502351905201E-4</c:v>
                </c:pt>
                <c:pt idx="105">
                  <c:v>2.4707158450782999E-3</c:v>
                </c:pt>
                <c:pt idx="106">
                  <c:v>5.4139103737712597E-3</c:v>
                </c:pt>
                <c:pt idx="107">
                  <c:v>-1.18919660306103E-4</c:v>
                </c:pt>
                <c:pt idx="108">
                  <c:v>6.8607036857686098E-4</c:v>
                </c:pt>
                <c:pt idx="109">
                  <c:v>1.72692251544146E-3</c:v>
                </c:pt>
                <c:pt idx="110">
                  <c:v>2.01143333648842E-3</c:v>
                </c:pt>
                <c:pt idx="111">
                  <c:v>2.74360916636485E-3</c:v>
                </c:pt>
                <c:pt idx="112">
                  <c:v>6.8835587814013296E-4</c:v>
                </c:pt>
                <c:pt idx="113">
                  <c:v>4.4706714428545602E-3</c:v>
                </c:pt>
                <c:pt idx="114">
                  <c:v>1.64287433529783E-3</c:v>
                </c:pt>
                <c:pt idx="115">
                  <c:v>-6.4932798548498702E-4</c:v>
                </c:pt>
                <c:pt idx="116">
                  <c:v>3.9337855924127399E-3</c:v>
                </c:pt>
                <c:pt idx="117">
                  <c:v>5.7083486390226102E-3</c:v>
                </c:pt>
                <c:pt idx="118">
                  <c:v>4.8738556003435803E-3</c:v>
                </c:pt>
                <c:pt idx="119">
                  <c:v>1.03311541926321E-2</c:v>
                </c:pt>
                <c:pt idx="120">
                  <c:v>1.1137574856986099E-2</c:v>
                </c:pt>
                <c:pt idx="121">
                  <c:v>3.6293235955321898E-3</c:v>
                </c:pt>
                <c:pt idx="122">
                  <c:v>7.3472269345961003E-3</c:v>
                </c:pt>
                <c:pt idx="123">
                  <c:v>2.3677596603610099E-3</c:v>
                </c:pt>
                <c:pt idx="124">
                  <c:v>-1.5197666976759E-4</c:v>
                </c:pt>
                <c:pt idx="125">
                  <c:v>1.9991786028297699E-3</c:v>
                </c:pt>
                <c:pt idx="126">
                  <c:v>9.7610883770075701E-4</c:v>
                </c:pt>
                <c:pt idx="127">
                  <c:v>-2.4885630533891499E-3</c:v>
                </c:pt>
                <c:pt idx="128">
                  <c:v>2.37062659163106E-4</c:v>
                </c:pt>
                <c:pt idx="129">
                  <c:v>-1.1082137031007699E-3</c:v>
                </c:pt>
                <c:pt idx="130">
                  <c:v>8.3960327705152703E-5</c:v>
                </c:pt>
                <c:pt idx="131">
                  <c:v>-3.6465308131864399E-3</c:v>
                </c:pt>
                <c:pt idx="132">
                  <c:v>-2.6826917386148599E-3</c:v>
                </c:pt>
                <c:pt idx="133">
                  <c:v>1.8558260253327601E-3</c:v>
                </c:pt>
                <c:pt idx="134">
                  <c:v>3.4775918184590899E-3</c:v>
                </c:pt>
                <c:pt idx="135">
                  <c:v>-8.6734997259831103E-4</c:v>
                </c:pt>
                <c:pt idx="136">
                  <c:v>3.9281585577556703E-4</c:v>
                </c:pt>
                <c:pt idx="137">
                  <c:v>-2.19231992344057E-3</c:v>
                </c:pt>
                <c:pt idx="138">
                  <c:v>-5.6827330031013396E-4</c:v>
                </c:pt>
                <c:pt idx="139">
                  <c:v>-2.6835912996265401E-3</c:v>
                </c:pt>
                <c:pt idx="140">
                  <c:v>-1.44909127072061E-3</c:v>
                </c:pt>
                <c:pt idx="141">
                  <c:v>-1.61238582151541E-3</c:v>
                </c:pt>
                <c:pt idx="142">
                  <c:v>-1.2184244627227901E-3</c:v>
                </c:pt>
                <c:pt idx="143">
                  <c:v>-2.72072932045501E-3</c:v>
                </c:pt>
                <c:pt idx="144">
                  <c:v>-3.2059629884326601E-3</c:v>
                </c:pt>
                <c:pt idx="145">
                  <c:v>-2.4978535575291999E-3</c:v>
                </c:pt>
                <c:pt idx="146">
                  <c:v>-2.47306877616056E-3</c:v>
                </c:pt>
                <c:pt idx="147">
                  <c:v>-4.9438632850270104E-3</c:v>
                </c:pt>
                <c:pt idx="148">
                  <c:v>-3.11421991723734E-3</c:v>
                </c:pt>
                <c:pt idx="149">
                  <c:v>-1.58553095548632E-3</c:v>
                </c:pt>
                <c:pt idx="150">
                  <c:v>-1.17090227821627E-3</c:v>
                </c:pt>
                <c:pt idx="151">
                  <c:v>-9.2782888425524705E-4</c:v>
                </c:pt>
                <c:pt idx="152">
                  <c:v>-2.17337555202103E-3</c:v>
                </c:pt>
                <c:pt idx="153">
                  <c:v>-1.7944096447263199E-3</c:v>
                </c:pt>
                <c:pt idx="154">
                  <c:v>-2.9914987337327798E-3</c:v>
                </c:pt>
                <c:pt idx="155">
                  <c:v>-2.6959019604076801E-3</c:v>
                </c:pt>
                <c:pt idx="156">
                  <c:v>-2.8354957482362901E-3</c:v>
                </c:pt>
                <c:pt idx="157">
                  <c:v>-3.14045397982753E-3</c:v>
                </c:pt>
                <c:pt idx="158">
                  <c:v>-1.53931628972218E-3</c:v>
                </c:pt>
                <c:pt idx="159">
                  <c:v>-3.23984207721917E-3</c:v>
                </c:pt>
                <c:pt idx="160">
                  <c:v>-3.7899836064482001E-3</c:v>
                </c:pt>
                <c:pt idx="161">
                  <c:v>-3.2569774440537901E-3</c:v>
                </c:pt>
                <c:pt idx="162">
                  <c:v>-2.37132023883743E-3</c:v>
                </c:pt>
                <c:pt idx="163">
                  <c:v>-1.8698546338065799E-3</c:v>
                </c:pt>
                <c:pt idx="164">
                  <c:v>-1.91851750768907E-3</c:v>
                </c:pt>
                <c:pt idx="165">
                  <c:v>-3.1681372544895602E-3</c:v>
                </c:pt>
                <c:pt idx="166">
                  <c:v>-2.9471669883485E-3</c:v>
                </c:pt>
                <c:pt idx="167">
                  <c:v>-4.1217251603439904E-3</c:v>
                </c:pt>
                <c:pt idx="168">
                  <c:v>-3.8822155349457401E-3</c:v>
                </c:pt>
                <c:pt idx="169">
                  <c:v>-1.4972298062346601E-3</c:v>
                </c:pt>
                <c:pt idx="170">
                  <c:v>-4.62946584754257E-4</c:v>
                </c:pt>
                <c:pt idx="171">
                  <c:v>9.4020959767496799E-5</c:v>
                </c:pt>
                <c:pt idx="172">
                  <c:v>-1.61154734277152E-3</c:v>
                </c:pt>
                <c:pt idx="173">
                  <c:v>-1.1461925752187701E-3</c:v>
                </c:pt>
                <c:pt idx="174">
                  <c:v>-2.6710380033032098E-3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00-4C07-9ED6-F3D69724DDF1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PFFD x 20 dma / PFF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-1.98858143125601E-4</c:v>
                </c:pt>
                <c:pt idx="21">
                  <c:v>9.3988741257657103E-4</c:v>
                </c:pt>
                <c:pt idx="22">
                  <c:v>-1.32106181051126E-3</c:v>
                </c:pt>
                <c:pt idx="23">
                  <c:v>3.13261543405004E-4</c:v>
                </c:pt>
                <c:pt idx="24">
                  <c:v>-1.8064352241274301E-3</c:v>
                </c:pt>
                <c:pt idx="25">
                  <c:v>-1.3260480430175E-3</c:v>
                </c:pt>
                <c:pt idx="26">
                  <c:v>-1.1169439612008301E-3</c:v>
                </c:pt>
                <c:pt idx="27">
                  <c:v>5.4481695626396401E-4</c:v>
                </c:pt>
                <c:pt idx="28">
                  <c:v>-3.9684010738795204E-3</c:v>
                </c:pt>
                <c:pt idx="29">
                  <c:v>-5.2469276030741099E-4</c:v>
                </c:pt>
                <c:pt idx="30">
                  <c:v>-2.30929155487598E-3</c:v>
                </c:pt>
                <c:pt idx="31">
                  <c:v>-1.45011795434091E-4</c:v>
                </c:pt>
                <c:pt idx="32">
                  <c:v>-2.5599207029331902E-3</c:v>
                </c:pt>
                <c:pt idx="33">
                  <c:v>-1.5893141995921799E-3</c:v>
                </c:pt>
                <c:pt idx="34">
                  <c:v>2.25575493624051E-4</c:v>
                </c:pt>
                <c:pt idx="35">
                  <c:v>1.97205732708271E-3</c:v>
                </c:pt>
                <c:pt idx="36">
                  <c:v>-7.0799489886440498E-4</c:v>
                </c:pt>
                <c:pt idx="37">
                  <c:v>-1.1218695752101E-3</c:v>
                </c:pt>
                <c:pt idx="38">
                  <c:v>2.6200832665600302E-4</c:v>
                </c:pt>
                <c:pt idx="39">
                  <c:v>-4.40301848322014E-3</c:v>
                </c:pt>
                <c:pt idx="40">
                  <c:v>-6.2803661608769297E-3</c:v>
                </c:pt>
                <c:pt idx="41">
                  <c:v>-6.1869695319757296E-3</c:v>
                </c:pt>
                <c:pt idx="42">
                  <c:v>-6.84375784797273E-3</c:v>
                </c:pt>
                <c:pt idx="43">
                  <c:v>-7.3361104410508901E-3</c:v>
                </c:pt>
                <c:pt idx="44">
                  <c:v>-7.8971229008769003E-3</c:v>
                </c:pt>
                <c:pt idx="45">
                  <c:v>-6.2611871565202201E-3</c:v>
                </c:pt>
                <c:pt idx="46">
                  <c:v>-7.0713371552892099E-3</c:v>
                </c:pt>
                <c:pt idx="47">
                  <c:v>-8.9725257863005406E-3</c:v>
                </c:pt>
                <c:pt idx="48">
                  <c:v>-7.7933561651582902E-3</c:v>
                </c:pt>
                <c:pt idx="49">
                  <c:v>-6.1917060411889801E-3</c:v>
                </c:pt>
                <c:pt idx="50">
                  <c:v>-6.23084720969327E-3</c:v>
                </c:pt>
                <c:pt idx="51">
                  <c:v>-4.7084992148468899E-3</c:v>
                </c:pt>
                <c:pt idx="52">
                  <c:v>-6.0163829578942299E-3</c:v>
                </c:pt>
                <c:pt idx="53">
                  <c:v>-6.8030527566099704E-3</c:v>
                </c:pt>
                <c:pt idx="54">
                  <c:v>-3.4158894044230802E-3</c:v>
                </c:pt>
                <c:pt idx="55">
                  <c:v>-3.6849936326346098E-4</c:v>
                </c:pt>
                <c:pt idx="56">
                  <c:v>-5.6992443419650305E-4</c:v>
                </c:pt>
                <c:pt idx="57">
                  <c:v>-1.2545800667945199E-3</c:v>
                </c:pt>
                <c:pt idx="58">
                  <c:v>-7.5170246553030501E-5</c:v>
                </c:pt>
                <c:pt idx="59">
                  <c:v>-2.1080101786841599E-3</c:v>
                </c:pt>
                <c:pt idx="60">
                  <c:v>3.69140711524107E-4</c:v>
                </c:pt>
                <c:pt idx="61">
                  <c:v>-2.00071597325214E-3</c:v>
                </c:pt>
                <c:pt idx="62">
                  <c:v>-1.75200487892338E-3</c:v>
                </c:pt>
                <c:pt idx="63">
                  <c:v>-1.12983245733663E-3</c:v>
                </c:pt>
                <c:pt idx="64">
                  <c:v>3.2419539249295198E-3</c:v>
                </c:pt>
                <c:pt idx="65">
                  <c:v>1.2905190862216201E-3</c:v>
                </c:pt>
                <c:pt idx="66">
                  <c:v>3.9497097697229902E-3</c:v>
                </c:pt>
                <c:pt idx="67">
                  <c:v>3.27569436577298E-3</c:v>
                </c:pt>
                <c:pt idx="68">
                  <c:v>1.86828974721393E-3</c:v>
                </c:pt>
                <c:pt idx="69">
                  <c:v>-1.36610768483963E-3</c:v>
                </c:pt>
                <c:pt idx="70">
                  <c:v>-1.15431705125748E-3</c:v>
                </c:pt>
                <c:pt idx="71">
                  <c:v>-4.9488019964556203E-3</c:v>
                </c:pt>
                <c:pt idx="72">
                  <c:v>-6.21030534361395E-3</c:v>
                </c:pt>
                <c:pt idx="73">
                  <c:v>-2.71881072305326E-3</c:v>
                </c:pt>
                <c:pt idx="74">
                  <c:v>-2.67667533647674E-3</c:v>
                </c:pt>
                <c:pt idx="75">
                  <c:v>-3.2434436798134498E-3</c:v>
                </c:pt>
                <c:pt idx="76">
                  <c:v>-7.4526516977119304E-4</c:v>
                </c:pt>
                <c:pt idx="77">
                  <c:v>1.0634191841977501E-3</c:v>
                </c:pt>
                <c:pt idx="78">
                  <c:v>-5.9871192626990098E-4</c:v>
                </c:pt>
                <c:pt idx="79">
                  <c:v>2.2194590280346402E-3</c:v>
                </c:pt>
                <c:pt idx="80">
                  <c:v>1.7069731862550299E-3</c:v>
                </c:pt>
                <c:pt idx="81">
                  <c:v>1.6981571521329599E-3</c:v>
                </c:pt>
                <c:pt idx="82">
                  <c:v>-1.8919521360642199E-3</c:v>
                </c:pt>
                <c:pt idx="83">
                  <c:v>-1.81823688022255E-3</c:v>
                </c:pt>
                <c:pt idx="84">
                  <c:v>-5.7113012797293302E-3</c:v>
                </c:pt>
                <c:pt idx="85">
                  <c:v>-3.48653644163926E-3</c:v>
                </c:pt>
                <c:pt idx="86">
                  <c:v>-4.55429884712926E-3</c:v>
                </c:pt>
                <c:pt idx="87">
                  <c:v>-3.0567340178774601E-3</c:v>
                </c:pt>
                <c:pt idx="88">
                  <c:v>-5.5786974970203299E-3</c:v>
                </c:pt>
                <c:pt idx="89">
                  <c:v>-5.5744795913852704E-4</c:v>
                </c:pt>
                <c:pt idx="90">
                  <c:v>-3.3834519091096699E-3</c:v>
                </c:pt>
                <c:pt idx="91">
                  <c:v>-2.6953409215106001E-3</c:v>
                </c:pt>
                <c:pt idx="92">
                  <c:v>-1.94185981956228E-3</c:v>
                </c:pt>
                <c:pt idx="93">
                  <c:v>-8.09591231674734E-4</c:v>
                </c:pt>
                <c:pt idx="94">
                  <c:v>-1.03499794029245E-3</c:v>
                </c:pt>
                <c:pt idx="95">
                  <c:v>3.91266280291341E-4</c:v>
                </c:pt>
                <c:pt idx="96">
                  <c:v>-2.8251819539559201E-4</c:v>
                </c:pt>
                <c:pt idx="97">
                  <c:v>-3.16698052419539E-3</c:v>
                </c:pt>
                <c:pt idx="98">
                  <c:v>-1.77666764894925E-3</c:v>
                </c:pt>
                <c:pt idx="99">
                  <c:v>-5.1989425270558098E-4</c:v>
                </c:pt>
                <c:pt idx="100">
                  <c:v>-1.09246659748195E-3</c:v>
                </c:pt>
                <c:pt idx="101">
                  <c:v>-1.6284366205105601E-3</c:v>
                </c:pt>
                <c:pt idx="102">
                  <c:v>-4.03310772372383E-4</c:v>
                </c:pt>
                <c:pt idx="103">
                  <c:v>-1.00647299565066E-3</c:v>
                </c:pt>
                <c:pt idx="104">
                  <c:v>5.4927741209802802E-5</c:v>
                </c:pt>
                <c:pt idx="105">
                  <c:v>2.53443389019764E-3</c:v>
                </c:pt>
                <c:pt idx="106">
                  <c:v>5.4072617487908696E-3</c:v>
                </c:pt>
                <c:pt idx="107">
                  <c:v>-5.1310665828105197E-5</c:v>
                </c:pt>
                <c:pt idx="108">
                  <c:v>9.2191758861173202E-4</c:v>
                </c:pt>
                <c:pt idx="109">
                  <c:v>1.92869947945454E-3</c:v>
                </c:pt>
                <c:pt idx="110">
                  <c:v>2.3612912204870298E-3</c:v>
                </c:pt>
                <c:pt idx="111">
                  <c:v>3.20429732420916E-3</c:v>
                </c:pt>
                <c:pt idx="112">
                  <c:v>1.41854968764842E-3</c:v>
                </c:pt>
                <c:pt idx="113">
                  <c:v>5.3409122489023299E-3</c:v>
                </c:pt>
                <c:pt idx="114">
                  <c:v>2.9893936062061499E-3</c:v>
                </c:pt>
                <c:pt idx="115">
                  <c:v>9.6748102357246198E-4</c:v>
                </c:pt>
                <c:pt idx="116">
                  <c:v>5.5420050132124797E-3</c:v>
                </c:pt>
                <c:pt idx="117">
                  <c:v>7.2085986373737598E-3</c:v>
                </c:pt>
                <c:pt idx="118">
                  <c:v>6.7280627519361504E-3</c:v>
                </c:pt>
                <c:pt idx="119">
                  <c:v>1.24962429841669E-2</c:v>
                </c:pt>
                <c:pt idx="120">
                  <c:v>1.38562716750579E-2</c:v>
                </c:pt>
                <c:pt idx="121">
                  <c:v>6.9164859480562099E-3</c:v>
                </c:pt>
                <c:pt idx="122">
                  <c:v>1.0753569698424699E-2</c:v>
                </c:pt>
                <c:pt idx="123">
                  <c:v>6.31593923039756E-3</c:v>
                </c:pt>
                <c:pt idx="124">
                  <c:v>3.7123654143574498E-3</c:v>
                </c:pt>
                <c:pt idx="125">
                  <c:v>5.9359264724998797E-3</c:v>
                </c:pt>
                <c:pt idx="126">
                  <c:v>5.4368116068246901E-3</c:v>
                </c:pt>
                <c:pt idx="127">
                  <c:v>2.1845534341073201E-3</c:v>
                </c:pt>
                <c:pt idx="128">
                  <c:v>4.5241154274156701E-3</c:v>
                </c:pt>
                <c:pt idx="129">
                  <c:v>2.9799092094391099E-3</c:v>
                </c:pt>
                <c:pt idx="130">
                  <c:v>3.3608263958899401E-3</c:v>
                </c:pt>
                <c:pt idx="131">
                  <c:v>-1.3228116349953401E-3</c:v>
                </c:pt>
                <c:pt idx="132">
                  <c:v>-8.6463503917241899E-4</c:v>
                </c:pt>
                <c:pt idx="133">
                  <c:v>2.6799414715829302E-3</c:v>
                </c:pt>
                <c:pt idx="134">
                  <c:v>4.0691232559407304E-3</c:v>
                </c:pt>
                <c:pt idx="135">
                  <c:v>-3.3239467520869897E-4</c:v>
                </c:pt>
                <c:pt idx="136">
                  <c:v>3.1047627822831399E-4</c:v>
                </c:pt>
                <c:pt idx="137">
                  <c:v>-2.60982344971923E-3</c:v>
                </c:pt>
                <c:pt idx="138">
                  <c:v>-1.0692912903918399E-3</c:v>
                </c:pt>
                <c:pt idx="139">
                  <c:v>-3.4710942998527599E-3</c:v>
                </c:pt>
                <c:pt idx="140">
                  <c:v>-2.2304248070874099E-3</c:v>
                </c:pt>
                <c:pt idx="141">
                  <c:v>-2.3235971088075001E-3</c:v>
                </c:pt>
                <c:pt idx="142">
                  <c:v>-1.76713786821308E-3</c:v>
                </c:pt>
                <c:pt idx="143">
                  <c:v>-2.9316294446429698E-3</c:v>
                </c:pt>
                <c:pt idx="144">
                  <c:v>-3.72337566146589E-3</c:v>
                </c:pt>
                <c:pt idx="145">
                  <c:v>-3.6406934190855202E-3</c:v>
                </c:pt>
                <c:pt idx="146">
                  <c:v>-3.7218892251278399E-3</c:v>
                </c:pt>
                <c:pt idx="147">
                  <c:v>-6.4231264529328799E-3</c:v>
                </c:pt>
                <c:pt idx="148">
                  <c:v>-4.8521963223619102E-3</c:v>
                </c:pt>
                <c:pt idx="149">
                  <c:v>-3.53396233173243E-3</c:v>
                </c:pt>
                <c:pt idx="150">
                  <c:v>-3.1018042072104598E-3</c:v>
                </c:pt>
                <c:pt idx="151">
                  <c:v>-2.8831298411795998E-3</c:v>
                </c:pt>
                <c:pt idx="152">
                  <c:v>-4.3202596513616598E-3</c:v>
                </c:pt>
                <c:pt idx="153">
                  <c:v>-4.2214830253781699E-3</c:v>
                </c:pt>
                <c:pt idx="154">
                  <c:v>-5.3654011965945598E-3</c:v>
                </c:pt>
                <c:pt idx="155">
                  <c:v>-4.91169791653272E-3</c:v>
                </c:pt>
                <c:pt idx="156">
                  <c:v>-5.0870319946000296E-3</c:v>
                </c:pt>
                <c:pt idx="157">
                  <c:v>-5.3674861042254298E-3</c:v>
                </c:pt>
                <c:pt idx="158">
                  <c:v>-3.6135541488627799E-3</c:v>
                </c:pt>
                <c:pt idx="159">
                  <c:v>-5.14214603585269E-3</c:v>
                </c:pt>
                <c:pt idx="160">
                  <c:v>-5.8250806931182796E-3</c:v>
                </c:pt>
                <c:pt idx="161">
                  <c:v>-5.4472301030442302E-3</c:v>
                </c:pt>
                <c:pt idx="162">
                  <c:v>-4.7353962455980404E-3</c:v>
                </c:pt>
                <c:pt idx="163">
                  <c:v>-4.2179901679100899E-3</c:v>
                </c:pt>
                <c:pt idx="164">
                  <c:v>-4.3086206144962403E-3</c:v>
                </c:pt>
                <c:pt idx="165">
                  <c:v>-5.51690136583114E-3</c:v>
                </c:pt>
                <c:pt idx="166">
                  <c:v>-5.3229529409419196E-3</c:v>
                </c:pt>
                <c:pt idx="167">
                  <c:v>-6.4974546752820904E-3</c:v>
                </c:pt>
                <c:pt idx="168">
                  <c:v>-6.41175875693859E-3</c:v>
                </c:pt>
                <c:pt idx="169">
                  <c:v>-4.2675721354122498E-3</c:v>
                </c:pt>
                <c:pt idx="170">
                  <c:v>-3.1504990981290298E-3</c:v>
                </c:pt>
                <c:pt idx="171">
                  <c:v>-2.3621177636108399E-3</c:v>
                </c:pt>
                <c:pt idx="172">
                  <c:v>-3.8109997099472302E-3</c:v>
                </c:pt>
                <c:pt idx="173">
                  <c:v>-3.2814110965139701E-3</c:v>
                </c:pt>
                <c:pt idx="174">
                  <c:v>-4.7451281452416299E-3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00-4C07-9ED6-F3D69724D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4.8119003621975055E-4</c:v>
                </c:pt>
                <c:pt idx="29">
                  <c:v>1.6386078026838103E-3</c:v>
                </c:pt>
                <c:pt idx="30">
                  <c:v>1.0550799435116304E-3</c:v>
                </c:pt>
                <c:pt idx="31">
                  <c:v>2.0953953907608003E-3</c:v>
                </c:pt>
                <c:pt idx="32">
                  <c:v>2.0953953907608003E-3</c:v>
                </c:pt>
                <c:pt idx="33">
                  <c:v>2.0953953907608003E-3</c:v>
                </c:pt>
                <c:pt idx="34">
                  <c:v>4.8716934958129504E-3</c:v>
                </c:pt>
                <c:pt idx="35">
                  <c:v>4.8716934958129504E-3</c:v>
                </c:pt>
                <c:pt idx="36">
                  <c:v>4.8716934958129504E-3</c:v>
                </c:pt>
                <c:pt idx="37">
                  <c:v>4.8716934958129504E-3</c:v>
                </c:pt>
                <c:pt idx="38">
                  <c:v>4.8716934958129504E-3</c:v>
                </c:pt>
                <c:pt idx="39">
                  <c:v>4.8716934958129504E-3</c:v>
                </c:pt>
                <c:pt idx="40">
                  <c:v>4.8716934958129504E-3</c:v>
                </c:pt>
                <c:pt idx="41">
                  <c:v>4.8716934958129504E-3</c:v>
                </c:pt>
                <c:pt idx="42">
                  <c:v>4.8716934958129504E-3</c:v>
                </c:pt>
                <c:pt idx="43">
                  <c:v>4.8716934958129504E-3</c:v>
                </c:pt>
                <c:pt idx="44">
                  <c:v>4.8716934958129504E-3</c:v>
                </c:pt>
                <c:pt idx="45">
                  <c:v>4.8716934958129504E-3</c:v>
                </c:pt>
                <c:pt idx="46">
                  <c:v>4.8716934958129504E-3</c:v>
                </c:pt>
                <c:pt idx="47">
                  <c:v>4.8716934958129504E-3</c:v>
                </c:pt>
                <c:pt idx="48">
                  <c:v>4.8716934958129504E-3</c:v>
                </c:pt>
                <c:pt idx="49">
                  <c:v>4.8716934958129504E-3</c:v>
                </c:pt>
                <c:pt idx="50">
                  <c:v>4.8716934958129504E-3</c:v>
                </c:pt>
                <c:pt idx="51">
                  <c:v>4.8716934958129504E-3</c:v>
                </c:pt>
                <c:pt idx="52">
                  <c:v>4.8716934958129504E-3</c:v>
                </c:pt>
                <c:pt idx="53">
                  <c:v>8.1412832384008382E-3</c:v>
                </c:pt>
                <c:pt idx="54">
                  <c:v>8.1412832384008382E-3</c:v>
                </c:pt>
                <c:pt idx="55">
                  <c:v>8.1412832384008382E-3</c:v>
                </c:pt>
                <c:pt idx="56">
                  <c:v>8.1412832384008382E-3</c:v>
                </c:pt>
                <c:pt idx="57">
                  <c:v>8.1412832384008382E-3</c:v>
                </c:pt>
                <c:pt idx="58">
                  <c:v>8.1412832384008382E-3</c:v>
                </c:pt>
                <c:pt idx="59">
                  <c:v>8.1412832384008382E-3</c:v>
                </c:pt>
                <c:pt idx="60">
                  <c:v>8.1412832384008382E-3</c:v>
                </c:pt>
                <c:pt idx="61">
                  <c:v>8.1412832384008382E-3</c:v>
                </c:pt>
                <c:pt idx="62">
                  <c:v>8.1412832384008382E-3</c:v>
                </c:pt>
                <c:pt idx="63">
                  <c:v>8.1412832384008382E-3</c:v>
                </c:pt>
                <c:pt idx="64">
                  <c:v>8.1412832384008382E-3</c:v>
                </c:pt>
                <c:pt idx="65">
                  <c:v>8.1412832384008382E-3</c:v>
                </c:pt>
                <c:pt idx="66">
                  <c:v>8.1412832384008382E-3</c:v>
                </c:pt>
                <c:pt idx="67">
                  <c:v>8.1412832384008382E-3</c:v>
                </c:pt>
                <c:pt idx="68">
                  <c:v>8.1412832384008382E-3</c:v>
                </c:pt>
                <c:pt idx="69">
                  <c:v>8.1412832384008382E-3</c:v>
                </c:pt>
                <c:pt idx="70">
                  <c:v>8.1412832384008382E-3</c:v>
                </c:pt>
                <c:pt idx="71">
                  <c:v>8.1412832384008382E-3</c:v>
                </c:pt>
                <c:pt idx="72">
                  <c:v>8.1412832384008382E-3</c:v>
                </c:pt>
                <c:pt idx="73">
                  <c:v>8.1412832384008382E-3</c:v>
                </c:pt>
                <c:pt idx="74">
                  <c:v>8.1412832384008382E-3</c:v>
                </c:pt>
                <c:pt idx="75">
                  <c:v>8.1412832384008382E-3</c:v>
                </c:pt>
                <c:pt idx="76">
                  <c:v>8.1412832384008382E-3</c:v>
                </c:pt>
                <c:pt idx="77">
                  <c:v>8.1412832384008382E-3</c:v>
                </c:pt>
                <c:pt idx="78">
                  <c:v>8.1412832384008382E-3</c:v>
                </c:pt>
                <c:pt idx="79">
                  <c:v>8.1412832384008382E-3</c:v>
                </c:pt>
                <c:pt idx="80">
                  <c:v>8.1412832384008382E-3</c:v>
                </c:pt>
                <c:pt idx="81">
                  <c:v>8.1412832384008382E-3</c:v>
                </c:pt>
                <c:pt idx="82">
                  <c:v>8.1412832384008382E-3</c:v>
                </c:pt>
                <c:pt idx="83">
                  <c:v>8.1412832384008382E-3</c:v>
                </c:pt>
                <c:pt idx="84">
                  <c:v>8.1412832384008382E-3</c:v>
                </c:pt>
                <c:pt idx="85">
                  <c:v>8.1412832384008382E-3</c:v>
                </c:pt>
                <c:pt idx="86">
                  <c:v>8.1412832384008382E-3</c:v>
                </c:pt>
                <c:pt idx="87">
                  <c:v>8.1412832384008382E-3</c:v>
                </c:pt>
                <c:pt idx="88">
                  <c:v>8.1412832384008382E-3</c:v>
                </c:pt>
                <c:pt idx="89">
                  <c:v>8.1412832384008382E-3</c:v>
                </c:pt>
                <c:pt idx="90">
                  <c:v>8.1412832384008382E-3</c:v>
                </c:pt>
                <c:pt idx="91">
                  <c:v>8.1412832384008382E-3</c:v>
                </c:pt>
                <c:pt idx="92">
                  <c:v>8.1412832384008382E-3</c:v>
                </c:pt>
                <c:pt idx="93">
                  <c:v>8.1412832384008382E-3</c:v>
                </c:pt>
                <c:pt idx="94">
                  <c:v>8.1412832384008382E-3</c:v>
                </c:pt>
                <c:pt idx="95">
                  <c:v>8.1412832384008382E-3</c:v>
                </c:pt>
                <c:pt idx="96">
                  <c:v>8.1412832384008382E-3</c:v>
                </c:pt>
                <c:pt idx="97">
                  <c:v>8.1412832384008382E-3</c:v>
                </c:pt>
                <c:pt idx="98">
                  <c:v>8.1412832384008382E-3</c:v>
                </c:pt>
                <c:pt idx="99">
                  <c:v>8.1412832384008382E-3</c:v>
                </c:pt>
                <c:pt idx="100">
                  <c:v>8.1412832384008382E-3</c:v>
                </c:pt>
                <c:pt idx="101">
                  <c:v>8.1412832384008382E-3</c:v>
                </c:pt>
                <c:pt idx="102">
                  <c:v>8.1412832384008382E-3</c:v>
                </c:pt>
                <c:pt idx="103">
                  <c:v>8.1412832384008382E-3</c:v>
                </c:pt>
                <c:pt idx="104">
                  <c:v>8.1412832384008382E-3</c:v>
                </c:pt>
                <c:pt idx="105">
                  <c:v>8.1412832384008382E-3</c:v>
                </c:pt>
                <c:pt idx="106">
                  <c:v>8.1412832384008382E-3</c:v>
                </c:pt>
                <c:pt idx="107">
                  <c:v>8.1412832384008382E-3</c:v>
                </c:pt>
                <c:pt idx="108">
                  <c:v>8.1412832384008382E-3</c:v>
                </c:pt>
                <c:pt idx="109">
                  <c:v>8.1412832384008382E-3</c:v>
                </c:pt>
                <c:pt idx="110">
                  <c:v>8.1412832384008382E-3</c:v>
                </c:pt>
                <c:pt idx="111">
                  <c:v>8.1412832384008382E-3</c:v>
                </c:pt>
                <c:pt idx="112">
                  <c:v>8.1412832384008382E-3</c:v>
                </c:pt>
                <c:pt idx="113">
                  <c:v>8.1412832384008382E-3</c:v>
                </c:pt>
                <c:pt idx="114">
                  <c:v>8.1412832384008382E-3</c:v>
                </c:pt>
                <c:pt idx="115">
                  <c:v>8.1412832384008382E-3</c:v>
                </c:pt>
                <c:pt idx="116">
                  <c:v>8.1412832384008382E-3</c:v>
                </c:pt>
                <c:pt idx="117">
                  <c:v>8.1412832384008382E-3</c:v>
                </c:pt>
                <c:pt idx="118">
                  <c:v>8.1412832384008382E-3</c:v>
                </c:pt>
                <c:pt idx="119">
                  <c:v>8.1412832384008382E-3</c:v>
                </c:pt>
                <c:pt idx="120">
                  <c:v>8.1412832384008382E-3</c:v>
                </c:pt>
                <c:pt idx="121">
                  <c:v>8.1412832384008382E-3</c:v>
                </c:pt>
                <c:pt idx="122">
                  <c:v>8.1412832384008382E-3</c:v>
                </c:pt>
                <c:pt idx="123">
                  <c:v>8.1412832384008382E-3</c:v>
                </c:pt>
                <c:pt idx="124">
                  <c:v>8.1412832384008382E-3</c:v>
                </c:pt>
                <c:pt idx="125">
                  <c:v>8.1412832384008382E-3</c:v>
                </c:pt>
                <c:pt idx="126">
                  <c:v>8.1412832384008382E-3</c:v>
                </c:pt>
                <c:pt idx="127">
                  <c:v>8.1412832384008382E-3</c:v>
                </c:pt>
                <c:pt idx="128">
                  <c:v>9.3986696690794985E-3</c:v>
                </c:pt>
                <c:pt idx="129">
                  <c:v>1.0324985346694619E-2</c:v>
                </c:pt>
                <c:pt idx="130">
                  <c:v>1.0324985346694619E-2</c:v>
                </c:pt>
                <c:pt idx="131">
                  <c:v>1.0324985346694619E-2</c:v>
                </c:pt>
                <c:pt idx="132">
                  <c:v>1.0324985346694619E-2</c:v>
                </c:pt>
                <c:pt idx="133">
                  <c:v>1.0324985346694619E-2</c:v>
                </c:pt>
                <c:pt idx="134">
                  <c:v>1.0324985346694619E-2</c:v>
                </c:pt>
                <c:pt idx="135">
                  <c:v>1.0324985346694619E-2</c:v>
                </c:pt>
                <c:pt idx="136">
                  <c:v>1.0324985346694619E-2</c:v>
                </c:pt>
                <c:pt idx="137">
                  <c:v>1.0324985346694619E-2</c:v>
                </c:pt>
                <c:pt idx="138">
                  <c:v>1.0324985346694619E-2</c:v>
                </c:pt>
                <c:pt idx="139">
                  <c:v>1.0324985346694619E-2</c:v>
                </c:pt>
                <c:pt idx="140">
                  <c:v>1.0324985346694619E-2</c:v>
                </c:pt>
                <c:pt idx="141">
                  <c:v>1.0188575045556779E-2</c:v>
                </c:pt>
                <c:pt idx="142">
                  <c:v>1.0403077414094443E-2</c:v>
                </c:pt>
                <c:pt idx="143">
                  <c:v>1.0411540801480683E-2</c:v>
                </c:pt>
                <c:pt idx="144">
                  <c:v>9.8855149148332922E-3</c:v>
                </c:pt>
                <c:pt idx="145">
                  <c:v>8.2646457128322526E-3</c:v>
                </c:pt>
                <c:pt idx="146">
                  <c:v>8.2646457128322526E-3</c:v>
                </c:pt>
                <c:pt idx="147">
                  <c:v>8.2646457128322526E-3</c:v>
                </c:pt>
                <c:pt idx="148">
                  <c:v>7.9297615698082635E-3</c:v>
                </c:pt>
                <c:pt idx="149">
                  <c:v>9.5740480460590038E-3</c:v>
                </c:pt>
                <c:pt idx="150">
                  <c:v>1.0227980880738221E-2</c:v>
                </c:pt>
                <c:pt idx="151">
                  <c:v>1.0227980880738221E-2</c:v>
                </c:pt>
                <c:pt idx="152">
                  <c:v>1.0227980880738221E-2</c:v>
                </c:pt>
                <c:pt idx="153">
                  <c:v>1.0227980880738221E-2</c:v>
                </c:pt>
                <c:pt idx="154">
                  <c:v>1.0227980880738221E-2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3B-449B-939C-C73575883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5.1074738370055026E-4</c:v>
                </c:pt>
                <c:pt idx="48">
                  <c:v>1.66053103388452E-3</c:v>
                </c:pt>
                <c:pt idx="49">
                  <c:v>4.7187128644676692E-3</c:v>
                </c:pt>
                <c:pt idx="50">
                  <c:v>4.7187128644676692E-3</c:v>
                </c:pt>
                <c:pt idx="51">
                  <c:v>4.7187128644676692E-3</c:v>
                </c:pt>
                <c:pt idx="52">
                  <c:v>4.7187128644676692E-3</c:v>
                </c:pt>
                <c:pt idx="53">
                  <c:v>4.7187128644676692E-3</c:v>
                </c:pt>
                <c:pt idx="54">
                  <c:v>4.7187128644676692E-3</c:v>
                </c:pt>
                <c:pt idx="55">
                  <c:v>4.7187128644676692E-3</c:v>
                </c:pt>
                <c:pt idx="56">
                  <c:v>4.7187128644676692E-3</c:v>
                </c:pt>
                <c:pt idx="57">
                  <c:v>4.7187128644676692E-3</c:v>
                </c:pt>
                <c:pt idx="58">
                  <c:v>4.7187128644676692E-3</c:v>
                </c:pt>
                <c:pt idx="59">
                  <c:v>4.7187128644676692E-3</c:v>
                </c:pt>
                <c:pt idx="60">
                  <c:v>4.7187128644676692E-3</c:v>
                </c:pt>
                <c:pt idx="61">
                  <c:v>4.7187128644676692E-3</c:v>
                </c:pt>
                <c:pt idx="62">
                  <c:v>4.7187128644676692E-3</c:v>
                </c:pt>
                <c:pt idx="63">
                  <c:v>4.7187128644676692E-3</c:v>
                </c:pt>
                <c:pt idx="64">
                  <c:v>4.7187128644676692E-3</c:v>
                </c:pt>
                <c:pt idx="65">
                  <c:v>4.7187128644676692E-3</c:v>
                </c:pt>
                <c:pt idx="66">
                  <c:v>4.7187128644676692E-3</c:v>
                </c:pt>
                <c:pt idx="67">
                  <c:v>4.7187128644676692E-3</c:v>
                </c:pt>
                <c:pt idx="68">
                  <c:v>4.7187128644676692E-3</c:v>
                </c:pt>
                <c:pt idx="69">
                  <c:v>4.7187128644676692E-3</c:v>
                </c:pt>
                <c:pt idx="70">
                  <c:v>4.7187128644676692E-3</c:v>
                </c:pt>
                <c:pt idx="71">
                  <c:v>4.7187128644676692E-3</c:v>
                </c:pt>
                <c:pt idx="72">
                  <c:v>4.7187128644676692E-3</c:v>
                </c:pt>
                <c:pt idx="73">
                  <c:v>4.7187128644676692E-3</c:v>
                </c:pt>
                <c:pt idx="74">
                  <c:v>4.7187128644676692E-3</c:v>
                </c:pt>
                <c:pt idx="75">
                  <c:v>4.7187128644676692E-3</c:v>
                </c:pt>
                <c:pt idx="76">
                  <c:v>4.7187128644676692E-3</c:v>
                </c:pt>
                <c:pt idx="77">
                  <c:v>4.7187128644676692E-3</c:v>
                </c:pt>
                <c:pt idx="78">
                  <c:v>4.7187128644676692E-3</c:v>
                </c:pt>
                <c:pt idx="79">
                  <c:v>4.7187128644676692E-3</c:v>
                </c:pt>
                <c:pt idx="80">
                  <c:v>4.7187128644676692E-3</c:v>
                </c:pt>
                <c:pt idx="81">
                  <c:v>4.7187128644676692E-3</c:v>
                </c:pt>
                <c:pt idx="82">
                  <c:v>4.7187128644676692E-3</c:v>
                </c:pt>
                <c:pt idx="83">
                  <c:v>4.7187128644676692E-3</c:v>
                </c:pt>
                <c:pt idx="84">
                  <c:v>4.7187128644676692E-3</c:v>
                </c:pt>
                <c:pt idx="85">
                  <c:v>4.7187128644676692E-3</c:v>
                </c:pt>
                <c:pt idx="86">
                  <c:v>4.7187128644676692E-3</c:v>
                </c:pt>
                <c:pt idx="87">
                  <c:v>9.8630816545023491E-3</c:v>
                </c:pt>
                <c:pt idx="88">
                  <c:v>9.8630816545023491E-3</c:v>
                </c:pt>
                <c:pt idx="89">
                  <c:v>9.8630816545023491E-3</c:v>
                </c:pt>
                <c:pt idx="90">
                  <c:v>9.8630816545023491E-3</c:v>
                </c:pt>
                <c:pt idx="91">
                  <c:v>9.8630816545023491E-3</c:v>
                </c:pt>
                <c:pt idx="92">
                  <c:v>9.8630816545023491E-3</c:v>
                </c:pt>
                <c:pt idx="93">
                  <c:v>9.8630816545023491E-3</c:v>
                </c:pt>
                <c:pt idx="94">
                  <c:v>1.1945593715168158E-2</c:v>
                </c:pt>
                <c:pt idx="95">
                  <c:v>1.3788128574291838E-2</c:v>
                </c:pt>
                <c:pt idx="96">
                  <c:v>1.3788128574291838E-2</c:v>
                </c:pt>
                <c:pt idx="97">
                  <c:v>1.1840708289896279E-2</c:v>
                </c:pt>
                <c:pt idx="98">
                  <c:v>1.1793400387797939E-2</c:v>
                </c:pt>
                <c:pt idx="99">
                  <c:v>5.5472435930996791E-3</c:v>
                </c:pt>
                <c:pt idx="100">
                  <c:v>3.4519999594230378E-3</c:v>
                </c:pt>
                <c:pt idx="101">
                  <c:v>9.5091768460635485E-3</c:v>
                </c:pt>
                <c:pt idx="102">
                  <c:v>5.0459962221308299E-3</c:v>
                </c:pt>
                <c:pt idx="103">
                  <c:v>5.0459962221308299E-3</c:v>
                </c:pt>
                <c:pt idx="104">
                  <c:v>6.9874713114256234E-3</c:v>
                </c:pt>
                <c:pt idx="105">
                  <c:v>4.2423985637483324E-3</c:v>
                </c:pt>
                <c:pt idx="106">
                  <c:v>4.2108265174263223E-3</c:v>
                </c:pt>
                <c:pt idx="107">
                  <c:v>7.0797406765240722E-3</c:v>
                </c:pt>
                <c:pt idx="108">
                  <c:v>4.2410053762956222E-3</c:v>
                </c:pt>
                <c:pt idx="109">
                  <c:v>5.1936275793342543E-3</c:v>
                </c:pt>
                <c:pt idx="110">
                  <c:v>4.3292023307355144E-3</c:v>
                </c:pt>
                <c:pt idx="111">
                  <c:v>8.5095972426362139E-3</c:v>
                </c:pt>
                <c:pt idx="112">
                  <c:v>8.5095972426362139E-3</c:v>
                </c:pt>
                <c:pt idx="113">
                  <c:v>8.5095972426362139E-3</c:v>
                </c:pt>
                <c:pt idx="114">
                  <c:v>8.5095972426362139E-3</c:v>
                </c:pt>
                <c:pt idx="115">
                  <c:v>1.2373710160373273E-2</c:v>
                </c:pt>
                <c:pt idx="116">
                  <c:v>1.2373710160373273E-2</c:v>
                </c:pt>
                <c:pt idx="117">
                  <c:v>1.2373710160373273E-2</c:v>
                </c:pt>
                <c:pt idx="118">
                  <c:v>1.2373710160373273E-2</c:v>
                </c:pt>
                <c:pt idx="119">
                  <c:v>1.2373710160373273E-2</c:v>
                </c:pt>
                <c:pt idx="120">
                  <c:v>1.2373710160373273E-2</c:v>
                </c:pt>
                <c:pt idx="121">
                  <c:v>1.2373710160373273E-2</c:v>
                </c:pt>
                <c:pt idx="122">
                  <c:v>1.2373710160373273E-2</c:v>
                </c:pt>
                <c:pt idx="123">
                  <c:v>1.2373710160373273E-2</c:v>
                </c:pt>
                <c:pt idx="124">
                  <c:v>1.2373710160373273E-2</c:v>
                </c:pt>
                <c:pt idx="125">
                  <c:v>1.2373710160373273E-2</c:v>
                </c:pt>
                <c:pt idx="126">
                  <c:v>1.2373710160373273E-2</c:v>
                </c:pt>
                <c:pt idx="127">
                  <c:v>1.2373710160373273E-2</c:v>
                </c:pt>
                <c:pt idx="128">
                  <c:v>1.2373710160373273E-2</c:v>
                </c:pt>
                <c:pt idx="129">
                  <c:v>1.2373710160373273E-2</c:v>
                </c:pt>
                <c:pt idx="130">
                  <c:v>1.2373710160373273E-2</c:v>
                </c:pt>
                <c:pt idx="131">
                  <c:v>1.2373710160373273E-2</c:v>
                </c:pt>
                <c:pt idx="132">
                  <c:v>1.2373710160373273E-2</c:v>
                </c:pt>
                <c:pt idx="133">
                  <c:v>1.2373710160373273E-2</c:v>
                </c:pt>
                <c:pt idx="134">
                  <c:v>1.2373710160373273E-2</c:v>
                </c:pt>
                <c:pt idx="135">
                  <c:v>1.2373710160373273E-2</c:v>
                </c:pt>
                <c:pt idx="136">
                  <c:v>1.2373710160373273E-2</c:v>
                </c:pt>
                <c:pt idx="137">
                  <c:v>1.2373710160373273E-2</c:v>
                </c:pt>
                <c:pt idx="138">
                  <c:v>1.2373710160373273E-2</c:v>
                </c:pt>
                <c:pt idx="139">
                  <c:v>1.2373710160373273E-2</c:v>
                </c:pt>
                <c:pt idx="140">
                  <c:v>1.2373710160373273E-2</c:v>
                </c:pt>
                <c:pt idx="141">
                  <c:v>1.2373710160373273E-2</c:v>
                </c:pt>
                <c:pt idx="142">
                  <c:v>1.2373710160373273E-2</c:v>
                </c:pt>
                <c:pt idx="143">
                  <c:v>1.2373710160373273E-2</c:v>
                </c:pt>
                <c:pt idx="144">
                  <c:v>1.2373710160373273E-2</c:v>
                </c:pt>
                <c:pt idx="145">
                  <c:v>1.2373710160373273E-2</c:v>
                </c:pt>
                <c:pt idx="146">
                  <c:v>1.2373710160373273E-2</c:v>
                </c:pt>
                <c:pt idx="147">
                  <c:v>1.2373710160373273E-2</c:v>
                </c:pt>
                <c:pt idx="148">
                  <c:v>1.2373710160373273E-2</c:v>
                </c:pt>
                <c:pt idx="149">
                  <c:v>1.2373710160373273E-2</c:v>
                </c:pt>
                <c:pt idx="150">
                  <c:v>1.2373710160373273E-2</c:v>
                </c:pt>
                <c:pt idx="151">
                  <c:v>1.2373710160373273E-2</c:v>
                </c:pt>
                <c:pt idx="152">
                  <c:v>1.2373710160373273E-2</c:v>
                </c:pt>
                <c:pt idx="153">
                  <c:v>1.2373710160373273E-2</c:v>
                </c:pt>
                <c:pt idx="154">
                  <c:v>1.2373710160373273E-2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14-4909-A456-410C3DF91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4.8119003621975055E-4</c:v>
                </c:pt>
                <c:pt idx="29">
                  <c:v>1.6386078026838103E-3</c:v>
                </c:pt>
                <c:pt idx="30">
                  <c:v>1.0550799435116304E-3</c:v>
                </c:pt>
                <c:pt idx="31">
                  <c:v>2.0953953907608003E-3</c:v>
                </c:pt>
                <c:pt idx="32">
                  <c:v>2.0953953907608003E-3</c:v>
                </c:pt>
                <c:pt idx="33">
                  <c:v>2.0953953907608003E-3</c:v>
                </c:pt>
                <c:pt idx="34">
                  <c:v>4.8716934958129504E-3</c:v>
                </c:pt>
                <c:pt idx="35">
                  <c:v>4.8716934958129504E-3</c:v>
                </c:pt>
                <c:pt idx="36">
                  <c:v>4.8716934958129504E-3</c:v>
                </c:pt>
                <c:pt idx="37">
                  <c:v>4.8716934958129504E-3</c:v>
                </c:pt>
                <c:pt idx="38">
                  <c:v>4.8716934958129504E-3</c:v>
                </c:pt>
                <c:pt idx="39">
                  <c:v>4.8716934958129504E-3</c:v>
                </c:pt>
                <c:pt idx="40">
                  <c:v>4.8716934958129504E-3</c:v>
                </c:pt>
                <c:pt idx="41">
                  <c:v>4.8716934958129504E-3</c:v>
                </c:pt>
                <c:pt idx="42">
                  <c:v>4.8716934958129504E-3</c:v>
                </c:pt>
                <c:pt idx="43">
                  <c:v>4.8716934958129504E-3</c:v>
                </c:pt>
                <c:pt idx="44">
                  <c:v>4.8716934958129504E-3</c:v>
                </c:pt>
                <c:pt idx="45">
                  <c:v>4.8716934958129504E-3</c:v>
                </c:pt>
                <c:pt idx="46">
                  <c:v>4.8716934958129504E-3</c:v>
                </c:pt>
                <c:pt idx="47">
                  <c:v>5.3824408795135007E-3</c:v>
                </c:pt>
                <c:pt idx="48">
                  <c:v>6.5322245296974705E-3</c:v>
                </c:pt>
                <c:pt idx="49">
                  <c:v>9.5904063602806205E-3</c:v>
                </c:pt>
                <c:pt idx="50">
                  <c:v>9.5904063602806205E-3</c:v>
                </c:pt>
                <c:pt idx="51">
                  <c:v>9.5904063602806205E-3</c:v>
                </c:pt>
                <c:pt idx="52">
                  <c:v>9.5904063602806205E-3</c:v>
                </c:pt>
                <c:pt idx="53">
                  <c:v>1.2859996102868507E-2</c:v>
                </c:pt>
                <c:pt idx="54">
                  <c:v>1.2859996102868507E-2</c:v>
                </c:pt>
                <c:pt idx="55">
                  <c:v>1.2859996102868507E-2</c:v>
                </c:pt>
                <c:pt idx="56">
                  <c:v>1.2859996102868507E-2</c:v>
                </c:pt>
                <c:pt idx="57">
                  <c:v>1.2859996102868507E-2</c:v>
                </c:pt>
                <c:pt idx="58">
                  <c:v>1.2859996102868507E-2</c:v>
                </c:pt>
                <c:pt idx="59">
                  <c:v>1.2859996102868507E-2</c:v>
                </c:pt>
                <c:pt idx="60">
                  <c:v>1.2859996102868507E-2</c:v>
                </c:pt>
                <c:pt idx="61">
                  <c:v>1.2859996102868507E-2</c:v>
                </c:pt>
                <c:pt idx="62">
                  <c:v>1.2859996102868507E-2</c:v>
                </c:pt>
                <c:pt idx="63">
                  <c:v>1.2859996102868507E-2</c:v>
                </c:pt>
                <c:pt idx="64">
                  <c:v>1.2859996102868507E-2</c:v>
                </c:pt>
                <c:pt idx="65">
                  <c:v>1.2859996102868507E-2</c:v>
                </c:pt>
                <c:pt idx="66">
                  <c:v>1.2859996102868507E-2</c:v>
                </c:pt>
                <c:pt idx="67">
                  <c:v>1.2859996102868507E-2</c:v>
                </c:pt>
                <c:pt idx="68">
                  <c:v>1.2859996102868507E-2</c:v>
                </c:pt>
                <c:pt idx="69">
                  <c:v>1.2859996102868507E-2</c:v>
                </c:pt>
                <c:pt idx="70">
                  <c:v>1.2859996102868507E-2</c:v>
                </c:pt>
                <c:pt idx="71">
                  <c:v>1.2859996102868507E-2</c:v>
                </c:pt>
                <c:pt idx="72">
                  <c:v>1.2859996102868507E-2</c:v>
                </c:pt>
                <c:pt idx="73">
                  <c:v>1.2859996102868507E-2</c:v>
                </c:pt>
                <c:pt idx="74">
                  <c:v>1.2859996102868507E-2</c:v>
                </c:pt>
                <c:pt idx="75">
                  <c:v>1.2859996102868507E-2</c:v>
                </c:pt>
                <c:pt idx="76">
                  <c:v>1.2859996102868507E-2</c:v>
                </c:pt>
                <c:pt idx="77">
                  <c:v>1.2859996102868507E-2</c:v>
                </c:pt>
                <c:pt idx="78">
                  <c:v>1.2859996102868507E-2</c:v>
                </c:pt>
                <c:pt idx="79">
                  <c:v>1.2859996102868507E-2</c:v>
                </c:pt>
                <c:pt idx="80">
                  <c:v>1.2859996102868507E-2</c:v>
                </c:pt>
                <c:pt idx="81">
                  <c:v>1.2859996102868507E-2</c:v>
                </c:pt>
                <c:pt idx="82">
                  <c:v>1.2859996102868507E-2</c:v>
                </c:pt>
                <c:pt idx="83">
                  <c:v>1.2859996102868507E-2</c:v>
                </c:pt>
                <c:pt idx="84">
                  <c:v>1.2859996102868507E-2</c:v>
                </c:pt>
                <c:pt idx="85">
                  <c:v>1.2859996102868507E-2</c:v>
                </c:pt>
                <c:pt idx="86">
                  <c:v>1.2859996102868507E-2</c:v>
                </c:pt>
                <c:pt idx="87">
                  <c:v>1.8004364892903187E-2</c:v>
                </c:pt>
                <c:pt idx="88">
                  <c:v>1.8004364892903187E-2</c:v>
                </c:pt>
                <c:pt idx="89">
                  <c:v>1.8004364892903187E-2</c:v>
                </c:pt>
                <c:pt idx="90">
                  <c:v>1.8004364892903187E-2</c:v>
                </c:pt>
                <c:pt idx="91">
                  <c:v>1.8004364892903187E-2</c:v>
                </c:pt>
                <c:pt idx="92">
                  <c:v>1.8004364892903187E-2</c:v>
                </c:pt>
                <c:pt idx="93">
                  <c:v>1.8004364892903187E-2</c:v>
                </c:pt>
                <c:pt idx="94">
                  <c:v>2.0086876953568998E-2</c:v>
                </c:pt>
                <c:pt idx="95">
                  <c:v>2.1929411812692676E-2</c:v>
                </c:pt>
                <c:pt idx="96">
                  <c:v>2.1929411812692676E-2</c:v>
                </c:pt>
                <c:pt idx="97">
                  <c:v>1.9981991528297115E-2</c:v>
                </c:pt>
                <c:pt idx="98">
                  <c:v>1.9934683626198775E-2</c:v>
                </c:pt>
                <c:pt idx="99">
                  <c:v>1.3688526831500515E-2</c:v>
                </c:pt>
                <c:pt idx="100">
                  <c:v>1.1593283197823875E-2</c:v>
                </c:pt>
                <c:pt idx="101">
                  <c:v>1.7650460084464387E-2</c:v>
                </c:pt>
                <c:pt idx="102">
                  <c:v>1.3187279460531668E-2</c:v>
                </c:pt>
                <c:pt idx="103">
                  <c:v>1.3187279460531668E-2</c:v>
                </c:pt>
                <c:pt idx="104">
                  <c:v>1.5128754549826462E-2</c:v>
                </c:pt>
                <c:pt idx="105">
                  <c:v>1.2383681802149171E-2</c:v>
                </c:pt>
                <c:pt idx="106">
                  <c:v>1.2352109755827161E-2</c:v>
                </c:pt>
                <c:pt idx="107">
                  <c:v>1.5221023914924912E-2</c:v>
                </c:pt>
                <c:pt idx="108">
                  <c:v>1.2382288614696462E-2</c:v>
                </c:pt>
                <c:pt idx="109">
                  <c:v>1.3334910817735093E-2</c:v>
                </c:pt>
                <c:pt idx="110">
                  <c:v>1.2470485569136353E-2</c:v>
                </c:pt>
                <c:pt idx="111">
                  <c:v>1.665088048103705E-2</c:v>
                </c:pt>
                <c:pt idx="112">
                  <c:v>1.665088048103705E-2</c:v>
                </c:pt>
                <c:pt idx="113">
                  <c:v>1.665088048103705E-2</c:v>
                </c:pt>
                <c:pt idx="114">
                  <c:v>1.665088048103705E-2</c:v>
                </c:pt>
                <c:pt idx="115">
                  <c:v>2.051499339877411E-2</c:v>
                </c:pt>
                <c:pt idx="116">
                  <c:v>2.051499339877411E-2</c:v>
                </c:pt>
                <c:pt idx="117">
                  <c:v>2.051499339877411E-2</c:v>
                </c:pt>
                <c:pt idx="118">
                  <c:v>2.051499339877411E-2</c:v>
                </c:pt>
                <c:pt idx="119">
                  <c:v>2.051499339877411E-2</c:v>
                </c:pt>
                <c:pt idx="120">
                  <c:v>2.051499339877411E-2</c:v>
                </c:pt>
                <c:pt idx="121">
                  <c:v>2.051499339877411E-2</c:v>
                </c:pt>
                <c:pt idx="122">
                  <c:v>2.051499339877411E-2</c:v>
                </c:pt>
                <c:pt idx="123">
                  <c:v>2.051499339877411E-2</c:v>
                </c:pt>
                <c:pt idx="124">
                  <c:v>2.051499339877411E-2</c:v>
                </c:pt>
                <c:pt idx="125">
                  <c:v>2.051499339877411E-2</c:v>
                </c:pt>
                <c:pt idx="126">
                  <c:v>2.051499339877411E-2</c:v>
                </c:pt>
                <c:pt idx="127">
                  <c:v>2.051499339877411E-2</c:v>
                </c:pt>
                <c:pt idx="128">
                  <c:v>2.1772379829452772E-2</c:v>
                </c:pt>
                <c:pt idx="129">
                  <c:v>2.2698695507067893E-2</c:v>
                </c:pt>
                <c:pt idx="130">
                  <c:v>2.2698695507067893E-2</c:v>
                </c:pt>
                <c:pt idx="131">
                  <c:v>2.2698695507067893E-2</c:v>
                </c:pt>
                <c:pt idx="132">
                  <c:v>2.2698695507067893E-2</c:v>
                </c:pt>
                <c:pt idx="133">
                  <c:v>2.2698695507067893E-2</c:v>
                </c:pt>
                <c:pt idx="134">
                  <c:v>2.2698695507067893E-2</c:v>
                </c:pt>
                <c:pt idx="135">
                  <c:v>2.2698695507067893E-2</c:v>
                </c:pt>
                <c:pt idx="136">
                  <c:v>2.2698695507067893E-2</c:v>
                </c:pt>
                <c:pt idx="137">
                  <c:v>2.2698695507067893E-2</c:v>
                </c:pt>
                <c:pt idx="138">
                  <c:v>2.2698695507067893E-2</c:v>
                </c:pt>
                <c:pt idx="139">
                  <c:v>2.2698695507067893E-2</c:v>
                </c:pt>
                <c:pt idx="140">
                  <c:v>2.2698695507067893E-2</c:v>
                </c:pt>
                <c:pt idx="141">
                  <c:v>2.2562285205930052E-2</c:v>
                </c:pt>
                <c:pt idx="142">
                  <c:v>2.2776787574467716E-2</c:v>
                </c:pt>
                <c:pt idx="143">
                  <c:v>2.2785250961853958E-2</c:v>
                </c:pt>
                <c:pt idx="144">
                  <c:v>2.2259225075206567E-2</c:v>
                </c:pt>
                <c:pt idx="145">
                  <c:v>2.0638355873205526E-2</c:v>
                </c:pt>
                <c:pt idx="146">
                  <c:v>2.0638355873205526E-2</c:v>
                </c:pt>
                <c:pt idx="147">
                  <c:v>2.0638355873205526E-2</c:v>
                </c:pt>
                <c:pt idx="148">
                  <c:v>2.0303471730181537E-2</c:v>
                </c:pt>
                <c:pt idx="149">
                  <c:v>2.1947758206432275E-2</c:v>
                </c:pt>
                <c:pt idx="150">
                  <c:v>2.2601691041111493E-2</c:v>
                </c:pt>
                <c:pt idx="151">
                  <c:v>2.2601691041111493E-2</c:v>
                </c:pt>
                <c:pt idx="152">
                  <c:v>2.2601691041111493E-2</c:v>
                </c:pt>
                <c:pt idx="153">
                  <c:v>2.2601691041111493E-2</c:v>
                </c:pt>
                <c:pt idx="154">
                  <c:v>2.2601691041111493E-2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99-448D-860C-CAB426914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BAF012-A918-4F48-BF06-9CC084B78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4C4122-2354-420C-964F-A02F7478C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6A0C17-1A4E-48F3-B882-14B14B294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316C34-21F3-4DE7-AEA7-4DDA6D86A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8C7DB8-5DBC-4DE0-9004-A528538F9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C5726D-DFD5-4FB8-943E-5AEE78626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DB1A0B6-74FA-49CD-936C-F7F16A6BA1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CWB_ICVT_2.xlsx" TargetMode="External"/><Relationship Id="rId1" Type="http://schemas.openxmlformats.org/officeDocument/2006/relationships/externalLinkPath" Target="CWB_ICVT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ICVT/CWB avg</v>
          </cell>
          <cell r="P1" t="str">
            <v>ICVT/CWB 10 dma</v>
          </cell>
          <cell r="Q1" t="str">
            <v>ICVT/CWB 20 dma</v>
          </cell>
          <cell r="U1" t="str">
            <v>log diff CWB x avg / ICVT</v>
          </cell>
          <cell r="V1" t="str">
            <v>log diff CWB x 10 dma / ICVT</v>
          </cell>
          <cell r="W1" t="str">
            <v>log diff CWB x 20 dma / ICVT</v>
          </cell>
          <cell r="Y1" t="str">
            <v>ICVT*/CWB* avg</v>
          </cell>
          <cell r="Z1" t="str">
            <v>ICVT*/CWB* 10 dma</v>
          </cell>
          <cell r="AA1" t="str">
            <v>ICVT*/CWB* 20 dma</v>
          </cell>
          <cell r="AF1" t="str">
            <v>log diff CWB* x 10 dma / ICVT*</v>
          </cell>
          <cell r="AG1" t="str">
            <v>log diff CWB* x 20 dma / ICVT*</v>
          </cell>
        </row>
        <row r="2">
          <cell r="O2">
            <v>1.1144210713463301</v>
          </cell>
          <cell r="Y2">
            <v>1.1139962285470999</v>
          </cell>
        </row>
        <row r="3">
          <cell r="O3">
            <v>1.1144210713463301</v>
          </cell>
          <cell r="U3">
            <v>1.05746316939213E-2</v>
          </cell>
          <cell r="Y3">
            <v>1.1139962285470999</v>
          </cell>
        </row>
        <row r="4">
          <cell r="O4">
            <v>1.1144210713463301</v>
          </cell>
          <cell r="U4">
            <v>1.08596795330909E-2</v>
          </cell>
          <cell r="Y4">
            <v>1.1139962285470999</v>
          </cell>
        </row>
        <row r="5">
          <cell r="O5">
            <v>1.1144210713463301</v>
          </cell>
          <cell r="U5">
            <v>9.96962864367687E-3</v>
          </cell>
          <cell r="Y5">
            <v>1.1139962285470999</v>
          </cell>
        </row>
        <row r="6">
          <cell r="O6">
            <v>1.1144210713463301</v>
          </cell>
          <cell r="U6">
            <v>1.1175336320067101E-2</v>
          </cell>
          <cell r="Y6">
            <v>1.1139962285470999</v>
          </cell>
        </row>
        <row r="7">
          <cell r="O7">
            <v>1.1144210713463301</v>
          </cell>
          <cell r="U7">
            <v>1.18436529824524E-2</v>
          </cell>
          <cell r="Y7">
            <v>1.1139962285470999</v>
          </cell>
        </row>
        <row r="8">
          <cell r="O8">
            <v>1.1144210713463301</v>
          </cell>
          <cell r="U8">
            <v>1.1201130423945001E-2</v>
          </cell>
          <cell r="Y8">
            <v>1.1139962285470999</v>
          </cell>
        </row>
        <row r="9">
          <cell r="O9">
            <v>1.1144210713463301</v>
          </cell>
          <cell r="U9">
            <v>1.1020531580362E-2</v>
          </cell>
          <cell r="Y9">
            <v>1.1139962285470999</v>
          </cell>
        </row>
        <row r="10">
          <cell r="O10">
            <v>1.1144210713463301</v>
          </cell>
          <cell r="U10">
            <v>1.33363193937911E-2</v>
          </cell>
          <cell r="Y10">
            <v>1.1139962285470999</v>
          </cell>
        </row>
        <row r="11">
          <cell r="O11">
            <v>1.1144210713463301</v>
          </cell>
          <cell r="P11">
            <v>1.10218252225373</v>
          </cell>
          <cell r="U11">
            <v>1.16857287889941E-2</v>
          </cell>
          <cell r="Y11">
            <v>1.1139962285470999</v>
          </cell>
          <cell r="Z11">
            <v>1.10218252225373</v>
          </cell>
        </row>
        <row r="12">
          <cell r="O12">
            <v>1.1144210713463301</v>
          </cell>
          <cell r="P12">
            <v>1.1019698516584899</v>
          </cell>
          <cell r="U12">
            <v>1.06941050658673E-2</v>
          </cell>
          <cell r="V12">
            <v>-3.4862128681375598E-4</v>
          </cell>
          <cell r="Y12">
            <v>1.1139962285470999</v>
          </cell>
          <cell r="Z12">
            <v>1.1019698516584899</v>
          </cell>
          <cell r="AF12">
            <v>-3.4862128681375598E-4</v>
          </cell>
        </row>
        <row r="13">
          <cell r="O13">
            <v>1.1144210713463301</v>
          </cell>
          <cell r="P13">
            <v>1.10211778019607</v>
          </cell>
          <cell r="U13">
            <v>9.2340168938129501E-3</v>
          </cell>
          <cell r="V13">
            <v>-2.0016821393526799E-3</v>
          </cell>
          <cell r="Y13">
            <v>1.1139962285470999</v>
          </cell>
          <cell r="Z13">
            <v>1.10211778019607</v>
          </cell>
          <cell r="AF13">
            <v>-2.0016821393526799E-3</v>
          </cell>
        </row>
        <row r="14">
          <cell r="O14">
            <v>1.1144210713463301</v>
          </cell>
          <cell r="P14">
            <v>1.1022267508530501</v>
          </cell>
          <cell r="U14">
            <v>9.8716680516285401E-3</v>
          </cell>
          <cell r="V14">
            <v>-1.22979989593216E-3</v>
          </cell>
          <cell r="Y14">
            <v>1.1139962285470999</v>
          </cell>
          <cell r="Z14">
            <v>1.1022267508530501</v>
          </cell>
          <cell r="AF14">
            <v>-1.22979989593216E-3</v>
          </cell>
        </row>
        <row r="15">
          <cell r="O15">
            <v>1.1144210713463301</v>
          </cell>
          <cell r="P15">
            <v>1.1021958277772299</v>
          </cell>
          <cell r="U15">
            <v>1.02499292195662E-2</v>
          </cell>
          <cell r="V15">
            <v>-7.52669739467281E-4</v>
          </cell>
          <cell r="Y15">
            <v>1.1139962285470999</v>
          </cell>
          <cell r="Z15">
            <v>1.1021958277772299</v>
          </cell>
          <cell r="AF15">
            <v>-7.52669739467281E-4</v>
          </cell>
        </row>
        <row r="16">
          <cell r="O16">
            <v>1.1144210713463301</v>
          </cell>
          <cell r="P16">
            <v>1.1025257937742401</v>
          </cell>
          <cell r="U16">
            <v>8.1856618788641294E-3</v>
          </cell>
          <cell r="V16">
            <v>-2.84499256837346E-3</v>
          </cell>
          <cell r="Y16">
            <v>1.1139962285470999</v>
          </cell>
          <cell r="Z16">
            <v>1.1025257937742401</v>
          </cell>
          <cell r="AF16">
            <v>-2.84499256837346E-3</v>
          </cell>
        </row>
        <row r="17">
          <cell r="O17">
            <v>1.1144210713463301</v>
          </cell>
          <cell r="P17">
            <v>1.1030041073797101</v>
          </cell>
          <cell r="U17">
            <v>7.5098850984687696E-3</v>
          </cell>
          <cell r="V17">
            <v>-3.22144267074281E-3</v>
          </cell>
          <cell r="Y17">
            <v>1.1139962285470999</v>
          </cell>
          <cell r="Z17">
            <v>1.1030041073797101</v>
          </cell>
          <cell r="AF17">
            <v>-3.22144267074281E-3</v>
          </cell>
        </row>
        <row r="18">
          <cell r="O18">
            <v>1.1144210713463301</v>
          </cell>
          <cell r="P18">
            <v>1.10343443701444</v>
          </cell>
          <cell r="U18">
            <v>7.3037755328790198E-3</v>
          </cell>
          <cell r="V18">
            <v>-2.9938119250238499E-3</v>
          </cell>
          <cell r="Y18">
            <v>1.1139962285470999</v>
          </cell>
          <cell r="Z18">
            <v>1.10343443701444</v>
          </cell>
          <cell r="AF18">
            <v>-2.9938119250238499E-3</v>
          </cell>
        </row>
        <row r="19">
          <cell r="O19">
            <v>1.1144210713463301</v>
          </cell>
          <cell r="P19">
            <v>1.1038478134955201</v>
          </cell>
          <cell r="U19">
            <v>7.2771036506855697E-3</v>
          </cell>
          <cell r="V19">
            <v>-2.63041661836424E-3</v>
          </cell>
          <cell r="Y19">
            <v>1.1139962285470999</v>
          </cell>
          <cell r="Z19">
            <v>1.1038478134955201</v>
          </cell>
          <cell r="AF19">
            <v>-2.63041661836424E-3</v>
          </cell>
        </row>
        <row r="20">
          <cell r="O20">
            <v>1.1144210713463301</v>
          </cell>
          <cell r="P20">
            <v>1.1047025694064001</v>
          </cell>
          <cell r="U20">
            <v>5.5934442046346898E-3</v>
          </cell>
          <cell r="V20">
            <v>-3.93951908529347E-3</v>
          </cell>
          <cell r="Y20">
            <v>1.1139962285470999</v>
          </cell>
          <cell r="Z20">
            <v>1.1047025694064001</v>
          </cell>
          <cell r="AF20">
            <v>-3.93951908529347E-3</v>
          </cell>
        </row>
        <row r="21">
          <cell r="O21">
            <v>1.1144210713463301</v>
          </cell>
          <cell r="P21">
            <v>1.1053902827786499</v>
          </cell>
          <cell r="Q21">
            <v>1.1037864025161901</v>
          </cell>
          <cell r="U21">
            <v>5.46156603020831E-3</v>
          </cell>
          <cell r="V21">
            <v>-3.2973547382751998E-3</v>
          </cell>
          <cell r="Y21">
            <v>1.1139962285470999</v>
          </cell>
          <cell r="Z21">
            <v>1.1053902827786499</v>
          </cell>
          <cell r="AA21">
            <v>1.1037864025161901</v>
          </cell>
          <cell r="AF21">
            <v>-3.2973547382751998E-3</v>
          </cell>
        </row>
        <row r="22">
          <cell r="O22">
            <v>1.1144210713463301</v>
          </cell>
          <cell r="P22">
            <v>1.1059628469210001</v>
          </cell>
          <cell r="Q22">
            <v>1.10396634928975</v>
          </cell>
          <cell r="U22">
            <v>5.5145314927438497E-3</v>
          </cell>
          <cell r="V22">
            <v>-2.6220503601897798E-3</v>
          </cell>
          <cell r="W22">
            <v>-4.0740669009533999E-3</v>
          </cell>
          <cell r="Y22">
            <v>1.1139962285470999</v>
          </cell>
          <cell r="Z22">
            <v>1.10597542518287</v>
          </cell>
          <cell r="AA22">
            <v>1.1039726384206801</v>
          </cell>
          <cell r="AF22">
            <v>-2.73553618129315E-3</v>
          </cell>
          <cell r="AG22">
            <v>-4.1875527220567397E-3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1.1144210713463301</v>
          </cell>
          <cell r="P23">
            <v>1.1066905063647099</v>
          </cell>
          <cell r="Q23">
            <v>1.1044041432803899</v>
          </cell>
          <cell r="U23">
            <v>2.66557989263968E-3</v>
          </cell>
          <cell r="V23">
            <v>-4.9531614151102797E-3</v>
          </cell>
          <cell r="W23">
            <v>-6.7600049808109602E-3</v>
          </cell>
          <cell r="Y23">
            <v>1.1139962285470999</v>
          </cell>
          <cell r="Z23">
            <v>1.10671536854659</v>
          </cell>
          <cell r="AA23">
            <v>1.1044165743713299</v>
          </cell>
          <cell r="AF23">
            <v>-5.0523033690297496E-3</v>
          </cell>
          <cell r="AG23">
            <v>-6.86482316845171E-3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1.1144210713463301</v>
          </cell>
          <cell r="P24">
            <v>1.10710703283626</v>
          </cell>
          <cell r="Q24">
            <v>1.10466689184466</v>
          </cell>
          <cell r="U24">
            <v>6.1040911342382601E-3</v>
          </cell>
          <cell r="V24">
            <v>-8.5692448966800797E-4</v>
          </cell>
          <cell r="W24">
            <v>-2.9250077348453498E-3</v>
          </cell>
          <cell r="Y24">
            <v>1.1139962285470999</v>
          </cell>
          <cell r="Z24">
            <v>1.1071446706829999</v>
          </cell>
          <cell r="AA24">
            <v>1.1046857107680199</v>
          </cell>
          <cell r="AF24">
            <v>-9.4979413436858896E-4</v>
          </cell>
          <cell r="AG24">
            <v>-3.0290866079398199E-3</v>
          </cell>
          <cell r="AR24">
            <v>3.4385112415986994E-3</v>
          </cell>
          <cell r="BC24">
            <v>0</v>
          </cell>
          <cell r="BF24">
            <v>3.4385112415986994E-3</v>
          </cell>
        </row>
        <row r="25">
          <cell r="O25">
            <v>1.1144210713463301</v>
          </cell>
          <cell r="P25">
            <v>1.10779194162496</v>
          </cell>
          <cell r="Q25">
            <v>1.1049938847010901</v>
          </cell>
          <cell r="U25">
            <v>4.0599373485521303E-3</v>
          </cell>
          <cell r="V25">
            <v>-2.52477785122995E-3</v>
          </cell>
          <cell r="W25">
            <v>-4.7312800207258802E-3</v>
          </cell>
          <cell r="Y25">
            <v>1.1139962285470999</v>
          </cell>
          <cell r="Z25">
            <v>1.10784235791402</v>
          </cell>
          <cell r="AA25">
            <v>1.1050190928456201</v>
          </cell>
          <cell r="AF25">
            <v>-2.6059061039310901E-3</v>
          </cell>
          <cell r="AG25">
            <v>-4.8293685797532399E-3</v>
          </cell>
          <cell r="AR25">
            <v>1.3943574559126988E-3</v>
          </cell>
          <cell r="BC25">
            <v>0</v>
          </cell>
          <cell r="BF25">
            <v>1.3943574559126988E-3</v>
          </cell>
        </row>
        <row r="26">
          <cell r="O26">
            <v>1.1144210713463301</v>
          </cell>
          <cell r="P26">
            <v>1.1083919201647201</v>
          </cell>
          <cell r="Q26">
            <v>1.1054588569694801</v>
          </cell>
          <cell r="U26">
            <v>2.7723211054568502E-3</v>
          </cell>
          <cell r="V26">
            <v>-3.1939380668311798E-3</v>
          </cell>
          <cell r="W26">
            <v>-5.7229296952945596E-3</v>
          </cell>
          <cell r="Y26">
            <v>1.1139962285470999</v>
          </cell>
          <cell r="Z26">
            <v>1.1084546181917201</v>
          </cell>
          <cell r="AA26">
            <v>1.1054902059829801</v>
          </cell>
          <cell r="AF26">
            <v>-3.25893567616277E-3</v>
          </cell>
          <cell r="AG26">
            <v>-5.81062421437581E-3</v>
          </cell>
          <cell r="AR26">
            <v>1.0674121281739959E-4</v>
          </cell>
          <cell r="BC26">
            <v>0</v>
          </cell>
          <cell r="BF26">
            <v>1.0674121281739959E-4</v>
          </cell>
        </row>
        <row r="27">
          <cell r="O27">
            <v>1.1144210713463301</v>
          </cell>
          <cell r="P27">
            <v>1.1084655574172899</v>
          </cell>
          <cell r="Q27">
            <v>1.1057348323984999</v>
          </cell>
          <cell r="U27">
            <v>6.8443587748397896E-3</v>
          </cell>
          <cell r="V27">
            <v>1.4195515684884601E-3</v>
          </cell>
          <cell r="W27">
            <v>-1.2301888220109501E-3</v>
          </cell>
          <cell r="Y27">
            <v>1.1139962285470999</v>
          </cell>
          <cell r="Z27">
            <v>1.10854080857097</v>
          </cell>
          <cell r="AA27">
            <v>1.1057724579753401</v>
          </cell>
          <cell r="AF27">
            <v>1.36270686554398E-3</v>
          </cell>
          <cell r="AG27">
            <v>-1.3152406135010599E-3</v>
          </cell>
          <cell r="AR27">
            <v>4.1787788822000996E-3</v>
          </cell>
          <cell r="BC27">
            <v>0</v>
          </cell>
          <cell r="BF27">
            <v>4.1787788822000996E-3</v>
          </cell>
        </row>
        <row r="28">
          <cell r="O28">
            <v>1.1144210713463301</v>
          </cell>
          <cell r="P28">
            <v>1.1085015227386901</v>
          </cell>
          <cell r="Q28">
            <v>1.10596797987657</v>
          </cell>
          <cell r="U28">
            <v>6.9787361111354604E-3</v>
          </cell>
          <cell r="V28">
            <v>1.6203628125535301E-3</v>
          </cell>
          <cell r="W28">
            <v>-8.46194790642671E-4</v>
          </cell>
          <cell r="Y28">
            <v>1.1139962285470999</v>
          </cell>
          <cell r="Z28">
            <v>1.1085893975812799</v>
          </cell>
          <cell r="AA28">
            <v>1.10601191729786</v>
          </cell>
          <cell r="AF28">
            <v>1.5741856502383101E-3</v>
          </cell>
          <cell r="AG28">
            <v>-9.26230239225705E-4</v>
          </cell>
          <cell r="AR28">
            <v>4.1787788822000996E-3</v>
          </cell>
          <cell r="BC28">
            <v>0</v>
          </cell>
          <cell r="BF28">
            <v>4.1787788822000996E-3</v>
          </cell>
        </row>
        <row r="29">
          <cell r="O29">
            <v>1.1144210713463301</v>
          </cell>
          <cell r="P29">
            <v>1.10834363821227</v>
          </cell>
          <cell r="Q29">
            <v>1.1060957258538999</v>
          </cell>
          <cell r="U29">
            <v>8.7052105991603096E-3</v>
          </cell>
          <cell r="V29">
            <v>3.3792828174521502E-3</v>
          </cell>
          <cell r="W29">
            <v>1.0911104452012599E-3</v>
          </cell>
          <cell r="Y29">
            <v>1.1139962285470999</v>
          </cell>
          <cell r="Z29">
            <v>1.10844432282976</v>
          </cell>
          <cell r="AA29">
            <v>1.1061460681626401</v>
          </cell>
          <cell r="AF29">
            <v>3.3426093910330201E-3</v>
          </cell>
          <cell r="AG29">
            <v>1.0148933999981301E-3</v>
          </cell>
          <cell r="AR29">
            <v>4.1787788822000996E-3</v>
          </cell>
          <cell r="BC29">
            <v>0</v>
          </cell>
          <cell r="BF29">
            <v>4.1787788822000996E-3</v>
          </cell>
        </row>
        <row r="30">
          <cell r="O30">
            <v>1.1144210713463301</v>
          </cell>
          <cell r="P30">
            <v>1.1080970899940199</v>
          </cell>
          <cell r="Q30">
            <v>1.10639982970021</v>
          </cell>
          <cell r="U30">
            <v>7.8206754087438799E-3</v>
          </cell>
          <cell r="V30">
            <v>2.3523068923657201E-3</v>
          </cell>
          <cell r="W30">
            <v>3.2207462050344598E-4</v>
          </cell>
          <cell r="Y30">
            <v>1.1139962285470999</v>
          </cell>
          <cell r="Z30">
            <v>1.1082105750847799</v>
          </cell>
          <cell r="AA30">
            <v>1.1064565722455899</v>
          </cell>
          <cell r="AF30">
            <v>2.3273879754857701E-3</v>
          </cell>
          <cell r="AG30">
            <v>2.5182989347688901E-4</v>
          </cell>
          <cell r="AR30">
            <v>4.1787788822000996E-3</v>
          </cell>
          <cell r="BC30">
            <v>0</v>
          </cell>
          <cell r="BF30">
            <v>4.1787788822000996E-3</v>
          </cell>
        </row>
        <row r="31">
          <cell r="O31">
            <v>1.1144210713463301</v>
          </cell>
          <cell r="P31">
            <v>1.1080756427320499</v>
          </cell>
          <cell r="Q31">
            <v>1.1067329627553499</v>
          </cell>
          <cell r="U31">
            <v>5.6550907699120696E-3</v>
          </cell>
          <cell r="V31">
            <v>-3.5749943567257801E-5</v>
          </cell>
          <cell r="W31">
            <v>-1.5686133321277801E-3</v>
          </cell>
          <cell r="Y31">
            <v>1.1139962285470999</v>
          </cell>
          <cell r="Z31">
            <v>1.10820162853948</v>
          </cell>
          <cell r="AA31">
            <v>1.1067959556590601</v>
          </cell>
          <cell r="AF31">
            <v>-4.6142866479113401E-5</v>
          </cell>
          <cell r="AG31">
            <v>-1.6301309687418301E-3</v>
          </cell>
          <cell r="AR31">
            <v>4.1787788822000996E-3</v>
          </cell>
          <cell r="BC31">
            <v>0</v>
          </cell>
          <cell r="BF31">
            <v>4.1787788822000996E-3</v>
          </cell>
        </row>
        <row r="32">
          <cell r="O32">
            <v>1.1144210713463301</v>
          </cell>
          <cell r="P32">
            <v>1.1078287965873499</v>
          </cell>
          <cell r="Q32">
            <v>1.10689582175417</v>
          </cell>
          <cell r="U32">
            <v>7.7442809053578903E-3</v>
          </cell>
          <cell r="V32">
            <v>2.0340849659554899E-3</v>
          </cell>
          <cell r="W32">
            <v>8.2162792758470405E-4</v>
          </cell>
          <cell r="Y32">
            <v>1.1139962285470999</v>
          </cell>
          <cell r="Z32">
            <v>1.1079548795352001</v>
          </cell>
          <cell r="AA32">
            <v>1.10696515235903</v>
          </cell>
          <cell r="AF32">
            <v>2.0331588655624002E-3</v>
          </cell>
          <cell r="AG32">
            <v>7.6392671908580897E-4</v>
          </cell>
          <cell r="AR32">
            <v>4.1787788822000996E-3</v>
          </cell>
          <cell r="BC32">
            <v>0</v>
          </cell>
          <cell r="BF32">
            <v>4.1787788822000996E-3</v>
          </cell>
        </row>
        <row r="33">
          <cell r="O33">
            <v>1.1144210713463301</v>
          </cell>
          <cell r="P33">
            <v>1.1074198389269301</v>
          </cell>
          <cell r="Q33">
            <v>1.10705517264582</v>
          </cell>
          <cell r="U33">
            <v>6.3518478074971602E-3</v>
          </cell>
          <cell r="V33">
            <v>4.18856930417296E-4</v>
          </cell>
          <cell r="W33">
            <v>-4.2366306564551502E-4</v>
          </cell>
          <cell r="Y33">
            <v>1.1139962285470999</v>
          </cell>
          <cell r="Z33">
            <v>1.10754615611185</v>
          </cell>
          <cell r="AA33">
            <v>1.1071307623292199</v>
          </cell>
          <cell r="AF33">
            <v>4.1962314687948898E-4</v>
          </cell>
          <cell r="AG33">
            <v>-4.7406802732875901E-4</v>
          </cell>
          <cell r="AR33">
            <v>4.1787788822000996E-3</v>
          </cell>
          <cell r="BC33">
            <v>0</v>
          </cell>
          <cell r="BF33">
            <v>4.1787788822000996E-3</v>
          </cell>
        </row>
        <row r="34">
          <cell r="O34">
            <v>1.1144210713463301</v>
          </cell>
          <cell r="P34">
            <v>1.1074792438535099</v>
          </cell>
          <cell r="Q34">
            <v>1.1072931383448901</v>
          </cell>
          <cell r="U34">
            <v>5.5679147433445502E-3</v>
          </cell>
          <cell r="V34">
            <v>-7.3429668849226597E-4</v>
          </cell>
          <cell r="W34">
            <v>-1.06364453165758E-3</v>
          </cell>
          <cell r="Y34">
            <v>1.1139962285470999</v>
          </cell>
          <cell r="Z34">
            <v>1.1076052155228799</v>
          </cell>
          <cell r="AA34">
            <v>1.10737494310294</v>
          </cell>
          <cell r="AF34">
            <v>-7.3239434382719396E-4</v>
          </cell>
          <cell r="AG34">
            <v>-1.10752245758602E-3</v>
          </cell>
          <cell r="AR34">
            <v>4.1787788822000996E-3</v>
          </cell>
          <cell r="BC34">
            <v>0</v>
          </cell>
          <cell r="BF34">
            <v>4.1787788822000996E-3</v>
          </cell>
        </row>
        <row r="35">
          <cell r="O35">
            <v>1.1144210713463301</v>
          </cell>
          <cell r="P35">
            <v>1.1074882448240499</v>
          </cell>
          <cell r="Q35">
            <v>1.1076400932245001</v>
          </cell>
          <cell r="U35">
            <v>3.9788439271234198E-3</v>
          </cell>
          <cell r="V35">
            <v>-2.2697263008695399E-3</v>
          </cell>
          <cell r="W35">
            <v>-2.4377846625839202E-3</v>
          </cell>
          <cell r="Y35">
            <v>1.1139962285470999</v>
          </cell>
          <cell r="Z35">
            <v>1.1076137523404701</v>
          </cell>
          <cell r="AA35">
            <v>1.1077280551272399</v>
          </cell>
          <cell r="AF35">
            <v>-2.2669202796935998E-3</v>
          </cell>
          <cell r="AG35">
            <v>-2.4748430638997202E-3</v>
          </cell>
          <cell r="AR35">
            <v>4.1787788822000996E-3</v>
          </cell>
          <cell r="BC35">
            <v>0</v>
          </cell>
          <cell r="BF35">
            <v>4.1787788822000996E-3</v>
          </cell>
        </row>
        <row r="36">
          <cell r="O36">
            <v>1.1144210713463301</v>
          </cell>
          <cell r="P36">
            <v>1.1072332353190599</v>
          </cell>
          <cell r="Q36">
            <v>1.1078125777418899</v>
          </cell>
          <cell r="U36">
            <v>5.0695792751700598E-3</v>
          </cell>
          <cell r="V36">
            <v>-1.1708635463621401E-3</v>
          </cell>
          <cell r="W36">
            <v>-1.03376232465588E-3</v>
          </cell>
          <cell r="Y36">
            <v>1.1139962285470999</v>
          </cell>
          <cell r="Z36">
            <v>1.10735895281897</v>
          </cell>
          <cell r="AA36">
            <v>1.1079067855053399</v>
          </cell>
          <cell r="AF36">
            <v>-1.17019862339824E-3</v>
          </cell>
          <cell r="AG36">
            <v>-1.0670066134858701E-3</v>
          </cell>
          <cell r="AR36">
            <v>4.1787788822000996E-3</v>
          </cell>
          <cell r="BC36">
            <v>0</v>
          </cell>
          <cell r="BF36">
            <v>4.1787788822000996E-3</v>
          </cell>
        </row>
        <row r="37">
          <cell r="O37">
            <v>1.1144210713463301</v>
          </cell>
          <cell r="P37">
            <v>1.10707703487428</v>
          </cell>
          <cell r="Q37">
            <v>1.10777129614579</v>
          </cell>
          <cell r="U37">
            <v>8.2566102881507994E-3</v>
          </cell>
          <cell r="V37">
            <v>1.7858816194796601E-3</v>
          </cell>
          <cell r="W37">
            <v>2.3089790945967099E-3</v>
          </cell>
          <cell r="Y37">
            <v>1.1139962285470999</v>
          </cell>
          <cell r="Z37">
            <v>1.10720290872912</v>
          </cell>
          <cell r="AA37">
            <v>1.10787185865005</v>
          </cell>
          <cell r="AF37">
            <v>1.78443268178854E-3</v>
          </cell>
          <cell r="AG37">
            <v>2.2790304070788299E-3</v>
          </cell>
          <cell r="AR37">
            <v>4.1787788822000996E-3</v>
          </cell>
          <cell r="BC37">
            <v>0</v>
          </cell>
          <cell r="BF37">
            <v>4.1787788822000996E-3</v>
          </cell>
        </row>
        <row r="38">
          <cell r="O38">
            <v>1.1144210713463301</v>
          </cell>
          <cell r="P38">
            <v>1.1069412149388</v>
          </cell>
          <cell r="Q38">
            <v>1.1077213688387499</v>
          </cell>
          <cell r="U38">
            <v>8.2067737247030394E-3</v>
          </cell>
          <cell r="V38">
            <v>1.5949623476692501E-3</v>
          </cell>
          <cell r="W38">
            <v>2.2218777752593499E-3</v>
          </cell>
          <cell r="Y38">
            <v>1.1139962285470999</v>
          </cell>
          <cell r="Z38">
            <v>1.1070670753365199</v>
          </cell>
          <cell r="AA38">
            <v>1.1078282364589001</v>
          </cell>
          <cell r="AF38">
            <v>1.59457420571143E-3</v>
          </cell>
          <cell r="AG38">
            <v>2.1985718234104798E-3</v>
          </cell>
          <cell r="AR38">
            <v>4.1787788822000996E-3</v>
          </cell>
          <cell r="BC38">
            <v>0</v>
          </cell>
          <cell r="BF38">
            <v>4.1787788822000996E-3</v>
          </cell>
        </row>
        <row r="39">
          <cell r="O39">
            <v>1.1144210713463301</v>
          </cell>
          <cell r="P39">
            <v>1.10732018381887</v>
          </cell>
          <cell r="Q39">
            <v>1.1078319110155701</v>
          </cell>
          <cell r="U39">
            <v>5.2807589730952797E-3</v>
          </cell>
          <cell r="V39">
            <v>-1.4537432947317301E-3</v>
          </cell>
          <cell r="W39">
            <v>-7.4920804143233002E-4</v>
          </cell>
          <cell r="Y39">
            <v>1.1139962285470999</v>
          </cell>
          <cell r="Z39">
            <v>1.1074456239852699</v>
          </cell>
          <cell r="AA39">
            <v>1.10794497340751</v>
          </cell>
          <cell r="AF39">
            <v>-1.4518057920873499E-3</v>
          </cell>
          <cell r="AG39">
            <v>-7.6449461463612802E-4</v>
          </cell>
          <cell r="AR39">
            <v>4.1787788822000996E-3</v>
          </cell>
          <cell r="BC39">
            <v>0</v>
          </cell>
          <cell r="BF39">
            <v>4.1787788822000996E-3</v>
          </cell>
        </row>
        <row r="40">
          <cell r="O40">
            <v>1.1144210713463301</v>
          </cell>
          <cell r="P40">
            <v>1.1077655137798901</v>
          </cell>
          <cell r="Q40">
            <v>1.1079313018869501</v>
          </cell>
          <cell r="U40">
            <v>3.8013238661691899E-3</v>
          </cell>
          <cell r="V40">
            <v>-2.5908801671436698E-3</v>
          </cell>
          <cell r="W40">
            <v>-2.1288557246723198E-3</v>
          </cell>
          <cell r="Y40">
            <v>1.1139962285470999</v>
          </cell>
          <cell r="Z40">
            <v>1.10789048366265</v>
          </cell>
          <cell r="AA40">
            <v>1.10805052937371</v>
          </cell>
          <cell r="AF40">
            <v>-2.5886612593775298E-3</v>
          </cell>
          <cell r="AG40">
            <v>-2.1378609072493998E-3</v>
          </cell>
          <cell r="AR40">
            <v>4.1787788822000996E-3</v>
          </cell>
          <cell r="BC40">
            <v>0</v>
          </cell>
          <cell r="BF40">
            <v>4.1787788822000996E-3</v>
          </cell>
        </row>
        <row r="41">
          <cell r="O41">
            <v>1.1144210713463301</v>
          </cell>
          <cell r="P41">
            <v>1.1084253497075101</v>
          </cell>
          <cell r="Q41">
            <v>1.1082504962197799</v>
          </cell>
          <cell r="U41">
            <v>-2.8171471477579299E-4</v>
          </cell>
          <cell r="V41">
            <v>-6.27183049705688E-3</v>
          </cell>
          <cell r="W41">
            <v>-6.1221817669601299E-3</v>
          </cell>
          <cell r="Y41">
            <v>1.1139962285470999</v>
          </cell>
          <cell r="Z41">
            <v>1.10851427827775</v>
          </cell>
          <cell r="AA41">
            <v>1.1083579534086101</v>
          </cell>
          <cell r="AF41">
            <v>-5.9478253836574803E-3</v>
          </cell>
          <cell r="AG41">
            <v>-5.8033759507517303E-3</v>
          </cell>
          <cell r="AR41">
            <v>4.1787788822000996E-3</v>
          </cell>
          <cell r="BC41">
            <v>0</v>
          </cell>
          <cell r="BF41">
            <v>4.1787788822000996E-3</v>
          </cell>
        </row>
        <row r="42">
          <cell r="O42">
            <v>1.1144210713463301</v>
          </cell>
          <cell r="P42">
            <v>1.10883349412409</v>
          </cell>
          <cell r="Q42">
            <v>1.1083311453557201</v>
          </cell>
          <cell r="U42">
            <v>4.0602131207383603E-3</v>
          </cell>
          <cell r="V42">
            <v>-1.3344341412216301E-3</v>
          </cell>
          <cell r="W42">
            <v>-1.4921960335717199E-3</v>
          </cell>
          <cell r="Y42">
            <v>1.1139962285470999</v>
          </cell>
          <cell r="Z42">
            <v>1.10888699241134</v>
          </cell>
          <cell r="AA42">
            <v>1.10842093597327</v>
          </cell>
          <cell r="AF42">
            <v>-1.04917031048892E-3</v>
          </cell>
          <cell r="AG42">
            <v>-1.1902022266847901E-3</v>
          </cell>
          <cell r="AR42">
            <v>8.5207067177144012E-3</v>
          </cell>
          <cell r="BC42">
            <v>0</v>
          </cell>
          <cell r="BF42">
            <v>8.5207067177144012E-3</v>
          </cell>
        </row>
        <row r="43">
          <cell r="O43">
            <v>1.1144210713463301</v>
          </cell>
          <cell r="P43">
            <v>1.10919393213051</v>
          </cell>
          <cell r="Q43">
            <v>1.1083068855287199</v>
          </cell>
          <cell r="U43">
            <v>3.1022171978052101E-3</v>
          </cell>
          <cell r="V43">
            <v>-1.9242778095531099E-3</v>
          </cell>
          <cell r="W43">
            <v>-2.3774230275721299E-3</v>
          </cell>
          <cell r="Y43">
            <v>1.1139962285470999</v>
          </cell>
          <cell r="Z43">
            <v>1.1092121144000999</v>
          </cell>
          <cell r="AA43">
            <v>1.10837913525598</v>
          </cell>
          <cell r="AF43">
            <v>-1.6708036123632801E-3</v>
          </cell>
          <cell r="AG43">
            <v>-2.0911840556645002E-3</v>
          </cell>
          <cell r="AR43">
            <v>8.5207067177144012E-3</v>
          </cell>
          <cell r="BC43">
            <v>0</v>
          </cell>
          <cell r="BF43">
            <v>8.5207067177144012E-3</v>
          </cell>
        </row>
        <row r="44">
          <cell r="O44">
            <v>1.1144210713463301</v>
          </cell>
          <cell r="P44">
            <v>1.10940886401552</v>
          </cell>
          <cell r="Q44">
            <v>1.10844405393451</v>
          </cell>
          <cell r="U44">
            <v>3.6303828970565498E-3</v>
          </cell>
          <cell r="V44">
            <v>-1.0711043982089699E-3</v>
          </cell>
          <cell r="W44">
            <v>-1.8711461768084899E-3</v>
          </cell>
          <cell r="Y44">
            <v>1.1139962285470999</v>
          </cell>
          <cell r="Z44">
            <v>1.1093917324395699</v>
          </cell>
          <cell r="AA44">
            <v>1.10849847398123</v>
          </cell>
          <cell r="AF44">
            <v>-8.4860258221382604E-4</v>
          </cell>
          <cell r="AG44">
            <v>-1.59984939871474E-3</v>
          </cell>
          <cell r="AR44">
            <v>8.5207067177144012E-3</v>
          </cell>
          <cell r="BC44">
            <v>0</v>
          </cell>
          <cell r="BF44">
            <v>8.5207067177144012E-3</v>
          </cell>
        </row>
        <row r="45">
          <cell r="O45">
            <v>1.1144210713463301</v>
          </cell>
          <cell r="P45">
            <v>1.1092917040115899</v>
          </cell>
          <cell r="Q45">
            <v>1.1083899744178201</v>
          </cell>
          <cell r="U45">
            <v>5.0349009089885001E-3</v>
          </cell>
          <cell r="V45">
            <v>5.2716788650975302E-4</v>
          </cell>
          <cell r="W45">
            <v>-3.4287190202318799E-4</v>
          </cell>
          <cell r="Y45">
            <v>1.1139962285470999</v>
          </cell>
          <cell r="Z45">
            <v>1.10923934568758</v>
          </cell>
          <cell r="AA45">
            <v>1.1084265490140199</v>
          </cell>
          <cell r="AF45">
            <v>7.1838448220650495E-4</v>
          </cell>
          <cell r="AG45">
            <v>-8.7118426871101294E-5</v>
          </cell>
          <cell r="AR45">
            <v>8.5207067177144012E-3</v>
          </cell>
          <cell r="BC45">
            <v>0</v>
          </cell>
          <cell r="BF45">
            <v>8.5207067177144012E-3</v>
          </cell>
        </row>
        <row r="46">
          <cell r="O46">
            <v>1.1144210713463301</v>
          </cell>
          <cell r="P46">
            <v>1.10951467161099</v>
          </cell>
          <cell r="Q46">
            <v>1.1083739534650201</v>
          </cell>
          <cell r="U46">
            <v>3.0606815194148202E-3</v>
          </cell>
          <cell r="V46">
            <v>-1.5526628737270801E-3</v>
          </cell>
          <cell r="W46">
            <v>-2.3658811567965599E-3</v>
          </cell>
          <cell r="Y46">
            <v>1.1139962285470999</v>
          </cell>
          <cell r="Z46">
            <v>1.10942673791838</v>
          </cell>
          <cell r="AA46">
            <v>1.10839284536867</v>
          </cell>
          <cell r="AF46">
            <v>-1.3920714576932699E-3</v>
          </cell>
          <cell r="AG46">
            <v>-2.12509144225667E-3</v>
          </cell>
          <cell r="AR46">
            <v>8.5207067177144012E-3</v>
          </cell>
          <cell r="BC46">
            <v>0</v>
          </cell>
          <cell r="BF46">
            <v>8.5207067177144012E-3</v>
          </cell>
        </row>
        <row r="47">
          <cell r="O47">
            <v>1.1144210713463301</v>
          </cell>
          <cell r="P47">
            <v>1.1102672675293801</v>
          </cell>
          <cell r="Q47">
            <v>1.10867215120183</v>
          </cell>
          <cell r="U47">
            <v>1.47045309695348E-3</v>
          </cell>
          <cell r="V47">
            <v>-2.9419115238217999E-3</v>
          </cell>
          <cell r="W47">
            <v>-3.9705639400440798E-3</v>
          </cell>
          <cell r="Y47">
            <v>1.1139962285470999</v>
          </cell>
          <cell r="Z47">
            <v>1.1101431340571599</v>
          </cell>
          <cell r="AA47">
            <v>1.1086730213931399</v>
          </cell>
          <cell r="AF47">
            <v>-2.8100516374613802E-3</v>
          </cell>
          <cell r="AG47">
            <v>-3.7424021608242698E-3</v>
          </cell>
          <cell r="AR47">
            <v>8.5207067177144012E-3</v>
          </cell>
          <cell r="BC47">
            <v>0</v>
          </cell>
          <cell r="BF47">
            <v>8.5207067177144012E-3</v>
          </cell>
        </row>
        <row r="48">
          <cell r="O48">
            <v>1.1144210713463301</v>
          </cell>
          <cell r="P48">
            <v>1.1111324666203499</v>
          </cell>
          <cell r="Q48">
            <v>1.1090368407795801</v>
          </cell>
          <cell r="U48">
            <v>4.0960982865027298E-4</v>
          </cell>
          <cell r="V48">
            <v>-3.3246738203276298E-3</v>
          </cell>
          <cell r="W48">
            <v>-4.7624026639844202E-3</v>
          </cell>
          <cell r="Y48">
            <v>1.1139962285470999</v>
          </cell>
          <cell r="Z48">
            <v>1.1109720495409801</v>
          </cell>
          <cell r="AA48">
            <v>1.10901956243875</v>
          </cell>
          <cell r="AF48">
            <v>-3.2239479284966802E-3</v>
          </cell>
          <cell r="AG48">
            <v>-4.5490805903732603E-3</v>
          </cell>
          <cell r="AR48">
            <v>8.5207067177144012E-3</v>
          </cell>
          <cell r="BC48">
            <v>0</v>
          </cell>
          <cell r="BF48">
            <v>8.5207067177144012E-3</v>
          </cell>
        </row>
        <row r="49">
          <cell r="O49">
            <v>1.1144210713463301</v>
          </cell>
          <cell r="P49">
            <v>1.11114332921346</v>
          </cell>
          <cell r="Q49">
            <v>1.10923175651616</v>
          </cell>
          <cell r="U49">
            <v>5.1827747115534102E-3</v>
          </cell>
          <cell r="V49">
            <v>2.2274585950007499E-3</v>
          </cell>
          <cell r="W49">
            <v>3.39650799296794E-4</v>
          </cell>
          <cell r="Y49">
            <v>1.1139962285470999</v>
          </cell>
          <cell r="Z49">
            <v>1.1109478228410501</v>
          </cell>
          <cell r="AA49">
            <v>1.1091967234131599</v>
          </cell>
          <cell r="AF49">
            <v>2.2878459214723998E-3</v>
          </cell>
          <cell r="AG49">
            <v>5.2884143233621799E-4</v>
          </cell>
          <cell r="AR49">
            <v>8.5207067177144012E-3</v>
          </cell>
          <cell r="BC49">
            <v>0</v>
          </cell>
          <cell r="BF49">
            <v>8.5207067177144012E-3</v>
          </cell>
        </row>
        <row r="50">
          <cell r="O50">
            <v>1.1144210713463301</v>
          </cell>
          <cell r="P50">
            <v>1.11136793465756</v>
          </cell>
          <cell r="Q50">
            <v>1.1095667242187199</v>
          </cell>
          <cell r="U50">
            <v>1.7802466216809E-3</v>
          </cell>
          <cell r="V50">
            <v>-1.1652933967645101E-3</v>
          </cell>
          <cell r="W50">
            <v>-2.8871404683295E-3</v>
          </cell>
          <cell r="Y50">
            <v>1.1139962285470999</v>
          </cell>
          <cell r="Z50">
            <v>1.1111364503541801</v>
          </cell>
          <cell r="AA50">
            <v>1.1095134670084099</v>
          </cell>
          <cell r="AF50">
            <v>-1.1286612701735101E-3</v>
          </cell>
          <cell r="AG50">
            <v>-2.7061259392781901E-3</v>
          </cell>
          <cell r="AR50">
            <v>8.5207067177144012E-3</v>
          </cell>
          <cell r="BC50">
            <v>0</v>
          </cell>
          <cell r="BF50">
            <v>8.5207067177144012E-3</v>
          </cell>
        </row>
        <row r="51">
          <cell r="O51">
            <v>1.1144210713463301</v>
          </cell>
          <cell r="P51">
            <v>1.11120101478829</v>
          </cell>
          <cell r="Q51">
            <v>1.1098131822479</v>
          </cell>
          <cell r="U51">
            <v>1.2168024844079401E-3</v>
          </cell>
          <cell r="V51">
            <v>-1.5266189229718699E-3</v>
          </cell>
          <cell r="W51">
            <v>-3.1486484829557002E-3</v>
          </cell>
          <cell r="Y51">
            <v>1.1139962285470999</v>
          </cell>
          <cell r="Z51">
            <v>1.11096956327032</v>
          </cell>
          <cell r="AA51">
            <v>1.10974192077404</v>
          </cell>
          <cell r="AF51">
            <v>-1.5237073050567099E-3</v>
          </cell>
          <cell r="AG51">
            <v>-2.9854267972204401E-3</v>
          </cell>
          <cell r="AR51">
            <v>8.5207067177144012E-3</v>
          </cell>
          <cell r="BC51">
            <v>0</v>
          </cell>
          <cell r="BF51">
            <v>8.5207067177144012E-3</v>
          </cell>
        </row>
        <row r="52">
          <cell r="O52">
            <v>1.1144210713463301</v>
          </cell>
          <cell r="P52">
            <v>1.11140203541456</v>
          </cell>
          <cell r="Q52">
            <v>1.1101177647693301</v>
          </cell>
          <cell r="U52">
            <v>2.2507003821174202E-3</v>
          </cell>
          <cell r="V52">
            <v>-6.4292547190009802E-4</v>
          </cell>
          <cell r="W52">
            <v>-1.8926542875647499E-3</v>
          </cell>
          <cell r="Y52">
            <v>1.1139962285470999</v>
          </cell>
          <cell r="Z52">
            <v>1.1111702875914899</v>
          </cell>
          <cell r="AA52">
            <v>1.1100286400014101</v>
          </cell>
          <cell r="AF52">
            <v>-6.4390462894852102E-4</v>
          </cell>
          <cell r="AG52">
            <v>-1.7495346310118099E-3</v>
          </cell>
          <cell r="AR52">
            <v>8.5207067177144012E-3</v>
          </cell>
          <cell r="BC52">
            <v>0</v>
          </cell>
          <cell r="BF52">
            <v>8.5207067177144012E-3</v>
          </cell>
        </row>
        <row r="53">
          <cell r="O53">
            <v>1.1144210713463301</v>
          </cell>
          <cell r="P53">
            <v>1.11162626795834</v>
          </cell>
          <cell r="Q53">
            <v>1.11041010004442</v>
          </cell>
          <cell r="U53">
            <v>1.08590074756842E-3</v>
          </cell>
          <cell r="V53">
            <v>-1.6268375414806599E-3</v>
          </cell>
          <cell r="W53">
            <v>-2.7830467170157601E-3</v>
          </cell>
          <cell r="Y53">
            <v>1.1139962285470999</v>
          </cell>
          <cell r="Z53">
            <v>1.1113938767421501</v>
          </cell>
          <cell r="AA53">
            <v>1.1103029955711301</v>
          </cell>
          <cell r="AF53">
            <v>-1.62478234338922E-3</v>
          </cell>
          <cell r="AG53">
            <v>-2.6527386208934E-3</v>
          </cell>
          <cell r="AR53">
            <v>8.5207067177144012E-3</v>
          </cell>
          <cell r="BC53">
            <v>0</v>
          </cell>
          <cell r="BF53">
            <v>8.5207067177144012E-3</v>
          </cell>
        </row>
        <row r="54">
          <cell r="O54">
            <v>1.1144210713463301</v>
          </cell>
          <cell r="P54">
            <v>1.1119364269049901</v>
          </cell>
          <cell r="Q54">
            <v>1.11067264546025</v>
          </cell>
          <cell r="U54">
            <v>8.4101493184777598E-4</v>
          </cell>
          <cell r="V54">
            <v>-1.6699872441735999E-3</v>
          </cell>
          <cell r="W54">
            <v>-2.7646300257833899E-3</v>
          </cell>
          <cell r="Y54">
            <v>1.1139962285470999</v>
          </cell>
          <cell r="Z54">
            <v>1.11170353014227</v>
          </cell>
          <cell r="AA54">
            <v>1.1105476312909199</v>
          </cell>
          <cell r="AF54">
            <v>-1.6689876519639601E-3</v>
          </cell>
          <cell r="AG54">
            <v>-2.6510129428911301E-3</v>
          </cell>
          <cell r="AR54">
            <v>8.5207067177144012E-3</v>
          </cell>
          <cell r="BC54">
            <v>0</v>
          </cell>
          <cell r="BF54">
            <v>8.5207067177144012E-3</v>
          </cell>
        </row>
        <row r="55">
          <cell r="O55">
            <v>1.1144210713463301</v>
          </cell>
          <cell r="P55">
            <v>1.1124477908199799</v>
          </cell>
          <cell r="Q55">
            <v>1.11086974741579</v>
          </cell>
          <cell r="U55">
            <v>4.33735148723212E-4</v>
          </cell>
          <cell r="V55">
            <v>-1.7982922546230999E-3</v>
          </cell>
          <cell r="W55">
            <v>-2.9354977098206099E-3</v>
          </cell>
          <cell r="Y55">
            <v>1.1139962285470999</v>
          </cell>
          <cell r="Z55">
            <v>1.1122137625361801</v>
          </cell>
          <cell r="AA55">
            <v>1.11072655411188</v>
          </cell>
          <cell r="AF55">
            <v>-1.79189570641502E-3</v>
          </cell>
          <cell r="AG55">
            <v>-2.8321912190499799E-3</v>
          </cell>
          <cell r="AR55">
            <v>8.5207067177144012E-3</v>
          </cell>
          <cell r="BC55">
            <v>0</v>
          </cell>
          <cell r="BF55">
            <v>8.5207067177144012E-3</v>
          </cell>
        </row>
        <row r="56">
          <cell r="O56">
            <v>1.1144210713463301</v>
          </cell>
          <cell r="P56">
            <v>1.1126059576768399</v>
          </cell>
          <cell r="Q56">
            <v>1.11106031464391</v>
          </cell>
          <cell r="U56">
            <v>1.63806956635382E-3</v>
          </cell>
          <cell r="V56">
            <v>-1.3417762462734599E-4</v>
          </cell>
          <cell r="W56">
            <v>-1.5537172468830501E-3</v>
          </cell>
          <cell r="Y56">
            <v>1.1139962285470999</v>
          </cell>
          <cell r="Z56">
            <v>1.1123714961497999</v>
          </cell>
          <cell r="AA56">
            <v>1.1108991170340901</v>
          </cell>
          <cell r="AF56">
            <v>-1.3318045244656399E-4</v>
          </cell>
          <cell r="AG56">
            <v>-1.47123585146399E-3</v>
          </cell>
          <cell r="AR56">
            <v>8.5207067177144012E-3</v>
          </cell>
          <cell r="BC56">
            <v>0</v>
          </cell>
          <cell r="BF56">
            <v>8.5207067177144012E-3</v>
          </cell>
        </row>
        <row r="57">
          <cell r="O57">
            <v>1.1144210713463301</v>
          </cell>
          <cell r="P57">
            <v>1.1128259333064701</v>
          </cell>
          <cell r="Q57">
            <v>1.11154660041793</v>
          </cell>
          <cell r="U57">
            <v>-5.0440074579227397E-4</v>
          </cell>
          <cell r="V57">
            <v>-2.1344789152540201E-3</v>
          </cell>
          <cell r="W57">
            <v>-3.5246545014858302E-3</v>
          </cell>
          <cell r="Y57">
            <v>1.1139962285470999</v>
          </cell>
          <cell r="Z57">
            <v>1.1125909124358699</v>
          </cell>
          <cell r="AA57">
            <v>1.11136702324652</v>
          </cell>
          <cell r="AF57">
            <v>-2.1295146428090901E-3</v>
          </cell>
          <cell r="AG57">
            <v>-3.45403116565872E-3</v>
          </cell>
          <cell r="AR57">
            <v>8.5207067177144012E-3</v>
          </cell>
          <cell r="BC57">
            <v>0</v>
          </cell>
          <cell r="BF57">
            <v>8.5207067177144012E-3</v>
          </cell>
        </row>
        <row r="58">
          <cell r="O58">
            <v>1.1144210713463301</v>
          </cell>
          <cell r="P58">
            <v>1.11301359125119</v>
          </cell>
          <cell r="Q58">
            <v>1.1120730289357701</v>
          </cell>
          <cell r="U58">
            <v>-1.27356792711696E-3</v>
          </cell>
          <cell r="V58">
            <v>-2.7059535666596698E-3</v>
          </cell>
          <cell r="W58">
            <v>-3.85624022971772E-3</v>
          </cell>
          <cell r="Y58">
            <v>1.1139962285470999</v>
          </cell>
          <cell r="Z58">
            <v>1.1127781145165101</v>
          </cell>
          <cell r="AA58">
            <v>1.11187508202875</v>
          </cell>
          <cell r="AF58">
            <v>-2.7009027482448799E-3</v>
          </cell>
          <cell r="AG58">
            <v>-3.8015434512657501E-3</v>
          </cell>
          <cell r="AR58">
            <v>8.5207067177144012E-3</v>
          </cell>
          <cell r="BC58">
            <v>0</v>
          </cell>
          <cell r="BF58">
            <v>8.5207067177144012E-3</v>
          </cell>
        </row>
        <row r="59">
          <cell r="O59">
            <v>1.1144210713463301</v>
          </cell>
          <cell r="P59">
            <v>1.113708326165</v>
          </cell>
          <cell r="Q59">
            <v>1.11242582768923</v>
          </cell>
          <cell r="U59">
            <v>-1.0641095599341699E-3</v>
          </cell>
          <cell r="V59">
            <v>-2.32787752232996E-3</v>
          </cell>
          <cell r="W59">
            <v>-3.1732939325564199E-3</v>
          </cell>
          <cell r="Y59">
            <v>1.1139962285470999</v>
          </cell>
          <cell r="Z59">
            <v>1.1134709370000699</v>
          </cell>
          <cell r="AA59">
            <v>1.1122093799205599</v>
          </cell>
          <cell r="AF59">
            <v>-2.3188255533781099E-3</v>
          </cell>
          <cell r="AG59">
            <v>-3.13066673272923E-3</v>
          </cell>
          <cell r="AR59">
            <v>8.5207067177144012E-3</v>
          </cell>
          <cell r="BC59">
            <v>0</v>
          </cell>
          <cell r="BF59">
            <v>8.5207067177144012E-3</v>
          </cell>
        </row>
        <row r="60">
          <cell r="O60">
            <v>1.1144210713463301</v>
          </cell>
          <cell r="P60">
            <v>1.1147459201054</v>
          </cell>
          <cell r="Q60">
            <v>1.1130569273814801</v>
          </cell>
          <cell r="U60">
            <v>-7.5037230888590403E-3</v>
          </cell>
          <cell r="V60">
            <v>-8.14349311876204E-3</v>
          </cell>
          <cell r="W60">
            <v>-9.2957135412755597E-3</v>
          </cell>
          <cell r="Y60">
            <v>1.1139962285470999</v>
          </cell>
          <cell r="Z60">
            <v>1.11450526093927</v>
          </cell>
          <cell r="AA60">
            <v>1.1128208556467201</v>
          </cell>
          <cell r="AF60">
            <v>-8.1169046288552295E-3</v>
          </cell>
          <cell r="AG60">
            <v>-9.2505420205541405E-3</v>
          </cell>
          <cell r="AR60">
            <v>8.5207067177144012E-3</v>
          </cell>
          <cell r="BC60">
            <v>0</v>
          </cell>
          <cell r="BF60">
            <v>8.5207067177144012E-3</v>
          </cell>
        </row>
        <row r="61">
          <cell r="O61">
            <v>1.1144210713463301</v>
          </cell>
          <cell r="P61">
            <v>1.1147937809753501</v>
          </cell>
          <cell r="Q61">
            <v>1.1129973978818199</v>
          </cell>
          <cell r="U61">
            <v>7.8690354948596903E-4</v>
          </cell>
          <cell r="V61">
            <v>1.0783566013357899E-3</v>
          </cell>
          <cell r="W61">
            <v>-4.3792932084794602E-4</v>
          </cell>
          <cell r="Y61">
            <v>1.1139962285470999</v>
          </cell>
          <cell r="Z61">
            <v>1.1145518963415799</v>
          </cell>
          <cell r="AA61">
            <v>1.1127607298059501</v>
          </cell>
          <cell r="AF61">
            <v>1.08458402191663E-3</v>
          </cell>
          <cell r="AG61">
            <v>-4.2790721240205601E-4</v>
          </cell>
          <cell r="AR61">
            <v>1.6811333356059461E-2</v>
          </cell>
          <cell r="BC61">
            <v>0</v>
          </cell>
          <cell r="BF61">
            <v>1.6811333356059461E-2</v>
          </cell>
        </row>
        <row r="62">
          <cell r="O62">
            <v>1.1144210713463301</v>
          </cell>
          <cell r="P62">
            <v>1.11482380549108</v>
          </cell>
          <cell r="Q62">
            <v>1.1131129204528201</v>
          </cell>
          <cell r="U62">
            <v>1.9807117152407898E-3</v>
          </cell>
          <cell r="V62">
            <v>2.3150981761094502E-3</v>
          </cell>
          <cell r="W62">
            <v>7.0239452603889296E-4</v>
          </cell>
          <cell r="Y62">
            <v>1.1139962285470999</v>
          </cell>
          <cell r="Z62">
            <v>1.11458124426005</v>
          </cell>
          <cell r="AA62">
            <v>1.11287576592577</v>
          </cell>
          <cell r="AF62">
            <v>2.3114582936968201E-3</v>
          </cell>
          <cell r="AG62">
            <v>7.0309231873588805E-4</v>
          </cell>
          <cell r="AR62">
            <v>1.6811333356059461E-2</v>
          </cell>
          <cell r="BC62">
            <v>0</v>
          </cell>
          <cell r="BF62">
            <v>1.6811333356059461E-2</v>
          </cell>
        </row>
        <row r="63">
          <cell r="O63">
            <v>1.1144210713463301</v>
          </cell>
          <cell r="P63">
            <v>1.11469546703524</v>
          </cell>
          <cell r="Q63">
            <v>1.1131608674967901</v>
          </cell>
          <cell r="U63">
            <v>2.2394325101902802E-3</v>
          </cell>
          <cell r="V63">
            <v>2.60075140639646E-3</v>
          </cell>
          <cell r="W63">
            <v>1.064904041751E-3</v>
          </cell>
          <cell r="Y63">
            <v>1.1139962285470999</v>
          </cell>
          <cell r="Z63">
            <v>1.11447491139119</v>
          </cell>
          <cell r="AA63">
            <v>1.1129343940666701</v>
          </cell>
          <cell r="AF63">
            <v>2.3960612346266299E-3</v>
          </cell>
          <cell r="AG63">
            <v>8.64737703124867E-4</v>
          </cell>
          <cell r="AR63">
            <v>1.6811333356059461E-2</v>
          </cell>
          <cell r="BC63">
            <v>0</v>
          </cell>
          <cell r="BF63">
            <v>1.6811333356059461E-2</v>
          </cell>
        </row>
        <row r="64">
          <cell r="O64">
            <v>1.1144210713463301</v>
          </cell>
          <cell r="P64">
            <v>1.11469752729106</v>
          </cell>
          <cell r="Q64">
            <v>1.11331697709803</v>
          </cell>
          <cell r="U64">
            <v>8.2251231885944001E-4</v>
          </cell>
          <cell r="V64">
            <v>1.0687046426561099E-3</v>
          </cell>
          <cell r="W64">
            <v>-3.0894234236536E-4</v>
          </cell>
          <cell r="Y64">
            <v>1.1139962285470999</v>
          </cell>
          <cell r="Z64">
            <v>1.1144983743780399</v>
          </cell>
          <cell r="AA64">
            <v>1.11310095226016</v>
          </cell>
          <cell r="AF64">
            <v>8.8866360315820896E-4</v>
          </cell>
          <cell r="AG64">
            <v>-4.9457347533929798E-4</v>
          </cell>
          <cell r="AR64">
            <v>1.6811333356059461E-2</v>
          </cell>
          <cell r="BC64">
            <v>0</v>
          </cell>
          <cell r="BF64">
            <v>1.6811333356059461E-2</v>
          </cell>
        </row>
        <row r="65">
          <cell r="O65">
            <v>1.1144210713463301</v>
          </cell>
          <cell r="P65">
            <v>1.1148034242149201</v>
          </cell>
          <cell r="Q65">
            <v>1.11362560751745</v>
          </cell>
          <cell r="U65">
            <v>-5.1646708769930902E-4</v>
          </cell>
          <cell r="V65">
            <v>-2.6842649773713899E-4</v>
          </cell>
          <cell r="W65">
            <v>-1.5076916524320099E-3</v>
          </cell>
          <cell r="Y65">
            <v>1.1139962285470999</v>
          </cell>
          <cell r="Z65">
            <v>1.11462579331017</v>
          </cell>
          <cell r="AA65">
            <v>1.11341977792317</v>
          </cell>
          <cell r="AF65">
            <v>-4.2448450440957599E-4</v>
          </cell>
          <cell r="AG65">
            <v>-1.6791287166669001E-3</v>
          </cell>
          <cell r="AR65">
            <v>1.6811333356059461E-2</v>
          </cell>
          <cell r="BC65">
            <v>0</v>
          </cell>
          <cell r="BF65">
            <v>1.6811333356059461E-2</v>
          </cell>
        </row>
        <row r="66">
          <cell r="O66">
            <v>1.1144210713463301</v>
          </cell>
          <cell r="P66">
            <v>1.1149354481765399</v>
          </cell>
          <cell r="Q66">
            <v>1.1137707029266899</v>
          </cell>
          <cell r="U66">
            <v>4.5214434860591798E-4</v>
          </cell>
          <cell r="V66">
            <v>7.9518101727428904E-4</v>
          </cell>
          <cell r="W66">
            <v>-2.6190160942911198E-4</v>
          </cell>
          <cell r="Y66">
            <v>1.1139962285470999</v>
          </cell>
          <cell r="Z66">
            <v>1.11477921244339</v>
          </cell>
          <cell r="AA66">
            <v>1.11357535429659</v>
          </cell>
          <cell r="AF66">
            <v>6.5487754682075697E-4</v>
          </cell>
          <cell r="AG66">
            <v>-4.2769950667161598E-4</v>
          </cell>
          <cell r="AR66">
            <v>1.6811333356059461E-2</v>
          </cell>
          <cell r="BC66">
            <v>0</v>
          </cell>
          <cell r="BF66">
            <v>1.6811333356059461E-2</v>
          </cell>
        </row>
        <row r="67">
          <cell r="O67">
            <v>1.1144210713463301</v>
          </cell>
          <cell r="P67">
            <v>1.1148490875773001</v>
          </cell>
          <cell r="Q67">
            <v>1.1138375104418901</v>
          </cell>
          <cell r="U67">
            <v>2.7044547375317597E-4</v>
          </cell>
          <cell r="V67">
            <v>7.3190314984659304E-4</v>
          </cell>
          <cell r="W67">
            <v>-3.1331795775653301E-4</v>
          </cell>
          <cell r="Y67">
            <v>1.1139962285470999</v>
          </cell>
          <cell r="Z67">
            <v>1.11471476566007</v>
          </cell>
          <cell r="AA67">
            <v>1.1136528390479701</v>
          </cell>
          <cell r="AF67">
            <v>6.1093418981368998E-4</v>
          </cell>
          <cell r="AG67">
            <v>-4.6955657398513702E-4</v>
          </cell>
          <cell r="AR67">
            <v>1.6811333356059461E-2</v>
          </cell>
          <cell r="BC67">
            <v>0</v>
          </cell>
          <cell r="BF67">
            <v>1.6811333356059461E-2</v>
          </cell>
        </row>
        <row r="68">
          <cell r="O68">
            <v>1.1144210713463301</v>
          </cell>
          <cell r="P68">
            <v>1.11471455164873</v>
          </cell>
          <cell r="Q68">
            <v>1.1138640714499599</v>
          </cell>
          <cell r="U68">
            <v>-6.7149933617641195E-5</v>
          </cell>
          <cell r="V68">
            <v>3.1684680587147201E-4</v>
          </cell>
          <cell r="W68">
            <v>-5.9093197808254697E-4</v>
          </cell>
          <cell r="Y68">
            <v>1.1139962285470999</v>
          </cell>
          <cell r="Z68">
            <v>1.11460209578036</v>
          </cell>
          <cell r="AA68">
            <v>1.11369010514844</v>
          </cell>
          <cell r="AF68">
            <v>2.1666221286922499E-4</v>
          </cell>
          <cell r="AG68">
            <v>-7.3643609123412196E-4</v>
          </cell>
          <cell r="AR68">
            <v>1.6811333356059461E-2</v>
          </cell>
          <cell r="BC68">
            <v>0</v>
          </cell>
          <cell r="BF68">
            <v>1.6811333356059461E-2</v>
          </cell>
        </row>
        <row r="69">
          <cell r="O69">
            <v>1.1144210713463301</v>
          </cell>
          <cell r="P69">
            <v>1.11469783623633</v>
          </cell>
          <cell r="Q69">
            <v>1.11420308120067</v>
          </cell>
          <cell r="U69">
            <v>-9.1426596576321597E-4</v>
          </cell>
          <cell r="V69">
            <v>-6.5095286711700905E-4</v>
          </cell>
          <cell r="W69">
            <v>-1.41420190059557E-3</v>
          </cell>
          <cell r="Y69">
            <v>1.1139962285470999</v>
          </cell>
          <cell r="Z69">
            <v>1.1146074026633299</v>
          </cell>
          <cell r="AA69">
            <v>1.1140391698317</v>
          </cell>
          <cell r="AF69">
            <v>-7.2862230328411002E-4</v>
          </cell>
          <cell r="AG69">
            <v>-1.5471780406937901E-3</v>
          </cell>
          <cell r="AR69">
            <v>1.6811333356059461E-2</v>
          </cell>
          <cell r="BC69">
            <v>0</v>
          </cell>
          <cell r="BF69">
            <v>1.6811333356059461E-2</v>
          </cell>
        </row>
        <row r="70">
          <cell r="O70">
            <v>1.1144210713463301</v>
          </cell>
          <cell r="P70">
            <v>1.1133583228641699</v>
          </cell>
          <cell r="Q70">
            <v>1.1140521214847801</v>
          </cell>
          <cell r="U70">
            <v>4.4979678936632904E-3</v>
          </cell>
          <cell r="V70">
            <v>4.7462856397332501E-3</v>
          </cell>
          <cell r="W70">
            <v>4.3023403392307199E-3</v>
          </cell>
          <cell r="Y70">
            <v>1.1139962285470999</v>
          </cell>
          <cell r="Z70">
            <v>1.11329430530353</v>
          </cell>
          <cell r="AA70">
            <v>1.1138997831213999</v>
          </cell>
          <cell r="AF70">
            <v>4.6696764856448397E-3</v>
          </cell>
          <cell r="AG70">
            <v>4.1597411276055596E-3</v>
          </cell>
          <cell r="AR70">
            <v>1.6811333356059461E-2</v>
          </cell>
          <cell r="BC70">
            <v>0</v>
          </cell>
          <cell r="BF70">
            <v>1.6811333356059461E-2</v>
          </cell>
        </row>
        <row r="71">
          <cell r="O71">
            <v>1.1144210713463301</v>
          </cell>
          <cell r="P71">
            <v>1.1130925035106101</v>
          </cell>
          <cell r="Q71">
            <v>1.11394314224298</v>
          </cell>
          <cell r="U71">
            <v>3.1769035929806498E-3</v>
          </cell>
          <cell r="V71">
            <v>2.22281579996073E-3</v>
          </cell>
          <cell r="W71">
            <v>2.8457801438828501E-3</v>
          </cell>
          <cell r="Y71">
            <v>1.1139962285470999</v>
          </cell>
          <cell r="Z71">
            <v>1.11305222740432</v>
          </cell>
          <cell r="AA71">
            <v>1.1138020618729501</v>
          </cell>
          <cell r="AF71">
            <v>2.1742428944237901E-3</v>
          </cell>
          <cell r="AG71">
            <v>2.71795647190841E-3</v>
          </cell>
          <cell r="AR71">
            <v>1.6811333356059461E-2</v>
          </cell>
          <cell r="BC71">
            <v>1.3210643006825607E-3</v>
          </cell>
          <cell r="BF71">
            <v>1.8132397656742023E-2</v>
          </cell>
        </row>
        <row r="72">
          <cell r="O72">
            <v>1.1144210713463301</v>
          </cell>
          <cell r="P72">
            <v>1.1132614003325101</v>
          </cell>
          <cell r="Q72">
            <v>1.1140426029118</v>
          </cell>
          <cell r="U72">
            <v>4.6330209992246902E-4</v>
          </cell>
          <cell r="V72">
            <v>-7.2956873889535201E-4</v>
          </cell>
          <cell r="W72">
            <v>3.4351475276990097E-5</v>
          </cell>
          <cell r="Y72">
            <v>1.1139962285470999</v>
          </cell>
          <cell r="Z72">
            <v>1.1132428452982199</v>
          </cell>
          <cell r="AA72">
            <v>1.11391204477913</v>
          </cell>
          <cell r="AF72">
            <v>-7.4773809910577802E-4</v>
          </cell>
          <cell r="AG72">
            <v>-7.4290805694479797E-5</v>
          </cell>
          <cell r="AR72">
            <v>1.6811333356059461E-2</v>
          </cell>
          <cell r="BC72">
            <v>4.034665793740711E-3</v>
          </cell>
          <cell r="BF72">
            <v>2.0845999149800173E-2</v>
          </cell>
        </row>
        <row r="73">
          <cell r="O73">
            <v>1.1144210713463301</v>
          </cell>
          <cell r="P73">
            <v>1.11311311868706</v>
          </cell>
          <cell r="Q73">
            <v>1.11390429286115</v>
          </cell>
          <cell r="U73">
            <v>3.5738766333183402E-3</v>
          </cell>
          <cell r="V73">
            <v>2.5327308386922198E-3</v>
          </cell>
          <cell r="W73">
            <v>3.2342090474891802E-3</v>
          </cell>
          <cell r="Y73">
            <v>1.1139962285470999</v>
          </cell>
          <cell r="Z73">
            <v>1.11309516720202</v>
          </cell>
          <cell r="AA73">
            <v>1.11378503929661</v>
          </cell>
          <cell r="AF73">
            <v>2.5235569993613698E-3</v>
          </cell>
          <cell r="AG73">
            <v>3.1245026309694199E-3</v>
          </cell>
          <cell r="AR73">
            <v>1.6811333356059461E-2</v>
          </cell>
          <cell r="BC73">
            <v>4.034665793740711E-3</v>
          </cell>
          <cell r="BF73">
            <v>2.0845999149800173E-2</v>
          </cell>
        </row>
        <row r="74">
          <cell r="O74">
            <v>1.1144210713463301</v>
          </cell>
          <cell r="P74">
            <v>1.1132540302631</v>
          </cell>
          <cell r="Q74">
            <v>1.1139757787770801</v>
          </cell>
          <cell r="U74">
            <v>-4.4216555248836198E-4</v>
          </cell>
          <cell r="V74">
            <v>-1.61651593098132E-3</v>
          </cell>
          <cell r="W74">
            <v>-9.0599233716158998E-4</v>
          </cell>
          <cell r="Y74">
            <v>1.1139962285470999</v>
          </cell>
          <cell r="Z74">
            <v>1.1132357531253101</v>
          </cell>
          <cell r="AA74">
            <v>1.1138670637516801</v>
          </cell>
          <cell r="AF74">
            <v>-1.6119046222291399E-3</v>
          </cell>
          <cell r="AG74">
            <v>-9.9231842747933389E-4</v>
          </cell>
          <cell r="AR74">
            <v>1.6811333356059461E-2</v>
          </cell>
          <cell r="BC74">
            <v>8.0507079795472322E-3</v>
          </cell>
          <cell r="BF74">
            <v>2.4862041335606693E-2</v>
          </cell>
        </row>
        <row r="75">
          <cell r="O75">
            <v>1.1144210713463301</v>
          </cell>
          <cell r="P75">
            <v>1.11311325782138</v>
          </cell>
          <cell r="Q75">
            <v>1.1139583410181499</v>
          </cell>
          <cell r="U75">
            <v>7.4686733695136104E-4</v>
          </cell>
          <cell r="V75">
            <v>-3.00898730147365E-4</v>
          </cell>
          <cell r="W75">
            <v>3.4721448772983199E-4</v>
          </cell>
          <cell r="Y75">
            <v>1.1139962285470999</v>
          </cell>
          <cell r="Z75">
            <v>1.1130956372432701</v>
          </cell>
          <cell r="AA75">
            <v>1.1138607152767199</v>
          </cell>
          <cell r="AF75">
            <v>-3.0056513664994497E-4</v>
          </cell>
          <cell r="AG75">
            <v>2.6636930256252199E-4</v>
          </cell>
          <cell r="AR75">
            <v>1.6811333356059461E-2</v>
          </cell>
          <cell r="BC75">
            <v>8.0507079795472322E-3</v>
          </cell>
          <cell r="BF75">
            <v>2.4862041335606693E-2</v>
          </cell>
        </row>
        <row r="76">
          <cell r="O76">
            <v>1.1144210713463301</v>
          </cell>
          <cell r="P76">
            <v>1.11315295864752</v>
          </cell>
          <cell r="Q76">
            <v>1.1140442034120299</v>
          </cell>
          <cell r="U76">
            <v>9.5800544819486398E-5</v>
          </cell>
          <cell r="V76">
            <v>-1.07842483801312E-3</v>
          </cell>
          <cell r="W76">
            <v>-3.1950605177353799E-4</v>
          </cell>
          <cell r="Y76">
            <v>1.1139962285470999</v>
          </cell>
          <cell r="Z76">
            <v>1.11313533377699</v>
          </cell>
          <cell r="AA76">
            <v>1.1139572731101901</v>
          </cell>
          <cell r="AF76">
            <v>-1.07517567855175E-3</v>
          </cell>
          <cell r="AG76">
            <v>-3.8806920456939902E-4</v>
          </cell>
          <cell r="AR76">
            <v>1.6811333356059461E-2</v>
          </cell>
          <cell r="BC76">
            <v>8.0507079795472322E-3</v>
          </cell>
          <cell r="BF76">
            <v>2.4862041335606693E-2</v>
          </cell>
        </row>
        <row r="77">
          <cell r="O77">
            <v>1.1144210713463301</v>
          </cell>
          <cell r="P77">
            <v>1.1129588082334201</v>
          </cell>
          <cell r="Q77">
            <v>1.1139039479053601</v>
          </cell>
          <cell r="U77">
            <v>2.0146007357832599E-3</v>
          </cell>
          <cell r="V77">
            <v>8.7604119188422697E-4</v>
          </cell>
          <cell r="W77">
            <v>1.67636980873425E-3</v>
          </cell>
          <cell r="Y77">
            <v>1.1139962285470999</v>
          </cell>
          <cell r="Z77">
            <v>1.11294192179009</v>
          </cell>
          <cell r="AA77">
            <v>1.11382834372508</v>
          </cell>
          <cell r="AF77">
            <v>8.7277237717047602E-4</v>
          </cell>
          <cell r="AG77">
            <v>1.6109000760141799E-3</v>
          </cell>
          <cell r="AR77">
            <v>1.6811333356059461E-2</v>
          </cell>
          <cell r="BC77">
            <v>8.0507079795472322E-3</v>
          </cell>
          <cell r="BF77">
            <v>2.4862041335606693E-2</v>
          </cell>
        </row>
        <row r="78">
          <cell r="O78">
            <v>1.1144210713463301</v>
          </cell>
          <cell r="P78">
            <v>1.1124981196181001</v>
          </cell>
          <cell r="Q78">
            <v>1.11360633563342</v>
          </cell>
          <cell r="U78">
            <v>4.0750222972104899E-3</v>
          </cell>
          <cell r="V78">
            <v>2.7620326842660099E-3</v>
          </cell>
          <cell r="W78">
            <v>3.6108858307744101E-3</v>
          </cell>
          <cell r="Y78">
            <v>1.1139962285470999</v>
          </cell>
          <cell r="Z78">
            <v>1.1124828545627199</v>
          </cell>
          <cell r="AA78">
            <v>1.1135424751715399</v>
          </cell>
          <cell r="AF78">
            <v>2.7526426016217199E-3</v>
          </cell>
          <cell r="AG78">
            <v>3.5487929683987699E-3</v>
          </cell>
          <cell r="AR78">
            <v>1.6811333356059461E-2</v>
          </cell>
          <cell r="BC78">
            <v>8.0507079795472322E-3</v>
          </cell>
          <cell r="BF78">
            <v>2.4862041335606693E-2</v>
          </cell>
        </row>
        <row r="79">
          <cell r="O79">
            <v>1.1144210713463301</v>
          </cell>
          <cell r="P79">
            <v>1.1122757689789899</v>
          </cell>
          <cell r="Q79">
            <v>1.1134868026076601</v>
          </cell>
          <cell r="U79">
            <v>1.0811122435804099E-3</v>
          </cell>
          <cell r="V79">
            <v>-6.4589447850609796E-4</v>
          </cell>
          <cell r="W79">
            <v>3.4976060340202302E-4</v>
          </cell>
          <cell r="Y79">
            <v>1.1139962285470999</v>
          </cell>
          <cell r="Z79">
            <v>1.1122613495520299</v>
          </cell>
          <cell r="AA79">
            <v>1.1134343761076799</v>
          </cell>
          <cell r="AF79">
            <v>-6.43947263262835E-4</v>
          </cell>
          <cell r="AG79">
            <v>3.0808205527152899E-4</v>
          </cell>
          <cell r="AR79">
            <v>1.6811333356059461E-2</v>
          </cell>
          <cell r="BC79">
            <v>1.1044618033177373E-2</v>
          </cell>
          <cell r="BF79">
            <v>2.7855951389236834E-2</v>
          </cell>
        </row>
        <row r="80">
          <cell r="O80">
            <v>1.1144210713463301</v>
          </cell>
          <cell r="P80">
            <v>1.11249455783395</v>
          </cell>
          <cell r="Q80">
            <v>1.11292644034906</v>
          </cell>
          <cell r="U80">
            <v>2.5278081632910299E-3</v>
          </cell>
          <cell r="V80">
            <v>6.0091538447900803E-4</v>
          </cell>
          <cell r="W80">
            <v>1.68911208940676E-3</v>
          </cell>
          <cell r="Y80">
            <v>1.1139962285470999</v>
          </cell>
          <cell r="Z80">
            <v>1.11247942774395</v>
          </cell>
          <cell r="AA80">
            <v>1.1128868665237399</v>
          </cell>
          <cell r="AF80">
            <v>5.9885812979308597E-4</v>
          </cell>
          <cell r="AG80">
            <v>1.65293452553282E-3</v>
          </cell>
          <cell r="AR80">
            <v>1.6811333356059461E-2</v>
          </cell>
          <cell r="BC80">
            <v>1.1044618033177373E-2</v>
          </cell>
          <cell r="BF80">
            <v>2.7855951389236834E-2</v>
          </cell>
        </row>
        <row r="81">
          <cell r="O81">
            <v>1.1144210713463301</v>
          </cell>
          <cell r="P81">
            <v>1.1124274080177901</v>
          </cell>
          <cell r="Q81">
            <v>1.1127599557642001</v>
          </cell>
          <cell r="U81">
            <v>3.7815570174011401E-3</v>
          </cell>
          <cell r="V81">
            <v>2.0513486810430702E-3</v>
          </cell>
          <cell r="W81">
            <v>2.4394842480976501E-3</v>
          </cell>
          <cell r="Y81">
            <v>1.1139962285470999</v>
          </cell>
          <cell r="Z81">
            <v>1.11241250708627</v>
          </cell>
          <cell r="AA81">
            <v>1.11273236724529</v>
          </cell>
          <cell r="AF81">
            <v>2.0446179935928702E-3</v>
          </cell>
          <cell r="AG81">
            <v>2.4107948206543799E-3</v>
          </cell>
          <cell r="AR81">
            <v>1.6811333356059461E-2</v>
          </cell>
          <cell r="BC81">
            <v>1.1044618033177373E-2</v>
          </cell>
          <cell r="BF81">
            <v>2.7855951389236834E-2</v>
          </cell>
        </row>
        <row r="82">
          <cell r="O82">
            <v>1.1144210713463301</v>
          </cell>
          <cell r="P82">
            <v>1.1124955669033401</v>
          </cell>
          <cell r="Q82">
            <v>1.11287848361793</v>
          </cell>
          <cell r="U82">
            <v>-1.4840220734905701E-4</v>
          </cell>
          <cell r="V82">
            <v>-1.9389720460053501E-3</v>
          </cell>
          <cell r="W82">
            <v>-1.64007789057519E-3</v>
          </cell>
          <cell r="Y82">
            <v>1.1139962285470999</v>
          </cell>
          <cell r="Z82">
            <v>1.1124804524731799</v>
          </cell>
          <cell r="AA82">
            <v>1.1128616488856999</v>
          </cell>
          <cell r="AF82">
            <v>-1.9324473245982601E-3</v>
          </cell>
          <cell r="AG82">
            <v>-1.64495129239017E-3</v>
          </cell>
          <cell r="AR82">
            <v>1.6811333356059461E-2</v>
          </cell>
          <cell r="BC82">
            <v>1.1044618033177373E-2</v>
          </cell>
          <cell r="BF82">
            <v>2.7855951389236834E-2</v>
          </cell>
        </row>
        <row r="83">
          <cell r="O83">
            <v>1.1144210713463301</v>
          </cell>
          <cell r="P83">
            <v>1.1130009104912</v>
          </cell>
          <cell r="Q83">
            <v>1.1130570145891301</v>
          </cell>
          <cell r="U83">
            <v>-9.6661866374981003E-4</v>
          </cell>
          <cell r="V83">
            <v>-2.69591996741359E-3</v>
          </cell>
          <cell r="W83">
            <v>-2.3517830181454999E-3</v>
          </cell>
          <cell r="Y83">
            <v>1.1139962285470999</v>
          </cell>
          <cell r="Z83">
            <v>1.11298413499972</v>
          </cell>
          <cell r="AA83">
            <v>1.11303965110087</v>
          </cell>
          <cell r="AF83">
            <v>-2.6871555198062099E-3</v>
          </cell>
          <cell r="AG83">
            <v>-2.3445597310374098E-3</v>
          </cell>
          <cell r="AR83">
            <v>1.6811333356059461E-2</v>
          </cell>
          <cell r="BC83">
            <v>1.1044618033177373E-2</v>
          </cell>
          <cell r="BF83">
            <v>2.7855951389236834E-2</v>
          </cell>
        </row>
        <row r="84">
          <cell r="O84">
            <v>1.1144210713463301</v>
          </cell>
          <cell r="P84">
            <v>1.1130143757342399</v>
          </cell>
          <cell r="Q84">
            <v>1.1131342029986699</v>
          </cell>
          <cell r="U84">
            <v>-5.6293209335356298E-4</v>
          </cell>
          <cell r="V84">
            <v>-1.83809329688336E-3</v>
          </cell>
          <cell r="W84">
            <v>-1.78768661401225E-3</v>
          </cell>
          <cell r="Y84">
            <v>1.1139962285470999</v>
          </cell>
          <cell r="Z84">
            <v>1.11298051550991</v>
          </cell>
          <cell r="AA84">
            <v>1.1131081343176099</v>
          </cell>
          <cell r="AF84">
            <v>-1.6791949614890899E-3</v>
          </cell>
          <cell r="AG84">
            <v>-1.629315798912E-3</v>
          </cell>
          <cell r="AR84">
            <v>1.6811333356059461E-2</v>
          </cell>
          <cell r="BC84">
            <v>1.1044618033177373E-2</v>
          </cell>
          <cell r="BF84">
            <v>2.7855951389236834E-2</v>
          </cell>
        </row>
        <row r="85">
          <cell r="O85">
            <v>1.1144210713463301</v>
          </cell>
          <cell r="P85">
            <v>1.11356720598438</v>
          </cell>
          <cell r="Q85">
            <v>1.11334023190288</v>
          </cell>
          <cell r="U85">
            <v>-4.2052515411856199E-3</v>
          </cell>
          <cell r="V85">
            <v>-5.46831467592045E-3</v>
          </cell>
          <cell r="W85">
            <v>-5.3606603479990304E-3</v>
          </cell>
          <cell r="Y85">
            <v>1.1139962285470999</v>
          </cell>
          <cell r="Z85">
            <v>1.113514101252</v>
          </cell>
          <cell r="AA85">
            <v>1.1133048692476399</v>
          </cell>
          <cell r="AF85">
            <v>-5.3100893552906004E-3</v>
          </cell>
          <cell r="AG85">
            <v>-5.1954319198366699E-3</v>
          </cell>
          <cell r="AR85">
            <v>1.6811333356059461E-2</v>
          </cell>
          <cell r="BC85">
            <v>1.1044618033177373E-2</v>
          </cell>
          <cell r="BF85">
            <v>2.7855951389236834E-2</v>
          </cell>
        </row>
        <row r="86">
          <cell r="O86">
            <v>1.1144210713463301</v>
          </cell>
          <cell r="P86">
            <v>1.11369496608326</v>
          </cell>
          <cell r="Q86">
            <v>1.1134239623653901</v>
          </cell>
          <cell r="U86">
            <v>-1.05007824747027E-3</v>
          </cell>
          <cell r="V86">
            <v>-1.81656828015479E-3</v>
          </cell>
          <cell r="W86">
            <v>-2.02041517421459E-3</v>
          </cell>
          <cell r="Y86">
            <v>1.1139962285470999</v>
          </cell>
          <cell r="Z86">
            <v>1.1136247286179199</v>
          </cell>
          <cell r="AA86">
            <v>1.11338003119746</v>
          </cell>
          <cell r="AF86">
            <v>-1.6916108395077199E-3</v>
          </cell>
          <cell r="AG86">
            <v>-1.87953092439436E-3</v>
          </cell>
          <cell r="AR86">
            <v>1.996650664977466E-2</v>
          </cell>
          <cell r="BC86">
            <v>1.1044618033177373E-2</v>
          </cell>
          <cell r="BF86">
            <v>3.1011124682952033E-2</v>
          </cell>
        </row>
        <row r="87">
          <cell r="O87">
            <v>1.1144210713463301</v>
          </cell>
          <cell r="P87">
            <v>1.1144411764828199</v>
          </cell>
          <cell r="Q87">
            <v>1.1136999923581199</v>
          </cell>
          <cell r="U87">
            <v>-4.6724409475781799E-3</v>
          </cell>
          <cell r="V87">
            <v>-5.3242070823503601E-3</v>
          </cell>
          <cell r="W87">
            <v>-5.5675741659360596E-3</v>
          </cell>
          <cell r="Y87">
            <v>1.1139962285470999</v>
          </cell>
          <cell r="Z87">
            <v>1.1143516426917801</v>
          </cell>
          <cell r="AA87">
            <v>1.1136467822409299</v>
          </cell>
          <cell r="AF87">
            <v>-5.2024342984234298E-3</v>
          </cell>
          <cell r="AG87">
            <v>-5.4221890343509899E-3</v>
          </cell>
          <cell r="AR87">
            <v>1.996650664977466E-2</v>
          </cell>
          <cell r="BC87">
            <v>1.1044618033177373E-2</v>
          </cell>
          <cell r="BF87">
            <v>3.1011124682952033E-2</v>
          </cell>
        </row>
        <row r="88">
          <cell r="O88">
            <v>1.1144210713463301</v>
          </cell>
          <cell r="P88">
            <v>1.1151227768754299</v>
          </cell>
          <cell r="Q88">
            <v>1.1138104482467699</v>
          </cell>
          <cell r="U88">
            <v>-2.0473557170474E-3</v>
          </cell>
          <cell r="V88">
            <v>-2.0293150000776101E-3</v>
          </cell>
          <cell r="W88">
            <v>-2.69460870983364E-3</v>
          </cell>
          <cell r="Y88">
            <v>1.1139962285470999</v>
          </cell>
          <cell r="Z88">
            <v>1.1150142078331899</v>
          </cell>
          <cell r="AA88">
            <v>1.11374853119796</v>
          </cell>
          <cell r="AF88">
            <v>-1.93343596106321E-3</v>
          </cell>
          <cell r="AG88">
            <v>-2.56616573903017E-3</v>
          </cell>
          <cell r="AR88">
            <v>2.2591591880305462E-2</v>
          </cell>
          <cell r="BC88">
            <v>1.1044618033177373E-2</v>
          </cell>
          <cell r="BF88">
            <v>3.3636209913482831E-2</v>
          </cell>
        </row>
        <row r="89">
          <cell r="O89">
            <v>1.1144210713463301</v>
          </cell>
          <cell r="P89">
            <v>1.1153410172827201</v>
          </cell>
          <cell r="Q89">
            <v>1.11380839313086</v>
          </cell>
          <cell r="U89">
            <v>-8.7741677596738996E-4</v>
          </cell>
          <cell r="V89">
            <v>-2.4795568433561401E-4</v>
          </cell>
          <cell r="W89">
            <v>-1.4254954737857599E-3</v>
          </cell>
          <cell r="Y89">
            <v>1.1139962285470999</v>
          </cell>
          <cell r="Z89">
            <v>1.1152151607769301</v>
          </cell>
          <cell r="AA89">
            <v>1.1137382551644801</v>
          </cell>
          <cell r="AF89">
            <v>-1.7467952255727199E-4</v>
          </cell>
          <cell r="AG89">
            <v>-1.3104457924481799E-3</v>
          </cell>
          <cell r="AR89">
            <v>2.2591591880305462E-2</v>
          </cell>
          <cell r="BC89">
            <v>1.1044618033177373E-2</v>
          </cell>
          <cell r="BF89">
            <v>3.3636209913482831E-2</v>
          </cell>
        </row>
        <row r="90">
          <cell r="O90">
            <v>1.1144210713463301</v>
          </cell>
          <cell r="P90">
            <v>1.1159444096122699</v>
          </cell>
          <cell r="Q90">
            <v>1.1142194837231101</v>
          </cell>
          <cell r="U90">
            <v>-2.88561830659903E-3</v>
          </cell>
          <cell r="V90">
            <v>-2.0604666069854302E-3</v>
          </cell>
          <cell r="W90">
            <v>-3.4355421278953599E-3</v>
          </cell>
          <cell r="Y90">
            <v>1.1139962285470999</v>
          </cell>
          <cell r="Z90">
            <v>1.1158000022738299</v>
          </cell>
          <cell r="AA90">
            <v>1.1141397150088901</v>
          </cell>
          <cell r="AF90">
            <v>-1.9964688747845798E-3</v>
          </cell>
          <cell r="AG90">
            <v>-3.3216700369316601E-3</v>
          </cell>
          <cell r="AR90">
            <v>2.2591591880305462E-2</v>
          </cell>
          <cell r="BC90">
            <v>1.1044618033177373E-2</v>
          </cell>
          <cell r="BF90">
            <v>3.3636209913482831E-2</v>
          </cell>
        </row>
        <row r="91">
          <cell r="O91">
            <v>1.1144210713463301</v>
          </cell>
          <cell r="P91">
            <v>1.11651533664747</v>
          </cell>
          <cell r="Q91">
            <v>1.1144713723326301</v>
          </cell>
          <cell r="U91">
            <v>-1.34775727138071E-3</v>
          </cell>
          <cell r="V91">
            <v>1.8241723688572298E-5</v>
          </cell>
          <cell r="W91">
            <v>-1.5286636300237101E-3</v>
          </cell>
          <cell r="Y91">
            <v>1.1139962285470999</v>
          </cell>
          <cell r="Z91">
            <v>1.1163524547783701</v>
          </cell>
          <cell r="AA91">
            <v>1.11438248093232</v>
          </cell>
          <cell r="AF91">
            <v>6.1232547144415494E-5</v>
          </cell>
          <cell r="AG91">
            <v>-1.4278548563056599E-3</v>
          </cell>
          <cell r="AR91">
            <v>2.2591591880305462E-2</v>
          </cell>
          <cell r="BC91">
            <v>1.1044618033177373E-2</v>
          </cell>
          <cell r="BF91">
            <v>3.3636209913482831E-2</v>
          </cell>
        </row>
        <row r="92">
          <cell r="O92">
            <v>1.1144210713463301</v>
          </cell>
          <cell r="P92">
            <v>1.1169201377864899</v>
          </cell>
          <cell r="Q92">
            <v>1.1147078523449201</v>
          </cell>
          <cell r="U92">
            <v>-3.7736734417541402E-3</v>
          </cell>
          <cell r="V92">
            <v>-1.89619642464856E-3</v>
          </cell>
          <cell r="W92">
            <v>-3.72853803250534E-3</v>
          </cell>
          <cell r="Y92">
            <v>1.1139962285470999</v>
          </cell>
          <cell r="Z92">
            <v>1.1167392920305901</v>
          </cell>
          <cell r="AA92">
            <v>1.11460987225189</v>
          </cell>
          <cell r="AF92">
            <v>-1.86163977997017E-3</v>
          </cell>
          <cell r="AG92">
            <v>-3.6278508403950502E-3</v>
          </cell>
          <cell r="AR92">
            <v>2.2591591880305462E-2</v>
          </cell>
          <cell r="BC92">
            <v>1.1044618033177373E-2</v>
          </cell>
          <cell r="BF92">
            <v>3.3636209913482831E-2</v>
          </cell>
        </row>
        <row r="93">
          <cell r="O93">
            <v>1.1144210713463301</v>
          </cell>
          <cell r="P93">
            <v>1.11720285484354</v>
          </cell>
          <cell r="Q93">
            <v>1.11510188266737</v>
          </cell>
          <cell r="U93">
            <v>-3.4978575379665E-3</v>
          </cell>
          <cell r="V93">
            <v>-1.25788861268746E-3</v>
          </cell>
          <cell r="W93">
            <v>-3.24055434018313E-3</v>
          </cell>
          <cell r="Y93">
            <v>1.1139962285470999</v>
          </cell>
          <cell r="Z93">
            <v>1.1170045505227699</v>
          </cell>
          <cell r="AA93">
            <v>1.1149943427612501</v>
          </cell>
          <cell r="AF93">
            <v>-1.24139325023498E-3</v>
          </cell>
          <cell r="AG93">
            <v>-3.1500326144627399E-3</v>
          </cell>
          <cell r="AR93">
            <v>2.2591591880305462E-2</v>
          </cell>
          <cell r="BC93">
            <v>1.1044618033177373E-2</v>
          </cell>
          <cell r="BF93">
            <v>3.3636209913482831E-2</v>
          </cell>
        </row>
        <row r="94">
          <cell r="O94">
            <v>1.1144210713463301</v>
          </cell>
          <cell r="P94">
            <v>1.11784153637921</v>
          </cell>
          <cell r="Q94">
            <v>1.11542795605672</v>
          </cell>
          <cell r="U94">
            <v>-6.2744263176436601E-3</v>
          </cell>
          <cell r="V94">
            <v>-3.7813674241849999E-3</v>
          </cell>
          <cell r="W94">
            <v>-5.6637025383919296E-3</v>
          </cell>
          <cell r="Y94">
            <v>1.1139962285470999</v>
          </cell>
          <cell r="Z94">
            <v>1.1176409228702899</v>
          </cell>
          <cell r="AA94">
            <v>1.1153107191900999</v>
          </cell>
          <cell r="AF94">
            <v>-3.76530890294695E-3</v>
          </cell>
          <cell r="AG94">
            <v>-5.56657171816925E-3</v>
          </cell>
          <cell r="AR94">
            <v>2.2591591880305462E-2</v>
          </cell>
          <cell r="BC94">
            <v>1.1044618033177373E-2</v>
          </cell>
          <cell r="BF94">
            <v>3.3636209913482831E-2</v>
          </cell>
        </row>
        <row r="95">
          <cell r="O95">
            <v>1.1144210713463301</v>
          </cell>
          <cell r="P95">
            <v>1.1180822406001401</v>
          </cell>
          <cell r="Q95">
            <v>1.11582472329226</v>
          </cell>
          <cell r="U95">
            <v>-6.3537816418672496E-3</v>
          </cell>
          <cell r="V95">
            <v>-3.2892069829422799E-3</v>
          </cell>
          <cell r="W95">
            <v>-5.4506848254899098E-3</v>
          </cell>
          <cell r="Y95">
            <v>1.1139962285470999</v>
          </cell>
          <cell r="Z95">
            <v>1.1178806468148601</v>
          </cell>
          <cell r="AA95">
            <v>1.1156973740334299</v>
          </cell>
          <cell r="AF95">
            <v>-3.2717029479802599E-3</v>
          </cell>
          <cell r="AG95">
            <v>-5.3588099700650899E-3</v>
          </cell>
          <cell r="AR95">
            <v>2.2512236556081963E-2</v>
          </cell>
          <cell r="BC95">
            <v>1.1044618033177373E-2</v>
          </cell>
          <cell r="BF95">
            <v>3.3556854589259333E-2</v>
          </cell>
        </row>
        <row r="96">
          <cell r="O96">
            <v>1.1144210713463301</v>
          </cell>
          <cell r="P96">
            <v>1.1184324594563899</v>
          </cell>
          <cell r="Q96">
            <v>1.1160637127698201</v>
          </cell>
          <cell r="U96">
            <v>-4.1844706405904496E-3</v>
          </cell>
          <cell r="V96">
            <v>-9.0458969588090403E-4</v>
          </cell>
          <cell r="W96">
            <v>-2.92572854621334E-3</v>
          </cell>
          <cell r="Y96">
            <v>1.1139962285470999</v>
          </cell>
          <cell r="Z96">
            <v>1.11822902898038</v>
          </cell>
          <cell r="AA96">
            <v>1.1159268787991501</v>
          </cell>
          <cell r="AF96">
            <v>-8.9638679783159104E-4</v>
          </cell>
          <cell r="AG96">
            <v>-2.8513428874726299E-3</v>
          </cell>
          <cell r="AR96">
            <v>2.4681547557358845E-2</v>
          </cell>
          <cell r="BC96">
            <v>1.1044618033177373E-2</v>
          </cell>
          <cell r="BF96">
            <v>3.5726165590536214E-2</v>
          </cell>
        </row>
        <row r="97">
          <cell r="O97">
            <v>1.1144210713463301</v>
          </cell>
          <cell r="P97">
            <v>1.1185526092162701</v>
          </cell>
          <cell r="Q97">
            <v>1.11649689284954</v>
          </cell>
          <cell r="U97">
            <v>-5.7449759094961696E-3</v>
          </cell>
          <cell r="V97">
            <v>-2.1519122621612599E-3</v>
          </cell>
          <cell r="W97">
            <v>-4.2720748324209298E-3</v>
          </cell>
          <cell r="Y97">
            <v>1.1139962285470999</v>
          </cell>
          <cell r="Z97">
            <v>1.11834813833553</v>
          </cell>
          <cell r="AA97">
            <v>1.11634989051365</v>
          </cell>
          <cell r="AF97">
            <v>-2.1398899513564102E-3</v>
          </cell>
          <cell r="AG97">
            <v>-4.2007586561925098E-3</v>
          </cell>
          <cell r="AR97">
            <v>2.4681547557358845E-2</v>
          </cell>
          <cell r="BC97">
            <v>1.1044618033177373E-2</v>
          </cell>
          <cell r="BF97">
            <v>3.5726165590536214E-2</v>
          </cell>
        </row>
        <row r="98">
          <cell r="O98">
            <v>1.1144210713463301</v>
          </cell>
          <cell r="P98">
            <v>1.11885895022683</v>
          </cell>
          <cell r="Q98">
            <v>1.1169908635511301</v>
          </cell>
          <cell r="U98">
            <v>-4.78685795238984E-3</v>
          </cell>
          <cell r="V98">
            <v>-1.08637314996378E-3</v>
          </cell>
          <cell r="W98">
            <v>-2.9259001443445801E-3</v>
          </cell>
          <cell r="Y98">
            <v>1.1139962285470999</v>
          </cell>
          <cell r="Z98">
            <v>1.1186533523165101</v>
          </cell>
          <cell r="AA98">
            <v>1.11683378007485</v>
          </cell>
          <cell r="AF98">
            <v>-1.0833829620987799E-3</v>
          </cell>
          <cell r="AG98">
            <v>-2.87176629502623E-3</v>
          </cell>
          <cell r="AR98">
            <v>2.4681547557358845E-2</v>
          </cell>
          <cell r="BC98">
            <v>1.1044618033177373E-2</v>
          </cell>
          <cell r="BF98">
            <v>3.5726165590536214E-2</v>
          </cell>
        </row>
        <row r="99">
          <cell r="O99">
            <v>1.1144210713463301</v>
          </cell>
          <cell r="P99">
            <v>1.11936823812761</v>
          </cell>
          <cell r="Q99">
            <v>1.11735462770516</v>
          </cell>
          <cell r="U99">
            <v>-5.4329936525115497E-3</v>
          </cell>
          <cell r="V99">
            <v>-1.4586736576485499E-3</v>
          </cell>
          <cell r="W99">
            <v>-3.1297045997808999E-3</v>
          </cell>
          <cell r="Y99">
            <v>1.1139962285470999</v>
          </cell>
          <cell r="Z99">
            <v>1.11916060942829</v>
          </cell>
          <cell r="AA99">
            <v>1.11718788510261</v>
          </cell>
          <cell r="AF99">
            <v>-1.45445414215173E-3</v>
          </cell>
          <cell r="AG99">
            <v>-3.082352256283E-3</v>
          </cell>
          <cell r="AR99">
            <v>2.4681547557358845E-2</v>
          </cell>
          <cell r="BC99">
            <v>1.1044618033177373E-2</v>
          </cell>
          <cell r="BF99">
            <v>3.5726165590536214E-2</v>
          </cell>
        </row>
        <row r="100">
          <cell r="O100">
            <v>1.1144210713463301</v>
          </cell>
          <cell r="P100">
            <v>1.11992258835517</v>
          </cell>
          <cell r="Q100">
            <v>1.11793349898372</v>
          </cell>
          <cell r="U100">
            <v>-7.83335837673306E-3</v>
          </cell>
          <cell r="V100">
            <v>-3.4039568671593401E-3</v>
          </cell>
          <cell r="W100">
            <v>-5.2044579459316603E-3</v>
          </cell>
          <cell r="Y100">
            <v>1.1139962285470999</v>
          </cell>
          <cell r="Z100">
            <v>1.11971272268791</v>
          </cell>
          <cell r="AA100">
            <v>1.11775636248087</v>
          </cell>
          <cell r="AF100">
            <v>-3.3935689969551599E-3</v>
          </cell>
          <cell r="AG100">
            <v>-5.1578064064492597E-3</v>
          </cell>
          <cell r="AR100">
            <v>2.4681547557358845E-2</v>
          </cell>
          <cell r="BC100">
            <v>1.1044618033177373E-2</v>
          </cell>
          <cell r="BF100">
            <v>3.5726165590536214E-2</v>
          </cell>
        </row>
        <row r="101">
          <cell r="O101">
            <v>1.1144210713463301</v>
          </cell>
          <cell r="P101">
            <v>1.1205180045824601</v>
          </cell>
          <cell r="Q101">
            <v>1.1185166706149701</v>
          </cell>
          <cell r="U101">
            <v>-6.66920716695366E-3</v>
          </cell>
          <cell r="V101">
            <v>-1.7446933367003001E-3</v>
          </cell>
          <cell r="W101">
            <v>-3.5223678766484298E-3</v>
          </cell>
          <cell r="Y101">
            <v>1.1139962285470999</v>
          </cell>
          <cell r="Z101">
            <v>1.12030596779034</v>
          </cell>
          <cell r="AA101">
            <v>1.1183292112843599</v>
          </cell>
          <cell r="AF101">
            <v>-1.74125998903405E-3</v>
          </cell>
          <cell r="AG101">
            <v>-3.48998645731283E-3</v>
          </cell>
          <cell r="AR101">
            <v>2.5845698767138228E-2</v>
          </cell>
          <cell r="BC101">
            <v>1.1044618033177373E-2</v>
          </cell>
          <cell r="BF101">
            <v>3.6890316800315598E-2</v>
          </cell>
        </row>
        <row r="102">
          <cell r="O102">
            <v>1.1144210713463301</v>
          </cell>
          <cell r="P102">
            <v>1.1204350989732099</v>
          </cell>
          <cell r="Q102">
            <v>1.1186776183798499</v>
          </cell>
          <cell r="U102">
            <v>-3.0322664127279001E-3</v>
          </cell>
          <cell r="V102">
            <v>2.4237645157130202E-3</v>
          </cell>
          <cell r="W102">
            <v>6.3608831520336302E-4</v>
          </cell>
          <cell r="Y102">
            <v>1.1139962285470999</v>
          </cell>
          <cell r="Z102">
            <v>1.1202237276758999</v>
          </cell>
          <cell r="AA102">
            <v>1.1184815098532399</v>
          </cell>
          <cell r="AF102">
            <v>2.4091461907814801E-3</v>
          </cell>
          <cell r="AG102">
            <v>6.4310852798098801E-4</v>
          </cell>
          <cell r="AR102">
            <v>2.9482639521364058E-2</v>
          </cell>
          <cell r="BC102">
            <v>1.1044618033177373E-2</v>
          </cell>
          <cell r="BF102">
            <v>4.0527257554541424E-2</v>
          </cell>
        </row>
        <row r="103">
          <cell r="O103">
            <v>1.1144210713463301</v>
          </cell>
          <cell r="P103">
            <v>1.12023987348396</v>
          </cell>
          <cell r="Q103">
            <v>1.1187213641637499</v>
          </cell>
          <cell r="U103">
            <v>-1.75063809769628E-3</v>
          </cell>
          <cell r="V103">
            <v>3.6314014480915298E-3</v>
          </cell>
          <cell r="W103">
            <v>2.0616002133025798E-3</v>
          </cell>
          <cell r="Y103">
            <v>1.1139962285470999</v>
          </cell>
          <cell r="Z103">
            <v>1.1200296094605799</v>
          </cell>
          <cell r="AA103">
            <v>1.1185170799916799</v>
          </cell>
          <cell r="AF103">
            <v>3.6115475416333398E-3</v>
          </cell>
          <cell r="AG103">
            <v>2.0550959416967001E-3</v>
          </cell>
          <cell r="AR103">
            <v>2.9482639521364058E-2</v>
          </cell>
          <cell r="BC103">
            <v>1.1044618033177373E-2</v>
          </cell>
          <cell r="BF103">
            <v>4.0527257554541424E-2</v>
          </cell>
        </row>
        <row r="104">
          <cell r="O104">
            <v>1.1144210713463301</v>
          </cell>
          <cell r="P104">
            <v>1.1201588385255199</v>
          </cell>
          <cell r="Q104">
            <v>1.1190001874523601</v>
          </cell>
          <cell r="U104">
            <v>-5.5515647955813102E-3</v>
          </cell>
          <cell r="V104">
            <v>-3.43781214746613E-4</v>
          </cell>
          <cell r="W104">
            <v>-1.7002223424516299E-3</v>
          </cell>
          <cell r="Y104">
            <v>1.1139962285470999</v>
          </cell>
          <cell r="Z104">
            <v>1.11990953343609</v>
          </cell>
          <cell r="AA104">
            <v>1.11877522815319</v>
          </cell>
          <cell r="AF104">
            <v>1.07353647708127E-5</v>
          </cell>
          <cell r="AG104">
            <v>-1.3406143356426499E-3</v>
          </cell>
          <cell r="AR104">
            <v>2.9482639521364058E-2</v>
          </cell>
          <cell r="BC104">
            <v>1.1044618033177373E-2</v>
          </cell>
          <cell r="BF104">
            <v>4.0527257554541424E-2</v>
          </cell>
        </row>
        <row r="105">
          <cell r="O105">
            <v>1.1144210713463301</v>
          </cell>
          <cell r="P105">
            <v>1.11989008984524</v>
          </cell>
          <cell r="Q105">
            <v>1.11898616522269</v>
          </cell>
          <cell r="U105">
            <v>-3.9546256922740703E-3</v>
          </cell>
          <cell r="V105">
            <v>1.18081812328241E-3</v>
          </cell>
          <cell r="W105">
            <v>1.4591960725389799E-4</v>
          </cell>
          <cell r="Y105">
            <v>1.1139962285470999</v>
          </cell>
          <cell r="Z105">
            <v>1.11960382935742</v>
          </cell>
          <cell r="AA105">
            <v>1.11874223808614</v>
          </cell>
          <cell r="AF105">
            <v>1.48611124191028E-3</v>
          </cell>
          <cell r="AG105">
            <v>4.7274357225754102E-4</v>
          </cell>
          <cell r="AR105">
            <v>2.9482639521364058E-2</v>
          </cell>
          <cell r="BC105">
            <v>1.1044618033177373E-2</v>
          </cell>
          <cell r="BF105">
            <v>4.0527257554541424E-2</v>
          </cell>
        </row>
        <row r="106">
          <cell r="O106">
            <v>1.1144210713463301</v>
          </cell>
          <cell r="P106">
            <v>1.12007642219574</v>
          </cell>
          <cell r="Q106">
            <v>1.1192544408260601</v>
          </cell>
          <cell r="U106">
            <v>-5.8481144530921304E-3</v>
          </cell>
          <cell r="V106">
            <v>-9.5261957630285595E-4</v>
          </cell>
          <cell r="W106">
            <v>-1.76010026633105E-3</v>
          </cell>
          <cell r="Y106">
            <v>1.1139962285470999</v>
          </cell>
          <cell r="Z106">
            <v>1.11975034097205</v>
          </cell>
          <cell r="AA106">
            <v>1.11898968497621</v>
          </cell>
          <cell r="AF106">
            <v>-6.6468951192008899E-4</v>
          </cell>
          <cell r="AG106">
            <v>-1.43453589659367E-3</v>
          </cell>
          <cell r="AR106">
            <v>2.9482639521364058E-2</v>
          </cell>
          <cell r="BC106">
            <v>1.1044618033177373E-2</v>
          </cell>
          <cell r="BF106">
            <v>4.0527257554541424E-2</v>
          </cell>
        </row>
        <row r="107">
          <cell r="O107">
            <v>1.1144210713463301</v>
          </cell>
          <cell r="P107">
            <v>1.11997473159098</v>
          </cell>
          <cell r="Q107">
            <v>1.1192636704036301</v>
          </cell>
          <cell r="U107">
            <v>-4.8372941891380097E-3</v>
          </cell>
          <cell r="V107">
            <v>2.2457134536705401E-4</v>
          </cell>
          <cell r="W107">
            <v>-5.0955992586930801E-4</v>
          </cell>
          <cell r="Y107">
            <v>1.1139962285470999</v>
          </cell>
          <cell r="Z107">
            <v>1.11961020998677</v>
          </cell>
          <cell r="AA107">
            <v>1.1189791741611499</v>
          </cell>
          <cell r="AF107">
            <v>4.7090571179754401E-4</v>
          </cell>
          <cell r="AG107">
            <v>-2.0863368651230399E-4</v>
          </cell>
          <cell r="AR107">
            <v>2.9482639521364058E-2</v>
          </cell>
          <cell r="BC107">
            <v>1.1044618033177373E-2</v>
          </cell>
          <cell r="BF107">
            <v>4.0527257554541424E-2</v>
          </cell>
        </row>
        <row r="108">
          <cell r="O108">
            <v>1.1144210713463301</v>
          </cell>
          <cell r="P108">
            <v>1.1198006059432699</v>
          </cell>
          <cell r="Q108">
            <v>1.11932977808505</v>
          </cell>
          <cell r="U108">
            <v>-3.2306328726491298E-3</v>
          </cell>
          <cell r="V108">
            <v>1.7404395523735799E-3</v>
          </cell>
          <cell r="W108">
            <v>1.10534754017491E-3</v>
          </cell>
          <cell r="Y108">
            <v>1.1139962285470999</v>
          </cell>
          <cell r="Z108">
            <v>1.1193952392406901</v>
          </cell>
          <cell r="AA108">
            <v>1.1190242957786001</v>
          </cell>
          <cell r="AF108">
            <v>1.9664759995248701E-3</v>
          </cell>
          <cell r="AG108">
            <v>1.40269610598543E-3</v>
          </cell>
          <cell r="AR108">
            <v>2.9482639521364058E-2</v>
          </cell>
          <cell r="BC108">
            <v>1.1044618033177373E-2</v>
          </cell>
          <cell r="BF108">
            <v>4.0527257554541424E-2</v>
          </cell>
        </row>
        <row r="109">
          <cell r="O109">
            <v>1.1144210713463301</v>
          </cell>
          <cell r="P109">
            <v>1.1197729859140999</v>
          </cell>
          <cell r="Q109">
            <v>1.11957061202085</v>
          </cell>
          <cell r="U109">
            <v>-5.1864641889174104E-3</v>
          </cell>
          <cell r="V109">
            <v>-3.7087668700434698E-4</v>
          </cell>
          <cell r="W109">
            <v>-7.9142197415466497E-4</v>
          </cell>
          <cell r="Y109">
            <v>1.1139962285470999</v>
          </cell>
          <cell r="Z109">
            <v>1.11932595715865</v>
          </cell>
          <cell r="AA109">
            <v>1.11924328329347</v>
          </cell>
          <cell r="AF109">
            <v>-1.7285166235152499E-4</v>
          </cell>
          <cell r="AG109">
            <v>-5.0428503280088195E-4</v>
          </cell>
          <cell r="AR109">
            <v>2.9482639521364058E-2</v>
          </cell>
          <cell r="BC109">
            <v>1.1044618033177373E-2</v>
          </cell>
          <cell r="BF109">
            <v>4.0527257554541424E-2</v>
          </cell>
        </row>
        <row r="110">
          <cell r="O110">
            <v>1.1144210713463301</v>
          </cell>
          <cell r="P110">
            <v>1.11957714427695</v>
          </cell>
          <cell r="Q110">
            <v>1.1197498663160601</v>
          </cell>
          <cell r="U110">
            <v>-6.0882089020859098E-3</v>
          </cell>
          <cell r="V110">
            <v>-1.2972868358360401E-3</v>
          </cell>
          <cell r="W110">
            <v>-1.47803077703523E-3</v>
          </cell>
          <cell r="Y110">
            <v>1.1139962285470999</v>
          </cell>
          <cell r="Z110">
            <v>1.1190882770572901</v>
          </cell>
          <cell r="AA110">
            <v>1.1194004998725999</v>
          </cell>
          <cell r="AF110">
            <v>-1.12705366312064E-3</v>
          </cell>
          <cell r="AG110">
            <v>-1.2009167929487299E-3</v>
          </cell>
          <cell r="AR110">
            <v>2.9482639521364058E-2</v>
          </cell>
          <cell r="BC110">
            <v>1.1044618033177373E-2</v>
          </cell>
          <cell r="BF110">
            <v>4.0527257554541424E-2</v>
          </cell>
        </row>
        <row r="111">
          <cell r="O111">
            <v>1.1144210713463301</v>
          </cell>
          <cell r="P111">
            <v>1.11918305339498</v>
          </cell>
          <cell r="Q111">
            <v>1.11985052898872</v>
          </cell>
          <cell r="U111">
            <v>-3.1502451380963801E-3</v>
          </cell>
          <cell r="V111">
            <v>1.46576757833608E-3</v>
          </cell>
          <cell r="W111">
            <v>1.62003003186371E-3</v>
          </cell>
          <cell r="Y111">
            <v>1.1139962285470999</v>
          </cell>
          <cell r="Z111">
            <v>1.11865288966675</v>
          </cell>
          <cell r="AA111">
            <v>1.1194794287285399</v>
          </cell>
          <cell r="AF111">
            <v>1.59007367925974E-3</v>
          </cell>
          <cell r="AG111">
            <v>1.86903225216376E-3</v>
          </cell>
          <cell r="AR111">
            <v>2.9482639521364058E-2</v>
          </cell>
          <cell r="BC111">
            <v>1.1044618033177373E-2</v>
          </cell>
          <cell r="BF111">
            <v>4.0527257554541424E-2</v>
          </cell>
        </row>
        <row r="112">
          <cell r="O112">
            <v>1.1144210713463301</v>
          </cell>
          <cell r="P112">
            <v>1.11926579471771</v>
          </cell>
          <cell r="Q112">
            <v>1.11985044684546</v>
          </cell>
          <cell r="U112">
            <v>-3.77220480612809E-3</v>
          </cell>
          <cell r="V112">
            <v>4.9174618752121496E-4</v>
          </cell>
          <cell r="W112">
            <v>1.0879637867278599E-3</v>
          </cell>
          <cell r="Y112">
            <v>1.1139962285470999</v>
          </cell>
          <cell r="Z112">
            <v>1.1186933763458899</v>
          </cell>
          <cell r="AA112">
            <v>1.11945855201089</v>
          </cell>
          <cell r="AF112">
            <v>5.7030140273921399E-4</v>
          </cell>
          <cell r="AG112">
            <v>1.30889857376331E-3</v>
          </cell>
          <cell r="AR112">
            <v>2.9482639521364058E-2</v>
          </cell>
          <cell r="BC112">
            <v>1.1044618033177373E-2</v>
          </cell>
          <cell r="BF112">
            <v>4.0527257554541424E-2</v>
          </cell>
        </row>
        <row r="113">
          <cell r="O113">
            <v>1.1144210713463301</v>
          </cell>
          <cell r="P113">
            <v>1.11966996383092</v>
          </cell>
          <cell r="Q113">
            <v>1.11995491865744</v>
          </cell>
          <cell r="U113">
            <v>-5.3644749546874699E-3</v>
          </cell>
          <cell r="V113">
            <v>-1.0265965868726001E-3</v>
          </cell>
          <cell r="W113">
            <v>-5.04379713821646E-4</v>
          </cell>
          <cell r="Y113">
            <v>1.1139962285470999</v>
          </cell>
          <cell r="Z113">
            <v>1.1190543215842801</v>
          </cell>
          <cell r="AA113">
            <v>1.1195419655224299</v>
          </cell>
          <cell r="AF113">
            <v>-9.840208250478761E-4</v>
          </cell>
          <cell r="AG113">
            <v>-3.0026411923972601E-4</v>
          </cell>
          <cell r="AR113">
            <v>2.9482639521364058E-2</v>
          </cell>
          <cell r="BC113">
            <v>1.1044618033177373E-2</v>
          </cell>
          <cell r="BF113">
            <v>4.0527257554541424E-2</v>
          </cell>
        </row>
        <row r="114">
          <cell r="O114">
            <v>1.1144210713463301</v>
          </cell>
          <cell r="P114">
            <v>1.1198239107021799</v>
          </cell>
          <cell r="Q114">
            <v>1.1199913746138499</v>
          </cell>
          <cell r="U114">
            <v>-6.9243810116705598E-3</v>
          </cell>
          <cell r="V114">
            <v>-2.2254658288826698E-3</v>
          </cell>
          <cell r="W114">
            <v>-1.9709992614788899E-3</v>
          </cell>
          <cell r="Y114">
            <v>1.1139962285470999</v>
          </cell>
          <cell r="Z114">
            <v>1.11920759843288</v>
          </cell>
          <cell r="AA114">
            <v>1.11955856593449</v>
          </cell>
          <cell r="AF114">
            <v>-2.22799993242316E-3</v>
          </cell>
          <cell r="AG114">
            <v>-1.79233053667645E-3</v>
          </cell>
          <cell r="AR114">
            <v>2.9482639521364058E-2</v>
          </cell>
          <cell r="BC114">
            <v>1.1044618033177373E-2</v>
          </cell>
          <cell r="BF114">
            <v>4.0527257554541424E-2</v>
          </cell>
        </row>
        <row r="115">
          <cell r="O115">
            <v>1.1144210713463301</v>
          </cell>
          <cell r="P115">
            <v>1.1200702885915399</v>
          </cell>
          <cell r="Q115">
            <v>1.11998018921839</v>
          </cell>
          <cell r="U115">
            <v>-6.1542940310555299E-3</v>
          </cell>
          <cell r="V115">
            <v>-1.3178952201567901E-3</v>
          </cell>
          <cell r="W115">
            <v>-1.1683615393386501E-3</v>
          </cell>
          <cell r="Y115">
            <v>1.1139962285470999</v>
          </cell>
          <cell r="Z115">
            <v>1.1194519251875199</v>
          </cell>
          <cell r="AA115">
            <v>1.1195278772724699</v>
          </cell>
          <cell r="AF115">
            <v>-1.32338983955512E-3</v>
          </cell>
          <cell r="AG115">
            <v>-1.0098532942338599E-3</v>
          </cell>
          <cell r="AR115">
            <v>2.9482639521364058E-2</v>
          </cell>
          <cell r="BC115">
            <v>1.1044618033177373E-2</v>
          </cell>
          <cell r="BF115">
            <v>4.0527257554541424E-2</v>
          </cell>
        </row>
        <row r="116">
          <cell r="O116">
            <v>1.1144210713463301</v>
          </cell>
          <cell r="P116">
            <v>1.1202349073662401</v>
          </cell>
          <cell r="Q116">
            <v>1.12015566478099</v>
          </cell>
          <cell r="U116">
            <v>-7.31559228077898E-3</v>
          </cell>
          <cell r="V116">
            <v>-2.2592028199341502E-3</v>
          </cell>
          <cell r="W116">
            <v>-2.3396468760785299E-3</v>
          </cell>
          <cell r="Y116">
            <v>1.1139962285470999</v>
          </cell>
          <cell r="Z116">
            <v>1.11961566973847</v>
          </cell>
          <cell r="AA116">
            <v>1.11968300535526</v>
          </cell>
          <cell r="AF116">
            <v>-2.2608588546577301E-3</v>
          </cell>
          <cell r="AG116">
            <v>-2.1930135932616201E-3</v>
          </cell>
          <cell r="AR116">
            <v>2.9482639521364058E-2</v>
          </cell>
          <cell r="BC116">
            <v>1.1044618033177373E-2</v>
          </cell>
          <cell r="BF116">
            <v>4.0527257554541424E-2</v>
          </cell>
        </row>
        <row r="117">
          <cell r="O117">
            <v>1.1144210713463301</v>
          </cell>
          <cell r="P117">
            <v>1.1206145068233799</v>
          </cell>
          <cell r="Q117">
            <v>1.1202946192071801</v>
          </cell>
          <cell r="U117">
            <v>-8.2213725189496396E-3</v>
          </cell>
          <cell r="V117">
            <v>-3.0180220321723702E-3</v>
          </cell>
          <cell r="W117">
            <v>-3.0887620060595501E-3</v>
          </cell>
          <cell r="Y117">
            <v>1.1139962285470999</v>
          </cell>
          <cell r="Z117">
            <v>1.1199936689605501</v>
          </cell>
          <cell r="AA117">
            <v>1.11980193947366</v>
          </cell>
          <cell r="AF117">
            <v>-3.02101568726492E-3</v>
          </cell>
          <cell r="AG117">
            <v>-2.9608757715362099E-3</v>
          </cell>
          <cell r="AR117">
            <v>2.9482639521364058E-2</v>
          </cell>
          <cell r="BC117">
            <v>1.1044618033177373E-2</v>
          </cell>
          <cell r="BF117">
            <v>4.0527257554541424E-2</v>
          </cell>
        </row>
        <row r="118">
          <cell r="O118">
            <v>1.1144210713463301</v>
          </cell>
          <cell r="P118">
            <v>1.12135480653654</v>
          </cell>
          <cell r="Q118">
            <v>1.1205777062399001</v>
          </cell>
          <cell r="U118">
            <v>-9.8302894140029906E-3</v>
          </cell>
          <cell r="V118">
            <v>-4.2881393110059101E-3</v>
          </cell>
          <cell r="W118">
            <v>-4.5736373837792898E-3</v>
          </cell>
          <cell r="Y118">
            <v>1.1139962285470999</v>
          </cell>
          <cell r="Z118">
            <v>1.1207327526423101</v>
          </cell>
          <cell r="AA118">
            <v>1.1200639959415</v>
          </cell>
          <cell r="AF118">
            <v>-4.283564013592E-3</v>
          </cell>
          <cell r="AG118">
            <v>-4.4547666774729698E-3</v>
          </cell>
          <cell r="AR118">
            <v>2.9482639521364058E-2</v>
          </cell>
          <cell r="BC118">
            <v>1.1044618033177373E-2</v>
          </cell>
          <cell r="BF118">
            <v>4.0527257554541424E-2</v>
          </cell>
        </row>
        <row r="119">
          <cell r="O119">
            <v>1.1144210713463301</v>
          </cell>
          <cell r="P119">
            <v>1.12190711727598</v>
          </cell>
          <cell r="Q119">
            <v>1.1208400515950401</v>
          </cell>
          <cell r="U119">
            <v>-1.0104744660681101E-2</v>
          </cell>
          <cell r="V119">
            <v>-3.9021932438477098E-3</v>
          </cell>
          <cell r="W119">
            <v>-4.5954347427144904E-3</v>
          </cell>
          <cell r="Y119">
            <v>1.1139962285470999</v>
          </cell>
          <cell r="Z119">
            <v>1.12128348932931</v>
          </cell>
          <cell r="AA119">
            <v>1.12030472324398</v>
          </cell>
          <cell r="AF119">
            <v>-3.8857502264647999E-3</v>
          </cell>
          <cell r="AG119">
            <v>-4.4826421320648098E-3</v>
          </cell>
          <cell r="AR119">
            <v>2.9482639521364058E-2</v>
          </cell>
          <cell r="BC119">
            <v>1.1044618033177373E-2</v>
          </cell>
          <cell r="BF119">
            <v>4.0527257554541424E-2</v>
          </cell>
        </row>
        <row r="120">
          <cell r="O120">
            <v>1.1144210713463301</v>
          </cell>
          <cell r="P120">
            <v>1.1223206287493499</v>
          </cell>
          <cell r="Q120">
            <v>1.1209488865131501</v>
          </cell>
          <cell r="U120">
            <v>-9.7694524957717896E-3</v>
          </cell>
          <cell r="V120">
            <v>-3.0744835464691501E-3</v>
          </cell>
          <cell r="W120">
            <v>-4.0260538137475502E-3</v>
          </cell>
          <cell r="Y120">
            <v>1.1139962285470999</v>
          </cell>
          <cell r="Z120">
            <v>1.1216960937009499</v>
          </cell>
          <cell r="AA120">
            <v>1.1203921853791201</v>
          </cell>
          <cell r="AF120">
            <v>-3.0550037957899198E-3</v>
          </cell>
          <cell r="AG120">
            <v>-3.92828296637479E-3</v>
          </cell>
          <cell r="AR120">
            <v>2.9482639521364058E-2</v>
          </cell>
          <cell r="BC120">
            <v>1.1044618033177373E-2</v>
          </cell>
          <cell r="BF120">
            <v>4.0527257554541424E-2</v>
          </cell>
        </row>
        <row r="121">
          <cell r="O121">
            <v>1.1144210713463301</v>
          </cell>
          <cell r="P121">
            <v>1.1231013028611001</v>
          </cell>
          <cell r="Q121">
            <v>1.12114217812804</v>
          </cell>
          <cell r="U121">
            <v>-1.0109141157259499E-2</v>
          </cell>
          <cell r="V121">
            <v>-3.0456610541474702E-3</v>
          </cell>
          <cell r="W121">
            <v>-4.2686459855978296E-3</v>
          </cell>
          <cell r="Y121">
            <v>1.1139962285470999</v>
          </cell>
          <cell r="Z121">
            <v>1.12247474309136</v>
          </cell>
          <cell r="AA121">
            <v>1.1205638163790499</v>
          </cell>
          <cell r="AF121">
            <v>-3.0271246541926301E-3</v>
          </cell>
          <cell r="AG121">
            <v>-4.1902443056327197E-3</v>
          </cell>
          <cell r="AR121">
            <v>2.9482639521364058E-2</v>
          </cell>
          <cell r="BC121">
            <v>1.1044618033177373E-2</v>
          </cell>
          <cell r="BF121">
            <v>4.0527257554541424E-2</v>
          </cell>
        </row>
        <row r="122">
          <cell r="O122">
            <v>1.1144210713463301</v>
          </cell>
          <cell r="P122">
            <v>1.12385413313614</v>
          </cell>
          <cell r="Q122">
            <v>1.12155996392692</v>
          </cell>
          <cell r="U122">
            <v>-1.0479574006073199E-2</v>
          </cell>
          <cell r="V122">
            <v>-2.72074650992559E-3</v>
          </cell>
          <cell r="W122">
            <v>-4.4666579917309697E-3</v>
          </cell>
          <cell r="Y122">
            <v>1.1139962285470999</v>
          </cell>
          <cell r="Z122">
            <v>1.12322314329935</v>
          </cell>
          <cell r="AA122">
            <v>1.12095825982262</v>
          </cell>
          <cell r="AF122">
            <v>-2.6907457612769699E-3</v>
          </cell>
          <cell r="AG122">
            <v>-4.3946194343806302E-3</v>
          </cell>
          <cell r="AR122">
            <v>2.9482639521364058E-2</v>
          </cell>
          <cell r="BC122">
            <v>1.1044618033177373E-2</v>
          </cell>
          <cell r="BF122">
            <v>4.0527257554541424E-2</v>
          </cell>
        </row>
        <row r="123">
          <cell r="O123">
            <v>1.1144210713463301</v>
          </cell>
          <cell r="P123">
            <v>1.1245715981268201</v>
          </cell>
          <cell r="Q123">
            <v>1.12212078097887</v>
          </cell>
          <cell r="U123">
            <v>-1.1747621530656701E-2</v>
          </cell>
          <cell r="V123">
            <v>-3.3187048185459702E-3</v>
          </cell>
          <cell r="W123">
            <v>-5.3621319178108499E-3</v>
          </cell>
          <cell r="Y123">
            <v>1.1139962285470999</v>
          </cell>
          <cell r="Z123">
            <v>1.1239366659146801</v>
          </cell>
          <cell r="AA123">
            <v>1.1214954937494801</v>
          </cell>
          <cell r="AF123">
            <v>-3.2947286255047602E-3</v>
          </cell>
          <cell r="AG123">
            <v>-5.3131788653417696E-3</v>
          </cell>
          <cell r="AR123">
            <v>2.9482639521364058E-2</v>
          </cell>
          <cell r="BC123">
            <v>1.1044618033177373E-2</v>
          </cell>
          <cell r="BF123">
            <v>4.0527257554541424E-2</v>
          </cell>
        </row>
        <row r="124">
          <cell r="O124">
            <v>1.1144210713463301</v>
          </cell>
          <cell r="P124">
            <v>1.12526555177676</v>
          </cell>
          <cell r="Q124">
            <v>1.1225447312394701</v>
          </cell>
          <cell r="U124">
            <v>-1.30894014942541E-2</v>
          </cell>
          <cell r="V124">
            <v>-4.0222915742837897E-3</v>
          </cell>
          <cell r="W124">
            <v>-6.2040038041137301E-3</v>
          </cell>
          <cell r="Y124">
            <v>1.1139962285470999</v>
          </cell>
          <cell r="Z124">
            <v>1.1246255818689599</v>
          </cell>
          <cell r="AA124">
            <v>1.12191659015092</v>
          </cell>
          <cell r="AF124">
            <v>-3.9983140937728803E-3</v>
          </cell>
          <cell r="AG124">
            <v>-6.1726600133078201E-3</v>
          </cell>
          <cell r="AR124">
            <v>2.8140859557766358E-2</v>
          </cell>
          <cell r="BC124">
            <v>1.1044618033177373E-2</v>
          </cell>
          <cell r="BF124">
            <v>3.9185477590943721E-2</v>
          </cell>
        </row>
        <row r="125">
          <cell r="O125">
            <v>1.1144210713463301</v>
          </cell>
          <cell r="P125">
            <v>1.12596495803081</v>
          </cell>
          <cell r="Q125">
            <v>1.1230176233111699</v>
          </cell>
          <cell r="U125">
            <v>-1.23723765514597E-2</v>
          </cell>
          <cell r="V125">
            <v>-2.6883742737697299E-3</v>
          </cell>
          <cell r="W125">
            <v>-5.1092386026201199E-3</v>
          </cell>
          <cell r="Y125">
            <v>1.1139962285470999</v>
          </cell>
          <cell r="Z125">
            <v>1.1253352345058401</v>
          </cell>
          <cell r="AA125">
            <v>1.12239357984668</v>
          </cell>
          <cell r="AF125">
            <v>-2.8064791905622602E-3</v>
          </cell>
          <cell r="AG125">
            <v>-5.2181793267131599E-3</v>
          </cell>
          <cell r="AR125">
            <v>2.8140859557766358E-2</v>
          </cell>
          <cell r="BC125">
            <v>1.1044618033177373E-2</v>
          </cell>
          <cell r="BF125">
            <v>3.9185477590943721E-2</v>
          </cell>
        </row>
        <row r="126">
          <cell r="O126">
            <v>1.1144210713463301</v>
          </cell>
          <cell r="P126">
            <v>1.1262069916138799</v>
          </cell>
          <cell r="Q126">
            <v>1.12322094949006</v>
          </cell>
          <cell r="U126">
            <v>-9.4692736137211402E-3</v>
          </cell>
          <cell r="V126">
            <v>8.3608331735108004E-4</v>
          </cell>
          <cell r="W126">
            <v>-1.7849564642782099E-3</v>
          </cell>
          <cell r="Y126">
            <v>1.1139962285470999</v>
          </cell>
          <cell r="Z126">
            <v>1.1255896931270599</v>
          </cell>
          <cell r="AA126">
            <v>1.1226026814327701</v>
          </cell>
          <cell r="AF126">
            <v>7.1554245768569197E-4</v>
          </cell>
          <cell r="AG126">
            <v>-1.9019052698360801E-3</v>
          </cell>
          <cell r="AR126">
            <v>3.1043962495505159E-2</v>
          </cell>
          <cell r="BC126">
            <v>1.1044618033177373E-2</v>
          </cell>
          <cell r="BF126">
            <v>4.2088580528682522E-2</v>
          </cell>
        </row>
        <row r="127">
          <cell r="O127">
            <v>1.1144210713463301</v>
          </cell>
          <cell r="P127">
            <v>1.12605414794795</v>
          </cell>
          <cell r="Q127">
            <v>1.12333432738567</v>
          </cell>
          <cell r="U127">
            <v>-6.8601686276970504E-3</v>
          </cell>
          <cell r="V127">
            <v>3.6601217892836299E-3</v>
          </cell>
          <cell r="W127">
            <v>1.00518555129727E-3</v>
          </cell>
          <cell r="Y127">
            <v>1.1139962285470999</v>
          </cell>
          <cell r="Z127">
            <v>1.1254516519503801</v>
          </cell>
          <cell r="AA127">
            <v>1.1227226604554601</v>
          </cell>
          <cell r="AF127">
            <v>3.5305505123926001E-3</v>
          </cell>
          <cell r="AG127">
            <v>8.7329263205597495E-4</v>
          </cell>
          <cell r="AR127">
            <v>3.1043962495505159E-2</v>
          </cell>
          <cell r="BC127">
            <v>1.1044618033177373E-2</v>
          </cell>
          <cell r="BF127">
            <v>4.2088580528682522E-2</v>
          </cell>
        </row>
        <row r="128">
          <cell r="O128">
            <v>1.1144210713463301</v>
          </cell>
          <cell r="P128">
            <v>1.1254995752510899</v>
          </cell>
          <cell r="Q128">
            <v>1.12342719089381</v>
          </cell>
          <cell r="U128">
            <v>-4.8904576544958698E-3</v>
          </cell>
          <cell r="V128">
            <v>5.4941081225028396E-3</v>
          </cell>
          <cell r="W128">
            <v>3.0758314063332802E-3</v>
          </cell>
          <cell r="Y128">
            <v>1.1139962285470999</v>
          </cell>
          <cell r="Z128">
            <v>1.1249137974942001</v>
          </cell>
          <cell r="AA128">
            <v>1.1228232750682501</v>
          </cell>
          <cell r="AF128">
            <v>5.3710682644530399E-3</v>
          </cell>
          <cell r="AG128">
            <v>2.9433269454384701E-3</v>
          </cell>
          <cell r="AR128">
            <v>3.1043962495505159E-2</v>
          </cell>
          <cell r="BC128">
            <v>1.1044618033177373E-2</v>
          </cell>
          <cell r="BF128">
            <v>4.2088580528682522E-2</v>
          </cell>
        </row>
        <row r="129">
          <cell r="O129">
            <v>1.1144210713463301</v>
          </cell>
          <cell r="P129">
            <v>1.12480335295094</v>
          </cell>
          <cell r="Q129">
            <v>1.1233552351134599</v>
          </cell>
          <cell r="U129">
            <v>-3.90096138367476E-3</v>
          </cell>
          <cell r="V129">
            <v>5.9909910460433802E-3</v>
          </cell>
          <cell r="W129">
            <v>4.1479919986152696E-3</v>
          </cell>
          <cell r="Y129">
            <v>1.1139962285470999</v>
          </cell>
          <cell r="Z129">
            <v>1.1242368190634799</v>
          </cell>
          <cell r="AA129">
            <v>1.1227601541964001</v>
          </cell>
          <cell r="AF129">
            <v>5.8731907482988399E-3</v>
          </cell>
          <cell r="AG129">
            <v>4.0130772552788296E-3</v>
          </cell>
          <cell r="AR129">
            <v>3.1043962495505159E-2</v>
          </cell>
          <cell r="BC129">
            <v>1.1044618033177373E-2</v>
          </cell>
          <cell r="BF129">
            <v>4.2088580528682522E-2</v>
          </cell>
        </row>
        <row r="130">
          <cell r="O130">
            <v>1.1144210713463301</v>
          </cell>
          <cell r="P130">
            <v>1.1245186494688399</v>
          </cell>
          <cell r="Q130">
            <v>1.1234196391091</v>
          </cell>
          <cell r="U130">
            <v>-7.2363627209880103E-3</v>
          </cell>
          <cell r="V130">
            <v>2.0368087316134601E-3</v>
          </cell>
          <cell r="W130">
            <v>7.4853837075224399E-4</v>
          </cell>
          <cell r="Y130">
            <v>1.1139962285470999</v>
          </cell>
          <cell r="Z130">
            <v>1.1239697370017601</v>
          </cell>
          <cell r="AA130">
            <v>1.1228329153513501</v>
          </cell>
          <cell r="AF130">
            <v>1.95290672444918E-3</v>
          </cell>
          <cell r="AG130">
            <v>6.3856131389957804E-4</v>
          </cell>
          <cell r="AR130">
            <v>3.1043962495505159E-2</v>
          </cell>
          <cell r="BC130">
            <v>1.4380019370490554E-2</v>
          </cell>
          <cell r="BF130">
            <v>4.5423981865995701E-2</v>
          </cell>
        </row>
        <row r="131">
          <cell r="O131">
            <v>1.1144210713463301</v>
          </cell>
          <cell r="P131">
            <v>1.12399289541009</v>
          </cell>
          <cell r="Q131">
            <v>1.1235470991356</v>
          </cell>
          <cell r="U131">
            <v>-5.4279207209329298E-3</v>
          </cell>
          <cell r="V131">
            <v>3.5921046873833599E-3</v>
          </cell>
          <cell r="W131">
            <v>2.6143105433966301E-3</v>
          </cell>
          <cell r="Y131">
            <v>1.1139962285470999</v>
          </cell>
          <cell r="Z131">
            <v>1.12346276997181</v>
          </cell>
          <cell r="AA131">
            <v>1.12296875653158</v>
          </cell>
          <cell r="AF131">
            <v>3.51396152861764E-3</v>
          </cell>
          <cell r="AG131">
            <v>2.5020152891701798E-3</v>
          </cell>
          <cell r="AR131">
            <v>3.1043962495505159E-2</v>
          </cell>
          <cell r="BC131">
            <v>1.4380019370490554E-2</v>
          </cell>
          <cell r="BF131">
            <v>4.5423981865995701E-2</v>
          </cell>
        </row>
        <row r="132">
          <cell r="O132">
            <v>1.1144210713463301</v>
          </cell>
          <cell r="P132">
            <v>1.12343147067044</v>
          </cell>
          <cell r="Q132">
            <v>1.12364280190329</v>
          </cell>
          <cell r="U132">
            <v>-5.48180926434932E-3</v>
          </cell>
          <cell r="V132">
            <v>3.0705698296491302E-3</v>
          </cell>
          <cell r="W132">
            <v>2.6738727462393501E-3</v>
          </cell>
          <cell r="Y132">
            <v>1.1139962285470999</v>
          </cell>
          <cell r="Z132">
            <v>1.1229209589501701</v>
          </cell>
          <cell r="AA132">
            <v>1.1230720511247601</v>
          </cell>
          <cell r="AF132">
            <v>3.01467569855106E-3</v>
          </cell>
          <cell r="AG132">
            <v>2.5748550831770898E-3</v>
          </cell>
          <cell r="AR132">
            <v>3.1043962495505159E-2</v>
          </cell>
          <cell r="BC132">
            <v>1.4380019370490554E-2</v>
          </cell>
          <cell r="BF132">
            <v>4.5423981865995701E-2</v>
          </cell>
        </row>
        <row r="133">
          <cell r="O133">
            <v>1.1144210713463301</v>
          </cell>
          <cell r="P133">
            <v>1.12260831934262</v>
          </cell>
          <cell r="Q133">
            <v>1.12358995873472</v>
          </cell>
          <cell r="U133">
            <v>-4.4207516489862897E-3</v>
          </cell>
          <cell r="V133">
            <v>3.6320112979255801E-3</v>
          </cell>
          <cell r="W133">
            <v>3.8201058669818798E-3</v>
          </cell>
          <cell r="Y133">
            <v>1.1139962285470999</v>
          </cell>
          <cell r="Z133">
            <v>1.12211815295135</v>
          </cell>
          <cell r="AA133">
            <v>1.1230274094330199</v>
          </cell>
          <cell r="AF133">
            <v>3.5855298333258702E-3</v>
          </cell>
          <cell r="AG133">
            <v>3.7200735956064101E-3</v>
          </cell>
          <cell r="AR133">
            <v>3.1043962495505159E-2</v>
          </cell>
          <cell r="BC133">
            <v>1.4380019370490554E-2</v>
          </cell>
          <cell r="BF133">
            <v>4.5423981865995701E-2</v>
          </cell>
        </row>
        <row r="134">
          <cell r="O134">
            <v>1.1144210713463301</v>
          </cell>
          <cell r="P134">
            <v>1.1216778339517901</v>
          </cell>
          <cell r="Q134">
            <v>1.1234716928642701</v>
          </cell>
          <cell r="U134">
            <v>-4.81433948835229E-3</v>
          </cell>
          <cell r="V134">
            <v>2.5054432430383E-3</v>
          </cell>
          <cell r="W134">
            <v>3.3794884813179802E-3</v>
          </cell>
          <cell r="Y134">
            <v>1.1139962285470999</v>
          </cell>
          <cell r="Z134">
            <v>1.1212079180891199</v>
          </cell>
          <cell r="AA134">
            <v>1.12291674997904</v>
          </cell>
          <cell r="AF134">
            <v>2.4814140624471299E-3</v>
          </cell>
          <cell r="AG134">
            <v>3.2913896351756599E-3</v>
          </cell>
          <cell r="AR134">
            <v>3.1043962495505159E-2</v>
          </cell>
          <cell r="BC134">
            <v>1.4773607209856605E-2</v>
          </cell>
          <cell r="BF134">
            <v>4.5817569705361751E-2</v>
          </cell>
        </row>
        <row r="135">
          <cell r="O135">
            <v>1.1144210713463301</v>
          </cell>
          <cell r="P135">
            <v>1.1207746927281499</v>
          </cell>
          <cell r="Q135">
            <v>1.1233698253794799</v>
          </cell>
          <cell r="U135">
            <v>-4.3356892313023403E-3</v>
          </cell>
          <cell r="V135">
            <v>2.1548895745733699E-3</v>
          </cell>
          <cell r="W135">
            <v>3.7528760541227701E-3</v>
          </cell>
          <cell r="Y135">
            <v>1.1139962285470999</v>
          </cell>
          <cell r="Z135">
            <v>1.1203088663071299</v>
          </cell>
          <cell r="AA135">
            <v>1.1228220504064901</v>
          </cell>
          <cell r="AF135">
            <v>2.15373182201628E-3</v>
          </cell>
          <cell r="AG135">
            <v>3.67667058252001E-3</v>
          </cell>
          <cell r="AR135">
            <v>3.1043962495505159E-2</v>
          </cell>
          <cell r="BC135">
            <v>1.4294956952806605E-2</v>
          </cell>
          <cell r="BF135">
            <v>4.5338919448311754E-2</v>
          </cell>
        </row>
        <row r="136">
          <cell r="O136">
            <v>1.1144210713463301</v>
          </cell>
          <cell r="P136">
            <v>1.1203424523283501</v>
          </cell>
          <cell r="Q136">
            <v>1.1232747219711099</v>
          </cell>
          <cell r="U136">
            <v>-5.6198188699252798E-3</v>
          </cell>
          <cell r="V136">
            <v>6.5265717696166595E-5</v>
          </cell>
          <cell r="W136">
            <v>2.37807025161417E-3</v>
          </cell>
          <cell r="Y136">
            <v>1.1139962285470999</v>
          </cell>
          <cell r="Z136">
            <v>1.1198782144314201</v>
          </cell>
          <cell r="AA136">
            <v>1.12273395377924</v>
          </cell>
          <cell r="AF136">
            <v>7.5953082332459504E-5</v>
          </cell>
          <cell r="AG136">
            <v>2.3167363841083799E-3</v>
          </cell>
          <cell r="AR136">
            <v>3.1043962495505159E-2</v>
          </cell>
          <cell r="BC136">
            <v>1.5579086591429467E-2</v>
          </cell>
          <cell r="BF136">
            <v>4.6623049086934612E-2</v>
          </cell>
        </row>
        <row r="137">
          <cell r="O137">
            <v>1.1144210713463301</v>
          </cell>
          <cell r="P137">
            <v>1.1202526316390899</v>
          </cell>
          <cell r="Q137">
            <v>1.12315338979352</v>
          </cell>
          <cell r="U137">
            <v>-6.0593731463894698E-3</v>
          </cell>
          <cell r="V137">
            <v>-7.6002511530191504E-4</v>
          </cell>
          <cell r="W137">
            <v>1.85385335369948E-3</v>
          </cell>
          <cell r="Y137">
            <v>1.1139962285470999</v>
          </cell>
          <cell r="Z137">
            <v>1.1197874038283699</v>
          </cell>
          <cell r="AA137">
            <v>1.12261952788937</v>
          </cell>
          <cell r="AF137">
            <v>-7.4661338219321797E-4</v>
          </cell>
          <cell r="AG137">
            <v>1.8001853303732801E-3</v>
          </cell>
          <cell r="AR137">
            <v>3.1043962495505159E-2</v>
          </cell>
          <cell r="BC137">
            <v>1.6018640867893646E-2</v>
          </cell>
          <cell r="BF137">
            <v>4.7062603363398792E-2</v>
          </cell>
        </row>
        <row r="138">
          <cell r="O138">
            <v>1.1144210713463301</v>
          </cell>
          <cell r="P138">
            <v>1.12083049017105</v>
          </cell>
          <cell r="Q138">
            <v>1.12316503271107</v>
          </cell>
          <cell r="U138">
            <v>-1.00371740963418E-2</v>
          </cell>
          <cell r="V138">
            <v>-4.8180018095920199E-3</v>
          </cell>
          <cell r="W138">
            <v>-2.2319699069367799E-3</v>
          </cell>
          <cell r="Y138">
            <v>1.1139962285470999</v>
          </cell>
          <cell r="Z138">
            <v>1.1203612857228999</v>
          </cell>
          <cell r="AA138">
            <v>1.1226375416085499</v>
          </cell>
          <cell r="AF138">
            <v>-4.7879964317108599E-3</v>
          </cell>
          <cell r="AG138">
            <v>-2.26202710222568E-3</v>
          </cell>
          <cell r="AR138">
            <v>3.1043962495505159E-2</v>
          </cell>
          <cell r="BC138">
            <v>1.9996441817846045E-2</v>
          </cell>
          <cell r="BF138">
            <v>5.104040431335119E-2</v>
          </cell>
        </row>
        <row r="139">
          <cell r="O139">
            <v>1.1144210713463301</v>
          </cell>
          <cell r="P139">
            <v>1.1209816487950399</v>
          </cell>
          <cell r="Q139">
            <v>1.12289250087299</v>
          </cell>
          <cell r="U139">
            <v>-5.2511555424755501E-3</v>
          </cell>
          <cell r="V139">
            <v>4.8371251579582702E-4</v>
          </cell>
          <cell r="W139">
            <v>2.5644148687723402E-3</v>
          </cell>
          <cell r="Y139">
            <v>1.1139962285470999</v>
          </cell>
          <cell r="Z139">
            <v>1.1205111459530701</v>
          </cell>
          <cell r="AA139">
            <v>1.1223739825082799</v>
          </cell>
          <cell r="AF139">
            <v>4.7884909993021498E-4</v>
          </cell>
          <cell r="AG139">
            <v>2.5085038989722001E-3</v>
          </cell>
          <cell r="AR139">
            <v>3.1043962495505159E-2</v>
          </cell>
          <cell r="BC139">
            <v>1.9996441817846045E-2</v>
          </cell>
          <cell r="BF139">
            <v>5.104040431335119E-2</v>
          </cell>
        </row>
        <row r="140">
          <cell r="O140">
            <v>1.1144210713463301</v>
          </cell>
          <cell r="P140">
            <v>1.1210690394651599</v>
          </cell>
          <cell r="Q140">
            <v>1.122793844467</v>
          </cell>
          <cell r="U140">
            <v>-8.0145856854199199E-3</v>
          </cell>
          <cell r="V140">
            <v>-2.14486366540368E-3</v>
          </cell>
          <cell r="W140">
            <v>-4.4169101630489301E-4</v>
          </cell>
          <cell r="Y140">
            <v>1.1139962285470999</v>
          </cell>
          <cell r="Z140">
            <v>1.12059683149787</v>
          </cell>
          <cell r="AA140">
            <v>1.1222832842498101</v>
          </cell>
          <cell r="AF140">
            <v>-2.12991894380073E-3</v>
          </cell>
          <cell r="AG140">
            <v>-4.6881115017830498E-4</v>
          </cell>
          <cell r="AR140">
            <v>3.1043962495505159E-2</v>
          </cell>
          <cell r="BC140">
            <v>1.9996441817846045E-2</v>
          </cell>
          <cell r="BF140">
            <v>5.104040431335119E-2</v>
          </cell>
        </row>
        <row r="141">
          <cell r="O141">
            <v>1.1144210713463301</v>
          </cell>
          <cell r="P141">
            <v>1.12111144118613</v>
          </cell>
          <cell r="Q141">
            <v>1.1225521682981101</v>
          </cell>
          <cell r="U141">
            <v>-5.8062715519770196E-3</v>
          </cell>
          <cell r="V141">
            <v>1.4140648448772699E-4</v>
          </cell>
          <cell r="W141">
            <v>1.6787600847459601E-3</v>
          </cell>
          <cell r="Y141">
            <v>1.1139962285470999</v>
          </cell>
          <cell r="Z141">
            <v>1.1206372499242001</v>
          </cell>
          <cell r="AA141">
            <v>1.122050009948</v>
          </cell>
          <cell r="AF141">
            <v>1.4775845267194599E-4</v>
          </cell>
          <cell r="AG141">
            <v>1.65158655112988E-3</v>
          </cell>
          <cell r="AR141">
            <v>3.1043962495505159E-2</v>
          </cell>
          <cell r="BC141">
            <v>1.9996441817846045E-2</v>
          </cell>
          <cell r="BF141">
            <v>5.104040431335119E-2</v>
          </cell>
        </row>
        <row r="142">
          <cell r="O142">
            <v>1.1144210713463301</v>
          </cell>
          <cell r="P142">
            <v>1.1209967561288099</v>
          </cell>
          <cell r="Q142">
            <v>1.12221411339963</v>
          </cell>
          <cell r="U142">
            <v>-4.45781118805204E-3</v>
          </cell>
          <cell r="V142">
            <v>1.5276887109603799E-3</v>
          </cell>
          <cell r="W142">
            <v>2.8119519168274699E-3</v>
          </cell>
          <cell r="Y142">
            <v>1.1139962285470999</v>
          </cell>
          <cell r="Z142">
            <v>1.1205222073855201</v>
          </cell>
          <cell r="AA142">
            <v>1.12172158316785</v>
          </cell>
          <cell r="AF142">
            <v>1.5241168641716501E-3</v>
          </cell>
          <cell r="AG142">
            <v>2.7839984677802102E-3</v>
          </cell>
          <cell r="AR142">
            <v>3.1043962495505159E-2</v>
          </cell>
          <cell r="BC142">
            <v>1.9996441817846045E-2</v>
          </cell>
          <cell r="BF142">
            <v>5.104040431335119E-2</v>
          </cell>
        </row>
        <row r="143">
          <cell r="O143">
            <v>1.1144210713463301</v>
          </cell>
          <cell r="P143">
            <v>1.12057520620226</v>
          </cell>
          <cell r="Q143">
            <v>1.1215917627724401</v>
          </cell>
          <cell r="U143">
            <v>-6.4764695004649404E-4</v>
          </cell>
          <cell r="V143">
            <v>5.2355518579143999E-3</v>
          </cell>
          <cell r="W143">
            <v>6.3209223033436502E-3</v>
          </cell>
          <cell r="Y143">
            <v>1.1139962285470999</v>
          </cell>
          <cell r="Z143">
            <v>1.1201018707764601</v>
          </cell>
          <cell r="AA143">
            <v>1.1211100118639099</v>
          </cell>
          <cell r="AF143">
            <v>5.2108363700795997E-3</v>
          </cell>
          <cell r="AG143">
            <v>6.2806360963775596E-3</v>
          </cell>
          <cell r="AR143">
            <v>3.1043962495505159E-2</v>
          </cell>
          <cell r="BC143">
            <v>1.9996441817846045E-2</v>
          </cell>
          <cell r="BF143">
            <v>5.104040431335119E-2</v>
          </cell>
        </row>
        <row r="144">
          <cell r="O144">
            <v>1.1144210713463301</v>
          </cell>
          <cell r="P144">
            <v>1.1200700287287</v>
          </cell>
          <cell r="Q144">
            <v>1.12087393134025</v>
          </cell>
          <cell r="U144">
            <v>-2.9281082838339601E-4</v>
          </cell>
          <cell r="V144">
            <v>5.2142680614091202E-3</v>
          </cell>
          <cell r="W144">
            <v>6.1210307190541404E-3</v>
          </cell>
          <cell r="Y144">
            <v>1.1139962285470999</v>
          </cell>
          <cell r="Z144">
            <v>1.11959786601705</v>
          </cell>
          <cell r="AA144">
            <v>1.12040289205308</v>
          </cell>
          <cell r="AF144">
            <v>5.1958190593087497E-3</v>
          </cell>
          <cell r="AG144">
            <v>6.0954583689602701E-3</v>
          </cell>
          <cell r="AR144">
            <v>3.1043962495505159E-2</v>
          </cell>
          <cell r="BC144">
            <v>1.9641605696182843E-2</v>
          </cell>
          <cell r="BF144">
            <v>5.0685568191687985E-2</v>
          </cell>
        </row>
        <row r="145">
          <cell r="O145">
            <v>1.1144210713463301</v>
          </cell>
          <cell r="P145">
            <v>1.11985913422405</v>
          </cell>
          <cell r="Q145">
            <v>1.1203169134761</v>
          </cell>
          <cell r="U145">
            <v>-2.4496858874293102E-3</v>
          </cell>
          <cell r="V145">
            <v>2.6064715675588501E-3</v>
          </cell>
          <cell r="W145">
            <v>3.3239394385571599E-3</v>
          </cell>
          <cell r="Y145">
            <v>1.1139962285470999</v>
          </cell>
          <cell r="Z145">
            <v>1.1193884048177001</v>
          </cell>
          <cell r="AA145">
            <v>1.11984863556242</v>
          </cell>
          <cell r="AF145">
            <v>2.59065911830458E-3</v>
          </cell>
          <cell r="AG145">
            <v>3.3094321524604702E-3</v>
          </cell>
          <cell r="AR145">
            <v>3.1043962495505159E-2</v>
          </cell>
          <cell r="BC145">
            <v>2.1798480755228743E-2</v>
          </cell>
          <cell r="BF145">
            <v>5.2842443250733881E-2</v>
          </cell>
        </row>
        <row r="146">
          <cell r="O146">
            <v>1.1144210713463301</v>
          </cell>
          <cell r="P146">
            <v>1.1189622735889</v>
          </cell>
          <cell r="Q146">
            <v>1.1196523629586199</v>
          </cell>
          <cell r="U146">
            <v>2.4150458948681099E-3</v>
          </cell>
          <cell r="V146">
            <v>7.2828987295430704E-3</v>
          </cell>
          <cell r="W146">
            <v>7.6915980894811898E-3</v>
          </cell>
          <cell r="Y146">
            <v>1.1139962285470999</v>
          </cell>
          <cell r="Z146">
            <v>1.1184978827944301</v>
          </cell>
          <cell r="AA146">
            <v>1.11918804861292</v>
          </cell>
          <cell r="AF146">
            <v>7.2352682450966101E-3</v>
          </cell>
          <cell r="AG146">
            <v>7.6463285686799399E-3</v>
          </cell>
          <cell r="AR146">
            <v>3.1043962495505159E-2</v>
          </cell>
          <cell r="BC146">
            <v>1.6933748972931394E-2</v>
          </cell>
          <cell r="BF146">
            <v>4.7977711468436532E-2</v>
          </cell>
        </row>
        <row r="147">
          <cell r="O147">
            <v>1.1144210713463301</v>
          </cell>
          <cell r="P147">
            <v>1.1182755673824201</v>
          </cell>
          <cell r="Q147">
            <v>1.1192640995107499</v>
          </cell>
          <cell r="U147">
            <v>8.4234746623799102E-5</v>
          </cell>
          <cell r="V147">
            <v>4.1508975623030398E-3</v>
          </cell>
          <cell r="W147">
            <v>4.7674301090998997E-3</v>
          </cell>
          <cell r="Y147">
            <v>1.1139962285470999</v>
          </cell>
          <cell r="Z147">
            <v>1.1177248234363999</v>
          </cell>
          <cell r="AA147">
            <v>1.11875611363239</v>
          </cell>
          <cell r="AF147">
            <v>4.9418682887562198E-3</v>
          </cell>
          <cell r="AG147">
            <v>5.5587250430425301E-3</v>
          </cell>
          <cell r="AR147">
            <v>3.1043962495505159E-2</v>
          </cell>
          <cell r="BC147">
            <v>1.6933748972931394E-2</v>
          </cell>
          <cell r="BF147">
            <v>4.7977711468436532E-2</v>
          </cell>
        </row>
        <row r="148">
          <cell r="O148">
            <v>1.1144210713463301</v>
          </cell>
          <cell r="P148">
            <v>1.11688154684467</v>
          </cell>
          <cell r="Q148">
            <v>1.11885601850786</v>
          </cell>
          <cell r="U148">
            <v>2.4241415851981602E-3</v>
          </cell>
          <cell r="V148">
            <v>5.8769168512653597E-3</v>
          </cell>
          <cell r="W148">
            <v>6.7605053813601301E-3</v>
          </cell>
          <cell r="Y148">
            <v>1.1139962285470999</v>
          </cell>
          <cell r="Z148">
            <v>1.1162514476648</v>
          </cell>
          <cell r="AA148">
            <v>1.11830636669385</v>
          </cell>
          <cell r="AF148">
            <v>6.5496487348849202E-3</v>
          </cell>
          <cell r="AG148">
            <v>7.4718924723451404E-3</v>
          </cell>
          <cell r="AR148">
            <v>3.1043962495505159E-2</v>
          </cell>
          <cell r="BC148">
            <v>1.4593842134356994E-2</v>
          </cell>
          <cell r="BF148">
            <v>4.5637804629862132E-2</v>
          </cell>
        </row>
        <row r="149">
          <cell r="O149">
            <v>1.1144210713463301</v>
          </cell>
          <cell r="P149">
            <v>1.1161139619520899</v>
          </cell>
          <cell r="Q149">
            <v>1.11854780537356</v>
          </cell>
          <cell r="U149">
            <v>1.62409679230381E-3</v>
          </cell>
          <cell r="V149">
            <v>3.8295139110472499E-3</v>
          </cell>
          <cell r="W149">
            <v>5.59579650799478E-3</v>
          </cell>
          <cell r="Y149">
            <v>1.1139962285470999</v>
          </cell>
          <cell r="Z149">
            <v>1.11539872014129</v>
          </cell>
          <cell r="AA149">
            <v>1.1179549330471801</v>
          </cell>
          <cell r="AF149">
            <v>4.44775911252658E-3</v>
          </cell>
          <cell r="AG149">
            <v>6.2869772299687801E-3</v>
          </cell>
          <cell r="AR149">
            <v>3.1043962495505159E-2</v>
          </cell>
          <cell r="BC149">
            <v>1.5393886927251193E-2</v>
          </cell>
          <cell r="BF149">
            <v>4.6437849422756333E-2</v>
          </cell>
        </row>
        <row r="150">
          <cell r="O150">
            <v>1.1144210713463301</v>
          </cell>
          <cell r="P150">
            <v>1.1151184163540799</v>
          </cell>
          <cell r="Q150">
            <v>1.1180937279096199</v>
          </cell>
          <cell r="U150">
            <v>8.8690313780619005E-4</v>
          </cell>
          <cell r="V150">
            <v>2.4048267799222098E-3</v>
          </cell>
          <cell r="W150">
            <v>4.58309323564462E-3</v>
          </cell>
          <cell r="Y150">
            <v>1.1139962285470999</v>
          </cell>
          <cell r="Z150">
            <v>1.1143179343713601</v>
          </cell>
          <cell r="AA150">
            <v>1.1174573829346199</v>
          </cell>
          <cell r="AF150">
            <v>2.9686250057651001E-3</v>
          </cell>
          <cell r="AG150">
            <v>5.2577510637657901E-3</v>
          </cell>
          <cell r="AR150">
            <v>3.1043962495505159E-2</v>
          </cell>
          <cell r="BC150">
            <v>1.6131080581748693E-2</v>
          </cell>
          <cell r="BF150">
            <v>4.7175043077253835E-2</v>
          </cell>
        </row>
        <row r="151">
          <cell r="O151">
            <v>1.1144210713463301</v>
          </cell>
          <cell r="P151">
            <v>1.1144369537624199</v>
          </cell>
          <cell r="Q151">
            <v>1.1177741974742701</v>
          </cell>
          <cell r="U151">
            <v>2.9182907592849999E-4</v>
          </cell>
          <cell r="V151">
            <v>9.17379809013546E-4</v>
          </cell>
          <cell r="W151">
            <v>3.5819840864037699E-3</v>
          </cell>
          <cell r="Y151">
            <v>1.1139962285470999</v>
          </cell>
          <cell r="Z151">
            <v>1.1135510024102799</v>
          </cell>
          <cell r="AA151">
            <v>1.11709412616724</v>
          </cell>
          <cell r="AF151">
            <v>1.3973348442715399E-3</v>
          </cell>
          <cell r="AG151">
            <v>4.2107458625862898E-3</v>
          </cell>
          <cell r="AR151">
            <v>3.1043962495505159E-2</v>
          </cell>
          <cell r="BC151">
            <v>1.6726154643626603E-2</v>
          </cell>
          <cell r="BF151">
            <v>4.7770117139131749E-2</v>
          </cell>
        </row>
        <row r="152">
          <cell r="O152">
            <v>1.1144210713463301</v>
          </cell>
          <cell r="P152">
            <v>1.1136252192873699</v>
          </cell>
          <cell r="Q152">
            <v>1.11731098770809</v>
          </cell>
          <cell r="U152">
            <v>2.8201225639984898E-3</v>
          </cell>
          <cell r="V152">
            <v>2.8343741815639598E-3</v>
          </cell>
          <cell r="W152">
            <v>5.82445529142059E-3</v>
          </cell>
          <cell r="Y152">
            <v>1.1139962285470999</v>
          </cell>
          <cell r="Z152">
            <v>1.11265496657226</v>
          </cell>
          <cell r="AA152">
            <v>1.1165885869788901</v>
          </cell>
          <cell r="AF152">
            <v>3.2208329305602598E-3</v>
          </cell>
          <cell r="AG152">
            <v>6.3976060454751203E-3</v>
          </cell>
          <cell r="AR152">
            <v>3.1043962495505159E-2</v>
          </cell>
          <cell r="BC152">
            <v>1.4197861155556513E-2</v>
          </cell>
          <cell r="BF152">
            <v>4.5241823651061656E-2</v>
          </cell>
        </row>
        <row r="153">
          <cell r="O153">
            <v>1.1144210713463301</v>
          </cell>
          <cell r="P153">
            <v>1.1134353083488899</v>
          </cell>
          <cell r="Q153">
            <v>1.11700525727557</v>
          </cell>
          <cell r="U153">
            <v>1.0568234507090199E-3</v>
          </cell>
          <cell r="V153">
            <v>3.4242887448058602E-4</v>
          </cell>
          <cell r="W153">
            <v>3.6466665865147398E-3</v>
          </cell>
          <cell r="Y153">
            <v>1.1139962285470999</v>
          </cell>
          <cell r="Z153">
            <v>1.11237661649772</v>
          </cell>
          <cell r="AA153">
            <v>1.11623924363709</v>
          </cell>
          <cell r="AF153">
            <v>6.6523557655864005E-4</v>
          </cell>
          <cell r="AG153">
            <v>4.1943470395139201E-3</v>
          </cell>
          <cell r="AR153">
            <v>3.1043962495505159E-2</v>
          </cell>
          <cell r="BC153">
            <v>1.5961160268846E-2</v>
          </cell>
          <cell r="BF153">
            <v>4.7005122764351141E-2</v>
          </cell>
        </row>
        <row r="154">
          <cell r="O154">
            <v>1.1144210713463301</v>
          </cell>
          <cell r="P154">
            <v>1.1136697245651701</v>
          </cell>
          <cell r="Q154">
            <v>1.11686987664694</v>
          </cell>
          <cell r="U154">
            <v>-2.3934668289786799E-3</v>
          </cell>
          <cell r="V154">
            <v>-3.2784099256307001E-3</v>
          </cell>
          <cell r="W154">
            <v>-7.7291697968843396E-5</v>
          </cell>
          <cell r="Y154">
            <v>1.1139962285470999</v>
          </cell>
          <cell r="Z154">
            <v>1.1125226473079799</v>
          </cell>
          <cell r="AA154">
            <v>1.11606025666252</v>
          </cell>
          <cell r="AF154">
            <v>-3.0346572932168901E-3</v>
          </cell>
          <cell r="AG154">
            <v>4.3173732077280601E-4</v>
          </cell>
          <cell r="AR154">
            <v>3.1043962495505159E-2</v>
          </cell>
          <cell r="BC154">
            <v>1.94114505485335E-2</v>
          </cell>
          <cell r="BF154">
            <v>5.0455413044038638E-2</v>
          </cell>
        </row>
        <row r="155">
          <cell r="O155">
            <v>1.1144210713463301</v>
          </cell>
          <cell r="P155">
            <v>1.1133546605602</v>
          </cell>
          <cell r="Q155">
            <v>1.1166068973921299</v>
          </cell>
          <cell r="U155">
            <v>3.7453536413647797E-4</v>
          </cell>
          <cell r="V155">
            <v>-2.99895687787888E-4</v>
          </cell>
          <cell r="W155">
            <v>2.5695035156308899E-3</v>
          </cell>
          <cell r="Y155">
            <v>1.1139962285470999</v>
          </cell>
          <cell r="Z155">
            <v>1.1121227516252601</v>
          </cell>
          <cell r="AA155">
            <v>1.1157555782214801</v>
          </cell>
          <cell r="AF155">
            <v>-1.61349376509316E-4</v>
          </cell>
          <cell r="AG155">
            <v>3.01341456838393E-3</v>
          </cell>
          <cell r="AR155">
            <v>3.1043962495505159E-2</v>
          </cell>
          <cell r="BC155">
            <v>1.94114505485335E-2</v>
          </cell>
          <cell r="BF155">
            <v>5.0455413044038638E-2</v>
          </cell>
        </row>
        <row r="156">
          <cell r="O156">
            <v>1.1144210713463301</v>
          </cell>
          <cell r="P156">
            <v>1.1138323983952401</v>
          </cell>
          <cell r="Q156">
            <v>1.11639733599207</v>
          </cell>
          <cell r="U156">
            <v>-1.8729829369602199E-3</v>
          </cell>
          <cell r="V156">
            <v>-2.8303601561370999E-3</v>
          </cell>
          <cell r="W156">
            <v>8.6496527938938802E-5</v>
          </cell>
          <cell r="Y156">
            <v>1.1139962285470999</v>
          </cell>
          <cell r="Z156">
            <v>1.1125098746037201</v>
          </cell>
          <cell r="AA156">
            <v>1.1155038786990701</v>
          </cell>
          <cell r="AF156">
            <v>-2.7540261524328698E-3</v>
          </cell>
          <cell r="AG156">
            <v>5.0722000034165396E-4</v>
          </cell>
          <cell r="AR156">
            <v>3.1043962495505159E-2</v>
          </cell>
          <cell r="BC156">
            <v>2.165896884963019E-2</v>
          </cell>
          <cell r="BF156">
            <v>5.2702931345135332E-2</v>
          </cell>
        </row>
        <row r="157">
          <cell r="O157">
            <v>1.1144210713463301</v>
          </cell>
          <cell r="P157">
            <v>1.1142494434211301</v>
          </cell>
          <cell r="Q157">
            <v>1.1162625054017701</v>
          </cell>
          <cell r="U157">
            <v>-3.6513516782721799E-3</v>
          </cell>
          <cell r="V157">
            <v>-4.1797233135235602E-3</v>
          </cell>
          <cell r="W157">
            <v>-1.8795667976795199E-3</v>
          </cell>
          <cell r="Y157">
            <v>1.1139962285470999</v>
          </cell>
          <cell r="Z157">
            <v>1.11292736388962</v>
          </cell>
          <cell r="AA157">
            <v>1.1153260936630101</v>
          </cell>
          <cell r="AF157">
            <v>-4.1701925201354899E-3</v>
          </cell>
          <cell r="AG157">
            <v>-1.48259160824169E-3</v>
          </cell>
          <cell r="AR157">
            <v>3.1043962495505159E-2</v>
          </cell>
          <cell r="BC157">
            <v>2.165896884963019E-2</v>
          </cell>
          <cell r="BF157">
            <v>5.2702931345135332E-2</v>
          </cell>
        </row>
        <row r="158">
          <cell r="O158">
            <v>1.1144210713463301</v>
          </cell>
          <cell r="P158">
            <v>1.11453718927637</v>
          </cell>
          <cell r="Q158">
            <v>1.1157093680605199</v>
          </cell>
          <cell r="U158">
            <v>-1.6080229301315899E-4</v>
          </cell>
          <cell r="V158">
            <v>-3.1482050647684999E-4</v>
          </cell>
          <cell r="W158">
            <v>1.49020235230782E-3</v>
          </cell>
          <cell r="Y158">
            <v>1.1139962285470999</v>
          </cell>
          <cell r="Z158">
            <v>1.1132115017754201</v>
          </cell>
          <cell r="AA158">
            <v>1.11473147472011</v>
          </cell>
          <cell r="AF158">
            <v>-3.0730005768584399E-4</v>
          </cell>
          <cell r="AG158">
            <v>1.8457141713412099E-3</v>
          </cell>
          <cell r="AR158">
            <v>3.1043962495505159E-2</v>
          </cell>
          <cell r="BC158">
            <v>2.165896884963019E-2</v>
          </cell>
          <cell r="BF158">
            <v>5.2702931345135332E-2</v>
          </cell>
        </row>
        <row r="159">
          <cell r="O159">
            <v>1.1144210713463301</v>
          </cell>
          <cell r="P159">
            <v>1.1149504676854101</v>
          </cell>
          <cell r="Q159">
            <v>1.1155322148187501</v>
          </cell>
          <cell r="U159">
            <v>-2.0835076456679302E-3</v>
          </cell>
          <cell r="V159">
            <v>-1.9793173320176599E-3</v>
          </cell>
          <cell r="W159">
            <v>-9.2815203531192701E-4</v>
          </cell>
          <cell r="Y159">
            <v>1.1139962285470999</v>
          </cell>
          <cell r="Z159">
            <v>1.1136203954106301</v>
          </cell>
          <cell r="AA159">
            <v>1.1145095577759601</v>
          </cell>
          <cell r="AF159">
            <v>-1.9519806604463301E-3</v>
          </cell>
          <cell r="AG159">
            <v>-5.8751738958058596E-4</v>
          </cell>
          <cell r="AR159">
            <v>3.1043962495505159E-2</v>
          </cell>
          <cell r="BC159">
            <v>2.165896884963019E-2</v>
          </cell>
          <cell r="BF159">
            <v>5.2702931345135332E-2</v>
          </cell>
        </row>
        <row r="160">
          <cell r="O160">
            <v>1.1144210713463301</v>
          </cell>
          <cell r="P160">
            <v>1.1152417983246601</v>
          </cell>
          <cell r="Q160">
            <v>1.1151801073393699</v>
          </cell>
          <cell r="U160">
            <v>-1.7261875055411601E-3</v>
          </cell>
          <cell r="V160">
            <v>-1.25125872874679E-3</v>
          </cell>
          <cell r="W160">
            <v>-7.2962531630588298E-4</v>
          </cell>
          <cell r="Y160">
            <v>1.1139962285470999</v>
          </cell>
          <cell r="Z160">
            <v>1.1139100568984599</v>
          </cell>
          <cell r="AA160">
            <v>1.11411399563491</v>
          </cell>
          <cell r="AF160">
            <v>-1.22825401444752E-3</v>
          </cell>
          <cell r="AG160">
            <v>-4.3012964000253899E-4</v>
          </cell>
          <cell r="AR160">
            <v>3.1043962495505159E-2</v>
          </cell>
          <cell r="BC160">
            <v>2.165896884963019E-2</v>
          </cell>
          <cell r="BF160">
            <v>5.2702931345135332E-2</v>
          </cell>
        </row>
        <row r="161">
          <cell r="O161">
            <v>1.1144210713463301</v>
          </cell>
          <cell r="P161">
            <v>1.1155691165836199</v>
          </cell>
          <cell r="Q161">
            <v>1.11500303517302</v>
          </cell>
          <cell r="U161">
            <v>-2.6418355502896501E-3</v>
          </cell>
          <cell r="V161">
            <v>-1.90564621282064E-3</v>
          </cell>
          <cell r="W161">
            <v>-1.96096398490022E-3</v>
          </cell>
          <cell r="Y161">
            <v>1.1139962285470999</v>
          </cell>
          <cell r="Z161">
            <v>1.1142342915955901</v>
          </cell>
          <cell r="AA161">
            <v>1.11389264700294</v>
          </cell>
          <cell r="AF161">
            <v>-1.8783117418978801E-3</v>
          </cell>
          <cell r="AG161">
            <v>-1.69524483399014E-3</v>
          </cell>
          <cell r="AR161">
            <v>3.1043962495505159E-2</v>
          </cell>
          <cell r="BC161">
            <v>2.165896884963019E-2</v>
          </cell>
          <cell r="BF161">
            <v>5.2702931345135332E-2</v>
          </cell>
        </row>
        <row r="162">
          <cell r="O162">
            <v>1.1144210713463301</v>
          </cell>
          <cell r="P162">
            <v>1.1161883631840399</v>
          </cell>
          <cell r="Q162">
            <v>1.1149067912357</v>
          </cell>
          <cell r="U162">
            <v>-2.7367681711515401E-3</v>
          </cell>
          <cell r="V162">
            <v>-1.7071265656119401E-3</v>
          </cell>
          <cell r="W162">
            <v>-2.21469268250102E-3</v>
          </cell>
          <cell r="Y162">
            <v>1.1139962285470999</v>
          </cell>
          <cell r="Z162">
            <v>1.11484685685897</v>
          </cell>
          <cell r="AA162">
            <v>1.1137509117156099</v>
          </cell>
          <cell r="AF162">
            <v>-1.6693239793331199E-3</v>
          </cell>
          <cell r="AG162">
            <v>-1.9759892679326999E-3</v>
          </cell>
          <cell r="AR162">
            <v>3.1043962495505159E-2</v>
          </cell>
          <cell r="BC162">
            <v>2.165896884963019E-2</v>
          </cell>
          <cell r="BF162">
            <v>5.2702931345135332E-2</v>
          </cell>
        </row>
        <row r="163">
          <cell r="O163">
            <v>1.1144210713463301</v>
          </cell>
          <cell r="P163">
            <v>1.11659236353177</v>
          </cell>
          <cell r="Q163">
            <v>1.1150138359403301</v>
          </cell>
          <cell r="U163">
            <v>-2.5656444854400299E-3</v>
          </cell>
          <cell r="V163">
            <v>-9.8106210168460105E-4</v>
          </cell>
          <cell r="W163">
            <v>-2.1298899199392002E-3</v>
          </cell>
          <cell r="Y163">
            <v>1.1139962285470999</v>
          </cell>
          <cell r="Z163">
            <v>1.1152473311876201</v>
          </cell>
          <cell r="AA163">
            <v>1.1138119738426699</v>
          </cell>
          <cell r="AF163">
            <v>-9.6193079014146598E-4</v>
          </cell>
          <cell r="AG163">
            <v>-1.94545975813668E-3</v>
          </cell>
          <cell r="AR163">
            <v>3.1043962495505159E-2</v>
          </cell>
          <cell r="BC163">
            <v>2.165896884963019E-2</v>
          </cell>
          <cell r="BF163">
            <v>5.2702931345135332E-2</v>
          </cell>
        </row>
        <row r="164">
          <cell r="O164">
            <v>1.1144210713463301</v>
          </cell>
          <cell r="P164">
            <v>1.11620850515207</v>
          </cell>
          <cell r="Q164">
            <v>1.1149391148586201</v>
          </cell>
          <cell r="U164">
            <v>1.0486806969610199E-3</v>
          </cell>
          <cell r="V164">
            <v>2.9951439831327302E-3</v>
          </cell>
          <cell r="W164">
            <v>1.5804428991491801E-3</v>
          </cell>
          <cell r="Y164">
            <v>1.1139962285470999</v>
          </cell>
          <cell r="Z164">
            <v>1.11486409227019</v>
          </cell>
          <cell r="AA164">
            <v>1.1136933697890901</v>
          </cell>
          <cell r="AF164">
            <v>2.9834218141211E-3</v>
          </cell>
          <cell r="AG164">
            <v>1.6955623658788999E-3</v>
          </cell>
          <cell r="AR164">
            <v>3.1043962495505159E-2</v>
          </cell>
          <cell r="BC164">
            <v>2.165896884963019E-2</v>
          </cell>
          <cell r="BF164">
            <v>5.2702931345135332E-2</v>
          </cell>
        </row>
        <row r="165">
          <cell r="O165">
            <v>1.1144210713463301</v>
          </cell>
          <cell r="P165">
            <v>1.11646710652864</v>
          </cell>
          <cell r="Q165">
            <v>1.1149108835444199</v>
          </cell>
          <cell r="U165">
            <v>-1.9441433969309E-3</v>
          </cell>
          <cell r="V165">
            <v>-3.4151586329743199E-4</v>
          </cell>
          <cell r="W165">
            <v>-1.4793970317412101E-3</v>
          </cell>
          <cell r="Y165">
            <v>1.1139962285470999</v>
          </cell>
          <cell r="Z165">
            <v>1.1151175095660899</v>
          </cell>
          <cell r="AA165">
            <v>1.1136201305956801</v>
          </cell>
          <cell r="AF165">
            <v>-3.3383906187321998E-4</v>
          </cell>
          <cell r="AG165">
            <v>-1.38449412348194E-3</v>
          </cell>
          <cell r="AR165">
            <v>3.1043962495505159E-2</v>
          </cell>
          <cell r="BC165">
            <v>2.165896884963019E-2</v>
          </cell>
          <cell r="BF165">
            <v>5.2702931345135332E-2</v>
          </cell>
        </row>
        <row r="166">
          <cell r="O166">
            <v>1.1144210713463301</v>
          </cell>
          <cell r="P166">
            <v>1.1163230041671801</v>
          </cell>
          <cell r="Q166">
            <v>1.1150777012812101</v>
          </cell>
          <cell r="U166">
            <v>-5.8149971525639802E-4</v>
          </cell>
          <cell r="V166">
            <v>1.2527793636086799E-3</v>
          </cell>
          <cell r="W166">
            <v>-1.4207461761778901E-4</v>
          </cell>
          <cell r="Y166">
            <v>1.1139962285470999</v>
          </cell>
          <cell r="Z166">
            <v>1.1149693958739999</v>
          </cell>
          <cell r="AA166">
            <v>1.11373963523886</v>
          </cell>
          <cell r="AF166">
            <v>1.26421568495955E-3</v>
          </cell>
          <cell r="AG166">
            <v>-7.9485941228025697E-5</v>
          </cell>
          <cell r="AR166">
            <v>3.1043962495505159E-2</v>
          </cell>
          <cell r="BC166">
            <v>2.165896884963019E-2</v>
          </cell>
          <cell r="BF166">
            <v>5.2702931345135332E-2</v>
          </cell>
        </row>
        <row r="167">
          <cell r="O167">
            <v>1.1144210713463301</v>
          </cell>
          <cell r="P167">
            <v>1.1158735716225401</v>
          </cell>
          <cell r="Q167">
            <v>1.11506150752183</v>
          </cell>
          <cell r="U167">
            <v>3.7492339052236698E-4</v>
          </cell>
          <cell r="V167">
            <v>2.0801241821203501E-3</v>
          </cell>
          <cell r="W167">
            <v>9.6396157428912499E-4</v>
          </cell>
          <cell r="Y167">
            <v>1.1139962285470999</v>
          </cell>
          <cell r="Z167">
            <v>1.1145183608729201</v>
          </cell>
          <cell r="AA167">
            <v>1.1137228623812701</v>
          </cell>
          <cell r="AF167">
            <v>2.0836649374242899E-3</v>
          </cell>
          <cell r="AG167">
            <v>9.8010162540751195E-4</v>
          </cell>
          <cell r="AR167">
            <v>3.1043962495505159E-2</v>
          </cell>
          <cell r="BC167">
            <v>2.165896884963019E-2</v>
          </cell>
          <cell r="BF167">
            <v>5.2702931345135332E-2</v>
          </cell>
        </row>
        <row r="168">
          <cell r="O168">
            <v>1.1144210713463301</v>
          </cell>
          <cell r="P168">
            <v>1.1157458856446001</v>
          </cell>
          <cell r="Q168">
            <v>1.1151415374604801</v>
          </cell>
          <cell r="U168">
            <v>9.854307766724189E-4</v>
          </cell>
          <cell r="V168">
            <v>2.28794969375197E-3</v>
          </cell>
          <cell r="W168">
            <v>1.55994631600831E-3</v>
          </cell>
          <cell r="Y168">
            <v>1.1139962285470999</v>
          </cell>
          <cell r="Z168">
            <v>1.1143503190442801</v>
          </cell>
          <cell r="AA168">
            <v>1.1137809104098499</v>
          </cell>
          <cell r="AF168">
            <v>2.6318243349959698E-3</v>
          </cell>
          <cell r="AG168">
            <v>1.9178096070155901E-3</v>
          </cell>
          <cell r="AR168">
            <v>3.1043962495505159E-2</v>
          </cell>
          <cell r="BC168">
            <v>2.165896884963019E-2</v>
          </cell>
          <cell r="BF168">
            <v>5.2702931345135332E-2</v>
          </cell>
        </row>
        <row r="169">
          <cell r="O169">
            <v>1.1144210713463301</v>
          </cell>
          <cell r="P169">
            <v>1.1154325146644599</v>
          </cell>
          <cell r="Q169">
            <v>1.1151914911749301</v>
          </cell>
          <cell r="U169">
            <v>7.26546301757664E-4</v>
          </cell>
          <cell r="V169">
            <v>1.91463174975502E-3</v>
          </cell>
          <cell r="W169">
            <v>1.3728310361571399E-3</v>
          </cell>
          <cell r="Y169">
            <v>1.1139962285470999</v>
          </cell>
          <cell r="Z169">
            <v>1.1139996942733399</v>
          </cell>
          <cell r="AA169">
            <v>1.1138100448419801</v>
          </cell>
          <cell r="AF169">
            <v>2.2189762589011701E-3</v>
          </cell>
          <cell r="AG169">
            <v>1.7078675420582E-3</v>
          </cell>
          <cell r="AR169">
            <v>3.1043962495505159E-2</v>
          </cell>
          <cell r="BC169">
            <v>2.165896884963019E-2</v>
          </cell>
          <cell r="BF169">
            <v>5.2702931345135332E-2</v>
          </cell>
        </row>
        <row r="170">
          <cell r="O170">
            <v>1.1144210713463301</v>
          </cell>
          <cell r="P170">
            <v>1.1150900830227699</v>
          </cell>
          <cell r="Q170">
            <v>1.11516594067372</v>
          </cell>
          <cell r="U170">
            <v>1.3459583897905501E-3</v>
          </cell>
          <cell r="V170">
            <v>2.2531420666380099E-3</v>
          </cell>
          <cell r="W170">
            <v>2.0370379721486001E-3</v>
          </cell>
          <cell r="Y170">
            <v>1.1139962285470999</v>
          </cell>
          <cell r="Z170">
            <v>1.1136225035588001</v>
          </cell>
          <cell r="AA170">
            <v>1.1137662802286299</v>
          </cell>
          <cell r="AF170">
            <v>2.5009323544087901E-3</v>
          </cell>
          <cell r="AG170">
            <v>2.3306759555034701E-3</v>
          </cell>
          <cell r="AR170">
            <v>3.1043962495505159E-2</v>
          </cell>
          <cell r="BC170">
            <v>2.165896884963019E-2</v>
          </cell>
          <cell r="BF170">
            <v>5.2702931345135332E-2</v>
          </cell>
        </row>
        <row r="171">
          <cell r="O171">
            <v>1.1144210713463301</v>
          </cell>
          <cell r="P171">
            <v>1.1148441899871899</v>
          </cell>
          <cell r="Q171">
            <v>1.1152066532854099</v>
          </cell>
          <cell r="U171">
            <v>-4.38767658416457E-4</v>
          </cell>
          <cell r="V171">
            <v>1.61374390845239E-4</v>
          </cell>
          <cell r="W171">
            <v>2.29400348557013E-4</v>
          </cell>
          <cell r="Y171">
            <v>1.1139962285470999</v>
          </cell>
          <cell r="Z171">
            <v>1.11334134769983</v>
          </cell>
          <cell r="AA171">
            <v>1.11378781964771</v>
          </cell>
          <cell r="AF171">
            <v>3.8599405093579E-4</v>
          </cell>
          <cell r="AG171">
            <v>5.15092905232453E-4</v>
          </cell>
          <cell r="AR171">
            <v>3.1043962495505159E-2</v>
          </cell>
          <cell r="BC171">
            <v>2.165896884963019E-2</v>
          </cell>
          <cell r="BF171">
            <v>5.2702931345135332E-2</v>
          </cell>
        </row>
        <row r="172">
          <cell r="O172">
            <v>1.1144210713463301</v>
          </cell>
          <cell r="P172">
            <v>1.11458231686104</v>
          </cell>
          <cell r="Q172">
            <v>1.11538534002254</v>
          </cell>
          <cell r="U172">
            <v>-3.9058226013829198E-4</v>
          </cell>
          <cell r="V172">
            <v>-1.09785823853674E-5</v>
          </cell>
          <cell r="W172">
            <v>3.1409320017069902E-4</v>
          </cell>
          <cell r="Y172">
            <v>1.1139962285470999</v>
          </cell>
          <cell r="Z172">
            <v>1.1130476438291399</v>
          </cell>
          <cell r="AA172">
            <v>1.1139472503440599</v>
          </cell>
          <cell r="AF172">
            <v>1.63955468497787E-4</v>
          </cell>
          <cell r="AG172">
            <v>5.6489490246202398E-4</v>
          </cell>
          <cell r="AR172">
            <v>3.1043962495505159E-2</v>
          </cell>
          <cell r="BC172">
            <v>2.165896884963019E-2</v>
          </cell>
          <cell r="BF172">
            <v>5.2702931345135332E-2</v>
          </cell>
        </row>
        <row r="173">
          <cell r="O173">
            <v>1.1144210713463301</v>
          </cell>
          <cell r="P173">
            <v>1.11463569777145</v>
          </cell>
          <cell r="Q173">
            <v>1.11561403065161</v>
          </cell>
          <cell r="U173">
            <v>-3.04330428213961E-3</v>
          </cell>
          <cell r="V173">
            <v>-2.8986248116258701E-3</v>
          </cell>
          <cell r="W173">
            <v>-2.1784141899775498E-3</v>
          </cell>
          <cell r="Y173">
            <v>1.1139962285470999</v>
          </cell>
          <cell r="Z173">
            <v>1.11306342610258</v>
          </cell>
          <cell r="AA173">
            <v>1.1141553786450999</v>
          </cell>
          <cell r="AF173">
            <v>-2.7185184954863599E-3</v>
          </cell>
          <cell r="AG173">
            <v>-1.9106077398745201E-3</v>
          </cell>
          <cell r="AR173">
            <v>3.1043962495505159E-2</v>
          </cell>
          <cell r="BC173">
            <v>2.165896884963019E-2</v>
          </cell>
          <cell r="BF173">
            <v>5.2702931345135332E-2</v>
          </cell>
        </row>
        <row r="174">
          <cell r="O174">
            <v>1.1144210713463301</v>
          </cell>
          <cell r="P174">
            <v>1.1150381863293299</v>
          </cell>
          <cell r="Q174">
            <v>1.1156233457407001</v>
          </cell>
          <cell r="U174">
            <v>-2.5602268772381902E-3</v>
          </cell>
          <cell r="V174">
            <v>-2.3676553566214899E-3</v>
          </cell>
          <cell r="W174">
            <v>-1.4903249568524E-3</v>
          </cell>
          <cell r="Y174">
            <v>1.1139962285470999</v>
          </cell>
          <cell r="Z174">
            <v>1.1134228933391399</v>
          </cell>
          <cell r="AA174">
            <v>1.1141434928046701</v>
          </cell>
          <cell r="AF174">
            <v>-2.2043454952566399E-3</v>
          </cell>
          <cell r="AG174">
            <v>-1.2237928637097099E-3</v>
          </cell>
          <cell r="AR174">
            <v>3.1043962495505159E-2</v>
          </cell>
          <cell r="BC174">
            <v>2.165896884963019E-2</v>
          </cell>
          <cell r="BF174">
            <v>5.2702931345135332E-2</v>
          </cell>
        </row>
        <row r="175">
          <cell r="O175">
            <v>1.1144210713463301</v>
          </cell>
          <cell r="P175">
            <v>1.1145920682433099</v>
          </cell>
          <cell r="Q175">
            <v>1.1155295873859701</v>
          </cell>
          <cell r="U175">
            <v>2.0592218443631401E-3</v>
          </cell>
          <cell r="V175">
            <v>2.6128224510010298E-3</v>
          </cell>
          <cell r="W175">
            <v>3.13747347167923E-3</v>
          </cell>
          <cell r="Y175">
            <v>1.1139962285470999</v>
          </cell>
          <cell r="Z175">
            <v>1.1129427524396001</v>
          </cell>
          <cell r="AA175">
            <v>1.11403013100284</v>
          </cell>
          <cell r="AF175">
            <v>2.6871902652111702E-3</v>
          </cell>
          <cell r="AG175">
            <v>3.33417389285525E-3</v>
          </cell>
          <cell r="AR175">
            <v>3.1043962495505159E-2</v>
          </cell>
          <cell r="BC175">
            <v>2.165896884963019E-2</v>
          </cell>
          <cell r="BF175">
            <v>5.2702931345135332E-2</v>
          </cell>
        </row>
        <row r="176">
          <cell r="O176">
            <v>1.1144210713463301</v>
          </cell>
          <cell r="P176">
            <v>1.1143850201796099</v>
          </cell>
          <cell r="Q176">
            <v>1.1153540121734</v>
          </cell>
          <cell r="U176">
            <v>1.27704421675285E-3</v>
          </cell>
          <cell r="V176">
            <v>1.4304725606931301E-3</v>
          </cell>
          <cell r="W176">
            <v>2.2712510855131501E-3</v>
          </cell>
          <cell r="Y176">
            <v>1.1139962285470999</v>
          </cell>
          <cell r="Z176">
            <v>1.11269915754529</v>
          </cell>
          <cell r="AA176">
            <v>1.1138342767096501</v>
          </cell>
          <cell r="AF176">
            <v>1.5016984392596201E-3</v>
          </cell>
          <cell r="AG176">
            <v>2.47825155110914E-3</v>
          </cell>
          <cell r="AR176">
            <v>3.1043962495505159E-2</v>
          </cell>
          <cell r="BC176">
            <v>2.2441146477240492E-2</v>
          </cell>
          <cell r="BF176">
            <v>5.3485108972745631E-2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52F3-DADC-4DDA-9635-75C175E70857}">
  <dimension ref="A1:DZ179"/>
  <sheetViews>
    <sheetView tabSelected="1" topLeftCell="AG1" workbookViewId="0">
      <selection activeCell="A17" sqref="A17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85546875" style="15" bestFit="1" customWidth="1"/>
    <col min="5" max="5" width="10.28515625" style="15" bestFit="1" customWidth="1"/>
    <col min="6" max="6" width="10.28515625" style="33" bestFit="1" customWidth="1"/>
    <col min="7" max="7" width="18.7109375" style="33" bestFit="1" customWidth="1"/>
    <col min="8" max="8" width="9" style="33" bestFit="1" customWidth="1"/>
    <col min="9" max="9" width="17" style="33" bestFit="1" customWidth="1"/>
    <col min="10" max="10" width="21.42578125" style="33" bestFit="1" customWidth="1"/>
    <col min="11" max="11" width="19.7109375" style="33" bestFit="1" customWidth="1"/>
    <col min="12" max="13" width="11" style="33" bestFit="1" customWidth="1"/>
    <col min="14" max="14" width="11" style="34" bestFit="1" customWidth="1"/>
    <col min="15" max="15" width="14.5703125" style="34" bestFit="1" customWidth="1"/>
    <col min="16" max="17" width="18" style="34" bestFit="1" customWidth="1"/>
    <col min="18" max="18" width="12" style="33" bestFit="1" customWidth="1"/>
    <col min="19" max="20" width="15.42578125" style="33" bestFit="1" customWidth="1"/>
    <col min="21" max="21" width="22.42578125" style="15" bestFit="1" customWidth="1"/>
    <col min="22" max="23" width="25.85546875" style="15" bestFit="1" customWidth="1"/>
    <col min="24" max="24" width="13.140625" style="34" bestFit="1" customWidth="1"/>
    <col min="25" max="25" width="16.5703125" style="34" bestFit="1" customWidth="1"/>
    <col min="26" max="27" width="20" style="34" bestFit="1" customWidth="1"/>
    <col min="28" max="28" width="13.140625" style="33" bestFit="1" customWidth="1"/>
    <col min="29" max="30" width="16.42578125" style="33" bestFit="1" customWidth="1"/>
    <col min="31" max="31" width="24.42578125" style="15" bestFit="1" customWidth="1"/>
    <col min="32" max="33" width="27.85546875" style="15" bestFit="1" customWidth="1"/>
    <col min="34" max="34" width="1.7109375" style="9" customWidth="1"/>
    <col min="35" max="35" width="7.7109375" style="15" bestFit="1" customWidth="1"/>
    <col min="36" max="36" width="8.140625" style="15" bestFit="1" customWidth="1"/>
    <col min="37" max="38" width="7.42578125" style="15" bestFit="1" customWidth="1"/>
    <col min="39" max="39" width="7.85546875" style="15" bestFit="1" customWidth="1"/>
    <col min="40" max="40" width="8.42578125" style="15" bestFit="1" customWidth="1"/>
    <col min="41" max="41" width="11.85546875" style="15" bestFit="1" customWidth="1"/>
    <col min="42" max="42" width="10.28515625" style="15" bestFit="1" customWidth="1"/>
    <col min="43" max="43" width="7.4257812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9" width="7.42578125" style="15" bestFit="1" customWidth="1"/>
    <col min="50" max="50" width="7.85546875" style="15" bestFit="1" customWidth="1"/>
    <col min="51" max="51" width="8.42578125" style="15" bestFit="1" customWidth="1"/>
    <col min="52" max="52" width="11.85546875" style="15" bestFit="1" customWidth="1"/>
    <col min="53" max="53" width="10.28515625" style="15" bestFit="1" customWidth="1"/>
    <col min="54" max="54" width="7.42578125" style="15" bestFit="1" customWidth="1"/>
    <col min="55" max="55" width="8.7109375" style="15" bestFit="1" customWidth="1"/>
    <col min="56" max="56" width="1.7109375" style="9" customWidth="1"/>
    <col min="57" max="57" width="7.14062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2.3987233690782737</v>
      </c>
      <c r="AJ1" s="4">
        <v>0</v>
      </c>
      <c r="AK1" s="4">
        <f t="shared" ref="AK1:AQ1" si="0">AJ1-$AK12</f>
        <v>-1E-3</v>
      </c>
      <c r="AL1" s="4">
        <f t="shared" si="0"/>
        <v>-2E-3</v>
      </c>
      <c r="AM1" s="4">
        <f t="shared" si="0"/>
        <v>-3.0000000000000001E-3</v>
      </c>
      <c r="AN1" s="4">
        <f t="shared" si="0"/>
        <v>-4.0000000000000001E-3</v>
      </c>
      <c r="AO1" s="4">
        <f t="shared" si="0"/>
        <v>-5.0000000000000001E-3</v>
      </c>
      <c r="AP1" s="4">
        <f t="shared" si="0"/>
        <v>-6.0000000000000001E-3</v>
      </c>
      <c r="AQ1" s="4">
        <f t="shared" si="0"/>
        <v>-7.0000000000000001E-3</v>
      </c>
      <c r="AR1" s="5" t="s">
        <v>33</v>
      </c>
      <c r="AS1" s="2"/>
      <c r="AT1" s="3">
        <f>BB16</f>
        <v>1.0862351201953631</v>
      </c>
      <c r="AU1" s="4">
        <v>0</v>
      </c>
      <c r="AV1" s="6">
        <f>AU1+$AV12</f>
        <v>1E-3</v>
      </c>
      <c r="AW1" s="6">
        <f t="shared" ref="AW1:BB1" si="1">AV1+$AV12</f>
        <v>2E-3</v>
      </c>
      <c r="AX1" s="6">
        <f t="shared" si="1"/>
        <v>3.0000000000000001E-3</v>
      </c>
      <c r="AY1" s="6">
        <f t="shared" si="1"/>
        <v>4.0000000000000001E-3</v>
      </c>
      <c r="AZ1" s="6">
        <f t="shared" si="1"/>
        <v>5.0000000000000001E-3</v>
      </c>
      <c r="BA1" s="6">
        <f t="shared" si="1"/>
        <v>6.0000000000000001E-3</v>
      </c>
      <c r="BB1" s="6">
        <f t="shared" si="1"/>
        <v>7.0000000000000001E-3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19.14</v>
      </c>
      <c r="C2" s="33">
        <v>31.27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19.14</v>
      </c>
      <c r="M2" s="33">
        <v>31.27</v>
      </c>
      <c r="N2" s="34">
        <v>1.6337513061650899</v>
      </c>
      <c r="O2" s="34">
        <v>1.6459148161032899</v>
      </c>
      <c r="X2" s="34">
        <v>1.6337513061650899</v>
      </c>
      <c r="Y2" s="34">
        <v>1.6383944060714599</v>
      </c>
      <c r="AI2" s="4">
        <v>0</v>
      </c>
      <c r="AJ2" s="10">
        <f t="dataTable" ref="AJ2:AQ9" dt2D="1" dtr="1" r1="AI21" r2="AI22"/>
        <v>0.18343904663756319</v>
      </c>
      <c r="AK2" s="10">
        <v>-0.16096452087789748</v>
      </c>
      <c r="AL2" s="10">
        <v>-0.19136505454241814</v>
      </c>
      <c r="AM2" s="10">
        <v>-0.21142133882833583</v>
      </c>
      <c r="AN2" s="10">
        <v>0.43739347441705706</v>
      </c>
      <c r="AO2" s="10">
        <v>0.45283000817994351</v>
      </c>
      <c r="AP2" s="10">
        <v>1.1504282867864293</v>
      </c>
      <c r="AQ2" s="10" t="e">
        <v>#DIV/0!</v>
      </c>
      <c r="AR2"/>
      <c r="AT2" s="4">
        <v>0</v>
      </c>
      <c r="AU2" s="10">
        <f t="dataTable" ref="AU2:BB9" dt2D="1" dtr="1" r1="AT21" r2="AT22"/>
        <v>0.73016722288645397</v>
      </c>
      <c r="AV2" s="11">
        <v>0.17576082293386591</v>
      </c>
      <c r="AW2" s="11">
        <v>-0.14920063430371161</v>
      </c>
      <c r="AX2" s="11">
        <v>-4.6987408166526301E-2</v>
      </c>
      <c r="AY2" s="11">
        <v>0.24713725586107796</v>
      </c>
      <c r="AZ2" s="11">
        <v>-0.59016201711416594</v>
      </c>
      <c r="BA2" s="11">
        <v>-0.59016201711416594</v>
      </c>
      <c r="BB2" s="11">
        <v>-0.86479389754735869</v>
      </c>
      <c r="BC2"/>
    </row>
    <row r="3" spans="1:130" x14ac:dyDescent="0.25">
      <c r="A3" s="1">
        <v>46027</v>
      </c>
      <c r="B3" s="33">
        <v>19.190000000000001</v>
      </c>
      <c r="C3" s="33">
        <v>31.33</v>
      </c>
      <c r="D3" s="15">
        <v>2.6089239948004798E-3</v>
      </c>
      <c r="E3" s="15">
        <v>1.91693349435048E-3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19.190000000000001</v>
      </c>
      <c r="M3" s="33">
        <v>31.33</v>
      </c>
      <c r="N3" s="34">
        <v>1.63262115685252</v>
      </c>
      <c r="O3" s="34">
        <v>1.6459148161032899</v>
      </c>
      <c r="R3" s="33">
        <v>31.585105321022098</v>
      </c>
      <c r="U3" s="15">
        <v>8.1095539075885896E-3</v>
      </c>
      <c r="X3" s="34">
        <v>1.63262115685252</v>
      </c>
      <c r="Y3" s="34">
        <v>1.6383944060714599</v>
      </c>
      <c r="AB3" s="33">
        <v>31.440788652511401</v>
      </c>
      <c r="AE3" s="15">
        <v>3.5299466497103402E-3</v>
      </c>
      <c r="AI3" s="4">
        <f t="shared" ref="AI3:AI9" si="2">AI2-AK$12</f>
        <v>-1E-3</v>
      </c>
      <c r="AJ3" s="10">
        <v>0.18343904663756319</v>
      </c>
      <c r="AK3" s="10">
        <v>0.67913420320795692</v>
      </c>
      <c r="AL3" s="10">
        <v>0.64393398200489005</v>
      </c>
      <c r="AM3" s="10">
        <v>-0.49452410836337479</v>
      </c>
      <c r="AN3" s="10">
        <v>0.21542350540912023</v>
      </c>
      <c r="AO3" s="11">
        <v>0.20267599212050749</v>
      </c>
      <c r="AP3" s="10">
        <v>1.1504282867864293</v>
      </c>
      <c r="AQ3" s="10" t="e">
        <v>#DIV/0!</v>
      </c>
      <c r="AR3"/>
      <c r="AT3" s="4">
        <f>AT2+AV$12</f>
        <v>1E-3</v>
      </c>
      <c r="AU3" s="10">
        <v>0.73016722288645397</v>
      </c>
      <c r="AV3" s="11">
        <v>0.13348720761015881</v>
      </c>
      <c r="AW3" s="11">
        <v>-0.10524995833587994</v>
      </c>
      <c r="AX3" s="11">
        <v>0.1167355418227226</v>
      </c>
      <c r="AY3" s="11">
        <v>0.65009965146434934</v>
      </c>
      <c r="AZ3" s="11">
        <v>-7.1165171391881457E-2</v>
      </c>
      <c r="BA3" s="11">
        <v>0.17511917661930451</v>
      </c>
      <c r="BB3" s="11">
        <v>-0.86479389754735869</v>
      </c>
      <c r="BC3"/>
    </row>
    <row r="4" spans="1:130" x14ac:dyDescent="0.25">
      <c r="A4" s="1">
        <v>46028</v>
      </c>
      <c r="B4" s="33">
        <v>19.260000000000002</v>
      </c>
      <c r="C4" s="33">
        <v>31.45</v>
      </c>
      <c r="D4" s="15">
        <v>3.6410963503709401E-3</v>
      </c>
      <c r="E4" s="15">
        <v>3.8228781823491501E-3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19.260000000000002</v>
      </c>
      <c r="M4" s="33">
        <v>31.45</v>
      </c>
      <c r="N4" s="34">
        <v>1.63291796469366</v>
      </c>
      <c r="O4" s="34">
        <v>1.6459148161032899</v>
      </c>
      <c r="R4" s="33">
        <v>31.7003193581494</v>
      </c>
      <c r="U4" s="15">
        <v>7.9277720756103197E-3</v>
      </c>
      <c r="X4" s="34">
        <v>1.63291796469366</v>
      </c>
      <c r="Y4" s="34">
        <v>1.6383944060714599</v>
      </c>
      <c r="AB4" s="33">
        <v>31.555476260936398</v>
      </c>
      <c r="AE4" s="15">
        <v>3.3481648177320902E-3</v>
      </c>
      <c r="AG4"/>
      <c r="AI4" s="4">
        <f t="shared" si="2"/>
        <v>-2E-3</v>
      </c>
      <c r="AJ4" s="10">
        <v>0.18343904663756319</v>
      </c>
      <c r="AK4" s="11">
        <v>0.67913420320795692</v>
      </c>
      <c r="AL4" s="11">
        <v>0.41068323738363371</v>
      </c>
      <c r="AM4" s="11">
        <v>-3.3201521825630992E-2</v>
      </c>
      <c r="AN4" s="10">
        <v>0.64736226166458877</v>
      </c>
      <c r="AO4" s="11">
        <v>0.81425101373575404</v>
      </c>
      <c r="AP4" s="11">
        <v>1.1504282867864293</v>
      </c>
      <c r="AQ4" s="11" t="e">
        <v>#DIV/0!</v>
      </c>
      <c r="AR4"/>
      <c r="AT4" s="4">
        <f t="shared" ref="AT4:AT9" si="3">AT3+AV$12</f>
        <v>2E-3</v>
      </c>
      <c r="AU4" s="10">
        <v>0.73016722288645397</v>
      </c>
      <c r="AV4" s="11">
        <v>0.13348720761015881</v>
      </c>
      <c r="AW4" s="11">
        <v>0.83177947952905806</v>
      </c>
      <c r="AX4" s="11">
        <v>1.0850418425112107</v>
      </c>
      <c r="AY4" s="11">
        <v>1.0862351201953631</v>
      </c>
      <c r="AZ4" s="11">
        <v>0.35457620495237685</v>
      </c>
      <c r="BA4" s="11">
        <v>0.17511917661930451</v>
      </c>
      <c r="BB4" s="11">
        <v>-0.86479389754735869</v>
      </c>
      <c r="BC4"/>
      <c r="BE4" s="8"/>
      <c r="BF4" s="8"/>
    </row>
    <row r="5" spans="1:130" x14ac:dyDescent="0.25">
      <c r="A5" s="1">
        <v>46029</v>
      </c>
      <c r="B5" s="33">
        <v>19.260000000000002</v>
      </c>
      <c r="C5" s="33">
        <v>31.41</v>
      </c>
      <c r="D5" s="15">
        <v>0</v>
      </c>
      <c r="E5" s="15">
        <v>-1.2726695958943299E-3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19.260000000000002</v>
      </c>
      <c r="M5" s="33">
        <v>31.41</v>
      </c>
      <c r="N5" s="34">
        <v>1.63084112149532</v>
      </c>
      <c r="O5" s="34">
        <v>1.6459148161032899</v>
      </c>
      <c r="R5" s="33">
        <v>31.7003193581494</v>
      </c>
      <c r="U5" s="15">
        <v>9.2004416715046698E-3</v>
      </c>
      <c r="X5" s="34">
        <v>1.63084112149532</v>
      </c>
      <c r="Y5" s="34">
        <v>1.6383944060714599</v>
      </c>
      <c r="AB5" s="33">
        <v>31.555476260936398</v>
      </c>
      <c r="AE5" s="15">
        <v>4.6208344136263804E-3</v>
      </c>
      <c r="AG5" s="29"/>
      <c r="AI5" s="4">
        <f t="shared" si="2"/>
        <v>-3.0000000000000001E-3</v>
      </c>
      <c r="AJ5" s="10">
        <v>0.18343904663756319</v>
      </c>
      <c r="AK5" s="11">
        <v>0.67913420320795692</v>
      </c>
      <c r="AL5" s="11">
        <v>0.41068323738363371</v>
      </c>
      <c r="AM5" s="11">
        <v>0.86851658798687159</v>
      </c>
      <c r="AN5" s="11">
        <v>1.3023040216218482</v>
      </c>
      <c r="AO5" s="11">
        <v>2.3987233690782737</v>
      </c>
      <c r="AP5" s="10">
        <v>1.5464614130188765</v>
      </c>
      <c r="AQ5" s="11" t="e">
        <v>#DIV/0!</v>
      </c>
      <c r="AR5"/>
      <c r="AT5" s="4">
        <f t="shared" si="3"/>
        <v>3.0000000000000001E-3</v>
      </c>
      <c r="AU5" s="10">
        <v>0.73016722288645397</v>
      </c>
      <c r="AV5" s="11">
        <v>0.13348720761015881</v>
      </c>
      <c r="AW5" s="11">
        <v>0.83177947952905806</v>
      </c>
      <c r="AX5" s="11">
        <v>1.1103188180540733</v>
      </c>
      <c r="AY5" s="11">
        <v>1.1141501630054509</v>
      </c>
      <c r="AZ5" s="11">
        <v>0.23910154404875544</v>
      </c>
      <c r="BA5" s="11">
        <v>4.032570409219674E-2</v>
      </c>
      <c r="BB5" s="11">
        <v>-0.86479389754735869</v>
      </c>
      <c r="BC5"/>
    </row>
    <row r="6" spans="1:130" x14ac:dyDescent="0.25">
      <c r="A6" s="1">
        <v>46030</v>
      </c>
      <c r="B6" s="33">
        <v>19.29</v>
      </c>
      <c r="C6" s="33">
        <v>31.38</v>
      </c>
      <c r="D6" s="15">
        <v>1.5564205476581499E-3</v>
      </c>
      <c r="E6" s="15">
        <v>-9.5556624566867901E-4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19.29</v>
      </c>
      <c r="M6" s="33">
        <v>31.38</v>
      </c>
      <c r="N6" s="34">
        <v>1.6267496111975099</v>
      </c>
      <c r="O6" s="34">
        <v>1.6459148161032899</v>
      </c>
      <c r="R6" s="33">
        <v>31.749696802632499</v>
      </c>
      <c r="U6" s="15">
        <v>1.1712428464831399E-2</v>
      </c>
      <c r="X6" s="34">
        <v>1.6267496111975099</v>
      </c>
      <c r="Y6" s="34">
        <v>1.6383944060714599</v>
      </c>
      <c r="AB6" s="33">
        <v>31.6046280931185</v>
      </c>
      <c r="AE6" s="15">
        <v>7.1328212069531501E-3</v>
      </c>
      <c r="AG6" s="29"/>
      <c r="AI6" s="4">
        <f t="shared" si="2"/>
        <v>-4.0000000000000001E-3</v>
      </c>
      <c r="AJ6" s="10">
        <v>0.18343904663756319</v>
      </c>
      <c r="AK6" s="11">
        <v>0.67913420320795692</v>
      </c>
      <c r="AL6" s="11">
        <v>0.41068323738363371</v>
      </c>
      <c r="AM6" s="11">
        <v>0.86851658798687159</v>
      </c>
      <c r="AN6" s="11">
        <v>1.798655240977092</v>
      </c>
      <c r="AO6" s="11">
        <v>2.2034092318534673</v>
      </c>
      <c r="AP6" s="11">
        <v>1.6707106152925988</v>
      </c>
      <c r="AQ6" s="11" t="e">
        <v>#DIV/0!</v>
      </c>
      <c r="AR6"/>
      <c r="AT6" s="4">
        <f t="shared" si="3"/>
        <v>4.0000000000000001E-3</v>
      </c>
      <c r="AU6" s="10">
        <v>0.73016722288645397</v>
      </c>
      <c r="AV6" s="11">
        <v>0.13348720761015881</v>
      </c>
      <c r="AW6" s="11">
        <v>0.83177947952905806</v>
      </c>
      <c r="AX6" s="11">
        <v>1.1103188180540733</v>
      </c>
      <c r="AY6" s="11">
        <v>0.56980826627407621</v>
      </c>
      <c r="AZ6" s="11">
        <v>5.3077146896594811E-2</v>
      </c>
      <c r="BA6" s="11">
        <v>4.032570409219674E-2</v>
      </c>
      <c r="BB6" s="11">
        <v>-0.86479389754735869</v>
      </c>
      <c r="BC6"/>
    </row>
    <row r="7" spans="1:130" x14ac:dyDescent="0.25">
      <c r="A7" s="1">
        <v>46031</v>
      </c>
      <c r="B7" s="33">
        <v>19.34</v>
      </c>
      <c r="C7" s="33">
        <v>31.57</v>
      </c>
      <c r="D7" s="15">
        <v>2.5886631075105601E-3</v>
      </c>
      <c r="E7" s="15">
        <v>6.0365552650136897E-3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19.34</v>
      </c>
      <c r="M7" s="33">
        <v>31.57</v>
      </c>
      <c r="N7" s="34">
        <v>1.6323681489141599</v>
      </c>
      <c r="O7" s="34">
        <v>1.6459148161032899</v>
      </c>
      <c r="R7" s="33">
        <v>31.8319925434376</v>
      </c>
      <c r="U7" s="15">
        <v>8.2645363073283497E-3</v>
      </c>
      <c r="X7" s="34">
        <v>1.6323681489141599</v>
      </c>
      <c r="Y7" s="34">
        <v>1.6383944060714599</v>
      </c>
      <c r="AB7" s="33">
        <v>31.686547813422099</v>
      </c>
      <c r="AE7" s="15">
        <v>3.6849290494499398E-3</v>
      </c>
      <c r="AG7"/>
      <c r="AI7" s="4">
        <f t="shared" si="2"/>
        <v>-5.0000000000000001E-3</v>
      </c>
      <c r="AJ7" s="10">
        <v>0.18343904663756319</v>
      </c>
      <c r="AK7" s="11">
        <v>0.67913420320795692</v>
      </c>
      <c r="AL7" s="11">
        <v>0.41068323738363371</v>
      </c>
      <c r="AM7" s="11">
        <v>0.86851658798687159</v>
      </c>
      <c r="AN7" s="11">
        <v>1.798655240977092</v>
      </c>
      <c r="AO7" s="11">
        <v>2.694272625584929</v>
      </c>
      <c r="AP7" s="11">
        <v>1.6707106152925988</v>
      </c>
      <c r="AQ7" s="11" t="e">
        <v>#DIV/0!</v>
      </c>
      <c r="AR7"/>
      <c r="AT7" s="4">
        <f t="shared" si="3"/>
        <v>5.0000000000000001E-3</v>
      </c>
      <c r="AU7" s="10">
        <v>0.73016722288645397</v>
      </c>
      <c r="AV7" s="11">
        <v>0.13348720761015881</v>
      </c>
      <c r="AW7" s="11">
        <v>0.83177947952905806</v>
      </c>
      <c r="AX7" s="11">
        <v>1.1103188180540733</v>
      </c>
      <c r="AY7" s="11">
        <v>0.56980826627407621</v>
      </c>
      <c r="AZ7" s="11">
        <v>0.34264143499753369</v>
      </c>
      <c r="BA7" s="11">
        <v>0.33795929026234384</v>
      </c>
      <c r="BB7" s="11">
        <v>-0.86479389754735869</v>
      </c>
      <c r="BC7"/>
    </row>
    <row r="8" spans="1:130" x14ac:dyDescent="0.25">
      <c r="A8" s="1">
        <v>46034</v>
      </c>
      <c r="B8" s="33">
        <v>19.350000000000001</v>
      </c>
      <c r="C8" s="33">
        <v>31.62</v>
      </c>
      <c r="D8" s="15">
        <v>5.1692945064254602E-4</v>
      </c>
      <c r="E8" s="15">
        <v>1.58252921142566E-3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19.350000000000001</v>
      </c>
      <c r="M8" s="33">
        <v>31.62</v>
      </c>
      <c r="N8" s="34">
        <v>1.6341085271317799</v>
      </c>
      <c r="O8" s="34">
        <v>1.6459148161032899</v>
      </c>
      <c r="R8" s="33">
        <v>31.848451691598701</v>
      </c>
      <c r="U8" s="15">
        <v>7.1989365465451698E-3</v>
      </c>
      <c r="X8" s="34">
        <v>1.6341085271317799</v>
      </c>
      <c r="Y8" s="34">
        <v>1.6383944060714599</v>
      </c>
      <c r="AB8" s="33">
        <v>31.702931757482801</v>
      </c>
      <c r="AE8" s="15">
        <v>2.6193292886670101E-3</v>
      </c>
      <c r="AG8"/>
      <c r="AI8" s="4">
        <f t="shared" si="2"/>
        <v>-6.0000000000000001E-3</v>
      </c>
      <c r="AJ8" s="10">
        <v>0.18343904663756319</v>
      </c>
      <c r="AK8" s="11">
        <v>0.67913420320795692</v>
      </c>
      <c r="AL8" s="11">
        <v>0.41068323738363371</v>
      </c>
      <c r="AM8" s="11">
        <v>0.86851658798687159</v>
      </c>
      <c r="AN8" s="11">
        <v>1.798655240977092</v>
      </c>
      <c r="AO8" s="11">
        <v>2.694272625584929</v>
      </c>
      <c r="AP8" s="11">
        <v>1.2750711555097285</v>
      </c>
      <c r="AQ8" s="11" t="e">
        <v>#DIV/0!</v>
      </c>
      <c r="AR8"/>
      <c r="AT8" s="4">
        <f t="shared" si="3"/>
        <v>6.0000000000000001E-3</v>
      </c>
      <c r="AU8" s="10">
        <v>0.73016722288645397</v>
      </c>
      <c r="AV8" s="11">
        <v>0.13348720761015881</v>
      </c>
      <c r="AW8" s="11">
        <v>0.83177947952905806</v>
      </c>
      <c r="AX8" s="11">
        <v>1.1103188180540733</v>
      </c>
      <c r="AY8" s="11">
        <v>0.56980826627407621</v>
      </c>
      <c r="AZ8" s="11">
        <v>0.34264143499753369</v>
      </c>
      <c r="BA8" s="11">
        <v>2.8905236227181073E-2</v>
      </c>
      <c r="BB8" s="11">
        <v>-0.86479389754735869</v>
      </c>
      <c r="BC8"/>
    </row>
    <row r="9" spans="1:130" x14ac:dyDescent="0.25">
      <c r="A9" s="1">
        <v>46035</v>
      </c>
      <c r="B9" s="33">
        <v>19.45</v>
      </c>
      <c r="C9" s="33">
        <v>31.64</v>
      </c>
      <c r="D9" s="15">
        <v>5.1546505886644204E-3</v>
      </c>
      <c r="E9" s="15">
        <v>6.3231111812725601E-4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19.45</v>
      </c>
      <c r="M9" s="33">
        <v>31.64</v>
      </c>
      <c r="N9" s="34">
        <v>1.6267352185089901</v>
      </c>
      <c r="O9" s="34">
        <v>1.6459148161032899</v>
      </c>
      <c r="R9" s="33">
        <v>32.013043173208999</v>
      </c>
      <c r="U9" s="15">
        <v>1.17212760170825E-2</v>
      </c>
      <c r="X9" s="34">
        <v>1.6267352185089901</v>
      </c>
      <c r="Y9" s="34">
        <v>1.6383944060714599</v>
      </c>
      <c r="AB9" s="33">
        <v>31.866771198089999</v>
      </c>
      <c r="AE9" s="15">
        <v>7.1416687592043299E-3</v>
      </c>
      <c r="AF9"/>
      <c r="AI9" s="4">
        <f t="shared" si="2"/>
        <v>-7.0000000000000001E-3</v>
      </c>
      <c r="AJ9" s="10">
        <v>0.18343904663756319</v>
      </c>
      <c r="AK9" s="11">
        <v>0.67913420320795692</v>
      </c>
      <c r="AL9" s="11">
        <v>0.41068323738363371</v>
      </c>
      <c r="AM9" s="11">
        <v>0.86851658798687159</v>
      </c>
      <c r="AN9" s="11">
        <v>1.798655240977092</v>
      </c>
      <c r="AO9" s="11">
        <v>2.694272625584929</v>
      </c>
      <c r="AP9" s="11">
        <v>1.2750711555097285</v>
      </c>
      <c r="AQ9" s="11" t="e">
        <v>#DIV/0!</v>
      </c>
      <c r="AR9"/>
      <c r="AT9" s="4">
        <f t="shared" si="3"/>
        <v>7.0000000000000001E-3</v>
      </c>
      <c r="AU9" s="10">
        <v>0.73016722288645397</v>
      </c>
      <c r="AV9" s="10">
        <v>0.13348720761015881</v>
      </c>
      <c r="AW9" s="10">
        <v>0.83177947952905806</v>
      </c>
      <c r="AX9" s="10">
        <v>1.1103188180540733</v>
      </c>
      <c r="AY9" s="10">
        <v>0.56980826627407621</v>
      </c>
      <c r="AZ9" s="10">
        <v>0.34264143499753369</v>
      </c>
      <c r="BA9" s="10">
        <v>2.8905236227181073E-2</v>
      </c>
      <c r="BB9" s="10">
        <v>0.77717401950991649</v>
      </c>
      <c r="BC9"/>
    </row>
    <row r="10" spans="1:130" x14ac:dyDescent="0.25">
      <c r="A10" s="1">
        <v>46036</v>
      </c>
      <c r="B10" s="33">
        <v>19.489999999999998</v>
      </c>
      <c r="C10" s="33">
        <v>31.74</v>
      </c>
      <c r="D10" s="15">
        <v>2.0544434550140299E-3</v>
      </c>
      <c r="E10" s="15">
        <v>3.1555721988098398E-3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19.489999999999998</v>
      </c>
      <c r="M10" s="33">
        <v>31.74</v>
      </c>
      <c r="N10" s="34">
        <v>1.6285274499743401</v>
      </c>
      <c r="O10" s="34">
        <v>1.6459148161032899</v>
      </c>
      <c r="R10" s="33">
        <v>32.078879765853102</v>
      </c>
      <c r="U10" s="15">
        <v>1.06201472732866E-2</v>
      </c>
      <c r="X10" s="34">
        <v>1.6285274499743401</v>
      </c>
      <c r="Y10" s="34">
        <v>1.6383944060714599</v>
      </c>
      <c r="AB10" s="33">
        <v>31.9323069743328</v>
      </c>
      <c r="AE10" s="15">
        <v>6.0405400154084502E-3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19.52</v>
      </c>
      <c r="C11" s="33">
        <v>31.82</v>
      </c>
      <c r="D11" s="15">
        <v>1.5380674654770399E-3</v>
      </c>
      <c r="E11" s="15">
        <v>2.5173078113778901E-3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19.52</v>
      </c>
      <c r="M11" s="33">
        <v>31.82</v>
      </c>
      <c r="N11" s="34">
        <v>1.63012295081967</v>
      </c>
      <c r="O11" s="34">
        <v>1.6459148161032899</v>
      </c>
      <c r="P11" s="34">
        <v>1.6308743455753001</v>
      </c>
      <c r="R11" s="33">
        <v>32.128257210336201</v>
      </c>
      <c r="U11" s="15">
        <v>9.6409069273860303E-3</v>
      </c>
      <c r="X11" s="34">
        <v>1.63012295081967</v>
      </c>
      <c r="Y11" s="34">
        <v>1.6383944060714599</v>
      </c>
      <c r="Z11" s="34">
        <v>1.6308743455753001</v>
      </c>
      <c r="AB11" s="33">
        <v>31.981458806515001</v>
      </c>
      <c r="AE11" s="15">
        <v>5.0612996695075197E-3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19.47</v>
      </c>
      <c r="C12" s="33">
        <v>31.78</v>
      </c>
      <c r="D12" s="15">
        <v>-2.5647616008381302E-3</v>
      </c>
      <c r="E12" s="15">
        <v>-1.2578618010708901E-3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19.47</v>
      </c>
      <c r="M12" s="33">
        <v>31.78</v>
      </c>
      <c r="N12" s="34">
        <v>1.6322547508988099</v>
      </c>
      <c r="O12" s="34">
        <v>1.6459148161032899</v>
      </c>
      <c r="P12" s="34">
        <v>1.63072469004868</v>
      </c>
      <c r="R12" s="33">
        <v>32.045961469531001</v>
      </c>
      <c r="S12" s="33">
        <v>31.753123508351202</v>
      </c>
      <c r="U12" s="15">
        <v>8.3340071276185798E-3</v>
      </c>
      <c r="V12" s="15">
        <v>-8.4606239290041605E-4</v>
      </c>
      <c r="X12" s="34">
        <v>1.6322547508988099</v>
      </c>
      <c r="Y12" s="34">
        <v>1.6383944060714599</v>
      </c>
      <c r="Z12" s="34">
        <v>1.63072469004868</v>
      </c>
      <c r="AB12" s="33">
        <v>31.899539086211401</v>
      </c>
      <c r="AC12" s="33">
        <v>31.753123508351202</v>
      </c>
      <c r="AE12" s="15">
        <v>3.7543998697404002E-3</v>
      </c>
      <c r="AF12" s="15">
        <v>-8.4606239290041605E-4</v>
      </c>
      <c r="AK12" s="17">
        <v>1E-3</v>
      </c>
      <c r="AL12" s="18" t="s">
        <v>37</v>
      </c>
      <c r="AM12" s="19" t="s">
        <v>38</v>
      </c>
      <c r="AV12" s="17">
        <v>1E-3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19.38</v>
      </c>
      <c r="C13" s="33">
        <v>31.61</v>
      </c>
      <c r="D13" s="15">
        <v>-4.6332129214881404E-3</v>
      </c>
      <c r="E13" s="15">
        <v>-5.3636348810435696E-3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19.38</v>
      </c>
      <c r="M13" s="33">
        <v>31.61</v>
      </c>
      <c r="N13" s="34">
        <v>1.6310629514963799</v>
      </c>
      <c r="O13" s="34">
        <v>1.6459148161032899</v>
      </c>
      <c r="P13" s="34">
        <v>1.63056886951306</v>
      </c>
      <c r="R13" s="33">
        <v>31.8978291360818</v>
      </c>
      <c r="S13" s="33">
        <v>31.6034444931434</v>
      </c>
      <c r="U13" s="15">
        <v>9.0644290871741192E-3</v>
      </c>
      <c r="V13" s="15">
        <v>-2.0740862747201501E-4</v>
      </c>
      <c r="X13" s="34">
        <v>1.6310629514963799</v>
      </c>
      <c r="Y13" s="34">
        <v>1.6383944060714599</v>
      </c>
      <c r="Z13" s="34">
        <v>1.63056886951306</v>
      </c>
      <c r="AB13" s="33">
        <v>31.752083589664998</v>
      </c>
      <c r="AC13" s="33">
        <v>31.6034444931434</v>
      </c>
      <c r="AE13" s="15">
        <v>4.4848218292958698E-3</v>
      </c>
      <c r="AF13" s="15">
        <v>-2.0740862747201501E-4</v>
      </c>
    </row>
    <row r="14" spans="1:130" x14ac:dyDescent="0.25">
      <c r="A14" s="1">
        <v>46043</v>
      </c>
      <c r="B14" s="33">
        <v>19.53</v>
      </c>
      <c r="C14" s="33">
        <v>31.85</v>
      </c>
      <c r="D14" s="15">
        <v>7.7101384259674801E-3</v>
      </c>
      <c r="E14" s="15">
        <v>7.5638557906459796E-3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19.53</v>
      </c>
      <c r="M14" s="33">
        <v>31.85</v>
      </c>
      <c r="N14" s="34">
        <v>1.6308243727598499</v>
      </c>
      <c r="O14" s="34">
        <v>1.6459148161032899</v>
      </c>
      <c r="P14" s="34">
        <v>1.63035951031968</v>
      </c>
      <c r="R14" s="33">
        <v>32.144716358497298</v>
      </c>
      <c r="S14" s="33">
        <v>31.845010021590198</v>
      </c>
      <c r="U14" s="15">
        <v>9.2107117224954592E-3</v>
      </c>
      <c r="V14" s="15">
        <v>-1.56683495875287E-4</v>
      </c>
      <c r="X14" s="34">
        <v>1.6308243727598499</v>
      </c>
      <c r="Y14" s="34">
        <v>1.6383944060714599</v>
      </c>
      <c r="Z14" s="34">
        <v>1.63035951031968</v>
      </c>
      <c r="AB14" s="33">
        <v>31.9978427505757</v>
      </c>
      <c r="AC14" s="33">
        <v>31.845010021590198</v>
      </c>
      <c r="AE14" s="15">
        <v>4.6311044646173702E-3</v>
      </c>
      <c r="AF14" s="15">
        <v>-1.56683495875287E-4</v>
      </c>
      <c r="AQ14" s="20">
        <f>AVERAGE(AQ22:AQ176)</f>
        <v>6.5986973424117558E-5</v>
      </c>
      <c r="AR14" s="21" t="s">
        <v>41</v>
      </c>
      <c r="BB14" s="20">
        <f>AVERAGE(BB22:BB176)</f>
        <v>7.9830388131440466E-5</v>
      </c>
      <c r="BC14" s="21" t="s">
        <v>41</v>
      </c>
      <c r="BD14" s="22"/>
      <c r="BE14" s="20">
        <f>AVERAGE(BE22:BE176)</f>
        <v>1.4581736155555802E-4</v>
      </c>
      <c r="BF14" s="21" t="s">
        <v>41</v>
      </c>
    </row>
    <row r="15" spans="1:130" x14ac:dyDescent="0.25">
      <c r="A15" s="1">
        <v>46044</v>
      </c>
      <c r="B15" s="33">
        <v>19.600000000000001</v>
      </c>
      <c r="C15" s="33">
        <v>31.94</v>
      </c>
      <c r="D15" s="15">
        <v>3.5778213478839002E-3</v>
      </c>
      <c r="E15" s="15">
        <v>2.8217607686941001E-3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19.600000000000001</v>
      </c>
      <c r="M15" s="33">
        <v>31.94</v>
      </c>
      <c r="N15" s="34">
        <v>1.62959183673469</v>
      </c>
      <c r="O15" s="34">
        <v>1.6459148161032899</v>
      </c>
      <c r="P15" s="34">
        <v>1.6302345818436199</v>
      </c>
      <c r="R15" s="33">
        <v>32.259930395624501</v>
      </c>
      <c r="S15" s="33">
        <v>31.955046402265801</v>
      </c>
      <c r="U15" s="15">
        <v>9.9667723016856405E-3</v>
      </c>
      <c r="V15" s="15">
        <v>4.70972427166251E-4</v>
      </c>
      <c r="X15" s="34">
        <v>1.62959183673469</v>
      </c>
      <c r="Y15" s="34">
        <v>1.6383944060714599</v>
      </c>
      <c r="Z15" s="34">
        <v>1.6302345818436199</v>
      </c>
      <c r="AB15" s="33">
        <v>32.112530359000701</v>
      </c>
      <c r="AC15" s="33">
        <v>31.955046402265801</v>
      </c>
      <c r="AE15" s="15">
        <v>5.3871650438074596E-3</v>
      </c>
      <c r="AF15" s="15">
        <v>4.70972427166251E-4</v>
      </c>
      <c r="AQ15" s="20">
        <f>STDEV(AQ22:AQ176)</f>
        <v>4.3669509465060714E-4</v>
      </c>
      <c r="AR15" s="21" t="s">
        <v>42</v>
      </c>
      <c r="BB15" s="20">
        <f>STDEV(BB22:BB176)</f>
        <v>1.1666609749658987E-3</v>
      </c>
      <c r="BC15" s="21" t="s">
        <v>42</v>
      </c>
      <c r="BD15" s="22"/>
      <c r="BE15" s="20">
        <f>STDEV(BE22:BE176)</f>
        <v>1.2414493514673049E-3</v>
      </c>
      <c r="BF15" s="21" t="s">
        <v>42</v>
      </c>
    </row>
    <row r="16" spans="1:130" x14ac:dyDescent="0.25">
      <c r="A16" s="1">
        <v>46045</v>
      </c>
      <c r="B16" s="33">
        <v>19.57</v>
      </c>
      <c r="C16" s="33">
        <v>31.91</v>
      </c>
      <c r="D16" s="15">
        <v>-1.5317848284867499E-3</v>
      </c>
      <c r="E16" s="15">
        <v>-9.3970249671423999E-4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19.57</v>
      </c>
      <c r="M16" s="33">
        <v>31.91</v>
      </c>
      <c r="N16" s="34">
        <v>1.63055697496167</v>
      </c>
      <c r="O16" s="34">
        <v>1.6459148161032899</v>
      </c>
      <c r="P16" s="34">
        <v>1.63061531822003</v>
      </c>
      <c r="R16" s="33">
        <v>32.210552951141402</v>
      </c>
      <c r="S16" s="33">
        <v>31.903690766679698</v>
      </c>
      <c r="U16" s="15">
        <v>9.37468996991302E-3</v>
      </c>
      <c r="V16" s="15">
        <v>-1.9773917681455001E-4</v>
      </c>
      <c r="X16" s="34">
        <v>1.63055697496167</v>
      </c>
      <c r="Y16" s="34">
        <v>1.6383944060714599</v>
      </c>
      <c r="Z16" s="34">
        <v>1.63061531822003</v>
      </c>
      <c r="AB16" s="33">
        <v>32.063378526818603</v>
      </c>
      <c r="AC16" s="33">
        <v>31.903690766679698</v>
      </c>
      <c r="AE16" s="15">
        <v>4.7950827120349301E-3</v>
      </c>
      <c r="AF16" s="15">
        <v>-1.9773917681455001E-4</v>
      </c>
      <c r="AQ16" s="23">
        <f>SQRT(252)*AQ14/AQ15</f>
        <v>2.3987233690782737</v>
      </c>
      <c r="AR16" s="21" t="s">
        <v>43</v>
      </c>
      <c r="BB16" s="23">
        <f>SQRT(252)*BB14/BB15</f>
        <v>1.0862351201953631</v>
      </c>
      <c r="BC16" s="21" t="s">
        <v>43</v>
      </c>
      <c r="BD16" s="22"/>
      <c r="BE16" s="23">
        <f>SQRT(252)*BE14/BE15</f>
        <v>1.8645777617376644</v>
      </c>
      <c r="BF16" s="21" t="s">
        <v>43</v>
      </c>
    </row>
    <row r="17" spans="1:124" x14ac:dyDescent="0.25">
      <c r="A17" s="1">
        <v>46048</v>
      </c>
      <c r="B17" s="33">
        <v>19.579999999999998</v>
      </c>
      <c r="C17" s="33">
        <v>31.88</v>
      </c>
      <c r="D17" s="15">
        <v>5.1085569437926204E-4</v>
      </c>
      <c r="E17" s="15">
        <v>-9.4058636813787802E-4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19.579999999999998</v>
      </c>
      <c r="M17" s="33">
        <v>31.88</v>
      </c>
      <c r="N17" s="34">
        <v>1.6281920326864101</v>
      </c>
      <c r="O17" s="34">
        <v>1.6459148161032899</v>
      </c>
      <c r="P17" s="34">
        <v>1.6301977065972599</v>
      </c>
      <c r="R17" s="33">
        <v>32.227012099302399</v>
      </c>
      <c r="S17" s="33">
        <v>31.927447930748301</v>
      </c>
      <c r="U17" s="15">
        <v>1.08261320324302E-2</v>
      </c>
      <c r="V17" s="15">
        <v>1.4872226059076199E-3</v>
      </c>
      <c r="X17" s="34">
        <v>1.6281920326864101</v>
      </c>
      <c r="Y17" s="34">
        <v>1.6383944060714599</v>
      </c>
      <c r="Z17" s="34">
        <v>1.6301977065972599</v>
      </c>
      <c r="AB17" s="33">
        <v>32.079762470879302</v>
      </c>
      <c r="AC17" s="33">
        <v>31.927447930748301</v>
      </c>
      <c r="AE17" s="15">
        <v>6.2465247745519502E-3</v>
      </c>
      <c r="AF17" s="15">
        <v>1.4872226059076199E-3</v>
      </c>
    </row>
    <row r="18" spans="1:124" x14ac:dyDescent="0.25">
      <c r="A18" s="1">
        <v>46049</v>
      </c>
      <c r="B18" s="33">
        <v>19.559999999999999</v>
      </c>
      <c r="C18" s="33">
        <v>31.84</v>
      </c>
      <c r="D18" s="15">
        <v>-1.02197249569308E-3</v>
      </c>
      <c r="E18" s="15">
        <v>-1.25549294583197E-3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19.559999999999999</v>
      </c>
      <c r="M18" s="33">
        <v>31.84</v>
      </c>
      <c r="N18" s="34">
        <v>1.62781186094069</v>
      </c>
      <c r="O18" s="34">
        <v>1.6459148161032899</v>
      </c>
      <c r="P18" s="34">
        <v>1.62956803997815</v>
      </c>
      <c r="R18" s="33">
        <v>32.194093802980298</v>
      </c>
      <c r="S18" s="33">
        <v>31.886667141042398</v>
      </c>
      <c r="U18" s="15">
        <v>1.10596524825692E-2</v>
      </c>
      <c r="V18" s="15">
        <v>1.4646034847925701E-3</v>
      </c>
      <c r="X18" s="34">
        <v>1.62781186094069</v>
      </c>
      <c r="Y18" s="34">
        <v>1.6383944060714599</v>
      </c>
      <c r="Z18" s="34">
        <v>1.62956803997815</v>
      </c>
      <c r="AB18" s="33">
        <v>32.046994582757797</v>
      </c>
      <c r="AC18" s="33">
        <v>31.886667141042398</v>
      </c>
      <c r="AE18" s="15">
        <v>6.4800452246909597E-3</v>
      </c>
      <c r="AF18" s="15">
        <v>1.4646034847925701E-3</v>
      </c>
      <c r="BE18" s="24">
        <f>SUM(BE22:BE176)</f>
        <v>2.2601691041111493E-2</v>
      </c>
      <c r="BF18" s="20">
        <f>BF176</f>
        <v>2.2601691041111493E-2</v>
      </c>
    </row>
    <row r="19" spans="1:124" x14ac:dyDescent="0.25">
      <c r="A19" s="1">
        <v>46050</v>
      </c>
      <c r="B19" s="33">
        <v>19.510000000000002</v>
      </c>
      <c r="C19" s="33">
        <v>31.81</v>
      </c>
      <c r="D19" s="15">
        <v>-2.5595099716512301E-3</v>
      </c>
      <c r="E19" s="15">
        <v>-9.4265521512950702E-4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19.510000000000002</v>
      </c>
      <c r="M19" s="33">
        <v>31.81</v>
      </c>
      <c r="N19" s="34">
        <v>1.6304459251665799</v>
      </c>
      <c r="O19" s="34">
        <v>1.6459148161032899</v>
      </c>
      <c r="P19" s="34">
        <v>1.6299391106439101</v>
      </c>
      <c r="R19" s="33">
        <v>32.111798062175197</v>
      </c>
      <c r="S19" s="33">
        <v>31.7928724599738</v>
      </c>
      <c r="U19" s="15">
        <v>9.4427977260474593E-3</v>
      </c>
      <c r="V19" s="15">
        <v>-5.3857757606656895E-4</v>
      </c>
      <c r="X19" s="34">
        <v>1.6304459251665799</v>
      </c>
      <c r="Y19" s="34">
        <v>1.6383944060714599</v>
      </c>
      <c r="Z19" s="34">
        <v>1.6299391106439101</v>
      </c>
      <c r="AB19" s="33">
        <v>31.965074862454301</v>
      </c>
      <c r="AC19" s="33">
        <v>31.7928724599738</v>
      </c>
      <c r="AE19" s="15">
        <v>4.86319046816932E-3</v>
      </c>
      <c r="AF19" s="15">
        <v>-5.3857757606656895E-4</v>
      </c>
      <c r="AI19" s="12"/>
      <c r="AJ19"/>
      <c r="AK19"/>
      <c r="AL19"/>
      <c r="AM19"/>
      <c r="AN19"/>
      <c r="AO19"/>
      <c r="AP19"/>
      <c r="AQ19" s="24">
        <f>SUM(AQ22:AQ176)</f>
        <v>1.0227980880738221E-2</v>
      </c>
      <c r="AR19" s="24">
        <f>AR176</f>
        <v>1.0227980880738221E-2</v>
      </c>
      <c r="AU19"/>
      <c r="AV19"/>
      <c r="AW19"/>
      <c r="AX19"/>
      <c r="AY19"/>
      <c r="AZ19"/>
      <c r="BA19"/>
      <c r="BB19" s="24">
        <f>SUM(BB22:BB176)</f>
        <v>1.2373710160373273E-2</v>
      </c>
      <c r="BC19" s="24">
        <f>BC176</f>
        <v>1.2373710160373273E-2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19.440000000000001</v>
      </c>
      <c r="C20" s="33">
        <v>31.69</v>
      </c>
      <c r="D20" s="15">
        <v>-3.5943556027268099E-3</v>
      </c>
      <c r="E20" s="15">
        <v>-3.7795320582233202E-3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19.440000000000001</v>
      </c>
      <c r="M20" s="33">
        <v>31.69</v>
      </c>
      <c r="N20" s="34">
        <v>1.63014403292181</v>
      </c>
      <c r="O20" s="34">
        <v>1.6459148161032899</v>
      </c>
      <c r="P20" s="34">
        <v>1.63010076893866</v>
      </c>
      <c r="R20" s="33">
        <v>31.996584025048001</v>
      </c>
      <c r="S20" s="33">
        <v>31.686016310917601</v>
      </c>
      <c r="U20" s="15">
        <v>9.6279741815439909E-3</v>
      </c>
      <c r="V20" s="15">
        <v>-1.2571598277835101E-4</v>
      </c>
      <c r="X20" s="34">
        <v>1.63014403292181</v>
      </c>
      <c r="Y20" s="34">
        <v>1.6383944060714599</v>
      </c>
      <c r="Z20" s="34">
        <v>1.63010076893866</v>
      </c>
      <c r="AB20" s="33">
        <v>31.8503872540293</v>
      </c>
      <c r="AC20" s="33">
        <v>31.686016310917601</v>
      </c>
      <c r="AE20" s="15">
        <v>5.0483669236657397E-3</v>
      </c>
      <c r="AF20" s="15">
        <v>-1.2571598277835101E-4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PFFD log rtn</v>
      </c>
      <c r="AP20" s="7" t="str">
        <f>E1</f>
        <v>PFF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PFFD log rtn</v>
      </c>
      <c r="BA20" s="24" t="str">
        <f>E1</f>
        <v>PFF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19.420000000000002</v>
      </c>
      <c r="C21" s="33">
        <v>31.69</v>
      </c>
      <c r="D21" s="15">
        <v>-1.0293361691141301E-3</v>
      </c>
      <c r="E21" s="15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19.420000000000002</v>
      </c>
      <c r="M21" s="33">
        <v>31.69</v>
      </c>
      <c r="N21" s="34">
        <v>1.6318228630278</v>
      </c>
      <c r="O21" s="34">
        <v>1.6459148161032899</v>
      </c>
      <c r="P21" s="34">
        <v>1.6302707601594699</v>
      </c>
      <c r="Q21" s="34">
        <v>1.63057255286739</v>
      </c>
      <c r="R21" s="33">
        <v>31.9636657287259</v>
      </c>
      <c r="S21" s="33">
        <v>31.6565569327887</v>
      </c>
      <c r="U21" s="15">
        <v>8.5986380124298406E-3</v>
      </c>
      <c r="V21" s="15">
        <v>-1.05587649708441E-3</v>
      </c>
      <c r="X21" s="34">
        <v>1.6318228630278</v>
      </c>
      <c r="Y21" s="34">
        <v>1.6383944060714599</v>
      </c>
      <c r="Z21" s="34">
        <v>1.6302707601594699</v>
      </c>
      <c r="AA21" s="34">
        <v>1.63057255286739</v>
      </c>
      <c r="AB21" s="33">
        <v>31.817619365907799</v>
      </c>
      <c r="AC21" s="33">
        <v>31.6565569327887</v>
      </c>
      <c r="AE21" s="15">
        <v>4.0190307545515799E-3</v>
      </c>
      <c r="AF21" s="15">
        <v>-1.05587649708441E-3</v>
      </c>
      <c r="AI21" s="26">
        <v>-5.0000000000000001E-3</v>
      </c>
      <c r="AJ21"/>
      <c r="AK21"/>
      <c r="AL21"/>
      <c r="AM21">
        <f t="shared" ref="AM21:AM84" si="4">IF(F22+H22&gt;0,0,1)</f>
        <v>0</v>
      </c>
      <c r="AN21" s="27">
        <v>0</v>
      </c>
      <c r="AO21"/>
      <c r="AP21"/>
      <c r="AQ21"/>
      <c r="AR21"/>
      <c r="AT21" s="26">
        <v>4.0000000000000001E-3</v>
      </c>
      <c r="AU21"/>
      <c r="AV21"/>
      <c r="AW21"/>
      <c r="AX21">
        <f t="shared" ref="AX21:AX84" si="5">IF(F22+H22&gt;0,0,1)</f>
        <v>0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19.29</v>
      </c>
      <c r="C22" s="33">
        <v>31.46</v>
      </c>
      <c r="D22" s="15">
        <v>-6.7166359455412298E-3</v>
      </c>
      <c r="E22" s="15">
        <v>-7.2842760726976102E-3</v>
      </c>
      <c r="F22" s="33">
        <v>0.1</v>
      </c>
      <c r="G22" s="33">
        <v>0.1</v>
      </c>
      <c r="H22" s="33">
        <v>0.17722599999999999</v>
      </c>
      <c r="I22" s="33">
        <v>0.17722599999999999</v>
      </c>
      <c r="J22" s="33">
        <v>0.1</v>
      </c>
      <c r="K22" s="33">
        <v>0.17722599999999999</v>
      </c>
      <c r="L22" s="33">
        <v>19.39</v>
      </c>
      <c r="M22" s="33">
        <v>31.637225999999998</v>
      </c>
      <c r="N22" s="34">
        <v>1.6308968377397599</v>
      </c>
      <c r="O22" s="34">
        <v>1.6459148161032899</v>
      </c>
      <c r="P22" s="34">
        <v>1.63013496884356</v>
      </c>
      <c r="Q22" s="34">
        <v>1.6304298294461199</v>
      </c>
      <c r="R22" s="33">
        <v>31.749696802632499</v>
      </c>
      <c r="S22" s="33">
        <v>31.447922963476199</v>
      </c>
      <c r="T22" s="33">
        <v>31.453744544811901</v>
      </c>
      <c r="U22" s="15">
        <v>9.1662781395861308E-3</v>
      </c>
      <c r="V22" s="15">
        <v>-3.8395916136431299E-4</v>
      </c>
      <c r="W22" s="15">
        <v>-1.98858143125601E-4</v>
      </c>
      <c r="X22" s="34">
        <v>1.63162588963383</v>
      </c>
      <c r="Y22" s="34">
        <v>1.6383944060714599</v>
      </c>
      <c r="Z22" s="34">
        <v>1.63020787403297</v>
      </c>
      <c r="AA22" s="34">
        <v>1.63046628204082</v>
      </c>
      <c r="AB22" s="33">
        <v>31.768467533725701</v>
      </c>
      <c r="AC22" s="33">
        <v>31.610950039492199</v>
      </c>
      <c r="AD22" s="33">
        <v>31.616801800098699</v>
      </c>
      <c r="AE22" s="15">
        <v>4.1397456234785104E-3</v>
      </c>
      <c r="AF22" s="15">
        <v>-8.3088441959372602E-4</v>
      </c>
      <c r="AG22" s="15">
        <v>-6.4578340135502098E-4</v>
      </c>
      <c r="AI22" s="26">
        <v>-3.0000000000000001E-3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2E-3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19.239999999999998</v>
      </c>
      <c r="C23" s="33">
        <v>31.34</v>
      </c>
      <c r="D23" s="15">
        <v>-2.59538168007728E-3</v>
      </c>
      <c r="E23" s="15">
        <v>-3.82166070225706E-3</v>
      </c>
      <c r="F23" s="33">
        <v>0</v>
      </c>
      <c r="G23" s="33">
        <v>0.1</v>
      </c>
      <c r="H23" s="33">
        <v>0</v>
      </c>
      <c r="I23" s="33">
        <v>0.17722599999999999</v>
      </c>
      <c r="J23" s="33">
        <v>0.1</v>
      </c>
      <c r="K23" s="33">
        <v>0.17722599999999999</v>
      </c>
      <c r="L23" s="33">
        <v>19.34</v>
      </c>
      <c r="M23" s="33">
        <v>31.517226000000001</v>
      </c>
      <c r="N23" s="34">
        <v>1.6288981288981199</v>
      </c>
      <c r="O23" s="34">
        <v>1.6459148161032899</v>
      </c>
      <c r="P23" s="34">
        <v>1.6299184865837399</v>
      </c>
      <c r="Q23" s="34">
        <v>1.6302436780484</v>
      </c>
      <c r="R23" s="33">
        <v>31.667401061827299</v>
      </c>
      <c r="S23" s="33">
        <v>31.363796800550201</v>
      </c>
      <c r="T23" s="33">
        <v>31.369469918543398</v>
      </c>
      <c r="U23" s="15">
        <v>1.0392557161765899E-2</v>
      </c>
      <c r="V23" s="15">
        <v>7.5902267189419202E-4</v>
      </c>
      <c r="W23" s="15">
        <v>9.3988741257657103E-4</v>
      </c>
      <c r="X23" s="34">
        <v>1.62963940020682</v>
      </c>
      <c r="Y23" s="34">
        <v>1.6383944060714599</v>
      </c>
      <c r="Z23" s="34">
        <v>1.6300655189040101</v>
      </c>
      <c r="AA23" s="34">
        <v>1.6303171942085399</v>
      </c>
      <c r="AB23" s="33">
        <v>31.686547813422099</v>
      </c>
      <c r="AC23" s="33">
        <v>31.528220283797701</v>
      </c>
      <c r="AD23" s="33">
        <v>31.533217894669601</v>
      </c>
      <c r="AE23" s="15">
        <v>5.3579781167823401E-3</v>
      </c>
      <c r="AF23" s="15">
        <v>3.4877329156191299E-4</v>
      </c>
      <c r="AG23" s="15">
        <v>5.0727303488203404E-4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19.260000000000002</v>
      </c>
      <c r="C24" s="33">
        <v>31.44</v>
      </c>
      <c r="D24" s="15">
        <v>1.0389611324192599E-3</v>
      </c>
      <c r="E24" s="15">
        <v>3.1857306331311399E-3</v>
      </c>
      <c r="F24" s="33">
        <v>0</v>
      </c>
      <c r="G24" s="33">
        <v>0.1</v>
      </c>
      <c r="H24" s="33">
        <v>0</v>
      </c>
      <c r="I24" s="33">
        <v>0.17722599999999999</v>
      </c>
      <c r="J24" s="33">
        <v>0.1</v>
      </c>
      <c r="K24" s="33">
        <v>0.17722599999999999</v>
      </c>
      <c r="L24" s="33">
        <v>19.36</v>
      </c>
      <c r="M24" s="33">
        <v>31.617225999999999</v>
      </c>
      <c r="N24" s="34">
        <v>1.6323987538940801</v>
      </c>
      <c r="O24" s="34">
        <v>1.6459148161032899</v>
      </c>
      <c r="P24" s="34">
        <v>1.6300759246971599</v>
      </c>
      <c r="Q24" s="34">
        <v>1.63021771750842</v>
      </c>
      <c r="R24" s="33">
        <v>31.7003193581494</v>
      </c>
      <c r="S24" s="33">
        <v>31.392230051602802</v>
      </c>
      <c r="T24" s="33">
        <v>31.3984932392122</v>
      </c>
      <c r="U24" s="15">
        <v>8.2457876610539799E-3</v>
      </c>
      <c r="V24" s="15">
        <v>-1.5205558536412001E-3</v>
      </c>
      <c r="W24" s="15">
        <v>-1.32106181051126E-3</v>
      </c>
      <c r="X24" s="34">
        <v>1.63312117768595</v>
      </c>
      <c r="Y24" s="34">
        <v>1.6383944060714599</v>
      </c>
      <c r="Z24" s="34">
        <v>1.6302951993966199</v>
      </c>
      <c r="AA24" s="34">
        <v>1.6303273548581501</v>
      </c>
      <c r="AB24" s="33">
        <v>31.719315701543501</v>
      </c>
      <c r="AC24" s="33">
        <v>31.558068445981799</v>
      </c>
      <c r="AD24" s="33">
        <v>31.562940879877399</v>
      </c>
      <c r="AE24" s="15">
        <v>3.2237247950084799E-3</v>
      </c>
      <c r="AF24" s="15">
        <v>-1.8728071417083701E-3</v>
      </c>
      <c r="AG24" s="15">
        <v>-1.71842323824094E-3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19.12</v>
      </c>
      <c r="C25" s="33">
        <v>31.16</v>
      </c>
      <c r="D25" s="15">
        <v>-7.2954987467243396E-3</v>
      </c>
      <c r="E25" s="15">
        <v>-8.9457465584582702E-3</v>
      </c>
      <c r="F25" s="33">
        <v>0</v>
      </c>
      <c r="G25" s="33">
        <v>0.1</v>
      </c>
      <c r="H25" s="33">
        <v>0</v>
      </c>
      <c r="I25" s="33">
        <v>0.17722599999999999</v>
      </c>
      <c r="J25" s="33">
        <v>0.1</v>
      </c>
      <c r="K25" s="33">
        <v>0.17722599999999999</v>
      </c>
      <c r="L25" s="33">
        <v>19.22</v>
      </c>
      <c r="M25" s="33">
        <v>31.337226000000001</v>
      </c>
      <c r="N25" s="34">
        <v>1.6297071129707099</v>
      </c>
      <c r="O25" s="34">
        <v>1.6459148161032899</v>
      </c>
      <c r="P25" s="34">
        <v>1.63008745232076</v>
      </c>
      <c r="Q25" s="34">
        <v>1.6301610170821901</v>
      </c>
      <c r="R25" s="33">
        <v>31.469891283894899</v>
      </c>
      <c r="S25" s="33">
        <v>31.167051680209699</v>
      </c>
      <c r="T25" s="33">
        <v>31.169762758761099</v>
      </c>
      <c r="U25" s="15">
        <v>9.8960354727880302E-3</v>
      </c>
      <c r="V25" s="15">
        <v>2.26279923397059E-4</v>
      </c>
      <c r="W25" s="15">
        <v>3.13261543405004E-4</v>
      </c>
      <c r="X25" s="34">
        <v>1.6304488033298601</v>
      </c>
      <c r="Y25" s="34">
        <v>1.6383944060714599</v>
      </c>
      <c r="Z25" s="34">
        <v>1.6303808960561399</v>
      </c>
      <c r="AA25" s="34">
        <v>1.6303077389498799</v>
      </c>
      <c r="AB25" s="33">
        <v>31.489940484693498</v>
      </c>
      <c r="AC25" s="33">
        <v>31.334273732403201</v>
      </c>
      <c r="AD25" s="33">
        <v>31.334891760373701</v>
      </c>
      <c r="AE25" s="15">
        <v>4.8614252083108399E-3</v>
      </c>
      <c r="AF25" s="15">
        <v>-9.4214040244360907E-5</v>
      </c>
      <c r="AG25" s="15">
        <v>-7.4490529782687798E-5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19.27</v>
      </c>
      <c r="C26" s="33">
        <v>31.47</v>
      </c>
      <c r="D26" s="15">
        <v>7.8145748030197092E-3</v>
      </c>
      <c r="E26" s="15">
        <v>9.8994900737678793E-3</v>
      </c>
      <c r="F26" s="33">
        <v>0</v>
      </c>
      <c r="G26" s="33">
        <v>0.1</v>
      </c>
      <c r="H26" s="33">
        <v>0</v>
      </c>
      <c r="I26" s="33">
        <v>0.17722599999999999</v>
      </c>
      <c r="J26" s="33">
        <v>0.1</v>
      </c>
      <c r="K26" s="33">
        <v>0.17722599999999999</v>
      </c>
      <c r="L26" s="33">
        <v>19.37</v>
      </c>
      <c r="M26" s="33">
        <v>31.647226</v>
      </c>
      <c r="N26" s="34">
        <v>1.63310845874416</v>
      </c>
      <c r="O26" s="34">
        <v>1.6459148161032899</v>
      </c>
      <c r="P26" s="34">
        <v>1.63034260069901</v>
      </c>
      <c r="Q26" s="34">
        <v>1.6304789594595199</v>
      </c>
      <c r="R26" s="33">
        <v>31.716778506310401</v>
      </c>
      <c r="S26" s="33">
        <v>31.411785206221101</v>
      </c>
      <c r="T26" s="33">
        <v>31.413202799173899</v>
      </c>
      <c r="U26" s="15">
        <v>7.8111202020399399E-3</v>
      </c>
      <c r="V26" s="15">
        <v>-1.85156354004044E-3</v>
      </c>
      <c r="W26" s="15">
        <v>-1.8064352241274301E-3</v>
      </c>
      <c r="X26" s="34">
        <v>1.63382684563758</v>
      </c>
      <c r="Y26" s="34">
        <v>1.6383944060714599</v>
      </c>
      <c r="Z26" s="34">
        <v>1.6307078831237301</v>
      </c>
      <c r="AA26" s="34">
        <v>1.6306616006718799</v>
      </c>
      <c r="AB26" s="33">
        <v>31.735699645604299</v>
      </c>
      <c r="AC26" s="33">
        <v>31.580477956607499</v>
      </c>
      <c r="AD26" s="33">
        <v>31.579060903459201</v>
      </c>
      <c r="AE26" s="15">
        <v>2.7917203936098098E-3</v>
      </c>
      <c r="AF26" s="15">
        <v>-2.1113551184515E-3</v>
      </c>
      <c r="AG26" s="15">
        <v>-2.1562273000439299E-3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19.3</v>
      </c>
      <c r="C27" s="33">
        <v>31.51</v>
      </c>
      <c r="D27" s="15">
        <v>1.5556134845650001E-3</v>
      </c>
      <c r="E27" s="15">
        <v>1.2702446928677599E-3</v>
      </c>
      <c r="F27" s="33">
        <v>0</v>
      </c>
      <c r="G27" s="33">
        <v>0.1</v>
      </c>
      <c r="H27" s="33">
        <v>0</v>
      </c>
      <c r="I27" s="33">
        <v>0.17722599999999999</v>
      </c>
      <c r="J27" s="33">
        <v>0.1</v>
      </c>
      <c r="K27" s="33">
        <v>0.17722599999999999</v>
      </c>
      <c r="L27" s="33">
        <v>19.399999999999999</v>
      </c>
      <c r="M27" s="33">
        <v>31.687225999999999</v>
      </c>
      <c r="N27" s="34">
        <v>1.6326424870466301</v>
      </c>
      <c r="O27" s="34">
        <v>1.6459148161032899</v>
      </c>
      <c r="P27" s="34">
        <v>1.6307876461350299</v>
      </c>
      <c r="Q27" s="34">
        <v>1.63049267636615</v>
      </c>
      <c r="R27" s="33">
        <v>31.7661559507935</v>
      </c>
      <c r="S27" s="33">
        <v>31.465612193490902</v>
      </c>
      <c r="T27" s="33">
        <v>31.468243917568799</v>
      </c>
      <c r="U27" s="15">
        <v>8.0964889937368504E-3</v>
      </c>
      <c r="V27" s="15">
        <v>-1.4096826474117401E-3</v>
      </c>
      <c r="W27" s="15">
        <v>-1.3260480430175E-3</v>
      </c>
      <c r="X27" s="34">
        <v>1.63336216494845</v>
      </c>
      <c r="Y27" s="34">
        <v>1.6383944060714599</v>
      </c>
      <c r="Z27" s="34">
        <v>1.6312248963499401</v>
      </c>
      <c r="AA27" s="34">
        <v>1.6307113014736001</v>
      </c>
      <c r="AB27" s="33">
        <v>31.7848514777864</v>
      </c>
      <c r="AC27" s="33">
        <v>31.635732932600401</v>
      </c>
      <c r="AD27" s="33">
        <v>31.6348350530346</v>
      </c>
      <c r="AE27" s="15">
        <v>3.0761732922684102E-3</v>
      </c>
      <c r="AF27" s="15">
        <v>-1.6263636323282E-3</v>
      </c>
      <c r="AG27" s="15">
        <v>-1.6547458515652101E-3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19.309999999999999</v>
      </c>
      <c r="C28" s="33">
        <v>31.52</v>
      </c>
      <c r="D28" s="15">
        <v>5.1800052958311804E-4</v>
      </c>
      <c r="E28" s="15">
        <v>3.1730922049511299E-4</v>
      </c>
      <c r="F28" s="33">
        <v>0</v>
      </c>
      <c r="G28" s="33">
        <v>0.1</v>
      </c>
      <c r="H28" s="33">
        <v>0</v>
      </c>
      <c r="I28" s="33">
        <v>0.17722599999999999</v>
      </c>
      <c r="J28" s="33">
        <v>0.1</v>
      </c>
      <c r="K28" s="33">
        <v>0.17722599999999999</v>
      </c>
      <c r="L28" s="33">
        <v>19.41</v>
      </c>
      <c r="M28" s="33">
        <v>31.697226000000001</v>
      </c>
      <c r="N28" s="34">
        <v>1.6323148627654001</v>
      </c>
      <c r="O28" s="34">
        <v>1.6459148161032899</v>
      </c>
      <c r="P28" s="34">
        <v>1.6312379463175</v>
      </c>
      <c r="Q28" s="34">
        <v>1.6304029931478301</v>
      </c>
      <c r="R28" s="33">
        <v>31.782615098954501</v>
      </c>
      <c r="S28" s="33">
        <v>31.490509446867499</v>
      </c>
      <c r="T28" s="33">
        <v>31.484813580630298</v>
      </c>
      <c r="U28" s="15">
        <v>8.2971803028248896E-3</v>
      </c>
      <c r="V28" s="15">
        <v>-9.3605195528801896E-4</v>
      </c>
      <c r="W28" s="15">
        <v>-1.1169439612008301E-3</v>
      </c>
      <c r="X28" s="34">
        <v>1.63303585780525</v>
      </c>
      <c r="Y28" s="34">
        <v>1.6383944060714599</v>
      </c>
      <c r="Z28" s="34">
        <v>1.6317472960363899</v>
      </c>
      <c r="AA28" s="34">
        <v>1.63065766800727</v>
      </c>
      <c r="AB28" s="33">
        <v>31.8012354218471</v>
      </c>
      <c r="AC28" s="33">
        <v>31.662075238152301</v>
      </c>
      <c r="AD28" s="33">
        <v>31.652106361602598</v>
      </c>
      <c r="AE28" s="15">
        <v>3.2759696073597902E-3</v>
      </c>
      <c r="AF28" s="15">
        <v>-1.10956922715545E-3</v>
      </c>
      <c r="AG28" s="15">
        <v>-1.4244710826389899E-3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19.38</v>
      </c>
      <c r="C29" s="33">
        <v>31.58</v>
      </c>
      <c r="D29" s="15">
        <v>3.6185100221972199E-3</v>
      </c>
      <c r="E29" s="15">
        <v>1.9017438378177E-3</v>
      </c>
      <c r="F29" s="33">
        <v>0</v>
      </c>
      <c r="G29" s="33">
        <v>0.1</v>
      </c>
      <c r="H29" s="33">
        <v>0</v>
      </c>
      <c r="I29" s="33">
        <v>0.17722599999999999</v>
      </c>
      <c r="J29" s="33">
        <v>0.1</v>
      </c>
      <c r="K29" s="33">
        <v>0.17722599999999999</v>
      </c>
      <c r="L29" s="33">
        <v>19.48</v>
      </c>
      <c r="M29" s="33">
        <v>31.757225999999999</v>
      </c>
      <c r="N29" s="34">
        <v>1.6295149638802799</v>
      </c>
      <c r="O29" s="34">
        <v>1.6459148161032899</v>
      </c>
      <c r="P29" s="34">
        <v>1.6311448501888699</v>
      </c>
      <c r="Q29" s="34">
        <v>1.6305419804163901</v>
      </c>
      <c r="R29" s="33">
        <v>31.8978291360818</v>
      </c>
      <c r="S29" s="33">
        <v>31.613391399633301</v>
      </c>
      <c r="T29" s="33">
        <v>31.5972100072049</v>
      </c>
      <c r="U29" s="15">
        <v>1.00139464872045E-2</v>
      </c>
      <c r="V29" s="15">
        <v>1.05680046604382E-3</v>
      </c>
      <c r="W29" s="15">
        <v>5.4481695626396401E-4</v>
      </c>
      <c r="X29" s="34">
        <v>1.6302477412731</v>
      </c>
      <c r="Y29" s="34">
        <v>1.6383944060714599</v>
      </c>
      <c r="Z29" s="34">
        <v>1.6317274776470401</v>
      </c>
      <c r="AA29" s="34">
        <v>1.63083329414548</v>
      </c>
      <c r="AB29" s="33">
        <v>31.915923030272101</v>
      </c>
      <c r="AC29" s="33">
        <v>31.786437326788999</v>
      </c>
      <c r="AD29" s="33">
        <v>31.7652113727817</v>
      </c>
      <c r="AE29" s="15">
        <v>4.9847498135099201E-3</v>
      </c>
      <c r="AF29" s="15">
        <v>9.1940965683718701E-4</v>
      </c>
      <c r="AG29" s="15">
        <v>2.5141896797655497E-4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0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19.23</v>
      </c>
      <c r="C30" s="33">
        <v>31.48</v>
      </c>
      <c r="D30" s="15">
        <v>-7.7700468619317804E-3</v>
      </c>
      <c r="E30" s="15">
        <v>-3.1715852782934701E-3</v>
      </c>
      <c r="F30" s="33">
        <v>0</v>
      </c>
      <c r="G30" s="33">
        <v>0.1</v>
      </c>
      <c r="H30" s="33">
        <v>0</v>
      </c>
      <c r="I30" s="33">
        <v>0.17722599999999999</v>
      </c>
      <c r="J30" s="33">
        <v>0.1</v>
      </c>
      <c r="K30" s="33">
        <v>0.17722599999999999</v>
      </c>
      <c r="L30" s="33">
        <v>19.329999999999998</v>
      </c>
      <c r="M30" s="33">
        <v>31.657226000000001</v>
      </c>
      <c r="N30" s="34">
        <v>1.6370254810192399</v>
      </c>
      <c r="O30" s="34">
        <v>1.6459148161032899</v>
      </c>
      <c r="P30" s="34">
        <v>1.6318329949986199</v>
      </c>
      <c r="Q30" s="34">
        <v>1.63096688196864</v>
      </c>
      <c r="R30" s="33">
        <v>31.650941913666301</v>
      </c>
      <c r="S30" s="33">
        <v>31.366915469132099</v>
      </c>
      <c r="T30" s="33">
        <v>31.3553222834073</v>
      </c>
      <c r="U30" s="15">
        <v>5.4154849035661602E-3</v>
      </c>
      <c r="V30" s="15">
        <v>-3.5987335915874299E-3</v>
      </c>
      <c r="W30" s="15">
        <v>-3.9684010738795204E-3</v>
      </c>
      <c r="X30" s="34">
        <v>1.63772509053285</v>
      </c>
      <c r="Y30" s="34">
        <v>1.6383944060714599</v>
      </c>
      <c r="Z30" s="34">
        <v>1.63248558340815</v>
      </c>
      <c r="AA30" s="34">
        <v>1.6312931761734</v>
      </c>
      <c r="AB30" s="33">
        <v>31.670163869361399</v>
      </c>
      <c r="AC30" s="33">
        <v>31.541292142917399</v>
      </c>
      <c r="AD30" s="33">
        <v>31.524007575832101</v>
      </c>
      <c r="AE30" s="15">
        <v>4.0860264628442901E-4</v>
      </c>
      <c r="AF30" s="15">
        <v>-3.6688830857170601E-3</v>
      </c>
      <c r="AG30" s="15">
        <v>-4.2170313572756496E-3</v>
      </c>
      <c r="AI30" s="12"/>
      <c r="AJ30">
        <f t="shared" si="6"/>
        <v>0</v>
      </c>
      <c r="AK30">
        <f t="shared" si="7"/>
        <v>0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0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19.420000000000002</v>
      </c>
      <c r="C31" s="33">
        <v>31.69</v>
      </c>
      <c r="D31" s="15">
        <v>9.8319032624904906E-3</v>
      </c>
      <c r="E31" s="15">
        <v>6.6487501536269299E-3</v>
      </c>
      <c r="F31" s="33">
        <v>0</v>
      </c>
      <c r="G31" s="33">
        <v>0.1</v>
      </c>
      <c r="H31" s="33">
        <v>0</v>
      </c>
      <c r="I31" s="33">
        <v>0.17722599999999999</v>
      </c>
      <c r="J31" s="33">
        <v>0.1</v>
      </c>
      <c r="K31" s="33">
        <v>0.17722599999999999</v>
      </c>
      <c r="L31" s="33">
        <v>19.52</v>
      </c>
      <c r="M31" s="33">
        <v>31.867225999999999</v>
      </c>
      <c r="N31" s="34">
        <v>1.6318228630278</v>
      </c>
      <c r="O31" s="34">
        <v>1.6459148161032899</v>
      </c>
      <c r="P31" s="34">
        <v>1.6318329949986199</v>
      </c>
      <c r="Q31" s="34">
        <v>1.6310518775790399</v>
      </c>
      <c r="R31" s="33">
        <v>31.9636657287259</v>
      </c>
      <c r="S31" s="33">
        <v>31.6901967628732</v>
      </c>
      <c r="T31" s="33">
        <v>31.673376847831001</v>
      </c>
      <c r="U31" s="15">
        <v>8.5986380124298406E-3</v>
      </c>
      <c r="V31" s="15">
        <v>6.2089700976183099E-6</v>
      </c>
      <c r="W31" s="15">
        <v>-5.2469276030741099E-4</v>
      </c>
      <c r="X31" s="34">
        <v>1.6325423155737699</v>
      </c>
      <c r="Y31" s="34">
        <v>1.6383944060714599</v>
      </c>
      <c r="Z31" s="34">
        <v>1.6325575286627401</v>
      </c>
      <c r="AA31" s="34">
        <v>1.6314141444111101</v>
      </c>
      <c r="AB31" s="33">
        <v>31.981458806515001</v>
      </c>
      <c r="AC31" s="33">
        <v>31.866118588127101</v>
      </c>
      <c r="AD31" s="33">
        <v>31.842842798904801</v>
      </c>
      <c r="AE31" s="15">
        <v>3.57823904268725E-3</v>
      </c>
      <c r="AF31" s="15">
        <v>-3.4751412471238398E-5</v>
      </c>
      <c r="AG31" s="15">
        <v>-7.6544266064387096E-4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0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19.47</v>
      </c>
      <c r="C32" s="33">
        <v>31.83</v>
      </c>
      <c r="D32" s="15">
        <v>2.57135652092931E-3</v>
      </c>
      <c r="E32" s="15">
        <v>4.4080675911720001E-3</v>
      </c>
      <c r="F32" s="33">
        <v>0</v>
      </c>
      <c r="G32" s="33">
        <v>0.1</v>
      </c>
      <c r="H32" s="33">
        <v>0</v>
      </c>
      <c r="I32" s="33">
        <v>0.17722599999999999</v>
      </c>
      <c r="J32" s="33">
        <v>0.1</v>
      </c>
      <c r="K32" s="33">
        <v>0.17722599999999999</v>
      </c>
      <c r="L32" s="33">
        <v>19.57</v>
      </c>
      <c r="M32" s="33">
        <v>32.007225999999903</v>
      </c>
      <c r="N32" s="34">
        <v>1.63482280431432</v>
      </c>
      <c r="O32" s="34">
        <v>1.6459148161032899</v>
      </c>
      <c r="P32" s="34">
        <v>1.63222559165607</v>
      </c>
      <c r="Q32" s="34">
        <v>1.6311802802498201</v>
      </c>
      <c r="R32" s="33">
        <v>32.045961469531001</v>
      </c>
      <c r="S32" s="33">
        <v>31.771788412623099</v>
      </c>
      <c r="T32" s="33">
        <v>31.756580056463999</v>
      </c>
      <c r="U32" s="15">
        <v>6.76192694218715E-3</v>
      </c>
      <c r="V32" s="15">
        <v>-1.83050210014493E-3</v>
      </c>
      <c r="W32" s="15">
        <v>-2.30929155487598E-3</v>
      </c>
      <c r="X32" s="34">
        <v>1.6355250894225799</v>
      </c>
      <c r="Y32" s="34">
        <v>1.6383944060714599</v>
      </c>
      <c r="Z32" s="34">
        <v>1.63294744864162</v>
      </c>
      <c r="AA32" s="34">
        <v>1.6315776613372901</v>
      </c>
      <c r="AB32" s="33">
        <v>32.063378526818603</v>
      </c>
      <c r="AC32" s="33">
        <v>31.949150835929899</v>
      </c>
      <c r="AD32" s="33">
        <v>31.926774806125401</v>
      </c>
      <c r="AE32" s="15">
        <v>1.75283319426578E-3</v>
      </c>
      <c r="AF32" s="15">
        <v>-1.8160872427408999E-3</v>
      </c>
      <c r="AG32" s="15">
        <v>-2.5166964470664998E-3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0</v>
      </c>
      <c r="BF32" s="29">
        <f t="shared" si="23"/>
        <v>0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19.48</v>
      </c>
      <c r="C33" s="33">
        <v>31.78</v>
      </c>
      <c r="D33" s="15">
        <v>5.13478830280809E-4</v>
      </c>
      <c r="E33" s="15">
        <v>-1.57208018543149E-3</v>
      </c>
      <c r="F33" s="33">
        <v>0</v>
      </c>
      <c r="G33" s="33">
        <v>0.1</v>
      </c>
      <c r="H33" s="33">
        <v>0</v>
      </c>
      <c r="I33" s="33">
        <v>0.17722599999999999</v>
      </c>
      <c r="J33" s="33">
        <v>0.1</v>
      </c>
      <c r="K33" s="33">
        <v>0.17722599999999999</v>
      </c>
      <c r="L33" s="33">
        <v>19.579999999999998</v>
      </c>
      <c r="M33" s="33">
        <v>31.957225999999999</v>
      </c>
      <c r="N33" s="34">
        <v>1.6314168377823399</v>
      </c>
      <c r="O33" s="34">
        <v>1.6459148161032899</v>
      </c>
      <c r="P33" s="34">
        <v>1.63247746254449</v>
      </c>
      <c r="Q33" s="34">
        <v>1.6311979745641201</v>
      </c>
      <c r="R33" s="33">
        <v>32.062420617692098</v>
      </c>
      <c r="S33" s="33">
        <v>31.795754525460399</v>
      </c>
      <c r="T33" s="33">
        <v>31.775391859266499</v>
      </c>
      <c r="U33" s="15">
        <v>8.8474859578995604E-3</v>
      </c>
      <c r="V33" s="15">
        <v>4.9561427624403602E-4</v>
      </c>
      <c r="W33" s="15">
        <v>-1.45011795434091E-4</v>
      </c>
      <c r="X33" s="34">
        <v>1.63213615934627</v>
      </c>
      <c r="Y33" s="34">
        <v>1.6383944060714599</v>
      </c>
      <c r="Z33" s="34">
        <v>1.6331971245555601</v>
      </c>
      <c r="AA33" s="34">
        <v>1.63163132172979</v>
      </c>
      <c r="AB33" s="33">
        <v>32.079762470879302</v>
      </c>
      <c r="AC33" s="33">
        <v>31.973111044402899</v>
      </c>
      <c r="AD33" s="33">
        <v>31.946290608984299</v>
      </c>
      <c r="AE33" s="15">
        <v>3.82705756047664E-3</v>
      </c>
      <c r="AF33" s="15">
        <v>4.9694856821646302E-4</v>
      </c>
      <c r="AG33" s="15">
        <v>-3.4224692795315799E-4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0</v>
      </c>
      <c r="BF33" s="29">
        <f t="shared" si="23"/>
        <v>0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19.39</v>
      </c>
      <c r="C34" s="33">
        <v>31.71</v>
      </c>
      <c r="D34" s="15">
        <v>-4.6308289598286003E-3</v>
      </c>
      <c r="E34" s="15">
        <v>-2.2050725583139799E-3</v>
      </c>
      <c r="F34" s="33">
        <v>0</v>
      </c>
      <c r="G34" s="33">
        <v>0.1</v>
      </c>
      <c r="H34" s="33">
        <v>0</v>
      </c>
      <c r="I34" s="33">
        <v>0.17722599999999999</v>
      </c>
      <c r="J34" s="33">
        <v>0.1</v>
      </c>
      <c r="K34" s="33">
        <v>0.17722599999999999</v>
      </c>
      <c r="L34" s="33">
        <v>19.489999999999998</v>
      </c>
      <c r="M34" s="33">
        <v>31.887225999999998</v>
      </c>
      <c r="N34" s="34">
        <v>1.63537906137184</v>
      </c>
      <c r="O34" s="34">
        <v>1.6459148161032899</v>
      </c>
      <c r="P34" s="34">
        <v>1.63277549329227</v>
      </c>
      <c r="Q34" s="34">
        <v>1.6314257089947199</v>
      </c>
      <c r="R34" s="33">
        <v>31.914288284242801</v>
      </c>
      <c r="S34" s="33">
        <v>31.6537379987378</v>
      </c>
      <c r="T34" s="33">
        <v>31.6289287267983</v>
      </c>
      <c r="U34" s="15">
        <v>6.4217295563847301E-3</v>
      </c>
      <c r="V34" s="15">
        <v>-1.7758427083012199E-3</v>
      </c>
      <c r="W34" s="15">
        <v>-2.5599207029331902E-3</v>
      </c>
      <c r="X34" s="34">
        <v>1.6360813750641301</v>
      </c>
      <c r="Y34" s="34">
        <v>1.6383944060714599</v>
      </c>
      <c r="Z34" s="34">
        <v>1.63349314429338</v>
      </c>
      <c r="AA34" s="34">
        <v>1.631894171845</v>
      </c>
      <c r="AB34" s="33">
        <v>31.9323069743328</v>
      </c>
      <c r="AC34" s="33">
        <v>31.831011957588</v>
      </c>
      <c r="AD34" s="33">
        <v>31.800494460513601</v>
      </c>
      <c r="AE34" s="15">
        <v>1.4127643914010901E-3</v>
      </c>
      <c r="AF34" s="15">
        <v>-1.7644573609738299E-3</v>
      </c>
      <c r="AG34" s="15">
        <v>-2.7236519842675998E-3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0</v>
      </c>
      <c r="BF34" s="29">
        <f t="shared" si="23"/>
        <v>0</v>
      </c>
      <c r="BH34" s="29"/>
    </row>
    <row r="35" spans="1:124" x14ac:dyDescent="0.25">
      <c r="A35" s="1">
        <v>46073</v>
      </c>
      <c r="B35" s="33">
        <v>19.399999999999999</v>
      </c>
      <c r="C35" s="33">
        <v>31.7</v>
      </c>
      <c r="D35" s="15">
        <v>5.15596814721827E-4</v>
      </c>
      <c r="E35" s="15">
        <v>-3.1540766702109198E-4</v>
      </c>
      <c r="F35" s="33">
        <v>0</v>
      </c>
      <c r="G35" s="33">
        <v>0.1</v>
      </c>
      <c r="H35" s="33">
        <v>0</v>
      </c>
      <c r="I35" s="33">
        <v>0.17722599999999999</v>
      </c>
      <c r="J35" s="33">
        <v>0.1</v>
      </c>
      <c r="K35" s="33">
        <v>0.17722599999999999</v>
      </c>
      <c r="L35" s="33">
        <v>19.5</v>
      </c>
      <c r="M35" s="33">
        <v>31.877226</v>
      </c>
      <c r="N35" s="34">
        <v>1.6340206185567001</v>
      </c>
      <c r="O35" s="34">
        <v>1.6459148161032899</v>
      </c>
      <c r="P35" s="34">
        <v>1.63320684385087</v>
      </c>
      <c r="Q35" s="34">
        <v>1.6316471480858199</v>
      </c>
      <c r="R35" s="33">
        <v>31.930747432403798</v>
      </c>
      <c r="S35" s="33">
        <v>31.675844569870101</v>
      </c>
      <c r="T35" s="33">
        <v>31.649658754497501</v>
      </c>
      <c r="U35" s="15">
        <v>7.2527340381278102E-3</v>
      </c>
      <c r="V35" s="15">
        <v>-7.6229142076124595E-4</v>
      </c>
      <c r="W35" s="15">
        <v>-1.5893141995921799E-3</v>
      </c>
      <c r="X35" s="34">
        <v>1.6347295384615299</v>
      </c>
      <c r="Y35" s="34">
        <v>1.6383944060714599</v>
      </c>
      <c r="Z35" s="34">
        <v>1.6339212178065501</v>
      </c>
      <c r="AA35" s="34">
        <v>1.63215105693135</v>
      </c>
      <c r="AB35" s="33">
        <v>31.948690918393599</v>
      </c>
      <c r="AC35" s="33">
        <v>31.853116313720999</v>
      </c>
      <c r="AD35" s="33">
        <v>31.821936350977602</v>
      </c>
      <c r="AE35" s="15">
        <v>2.2393708295658701E-3</v>
      </c>
      <c r="AF35" s="15">
        <v>-7.5661565759171196E-4</v>
      </c>
      <c r="AG35" s="15">
        <v>-1.73596200849912E-3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1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0</v>
      </c>
      <c r="BF35" s="29">
        <f t="shared" si="23"/>
        <v>0</v>
      </c>
      <c r="BH35" s="29"/>
    </row>
    <row r="36" spans="1:124" x14ac:dyDescent="0.25">
      <c r="A36" s="1">
        <v>46076</v>
      </c>
      <c r="B36" s="33">
        <v>19.309999999999999</v>
      </c>
      <c r="C36" s="33">
        <v>31.5</v>
      </c>
      <c r="D36" s="15">
        <v>-4.6499696288593503E-3</v>
      </c>
      <c r="E36" s="15">
        <v>-6.3291350516475097E-3</v>
      </c>
      <c r="F36" s="33">
        <v>0</v>
      </c>
      <c r="G36" s="33">
        <v>0.1</v>
      </c>
      <c r="H36" s="33">
        <v>0</v>
      </c>
      <c r="I36" s="33">
        <v>0.17722599999999999</v>
      </c>
      <c r="J36" s="33">
        <v>0.1</v>
      </c>
      <c r="K36" s="33">
        <v>0.17722599999999999</v>
      </c>
      <c r="L36" s="33">
        <v>19.41</v>
      </c>
      <c r="M36" s="33">
        <v>31.677226000000001</v>
      </c>
      <c r="N36" s="34">
        <v>1.63127912998446</v>
      </c>
      <c r="O36" s="34">
        <v>1.6459148161032899</v>
      </c>
      <c r="P36" s="34">
        <v>1.6330239109749001</v>
      </c>
      <c r="Q36" s="34">
        <v>1.6316832558369601</v>
      </c>
      <c r="R36" s="33">
        <v>31.782615098954501</v>
      </c>
      <c r="S36" s="33">
        <v>31.537224154760299</v>
      </c>
      <c r="T36" s="33">
        <v>31.507106429537199</v>
      </c>
      <c r="U36" s="15">
        <v>8.9318994609159704E-3</v>
      </c>
      <c r="V36" s="15">
        <v>1.18102151819789E-3</v>
      </c>
      <c r="W36" s="15">
        <v>2.25575493624051E-4</v>
      </c>
      <c r="X36" s="34">
        <v>1.6320054611025201</v>
      </c>
      <c r="Y36" s="34">
        <v>1.6383944060714599</v>
      </c>
      <c r="Z36" s="34">
        <v>1.63373907935304</v>
      </c>
      <c r="AA36" s="34">
        <v>1.63222348123839</v>
      </c>
      <c r="AB36" s="33">
        <v>31.8012354218471</v>
      </c>
      <c r="AC36" s="33">
        <v>31.714410837625199</v>
      </c>
      <c r="AD36" s="33">
        <v>31.6800520150375</v>
      </c>
      <c r="AE36" s="15">
        <v>3.9071387940837303E-3</v>
      </c>
      <c r="AF36" s="15">
        <v>1.1731781586711101E-3</v>
      </c>
      <c r="AG36" s="15">
        <v>8.9208852650104903E-5</v>
      </c>
      <c r="AI36" s="12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0</v>
      </c>
      <c r="BH36" s="29"/>
    </row>
    <row r="37" spans="1:124" x14ac:dyDescent="0.25">
      <c r="A37" s="1">
        <v>46077</v>
      </c>
      <c r="B37" s="33">
        <v>19.46</v>
      </c>
      <c r="C37" s="33">
        <v>31.69</v>
      </c>
      <c r="D37" s="15">
        <v>7.7379803174359397E-3</v>
      </c>
      <c r="E37" s="15">
        <v>6.0136278712420201E-3</v>
      </c>
      <c r="F37" s="33">
        <v>0</v>
      </c>
      <c r="G37" s="33">
        <v>0.1</v>
      </c>
      <c r="H37" s="33">
        <v>0</v>
      </c>
      <c r="I37" s="33">
        <v>0.17722599999999999</v>
      </c>
      <c r="J37" s="33">
        <v>0.1</v>
      </c>
      <c r="K37" s="33">
        <v>0.17722599999999999</v>
      </c>
      <c r="L37" s="33">
        <v>19.559999999999999</v>
      </c>
      <c r="M37" s="33">
        <v>31.867225999999999</v>
      </c>
      <c r="N37" s="34">
        <v>1.6284686536485</v>
      </c>
      <c r="O37" s="34">
        <v>1.6459148161032899</v>
      </c>
      <c r="P37" s="34">
        <v>1.6326065276350901</v>
      </c>
      <c r="Q37" s="34">
        <v>1.63169708688506</v>
      </c>
      <c r="R37" s="33">
        <v>32.029502321370003</v>
      </c>
      <c r="S37" s="33">
        <v>31.778645307571601</v>
      </c>
      <c r="T37" s="33">
        <v>31.7525561585872</v>
      </c>
      <c r="U37" s="15">
        <v>1.06562519071099E-2</v>
      </c>
      <c r="V37" s="15">
        <v>2.7933592967873001E-3</v>
      </c>
      <c r="W37" s="15">
        <v>1.97205732708271E-3</v>
      </c>
      <c r="X37" s="34">
        <v>1.6292037832310799</v>
      </c>
      <c r="Y37" s="34">
        <v>1.6383944060714599</v>
      </c>
      <c r="Z37" s="34">
        <v>1.6333232411813099</v>
      </c>
      <c r="AA37" s="34">
        <v>1.6322740687656201</v>
      </c>
      <c r="AB37" s="33">
        <v>32.046994582757797</v>
      </c>
      <c r="AC37" s="33">
        <v>31.955936392145599</v>
      </c>
      <c r="AD37" s="33">
        <v>31.926291293022899</v>
      </c>
      <c r="AE37" s="15">
        <v>5.6253226644121697E-3</v>
      </c>
      <c r="AF37" s="15">
        <v>2.7798825989907299E-3</v>
      </c>
      <c r="AG37" s="15">
        <v>1.8517652704343199E-3</v>
      </c>
      <c r="AI37" s="12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0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0</v>
      </c>
      <c r="BF37" s="29">
        <f t="shared" si="23"/>
        <v>0</v>
      </c>
      <c r="BH37" s="29"/>
    </row>
    <row r="38" spans="1:124" x14ac:dyDescent="0.25">
      <c r="A38" s="1">
        <v>46078</v>
      </c>
      <c r="B38" s="33">
        <v>19.420000000000002</v>
      </c>
      <c r="C38" s="33">
        <v>31.71</v>
      </c>
      <c r="D38" s="15">
        <v>-2.0576138946801501E-3</v>
      </c>
      <c r="E38" s="15">
        <v>6.3091484742647296E-4</v>
      </c>
      <c r="F38" s="33">
        <v>0</v>
      </c>
      <c r="G38" s="33">
        <v>0.1</v>
      </c>
      <c r="H38" s="33">
        <v>0</v>
      </c>
      <c r="I38" s="33">
        <v>0.17722599999999999</v>
      </c>
      <c r="J38" s="33">
        <v>0.1</v>
      </c>
      <c r="K38" s="33">
        <v>0.17722599999999999</v>
      </c>
      <c r="L38" s="33">
        <v>19.52</v>
      </c>
      <c r="M38" s="33">
        <v>31.887225999999998</v>
      </c>
      <c r="N38" s="34">
        <v>1.63285272914521</v>
      </c>
      <c r="O38" s="34">
        <v>1.6459148161032899</v>
      </c>
      <c r="P38" s="34">
        <v>1.63266031427307</v>
      </c>
      <c r="Q38" s="34">
        <v>1.63194913029529</v>
      </c>
      <c r="R38" s="33">
        <v>31.9636657287259</v>
      </c>
      <c r="S38" s="33">
        <v>31.7052187666735</v>
      </c>
      <c r="T38" s="33">
        <v>31.687557427307901</v>
      </c>
      <c r="U38" s="15">
        <v>7.9677231650032796E-3</v>
      </c>
      <c r="V38" s="15">
        <v>-1.50791353512236E-4</v>
      </c>
      <c r="W38" s="15">
        <v>-7.0799489886440498E-4</v>
      </c>
      <c r="X38" s="34">
        <v>1.6335669057377</v>
      </c>
      <c r="Y38" s="34">
        <v>1.6383944060714599</v>
      </c>
      <c r="Z38" s="34">
        <v>1.6333763459745501</v>
      </c>
      <c r="AA38" s="34">
        <v>1.63256182100547</v>
      </c>
      <c r="AB38" s="33">
        <v>31.981458806515001</v>
      </c>
      <c r="AC38" s="33">
        <v>31.882469667859201</v>
      </c>
      <c r="AD38" s="33">
        <v>31.861989822304999</v>
      </c>
      <c r="AE38" s="15">
        <v>2.95083185687803E-3</v>
      </c>
      <c r="AF38" s="15">
        <v>-1.49172176526913E-4</v>
      </c>
      <c r="AG38" s="15">
        <v>-7.9173300213056198E-4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0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0</v>
      </c>
      <c r="BF38" s="29">
        <f t="shared" si="23"/>
        <v>0</v>
      </c>
      <c r="BH38" s="29"/>
    </row>
    <row r="39" spans="1:124" x14ac:dyDescent="0.25">
      <c r="A39" s="1">
        <v>46079</v>
      </c>
      <c r="B39" s="33">
        <v>19.36</v>
      </c>
      <c r="C39" s="33">
        <v>31.63</v>
      </c>
      <c r="D39" s="15">
        <v>-3.0943810147480199E-3</v>
      </c>
      <c r="E39" s="15">
        <v>-2.5260512326985602E-3</v>
      </c>
      <c r="F39" s="33">
        <v>0</v>
      </c>
      <c r="G39" s="33">
        <v>0.1</v>
      </c>
      <c r="H39" s="33">
        <v>0</v>
      </c>
      <c r="I39" s="33">
        <v>0.17722599999999999</v>
      </c>
      <c r="J39" s="33">
        <v>0.1</v>
      </c>
      <c r="K39" s="33">
        <v>0.17722599999999999</v>
      </c>
      <c r="L39" s="33">
        <v>19.46</v>
      </c>
      <c r="M39" s="33">
        <v>31.807226</v>
      </c>
      <c r="N39" s="34">
        <v>1.6337809917355299</v>
      </c>
      <c r="O39" s="34">
        <v>1.6459148161032899</v>
      </c>
      <c r="P39" s="34">
        <v>1.63308691705859</v>
      </c>
      <c r="Q39" s="34">
        <v>1.6321158836237299</v>
      </c>
      <c r="R39" s="33">
        <v>31.864910839759698</v>
      </c>
      <c r="S39" s="33">
        <v>31.6083036843267</v>
      </c>
      <c r="T39" s="33">
        <v>31.594535162516799</v>
      </c>
      <c r="U39" s="15">
        <v>7.3993933829536703E-3</v>
      </c>
      <c r="V39" s="15">
        <v>-6.86176423481881E-4</v>
      </c>
      <c r="W39" s="15">
        <v>-1.1218695752101E-3</v>
      </c>
      <c r="X39" s="34">
        <v>1.63449260020554</v>
      </c>
      <c r="Y39" s="34">
        <v>1.6383944060714599</v>
      </c>
      <c r="Z39" s="34">
        <v>1.6338008318677999</v>
      </c>
      <c r="AA39" s="34">
        <v>1.6327641547574201</v>
      </c>
      <c r="AB39" s="33">
        <v>31.883155142150699</v>
      </c>
      <c r="AC39" s="33">
        <v>31.7855036926648</v>
      </c>
      <c r="AD39" s="33">
        <v>31.769653036766499</v>
      </c>
      <c r="AE39" s="15">
        <v>2.3843216749680602E-3</v>
      </c>
      <c r="AF39" s="15">
        <v>-6.8316954736697398E-4</v>
      </c>
      <c r="AG39" s="15">
        <v>-1.18196955172897E-3</v>
      </c>
      <c r="AI39" s="12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0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0</v>
      </c>
      <c r="BF39" s="29">
        <f t="shared" si="23"/>
        <v>0</v>
      </c>
      <c r="BH39" s="29"/>
    </row>
    <row r="40" spans="1:124" x14ac:dyDescent="0.25">
      <c r="A40" s="1">
        <v>46080</v>
      </c>
      <c r="B40" s="33">
        <v>19.25</v>
      </c>
      <c r="C40" s="33">
        <v>31.41</v>
      </c>
      <c r="D40" s="15">
        <v>-5.6980211146376598E-3</v>
      </c>
      <c r="E40" s="15">
        <v>-6.9797237670021998E-3</v>
      </c>
      <c r="F40" s="33">
        <v>0</v>
      </c>
      <c r="G40" s="33">
        <v>0.1</v>
      </c>
      <c r="H40" s="33">
        <v>0</v>
      </c>
      <c r="I40" s="33">
        <v>0.17722599999999999</v>
      </c>
      <c r="J40" s="33">
        <v>0.1</v>
      </c>
      <c r="K40" s="33">
        <v>0.17722599999999999</v>
      </c>
      <c r="L40" s="33">
        <v>19.350000000000001</v>
      </c>
      <c r="M40" s="33">
        <v>31.587226000000001</v>
      </c>
      <c r="N40" s="34">
        <v>1.6316883116883101</v>
      </c>
      <c r="O40" s="34">
        <v>1.6459148161032899</v>
      </c>
      <c r="P40" s="34">
        <v>1.6325532001255001</v>
      </c>
      <c r="Q40" s="34">
        <v>1.63219309756206</v>
      </c>
      <c r="R40" s="33">
        <v>31.6838602099883</v>
      </c>
      <c r="S40" s="33">
        <v>31.436923153378</v>
      </c>
      <c r="T40" s="33">
        <v>31.418230759756899</v>
      </c>
      <c r="U40" s="15">
        <v>8.6810960353183794E-3</v>
      </c>
      <c r="V40" s="15">
        <v>8.5678514314188505E-4</v>
      </c>
      <c r="W40" s="15">
        <v>2.6200832665600302E-4</v>
      </c>
      <c r="X40" s="34">
        <v>1.6324147803617499</v>
      </c>
      <c r="Y40" s="34">
        <v>1.6383944060714599</v>
      </c>
      <c r="Z40" s="34">
        <v>1.6332698008506901</v>
      </c>
      <c r="AA40" s="34">
        <v>1.6328776921294199</v>
      </c>
      <c r="AB40" s="33">
        <v>31.702931757482801</v>
      </c>
      <c r="AC40" s="33">
        <v>31.6140460966419</v>
      </c>
      <c r="AD40" s="33">
        <v>31.593986394556101</v>
      </c>
      <c r="AE40" s="15">
        <v>3.6563627106746999E-3</v>
      </c>
      <c r="AF40" s="15">
        <v>8.4872020331759797E-4</v>
      </c>
      <c r="AG40" s="15">
        <v>2.1400015370876999E-4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0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0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0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0</v>
      </c>
      <c r="BF40" s="29">
        <f t="shared" si="23"/>
        <v>0</v>
      </c>
      <c r="BH40" s="29"/>
    </row>
    <row r="41" spans="1:124" x14ac:dyDescent="0.25">
      <c r="A41" s="1">
        <v>46083</v>
      </c>
      <c r="B41" s="33">
        <v>19.190000000000001</v>
      </c>
      <c r="C41" s="33">
        <v>31.46</v>
      </c>
      <c r="D41" s="15">
        <v>-3.1217507141846402E-3</v>
      </c>
      <c r="E41" s="15">
        <v>1.59058407957668E-3</v>
      </c>
      <c r="F41" s="33">
        <v>0.1</v>
      </c>
      <c r="G41" s="33">
        <v>0.2</v>
      </c>
      <c r="H41" s="33">
        <v>3.1167E-2</v>
      </c>
      <c r="I41" s="33">
        <v>0.20839299999999999</v>
      </c>
      <c r="J41" s="33">
        <v>0.2</v>
      </c>
      <c r="K41" s="33">
        <v>0.20839299999999999</v>
      </c>
      <c r="L41" s="33">
        <v>19.39</v>
      </c>
      <c r="M41" s="33">
        <v>31.668392999999998</v>
      </c>
      <c r="N41" s="34">
        <v>1.6393955184992099</v>
      </c>
      <c r="O41" s="34">
        <v>1.6459148161032899</v>
      </c>
      <c r="P41" s="34">
        <v>1.63331046567264</v>
      </c>
      <c r="Q41" s="34">
        <v>1.63257173033563</v>
      </c>
      <c r="R41" s="33">
        <v>31.585105321022098</v>
      </c>
      <c r="S41" s="33">
        <v>31.328695910408399</v>
      </c>
      <c r="T41" s="33">
        <v>31.321785542215999</v>
      </c>
      <c r="U41" s="15">
        <v>3.9687612415570698E-3</v>
      </c>
      <c r="V41" s="15">
        <v>-4.1824178410464997E-3</v>
      </c>
      <c r="W41" s="15">
        <v>-4.40301848322014E-3</v>
      </c>
      <c r="X41" s="34">
        <v>1.6332332645693599</v>
      </c>
      <c r="Y41" s="34">
        <v>1.6383944060714599</v>
      </c>
      <c r="Z41" s="34">
        <v>1.6333388957502499</v>
      </c>
      <c r="AA41" s="34">
        <v>1.63294821220649</v>
      </c>
      <c r="AB41" s="33">
        <v>31.768467533725701</v>
      </c>
      <c r="AC41" s="33">
        <v>31.669101438494899</v>
      </c>
      <c r="AD41" s="33">
        <v>31.661498450389399</v>
      </c>
      <c r="AE41" s="15">
        <v>3.1550936127893799E-3</v>
      </c>
      <c r="AF41" s="15">
        <v>2.23702721818805E-5</v>
      </c>
      <c r="AG41" s="15">
        <v>-2.1773445303143501E-4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0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0</v>
      </c>
      <c r="BF41" s="29">
        <f t="shared" si="23"/>
        <v>0</v>
      </c>
      <c r="BH41" s="29"/>
    </row>
    <row r="42" spans="1:124" x14ac:dyDescent="0.25">
      <c r="A42" s="1">
        <v>46084</v>
      </c>
      <c r="B42" s="33">
        <v>19.04</v>
      </c>
      <c r="C42" s="33">
        <v>31.28</v>
      </c>
      <c r="D42" s="15">
        <v>-7.8472806563893594E-3</v>
      </c>
      <c r="E42" s="15">
        <v>-5.7379819530214296E-3</v>
      </c>
      <c r="F42" s="33">
        <v>0</v>
      </c>
      <c r="G42" s="33">
        <v>0.2</v>
      </c>
      <c r="H42" s="33">
        <v>0</v>
      </c>
      <c r="I42" s="33">
        <v>0.20839299999999999</v>
      </c>
      <c r="J42" s="33">
        <v>0.2</v>
      </c>
      <c r="K42" s="33">
        <v>0.20839299999999999</v>
      </c>
      <c r="L42" s="33">
        <v>19.239999999999998</v>
      </c>
      <c r="M42" s="33">
        <v>31.488392999999999</v>
      </c>
      <c r="N42" s="34">
        <v>1.6428571428571399</v>
      </c>
      <c r="O42" s="34">
        <v>1.6459148161032899</v>
      </c>
      <c r="P42" s="34">
        <v>1.63411389952692</v>
      </c>
      <c r="Q42" s="34">
        <v>1.6331697455915</v>
      </c>
      <c r="R42" s="33">
        <v>31.3382180986066</v>
      </c>
      <c r="S42" s="33">
        <v>31.098231266407101</v>
      </c>
      <c r="T42" s="33">
        <v>31.084165745590401</v>
      </c>
      <c r="U42" s="15">
        <v>1.85946253818914E-3</v>
      </c>
      <c r="V42" s="15">
        <v>-5.82797057201314E-3</v>
      </c>
      <c r="W42" s="15">
        <v>-6.2803661608769297E-3</v>
      </c>
      <c r="X42" s="34">
        <v>1.63661086278586</v>
      </c>
      <c r="Y42" s="34">
        <v>1.6383944060714599</v>
      </c>
      <c r="Z42" s="34">
        <v>1.63344747308657</v>
      </c>
      <c r="AA42" s="34">
        <v>1.6331974608641</v>
      </c>
      <c r="AB42" s="33">
        <v>31.522708372815</v>
      </c>
      <c r="AC42" s="33">
        <v>31.425440354234802</v>
      </c>
      <c r="AD42" s="33">
        <v>31.417923602853001</v>
      </c>
      <c r="AE42" s="15">
        <v>1.0891850946838401E-3</v>
      </c>
      <c r="AF42" s="15">
        <v>-2.0012344954672902E-3</v>
      </c>
      <c r="AG42" s="15">
        <v>-2.2404562985129301E-3</v>
      </c>
      <c r="AI42" s="12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0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0</v>
      </c>
      <c r="BF42" s="29">
        <f t="shared" si="23"/>
        <v>0</v>
      </c>
      <c r="BH42" s="29"/>
    </row>
    <row r="43" spans="1:124" x14ac:dyDescent="0.25">
      <c r="A43" s="1">
        <v>46085</v>
      </c>
      <c r="B43" s="33">
        <v>19.12</v>
      </c>
      <c r="C43" s="33">
        <v>31.42</v>
      </c>
      <c r="D43" s="15">
        <v>4.1928782600361703E-3</v>
      </c>
      <c r="E43" s="15">
        <v>4.4657171503647598E-3</v>
      </c>
      <c r="F43" s="33">
        <v>0</v>
      </c>
      <c r="G43" s="33">
        <v>0.2</v>
      </c>
      <c r="H43" s="33">
        <v>0</v>
      </c>
      <c r="I43" s="33">
        <v>0.20839299999999999</v>
      </c>
      <c r="J43" s="33">
        <v>0.2</v>
      </c>
      <c r="K43" s="33">
        <v>0.20839299999999999</v>
      </c>
      <c r="L43" s="33">
        <v>19.32</v>
      </c>
      <c r="M43" s="33">
        <v>31.628392999999999</v>
      </c>
      <c r="N43" s="34">
        <v>1.64330543933054</v>
      </c>
      <c r="O43" s="34">
        <v>1.6459148161032899</v>
      </c>
      <c r="P43" s="34">
        <v>1.63530275968174</v>
      </c>
      <c r="Q43" s="34">
        <v>1.6338901111131201</v>
      </c>
      <c r="R43" s="33">
        <v>31.469891283894899</v>
      </c>
      <c r="S43" s="33">
        <v>31.244257758954799</v>
      </c>
      <c r="T43" s="33">
        <v>31.2262055357095</v>
      </c>
      <c r="U43" s="15">
        <v>1.5866236478604401E-3</v>
      </c>
      <c r="V43" s="15">
        <v>-5.6090252429234003E-3</v>
      </c>
      <c r="W43" s="15">
        <v>-6.1869695319757296E-3</v>
      </c>
      <c r="X43" s="34">
        <v>1.63708038302277</v>
      </c>
      <c r="Y43" s="34">
        <v>1.6383944060714599</v>
      </c>
      <c r="Z43" s="34">
        <v>1.63394189545422</v>
      </c>
      <c r="AA43" s="34">
        <v>1.6335695100048899</v>
      </c>
      <c r="AB43" s="33">
        <v>31.6537799253007</v>
      </c>
      <c r="AC43" s="33">
        <v>31.558205180032701</v>
      </c>
      <c r="AD43" s="33">
        <v>31.553374943894401</v>
      </c>
      <c r="AE43" s="15">
        <v>8.0234054834382197E-4</v>
      </c>
      <c r="AF43" s="15">
        <v>-2.2216055574048699E-3</v>
      </c>
      <c r="AG43" s="15">
        <v>-2.3746752836965599E-3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0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0</v>
      </c>
      <c r="BF43" s="29">
        <f t="shared" si="23"/>
        <v>0</v>
      </c>
      <c r="BH43" s="29"/>
    </row>
    <row r="44" spans="1:124" x14ac:dyDescent="0.25">
      <c r="A44" s="1">
        <v>46086</v>
      </c>
      <c r="B44" s="33">
        <v>19.02</v>
      </c>
      <c r="C44" s="33">
        <v>31.29</v>
      </c>
      <c r="D44" s="15">
        <v>-5.2438505060110304E-3</v>
      </c>
      <c r="E44" s="15">
        <v>-4.1460751466844102E-3</v>
      </c>
      <c r="F44" s="33">
        <v>0</v>
      </c>
      <c r="G44" s="33">
        <v>0.2</v>
      </c>
      <c r="H44" s="33">
        <v>0</v>
      </c>
      <c r="I44" s="33">
        <v>0.20839299999999999</v>
      </c>
      <c r="J44" s="33">
        <v>0.2</v>
      </c>
      <c r="K44" s="33">
        <v>0.20839299999999999</v>
      </c>
      <c r="L44" s="33">
        <v>19.22</v>
      </c>
      <c r="M44" s="33">
        <v>31.498393</v>
      </c>
      <c r="N44" s="34">
        <v>1.6451104100946301</v>
      </c>
      <c r="O44" s="34">
        <v>1.6459148161032899</v>
      </c>
      <c r="P44" s="34">
        <v>1.6362758945540199</v>
      </c>
      <c r="Q44" s="34">
        <v>1.6345256939231501</v>
      </c>
      <c r="R44" s="33">
        <v>31.305299802284601</v>
      </c>
      <c r="S44" s="33">
        <v>31.103458489146799</v>
      </c>
      <c r="T44" s="33">
        <v>31.076589913371599</v>
      </c>
      <c r="U44" s="15">
        <v>4.8884828853373104E-4</v>
      </c>
      <c r="V44" s="15">
        <v>-5.9795392396634001E-3</v>
      </c>
      <c r="W44" s="15">
        <v>-6.84375784797273E-3</v>
      </c>
      <c r="X44" s="34">
        <v>1.6388341831425599</v>
      </c>
      <c r="Y44" s="34">
        <v>1.6383944060714599</v>
      </c>
      <c r="Z44" s="34">
        <v>1.6342171762620701</v>
      </c>
      <c r="AA44" s="34">
        <v>1.63385516027772</v>
      </c>
      <c r="AB44" s="33">
        <v>31.489940484693498</v>
      </c>
      <c r="AC44" s="33">
        <v>31.404363230630199</v>
      </c>
      <c r="AD44" s="33">
        <v>31.3972059822941</v>
      </c>
      <c r="AE44" s="15">
        <v>-2.6838352086907901E-4</v>
      </c>
      <c r="AF44" s="15">
        <v>-2.9896890070551102E-3</v>
      </c>
      <c r="AG44" s="15">
        <v>-3.21762115769458E-3</v>
      </c>
      <c r="AI44" s="12"/>
      <c r="AJ44">
        <f t="shared" si="6"/>
        <v>0</v>
      </c>
      <c r="AK44">
        <f t="shared" si="7"/>
        <v>0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0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0</v>
      </c>
      <c r="BF44" s="29">
        <f t="shared" si="23"/>
        <v>0</v>
      </c>
      <c r="BH44" s="29"/>
    </row>
    <row r="45" spans="1:124" x14ac:dyDescent="0.25">
      <c r="A45" s="1">
        <v>46087</v>
      </c>
      <c r="B45" s="33">
        <v>18.899999999999999</v>
      </c>
      <c r="C45" s="33">
        <v>31.12</v>
      </c>
      <c r="D45" s="15">
        <v>-6.3291350516476198E-3</v>
      </c>
      <c r="E45" s="15">
        <v>-5.4478583705998796E-3</v>
      </c>
      <c r="F45" s="33">
        <v>0</v>
      </c>
      <c r="G45" s="33">
        <v>0.2</v>
      </c>
      <c r="H45" s="33">
        <v>0</v>
      </c>
      <c r="I45" s="33">
        <v>0.20839299999999999</v>
      </c>
      <c r="J45" s="33">
        <v>0.2</v>
      </c>
      <c r="K45" s="33">
        <v>0.20839299999999999</v>
      </c>
      <c r="L45" s="33">
        <v>19.099999999999898</v>
      </c>
      <c r="M45" s="33">
        <v>31.328392999999998</v>
      </c>
      <c r="N45" s="34">
        <v>1.6465608465608399</v>
      </c>
      <c r="O45" s="34">
        <v>1.6459148161032899</v>
      </c>
      <c r="P45" s="34">
        <v>1.63752991735444</v>
      </c>
      <c r="Q45" s="34">
        <v>1.63536838060265</v>
      </c>
      <c r="R45" s="33">
        <v>31.107790024352202</v>
      </c>
      <c r="S45" s="33">
        <v>30.925614407071102</v>
      </c>
      <c r="T45" s="33">
        <v>30.892535615147501</v>
      </c>
      <c r="U45" s="15">
        <v>-3.9242839251394399E-4</v>
      </c>
      <c r="V45" s="15">
        <v>-6.2659135791640402E-3</v>
      </c>
      <c r="W45" s="15">
        <v>-7.3361104410508901E-3</v>
      </c>
      <c r="X45" s="34">
        <v>1.6402300000000001</v>
      </c>
      <c r="Y45" s="34">
        <v>1.6383944060714599</v>
      </c>
      <c r="Z45" s="34">
        <v>1.63476722241591</v>
      </c>
      <c r="AA45" s="34">
        <v>1.6343442201112299</v>
      </c>
      <c r="AB45" s="33">
        <v>31.293333155965001</v>
      </c>
      <c r="AC45" s="33">
        <v>31.213548066605501</v>
      </c>
      <c r="AD45" s="33">
        <v>31.206633561304599</v>
      </c>
      <c r="AE45" s="15">
        <v>-1.11973431108743E-3</v>
      </c>
      <c r="AF45" s="15">
        <v>-3.6725774902355902E-3</v>
      </c>
      <c r="AG45" s="15">
        <v>-3.8941245972415302E-3</v>
      </c>
      <c r="AI45" s="12"/>
      <c r="AJ45">
        <f t="shared" si="6"/>
        <v>0</v>
      </c>
      <c r="AK45">
        <f t="shared" si="7"/>
        <v>0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0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0</v>
      </c>
      <c r="BF45" s="29">
        <f t="shared" si="23"/>
        <v>0</v>
      </c>
      <c r="BH45" s="29"/>
    </row>
    <row r="46" spans="1:124" x14ac:dyDescent="0.25">
      <c r="A46" s="1">
        <v>46090</v>
      </c>
      <c r="B46" s="33">
        <v>18.91</v>
      </c>
      <c r="C46" s="33">
        <v>31.17</v>
      </c>
      <c r="D46" s="15">
        <v>5.2896060476950301E-4</v>
      </c>
      <c r="E46" s="15">
        <v>1.60539446905497E-3</v>
      </c>
      <c r="F46" s="33">
        <v>0</v>
      </c>
      <c r="G46" s="33">
        <v>0.2</v>
      </c>
      <c r="H46" s="33">
        <v>0</v>
      </c>
      <c r="I46" s="33">
        <v>0.20839299999999999</v>
      </c>
      <c r="J46" s="33">
        <v>0.2</v>
      </c>
      <c r="K46" s="33">
        <v>0.20839299999999999</v>
      </c>
      <c r="L46" s="33">
        <v>19.11</v>
      </c>
      <c r="M46" s="33">
        <v>31.378392999999999</v>
      </c>
      <c r="N46" s="34">
        <v>1.6483342147012101</v>
      </c>
      <c r="O46" s="34">
        <v>1.6459148161032899</v>
      </c>
      <c r="P46" s="34">
        <v>1.6392354258261099</v>
      </c>
      <c r="Q46" s="34">
        <v>1.63612966840051</v>
      </c>
      <c r="R46" s="33">
        <v>31.124249172513199</v>
      </c>
      <c r="S46" s="33">
        <v>30.965690737172501</v>
      </c>
      <c r="T46" s="33">
        <v>30.924816077196201</v>
      </c>
      <c r="U46" s="15">
        <v>-1.46886225679928E-3</v>
      </c>
      <c r="V46" s="15">
        <v>-6.5762526083892499E-3</v>
      </c>
      <c r="W46" s="15">
        <v>-7.8971229008769003E-3</v>
      </c>
      <c r="X46" s="34">
        <v>1.6419881214023999</v>
      </c>
      <c r="Y46" s="34">
        <v>1.6383944060714599</v>
      </c>
      <c r="Z46" s="34">
        <v>1.6357654884459001</v>
      </c>
      <c r="AA46" s="34">
        <v>1.6347522838994699</v>
      </c>
      <c r="AB46" s="33">
        <v>31.309717100025701</v>
      </c>
      <c r="AC46" s="33">
        <v>31.2404016203681</v>
      </c>
      <c r="AD46" s="33">
        <v>31.232318046325702</v>
      </c>
      <c r="AE46" s="15">
        <v>-2.1910351847803399E-3</v>
      </c>
      <c r="AF46" s="15">
        <v>-4.4073541766247301E-3</v>
      </c>
      <c r="AG46" s="15">
        <v>-4.6661415043003397E-3</v>
      </c>
      <c r="AI46" s="12"/>
      <c r="AJ46">
        <f t="shared" si="6"/>
        <v>0</v>
      </c>
      <c r="AK46">
        <f t="shared" si="7"/>
        <v>0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0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0</v>
      </c>
      <c r="BF46" s="29">
        <f t="shared" si="23"/>
        <v>0</v>
      </c>
      <c r="BH46" s="29"/>
    </row>
    <row r="47" spans="1:124" x14ac:dyDescent="0.25">
      <c r="A47" s="1">
        <v>46091</v>
      </c>
      <c r="B47" s="33">
        <v>18.920000000000002</v>
      </c>
      <c r="C47" s="33">
        <v>31.15</v>
      </c>
      <c r="D47" s="15">
        <v>5.28680953366156E-4</v>
      </c>
      <c r="E47" s="15">
        <v>-6.4184854578363702E-4</v>
      </c>
      <c r="F47" s="33">
        <v>0</v>
      </c>
      <c r="G47" s="33">
        <v>0.2</v>
      </c>
      <c r="H47" s="33">
        <v>0</v>
      </c>
      <c r="I47" s="33">
        <v>0.20839299999999999</v>
      </c>
      <c r="J47" s="33">
        <v>0.2</v>
      </c>
      <c r="K47" s="33">
        <v>0.20839299999999999</v>
      </c>
      <c r="L47" s="33">
        <v>19.12</v>
      </c>
      <c r="M47" s="33">
        <v>31.358393</v>
      </c>
      <c r="N47" s="34">
        <v>1.64640591966173</v>
      </c>
      <c r="O47" s="34">
        <v>1.6459148161032899</v>
      </c>
      <c r="P47" s="34">
        <v>1.6410291524274301</v>
      </c>
      <c r="Q47" s="34">
        <v>1.6368178400312601</v>
      </c>
      <c r="R47" s="33">
        <v>31.1407083206742</v>
      </c>
      <c r="S47" s="33">
        <v>31.0143342566301</v>
      </c>
      <c r="T47" s="33">
        <v>30.9555733261376</v>
      </c>
      <c r="U47" s="15">
        <v>-2.98332757649509E-4</v>
      </c>
      <c r="V47" s="15">
        <v>-4.3647522449479703E-3</v>
      </c>
      <c r="W47" s="15">
        <v>-6.2611871565202201E-3</v>
      </c>
      <c r="X47" s="34">
        <v>1.64008331589958</v>
      </c>
      <c r="Y47" s="34">
        <v>1.6383944060714599</v>
      </c>
      <c r="Z47" s="34">
        <v>1.63685344171275</v>
      </c>
      <c r="AA47" s="34">
        <v>1.6350883414470301</v>
      </c>
      <c r="AB47" s="33">
        <v>31.3261010440864</v>
      </c>
      <c r="AC47" s="33">
        <v>31.275836139085701</v>
      </c>
      <c r="AD47" s="33">
        <v>31.256463668157998</v>
      </c>
      <c r="AE47" s="15">
        <v>-1.03030132930145E-3</v>
      </c>
      <c r="AF47" s="15">
        <v>-2.6361594884660999E-3</v>
      </c>
      <c r="AG47" s="15">
        <v>-3.2557583711937798E-3</v>
      </c>
      <c r="AI47" s="12"/>
      <c r="AJ47">
        <f t="shared" si="6"/>
        <v>0</v>
      </c>
      <c r="AK47">
        <f t="shared" si="7"/>
        <v>0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0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0</v>
      </c>
      <c r="BF47" s="29">
        <f t="shared" si="23"/>
        <v>0</v>
      </c>
      <c r="BH47" s="29"/>
    </row>
    <row r="48" spans="1:124" x14ac:dyDescent="0.25">
      <c r="A48" s="1">
        <v>46092</v>
      </c>
      <c r="B48" s="33">
        <v>18.829999999999998</v>
      </c>
      <c r="C48" s="33">
        <v>31.04</v>
      </c>
      <c r="D48" s="15">
        <v>-4.7682209546713898E-3</v>
      </c>
      <c r="E48" s="15">
        <v>-3.5375499184441199E-3</v>
      </c>
      <c r="F48" s="33">
        <v>0</v>
      </c>
      <c r="G48" s="33">
        <v>0.2</v>
      </c>
      <c r="H48" s="33">
        <v>0</v>
      </c>
      <c r="I48" s="33">
        <v>0.20839299999999999</v>
      </c>
      <c r="J48" s="33">
        <v>0.2</v>
      </c>
      <c r="K48" s="33">
        <v>0.20839299999999999</v>
      </c>
      <c r="L48" s="33">
        <v>19.029999999999902</v>
      </c>
      <c r="M48" s="33">
        <v>31.248393</v>
      </c>
      <c r="N48" s="34">
        <v>1.64843335103558</v>
      </c>
      <c r="O48" s="34">
        <v>1.6459148161032899</v>
      </c>
      <c r="P48" s="34">
        <v>1.6425872146164699</v>
      </c>
      <c r="Q48" s="34">
        <v>1.63762376444477</v>
      </c>
      <c r="R48" s="33">
        <v>30.9925759872249</v>
      </c>
      <c r="S48" s="33">
        <v>30.9005789402086</v>
      </c>
      <c r="T48" s="33">
        <v>30.821279927788702</v>
      </c>
      <c r="U48" s="15">
        <v>-1.52900379387667E-3</v>
      </c>
      <c r="V48" s="15">
        <v>-4.5017756577496798E-3</v>
      </c>
      <c r="W48" s="15">
        <v>-7.0713371552892099E-3</v>
      </c>
      <c r="X48" s="34">
        <v>1.64205953757225</v>
      </c>
      <c r="Y48" s="34">
        <v>1.6383944060714599</v>
      </c>
      <c r="Z48" s="34">
        <v>1.6377027048962101</v>
      </c>
      <c r="AA48" s="34">
        <v>1.6355395254353799</v>
      </c>
      <c r="AB48" s="33">
        <v>31.17864554754</v>
      </c>
      <c r="AC48" s="33">
        <v>31.149320995793701</v>
      </c>
      <c r="AD48" s="33">
        <v>31.115731137737001</v>
      </c>
      <c r="AE48" s="15">
        <v>-2.2345279578912199E-3</v>
      </c>
      <c r="AF48" s="15">
        <v>-3.1755037521077199E-3</v>
      </c>
      <c r="AG48" s="15">
        <v>-4.2544351964478597E-3</v>
      </c>
      <c r="AI48" s="12"/>
      <c r="AJ48">
        <f t="shared" si="6"/>
        <v>0</v>
      </c>
      <c r="AK48">
        <f t="shared" si="7"/>
        <v>0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0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0</v>
      </c>
      <c r="BF48" s="29">
        <f t="shared" si="23"/>
        <v>0</v>
      </c>
      <c r="BH48" s="29"/>
    </row>
    <row r="49" spans="1:60" x14ac:dyDescent="0.25">
      <c r="A49" s="1">
        <v>46093</v>
      </c>
      <c r="B49" s="33">
        <v>18.670000000000002</v>
      </c>
      <c r="C49" s="33">
        <v>30.85</v>
      </c>
      <c r="D49" s="15">
        <v>-8.5333851154295801E-3</v>
      </c>
      <c r="E49" s="15">
        <v>-6.1399449636211504E-3</v>
      </c>
      <c r="F49" s="33">
        <v>0</v>
      </c>
      <c r="G49" s="33">
        <v>0.2</v>
      </c>
      <c r="H49" s="33">
        <v>0</v>
      </c>
      <c r="I49" s="33">
        <v>0.20839299999999999</v>
      </c>
      <c r="J49" s="33">
        <v>0.2</v>
      </c>
      <c r="K49" s="33">
        <v>0.20839299999999999</v>
      </c>
      <c r="L49" s="33">
        <v>18.87</v>
      </c>
      <c r="M49" s="33">
        <v>31.058392999999999</v>
      </c>
      <c r="N49" s="34">
        <v>1.6523835029459</v>
      </c>
      <c r="O49" s="34">
        <v>1.6459148161032899</v>
      </c>
      <c r="P49" s="34">
        <v>1.6444474657375101</v>
      </c>
      <c r="Q49" s="34">
        <v>1.6387671913980499</v>
      </c>
      <c r="R49" s="33">
        <v>30.7292296166484</v>
      </c>
      <c r="S49" s="33">
        <v>30.6671032968896</v>
      </c>
      <c r="T49" s="33">
        <v>30.5744356821839</v>
      </c>
      <c r="U49" s="15">
        <v>-3.9224439456851997E-3</v>
      </c>
      <c r="V49" s="15">
        <v>-5.94622412977165E-3</v>
      </c>
      <c r="W49" s="15">
        <v>-8.9725257863005406E-3</v>
      </c>
      <c r="X49" s="34">
        <v>1.64591377848436</v>
      </c>
      <c r="Y49" s="34">
        <v>1.6383944060714599</v>
      </c>
      <c r="Z49" s="34">
        <v>1.6388448227240899</v>
      </c>
      <c r="AA49" s="34">
        <v>1.63632282729594</v>
      </c>
      <c r="AB49" s="33">
        <v>30.9165024425685</v>
      </c>
      <c r="AC49" s="33">
        <v>30.903450041391501</v>
      </c>
      <c r="AD49" s="33">
        <v>30.8626308449657</v>
      </c>
      <c r="AE49" s="15">
        <v>-4.5789768368854396E-3</v>
      </c>
      <c r="AF49" s="15">
        <v>-5.0012483154798998E-3</v>
      </c>
      <c r="AG49" s="15">
        <v>-6.3229835391683201E-3</v>
      </c>
      <c r="AI49" s="12"/>
      <c r="AJ49">
        <f t="shared" si="6"/>
        <v>1</v>
      </c>
      <c r="AK49">
        <f t="shared" si="7"/>
        <v>0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0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0</v>
      </c>
      <c r="BF49" s="29">
        <f t="shared" si="23"/>
        <v>0</v>
      </c>
      <c r="BH49" s="29"/>
    </row>
    <row r="50" spans="1:60" x14ac:dyDescent="0.25">
      <c r="A50" s="1">
        <v>46094</v>
      </c>
      <c r="B50" s="33">
        <v>18.57</v>
      </c>
      <c r="C50" s="33">
        <v>30.67</v>
      </c>
      <c r="D50" s="15">
        <v>-5.3705821890169397E-3</v>
      </c>
      <c r="E50" s="15">
        <v>-5.8517722252366903E-3</v>
      </c>
      <c r="F50" s="33">
        <v>0</v>
      </c>
      <c r="G50" s="33">
        <v>0.2</v>
      </c>
      <c r="H50" s="33">
        <v>0</v>
      </c>
      <c r="I50" s="33">
        <v>0.20839299999999999</v>
      </c>
      <c r="J50" s="33">
        <v>0.2</v>
      </c>
      <c r="K50" s="33">
        <v>0.20839299999999999</v>
      </c>
      <c r="L50" s="33">
        <v>18.77</v>
      </c>
      <c r="M50" s="33">
        <v>30.878392999999999</v>
      </c>
      <c r="N50" s="34">
        <v>1.65158858373721</v>
      </c>
      <c r="O50" s="34">
        <v>1.6459148161032899</v>
      </c>
      <c r="P50" s="34">
        <v>1.6464374929423999</v>
      </c>
      <c r="Q50" s="34">
        <v>1.6394953465339499</v>
      </c>
      <c r="R50" s="33">
        <v>30.564638135038098</v>
      </c>
      <c r="S50" s="33">
        <v>30.537389438745599</v>
      </c>
      <c r="T50" s="33">
        <v>30.431906744261799</v>
      </c>
      <c r="U50" s="15">
        <v>-3.4412539094654001E-3</v>
      </c>
      <c r="V50" s="15">
        <v>-4.3331620565714201E-3</v>
      </c>
      <c r="W50" s="15">
        <v>-7.7933561651582902E-3</v>
      </c>
      <c r="X50" s="34">
        <v>1.64509286094832</v>
      </c>
      <c r="Y50" s="34">
        <v>1.6383944060714599</v>
      </c>
      <c r="Z50" s="34">
        <v>1.6401126307827401</v>
      </c>
      <c r="AA50" s="34">
        <v>1.6366912158167199</v>
      </c>
      <c r="AB50" s="33">
        <v>30.752663001961398</v>
      </c>
      <c r="AC50" s="33">
        <v>30.761117322531199</v>
      </c>
      <c r="AD50" s="33">
        <v>30.713779468344899</v>
      </c>
      <c r="AE50" s="15">
        <v>-4.0800914543797301E-3</v>
      </c>
      <c r="AF50" s="15">
        <v>-3.80521578982359E-3</v>
      </c>
      <c r="AG50" s="15">
        <v>-5.34528713646554E-3</v>
      </c>
      <c r="AI50" s="12"/>
      <c r="AJ50">
        <f t="shared" si="6"/>
        <v>1</v>
      </c>
      <c r="AK50">
        <f t="shared" si="7"/>
        <v>0</v>
      </c>
      <c r="AL50">
        <f t="shared" si="14"/>
        <v>1</v>
      </c>
      <c r="AM50">
        <f t="shared" si="4"/>
        <v>1</v>
      </c>
      <c r="AN50">
        <f t="shared" si="15"/>
        <v>1</v>
      </c>
      <c r="AO50" s="28">
        <f t="shared" si="8"/>
        <v>-5.3705821890169397E-3</v>
      </c>
      <c r="AP50" s="28">
        <f t="shared" si="9"/>
        <v>5.8517722252366903E-3</v>
      </c>
      <c r="AQ50" s="28">
        <f t="shared" si="16"/>
        <v>4.8119003621975055E-4</v>
      </c>
      <c r="AR50" s="29">
        <f t="shared" si="17"/>
        <v>4.8119003621975055E-4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0</v>
      </c>
      <c r="BE50" s="29">
        <f t="shared" si="22"/>
        <v>4.8119003621975055E-4</v>
      </c>
      <c r="BF50" s="29">
        <f t="shared" si="23"/>
        <v>4.8119003621975055E-4</v>
      </c>
      <c r="BH50" s="29"/>
    </row>
    <row r="51" spans="1:60" x14ac:dyDescent="0.25">
      <c r="A51" s="1">
        <v>46097</v>
      </c>
      <c r="B51" s="33">
        <v>18.64</v>
      </c>
      <c r="C51" s="33">
        <v>30.75</v>
      </c>
      <c r="D51" s="15">
        <v>3.7624338928306999E-3</v>
      </c>
      <c r="E51" s="15">
        <v>2.6050161263666402E-3</v>
      </c>
      <c r="F51" s="33">
        <v>0</v>
      </c>
      <c r="G51" s="33">
        <v>0.2</v>
      </c>
      <c r="H51" s="33">
        <v>0</v>
      </c>
      <c r="I51" s="33">
        <v>0.20839299999999999</v>
      </c>
      <c r="J51" s="33">
        <v>0.2</v>
      </c>
      <c r="K51" s="33">
        <v>0.20839299999999999</v>
      </c>
      <c r="L51" s="33">
        <v>18.84</v>
      </c>
      <c r="M51" s="33">
        <v>30.958393000000001</v>
      </c>
      <c r="N51" s="34">
        <v>1.6496781115879799</v>
      </c>
      <c r="O51" s="34">
        <v>1.6459148161032899</v>
      </c>
      <c r="P51" s="34">
        <v>1.6474657522512699</v>
      </c>
      <c r="Q51" s="34">
        <v>1.6403881089619601</v>
      </c>
      <c r="R51" s="33">
        <v>30.679852172165301</v>
      </c>
      <c r="S51" s="33">
        <v>30.689594868446399</v>
      </c>
      <c r="T51" s="33">
        <v>30.5601932593929</v>
      </c>
      <c r="U51" s="15">
        <v>-2.2838361430014302E-3</v>
      </c>
      <c r="V51" s="15">
        <v>-1.9663264754812199E-3</v>
      </c>
      <c r="W51" s="15">
        <v>-6.1917060411889801E-3</v>
      </c>
      <c r="X51" s="34">
        <v>1.64322680467091</v>
      </c>
      <c r="Y51" s="34">
        <v>1.6383944060714599</v>
      </c>
      <c r="Z51" s="34">
        <v>1.6411119847929001</v>
      </c>
      <c r="AA51" s="34">
        <v>1.63722544027157</v>
      </c>
      <c r="AB51" s="33">
        <v>30.867350610386399</v>
      </c>
      <c r="AC51" s="33">
        <v>30.899721963947002</v>
      </c>
      <c r="AD51" s="33">
        <v>30.835262505987</v>
      </c>
      <c r="AE51" s="15">
        <v>-2.9451309472060699E-3</v>
      </c>
      <c r="AF51" s="15">
        <v>-1.89695575692482E-3</v>
      </c>
      <c r="AG51" s="15">
        <v>-3.9852200348950099E-3</v>
      </c>
      <c r="AI51" s="12"/>
      <c r="AJ51">
        <f t="shared" si="6"/>
        <v>0</v>
      </c>
      <c r="AK51">
        <f t="shared" si="7"/>
        <v>0</v>
      </c>
      <c r="AL51">
        <f t="shared" si="14"/>
        <v>1</v>
      </c>
      <c r="AM51">
        <f t="shared" si="4"/>
        <v>1</v>
      </c>
      <c r="AN51">
        <f t="shared" si="15"/>
        <v>1</v>
      </c>
      <c r="AO51" s="28">
        <f t="shared" si="8"/>
        <v>3.7624338928306999E-3</v>
      </c>
      <c r="AP51" s="28">
        <f t="shared" si="9"/>
        <v>-2.6050161263666402E-3</v>
      </c>
      <c r="AQ51" s="28">
        <f t="shared" si="16"/>
        <v>1.1574177664640597E-3</v>
      </c>
      <c r="AR51" s="29">
        <f t="shared" si="17"/>
        <v>1.6386078026838103E-3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0</v>
      </c>
      <c r="BE51" s="29">
        <f t="shared" si="22"/>
        <v>1.1574177664640597E-3</v>
      </c>
      <c r="BF51" s="29">
        <f t="shared" si="23"/>
        <v>1.6386078026838103E-3</v>
      </c>
      <c r="BH51" s="29"/>
    </row>
    <row r="52" spans="1:60" x14ac:dyDescent="0.25">
      <c r="A52" s="1">
        <v>46098</v>
      </c>
      <c r="B52" s="33">
        <v>18.72</v>
      </c>
      <c r="C52" s="33">
        <v>30.9</v>
      </c>
      <c r="D52" s="15">
        <v>4.2826617920007203E-3</v>
      </c>
      <c r="E52" s="15">
        <v>4.8661896511729003E-3</v>
      </c>
      <c r="F52" s="33">
        <v>0</v>
      </c>
      <c r="G52" s="33">
        <v>0.2</v>
      </c>
      <c r="H52" s="33">
        <v>0</v>
      </c>
      <c r="I52" s="33">
        <v>0.20839299999999999</v>
      </c>
      <c r="J52" s="33">
        <v>0.2</v>
      </c>
      <c r="K52" s="33">
        <v>0.20839299999999999</v>
      </c>
      <c r="L52" s="33">
        <v>18.919999999999899</v>
      </c>
      <c r="M52" s="33">
        <v>31.108393</v>
      </c>
      <c r="N52" s="34">
        <v>1.65064102564102</v>
      </c>
      <c r="O52" s="34">
        <v>1.6459148161032899</v>
      </c>
      <c r="P52" s="34">
        <v>1.64824414052966</v>
      </c>
      <c r="Q52" s="34">
        <v>1.6411790200282901</v>
      </c>
      <c r="R52" s="33">
        <v>30.811525357453601</v>
      </c>
      <c r="S52" s="33">
        <v>30.840558882143899</v>
      </c>
      <c r="T52" s="33">
        <v>30.7080653997679</v>
      </c>
      <c r="U52" s="15">
        <v>-2.86736400217348E-3</v>
      </c>
      <c r="V52" s="15">
        <v>-1.9255133836687201E-3</v>
      </c>
      <c r="W52" s="15">
        <v>-6.23084720969327E-3</v>
      </c>
      <c r="X52" s="34">
        <v>1.6442068181818099</v>
      </c>
      <c r="Y52" s="34">
        <v>1.6383944060714599</v>
      </c>
      <c r="Z52" s="34">
        <v>1.6418715803324899</v>
      </c>
      <c r="AA52" s="34">
        <v>1.63765952670953</v>
      </c>
      <c r="AB52" s="33">
        <v>30.9984221628721</v>
      </c>
      <c r="AC52" s="33">
        <v>31.049838752281701</v>
      </c>
      <c r="AD52" s="33">
        <v>30.976305329938199</v>
      </c>
      <c r="AE52" s="15">
        <v>-3.5413489411595502E-3</v>
      </c>
      <c r="AF52" s="15">
        <v>-1.8840389563193E-3</v>
      </c>
      <c r="AG52" s="15">
        <v>-4.2550861294468499E-3</v>
      </c>
      <c r="AI52" s="12"/>
      <c r="AJ52">
        <f t="shared" si="6"/>
        <v>0</v>
      </c>
      <c r="AK52">
        <f t="shared" si="7"/>
        <v>0</v>
      </c>
      <c r="AL52">
        <f t="shared" si="14"/>
        <v>1</v>
      </c>
      <c r="AM52">
        <f t="shared" si="4"/>
        <v>1</v>
      </c>
      <c r="AN52">
        <f t="shared" si="15"/>
        <v>1</v>
      </c>
      <c r="AO52" s="28">
        <f t="shared" si="8"/>
        <v>4.2826617920007203E-3</v>
      </c>
      <c r="AP52" s="28">
        <f t="shared" si="9"/>
        <v>-4.8661896511729003E-3</v>
      </c>
      <c r="AQ52" s="28">
        <f t="shared" si="16"/>
        <v>-5.8352785917217993E-4</v>
      </c>
      <c r="AR52" s="29">
        <f t="shared" si="17"/>
        <v>1.0550799435116304E-3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0</v>
      </c>
      <c r="BE52" s="29">
        <f t="shared" si="22"/>
        <v>-5.8352785917217993E-4</v>
      </c>
      <c r="BF52" s="29">
        <f t="shared" si="23"/>
        <v>1.0550799435116304E-3</v>
      </c>
      <c r="BH52" s="29"/>
    </row>
    <row r="53" spans="1:60" x14ac:dyDescent="0.25">
      <c r="A53" s="1">
        <v>46099</v>
      </c>
      <c r="B53" s="33">
        <v>18.600000000000001</v>
      </c>
      <c r="C53" s="33">
        <v>30.67</v>
      </c>
      <c r="D53" s="15">
        <v>-6.4308903302902898E-3</v>
      </c>
      <c r="E53" s="15">
        <v>-7.4712057775394598E-3</v>
      </c>
      <c r="F53" s="33">
        <v>0</v>
      </c>
      <c r="G53" s="33">
        <v>0.2</v>
      </c>
      <c r="H53" s="33">
        <v>0</v>
      </c>
      <c r="I53" s="33">
        <v>0.20839299999999999</v>
      </c>
      <c r="J53" s="33">
        <v>0.2</v>
      </c>
      <c r="K53" s="33">
        <v>0.20839299999999999</v>
      </c>
      <c r="L53" s="33">
        <v>18.8</v>
      </c>
      <c r="M53" s="33">
        <v>30.878392999999999</v>
      </c>
      <c r="N53" s="34">
        <v>1.6489247311827899</v>
      </c>
      <c r="O53" s="34">
        <v>1.6459148161032899</v>
      </c>
      <c r="P53" s="34">
        <v>1.6488060697148901</v>
      </c>
      <c r="Q53" s="34">
        <v>1.64205441469832</v>
      </c>
      <c r="R53" s="33">
        <v>30.614015579521201</v>
      </c>
      <c r="S53" s="33">
        <v>30.657341013851799</v>
      </c>
      <c r="T53" s="33">
        <v>30.5259297725263</v>
      </c>
      <c r="U53" s="15">
        <v>-1.82704855492424E-3</v>
      </c>
      <c r="V53" s="15">
        <v>-4.1283336660879501E-4</v>
      </c>
      <c r="W53" s="15">
        <v>-4.7084992148468899E-3</v>
      </c>
      <c r="X53" s="34">
        <v>1.6424677127659499</v>
      </c>
      <c r="Y53" s="34">
        <v>1.6383944060714599</v>
      </c>
      <c r="Z53" s="34">
        <v>1.64241031330681</v>
      </c>
      <c r="AA53" s="34">
        <v>1.6381761043805201</v>
      </c>
      <c r="AB53" s="33">
        <v>30.801814834143499</v>
      </c>
      <c r="AC53" s="33">
        <v>30.867185710250901</v>
      </c>
      <c r="AD53" s="33">
        <v>30.787999102139299</v>
      </c>
      <c r="AE53" s="15">
        <v>-2.48307221689348E-3</v>
      </c>
      <c r="AF53" s="15">
        <v>-3.6301513747804501E-4</v>
      </c>
      <c r="AG53" s="15">
        <v>-2.9317091376105499E-3</v>
      </c>
      <c r="AI53" s="12"/>
      <c r="AJ53">
        <f t="shared" si="6"/>
        <v>0</v>
      </c>
      <c r="AK53">
        <f t="shared" si="7"/>
        <v>1</v>
      </c>
      <c r="AL53">
        <f t="shared" si="14"/>
        <v>1</v>
      </c>
      <c r="AM53">
        <f t="shared" si="4"/>
        <v>1</v>
      </c>
      <c r="AN53">
        <f t="shared" si="15"/>
        <v>1</v>
      </c>
      <c r="AO53" s="28">
        <f t="shared" si="8"/>
        <v>-6.4308903302902898E-3</v>
      </c>
      <c r="AP53" s="28">
        <f t="shared" si="9"/>
        <v>7.4712057775394598E-3</v>
      </c>
      <c r="AQ53" s="28">
        <f t="shared" si="16"/>
        <v>1.04031544724917E-3</v>
      </c>
      <c r="AR53" s="29">
        <f t="shared" si="17"/>
        <v>2.0953953907608003E-3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0</v>
      </c>
      <c r="BE53" s="29">
        <f t="shared" si="22"/>
        <v>1.04031544724917E-3</v>
      </c>
      <c r="BF53" s="29">
        <f t="shared" si="23"/>
        <v>2.0953953907608003E-3</v>
      </c>
      <c r="BH53" s="29"/>
    </row>
    <row r="54" spans="1:60" x14ac:dyDescent="0.25">
      <c r="A54" s="1">
        <v>46100</v>
      </c>
      <c r="B54" s="33">
        <v>18.59</v>
      </c>
      <c r="C54" s="33">
        <v>30.71</v>
      </c>
      <c r="D54" s="15">
        <v>-5.3777898580297998E-4</v>
      </c>
      <c r="E54" s="15">
        <v>1.3033563265709099E-3</v>
      </c>
      <c r="F54" s="33">
        <v>0</v>
      </c>
      <c r="G54" s="33">
        <v>0.2</v>
      </c>
      <c r="H54" s="33">
        <v>0</v>
      </c>
      <c r="I54" s="33">
        <v>0.20839299999999999</v>
      </c>
      <c r="J54" s="33">
        <v>0.2</v>
      </c>
      <c r="K54" s="33">
        <v>0.20839299999999999</v>
      </c>
      <c r="L54" s="33">
        <v>18.79</v>
      </c>
      <c r="M54" s="33">
        <v>30.918392999999998</v>
      </c>
      <c r="N54" s="34">
        <v>1.65196342119419</v>
      </c>
      <c r="O54" s="34">
        <v>1.6459148161032899</v>
      </c>
      <c r="P54" s="34">
        <v>1.64949137082484</v>
      </c>
      <c r="Q54" s="34">
        <v>1.6428836326894301</v>
      </c>
      <c r="R54" s="33">
        <v>30.5975564313602</v>
      </c>
      <c r="S54" s="33">
        <v>30.651304835999799</v>
      </c>
      <c r="T54" s="33">
        <v>30.525791569241701</v>
      </c>
      <c r="U54" s="15">
        <v>-3.66818386729806E-3</v>
      </c>
      <c r="V54" s="15">
        <v>-1.91310083965185E-3</v>
      </c>
      <c r="W54" s="15">
        <v>-6.0163829578942299E-3</v>
      </c>
      <c r="X54" s="34">
        <v>1.64547062267163</v>
      </c>
      <c r="Y54" s="34">
        <v>1.6383944060714599</v>
      </c>
      <c r="Z54" s="34">
        <v>1.6430739572597199</v>
      </c>
      <c r="AA54" s="34">
        <v>1.6386455667608899</v>
      </c>
      <c r="AB54" s="33">
        <v>30.7854308900828</v>
      </c>
      <c r="AC54" s="33">
        <v>30.860889787035099</v>
      </c>
      <c r="AD54" s="33">
        <v>30.781329001309999</v>
      </c>
      <c r="AE54" s="15">
        <v>-4.30969451589299E-3</v>
      </c>
      <c r="AF54" s="15">
        <v>-1.8615699948893399E-3</v>
      </c>
      <c r="AG54" s="15">
        <v>-4.4429446263785097E-3</v>
      </c>
      <c r="AI54" s="12"/>
      <c r="AJ54">
        <f t="shared" si="6"/>
        <v>0</v>
      </c>
      <c r="AK54">
        <f t="shared" si="7"/>
        <v>0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2.0953953907608003E-3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0</v>
      </c>
      <c r="BE54" s="29">
        <f t="shared" si="22"/>
        <v>0</v>
      </c>
      <c r="BF54" s="29">
        <f t="shared" si="23"/>
        <v>2.0953953907608003E-3</v>
      </c>
      <c r="BH54" s="29"/>
    </row>
    <row r="55" spans="1:60" x14ac:dyDescent="0.25">
      <c r="A55" s="1">
        <v>46101</v>
      </c>
      <c r="B55" s="33">
        <v>18.3</v>
      </c>
      <c r="C55" s="33">
        <v>30.27</v>
      </c>
      <c r="D55" s="15">
        <v>-1.57227418859773E-2</v>
      </c>
      <c r="E55" s="15">
        <v>-1.4431211419103701E-2</v>
      </c>
      <c r="F55" s="33">
        <v>0</v>
      </c>
      <c r="G55" s="33">
        <v>0.2</v>
      </c>
      <c r="H55" s="33">
        <v>0</v>
      </c>
      <c r="I55" s="33">
        <v>0.20839299999999999</v>
      </c>
      <c r="J55" s="33">
        <v>0.2</v>
      </c>
      <c r="K55" s="33">
        <v>0.20839299999999999</v>
      </c>
      <c r="L55" s="33">
        <v>18.5</v>
      </c>
      <c r="M55" s="33">
        <v>30.478393000000001</v>
      </c>
      <c r="N55" s="34">
        <v>1.65409836065573</v>
      </c>
      <c r="O55" s="34">
        <v>1.6459148161032899</v>
      </c>
      <c r="P55" s="34">
        <v>1.65024512223433</v>
      </c>
      <c r="Q55" s="34">
        <v>1.6438875197943901</v>
      </c>
      <c r="R55" s="33">
        <v>30.1202411346902</v>
      </c>
      <c r="S55" s="33">
        <v>30.185692086094701</v>
      </c>
      <c r="T55" s="33">
        <v>30.064770478216701</v>
      </c>
      <c r="U55" s="15">
        <v>-4.9597143341717298E-3</v>
      </c>
      <c r="V55" s="15">
        <v>-2.7890829018278598E-3</v>
      </c>
      <c r="W55" s="15">
        <v>-6.8030527566099704E-3</v>
      </c>
      <c r="X55" s="34">
        <v>1.6474807027027001</v>
      </c>
      <c r="Y55" s="34">
        <v>1.6383944060714599</v>
      </c>
      <c r="Z55" s="34">
        <v>1.6437990275299901</v>
      </c>
      <c r="AA55" s="34">
        <v>1.63928312497295</v>
      </c>
      <c r="AB55" s="33">
        <v>30.3102965123221</v>
      </c>
      <c r="AC55" s="33">
        <v>30.396868209304898</v>
      </c>
      <c r="AD55" s="33">
        <v>30.314942985076598</v>
      </c>
      <c r="AE55" s="15">
        <v>-5.5305326529401302E-3</v>
      </c>
      <c r="AF55" s="15">
        <v>-2.67842265687049E-3</v>
      </c>
      <c r="AG55" s="15">
        <v>-5.37724755907116E-3</v>
      </c>
      <c r="AI55" s="12"/>
      <c r="AJ55">
        <f t="shared" si="6"/>
        <v>1</v>
      </c>
      <c r="AK55">
        <f t="shared" si="7"/>
        <v>0</v>
      </c>
      <c r="AL55">
        <f t="shared" si="14"/>
        <v>0</v>
      </c>
      <c r="AM55">
        <f t="shared" si="4"/>
        <v>1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2.0953953907608003E-3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1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0</v>
      </c>
      <c r="BE55" s="29">
        <f t="shared" si="22"/>
        <v>0</v>
      </c>
      <c r="BF55" s="29">
        <f t="shared" si="23"/>
        <v>2.0953953907608003E-3</v>
      </c>
      <c r="BH55" s="29"/>
    </row>
    <row r="56" spans="1:60" x14ac:dyDescent="0.25">
      <c r="A56" s="1">
        <v>46104</v>
      </c>
      <c r="B56" s="33">
        <v>18.46</v>
      </c>
      <c r="C56" s="33">
        <v>30.45</v>
      </c>
      <c r="D56" s="15">
        <v>8.7051692273308005E-3</v>
      </c>
      <c r="E56" s="15">
        <v>5.9288711222786504E-3</v>
      </c>
      <c r="F56" s="33">
        <v>0</v>
      </c>
      <c r="G56" s="33">
        <v>0.2</v>
      </c>
      <c r="H56" s="33">
        <v>0</v>
      </c>
      <c r="I56" s="33">
        <v>0.20839299999999999</v>
      </c>
      <c r="J56" s="33">
        <v>0.2</v>
      </c>
      <c r="K56" s="33">
        <v>0.20839299999999999</v>
      </c>
      <c r="L56" s="33">
        <v>18.66</v>
      </c>
      <c r="M56" s="33">
        <v>30.658393</v>
      </c>
      <c r="N56" s="34">
        <v>1.64951245937161</v>
      </c>
      <c r="O56" s="34">
        <v>1.6459148161032899</v>
      </c>
      <c r="P56" s="34">
        <v>1.6503629467013701</v>
      </c>
      <c r="Q56" s="34">
        <v>1.6447991862637401</v>
      </c>
      <c r="R56" s="33">
        <v>30.3835875052667</v>
      </c>
      <c r="S56" s="33">
        <v>30.463524956445799</v>
      </c>
      <c r="T56" s="33">
        <v>30.3461636154044</v>
      </c>
      <c r="U56" s="15">
        <v>-2.1834162291195199E-3</v>
      </c>
      <c r="V56" s="15">
        <v>4.4407072740599099E-4</v>
      </c>
      <c r="W56" s="15">
        <v>-3.4158894044230802E-3</v>
      </c>
      <c r="X56" s="34">
        <v>1.64300069667738</v>
      </c>
      <c r="Y56" s="34">
        <v>1.6383944060714599</v>
      </c>
      <c r="Z56" s="34">
        <v>1.64390028505749</v>
      </c>
      <c r="AA56" s="34">
        <v>1.6398328867517</v>
      </c>
      <c r="AB56" s="33">
        <v>30.572439617293501</v>
      </c>
      <c r="AC56" s="33">
        <v>30.673289853709701</v>
      </c>
      <c r="AD56" s="33">
        <v>30.589023111995299</v>
      </c>
      <c r="AE56" s="15">
        <v>-2.8075214884622202E-3</v>
      </c>
      <c r="AF56" s="15">
        <v>4.8578005068597397E-4</v>
      </c>
      <c r="AG56" s="15">
        <v>-2.26523572981007E-3</v>
      </c>
      <c r="AI56" s="12"/>
      <c r="AJ56">
        <f t="shared" si="6"/>
        <v>0</v>
      </c>
      <c r="AK56">
        <f t="shared" si="7"/>
        <v>1</v>
      </c>
      <c r="AL56">
        <f t="shared" si="14"/>
        <v>1</v>
      </c>
      <c r="AM56">
        <f t="shared" si="4"/>
        <v>1</v>
      </c>
      <c r="AN56">
        <f t="shared" si="15"/>
        <v>1</v>
      </c>
      <c r="AO56" s="28">
        <f t="shared" si="8"/>
        <v>8.7051692273308005E-3</v>
      </c>
      <c r="AP56" s="28">
        <f t="shared" si="9"/>
        <v>-5.9288711222786504E-3</v>
      </c>
      <c r="AQ56" s="28">
        <f t="shared" si="16"/>
        <v>2.7762981050521501E-3</v>
      </c>
      <c r="AR56" s="29">
        <f t="shared" si="17"/>
        <v>4.8716934958129504E-3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0</v>
      </c>
      <c r="BE56" s="29">
        <f t="shared" si="22"/>
        <v>2.7762981050521501E-3</v>
      </c>
      <c r="BF56" s="29">
        <f t="shared" si="23"/>
        <v>4.8716934958129504E-3</v>
      </c>
      <c r="BH56" s="29"/>
    </row>
    <row r="57" spans="1:60" x14ac:dyDescent="0.25">
      <c r="A57" s="1">
        <v>46105</v>
      </c>
      <c r="B57" s="33">
        <v>18.5</v>
      </c>
      <c r="C57" s="33">
        <v>30.44</v>
      </c>
      <c r="D57" s="15">
        <v>2.1645030095730502E-3</v>
      </c>
      <c r="E57" s="15">
        <v>-3.2846116242085302E-4</v>
      </c>
      <c r="F57" s="33">
        <v>0</v>
      </c>
      <c r="G57" s="33">
        <v>0.2</v>
      </c>
      <c r="H57" s="33">
        <v>0</v>
      </c>
      <c r="I57" s="33">
        <v>0.20839299999999999</v>
      </c>
      <c r="J57" s="33">
        <v>0.2</v>
      </c>
      <c r="K57" s="33">
        <v>0.20839299999999999</v>
      </c>
      <c r="L57" s="33">
        <v>18.7</v>
      </c>
      <c r="M57" s="33">
        <v>30.648392999999999</v>
      </c>
      <c r="N57" s="34">
        <v>1.6454054054053999</v>
      </c>
      <c r="O57" s="34">
        <v>1.6459148161032899</v>
      </c>
      <c r="P57" s="34">
        <v>1.6502628952757401</v>
      </c>
      <c r="Q57" s="34">
        <v>1.64564602385159</v>
      </c>
      <c r="R57" s="33">
        <v>30.449424097910899</v>
      </c>
      <c r="S57" s="33">
        <v>30.531714513975398</v>
      </c>
      <c r="T57" s="33">
        <v>30.4287849458793</v>
      </c>
      <c r="U57" s="15">
        <v>3.09547942874456E-4</v>
      </c>
      <c r="V57" s="15">
        <v>3.0084305117408301E-3</v>
      </c>
      <c r="W57" s="15">
        <v>-3.6849936326346098E-4</v>
      </c>
      <c r="X57" s="34">
        <v>1.6389514973262</v>
      </c>
      <c r="Y57" s="34">
        <v>1.6383944060714599</v>
      </c>
      <c r="Z57" s="34">
        <v>1.6437871032001501</v>
      </c>
      <c r="AA57" s="34">
        <v>1.6403202724564501</v>
      </c>
      <c r="AB57" s="33">
        <v>30.637975393536401</v>
      </c>
      <c r="AC57" s="33">
        <v>30.740935330575098</v>
      </c>
      <c r="AD57" s="33">
        <v>30.664874982256698</v>
      </c>
      <c r="AE57" s="15">
        <v>-3.3996488410004101E-4</v>
      </c>
      <c r="AF57" s="15">
        <v>3.0149344581939098E-3</v>
      </c>
      <c r="AG57" s="15">
        <v>5.3763184368404201E-4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4.8716934958129504E-3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0</v>
      </c>
      <c r="BE57" s="29">
        <f t="shared" si="22"/>
        <v>0</v>
      </c>
      <c r="BF57" s="29">
        <f t="shared" si="23"/>
        <v>4.8716934958129504E-3</v>
      </c>
      <c r="BH57" s="29"/>
    </row>
    <row r="58" spans="1:60" x14ac:dyDescent="0.25">
      <c r="A58" s="1">
        <v>46106</v>
      </c>
      <c r="B58" s="33">
        <v>18.59</v>
      </c>
      <c r="C58" s="33">
        <v>30.61</v>
      </c>
      <c r="D58" s="15">
        <v>4.8530696490734597E-3</v>
      </c>
      <c r="E58" s="15">
        <v>5.5692199638359098E-3</v>
      </c>
      <c r="F58" s="33">
        <v>0</v>
      </c>
      <c r="G58" s="33">
        <v>0.2</v>
      </c>
      <c r="H58" s="33">
        <v>0</v>
      </c>
      <c r="I58" s="33">
        <v>0.20839299999999999</v>
      </c>
      <c r="J58" s="33">
        <v>0.2</v>
      </c>
      <c r="K58" s="33">
        <v>0.20839299999999999</v>
      </c>
      <c r="L58" s="33">
        <v>18.79</v>
      </c>
      <c r="M58" s="33">
        <v>30.818393</v>
      </c>
      <c r="N58" s="34">
        <v>1.6465841850457199</v>
      </c>
      <c r="O58" s="34">
        <v>1.6459148161032899</v>
      </c>
      <c r="P58" s="34">
        <v>1.6500779786767501</v>
      </c>
      <c r="Q58" s="34">
        <v>1.64633259664661</v>
      </c>
      <c r="R58" s="33">
        <v>30.5975564313602</v>
      </c>
      <c r="S58" s="33">
        <v>30.678387223175999</v>
      </c>
      <c r="T58" s="33">
        <v>30.592559583401101</v>
      </c>
      <c r="U58" s="15">
        <v>-4.0660237188814901E-4</v>
      </c>
      <c r="V58" s="15">
        <v>2.2316544669179501E-3</v>
      </c>
      <c r="W58" s="15">
        <v>-5.6992443419650305E-4</v>
      </c>
      <c r="X58" s="34">
        <v>1.6401486428951499</v>
      </c>
      <c r="Y58" s="34">
        <v>1.6383944060714599</v>
      </c>
      <c r="Z58" s="34">
        <v>1.6435960137324399</v>
      </c>
      <c r="AA58" s="34">
        <v>1.6406493593143201</v>
      </c>
      <c r="AB58" s="33">
        <v>30.7854308900828</v>
      </c>
      <c r="AC58" s="33">
        <v>30.8867596691309</v>
      </c>
      <c r="AD58" s="33">
        <v>30.821617919456799</v>
      </c>
      <c r="AE58" s="15">
        <v>-1.07013204640001E-3</v>
      </c>
      <c r="AF58" s="15">
        <v>2.2159153376533399E-3</v>
      </c>
      <c r="AG58" s="15">
        <v>1.04637212474434E-4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4.8716934958129504E-3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0</v>
      </c>
      <c r="BE58" s="29">
        <f t="shared" si="22"/>
        <v>0</v>
      </c>
      <c r="BF58" s="29">
        <f t="shared" si="23"/>
        <v>4.8716934958129504E-3</v>
      </c>
      <c r="BH58" s="29"/>
    </row>
    <row r="59" spans="1:60" x14ac:dyDescent="0.25">
      <c r="A59" s="1">
        <v>46107</v>
      </c>
      <c r="B59" s="33">
        <v>18.43</v>
      </c>
      <c r="C59" s="33">
        <v>30.38</v>
      </c>
      <c r="D59" s="15">
        <v>-8.6440300516206995E-3</v>
      </c>
      <c r="E59" s="15">
        <v>-7.5422557896943397E-3</v>
      </c>
      <c r="F59" s="33">
        <v>0</v>
      </c>
      <c r="G59" s="33">
        <v>0.2</v>
      </c>
      <c r="H59" s="33">
        <v>0</v>
      </c>
      <c r="I59" s="33">
        <v>0.20839299999999999</v>
      </c>
      <c r="J59" s="33">
        <v>0.2</v>
      </c>
      <c r="K59" s="33">
        <v>0.20839299999999999</v>
      </c>
      <c r="L59" s="33">
        <v>18.63</v>
      </c>
      <c r="M59" s="33">
        <v>30.588393</v>
      </c>
      <c r="N59" s="34">
        <v>1.64839934888768</v>
      </c>
      <c r="O59" s="34">
        <v>1.6459148161032899</v>
      </c>
      <c r="P59" s="34">
        <v>1.64967956327093</v>
      </c>
      <c r="Q59" s="34">
        <v>1.6470635145042201</v>
      </c>
      <c r="R59" s="33">
        <v>30.334210060783601</v>
      </c>
      <c r="S59" s="33">
        <v>30.4109371470126</v>
      </c>
      <c r="T59" s="33">
        <v>30.341909756197101</v>
      </c>
      <c r="U59" s="15">
        <v>-1.50837663381446E-3</v>
      </c>
      <c r="V59" s="15">
        <v>1.0178211139812599E-3</v>
      </c>
      <c r="W59" s="15">
        <v>-1.2545800667945199E-3</v>
      </c>
      <c r="X59" s="34">
        <v>1.64188904991948</v>
      </c>
      <c r="Y59" s="34">
        <v>1.6383944060714599</v>
      </c>
      <c r="Z59" s="34">
        <v>1.6431935408759499</v>
      </c>
      <c r="AA59" s="34">
        <v>1.6410191818000199</v>
      </c>
      <c r="AB59" s="33">
        <v>30.5232877851114</v>
      </c>
      <c r="AC59" s="33">
        <v>30.6201937358354</v>
      </c>
      <c r="AD59" s="33">
        <v>30.565297564025901</v>
      </c>
      <c r="AE59" s="15">
        <v>-2.1306970674976299E-3</v>
      </c>
      <c r="AF59" s="15">
        <v>1.0390940354179201E-3</v>
      </c>
      <c r="AG59" s="15">
        <v>-7.5532439200539704E-4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4.8716934958129504E-3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0</v>
      </c>
      <c r="BE59" s="29">
        <f t="shared" si="22"/>
        <v>0</v>
      </c>
      <c r="BF59" s="29">
        <f t="shared" si="23"/>
        <v>4.8716934958129504E-3</v>
      </c>
      <c r="BH59" s="29"/>
    </row>
    <row r="60" spans="1:60" x14ac:dyDescent="0.25">
      <c r="A60" s="1">
        <v>46108</v>
      </c>
      <c r="B60" s="33">
        <v>18.309999999999999</v>
      </c>
      <c r="C60" s="33">
        <v>30.16</v>
      </c>
      <c r="D60" s="15">
        <v>-6.5324129953126496E-3</v>
      </c>
      <c r="E60" s="15">
        <v>-7.2679540278714396E-3</v>
      </c>
      <c r="F60" s="33">
        <v>0</v>
      </c>
      <c r="G60" s="33">
        <v>0.2</v>
      </c>
      <c r="H60" s="33">
        <v>0</v>
      </c>
      <c r="I60" s="33">
        <v>0.20839299999999999</v>
      </c>
      <c r="J60" s="33">
        <v>0.2</v>
      </c>
      <c r="K60" s="33">
        <v>0.20839299999999999</v>
      </c>
      <c r="L60" s="33">
        <v>18.509999999999899</v>
      </c>
      <c r="M60" s="33">
        <v>30.368393000000001</v>
      </c>
      <c r="N60" s="34">
        <v>1.64718732932823</v>
      </c>
      <c r="O60" s="34">
        <v>1.6459148161032899</v>
      </c>
      <c r="P60" s="34">
        <v>1.6492394378300299</v>
      </c>
      <c r="Q60" s="34">
        <v>1.6478384653862199</v>
      </c>
      <c r="R60" s="33">
        <v>30.136700282851201</v>
      </c>
      <c r="S60" s="33">
        <v>30.205632803490801</v>
      </c>
      <c r="T60" s="33">
        <v>30.157732950572299</v>
      </c>
      <c r="U60" s="15">
        <v>-7.7283560125580495E-4</v>
      </c>
      <c r="V60" s="15">
        <v>1.51188052087936E-3</v>
      </c>
      <c r="W60" s="15">
        <v>-7.5170246553030501E-5</v>
      </c>
      <c r="X60" s="34">
        <v>1.64064792004322</v>
      </c>
      <c r="Y60" s="34">
        <v>1.6383944060714599</v>
      </c>
      <c r="Z60" s="34">
        <v>1.64274904678544</v>
      </c>
      <c r="AA60" s="34">
        <v>1.6414308387840899</v>
      </c>
      <c r="AB60" s="33">
        <v>30.3266804563828</v>
      </c>
      <c r="AC60" s="33">
        <v>30.415512441613899</v>
      </c>
      <c r="AD60" s="33">
        <v>30.375265055118401</v>
      </c>
      <c r="AE60" s="15">
        <v>-1.37449541812353E-3</v>
      </c>
      <c r="AF60" s="15">
        <v>1.55039235172938E-3</v>
      </c>
      <c r="AG60" s="15">
        <v>2.2626411934382901E-4</v>
      </c>
      <c r="AI60" s="12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4.8716934958129504E-3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0</v>
      </c>
      <c r="BE60" s="29">
        <f t="shared" si="22"/>
        <v>0</v>
      </c>
      <c r="BF60" s="29">
        <f t="shared" si="23"/>
        <v>4.8716934958129504E-3</v>
      </c>
      <c r="BH60" s="29"/>
    </row>
    <row r="61" spans="1:60" x14ac:dyDescent="0.25">
      <c r="A61" s="1">
        <v>46111</v>
      </c>
      <c r="B61" s="33">
        <v>18.239999999999998</v>
      </c>
      <c r="C61" s="33">
        <v>30.12</v>
      </c>
      <c r="D61" s="15">
        <v>-3.8303740402340601E-3</v>
      </c>
      <c r="E61" s="15">
        <v>-1.3271402080624599E-3</v>
      </c>
      <c r="F61" s="33">
        <v>0</v>
      </c>
      <c r="G61" s="33">
        <v>0.2</v>
      </c>
      <c r="H61" s="33">
        <v>0</v>
      </c>
      <c r="I61" s="33">
        <v>0.20839299999999999</v>
      </c>
      <c r="J61" s="33">
        <v>0.2</v>
      </c>
      <c r="K61" s="33">
        <v>0.20839299999999999</v>
      </c>
      <c r="L61" s="33">
        <v>18.439999999999898</v>
      </c>
      <c r="M61" s="33">
        <v>30.328392999999998</v>
      </c>
      <c r="N61" s="34">
        <v>1.6513157894736801</v>
      </c>
      <c r="O61" s="34">
        <v>1.6459148161032899</v>
      </c>
      <c r="P61" s="34">
        <v>1.6494032056186001</v>
      </c>
      <c r="Q61" s="34">
        <v>1.6484344789349401</v>
      </c>
      <c r="R61" s="33">
        <v>30.021486245723999</v>
      </c>
      <c r="S61" s="33">
        <v>30.082127346019899</v>
      </c>
      <c r="T61" s="33">
        <v>30.056573608644602</v>
      </c>
      <c r="U61" s="15">
        <v>-3.27606943342732E-3</v>
      </c>
      <c r="V61" s="15">
        <v>-1.25818341131089E-3</v>
      </c>
      <c r="W61" s="15">
        <v>-2.1080101786841599E-3</v>
      </c>
      <c r="X61" s="34">
        <v>1.6447067787418601</v>
      </c>
      <c r="Y61" s="34">
        <v>1.6383944060714599</v>
      </c>
      <c r="Z61" s="34">
        <v>1.6428970441925399</v>
      </c>
      <c r="AA61" s="34">
        <v>1.64200451449272</v>
      </c>
      <c r="AB61" s="33">
        <v>30.211992847957799</v>
      </c>
      <c r="AC61" s="33">
        <v>30.292292422723602</v>
      </c>
      <c r="AD61" s="33">
        <v>30.267984667178698</v>
      </c>
      <c r="AE61" s="15">
        <v>-3.8453767297680699E-3</v>
      </c>
      <c r="AF61" s="15">
        <v>-1.1910317836947399E-3</v>
      </c>
      <c r="AG61" s="15">
        <v>-1.99379418896485E-3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4.8716934958129504E-3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0</v>
      </c>
      <c r="BE61" s="29">
        <f t="shared" si="22"/>
        <v>0</v>
      </c>
      <c r="BF61" s="29">
        <f t="shared" si="23"/>
        <v>4.8716934958129504E-3</v>
      </c>
      <c r="BH61" s="29"/>
    </row>
    <row r="62" spans="1:60" x14ac:dyDescent="0.25">
      <c r="A62" s="1">
        <v>46112</v>
      </c>
      <c r="B62" s="33">
        <v>18.399999999999999</v>
      </c>
      <c r="C62" s="33">
        <v>30.32</v>
      </c>
      <c r="D62" s="15">
        <v>8.7336799687546297E-3</v>
      </c>
      <c r="E62" s="15">
        <v>6.6181578424780703E-3</v>
      </c>
      <c r="F62" s="33">
        <v>0</v>
      </c>
      <c r="G62" s="33">
        <v>0.2</v>
      </c>
      <c r="H62" s="33">
        <v>0</v>
      </c>
      <c r="I62" s="33">
        <v>0.20839299999999999</v>
      </c>
      <c r="J62" s="33">
        <v>0.2</v>
      </c>
      <c r="K62" s="33">
        <v>0.20839299999999999</v>
      </c>
      <c r="L62" s="33">
        <v>18.599999999999898</v>
      </c>
      <c r="M62" s="33">
        <v>30.528393000000001</v>
      </c>
      <c r="N62" s="34">
        <v>1.64782608695652</v>
      </c>
      <c r="O62" s="34">
        <v>1.6459148161032899</v>
      </c>
      <c r="P62" s="34">
        <v>1.64912171175015</v>
      </c>
      <c r="Q62" s="34">
        <v>1.6486829261399101</v>
      </c>
      <c r="R62" s="33">
        <v>30.284832616300498</v>
      </c>
      <c r="S62" s="33">
        <v>30.3490189833824</v>
      </c>
      <c r="T62" s="33">
        <v>30.331194412402901</v>
      </c>
      <c r="U62" s="15">
        <v>-1.1605473071508001E-3</v>
      </c>
      <c r="V62" s="15">
        <v>9.5663276188511295E-4</v>
      </c>
      <c r="W62" s="15">
        <v>3.69140711524107E-4</v>
      </c>
      <c r="X62" s="34">
        <v>1.6413114516128999</v>
      </c>
      <c r="Y62" s="34">
        <v>1.6383944060714599</v>
      </c>
      <c r="Z62" s="34">
        <v>1.6426075075356501</v>
      </c>
      <c r="AA62" s="34">
        <v>1.64223954393407</v>
      </c>
      <c r="AB62" s="33">
        <v>30.474135952929199</v>
      </c>
      <c r="AC62" s="33">
        <v>30.5578850219812</v>
      </c>
      <c r="AD62" s="33">
        <v>30.541283969564599</v>
      </c>
      <c r="AE62" s="15">
        <v>-1.7788462973297001E-3</v>
      </c>
      <c r="AF62" s="15">
        <v>9.6558589679025602E-4</v>
      </c>
      <c r="AG62" s="15">
        <v>4.2217252148030198E-4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0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4.8716934958129504E-3</v>
      </c>
      <c r="AT62" s="12"/>
      <c r="AU62">
        <f t="shared" si="10"/>
        <v>0</v>
      </c>
      <c r="AV62">
        <f t="shared" si="11"/>
        <v>1</v>
      </c>
      <c r="AW62">
        <f t="shared" si="18"/>
        <v>0</v>
      </c>
      <c r="AX62">
        <f t="shared" si="5"/>
        <v>0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0</v>
      </c>
      <c r="BE62" s="29">
        <f t="shared" si="22"/>
        <v>0</v>
      </c>
      <c r="BF62" s="29">
        <f t="shared" si="23"/>
        <v>4.8716934958129504E-3</v>
      </c>
      <c r="BH62" s="29"/>
    </row>
    <row r="63" spans="1:60" x14ac:dyDescent="0.25">
      <c r="A63" s="1">
        <v>46113</v>
      </c>
      <c r="B63" s="33">
        <v>18.39</v>
      </c>
      <c r="C63" s="33">
        <v>30.38</v>
      </c>
      <c r="D63" s="15">
        <v>-5.4362599871006999E-4</v>
      </c>
      <c r="E63" s="15">
        <v>1.97693639345594E-3</v>
      </c>
      <c r="F63" s="33">
        <v>0.1</v>
      </c>
      <c r="G63" s="33">
        <v>0.3</v>
      </c>
      <c r="H63" s="33">
        <v>0.14196700000000001</v>
      </c>
      <c r="I63" s="33">
        <v>0.35036</v>
      </c>
      <c r="J63" s="33">
        <v>0.3</v>
      </c>
      <c r="K63" s="33">
        <v>0.35036</v>
      </c>
      <c r="L63" s="33">
        <v>18.690000000000001</v>
      </c>
      <c r="M63" s="33">
        <v>30.730359999999902</v>
      </c>
      <c r="N63" s="34">
        <v>1.65198477433387</v>
      </c>
      <c r="O63" s="34">
        <v>1.6459148161032899</v>
      </c>
      <c r="P63" s="34">
        <v>1.64942771606526</v>
      </c>
      <c r="Q63" s="34">
        <v>1.6491168928900799</v>
      </c>
      <c r="R63" s="33">
        <v>30.268373468139501</v>
      </c>
      <c r="S63" s="33">
        <v>30.327348279085399</v>
      </c>
      <c r="T63" s="33">
        <v>30.319279011713</v>
      </c>
      <c r="U63" s="15">
        <v>-3.6811096993166802E-3</v>
      </c>
      <c r="V63" s="15">
        <v>-1.7346082676630999E-3</v>
      </c>
      <c r="W63" s="15">
        <v>-2.00071597325214E-3</v>
      </c>
      <c r="X63" s="34">
        <v>1.6442140181915399</v>
      </c>
      <c r="Y63" s="34">
        <v>1.6383944060714599</v>
      </c>
      <c r="Z63" s="34">
        <v>1.6427821380782099</v>
      </c>
      <c r="AA63" s="34">
        <v>1.64259622569251</v>
      </c>
      <c r="AB63" s="33">
        <v>30.621591449475702</v>
      </c>
      <c r="AC63" s="33">
        <v>30.7003343158413</v>
      </c>
      <c r="AD63" s="33">
        <v>30.6934570761278</v>
      </c>
      <c r="AE63" s="15">
        <v>-3.5457279486442801E-3</v>
      </c>
      <c r="AF63" s="15">
        <v>-9.7754670964111403E-4</v>
      </c>
      <c r="AG63" s="15">
        <v>-1.20158368752725E-3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4.8716934958129504E-3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0</v>
      </c>
      <c r="BE63" s="29">
        <f t="shared" si="22"/>
        <v>0</v>
      </c>
      <c r="BF63" s="29">
        <f t="shared" si="23"/>
        <v>4.8716934958129504E-3</v>
      </c>
      <c r="BH63" s="29"/>
    </row>
    <row r="64" spans="1:60" x14ac:dyDescent="0.25">
      <c r="A64" s="1">
        <v>46114</v>
      </c>
      <c r="B64" s="33">
        <v>18.420000000000002</v>
      </c>
      <c r="C64" s="33">
        <v>30.43</v>
      </c>
      <c r="D64" s="15">
        <v>1.6299922109311901E-3</v>
      </c>
      <c r="E64" s="15">
        <v>1.6444667412529501E-3</v>
      </c>
      <c r="F64" s="33">
        <v>0</v>
      </c>
      <c r="G64" s="33">
        <v>0.3</v>
      </c>
      <c r="H64" s="33">
        <v>0</v>
      </c>
      <c r="I64" s="33">
        <v>0.35036</v>
      </c>
      <c r="J64" s="33">
        <v>0.3</v>
      </c>
      <c r="K64" s="33">
        <v>0.35036</v>
      </c>
      <c r="L64" s="33">
        <v>18.72</v>
      </c>
      <c r="M64" s="33">
        <v>30.780359999999899</v>
      </c>
      <c r="N64" s="34">
        <v>1.65200868621064</v>
      </c>
      <c r="O64" s="34">
        <v>1.6459148161032899</v>
      </c>
      <c r="P64" s="34">
        <v>1.6494322425669099</v>
      </c>
      <c r="Q64" s="34">
        <v>1.6494618066958799</v>
      </c>
      <c r="R64" s="33">
        <v>30.3177509126226</v>
      </c>
      <c r="S64" s="33">
        <v>30.3824585299222</v>
      </c>
      <c r="T64" s="33">
        <v>30.376733167035201</v>
      </c>
      <c r="U64" s="15">
        <v>-3.69558422963855E-3</v>
      </c>
      <c r="V64" s="15">
        <v>-1.56354408002255E-3</v>
      </c>
      <c r="W64" s="15">
        <v>-1.75200487892338E-3</v>
      </c>
      <c r="X64" s="34">
        <v>1.64424999999999</v>
      </c>
      <c r="Y64" s="34">
        <v>1.6383944060714599</v>
      </c>
      <c r="Z64" s="34">
        <v>1.6426600758110399</v>
      </c>
      <c r="AA64" s="34">
        <v>1.64286701653538</v>
      </c>
      <c r="AB64" s="33">
        <v>30.670743281657799</v>
      </c>
      <c r="AC64" s="33">
        <v>30.752881624824099</v>
      </c>
      <c r="AD64" s="33">
        <v>30.7494013449638</v>
      </c>
      <c r="AE64" s="15">
        <v>-3.5676116051210601E-3</v>
      </c>
      <c r="AF64" s="15">
        <v>-8.9312301048572005E-4</v>
      </c>
      <c r="AG64" s="15">
        <v>-1.0062986422147899E-3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4.8716934958129504E-3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0</v>
      </c>
      <c r="BE64" s="29">
        <f t="shared" si="22"/>
        <v>0</v>
      </c>
      <c r="BF64" s="29">
        <f t="shared" si="23"/>
        <v>4.8716934958129504E-3</v>
      </c>
      <c r="BH64" s="29"/>
    </row>
    <row r="65" spans="1:60" x14ac:dyDescent="0.25">
      <c r="A65" s="1">
        <v>46118</v>
      </c>
      <c r="B65" s="33">
        <v>18.47</v>
      </c>
      <c r="C65" s="33">
        <v>30.5</v>
      </c>
      <c r="D65" s="15">
        <v>2.7107633839875802E-3</v>
      </c>
      <c r="E65" s="15">
        <v>2.2977197044862199E-3</v>
      </c>
      <c r="F65" s="33">
        <v>0</v>
      </c>
      <c r="G65" s="33">
        <v>0.3</v>
      </c>
      <c r="H65" s="33">
        <v>0</v>
      </c>
      <c r="I65" s="33">
        <v>0.35036</v>
      </c>
      <c r="J65" s="33">
        <v>0.3</v>
      </c>
      <c r="K65" s="33">
        <v>0.35036</v>
      </c>
      <c r="L65" s="33">
        <v>18.77</v>
      </c>
      <c r="M65" s="33">
        <v>30.850359999999998</v>
      </c>
      <c r="N65" s="34">
        <v>1.65132647536545</v>
      </c>
      <c r="O65" s="34">
        <v>1.6459148161032899</v>
      </c>
      <c r="P65" s="34">
        <v>1.6491550540378801</v>
      </c>
      <c r="Q65" s="34">
        <v>1.6497000881361099</v>
      </c>
      <c r="R65" s="33">
        <v>30.4000466534278</v>
      </c>
      <c r="S65" s="33">
        <v>30.4650135202108</v>
      </c>
      <c r="T65" s="33">
        <v>30.465559569672902</v>
      </c>
      <c r="U65" s="15">
        <v>-3.2825405501370501E-3</v>
      </c>
      <c r="V65" s="15">
        <v>-1.14775611813149E-3</v>
      </c>
      <c r="W65" s="15">
        <v>-1.12983245733663E-3</v>
      </c>
      <c r="X65" s="34">
        <v>1.6435993606819299</v>
      </c>
      <c r="Y65" s="34">
        <v>1.6383944060714599</v>
      </c>
      <c r="Z65" s="34">
        <v>1.6422719416089699</v>
      </c>
      <c r="AA65" s="34">
        <v>1.6430354845694799</v>
      </c>
      <c r="AB65" s="33">
        <v>30.752663001961398</v>
      </c>
      <c r="AC65" s="33">
        <v>30.8327296229733</v>
      </c>
      <c r="AD65" s="33">
        <v>30.836613900369102</v>
      </c>
      <c r="AE65" s="15">
        <v>-3.1718274585999301E-3</v>
      </c>
      <c r="AF65" s="15">
        <v>-5.7164378809541796E-4</v>
      </c>
      <c r="AG65" s="15">
        <v>-4.4567269195373101E-4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4.8716934958129504E-3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0</v>
      </c>
      <c r="BE65" s="29">
        <f t="shared" si="22"/>
        <v>0</v>
      </c>
      <c r="BF65" s="29">
        <f t="shared" si="23"/>
        <v>4.8716934958129504E-3</v>
      </c>
      <c r="BH65" s="29"/>
    </row>
    <row r="66" spans="1:60" x14ac:dyDescent="0.25">
      <c r="A66" s="1">
        <v>46119</v>
      </c>
      <c r="B66" s="33">
        <v>18.53</v>
      </c>
      <c r="C66" s="33">
        <v>30.47</v>
      </c>
      <c r="D66" s="15">
        <v>3.2432460861198699E-3</v>
      </c>
      <c r="E66" s="15">
        <v>-9.8409061574827308E-4</v>
      </c>
      <c r="F66" s="33">
        <v>0</v>
      </c>
      <c r="G66" s="33">
        <v>0.3</v>
      </c>
      <c r="H66" s="33">
        <v>0</v>
      </c>
      <c r="I66" s="33">
        <v>0.35036</v>
      </c>
      <c r="J66" s="33">
        <v>0.3</v>
      </c>
      <c r="K66" s="33">
        <v>0.35036</v>
      </c>
      <c r="L66" s="33">
        <v>18.829999999999998</v>
      </c>
      <c r="M66" s="33">
        <v>30.820359999999901</v>
      </c>
      <c r="N66" s="34">
        <v>1.6443604964921701</v>
      </c>
      <c r="O66" s="34">
        <v>1.6459148161032899</v>
      </c>
      <c r="P66" s="34">
        <v>1.6486398577499399</v>
      </c>
      <c r="Q66" s="34">
        <v>1.64950140222565</v>
      </c>
      <c r="R66" s="33">
        <v>30.498801542393998</v>
      </c>
      <c r="S66" s="33">
        <v>30.558843151321899</v>
      </c>
      <c r="T66" s="33">
        <v>30.568942633162099</v>
      </c>
      <c r="U66" s="15">
        <v>9.4479615173115696E-4</v>
      </c>
      <c r="V66" s="15">
        <v>2.9115155881756899E-3</v>
      </c>
      <c r="W66" s="15">
        <v>3.2419539249295198E-3</v>
      </c>
      <c r="X66" s="34">
        <v>1.63676898566117</v>
      </c>
      <c r="Y66" s="34">
        <v>1.6383944060714599</v>
      </c>
      <c r="Z66" s="34">
        <v>1.6416487705073399</v>
      </c>
      <c r="AA66" s="34">
        <v>1.6427745277824199</v>
      </c>
      <c r="AB66" s="33">
        <v>30.8509666663257</v>
      </c>
      <c r="AC66" s="33">
        <v>30.923980660496898</v>
      </c>
      <c r="AD66" s="33">
        <v>30.938358174443302</v>
      </c>
      <c r="AE66" s="15">
        <v>9.9257371271195701E-4</v>
      </c>
      <c r="AF66" s="15">
        <v>3.3564455193338802E-3</v>
      </c>
      <c r="AG66" s="15">
        <v>3.8212683655466499E-3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4.8716934958129504E-3</v>
      </c>
      <c r="AT66" s="12"/>
      <c r="AU66">
        <f t="shared" si="10"/>
        <v>0</v>
      </c>
      <c r="AV66">
        <f t="shared" si="11"/>
        <v>0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0</v>
      </c>
      <c r="BE66" s="29">
        <f t="shared" si="22"/>
        <v>0</v>
      </c>
      <c r="BF66" s="29">
        <f t="shared" si="23"/>
        <v>4.8716934958129504E-3</v>
      </c>
      <c r="BH66" s="29"/>
    </row>
    <row r="67" spans="1:60" x14ac:dyDescent="0.25">
      <c r="A67" s="1">
        <v>46120</v>
      </c>
      <c r="B67" s="33">
        <v>18.66</v>
      </c>
      <c r="C67" s="33">
        <v>30.74</v>
      </c>
      <c r="D67" s="15">
        <v>6.9911551219293197E-3</v>
      </c>
      <c r="E67" s="15">
        <v>8.8221451128321499E-3</v>
      </c>
      <c r="F67" s="33">
        <v>0</v>
      </c>
      <c r="G67" s="33">
        <v>0.3</v>
      </c>
      <c r="H67" s="33">
        <v>0</v>
      </c>
      <c r="I67" s="33">
        <v>0.35036</v>
      </c>
      <c r="J67" s="33">
        <v>0.3</v>
      </c>
      <c r="K67" s="33">
        <v>0.35036</v>
      </c>
      <c r="L67" s="33">
        <v>18.96</v>
      </c>
      <c r="M67" s="33">
        <v>31.090359999999901</v>
      </c>
      <c r="N67" s="34">
        <v>1.6473740621650499</v>
      </c>
      <c r="O67" s="34">
        <v>1.6459148161032899</v>
      </c>
      <c r="P67" s="34">
        <v>1.6488367234259</v>
      </c>
      <c r="Q67" s="34">
        <v>1.6495498093508201</v>
      </c>
      <c r="R67" s="33">
        <v>30.712770468487399</v>
      </c>
      <c r="S67" s="33">
        <v>30.763619745613799</v>
      </c>
      <c r="T67" s="33">
        <v>30.779696165530702</v>
      </c>
      <c r="U67" s="15">
        <v>-8.86193839171663E-4</v>
      </c>
      <c r="V67" s="15">
        <v>7.6807663915627101E-4</v>
      </c>
      <c r="W67" s="15">
        <v>1.2905190862216201E-3</v>
      </c>
      <c r="X67" s="34">
        <v>1.63978691983122</v>
      </c>
      <c r="Y67" s="34">
        <v>1.6383944060714599</v>
      </c>
      <c r="Z67" s="34">
        <v>1.64173231275785</v>
      </c>
      <c r="AA67" s="34">
        <v>1.642759707979</v>
      </c>
      <c r="AB67" s="33">
        <v>31.063957939114999</v>
      </c>
      <c r="AC67" s="33">
        <v>31.125660688819298</v>
      </c>
      <c r="AD67" s="33">
        <v>31.1470050467547</v>
      </c>
      <c r="AE67" s="15">
        <v>-8.4956486848907495E-4</v>
      </c>
      <c r="AF67" s="15">
        <v>1.1347782200354401E-3</v>
      </c>
      <c r="AG67" s="15">
        <v>1.82029114995762E-3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4.8716934958129504E-3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0</v>
      </c>
      <c r="BE67" s="29">
        <f t="shared" si="22"/>
        <v>0</v>
      </c>
      <c r="BF67" s="29">
        <f t="shared" si="23"/>
        <v>4.8716934958129504E-3</v>
      </c>
      <c r="BH67" s="29"/>
    </row>
    <row r="68" spans="1:60" x14ac:dyDescent="0.25">
      <c r="A68" s="1">
        <v>46121</v>
      </c>
      <c r="B68" s="33">
        <v>18.77</v>
      </c>
      <c r="C68" s="33">
        <v>30.84</v>
      </c>
      <c r="D68" s="15">
        <v>5.87765517921958E-3</v>
      </c>
      <c r="E68" s="15">
        <v>3.2478105846790802E-3</v>
      </c>
      <c r="F68" s="33">
        <v>0</v>
      </c>
      <c r="G68" s="33">
        <v>0.3</v>
      </c>
      <c r="H68" s="33">
        <v>0</v>
      </c>
      <c r="I68" s="33">
        <v>0.35036</v>
      </c>
      <c r="J68" s="33">
        <v>0.3</v>
      </c>
      <c r="K68" s="33">
        <v>0.35036</v>
      </c>
      <c r="L68" s="33">
        <v>19.07</v>
      </c>
      <c r="M68" s="33">
        <v>31.190359999999998</v>
      </c>
      <c r="N68" s="34">
        <v>1.6430474160894999</v>
      </c>
      <c r="O68" s="34">
        <v>1.6459148161032899</v>
      </c>
      <c r="P68" s="34">
        <v>1.64848304653028</v>
      </c>
      <c r="Q68" s="34">
        <v>1.6492805126035199</v>
      </c>
      <c r="R68" s="33">
        <v>30.893821098258702</v>
      </c>
      <c r="S68" s="33">
        <v>30.948665298704199</v>
      </c>
      <c r="T68" s="33">
        <v>30.9620499215149</v>
      </c>
      <c r="U68" s="15">
        <v>1.74365075536907E-3</v>
      </c>
      <c r="V68" s="15">
        <v>3.51732506954122E-3</v>
      </c>
      <c r="W68" s="15">
        <v>3.9497097697229902E-3</v>
      </c>
      <c r="X68" s="34">
        <v>1.63557210277923</v>
      </c>
      <c r="Y68" s="34">
        <v>1.6383944060714599</v>
      </c>
      <c r="Z68" s="34">
        <v>1.6412746587462499</v>
      </c>
      <c r="AA68" s="34">
        <v>1.64243533623935</v>
      </c>
      <c r="AB68" s="33">
        <v>31.244181323782801</v>
      </c>
      <c r="AC68" s="33">
        <v>31.3078352042922</v>
      </c>
      <c r="AD68" s="33">
        <v>31.327427631159601</v>
      </c>
      <c r="AE68" s="15">
        <v>1.72408849247917E-3</v>
      </c>
      <c r="AF68" s="15">
        <v>3.7593195214538902E-3</v>
      </c>
      <c r="AG68" s="15">
        <v>4.3849232666746301E-3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4.8716934958129504E-3</v>
      </c>
      <c r="AT68" s="12"/>
      <c r="AU68">
        <f t="shared" si="10"/>
        <v>1</v>
      </c>
      <c r="AV68">
        <f t="shared" si="11"/>
        <v>0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0</v>
      </c>
      <c r="BE68" s="29">
        <f t="shared" si="22"/>
        <v>0</v>
      </c>
      <c r="BF68" s="29">
        <f t="shared" si="23"/>
        <v>4.8716934958129504E-3</v>
      </c>
      <c r="BH68" s="29"/>
    </row>
    <row r="69" spans="1:60" x14ac:dyDescent="0.25">
      <c r="A69" s="1">
        <v>46122</v>
      </c>
      <c r="B69" s="33">
        <v>18.73</v>
      </c>
      <c r="C69" s="33">
        <v>30.79</v>
      </c>
      <c r="D69" s="15">
        <v>-2.1333341424202702E-3</v>
      </c>
      <c r="E69" s="15">
        <v>-1.6225867587197199E-3</v>
      </c>
      <c r="F69" s="33">
        <v>0</v>
      </c>
      <c r="G69" s="33">
        <v>0.3</v>
      </c>
      <c r="H69" s="33">
        <v>0</v>
      </c>
      <c r="I69" s="33">
        <v>0.35036</v>
      </c>
      <c r="J69" s="33">
        <v>0.3</v>
      </c>
      <c r="K69" s="33">
        <v>0.35036</v>
      </c>
      <c r="L69" s="33">
        <v>19.03</v>
      </c>
      <c r="M69" s="33">
        <v>31.140359999999902</v>
      </c>
      <c r="N69" s="34">
        <v>1.6438868126001001</v>
      </c>
      <c r="O69" s="34">
        <v>1.6459148161032899</v>
      </c>
      <c r="P69" s="34">
        <v>1.64803179290152</v>
      </c>
      <c r="Q69" s="34">
        <v>1.64885567808623</v>
      </c>
      <c r="R69" s="33">
        <v>30.827984505614602</v>
      </c>
      <c r="S69" s="33">
        <v>30.876087461512199</v>
      </c>
      <c r="T69" s="33">
        <v>30.891024001063901</v>
      </c>
      <c r="U69" s="15">
        <v>1.2329033716685701E-3</v>
      </c>
      <c r="V69" s="15">
        <v>2.7920538169693599E-3</v>
      </c>
      <c r="W69" s="15">
        <v>3.27569436577298E-3</v>
      </c>
      <c r="X69" s="34">
        <v>1.63638255386232</v>
      </c>
      <c r="Y69" s="34">
        <v>1.6383944060714599</v>
      </c>
      <c r="Z69" s="34">
        <v>1.64072400914054</v>
      </c>
      <c r="AA69" s="34">
        <v>1.64195877500825</v>
      </c>
      <c r="AB69" s="33">
        <v>31.17864554754</v>
      </c>
      <c r="AC69" s="33">
        <v>31.233456755941301</v>
      </c>
      <c r="AD69" s="33">
        <v>31.255544448634801</v>
      </c>
      <c r="AE69" s="15">
        <v>1.2286958695907799E-3</v>
      </c>
      <c r="AF69" s="15">
        <v>2.9851251667817398E-3</v>
      </c>
      <c r="AG69" s="15">
        <v>3.6920557685726101E-3</v>
      </c>
      <c r="AI69" s="12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4.8716934958129504E-3</v>
      </c>
      <c r="AT69" s="12"/>
      <c r="AU69">
        <f t="shared" si="10"/>
        <v>0</v>
      </c>
      <c r="AV69">
        <f t="shared" si="11"/>
        <v>0</v>
      </c>
      <c r="AW69">
        <f t="shared" si="18"/>
        <v>1</v>
      </c>
      <c r="AX69">
        <f t="shared" si="5"/>
        <v>1</v>
      </c>
      <c r="AY69">
        <f t="shared" si="19"/>
        <v>1</v>
      </c>
      <c r="AZ69" s="28">
        <f t="shared" si="12"/>
        <v>2.1333341424202702E-3</v>
      </c>
      <c r="BA69" s="28">
        <f t="shared" si="13"/>
        <v>-1.6225867587197199E-3</v>
      </c>
      <c r="BB69" s="28">
        <f t="shared" si="20"/>
        <v>5.1074738370055026E-4</v>
      </c>
      <c r="BC69" s="29">
        <f t="shared" si="21"/>
        <v>5.1074738370055026E-4</v>
      </c>
      <c r="BE69" s="29">
        <f t="shared" si="22"/>
        <v>5.1074738370055026E-4</v>
      </c>
      <c r="BF69" s="29">
        <f t="shared" si="23"/>
        <v>5.3824408795135007E-3</v>
      </c>
      <c r="BH69" s="29"/>
    </row>
    <row r="70" spans="1:60" x14ac:dyDescent="0.25">
      <c r="A70" s="1">
        <v>46125</v>
      </c>
      <c r="B70" s="33">
        <v>18.829999999999998</v>
      </c>
      <c r="C70" s="33">
        <v>30.99</v>
      </c>
      <c r="D70" s="15">
        <v>5.3248262130638803E-3</v>
      </c>
      <c r="E70" s="15">
        <v>6.47460986324785E-3</v>
      </c>
      <c r="F70" s="33">
        <v>0</v>
      </c>
      <c r="G70" s="33">
        <v>0.3</v>
      </c>
      <c r="H70" s="33">
        <v>0</v>
      </c>
      <c r="I70" s="33">
        <v>0.35036</v>
      </c>
      <c r="J70" s="33">
        <v>0.3</v>
      </c>
      <c r="K70" s="33">
        <v>0.35036</v>
      </c>
      <c r="L70" s="33">
        <v>19.13</v>
      </c>
      <c r="M70" s="33">
        <v>31.340359999999901</v>
      </c>
      <c r="N70" s="34">
        <v>1.64577801380775</v>
      </c>
      <c r="O70" s="34">
        <v>1.6459148161032899</v>
      </c>
      <c r="P70" s="34">
        <v>1.64789086134947</v>
      </c>
      <c r="Q70" s="34">
        <v>1.64856514958975</v>
      </c>
      <c r="R70" s="33">
        <v>30.9925759872249</v>
      </c>
      <c r="S70" s="33">
        <v>31.0324386603357</v>
      </c>
      <c r="T70" s="33">
        <v>31.0479524183637</v>
      </c>
      <c r="U70" s="15">
        <v>8.3119721484339803E-5</v>
      </c>
      <c r="V70" s="15">
        <v>1.36849397977807E-3</v>
      </c>
      <c r="W70" s="15">
        <v>1.86828974721393E-3</v>
      </c>
      <c r="X70" s="34">
        <v>1.63828332462101</v>
      </c>
      <c r="Y70" s="34">
        <v>1.6383944060714599</v>
      </c>
      <c r="Z70" s="34">
        <v>1.64048754959832</v>
      </c>
      <c r="AA70" s="34">
        <v>1.6416182981918801</v>
      </c>
      <c r="AB70" s="33">
        <v>31.342484988147099</v>
      </c>
      <c r="AC70" s="33">
        <v>31.387050294858501</v>
      </c>
      <c r="AD70" s="33">
        <v>31.410671365907799</v>
      </c>
      <c r="AE70" s="15">
        <v>6.7801266785801198E-5</v>
      </c>
      <c r="AF70" s="15">
        <v>1.4886730780640501E-3</v>
      </c>
      <c r="AG70" s="15">
        <v>2.2409638153251601E-3</v>
      </c>
      <c r="AI70" s="12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4.8716934958129504E-3</v>
      </c>
      <c r="AT70" s="12"/>
      <c r="AU70">
        <f t="shared" si="10"/>
        <v>0</v>
      </c>
      <c r="AV70">
        <f t="shared" si="11"/>
        <v>0</v>
      </c>
      <c r="AW70">
        <f t="shared" si="18"/>
        <v>1</v>
      </c>
      <c r="AX70">
        <f t="shared" si="5"/>
        <v>1</v>
      </c>
      <c r="AY70">
        <f t="shared" si="19"/>
        <v>1</v>
      </c>
      <c r="AZ70" s="28">
        <f t="shared" si="12"/>
        <v>-5.3248262130638803E-3</v>
      </c>
      <c r="BA70" s="28">
        <f t="shared" si="13"/>
        <v>6.47460986324785E-3</v>
      </c>
      <c r="BB70" s="28">
        <f t="shared" si="20"/>
        <v>1.1497836501839697E-3</v>
      </c>
      <c r="BC70" s="29">
        <f t="shared" si="21"/>
        <v>1.66053103388452E-3</v>
      </c>
      <c r="BE70" s="29">
        <f t="shared" si="22"/>
        <v>1.1497836501839697E-3</v>
      </c>
      <c r="BF70" s="29">
        <f t="shared" si="23"/>
        <v>6.5322245296974705E-3</v>
      </c>
      <c r="BH70" s="29"/>
    </row>
    <row r="71" spans="1:60" x14ac:dyDescent="0.25">
      <c r="A71" s="1">
        <v>46126</v>
      </c>
      <c r="B71" s="33">
        <v>18.93</v>
      </c>
      <c r="C71" s="33">
        <v>31.25</v>
      </c>
      <c r="D71" s="15">
        <v>5.2966225521704803E-3</v>
      </c>
      <c r="E71" s="15">
        <v>8.3548043827536295E-3</v>
      </c>
      <c r="F71" s="33">
        <v>0</v>
      </c>
      <c r="G71" s="33">
        <v>0.3</v>
      </c>
      <c r="H71" s="33">
        <v>0</v>
      </c>
      <c r="I71" s="33">
        <v>0.35036</v>
      </c>
      <c r="J71" s="33">
        <v>0.3</v>
      </c>
      <c r="K71" s="33">
        <v>0.35036</v>
      </c>
      <c r="L71" s="33">
        <v>19.23</v>
      </c>
      <c r="M71" s="33">
        <v>31.600359999999998</v>
      </c>
      <c r="N71" s="34">
        <v>1.6508188061278299</v>
      </c>
      <c r="O71" s="34">
        <v>1.6459148161032899</v>
      </c>
      <c r="P71" s="34">
        <v>1.6478411630148899</v>
      </c>
      <c r="Q71" s="34">
        <v>1.6486221843167499</v>
      </c>
      <c r="R71" s="33">
        <v>31.157167468835301</v>
      </c>
      <c r="S71" s="33">
        <v>31.194574005345601</v>
      </c>
      <c r="T71" s="33">
        <v>31.207338281734099</v>
      </c>
      <c r="U71" s="15">
        <v>-2.9750621090988199E-3</v>
      </c>
      <c r="V71" s="15">
        <v>-1.7752065761625E-3</v>
      </c>
      <c r="W71" s="15">
        <v>-1.36610768483963E-3</v>
      </c>
      <c r="X71" s="34">
        <v>1.64328445137805</v>
      </c>
      <c r="Y71" s="34">
        <v>1.6383944060714599</v>
      </c>
      <c r="Z71" s="34">
        <v>1.64034531686194</v>
      </c>
      <c r="AA71" s="34">
        <v>1.64162118052724</v>
      </c>
      <c r="AB71" s="33">
        <v>31.506324428754301</v>
      </c>
      <c r="AC71" s="33">
        <v>31.546575578775698</v>
      </c>
      <c r="AD71" s="33">
        <v>31.5683198742299</v>
      </c>
      <c r="AE71" s="15">
        <v>-2.9802117381462299E-3</v>
      </c>
      <c r="AF71" s="15">
        <v>-1.7034693366287401E-3</v>
      </c>
      <c r="AG71" s="15">
        <v>-1.01443084077311E-3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4.8716934958129504E-3</v>
      </c>
      <c r="AT71" s="12"/>
      <c r="AU71">
        <f t="shared" si="10"/>
        <v>0</v>
      </c>
      <c r="AV71">
        <f t="shared" si="11"/>
        <v>1</v>
      </c>
      <c r="AW71">
        <f t="shared" si="18"/>
        <v>1</v>
      </c>
      <c r="AX71">
        <f t="shared" si="5"/>
        <v>1</v>
      </c>
      <c r="AY71">
        <f t="shared" si="19"/>
        <v>1</v>
      </c>
      <c r="AZ71" s="28">
        <f t="shared" si="12"/>
        <v>-5.2966225521704803E-3</v>
      </c>
      <c r="BA71" s="28">
        <f t="shared" si="13"/>
        <v>8.3548043827536295E-3</v>
      </c>
      <c r="BB71" s="28">
        <f t="shared" si="20"/>
        <v>3.0581818305831492E-3</v>
      </c>
      <c r="BC71" s="29">
        <f t="shared" si="21"/>
        <v>4.7187128644676692E-3</v>
      </c>
      <c r="BE71" s="29">
        <f t="shared" si="22"/>
        <v>3.0581818305831492E-3</v>
      </c>
      <c r="BF71" s="29">
        <f t="shared" si="23"/>
        <v>9.5904063602806205E-3</v>
      </c>
      <c r="BH71" s="29"/>
    </row>
    <row r="72" spans="1:60" x14ac:dyDescent="0.25">
      <c r="A72" s="1">
        <v>46127</v>
      </c>
      <c r="B72" s="33">
        <v>19</v>
      </c>
      <c r="C72" s="33">
        <v>31.36</v>
      </c>
      <c r="D72" s="15">
        <v>3.6910139452089401E-3</v>
      </c>
      <c r="E72" s="15">
        <v>3.51381929979656E-3</v>
      </c>
      <c r="F72" s="33">
        <v>0</v>
      </c>
      <c r="G72" s="33">
        <v>0.3</v>
      </c>
      <c r="H72" s="33">
        <v>0</v>
      </c>
      <c r="I72" s="33">
        <v>0.35036</v>
      </c>
      <c r="J72" s="33">
        <v>0.3</v>
      </c>
      <c r="K72" s="33">
        <v>0.35036</v>
      </c>
      <c r="L72" s="33">
        <v>19.3</v>
      </c>
      <c r="M72" s="33">
        <v>31.710359999999898</v>
      </c>
      <c r="N72" s="34">
        <v>1.6505263157894701</v>
      </c>
      <c r="O72" s="34">
        <v>1.6459148161032899</v>
      </c>
      <c r="P72" s="34">
        <v>1.6481111858981801</v>
      </c>
      <c r="Q72" s="34">
        <v>1.6486164488241699</v>
      </c>
      <c r="R72" s="33">
        <v>31.2723815059625</v>
      </c>
      <c r="S72" s="33">
        <v>31.3089820972829</v>
      </c>
      <c r="T72" s="33">
        <v>31.323821502018198</v>
      </c>
      <c r="U72" s="15">
        <v>-2.79786746368638E-3</v>
      </c>
      <c r="V72" s="15">
        <v>-1.6281711392179699E-3</v>
      </c>
      <c r="W72" s="15">
        <v>-1.15431705125748E-3</v>
      </c>
      <c r="X72" s="34">
        <v>1.6430238341968899</v>
      </c>
      <c r="Y72" s="34">
        <v>1.6383944060714599</v>
      </c>
      <c r="Z72" s="34">
        <v>1.64051655512034</v>
      </c>
      <c r="AA72" s="34">
        <v>1.6415620313279899</v>
      </c>
      <c r="AB72" s="33">
        <v>31.621012037179302</v>
      </c>
      <c r="AC72" s="33">
        <v>31.658664615435399</v>
      </c>
      <c r="AD72" s="33">
        <v>31.683288784175701</v>
      </c>
      <c r="AE72" s="15">
        <v>-2.8216038662955099E-3</v>
      </c>
      <c r="AF72" s="15">
        <v>-1.6315667266789801E-3</v>
      </c>
      <c r="AG72" s="15">
        <v>-8.5406718145961103E-4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4.8716934958129504E-3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4.7187128644676692E-3</v>
      </c>
      <c r="BE72" s="29">
        <f t="shared" si="22"/>
        <v>0</v>
      </c>
      <c r="BF72" s="29">
        <f t="shared" si="23"/>
        <v>9.5904063602806205E-3</v>
      </c>
      <c r="BH72" s="29"/>
    </row>
    <row r="73" spans="1:60" x14ac:dyDescent="0.25">
      <c r="A73" s="1">
        <v>46128</v>
      </c>
      <c r="B73" s="33">
        <v>18.91</v>
      </c>
      <c r="C73" s="33">
        <v>31.33</v>
      </c>
      <c r="D73" s="15">
        <v>-4.7480964960743199E-3</v>
      </c>
      <c r="E73" s="15">
        <v>-9.57090518106739E-4</v>
      </c>
      <c r="F73" s="33">
        <v>0</v>
      </c>
      <c r="G73" s="33">
        <v>0.3</v>
      </c>
      <c r="H73" s="33">
        <v>0</v>
      </c>
      <c r="I73" s="33">
        <v>0.35036</v>
      </c>
      <c r="J73" s="33">
        <v>0.3</v>
      </c>
      <c r="K73" s="33">
        <v>0.35036</v>
      </c>
      <c r="L73" s="33">
        <v>19.21</v>
      </c>
      <c r="M73" s="33">
        <v>31.680359999999901</v>
      </c>
      <c r="N73" s="34">
        <v>1.65679534637757</v>
      </c>
      <c r="O73" s="34">
        <v>1.6459148161032899</v>
      </c>
      <c r="P73" s="34">
        <v>1.6485922431025499</v>
      </c>
      <c r="Q73" s="34">
        <v>1.6490099795839099</v>
      </c>
      <c r="R73" s="33">
        <v>31.124249172513199</v>
      </c>
      <c r="S73" s="33">
        <v>31.165782525334699</v>
      </c>
      <c r="T73" s="33">
        <v>31.175337047265099</v>
      </c>
      <c r="U73" s="15">
        <v>-6.5888734416538397E-3</v>
      </c>
      <c r="V73" s="15">
        <v>-5.2553259110304498E-3</v>
      </c>
      <c r="W73" s="15">
        <v>-4.9488019964556203E-3</v>
      </c>
      <c r="X73" s="34">
        <v>1.6491598125975999</v>
      </c>
      <c r="Y73" s="34">
        <v>1.6383944060714599</v>
      </c>
      <c r="Z73" s="34">
        <v>1.6410111345609399</v>
      </c>
      <c r="AA73" s="34">
        <v>1.6418966363195699</v>
      </c>
      <c r="AB73" s="33">
        <v>31.473556540632799</v>
      </c>
      <c r="AC73" s="33">
        <v>31.514323023861699</v>
      </c>
      <c r="AD73" s="33">
        <v>31.534406621810799</v>
      </c>
      <c r="AE73" s="15">
        <v>-6.5492121433556099E-3</v>
      </c>
      <c r="AF73" s="15">
        <v>-5.2547888605635499E-3</v>
      </c>
      <c r="AG73" s="15">
        <v>-4.6177070750553096E-3</v>
      </c>
      <c r="AI73" s="12"/>
      <c r="AJ73">
        <f t="shared" si="6"/>
        <v>0</v>
      </c>
      <c r="AK73">
        <f t="shared" si="7"/>
        <v>0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4.8716934958129504E-3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4.7187128644676692E-3</v>
      </c>
      <c r="BE73" s="29">
        <f t="shared" si="22"/>
        <v>0</v>
      </c>
      <c r="BF73" s="29">
        <f t="shared" si="23"/>
        <v>9.5904063602806205E-3</v>
      </c>
      <c r="BH73" s="29"/>
    </row>
    <row r="74" spans="1:60" x14ac:dyDescent="0.25">
      <c r="A74" s="1">
        <v>46129</v>
      </c>
      <c r="B74" s="33">
        <v>18.96</v>
      </c>
      <c r="C74" s="33">
        <v>31.46</v>
      </c>
      <c r="D74" s="15">
        <v>2.64061415650972E-3</v>
      </c>
      <c r="E74" s="15">
        <v>4.1407926660313801E-3</v>
      </c>
      <c r="F74" s="33">
        <v>0</v>
      </c>
      <c r="G74" s="33">
        <v>0.3</v>
      </c>
      <c r="H74" s="33">
        <v>0</v>
      </c>
      <c r="I74" s="33">
        <v>0.35036</v>
      </c>
      <c r="J74" s="33">
        <v>0.3</v>
      </c>
      <c r="K74" s="33">
        <v>0.35036</v>
      </c>
      <c r="L74" s="33">
        <v>19.260000000000002</v>
      </c>
      <c r="M74" s="33">
        <v>31.810359999999999</v>
      </c>
      <c r="N74" s="34">
        <v>1.6592827004219399</v>
      </c>
      <c r="O74" s="34">
        <v>1.6459148161032899</v>
      </c>
      <c r="P74" s="34">
        <v>1.64931964452368</v>
      </c>
      <c r="Q74" s="34">
        <v>1.6493759435452999</v>
      </c>
      <c r="R74" s="33">
        <v>31.2065449133184</v>
      </c>
      <c r="S74" s="33">
        <v>31.2573089292245</v>
      </c>
      <c r="T74" s="33">
        <v>31.265229212910899</v>
      </c>
      <c r="U74" s="15">
        <v>-8.0890519511757197E-3</v>
      </c>
      <c r="V74" s="15">
        <v>-6.46366305954129E-3</v>
      </c>
      <c r="W74" s="15">
        <v>-6.21030534361395E-3</v>
      </c>
      <c r="X74" s="34">
        <v>1.65162824506749</v>
      </c>
      <c r="Y74" s="34">
        <v>1.6383944060714599</v>
      </c>
      <c r="Z74" s="34">
        <v>1.6417489590676899</v>
      </c>
      <c r="AA74" s="34">
        <v>1.64220451743937</v>
      </c>
      <c r="AB74" s="33">
        <v>31.555476260936398</v>
      </c>
      <c r="AC74" s="33">
        <v>31.6058744516438</v>
      </c>
      <c r="AD74" s="33">
        <v>31.622929215515001</v>
      </c>
      <c r="AE74" s="15">
        <v>-8.0448749286824509E-3</v>
      </c>
      <c r="AF74" s="15">
        <v>-6.4490192088545503E-3</v>
      </c>
      <c r="AG74" s="15">
        <v>-5.9095573403479601E-3</v>
      </c>
      <c r="AI74" s="12"/>
      <c r="AJ74">
        <f t="shared" si="6"/>
        <v>1</v>
      </c>
      <c r="AK74">
        <f t="shared" si="7"/>
        <v>0</v>
      </c>
      <c r="AL74">
        <f t="shared" si="14"/>
        <v>0</v>
      </c>
      <c r="AM74">
        <f t="shared" si="4"/>
        <v>1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4.8716934958129504E-3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4.7187128644676692E-3</v>
      </c>
      <c r="BE74" s="29">
        <f t="shared" si="22"/>
        <v>0</v>
      </c>
      <c r="BF74" s="29">
        <f t="shared" si="23"/>
        <v>9.5904063602806205E-3</v>
      </c>
      <c r="BH74" s="29"/>
    </row>
    <row r="75" spans="1:60" x14ac:dyDescent="0.25">
      <c r="A75" s="1">
        <v>46132</v>
      </c>
      <c r="B75" s="33">
        <v>19.010000000000002</v>
      </c>
      <c r="C75" s="33">
        <v>31.44</v>
      </c>
      <c r="D75" s="15">
        <v>2.6336596734619802E-3</v>
      </c>
      <c r="E75" s="15">
        <v>-6.3593006912590698E-4</v>
      </c>
      <c r="F75" s="33">
        <v>0</v>
      </c>
      <c r="G75" s="33">
        <v>0.3</v>
      </c>
      <c r="H75" s="33">
        <v>0</v>
      </c>
      <c r="I75" s="33">
        <v>0.35036</v>
      </c>
      <c r="J75" s="33">
        <v>0.3</v>
      </c>
      <c r="K75" s="33">
        <v>0.35036</v>
      </c>
      <c r="L75" s="33">
        <v>19.309999999999999</v>
      </c>
      <c r="M75" s="33">
        <v>31.79036</v>
      </c>
      <c r="N75" s="34">
        <v>1.65386638611257</v>
      </c>
      <c r="O75" s="34">
        <v>1.6459148161032899</v>
      </c>
      <c r="P75" s="34">
        <v>1.6495736355984001</v>
      </c>
      <c r="Q75" s="34">
        <v>1.6493643448181401</v>
      </c>
      <c r="R75" s="33">
        <v>31.288840654123501</v>
      </c>
      <c r="S75" s="33">
        <v>31.353566442395302</v>
      </c>
      <c r="T75" s="33">
        <v>31.354636686796098</v>
      </c>
      <c r="U75" s="15">
        <v>-4.8194622085876698E-3</v>
      </c>
      <c r="V75" s="15">
        <v>-2.7529448346219599E-3</v>
      </c>
      <c r="W75" s="15">
        <v>-2.71881072305326E-3</v>
      </c>
      <c r="X75" s="34">
        <v>1.6463158984981801</v>
      </c>
      <c r="Y75" s="34">
        <v>1.6383944060714599</v>
      </c>
      <c r="Z75" s="34">
        <v>1.64202061284932</v>
      </c>
      <c r="AA75" s="34">
        <v>1.64214627722914</v>
      </c>
      <c r="AB75" s="33">
        <v>31.637395981240001</v>
      </c>
      <c r="AC75" s="33">
        <v>31.702172399597199</v>
      </c>
      <c r="AD75" s="33">
        <v>31.710969231754198</v>
      </c>
      <c r="AE75" s="15">
        <v>-4.8232611397890802E-3</v>
      </c>
      <c r="AF75" s="15">
        <v>-2.7778906835014099E-3</v>
      </c>
      <c r="AG75" s="15">
        <v>-2.50044559918064E-3</v>
      </c>
      <c r="AI75" s="12"/>
      <c r="AJ75">
        <f t="shared" si="6"/>
        <v>0</v>
      </c>
      <c r="AK75">
        <f t="shared" si="7"/>
        <v>1</v>
      </c>
      <c r="AL75">
        <f t="shared" si="14"/>
        <v>1</v>
      </c>
      <c r="AM75">
        <f t="shared" si="4"/>
        <v>1</v>
      </c>
      <c r="AN75">
        <f t="shared" si="15"/>
        <v>1</v>
      </c>
      <c r="AO75" s="28">
        <f t="shared" si="8"/>
        <v>2.6336596734619802E-3</v>
      </c>
      <c r="AP75" s="28">
        <f t="shared" si="9"/>
        <v>6.3593006912590698E-4</v>
      </c>
      <c r="AQ75" s="28">
        <f t="shared" si="16"/>
        <v>3.2695897425878873E-3</v>
      </c>
      <c r="AR75" s="29">
        <f t="shared" si="17"/>
        <v>8.1412832384008382E-3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4.7187128644676692E-3</v>
      </c>
      <c r="BE75" s="29">
        <f t="shared" si="22"/>
        <v>3.2695897425878873E-3</v>
      </c>
      <c r="BF75" s="29">
        <f t="shared" si="23"/>
        <v>1.2859996102868507E-2</v>
      </c>
      <c r="BH75" s="29"/>
    </row>
    <row r="76" spans="1:60" x14ac:dyDescent="0.25">
      <c r="A76" s="1">
        <v>46133</v>
      </c>
      <c r="B76" s="33">
        <v>18.89</v>
      </c>
      <c r="C76" s="33">
        <v>31.24</v>
      </c>
      <c r="D76" s="15">
        <v>-6.3324749869196999E-3</v>
      </c>
      <c r="E76" s="15">
        <v>-6.3816425895207203E-3</v>
      </c>
      <c r="F76" s="33">
        <v>0</v>
      </c>
      <c r="G76" s="33">
        <v>0.3</v>
      </c>
      <c r="H76" s="33">
        <v>0</v>
      </c>
      <c r="I76" s="33">
        <v>0.35036</v>
      </c>
      <c r="J76" s="33">
        <v>0.3</v>
      </c>
      <c r="K76" s="33">
        <v>0.35036</v>
      </c>
      <c r="L76" s="33">
        <v>19.190000000000001</v>
      </c>
      <c r="M76" s="33">
        <v>31.590359999999901</v>
      </c>
      <c r="N76" s="34">
        <v>1.65378507146638</v>
      </c>
      <c r="O76" s="34">
        <v>1.6459148161032899</v>
      </c>
      <c r="P76" s="34">
        <v>1.65051609309582</v>
      </c>
      <c r="Q76" s="34">
        <v>1.6495779754228801</v>
      </c>
      <c r="R76" s="33">
        <v>31.091330876191101</v>
      </c>
      <c r="S76" s="33">
        <v>31.160445976453701</v>
      </c>
      <c r="T76" s="33">
        <v>31.156492473614701</v>
      </c>
      <c r="U76" s="15">
        <v>-4.7702946059866597E-3</v>
      </c>
      <c r="V76" s="15">
        <v>-2.5497916049357998E-3</v>
      </c>
      <c r="W76" s="15">
        <v>-2.67667533647674E-3</v>
      </c>
      <c r="X76" s="34">
        <v>1.6461886399166199</v>
      </c>
      <c r="Y76" s="34">
        <v>1.6383944060714599</v>
      </c>
      <c r="Z76" s="34">
        <v>1.64296257827486</v>
      </c>
      <c r="AA76" s="34">
        <v>1.6423056743911</v>
      </c>
      <c r="AB76" s="33">
        <v>31.440788652511401</v>
      </c>
      <c r="AC76" s="33">
        <v>31.5103755605784</v>
      </c>
      <c r="AD76" s="33">
        <v>31.5127870600273</v>
      </c>
      <c r="AE76" s="15">
        <v>-4.7459591466449801E-3</v>
      </c>
      <c r="AF76" s="15">
        <v>-2.53513628799164E-3</v>
      </c>
      <c r="AG76" s="15">
        <v>-2.4586088860100801E-3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8.1412832384008382E-3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4.7187128644676692E-3</v>
      </c>
      <c r="BE76" s="29">
        <f t="shared" si="22"/>
        <v>0</v>
      </c>
      <c r="BF76" s="29">
        <f t="shared" si="23"/>
        <v>1.2859996102868507E-2</v>
      </c>
      <c r="BH76" s="29"/>
    </row>
    <row r="77" spans="1:60" x14ac:dyDescent="0.25">
      <c r="A77" s="1">
        <v>46134</v>
      </c>
      <c r="B77" s="33">
        <v>19.04</v>
      </c>
      <c r="C77" s="33">
        <v>31.51</v>
      </c>
      <c r="D77" s="15">
        <v>7.9093478498009993E-3</v>
      </c>
      <c r="E77" s="15">
        <v>8.60563079769802E-3</v>
      </c>
      <c r="F77" s="33">
        <v>0</v>
      </c>
      <c r="G77" s="33">
        <v>0.3</v>
      </c>
      <c r="H77" s="33">
        <v>0</v>
      </c>
      <c r="I77" s="33">
        <v>0.35036</v>
      </c>
      <c r="J77" s="33">
        <v>0.3</v>
      </c>
      <c r="K77" s="33">
        <v>0.35036</v>
      </c>
      <c r="L77" s="33">
        <v>19.34</v>
      </c>
      <c r="M77" s="33">
        <v>31.86036</v>
      </c>
      <c r="N77" s="34">
        <v>1.6549369747899101</v>
      </c>
      <c r="O77" s="34">
        <v>1.6459148161032899</v>
      </c>
      <c r="P77" s="34">
        <v>1.6512723843582999</v>
      </c>
      <c r="Q77" s="34">
        <v>1.6500545538921001</v>
      </c>
      <c r="R77" s="33">
        <v>31.3382180986066</v>
      </c>
      <c r="S77" s="33">
        <v>31.425826412544399</v>
      </c>
      <c r="T77" s="33">
        <v>31.4079646520516</v>
      </c>
      <c r="U77" s="15">
        <v>-5.4665775538838002E-3</v>
      </c>
      <c r="V77" s="15">
        <v>-2.6749037056595501E-3</v>
      </c>
      <c r="W77" s="15">
        <v>-3.2434436798134498E-3</v>
      </c>
      <c r="X77" s="34">
        <v>1.6473815925542901</v>
      </c>
      <c r="Y77" s="34">
        <v>1.6383944060714599</v>
      </c>
      <c r="Z77" s="34">
        <v>1.6437220455471699</v>
      </c>
      <c r="AA77" s="34">
        <v>1.64272717915251</v>
      </c>
      <c r="AB77" s="33">
        <v>31.686547813422099</v>
      </c>
      <c r="AC77" s="33">
        <v>31.774896263835799</v>
      </c>
      <c r="AD77" s="33">
        <v>31.762191742723999</v>
      </c>
      <c r="AE77" s="15">
        <v>-5.4703722337422402E-3</v>
      </c>
      <c r="AF77" s="15">
        <v>-2.68605149302544E-3</v>
      </c>
      <c r="AG77" s="15">
        <v>-3.08596032359301E-3</v>
      </c>
      <c r="AI77" s="12"/>
      <c r="AJ77">
        <f t="shared" si="6"/>
        <v>0</v>
      </c>
      <c r="AK77">
        <f t="shared" si="7"/>
        <v>0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8.1412832384008382E-3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4.7187128644676692E-3</v>
      </c>
      <c r="BE77" s="29">
        <f t="shared" si="22"/>
        <v>0</v>
      </c>
      <c r="BF77" s="29">
        <f t="shared" si="23"/>
        <v>1.2859996102868507E-2</v>
      </c>
      <c r="BH77" s="29"/>
    </row>
    <row r="78" spans="1:60" x14ac:dyDescent="0.25">
      <c r="A78" s="1">
        <v>46135</v>
      </c>
      <c r="B78" s="33">
        <v>19.07</v>
      </c>
      <c r="C78" s="33">
        <v>31.49</v>
      </c>
      <c r="D78" s="15">
        <v>1.57439024910843E-3</v>
      </c>
      <c r="E78" s="15">
        <v>-6.3492065625002099E-4</v>
      </c>
      <c r="F78" s="33">
        <v>0</v>
      </c>
      <c r="G78" s="33">
        <v>0.3</v>
      </c>
      <c r="H78" s="33">
        <v>0</v>
      </c>
      <c r="I78" s="33">
        <v>0.35036</v>
      </c>
      <c r="J78" s="33">
        <v>0.3</v>
      </c>
      <c r="K78" s="33">
        <v>0.35036</v>
      </c>
      <c r="L78" s="33">
        <v>19.37</v>
      </c>
      <c r="M78" s="33">
        <v>31.840359999999901</v>
      </c>
      <c r="N78" s="34">
        <v>1.65128474042999</v>
      </c>
      <c r="O78" s="34">
        <v>1.6459148161032899</v>
      </c>
      <c r="P78" s="34">
        <v>1.65209611679235</v>
      </c>
      <c r="Q78" s="34">
        <v>1.6502895816613099</v>
      </c>
      <c r="R78" s="33">
        <v>31.387595543089699</v>
      </c>
      <c r="S78" s="33">
        <v>31.489764369712901</v>
      </c>
      <c r="T78" s="33">
        <v>31.4665403427224</v>
      </c>
      <c r="U78" s="15">
        <v>-3.2572666485252998E-3</v>
      </c>
      <c r="V78" s="15">
        <v>-7.4827300305433202E-6</v>
      </c>
      <c r="W78" s="15">
        <v>-7.4526516977119304E-4</v>
      </c>
      <c r="X78" s="34">
        <v>1.64379762519359</v>
      </c>
      <c r="Y78" s="34">
        <v>1.6383944060714599</v>
      </c>
      <c r="Z78" s="34">
        <v>1.6445445977886</v>
      </c>
      <c r="AA78" s="34">
        <v>1.64290962826743</v>
      </c>
      <c r="AB78" s="33">
        <v>31.735699645604299</v>
      </c>
      <c r="AC78" s="33">
        <v>31.838896022248701</v>
      </c>
      <c r="AD78" s="33">
        <v>31.819625460184099</v>
      </c>
      <c r="AE78" s="15">
        <v>-3.2924484318204001E-3</v>
      </c>
      <c r="AF78" s="15">
        <v>-4.5979737923365501E-5</v>
      </c>
      <c r="AG78" s="15">
        <v>-6.5141518331077403E-4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8.1412832384008382E-3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4.7187128644676692E-3</v>
      </c>
      <c r="BE78" s="29">
        <f t="shared" si="22"/>
        <v>0</v>
      </c>
      <c r="BF78" s="29">
        <f t="shared" si="23"/>
        <v>1.2859996102868507E-2</v>
      </c>
      <c r="BH78" s="29"/>
    </row>
    <row r="79" spans="1:60" x14ac:dyDescent="0.25">
      <c r="A79" s="1">
        <v>46136</v>
      </c>
      <c r="B79" s="33">
        <v>19.12</v>
      </c>
      <c r="C79" s="33">
        <v>31.52</v>
      </c>
      <c r="D79" s="15">
        <v>2.61848801092757E-3</v>
      </c>
      <c r="E79" s="15">
        <v>9.5222987674518998E-4</v>
      </c>
      <c r="F79" s="33">
        <v>0</v>
      </c>
      <c r="G79" s="33">
        <v>0.3</v>
      </c>
      <c r="H79" s="33">
        <v>0</v>
      </c>
      <c r="I79" s="33">
        <v>0.35036</v>
      </c>
      <c r="J79" s="33">
        <v>0.3</v>
      </c>
      <c r="K79" s="33">
        <v>0.35036</v>
      </c>
      <c r="L79" s="33">
        <v>19.420000000000002</v>
      </c>
      <c r="M79" s="33">
        <v>31.870359999999899</v>
      </c>
      <c r="N79" s="34">
        <v>1.64853556485355</v>
      </c>
      <c r="O79" s="34">
        <v>1.6459148161032899</v>
      </c>
      <c r="P79" s="34">
        <v>1.6525609920177</v>
      </c>
      <c r="Q79" s="34">
        <v>1.6502963924596099</v>
      </c>
      <c r="R79" s="33">
        <v>31.469891283894899</v>
      </c>
      <c r="S79" s="33">
        <v>31.5880777530698</v>
      </c>
      <c r="T79" s="33">
        <v>31.553536801364402</v>
      </c>
      <c r="U79" s="15">
        <v>-1.5910085143427499E-3</v>
      </c>
      <c r="V79" s="15">
        <v>2.1574981175491899E-3</v>
      </c>
      <c r="W79" s="15">
        <v>1.0634191841977501E-3</v>
      </c>
      <c r="X79" s="34">
        <v>1.64111019567456</v>
      </c>
      <c r="Y79" s="34">
        <v>1.6383944060714599</v>
      </c>
      <c r="Z79" s="34">
        <v>1.6450173619698301</v>
      </c>
      <c r="AA79" s="34">
        <v>1.64287068555518</v>
      </c>
      <c r="AB79" s="33">
        <v>31.817619365907799</v>
      </c>
      <c r="AC79" s="33">
        <v>31.9370560890547</v>
      </c>
      <c r="AD79" s="33">
        <v>31.905304980953499</v>
      </c>
      <c r="AE79" s="15">
        <v>-1.65621979761718E-3</v>
      </c>
      <c r="AF79" s="15">
        <v>2.0905442480940498E-3</v>
      </c>
      <c r="AG79" s="15">
        <v>1.0958720528034601E-3</v>
      </c>
      <c r="AI79" s="12"/>
      <c r="AJ79">
        <f t="shared" si="6"/>
        <v>0</v>
      </c>
      <c r="AK79">
        <f t="shared" si="7"/>
        <v>1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8.1412832384008382E-3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4.7187128644676692E-3</v>
      </c>
      <c r="BE79" s="29">
        <f t="shared" si="22"/>
        <v>0</v>
      </c>
      <c r="BF79" s="29">
        <f t="shared" si="23"/>
        <v>1.2859996102868507E-2</v>
      </c>
      <c r="BH79" s="29"/>
    </row>
    <row r="80" spans="1:60" x14ac:dyDescent="0.25">
      <c r="A80" s="1">
        <v>46139</v>
      </c>
      <c r="B80" s="33">
        <v>19.07</v>
      </c>
      <c r="C80" s="33">
        <v>31.49</v>
      </c>
      <c r="D80" s="15">
        <v>-2.6184880109276099E-3</v>
      </c>
      <c r="E80" s="15">
        <v>-9.5222987674512102E-4</v>
      </c>
      <c r="F80" s="33">
        <v>0</v>
      </c>
      <c r="G80" s="33">
        <v>0.3</v>
      </c>
      <c r="H80" s="33">
        <v>0</v>
      </c>
      <c r="I80" s="33">
        <v>0.35036</v>
      </c>
      <c r="J80" s="33">
        <v>0.3</v>
      </c>
      <c r="K80" s="33">
        <v>0.35036</v>
      </c>
      <c r="L80" s="33">
        <v>19.37</v>
      </c>
      <c r="M80" s="33">
        <v>31.840359999999901</v>
      </c>
      <c r="N80" s="34">
        <v>1.65128474042999</v>
      </c>
      <c r="O80" s="34">
        <v>1.6459148161032899</v>
      </c>
      <c r="P80" s="34">
        <v>1.65311166467992</v>
      </c>
      <c r="Q80" s="34">
        <v>1.6505012630147</v>
      </c>
      <c r="R80" s="33">
        <v>31.387595543089699</v>
      </c>
      <c r="S80" s="33">
        <v>31.514338117777498</v>
      </c>
      <c r="T80" s="33">
        <v>31.471152204204799</v>
      </c>
      <c r="U80" s="15">
        <v>-3.2572666485252998E-3</v>
      </c>
      <c r="V80" s="15">
        <v>7.7258549856204202E-4</v>
      </c>
      <c r="W80" s="15">
        <v>-5.9871192626990098E-4</v>
      </c>
      <c r="X80" s="34">
        <v>1.64379762519359</v>
      </c>
      <c r="Y80" s="34">
        <v>1.6383944060714599</v>
      </c>
      <c r="Z80" s="34">
        <v>1.6455687920270901</v>
      </c>
      <c r="AA80" s="34">
        <v>1.6430281708126999</v>
      </c>
      <c r="AB80" s="33">
        <v>31.735699645604299</v>
      </c>
      <c r="AC80" s="33">
        <v>31.863986301355599</v>
      </c>
      <c r="AD80" s="33">
        <v>31.822405179203901</v>
      </c>
      <c r="AE80" s="15">
        <v>-3.2924484318204001E-3</v>
      </c>
      <c r="AF80" s="15">
        <v>7.4174852457131702E-4</v>
      </c>
      <c r="AG80" s="15">
        <v>-5.6406036468911801E-4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8.1412832384008382E-3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4.7187128644676692E-3</v>
      </c>
      <c r="BE80" s="29">
        <f t="shared" si="22"/>
        <v>0</v>
      </c>
      <c r="BF80" s="29">
        <f t="shared" si="23"/>
        <v>1.2859996102868507E-2</v>
      </c>
      <c r="BH80" s="29"/>
    </row>
    <row r="81" spans="1:60" x14ac:dyDescent="0.25">
      <c r="A81" s="1">
        <v>46140</v>
      </c>
      <c r="B81" s="33">
        <v>19</v>
      </c>
      <c r="C81" s="33">
        <v>31.29</v>
      </c>
      <c r="D81" s="15">
        <v>-3.6774404458872999E-3</v>
      </c>
      <c r="E81" s="15">
        <v>-6.3714774321424897E-3</v>
      </c>
      <c r="F81" s="33">
        <v>0</v>
      </c>
      <c r="G81" s="33">
        <v>0.3</v>
      </c>
      <c r="H81" s="33">
        <v>0</v>
      </c>
      <c r="I81" s="33">
        <v>0.35036</v>
      </c>
      <c r="J81" s="33">
        <v>0.3</v>
      </c>
      <c r="K81" s="33">
        <v>0.35036</v>
      </c>
      <c r="L81" s="33">
        <v>19.3</v>
      </c>
      <c r="M81" s="33">
        <v>31.640359999999902</v>
      </c>
      <c r="N81" s="34">
        <v>1.6468421052631499</v>
      </c>
      <c r="O81" s="34">
        <v>1.6459148161032899</v>
      </c>
      <c r="P81" s="34">
        <v>1.6527139945934499</v>
      </c>
      <c r="Q81" s="34">
        <v>1.6502775788041699</v>
      </c>
      <c r="R81" s="33">
        <v>31.2723815059625</v>
      </c>
      <c r="S81" s="33">
        <v>31.409121628918498</v>
      </c>
      <c r="T81" s="33">
        <v>31.3595239972793</v>
      </c>
      <c r="U81" s="15">
        <v>-5.63229662270043E-4</v>
      </c>
      <c r="V81" s="15">
        <v>3.7997907833797299E-3</v>
      </c>
      <c r="W81" s="15">
        <v>2.2194590280346402E-3</v>
      </c>
      <c r="X81" s="34">
        <v>1.6393968911917001</v>
      </c>
      <c r="Y81" s="34">
        <v>1.6383944060714599</v>
      </c>
      <c r="Z81" s="34">
        <v>1.6451800360084501</v>
      </c>
      <c r="AA81" s="34">
        <v>1.6427626764351899</v>
      </c>
      <c r="AB81" s="33">
        <v>31.621012037179302</v>
      </c>
      <c r="AC81" s="33">
        <v>31.7594776861228</v>
      </c>
      <c r="AD81" s="33">
        <v>31.7104436966852</v>
      </c>
      <c r="AE81" s="15">
        <v>-6.1168333221051302E-4</v>
      </c>
      <c r="AF81" s="15">
        <v>3.75766975540765E-3</v>
      </c>
      <c r="AG81" s="15">
        <v>2.21255994198799E-3</v>
      </c>
      <c r="AI81" s="12"/>
      <c r="AJ81">
        <f t="shared" si="6"/>
        <v>0</v>
      </c>
      <c r="AK81">
        <f t="shared" si="7"/>
        <v>1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8.1412832384008382E-3</v>
      </c>
      <c r="AT81" s="12"/>
      <c r="AU81">
        <f t="shared" si="10"/>
        <v>0</v>
      </c>
      <c r="AV81">
        <f t="shared" si="11"/>
        <v>0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4.7187128644676692E-3</v>
      </c>
      <c r="BE81" s="29">
        <f t="shared" si="22"/>
        <v>0</v>
      </c>
      <c r="BF81" s="29">
        <f t="shared" si="23"/>
        <v>1.2859996102868507E-2</v>
      </c>
      <c r="BH81" s="29"/>
    </row>
    <row r="82" spans="1:60" x14ac:dyDescent="0.25">
      <c r="A82" s="1">
        <v>46141</v>
      </c>
      <c r="B82" s="33">
        <v>18.920000000000002</v>
      </c>
      <c r="C82" s="33">
        <v>31.17</v>
      </c>
      <c r="D82" s="15">
        <v>-4.2194155427080901E-3</v>
      </c>
      <c r="E82" s="15">
        <v>-3.8424639015450001E-3</v>
      </c>
      <c r="F82" s="33">
        <v>0</v>
      </c>
      <c r="G82" s="33">
        <v>0.3</v>
      </c>
      <c r="H82" s="33">
        <v>0</v>
      </c>
      <c r="I82" s="33">
        <v>0.35036</v>
      </c>
      <c r="J82" s="33">
        <v>0.3</v>
      </c>
      <c r="K82" s="33">
        <v>0.35036</v>
      </c>
      <c r="L82" s="33">
        <v>19.22</v>
      </c>
      <c r="M82" s="33">
        <v>31.52036</v>
      </c>
      <c r="N82" s="34">
        <v>1.6474630021141601</v>
      </c>
      <c r="O82" s="34">
        <v>1.6459148161032899</v>
      </c>
      <c r="P82" s="34">
        <v>1.6524076632259199</v>
      </c>
      <c r="Q82" s="34">
        <v>1.6502594245620501</v>
      </c>
      <c r="R82" s="33">
        <v>31.1407083206742</v>
      </c>
      <c r="S82" s="33">
        <v>31.269348777708199</v>
      </c>
      <c r="T82" s="33">
        <v>31.223251790974999</v>
      </c>
      <c r="U82" s="15">
        <v>-9.40181303433178E-4</v>
      </c>
      <c r="V82" s="15">
        <v>3.1822516888092801E-3</v>
      </c>
      <c r="W82" s="15">
        <v>1.7069731862550299E-3</v>
      </c>
      <c r="X82" s="34">
        <v>1.63997710718002</v>
      </c>
      <c r="Y82" s="34">
        <v>1.6383944060714599</v>
      </c>
      <c r="Z82" s="34">
        <v>1.6448753633067601</v>
      </c>
      <c r="AA82" s="34">
        <v>1.6426959592135499</v>
      </c>
      <c r="AB82" s="33">
        <v>31.489940484693498</v>
      </c>
      <c r="AC82" s="33">
        <v>31.620360292082498</v>
      </c>
      <c r="AD82" s="33">
        <v>31.573898641084501</v>
      </c>
      <c r="AE82" s="15">
        <v>-9.6554110790393198E-4</v>
      </c>
      <c r="AF82" s="15">
        <v>3.1675399086698599E-3</v>
      </c>
      <c r="AG82" s="15">
        <v>1.6971006582083799E-3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8.1412832384008382E-3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4.7187128644676692E-3</v>
      </c>
      <c r="BE82" s="29">
        <f t="shared" si="22"/>
        <v>0</v>
      </c>
      <c r="BF82" s="29">
        <f t="shared" si="23"/>
        <v>1.2859996102868507E-2</v>
      </c>
      <c r="BH82" s="29"/>
    </row>
    <row r="83" spans="1:60" x14ac:dyDescent="0.25">
      <c r="A83" s="1">
        <v>46142</v>
      </c>
      <c r="B83" s="33">
        <v>19.09</v>
      </c>
      <c r="C83" s="33">
        <v>31.45</v>
      </c>
      <c r="D83" s="15">
        <v>8.9450741139239596E-3</v>
      </c>
      <c r="E83" s="15">
        <v>8.9428893672037092E-3</v>
      </c>
      <c r="F83" s="33">
        <v>0</v>
      </c>
      <c r="G83" s="33">
        <v>0.3</v>
      </c>
      <c r="H83" s="33">
        <v>0</v>
      </c>
      <c r="I83" s="33">
        <v>0.35036</v>
      </c>
      <c r="J83" s="33">
        <v>0.3</v>
      </c>
      <c r="K83" s="33">
        <v>0.35036</v>
      </c>
      <c r="L83" s="33">
        <v>19.39</v>
      </c>
      <c r="M83" s="33">
        <v>31.800359999999898</v>
      </c>
      <c r="N83" s="34">
        <v>1.6474594028287</v>
      </c>
      <c r="O83" s="34">
        <v>1.6459148161032899</v>
      </c>
      <c r="P83" s="34">
        <v>1.6514740688710301</v>
      </c>
      <c r="Q83" s="34">
        <v>1.65003315598679</v>
      </c>
      <c r="R83" s="33">
        <v>31.4205138394118</v>
      </c>
      <c r="S83" s="33">
        <v>31.544462290982899</v>
      </c>
      <c r="T83" s="33">
        <v>31.503452414889601</v>
      </c>
      <c r="U83" s="15">
        <v>-9.3799655671294698E-4</v>
      </c>
      <c r="V83" s="15">
        <v>2.9990687546252301E-3</v>
      </c>
      <c r="W83" s="15">
        <v>1.6981571521329599E-3</v>
      </c>
      <c r="X83" s="34">
        <v>1.6400391954615701</v>
      </c>
      <c r="Y83" s="34">
        <v>1.6383944060714599</v>
      </c>
      <c r="Z83" s="34">
        <v>1.6439633015931601</v>
      </c>
      <c r="AA83" s="34">
        <v>1.64248721807705</v>
      </c>
      <c r="AB83" s="33">
        <v>31.768467533725701</v>
      </c>
      <c r="AC83" s="33">
        <v>31.894133294518198</v>
      </c>
      <c r="AD83" s="33">
        <v>31.851874649150801</v>
      </c>
      <c r="AE83" s="15">
        <v>-1.00339962800624E-3</v>
      </c>
      <c r="AF83" s="15">
        <v>2.9444731378972899E-3</v>
      </c>
      <c r="AG83" s="15">
        <v>1.6186284953532101E-3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0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8.1412832384008382E-3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0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4.7187128644676692E-3</v>
      </c>
      <c r="BE83" s="29">
        <f t="shared" si="22"/>
        <v>0</v>
      </c>
      <c r="BF83" s="29">
        <f t="shared" si="23"/>
        <v>1.2859996102868507E-2</v>
      </c>
      <c r="BH83" s="29"/>
    </row>
    <row r="84" spans="1:60" x14ac:dyDescent="0.25">
      <c r="A84" s="1">
        <v>46143</v>
      </c>
      <c r="B84" s="33">
        <v>19</v>
      </c>
      <c r="C84" s="33">
        <v>31.41</v>
      </c>
      <c r="D84" s="15">
        <v>-4.7256585712157403E-3</v>
      </c>
      <c r="E84" s="15">
        <v>-1.2726695958943299E-3</v>
      </c>
      <c r="F84" s="33">
        <v>0.1</v>
      </c>
      <c r="G84" s="33">
        <v>0.4</v>
      </c>
      <c r="H84" s="33">
        <v>0.14032500000000001</v>
      </c>
      <c r="I84" s="33">
        <v>0.49068499999999998</v>
      </c>
      <c r="J84" s="33">
        <v>0.4</v>
      </c>
      <c r="K84" s="33">
        <v>0.49068499999999998</v>
      </c>
      <c r="L84" s="33">
        <v>19.399999999999999</v>
      </c>
      <c r="M84" s="33">
        <v>31.900684999999999</v>
      </c>
      <c r="N84" s="34">
        <v>1.6531578947368399</v>
      </c>
      <c r="O84" s="34">
        <v>1.6459148161032899</v>
      </c>
      <c r="P84" s="34">
        <v>1.6508615883025199</v>
      </c>
      <c r="Q84" s="34">
        <v>1.6500906164131</v>
      </c>
      <c r="R84" s="33">
        <v>31.2723815059625</v>
      </c>
      <c r="S84" s="33">
        <v>31.378007308549702</v>
      </c>
      <c r="T84" s="33">
        <v>31.3506299637491</v>
      </c>
      <c r="U84" s="15">
        <v>-4.3909855320344998E-3</v>
      </c>
      <c r="V84" s="15">
        <v>-1.01907022026525E-3</v>
      </c>
      <c r="W84" s="15">
        <v>-1.8919521360642199E-3</v>
      </c>
      <c r="X84" s="34">
        <v>1.64436520618556</v>
      </c>
      <c r="Y84" s="34">
        <v>1.6383944060714599</v>
      </c>
      <c r="Z84" s="34">
        <v>1.6432369977049699</v>
      </c>
      <c r="AA84" s="34">
        <v>1.64249297838633</v>
      </c>
      <c r="AB84" s="33">
        <v>31.7848514777864</v>
      </c>
      <c r="AC84" s="33">
        <v>31.892888050907398</v>
      </c>
      <c r="AD84" s="33">
        <v>31.8642520306948</v>
      </c>
      <c r="AE84" s="15">
        <v>-3.6376752509971102E-3</v>
      </c>
      <c r="AF84" s="15">
        <v>-2.4444309225871299E-4</v>
      </c>
      <c r="AG84" s="15">
        <v>-1.1427274915103401E-3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8.1412832384008382E-3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4.7187128644676692E-3</v>
      </c>
      <c r="BE84" s="29">
        <f t="shared" si="22"/>
        <v>0</v>
      </c>
      <c r="BF84" s="29">
        <f t="shared" si="23"/>
        <v>1.2859996102868507E-2</v>
      </c>
      <c r="BH84" s="29"/>
    </row>
    <row r="85" spans="1:60" x14ac:dyDescent="0.25">
      <c r="A85" s="1">
        <v>46146</v>
      </c>
      <c r="B85" s="33">
        <v>18.91</v>
      </c>
      <c r="C85" s="33">
        <v>31.26</v>
      </c>
      <c r="D85" s="15">
        <v>-4.7480964960743199E-3</v>
      </c>
      <c r="E85" s="15">
        <v>-4.7869885572245797E-3</v>
      </c>
      <c r="F85" s="33">
        <v>0</v>
      </c>
      <c r="G85" s="33">
        <v>0.4</v>
      </c>
      <c r="H85" s="33">
        <v>0</v>
      </c>
      <c r="I85" s="33">
        <v>0.49068499999999998</v>
      </c>
      <c r="J85" s="33">
        <v>0.4</v>
      </c>
      <c r="K85" s="33">
        <v>0.49068499999999998</v>
      </c>
      <c r="L85" s="33">
        <v>19.309999999999999</v>
      </c>
      <c r="M85" s="33">
        <v>31.750685000000001</v>
      </c>
      <c r="N85" s="34">
        <v>1.6530936012691699</v>
      </c>
      <c r="O85" s="34">
        <v>1.6459148161032899</v>
      </c>
      <c r="P85" s="34">
        <v>1.65078430981818</v>
      </c>
      <c r="Q85" s="34">
        <v>1.6501789727082901</v>
      </c>
      <c r="R85" s="33">
        <v>31.124249172513199</v>
      </c>
      <c r="S85" s="33">
        <v>31.217792634800801</v>
      </c>
      <c r="T85" s="33">
        <v>31.2032135563718</v>
      </c>
      <c r="U85" s="15">
        <v>-4.3520934708841099E-3</v>
      </c>
      <c r="V85" s="15">
        <v>-1.3511159674523699E-3</v>
      </c>
      <c r="W85" s="15">
        <v>-1.81823688022255E-3</v>
      </c>
      <c r="X85" s="34">
        <v>1.6442612635939899</v>
      </c>
      <c r="Y85" s="34">
        <v>1.6383944060714599</v>
      </c>
      <c r="Z85" s="34">
        <v>1.6430315342145501</v>
      </c>
      <c r="AA85" s="34">
        <v>1.64252607353193</v>
      </c>
      <c r="AB85" s="33">
        <v>31.637395981240001</v>
      </c>
      <c r="AC85" s="33">
        <v>31.730906425682999</v>
      </c>
      <c r="AD85" s="33">
        <v>31.716539412640099</v>
      </c>
      <c r="AE85" s="15">
        <v>-3.5744618744924499E-3</v>
      </c>
      <c r="AF85" s="15">
        <v>-6.2312788677026205E-4</v>
      </c>
      <c r="AG85" s="15">
        <v>-1.07600705625096E-3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8.1412832384008382E-3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4.7187128644676692E-3</v>
      </c>
      <c r="BE85" s="29">
        <f t="shared" si="22"/>
        <v>0</v>
      </c>
      <c r="BF85" s="29">
        <f t="shared" si="23"/>
        <v>1.2859996102868507E-2</v>
      </c>
      <c r="BH85" s="29"/>
    </row>
    <row r="86" spans="1:60" x14ac:dyDescent="0.25">
      <c r="A86" s="1">
        <v>46147</v>
      </c>
      <c r="B86" s="33">
        <v>18.95</v>
      </c>
      <c r="C86" s="33">
        <v>31.45</v>
      </c>
      <c r="D86" s="15">
        <v>2.1130488580692599E-3</v>
      </c>
      <c r="E86" s="15">
        <v>6.0596581531188101E-3</v>
      </c>
      <c r="F86" s="33">
        <v>0</v>
      </c>
      <c r="G86" s="33">
        <v>0.4</v>
      </c>
      <c r="H86" s="33">
        <v>0</v>
      </c>
      <c r="I86" s="33">
        <v>0.49068499999999998</v>
      </c>
      <c r="J86" s="33">
        <v>0.4</v>
      </c>
      <c r="K86" s="33">
        <v>0.49068499999999998</v>
      </c>
      <c r="L86" s="33">
        <v>19.349999999999898</v>
      </c>
      <c r="M86" s="33">
        <v>31.940684999999998</v>
      </c>
      <c r="N86" s="34">
        <v>1.6596306068601501</v>
      </c>
      <c r="O86" s="34">
        <v>1.6459148161032899</v>
      </c>
      <c r="P86" s="34">
        <v>1.6513688633575601</v>
      </c>
      <c r="Q86" s="34">
        <v>1.6509424782266899</v>
      </c>
      <c r="R86" s="33">
        <v>31.190085765157299</v>
      </c>
      <c r="S86" s="33">
        <v>31.282362671054599</v>
      </c>
      <c r="T86" s="33">
        <v>31.270891532822102</v>
      </c>
      <c r="U86" s="15">
        <v>-8.2987027659338491E-3</v>
      </c>
      <c r="V86" s="15">
        <v>-5.3445373597037597E-3</v>
      </c>
      <c r="W86" s="15">
        <v>-5.7113012797293302E-3</v>
      </c>
      <c r="X86" s="34">
        <v>1.65068139534883</v>
      </c>
      <c r="Y86" s="34">
        <v>1.6383944060714599</v>
      </c>
      <c r="Z86" s="34">
        <v>1.64348080975777</v>
      </c>
      <c r="AA86" s="34">
        <v>1.64322169401632</v>
      </c>
      <c r="AB86" s="33">
        <v>31.702931757482801</v>
      </c>
      <c r="AC86" s="33">
        <v>31.792660187051599</v>
      </c>
      <c r="AD86" s="33">
        <v>31.782879522842901</v>
      </c>
      <c r="AE86" s="15">
        <v>-7.4714279490179104E-3</v>
      </c>
      <c r="AF86" s="15">
        <v>-4.6451376019424496E-3</v>
      </c>
      <c r="AG86" s="15">
        <v>-4.9528239961255296E-3</v>
      </c>
      <c r="AI86" s="12"/>
      <c r="AJ86">
        <f t="shared" ref="AJ86:AJ149" si="26">IF($AG86&lt;AI$21,1,0)</f>
        <v>0</v>
      </c>
      <c r="AK86">
        <f t="shared" ref="AK86:AK149" si="27">IF($AG86&gt;AI$22,1,0)</f>
        <v>0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8.1412832384008382E-3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4.7187128644676692E-3</v>
      </c>
      <c r="BE86" s="29">
        <f t="shared" si="22"/>
        <v>0</v>
      </c>
      <c r="BF86" s="29">
        <f t="shared" si="23"/>
        <v>1.2859996102868507E-2</v>
      </c>
      <c r="BH86" s="29"/>
    </row>
    <row r="87" spans="1:60" x14ac:dyDescent="0.25">
      <c r="A87" s="1">
        <v>46148</v>
      </c>
      <c r="B87" s="33">
        <v>19.079999999999998</v>
      </c>
      <c r="C87" s="33">
        <v>31.61</v>
      </c>
      <c r="D87" s="15">
        <v>6.8367344917051398E-3</v>
      </c>
      <c r="E87" s="15">
        <v>5.0745430810767503E-3</v>
      </c>
      <c r="F87" s="33">
        <v>0</v>
      </c>
      <c r="G87" s="33">
        <v>0.4</v>
      </c>
      <c r="H87" s="33">
        <v>0</v>
      </c>
      <c r="I87" s="33">
        <v>0.49068499999999998</v>
      </c>
      <c r="J87" s="33">
        <v>0.4</v>
      </c>
      <c r="K87" s="33">
        <v>0.49068499999999998</v>
      </c>
      <c r="L87" s="33">
        <v>19.479999999999901</v>
      </c>
      <c r="M87" s="33">
        <v>32.100684999999999</v>
      </c>
      <c r="N87" s="34">
        <v>1.65670859538784</v>
      </c>
      <c r="O87" s="34">
        <v>1.6459148161032899</v>
      </c>
      <c r="P87" s="34">
        <v>1.65154602541735</v>
      </c>
      <c r="Q87" s="34">
        <v>1.6514092048878299</v>
      </c>
      <c r="R87" s="33">
        <v>31.404054691250799</v>
      </c>
      <c r="S87" s="33">
        <v>31.5081179128623</v>
      </c>
      <c r="T87" s="33">
        <v>31.499982484565301</v>
      </c>
      <c r="U87" s="15">
        <v>-6.5365113553057198E-3</v>
      </c>
      <c r="V87" s="15">
        <v>-3.2283020784084899E-3</v>
      </c>
      <c r="W87" s="15">
        <v>-3.48653644163926E-3</v>
      </c>
      <c r="X87" s="34">
        <v>1.64787910677618</v>
      </c>
      <c r="Y87" s="34">
        <v>1.6383944060714599</v>
      </c>
      <c r="Z87" s="34">
        <v>1.64353056117996</v>
      </c>
      <c r="AA87" s="34">
        <v>1.6436263033635601</v>
      </c>
      <c r="AB87" s="33">
        <v>31.915923030272101</v>
      </c>
      <c r="AC87" s="33">
        <v>32.0150061740814</v>
      </c>
      <c r="AD87" s="33">
        <v>32.009958599437901</v>
      </c>
      <c r="AE87" s="15">
        <v>-5.7723296635568602E-3</v>
      </c>
      <c r="AF87" s="15">
        <v>-2.6726336517536599E-3</v>
      </c>
      <c r="AG87" s="15">
        <v>-2.8303088546015498E-3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8.1412832384008382E-3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4.7187128644676692E-3</v>
      </c>
      <c r="BE87" s="29">
        <f t="shared" ref="BE87:BE150" si="42">AQ87+BB87</f>
        <v>0</v>
      </c>
      <c r="BF87" s="29">
        <f t="shared" ref="BF87:BF150" si="43">BF86+BE87</f>
        <v>1.2859996102868507E-2</v>
      </c>
      <c r="BH87" s="29"/>
    </row>
    <row r="88" spans="1:60" x14ac:dyDescent="0.25">
      <c r="A88" s="1">
        <v>46149</v>
      </c>
      <c r="B88" s="33">
        <v>19</v>
      </c>
      <c r="C88" s="33">
        <v>31.52</v>
      </c>
      <c r="D88" s="15">
        <v>-4.2016868536999697E-3</v>
      </c>
      <c r="E88" s="15">
        <v>-2.8512612378479999E-3</v>
      </c>
      <c r="F88" s="33">
        <v>0</v>
      </c>
      <c r="G88" s="33">
        <v>0.4</v>
      </c>
      <c r="H88" s="33">
        <v>0</v>
      </c>
      <c r="I88" s="33">
        <v>0.49068499999999998</v>
      </c>
      <c r="J88" s="33">
        <v>0.4</v>
      </c>
      <c r="K88" s="33">
        <v>0.49068499999999998</v>
      </c>
      <c r="L88" s="33">
        <v>19.399999999999999</v>
      </c>
      <c r="M88" s="33">
        <v>32.010685000000002</v>
      </c>
      <c r="N88" s="34">
        <v>1.6589473684210501</v>
      </c>
      <c r="O88" s="34">
        <v>1.6459148161032899</v>
      </c>
      <c r="P88" s="34">
        <v>1.65231228821646</v>
      </c>
      <c r="Q88" s="34">
        <v>1.6522042025044099</v>
      </c>
      <c r="R88" s="33">
        <v>31.2723815059625</v>
      </c>
      <c r="S88" s="33">
        <v>31.379374482929801</v>
      </c>
      <c r="T88" s="33">
        <v>31.376774892868799</v>
      </c>
      <c r="U88" s="15">
        <v>-7.8869369711576705E-3</v>
      </c>
      <c r="V88" s="15">
        <v>-4.4714515058460599E-3</v>
      </c>
      <c r="W88" s="15">
        <v>-4.55429884712926E-3</v>
      </c>
      <c r="X88" s="34">
        <v>1.65003530927835</v>
      </c>
      <c r="Y88" s="34">
        <v>1.6383944060714599</v>
      </c>
      <c r="Z88" s="34">
        <v>1.64415432958843</v>
      </c>
      <c r="AA88" s="34">
        <v>1.6443494636885201</v>
      </c>
      <c r="AB88" s="33">
        <v>31.7848514777864</v>
      </c>
      <c r="AC88" s="33">
        <v>31.884492886891302</v>
      </c>
      <c r="AD88" s="33">
        <v>31.886350285253201</v>
      </c>
      <c r="AE88" s="15">
        <v>-7.0799456519565103E-3</v>
      </c>
      <c r="AF88" s="15">
        <v>-3.9499781159153301E-3</v>
      </c>
      <c r="AG88" s="15">
        <v>-3.8917258404224898E-3</v>
      </c>
      <c r="AI88" s="12"/>
      <c r="AJ88">
        <f t="shared" si="26"/>
        <v>0</v>
      </c>
      <c r="AK88">
        <f t="shared" si="27"/>
        <v>0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8.1412832384008382E-3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4.7187128644676692E-3</v>
      </c>
      <c r="BE88" s="29">
        <f t="shared" si="42"/>
        <v>0</v>
      </c>
      <c r="BF88" s="29">
        <f t="shared" si="43"/>
        <v>1.2859996102868507E-2</v>
      </c>
      <c r="BH88" s="29"/>
    </row>
    <row r="89" spans="1:60" x14ac:dyDescent="0.25">
      <c r="A89" s="1">
        <v>46150</v>
      </c>
      <c r="B89" s="33">
        <v>19.14</v>
      </c>
      <c r="C89" s="33">
        <v>31.72</v>
      </c>
      <c r="D89" s="15">
        <v>7.3414068583678499E-3</v>
      </c>
      <c r="E89" s="15">
        <v>6.32513177696879E-3</v>
      </c>
      <c r="F89" s="33">
        <v>0</v>
      </c>
      <c r="G89" s="33">
        <v>0.4</v>
      </c>
      <c r="H89" s="33">
        <v>0</v>
      </c>
      <c r="I89" s="33">
        <v>0.49068499999999998</v>
      </c>
      <c r="J89" s="33">
        <v>0.4</v>
      </c>
      <c r="K89" s="33">
        <v>0.49068499999999998</v>
      </c>
      <c r="L89" s="33">
        <v>19.54</v>
      </c>
      <c r="M89" s="33">
        <v>32.210684999999998</v>
      </c>
      <c r="N89" s="34">
        <v>1.6572622779519299</v>
      </c>
      <c r="O89" s="34">
        <v>1.6459148161032899</v>
      </c>
      <c r="P89" s="34">
        <v>1.6531849595263</v>
      </c>
      <c r="Q89" s="34">
        <v>1.652872975772</v>
      </c>
      <c r="R89" s="33">
        <v>31.502809580217001</v>
      </c>
      <c r="S89" s="33">
        <v>31.6252571964631</v>
      </c>
      <c r="T89" s="33">
        <v>31.623188435934399</v>
      </c>
      <c r="U89" s="15">
        <v>-6.8706618897587399E-3</v>
      </c>
      <c r="V89" s="15">
        <v>-2.9913170575468599E-3</v>
      </c>
      <c r="W89" s="15">
        <v>-3.0567340178774601E-3</v>
      </c>
      <c r="X89" s="34">
        <v>1.64844856704196</v>
      </c>
      <c r="Y89" s="34">
        <v>1.6383944060714599</v>
      </c>
      <c r="Z89" s="34">
        <v>1.64488816672518</v>
      </c>
      <c r="AA89" s="34">
        <v>1.6449527643474999</v>
      </c>
      <c r="AB89" s="33">
        <v>32.014226694636399</v>
      </c>
      <c r="AC89" s="33">
        <v>32.126775600158098</v>
      </c>
      <c r="AD89" s="33">
        <v>32.130588520473701</v>
      </c>
      <c r="AE89" s="15">
        <v>-6.1178415954999997E-3</v>
      </c>
      <c r="AF89" s="15">
        <v>-2.6084165161210601E-3</v>
      </c>
      <c r="AG89" s="15">
        <v>-2.48973999173192E-3</v>
      </c>
      <c r="AI89" s="12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8.1412832384008382E-3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4.7187128644676692E-3</v>
      </c>
      <c r="BE89" s="29">
        <f t="shared" si="42"/>
        <v>0</v>
      </c>
      <c r="BF89" s="29">
        <f t="shared" si="43"/>
        <v>1.2859996102868507E-2</v>
      </c>
      <c r="BH89" s="29"/>
    </row>
    <row r="90" spans="1:60" x14ac:dyDescent="0.25">
      <c r="A90" s="1">
        <v>46153</v>
      </c>
      <c r="B90" s="33">
        <v>19.059999999999999</v>
      </c>
      <c r="C90" s="33">
        <v>31.68</v>
      </c>
      <c r="D90" s="15">
        <v>-4.18848779875224E-3</v>
      </c>
      <c r="E90" s="15">
        <v>-1.2618298204220501E-3</v>
      </c>
      <c r="F90" s="33">
        <v>0</v>
      </c>
      <c r="G90" s="33">
        <v>0.4</v>
      </c>
      <c r="H90" s="33">
        <v>0</v>
      </c>
      <c r="I90" s="33">
        <v>0.49068499999999998</v>
      </c>
      <c r="J90" s="33">
        <v>0.4</v>
      </c>
      <c r="K90" s="33">
        <v>0.49068499999999998</v>
      </c>
      <c r="L90" s="33">
        <v>19.459999999999901</v>
      </c>
      <c r="M90" s="33">
        <v>32.170684999999999</v>
      </c>
      <c r="N90" s="34">
        <v>1.6621196222455401</v>
      </c>
      <c r="O90" s="34">
        <v>1.6459148161032899</v>
      </c>
      <c r="P90" s="34">
        <v>1.65426844770785</v>
      </c>
      <c r="Q90" s="34">
        <v>1.6536900561938901</v>
      </c>
      <c r="R90" s="33">
        <v>31.371136394928701</v>
      </c>
      <c r="S90" s="33">
        <v>31.5097053285713</v>
      </c>
      <c r="T90" s="33">
        <v>31.503758918214299</v>
      </c>
      <c r="U90" s="15">
        <v>-9.7973198680887906E-3</v>
      </c>
      <c r="V90" s="15">
        <v>-5.3899629005115498E-3</v>
      </c>
      <c r="W90" s="15">
        <v>-5.5786974970203299E-3</v>
      </c>
      <c r="X90" s="34">
        <v>1.6531698355601201</v>
      </c>
      <c r="Y90" s="34">
        <v>1.6383944060714599</v>
      </c>
      <c r="Z90" s="34">
        <v>1.6458253877618301</v>
      </c>
      <c r="AA90" s="34">
        <v>1.6456970898944601</v>
      </c>
      <c r="AB90" s="33">
        <v>31.883155142150699</v>
      </c>
      <c r="AC90" s="33">
        <v>32.009523724471997</v>
      </c>
      <c r="AD90" s="33">
        <v>32.010780794202397</v>
      </c>
      <c r="AE90" s="15">
        <v>-8.9778158024241394E-3</v>
      </c>
      <c r="AF90" s="15">
        <v>-5.0221592439811296E-3</v>
      </c>
      <c r="AG90" s="15">
        <v>-4.9828882739323599E-3</v>
      </c>
      <c r="AI90" s="12"/>
      <c r="AJ90">
        <f t="shared" si="26"/>
        <v>0</v>
      </c>
      <c r="AK90">
        <f t="shared" si="27"/>
        <v>0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8.1412832384008382E-3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4.7187128644676692E-3</v>
      </c>
      <c r="BE90" s="29">
        <f t="shared" si="42"/>
        <v>0</v>
      </c>
      <c r="BF90" s="29">
        <f t="shared" si="43"/>
        <v>1.2859996102868507E-2</v>
      </c>
      <c r="BH90" s="29"/>
    </row>
    <row r="91" spans="1:60" x14ac:dyDescent="0.25">
      <c r="A91" s="1">
        <v>46154</v>
      </c>
      <c r="B91" s="33">
        <v>19.079999999999998</v>
      </c>
      <c r="C91" s="33">
        <v>31.57</v>
      </c>
      <c r="D91" s="15">
        <v>1.0487677940844301E-3</v>
      </c>
      <c r="E91" s="15">
        <v>-3.4782643763247999E-3</v>
      </c>
      <c r="F91" s="33">
        <v>0</v>
      </c>
      <c r="G91" s="33">
        <v>0.4</v>
      </c>
      <c r="H91" s="33">
        <v>0</v>
      </c>
      <c r="I91" s="33">
        <v>0.49068499999999998</v>
      </c>
      <c r="J91" s="33">
        <v>0.4</v>
      </c>
      <c r="K91" s="33">
        <v>0.49068499999999998</v>
      </c>
      <c r="L91" s="33">
        <v>19.479999999999901</v>
      </c>
      <c r="M91" s="33">
        <v>32.060684999999999</v>
      </c>
      <c r="N91" s="34">
        <v>1.6546121593291401</v>
      </c>
      <c r="O91" s="34">
        <v>1.6459148161032899</v>
      </c>
      <c r="P91" s="34">
        <v>1.6550454531144501</v>
      </c>
      <c r="Q91" s="34">
        <v>1.65387972385395</v>
      </c>
      <c r="R91" s="33">
        <v>31.404054691250799</v>
      </c>
      <c r="S91" s="33">
        <v>31.5634419822659</v>
      </c>
      <c r="T91" s="33">
        <v>31.5524062721794</v>
      </c>
      <c r="U91" s="15">
        <v>-5.2702876976796903E-3</v>
      </c>
      <c r="V91" s="15">
        <v>-2.0775099699221801E-4</v>
      </c>
      <c r="W91" s="15">
        <v>-5.5744795913852704E-4</v>
      </c>
      <c r="X91" s="34">
        <v>1.6458257186858301</v>
      </c>
      <c r="Y91" s="34">
        <v>1.6383944060714599</v>
      </c>
      <c r="Z91" s="34">
        <v>1.6464682705112399</v>
      </c>
      <c r="AA91" s="34">
        <v>1.6458241532598501</v>
      </c>
      <c r="AB91" s="33">
        <v>31.915923030272101</v>
      </c>
      <c r="AC91" s="33">
        <v>32.060678553600397</v>
      </c>
      <c r="AD91" s="33">
        <v>32.058179311144102</v>
      </c>
      <c r="AE91" s="15">
        <v>-4.5254733329589004E-3</v>
      </c>
      <c r="AF91" s="15">
        <v>-2.01068697033769E-7</v>
      </c>
      <c r="AG91" s="15">
        <v>-7.8157618170179505E-5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8.1412832384008382E-3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4.7187128644676692E-3</v>
      </c>
      <c r="BE91" s="29">
        <f t="shared" si="42"/>
        <v>0</v>
      </c>
      <c r="BF91" s="29">
        <f t="shared" si="43"/>
        <v>1.2859996102868507E-2</v>
      </c>
      <c r="BH91" s="29"/>
    </row>
    <row r="92" spans="1:60" x14ac:dyDescent="0.25">
      <c r="A92" s="1">
        <v>46155</v>
      </c>
      <c r="B92" s="33">
        <v>19.03</v>
      </c>
      <c r="C92" s="33">
        <v>31.58</v>
      </c>
      <c r="D92" s="15">
        <v>-2.62398471208214E-3</v>
      </c>
      <c r="E92" s="15">
        <v>3.1670625759574398E-4</v>
      </c>
      <c r="F92" s="33">
        <v>0</v>
      </c>
      <c r="G92" s="33">
        <v>0.4</v>
      </c>
      <c r="H92" s="33">
        <v>0</v>
      </c>
      <c r="I92" s="33">
        <v>0.49068499999999998</v>
      </c>
      <c r="J92" s="33">
        <v>0.4</v>
      </c>
      <c r="K92" s="33">
        <v>0.49068499999999998</v>
      </c>
      <c r="L92" s="33">
        <v>19.43</v>
      </c>
      <c r="M92" s="33">
        <v>32.070684999999997</v>
      </c>
      <c r="N92" s="34">
        <v>1.6594850236468699</v>
      </c>
      <c r="O92" s="34">
        <v>1.6459148161032899</v>
      </c>
      <c r="P92" s="34">
        <v>1.6562476552677201</v>
      </c>
      <c r="Q92" s="34">
        <v>1.6543276592468199</v>
      </c>
      <c r="R92" s="33">
        <v>31.321758950445599</v>
      </c>
      <c r="S92" s="33">
        <v>31.495514972767999</v>
      </c>
      <c r="T92" s="33">
        <v>31.473331144940701</v>
      </c>
      <c r="U92" s="15">
        <v>-8.2109786673575103E-3</v>
      </c>
      <c r="V92" s="15">
        <v>-2.6788549500480099E-3</v>
      </c>
      <c r="W92" s="15">
        <v>-3.3834519091096699E-3</v>
      </c>
      <c r="X92" s="34">
        <v>1.65057565620174</v>
      </c>
      <c r="Y92" s="34">
        <v>1.6383944060714599</v>
      </c>
      <c r="Z92" s="34">
        <v>1.64752812541341</v>
      </c>
      <c r="AA92" s="34">
        <v>1.64620174436009</v>
      </c>
      <c r="AB92" s="33">
        <v>31.834003309968502</v>
      </c>
      <c r="AC92" s="33">
        <v>31.9908784960334</v>
      </c>
      <c r="AD92" s="33">
        <v>31.9783632978389</v>
      </c>
      <c r="AE92" s="15">
        <v>-7.4073680194380901E-3</v>
      </c>
      <c r="AF92" s="15">
        <v>-2.49155783583359E-3</v>
      </c>
      <c r="AG92" s="15">
        <v>-2.88284583623202E-3</v>
      </c>
      <c r="AI92" s="12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8.1412832384008382E-3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4.7187128644676692E-3</v>
      </c>
      <c r="BE92" s="29">
        <f t="shared" si="42"/>
        <v>0</v>
      </c>
      <c r="BF92" s="29">
        <f t="shared" si="43"/>
        <v>1.2859996102868507E-2</v>
      </c>
      <c r="BH92" s="29"/>
    </row>
    <row r="93" spans="1:60" x14ac:dyDescent="0.25">
      <c r="A93" s="1">
        <v>46156</v>
      </c>
      <c r="B93" s="33">
        <v>19.05</v>
      </c>
      <c r="C93" s="33">
        <v>31.6</v>
      </c>
      <c r="D93" s="15">
        <v>1.0504202646517899E-3</v>
      </c>
      <c r="E93" s="15">
        <v>6.3311176537055795E-4</v>
      </c>
      <c r="F93" s="33">
        <v>0</v>
      </c>
      <c r="G93" s="33">
        <v>0.4</v>
      </c>
      <c r="H93" s="33">
        <v>0</v>
      </c>
      <c r="I93" s="33">
        <v>0.49068499999999998</v>
      </c>
      <c r="J93" s="33">
        <v>0.4</v>
      </c>
      <c r="K93" s="33">
        <v>0.49068499999999998</v>
      </c>
      <c r="L93" s="33">
        <v>19.45</v>
      </c>
      <c r="M93" s="33">
        <v>32.090685000000001</v>
      </c>
      <c r="N93" s="34">
        <v>1.6587926509186299</v>
      </c>
      <c r="O93" s="34">
        <v>1.6459148161032899</v>
      </c>
      <c r="P93" s="34">
        <v>1.6573809800767101</v>
      </c>
      <c r="Q93" s="34">
        <v>1.65442752447387</v>
      </c>
      <c r="R93" s="33">
        <v>31.3546772467677</v>
      </c>
      <c r="S93" s="33">
        <v>31.551517832850099</v>
      </c>
      <c r="T93" s="33">
        <v>31.514941908651998</v>
      </c>
      <c r="U93" s="15">
        <v>-7.7936701680760704E-3</v>
      </c>
      <c r="V93" s="15">
        <v>-1.5354239561742799E-3</v>
      </c>
      <c r="W93" s="15">
        <v>-2.6953409215106001E-3</v>
      </c>
      <c r="X93" s="34">
        <v>1.6499066838046199</v>
      </c>
      <c r="Y93" s="34">
        <v>1.6383944060714599</v>
      </c>
      <c r="Z93" s="34">
        <v>1.64851487424772</v>
      </c>
      <c r="AA93" s="34">
        <v>1.64623908792044</v>
      </c>
      <c r="AB93" s="33">
        <v>31.866771198089999</v>
      </c>
      <c r="AC93" s="33">
        <v>32.0444220392909</v>
      </c>
      <c r="AD93" s="33">
        <v>32.018623927803802</v>
      </c>
      <c r="AE93" s="15">
        <v>-7.0019894490547102E-3</v>
      </c>
      <c r="AF93" s="15">
        <v>-1.4426722233307999E-3</v>
      </c>
      <c r="AG93" s="15">
        <v>-2.2480698591202299E-3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8.1412832384008382E-3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4.7187128644676692E-3</v>
      </c>
      <c r="BE93" s="29">
        <f t="shared" si="42"/>
        <v>0</v>
      </c>
      <c r="BF93" s="29">
        <f t="shared" si="43"/>
        <v>1.2859996102868507E-2</v>
      </c>
      <c r="BH93" s="29"/>
    </row>
    <row r="94" spans="1:60" x14ac:dyDescent="0.25">
      <c r="A94" s="1">
        <v>46157</v>
      </c>
      <c r="B94" s="33">
        <v>18.84</v>
      </c>
      <c r="C94" s="33">
        <v>31.23</v>
      </c>
      <c r="D94" s="15">
        <v>-1.1084832424493001E-2</v>
      </c>
      <c r="E94" s="15">
        <v>-1.17779492978792E-2</v>
      </c>
      <c r="F94" s="33">
        <v>0</v>
      </c>
      <c r="G94" s="33">
        <v>0.4</v>
      </c>
      <c r="H94" s="33">
        <v>0</v>
      </c>
      <c r="I94" s="33">
        <v>0.49068499999999998</v>
      </c>
      <c r="J94" s="33">
        <v>0.4</v>
      </c>
      <c r="K94" s="33">
        <v>0.49068499999999998</v>
      </c>
      <c r="L94" s="33">
        <v>19.239999999999998</v>
      </c>
      <c r="M94" s="33">
        <v>31.720685</v>
      </c>
      <c r="N94" s="34">
        <v>1.6576433121019101</v>
      </c>
      <c r="O94" s="34">
        <v>1.6459148161032899</v>
      </c>
      <c r="P94" s="34">
        <v>1.65782952181322</v>
      </c>
      <c r="Q94" s="34">
        <v>1.6543455550578701</v>
      </c>
      <c r="R94" s="33">
        <v>31.009035135386</v>
      </c>
      <c r="S94" s="33">
        <v>31.225057664645298</v>
      </c>
      <c r="T94" s="33">
        <v>31.169414561087802</v>
      </c>
      <c r="U94" s="15">
        <v>-7.1005532946898297E-3</v>
      </c>
      <c r="V94" s="15">
        <v>-1.5826853900208999E-4</v>
      </c>
      <c r="W94" s="15">
        <v>-1.94185981956228E-3</v>
      </c>
      <c r="X94" s="34">
        <v>1.6486842515592499</v>
      </c>
      <c r="Y94" s="34">
        <v>1.6383944060714599</v>
      </c>
      <c r="Z94" s="34">
        <v>1.64894677878509</v>
      </c>
      <c r="AA94" s="34">
        <v>1.6460918882450299</v>
      </c>
      <c r="AB94" s="33">
        <v>31.522708372815</v>
      </c>
      <c r="AC94" s="33">
        <v>31.7174261805261</v>
      </c>
      <c r="AD94" s="33">
        <v>31.673640051589299</v>
      </c>
      <c r="AE94" s="15">
        <v>-6.2608049097822201E-3</v>
      </c>
      <c r="AF94" s="15">
        <v>-1.0274011681757E-4</v>
      </c>
      <c r="AG94" s="15">
        <v>-1.48420089679816E-3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1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8.1412832384008382E-3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4.7187128644676692E-3</v>
      </c>
      <c r="BE94" s="29">
        <f t="shared" si="42"/>
        <v>0</v>
      </c>
      <c r="BF94" s="29">
        <f t="shared" si="43"/>
        <v>1.2859996102868507E-2</v>
      </c>
      <c r="BH94" s="29"/>
    </row>
    <row r="95" spans="1:60" x14ac:dyDescent="0.25">
      <c r="A95" s="1">
        <v>46160</v>
      </c>
      <c r="B95" s="33">
        <v>18.82</v>
      </c>
      <c r="C95" s="33">
        <v>31.16</v>
      </c>
      <c r="D95" s="15">
        <v>-1.0621349909834201E-3</v>
      </c>
      <c r="E95" s="15">
        <v>-2.2439502924396699E-3</v>
      </c>
      <c r="F95" s="33">
        <v>0</v>
      </c>
      <c r="G95" s="33">
        <v>0.4</v>
      </c>
      <c r="H95" s="33">
        <v>0</v>
      </c>
      <c r="I95" s="33">
        <v>0.49068499999999998</v>
      </c>
      <c r="J95" s="33">
        <v>0.4</v>
      </c>
      <c r="K95" s="33">
        <v>0.49068499999999998</v>
      </c>
      <c r="L95" s="33">
        <v>19.22</v>
      </c>
      <c r="M95" s="33">
        <v>31.650684999999999</v>
      </c>
      <c r="N95" s="34">
        <v>1.65568544102019</v>
      </c>
      <c r="O95" s="34">
        <v>1.6459148161032899</v>
      </c>
      <c r="P95" s="34">
        <v>1.65808870578832</v>
      </c>
      <c r="Q95" s="34">
        <v>1.6544365078032499</v>
      </c>
      <c r="R95" s="33">
        <v>30.976116839063899</v>
      </c>
      <c r="S95" s="33">
        <v>31.2003516005249</v>
      </c>
      <c r="T95" s="33">
        <v>31.134783346189199</v>
      </c>
      <c r="U95" s="15">
        <v>-5.9187379932335799E-3</v>
      </c>
      <c r="V95" s="15">
        <v>1.2941429969847899E-3</v>
      </c>
      <c r="W95" s="15">
        <v>-8.09591231674734E-4</v>
      </c>
      <c r="X95" s="34">
        <v>1.6467578043704401</v>
      </c>
      <c r="Y95" s="34">
        <v>1.6383944060714599</v>
      </c>
      <c r="Z95" s="34">
        <v>1.64919643286273</v>
      </c>
      <c r="AA95" s="34">
        <v>1.64611398353864</v>
      </c>
      <c r="AB95" s="33">
        <v>31.489940484693498</v>
      </c>
      <c r="AC95" s="33">
        <v>31.692757088249401</v>
      </c>
      <c r="AD95" s="33">
        <v>31.6378860920695</v>
      </c>
      <c r="AE95" s="15">
        <v>-5.0916461896150997E-3</v>
      </c>
      <c r="AF95" s="15">
        <v>1.32838043052744E-3</v>
      </c>
      <c r="AG95" s="15">
        <v>-4.0446190786471998E-4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8.1412832384008382E-3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4.7187128644676692E-3</v>
      </c>
      <c r="BE95" s="29">
        <f t="shared" si="42"/>
        <v>0</v>
      </c>
      <c r="BF95" s="29">
        <f t="shared" si="43"/>
        <v>1.2859996102868507E-2</v>
      </c>
      <c r="BH95" s="29"/>
    </row>
    <row r="96" spans="1:60" x14ac:dyDescent="0.25">
      <c r="A96" s="1">
        <v>46161</v>
      </c>
      <c r="B96" s="33">
        <v>18.7</v>
      </c>
      <c r="C96" s="33">
        <v>30.97</v>
      </c>
      <c r="D96" s="15">
        <v>-6.3966102966926397E-3</v>
      </c>
      <c r="E96" s="15">
        <v>-6.11622701743609E-3</v>
      </c>
      <c r="F96" s="33">
        <v>0</v>
      </c>
      <c r="G96" s="33">
        <v>0.4</v>
      </c>
      <c r="H96" s="33">
        <v>0</v>
      </c>
      <c r="I96" s="33">
        <v>0.49068499999999998</v>
      </c>
      <c r="J96" s="33">
        <v>0.4</v>
      </c>
      <c r="K96" s="33">
        <v>0.49068499999999998</v>
      </c>
      <c r="L96" s="33">
        <v>19.099999999999898</v>
      </c>
      <c r="M96" s="33">
        <v>31.460684999999899</v>
      </c>
      <c r="N96" s="34">
        <v>1.6561497326203201</v>
      </c>
      <c r="O96" s="34">
        <v>1.6459148161032899</v>
      </c>
      <c r="P96" s="34">
        <v>1.6577406183643399</v>
      </c>
      <c r="Q96" s="34">
        <v>1.65455474086095</v>
      </c>
      <c r="R96" s="33">
        <v>30.778607061131499</v>
      </c>
      <c r="S96" s="33">
        <v>31.006258798241699</v>
      </c>
      <c r="T96" s="33">
        <v>30.937962695920898</v>
      </c>
      <c r="U96" s="15">
        <v>-6.1991212724901799E-3</v>
      </c>
      <c r="V96" s="15">
        <v>1.1700868391105201E-3</v>
      </c>
      <c r="W96" s="15">
        <v>-1.03499794029245E-3</v>
      </c>
      <c r="X96" s="34">
        <v>1.6471562827225099</v>
      </c>
      <c r="Y96" s="34">
        <v>1.6383944060714599</v>
      </c>
      <c r="Z96" s="34">
        <v>1.6488439216001001</v>
      </c>
      <c r="AA96" s="34">
        <v>1.6461623656789399</v>
      </c>
      <c r="AB96" s="33">
        <v>31.293333155965001</v>
      </c>
      <c r="AC96" s="33">
        <v>31.4996518676782</v>
      </c>
      <c r="AD96" s="33">
        <v>31.440777085588099</v>
      </c>
      <c r="AE96" s="15">
        <v>-5.3335944271669699E-3</v>
      </c>
      <c r="AF96" s="15">
        <v>1.23782287682472E-3</v>
      </c>
      <c r="AG96" s="15">
        <v>-6.3298735566751899E-4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8.1412832384008382E-3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4.7187128644676692E-3</v>
      </c>
      <c r="BE96" s="29">
        <f t="shared" si="42"/>
        <v>0</v>
      </c>
      <c r="BF96" s="29">
        <f t="shared" si="43"/>
        <v>1.2859996102868507E-2</v>
      </c>
      <c r="BH96" s="29"/>
    </row>
    <row r="97" spans="1:60" x14ac:dyDescent="0.25">
      <c r="A97" s="1">
        <v>46162</v>
      </c>
      <c r="B97" s="33">
        <v>18.809999999999999</v>
      </c>
      <c r="C97" s="33">
        <v>31.11</v>
      </c>
      <c r="D97" s="15">
        <v>5.8651194523980498E-3</v>
      </c>
      <c r="E97" s="15">
        <v>4.5103169244342699E-3</v>
      </c>
      <c r="F97" s="33">
        <v>0</v>
      </c>
      <c r="G97" s="33">
        <v>0.4</v>
      </c>
      <c r="H97" s="33">
        <v>0</v>
      </c>
      <c r="I97" s="33">
        <v>0.49068499999999998</v>
      </c>
      <c r="J97" s="33">
        <v>0.4</v>
      </c>
      <c r="K97" s="33">
        <v>0.49068499999999998</v>
      </c>
      <c r="L97" s="33">
        <v>19.209999999999901</v>
      </c>
      <c r="M97" s="33">
        <v>31.600684999999999</v>
      </c>
      <c r="N97" s="34">
        <v>1.65390749601275</v>
      </c>
      <c r="O97" s="34">
        <v>1.6459148161032899</v>
      </c>
      <c r="P97" s="34">
        <v>1.6574605084268299</v>
      </c>
      <c r="Q97" s="34">
        <v>1.65450326692209</v>
      </c>
      <c r="R97" s="33">
        <v>30.959657690902901</v>
      </c>
      <c r="S97" s="33">
        <v>31.182101031433302</v>
      </c>
      <c r="T97" s="33">
        <v>31.122174675594501</v>
      </c>
      <c r="U97" s="15">
        <v>-4.8443187445263696E-3</v>
      </c>
      <c r="V97" s="15">
        <v>2.3149343957933198E-3</v>
      </c>
      <c r="W97" s="15">
        <v>3.91266280291341E-4</v>
      </c>
      <c r="X97" s="34">
        <v>1.64501223321186</v>
      </c>
      <c r="Y97" s="34">
        <v>1.6383944060714599</v>
      </c>
      <c r="Z97" s="34">
        <v>1.6485572342436701</v>
      </c>
      <c r="AA97" s="34">
        <v>1.6460438977118099</v>
      </c>
      <c r="AB97" s="33">
        <v>31.473556540632799</v>
      </c>
      <c r="AC97" s="33">
        <v>31.674291733937899</v>
      </c>
      <c r="AD97" s="33">
        <v>31.6227790446924</v>
      </c>
      <c r="AE97" s="15">
        <v>-4.03107919844156E-3</v>
      </c>
      <c r="AF97" s="15">
        <v>2.3265679717204102E-3</v>
      </c>
      <c r="AG97" s="15">
        <v>6.9891917267304296E-4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8.1412832384008382E-3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4.7187128644676692E-3</v>
      </c>
      <c r="BE97" s="29">
        <f t="shared" si="42"/>
        <v>0</v>
      </c>
      <c r="BF97" s="29">
        <f t="shared" si="43"/>
        <v>1.2859996102868507E-2</v>
      </c>
      <c r="BH97" s="29"/>
    </row>
    <row r="98" spans="1:60" x14ac:dyDescent="0.25">
      <c r="A98" s="1">
        <v>46163</v>
      </c>
      <c r="B98" s="33">
        <v>18.809999999999999</v>
      </c>
      <c r="C98" s="33">
        <v>31.13</v>
      </c>
      <c r="D98" s="15">
        <v>0</v>
      </c>
      <c r="E98" s="15">
        <v>6.4267354397117503E-4</v>
      </c>
      <c r="F98" s="33">
        <v>0</v>
      </c>
      <c r="G98" s="33">
        <v>0.4</v>
      </c>
      <c r="H98" s="33">
        <v>0</v>
      </c>
      <c r="I98" s="33">
        <v>0.49068499999999998</v>
      </c>
      <c r="J98" s="33">
        <v>0.4</v>
      </c>
      <c r="K98" s="33">
        <v>0.49068499999999998</v>
      </c>
      <c r="L98" s="33">
        <v>19.209999999999901</v>
      </c>
      <c r="M98" s="33">
        <v>31.620684999999899</v>
      </c>
      <c r="N98" s="34">
        <v>1.6549707602339101</v>
      </c>
      <c r="O98" s="34">
        <v>1.6459148161032899</v>
      </c>
      <c r="P98" s="34">
        <v>1.6570628476081199</v>
      </c>
      <c r="Q98" s="34">
        <v>1.6546875679122901</v>
      </c>
      <c r="R98" s="33">
        <v>30.959657690902901</v>
      </c>
      <c r="S98" s="33">
        <v>31.176832163508699</v>
      </c>
      <c r="T98" s="33">
        <v>31.1212064508046</v>
      </c>
      <c r="U98" s="15">
        <v>-5.4869922884975501E-3</v>
      </c>
      <c r="V98" s="15">
        <v>1.5032756666333001E-3</v>
      </c>
      <c r="W98" s="15">
        <v>-2.8251819539559201E-4</v>
      </c>
      <c r="X98" s="34">
        <v>1.64605335762623</v>
      </c>
      <c r="Y98" s="34">
        <v>1.6383944060714599</v>
      </c>
      <c r="Z98" s="34">
        <v>1.64815903907846</v>
      </c>
      <c r="AA98" s="34">
        <v>1.6461566843334501</v>
      </c>
      <c r="AB98" s="33">
        <v>31.473556540632799</v>
      </c>
      <c r="AC98" s="33">
        <v>31.668784469820899</v>
      </c>
      <c r="AD98" s="33">
        <v>31.620503275044001</v>
      </c>
      <c r="AE98" s="15">
        <v>-4.6637766761195498E-3</v>
      </c>
      <c r="AF98" s="15">
        <v>1.5199836397567501E-3</v>
      </c>
      <c r="AG98" s="15">
        <v>-5.7470443209848596E-6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8.1412832384008382E-3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4.7187128644676692E-3</v>
      </c>
      <c r="BE98" s="29">
        <f t="shared" si="42"/>
        <v>0</v>
      </c>
      <c r="BF98" s="29">
        <f t="shared" si="43"/>
        <v>1.2859996102868507E-2</v>
      </c>
      <c r="BH98" s="29"/>
    </row>
    <row r="99" spans="1:60" x14ac:dyDescent="0.25">
      <c r="A99" s="1">
        <v>46164</v>
      </c>
      <c r="B99" s="33">
        <v>18.82</v>
      </c>
      <c r="C99" s="33">
        <v>31.24</v>
      </c>
      <c r="D99" s="15">
        <v>5.3149084429457199E-4</v>
      </c>
      <c r="E99" s="15">
        <v>3.5273405179684402E-3</v>
      </c>
      <c r="F99" s="33">
        <v>0</v>
      </c>
      <c r="G99" s="33">
        <v>0.4</v>
      </c>
      <c r="H99" s="33">
        <v>0</v>
      </c>
      <c r="I99" s="33">
        <v>0.49068499999999998</v>
      </c>
      <c r="J99" s="33">
        <v>0.4</v>
      </c>
      <c r="K99" s="33">
        <v>0.49068499999999998</v>
      </c>
      <c r="L99" s="33">
        <v>19.22</v>
      </c>
      <c r="M99" s="33">
        <v>31.730684999999902</v>
      </c>
      <c r="N99" s="34">
        <v>1.6599362380446301</v>
      </c>
      <c r="O99" s="34">
        <v>1.6459148161032899</v>
      </c>
      <c r="P99" s="34">
        <v>1.65733024361739</v>
      </c>
      <c r="Q99" s="34">
        <v>1.6552576015718401</v>
      </c>
      <c r="R99" s="33">
        <v>30.976116839063899</v>
      </c>
      <c r="S99" s="33">
        <v>31.185922791984801</v>
      </c>
      <c r="T99" s="33">
        <v>31.141220028109299</v>
      </c>
      <c r="U99" s="15">
        <v>-8.4828419621712104E-3</v>
      </c>
      <c r="V99" s="15">
        <v>-1.7325245386289299E-3</v>
      </c>
      <c r="W99" s="15">
        <v>-3.16698052419539E-3</v>
      </c>
      <c r="X99" s="34">
        <v>1.6509201352757501</v>
      </c>
      <c r="Y99" s="34">
        <v>1.6383944060714599</v>
      </c>
      <c r="Z99" s="34">
        <v>1.6484061959018399</v>
      </c>
      <c r="AA99" s="34">
        <v>1.64664718131351</v>
      </c>
      <c r="AB99" s="33">
        <v>31.489940484693498</v>
      </c>
      <c r="AC99" s="33">
        <v>31.677616731088001</v>
      </c>
      <c r="AD99" s="33">
        <v>31.639131472888899</v>
      </c>
      <c r="AE99" s="15">
        <v>-7.6160486278724496E-3</v>
      </c>
      <c r="AF99" s="15">
        <v>-1.67385909585164E-3</v>
      </c>
      <c r="AG99" s="15">
        <v>-2.8895015294948001E-3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8.1412832384008382E-3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4.7187128644676692E-3</v>
      </c>
      <c r="BE99" s="29">
        <f t="shared" si="42"/>
        <v>0</v>
      </c>
      <c r="BF99" s="29">
        <f t="shared" si="43"/>
        <v>1.2859996102868507E-2</v>
      </c>
      <c r="BH99" s="29"/>
    </row>
    <row r="100" spans="1:60" x14ac:dyDescent="0.25">
      <c r="A100" s="1">
        <v>46168</v>
      </c>
      <c r="B100" s="33">
        <v>18.899999999999999</v>
      </c>
      <c r="C100" s="33">
        <v>31.34</v>
      </c>
      <c r="D100" s="15">
        <v>4.2417879083631203E-3</v>
      </c>
      <c r="E100" s="15">
        <v>3.1959119563895601E-3</v>
      </c>
      <c r="F100" s="33">
        <v>0</v>
      </c>
      <c r="G100" s="33">
        <v>0.4</v>
      </c>
      <c r="H100" s="33">
        <v>0</v>
      </c>
      <c r="I100" s="33">
        <v>0.49068499999999998</v>
      </c>
      <c r="J100" s="33">
        <v>0.4</v>
      </c>
      <c r="K100" s="33">
        <v>0.49068499999999998</v>
      </c>
      <c r="L100" s="33">
        <v>19.299999999999901</v>
      </c>
      <c r="M100" s="33">
        <v>31.830684999999999</v>
      </c>
      <c r="N100" s="34">
        <v>1.65820105820105</v>
      </c>
      <c r="O100" s="34">
        <v>1.6459148161032899</v>
      </c>
      <c r="P100" s="34">
        <v>1.65693838721294</v>
      </c>
      <c r="Q100" s="34">
        <v>1.6556034174604</v>
      </c>
      <c r="R100" s="33">
        <v>31.107790024352202</v>
      </c>
      <c r="S100" s="33">
        <v>31.3235416043687</v>
      </c>
      <c r="T100" s="33">
        <v>31.284368669707899</v>
      </c>
      <c r="U100" s="15">
        <v>-7.4369660101978301E-3</v>
      </c>
      <c r="V100" s="15">
        <v>-5.2529415313465203E-4</v>
      </c>
      <c r="W100" s="15">
        <v>-1.77666764894925E-3</v>
      </c>
      <c r="X100" s="34">
        <v>1.64925829015544</v>
      </c>
      <c r="Y100" s="34">
        <v>1.6383944060714599</v>
      </c>
      <c r="Z100" s="34">
        <v>1.6480150413613699</v>
      </c>
      <c r="AA100" s="34">
        <v>1.6469202145616</v>
      </c>
      <c r="AB100" s="33">
        <v>31.621012037179302</v>
      </c>
      <c r="AC100" s="33">
        <v>31.8142395809055</v>
      </c>
      <c r="AD100" s="33">
        <v>31.7802905993507</v>
      </c>
      <c r="AE100" s="15">
        <v>-6.6089241354662298E-3</v>
      </c>
      <c r="AF100" s="15">
        <v>-5.1678651734686704E-4</v>
      </c>
      <c r="AG100" s="15">
        <v>-1.5844564783788601E-3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8.1412832384008382E-3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4.7187128644676692E-3</v>
      </c>
      <c r="BE100" s="29">
        <f t="shared" si="42"/>
        <v>0</v>
      </c>
      <c r="BF100" s="29">
        <f t="shared" si="43"/>
        <v>1.2859996102868507E-2</v>
      </c>
      <c r="BH100" s="29"/>
    </row>
    <row r="101" spans="1:60" x14ac:dyDescent="0.25">
      <c r="A101" s="1">
        <v>46169</v>
      </c>
      <c r="B101" s="33">
        <v>18.95</v>
      </c>
      <c r="C101" s="33">
        <v>31.39</v>
      </c>
      <c r="D101" s="15">
        <v>2.6420094628387901E-3</v>
      </c>
      <c r="E101" s="15">
        <v>1.59413392598747E-3</v>
      </c>
      <c r="F101" s="33">
        <v>0</v>
      </c>
      <c r="G101" s="33">
        <v>0.4</v>
      </c>
      <c r="H101" s="33">
        <v>0</v>
      </c>
      <c r="I101" s="33">
        <v>0.49068499999999998</v>
      </c>
      <c r="J101" s="33">
        <v>0.4</v>
      </c>
      <c r="K101" s="33">
        <v>0.49068499999999998</v>
      </c>
      <c r="L101" s="33">
        <v>19.349999999999898</v>
      </c>
      <c r="M101" s="33">
        <v>31.880685</v>
      </c>
      <c r="N101" s="34">
        <v>1.6564643799472201</v>
      </c>
      <c r="O101" s="34">
        <v>1.6459148161032899</v>
      </c>
      <c r="P101" s="34">
        <v>1.6571236092747501</v>
      </c>
      <c r="Q101" s="34">
        <v>1.6560845311946</v>
      </c>
      <c r="R101" s="33">
        <v>31.190085765157299</v>
      </c>
      <c r="S101" s="33">
        <v>31.398982437685198</v>
      </c>
      <c r="T101" s="33">
        <v>31.3736847608745</v>
      </c>
      <c r="U101" s="15">
        <v>-6.3890904733466102E-3</v>
      </c>
      <c r="V101" s="15">
        <v>2.86115092101823E-4</v>
      </c>
      <c r="W101" s="15">
        <v>-5.1989425270558098E-4</v>
      </c>
      <c r="X101" s="34">
        <v>1.64758062015503</v>
      </c>
      <c r="Y101" s="34">
        <v>1.6383944060714599</v>
      </c>
      <c r="Z101" s="34">
        <v>1.6481905315082901</v>
      </c>
      <c r="AA101" s="34">
        <v>1.6473294010097601</v>
      </c>
      <c r="AB101" s="33">
        <v>31.702931757482801</v>
      </c>
      <c r="AC101" s="33">
        <v>31.8890910503425</v>
      </c>
      <c r="AD101" s="33">
        <v>31.867906151766999</v>
      </c>
      <c r="AE101" s="15">
        <v>-5.5911794467789402E-3</v>
      </c>
      <c r="AF101" s="15">
        <v>2.6363744431522399E-4</v>
      </c>
      <c r="AG101" s="15">
        <v>-4.0091390800271498E-4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8.1412832384008382E-3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4.7187128644676692E-3</v>
      </c>
      <c r="BE101" s="29">
        <f t="shared" si="42"/>
        <v>0</v>
      </c>
      <c r="BF101" s="29">
        <f t="shared" si="43"/>
        <v>1.2859996102868507E-2</v>
      </c>
      <c r="BH101" s="29"/>
    </row>
    <row r="102" spans="1:60" x14ac:dyDescent="0.25">
      <c r="A102" s="1">
        <v>46170</v>
      </c>
      <c r="B102" s="33">
        <v>19</v>
      </c>
      <c r="C102" s="33">
        <v>31.5</v>
      </c>
      <c r="D102" s="15">
        <v>2.6350476380052499E-3</v>
      </c>
      <c r="E102" s="15">
        <v>3.4981749777251098E-3</v>
      </c>
      <c r="F102" s="33">
        <v>0</v>
      </c>
      <c r="G102" s="33">
        <v>0.4</v>
      </c>
      <c r="H102" s="33">
        <v>0</v>
      </c>
      <c r="I102" s="33">
        <v>0.49068499999999998</v>
      </c>
      <c r="J102" s="33">
        <v>0.4</v>
      </c>
      <c r="K102" s="33">
        <v>0.49068499999999998</v>
      </c>
      <c r="L102" s="33">
        <v>19.399999999999999</v>
      </c>
      <c r="M102" s="33">
        <v>31.990684999999999</v>
      </c>
      <c r="N102" s="34">
        <v>1.6578947368421</v>
      </c>
      <c r="O102" s="34">
        <v>1.6459148161032899</v>
      </c>
      <c r="P102" s="34">
        <v>1.6569645805942701</v>
      </c>
      <c r="Q102" s="34">
        <v>1.6566061179310001</v>
      </c>
      <c r="R102" s="33">
        <v>31.2723815059625</v>
      </c>
      <c r="S102" s="33">
        <v>31.4853485762203</v>
      </c>
      <c r="T102" s="33">
        <v>31.465606092697399</v>
      </c>
      <c r="U102" s="15">
        <v>-7.2522178130666097E-3</v>
      </c>
      <c r="V102" s="15">
        <v>-4.65232768418446E-4</v>
      </c>
      <c r="W102" s="15">
        <v>-1.09246659748195E-3</v>
      </c>
      <c r="X102" s="34">
        <v>1.64900438144329</v>
      </c>
      <c r="Y102" s="34">
        <v>1.6383944060714599</v>
      </c>
      <c r="Z102" s="34">
        <v>1.64803340403244</v>
      </c>
      <c r="AA102" s="34">
        <v>1.6477807647229299</v>
      </c>
      <c r="AB102" s="33">
        <v>31.7848514777864</v>
      </c>
      <c r="AC102" s="33">
        <v>31.9748963112608</v>
      </c>
      <c r="AD102" s="33">
        <v>31.958190379589499</v>
      </c>
      <c r="AE102" s="15">
        <v>-6.4549590102325697E-3</v>
      </c>
      <c r="AF102" s="15">
        <v>-4.9366202060862003E-4</v>
      </c>
      <c r="AG102" s="15">
        <v>-1.0162687932917501E-3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8.1412832384008382E-3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4.7187128644676692E-3</v>
      </c>
      <c r="BE102" s="29">
        <f t="shared" si="42"/>
        <v>0</v>
      </c>
      <c r="BF102" s="29">
        <f t="shared" si="43"/>
        <v>1.2859996102868507E-2</v>
      </c>
      <c r="BH102" s="29"/>
    </row>
    <row r="103" spans="1:60" x14ac:dyDescent="0.25">
      <c r="A103" s="1">
        <v>46171</v>
      </c>
      <c r="B103" s="33">
        <v>19.02</v>
      </c>
      <c r="C103" s="33">
        <v>31.56</v>
      </c>
      <c r="D103" s="15">
        <v>1.05207795080383E-3</v>
      </c>
      <c r="E103" s="15">
        <v>1.90295014608606E-3</v>
      </c>
      <c r="F103" s="33">
        <v>0</v>
      </c>
      <c r="G103" s="33">
        <v>0.4</v>
      </c>
      <c r="H103" s="33">
        <v>0</v>
      </c>
      <c r="I103" s="33">
        <v>0.49068499999999998</v>
      </c>
      <c r="J103" s="33">
        <v>0.4</v>
      </c>
      <c r="K103" s="33">
        <v>0.49068499999999998</v>
      </c>
      <c r="L103" s="33">
        <v>19.419999999999899</v>
      </c>
      <c r="M103" s="33">
        <v>32.050685000000001</v>
      </c>
      <c r="N103" s="34">
        <v>1.6593059936908501</v>
      </c>
      <c r="O103" s="34">
        <v>1.6459148161032899</v>
      </c>
      <c r="P103" s="34">
        <v>1.65701591487149</v>
      </c>
      <c r="Q103" s="34">
        <v>1.6571984474740999</v>
      </c>
      <c r="R103" s="33">
        <v>31.305299802284601</v>
      </c>
      <c r="S103" s="33">
        <v>31.515466322903102</v>
      </c>
      <c r="T103" s="33">
        <v>31.508648363047602</v>
      </c>
      <c r="U103" s="15">
        <v>-8.1030900083489104E-3</v>
      </c>
      <c r="V103" s="15">
        <v>-1.4120762665072899E-3</v>
      </c>
      <c r="W103" s="15">
        <v>-1.6284366205105601E-3</v>
      </c>
      <c r="X103" s="34">
        <v>1.6503957260556099</v>
      </c>
      <c r="Y103" s="34">
        <v>1.6383944060714599</v>
      </c>
      <c r="Z103" s="34">
        <v>1.64808230825754</v>
      </c>
      <c r="AA103" s="34">
        <v>1.64829859125263</v>
      </c>
      <c r="AB103" s="33">
        <v>31.817619365907799</v>
      </c>
      <c r="AC103" s="33">
        <v>32.004808706310101</v>
      </c>
      <c r="AD103" s="33">
        <v>31.999902450919301</v>
      </c>
      <c r="AE103" s="15">
        <v>-7.2983515358162002E-3</v>
      </c>
      <c r="AF103" s="15">
        <v>-1.4323924109955501E-3</v>
      </c>
      <c r="AG103" s="15">
        <v>-1.5857016068873901E-3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0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8.1412832384008382E-3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0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4.7187128644676692E-3</v>
      </c>
      <c r="BE103" s="29">
        <f t="shared" si="42"/>
        <v>0</v>
      </c>
      <c r="BF103" s="29">
        <f t="shared" si="43"/>
        <v>1.2859996102868507E-2</v>
      </c>
      <c r="BH103" s="29"/>
    </row>
    <row r="104" spans="1:60" x14ac:dyDescent="0.25">
      <c r="A104" s="1">
        <v>46174</v>
      </c>
      <c r="B104" s="33">
        <v>18.940000000000001</v>
      </c>
      <c r="C104" s="33">
        <v>31.4</v>
      </c>
      <c r="D104" s="15">
        <v>-4.2149693593119203E-3</v>
      </c>
      <c r="E104" s="15">
        <v>-5.0826030634657697E-3</v>
      </c>
      <c r="F104" s="33">
        <v>0.1</v>
      </c>
      <c r="G104" s="33">
        <v>0.5</v>
      </c>
      <c r="H104" s="33">
        <v>0.13839699999999999</v>
      </c>
      <c r="I104" s="33">
        <v>0.62908200000000003</v>
      </c>
      <c r="J104" s="33">
        <v>0.5</v>
      </c>
      <c r="K104" s="33">
        <v>0.62908200000000003</v>
      </c>
      <c r="L104" s="33">
        <v>19.440000000000001</v>
      </c>
      <c r="M104" s="33">
        <v>32.029081999999903</v>
      </c>
      <c r="N104" s="34">
        <v>1.65786694825765</v>
      </c>
      <c r="O104" s="34">
        <v>1.6459148161032899</v>
      </c>
      <c r="P104" s="34">
        <v>1.6570382784870701</v>
      </c>
      <c r="Q104" s="34">
        <v>1.6574339001501399</v>
      </c>
      <c r="R104" s="33">
        <v>31.173626616996302</v>
      </c>
      <c r="S104" s="33">
        <v>31.3838814276661</v>
      </c>
      <c r="T104" s="33">
        <v>31.387338595159601</v>
      </c>
      <c r="U104" s="15">
        <v>-7.2354563041951E-3</v>
      </c>
      <c r="V104" s="15">
        <v>-5.1346212822236503E-4</v>
      </c>
      <c r="W104" s="15">
        <v>-4.03310772372383E-4</v>
      </c>
      <c r="X104" s="34">
        <v>1.6475865226337401</v>
      </c>
      <c r="Y104" s="34">
        <v>1.6383944060714599</v>
      </c>
      <c r="Z104" s="34">
        <v>1.6479725353649901</v>
      </c>
      <c r="AA104" s="34">
        <v>1.6484596570750401</v>
      </c>
      <c r="AB104" s="33">
        <v>31.8503872540293</v>
      </c>
      <c r="AC104" s="33">
        <v>32.038720072526701</v>
      </c>
      <c r="AD104" s="33">
        <v>32.0429246139512</v>
      </c>
      <c r="AE104" s="15">
        <v>-5.59476195318904E-3</v>
      </c>
      <c r="AF104" s="15">
        <v>3.0087102374774501E-4</v>
      </c>
      <c r="AG104" s="15">
        <v>4.3209554056885201E-4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8.1412832384008382E-3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4.7187128644676692E-3</v>
      </c>
      <c r="BE104" s="29">
        <f t="shared" si="42"/>
        <v>0</v>
      </c>
      <c r="BF104" s="29">
        <f t="shared" si="43"/>
        <v>1.2859996102868507E-2</v>
      </c>
      <c r="BH104" s="29"/>
    </row>
    <row r="105" spans="1:60" x14ac:dyDescent="0.25">
      <c r="A105" s="1">
        <v>46175</v>
      </c>
      <c r="B105" s="33">
        <v>18.95</v>
      </c>
      <c r="C105" s="33">
        <v>31.44</v>
      </c>
      <c r="D105" s="15">
        <v>5.2784377050312198E-4</v>
      </c>
      <c r="E105" s="15">
        <v>1.27307464679811E-3</v>
      </c>
      <c r="F105" s="33">
        <v>0</v>
      </c>
      <c r="G105" s="33">
        <v>0.5</v>
      </c>
      <c r="H105" s="33">
        <v>0</v>
      </c>
      <c r="I105" s="33">
        <v>0.62908200000000003</v>
      </c>
      <c r="J105" s="33">
        <v>0.5</v>
      </c>
      <c r="K105" s="33">
        <v>0.62908200000000003</v>
      </c>
      <c r="L105" s="33">
        <v>19.45</v>
      </c>
      <c r="M105" s="33">
        <v>32.069082000000002</v>
      </c>
      <c r="N105" s="34">
        <v>1.65910290237467</v>
      </c>
      <c r="O105" s="34">
        <v>1.6459148161032899</v>
      </c>
      <c r="P105" s="34">
        <v>1.6573800246225201</v>
      </c>
      <c r="Q105" s="34">
        <v>1.6577343652054199</v>
      </c>
      <c r="R105" s="33">
        <v>31.190085765157299</v>
      </c>
      <c r="S105" s="33">
        <v>31.400875377329999</v>
      </c>
      <c r="T105" s="33">
        <v>31.408372407845299</v>
      </c>
      <c r="U105" s="15">
        <v>-7.9806871804902393E-3</v>
      </c>
      <c r="V105" s="15">
        <v>-1.2451967764717099E-3</v>
      </c>
      <c r="W105" s="15">
        <v>-1.00647299565066E-3</v>
      </c>
      <c r="X105" s="34">
        <v>1.64879598971722</v>
      </c>
      <c r="Y105" s="34">
        <v>1.6383944060714599</v>
      </c>
      <c r="Z105" s="34">
        <v>1.6481763538996701</v>
      </c>
      <c r="AA105" s="34">
        <v>1.6486863933811999</v>
      </c>
      <c r="AB105" s="33">
        <v>31.866771198089999</v>
      </c>
      <c r="AC105" s="33">
        <v>32.053065812849098</v>
      </c>
      <c r="AD105" s="33">
        <v>32.062540330109499</v>
      </c>
      <c r="AE105" s="15">
        <v>-6.3285767536381404E-3</v>
      </c>
      <c r="AF105" s="15">
        <v>-4.9955243329209101E-4</v>
      </c>
      <c r="AG105" s="15">
        <v>-2.04007622929801E-4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8.1412832384008382E-3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4.7187128644676692E-3</v>
      </c>
      <c r="BE105" s="29">
        <f t="shared" si="42"/>
        <v>0</v>
      </c>
      <c r="BF105" s="29">
        <f t="shared" si="43"/>
        <v>1.2859996102868507E-2</v>
      </c>
      <c r="BH105" s="29"/>
    </row>
    <row r="106" spans="1:60" x14ac:dyDescent="0.25">
      <c r="A106" s="1">
        <v>46176</v>
      </c>
      <c r="B106" s="33">
        <v>18.84</v>
      </c>
      <c r="C106" s="33">
        <v>31.23</v>
      </c>
      <c r="D106" s="15">
        <v>-5.8216623802182996E-3</v>
      </c>
      <c r="E106" s="15">
        <v>-6.7017962660186701E-3</v>
      </c>
      <c r="F106" s="33">
        <v>0</v>
      </c>
      <c r="G106" s="33">
        <v>0.5</v>
      </c>
      <c r="H106" s="33">
        <v>0</v>
      </c>
      <c r="I106" s="33">
        <v>0.62908200000000003</v>
      </c>
      <c r="J106" s="33">
        <v>0.5</v>
      </c>
      <c r="K106" s="33">
        <v>0.62908200000000003</v>
      </c>
      <c r="L106" s="33">
        <v>19.34</v>
      </c>
      <c r="M106" s="33">
        <v>31.859082000000001</v>
      </c>
      <c r="N106" s="34">
        <v>1.6576433121019101</v>
      </c>
      <c r="O106" s="34">
        <v>1.6459148161032899</v>
      </c>
      <c r="P106" s="34">
        <v>1.6575293825706701</v>
      </c>
      <c r="Q106" s="34">
        <v>1.65763500046751</v>
      </c>
      <c r="R106" s="33">
        <v>31.009035135386</v>
      </c>
      <c r="S106" s="33">
        <v>31.2250396638882</v>
      </c>
      <c r="T106" s="33">
        <v>31.231715440470101</v>
      </c>
      <c r="U106" s="15">
        <v>-7.1005532946898297E-3</v>
      </c>
      <c r="V106" s="15">
        <v>-1.5884502351905201E-4</v>
      </c>
      <c r="W106" s="15">
        <v>5.4927741209802802E-5</v>
      </c>
      <c r="X106" s="34">
        <v>1.6473155118924501</v>
      </c>
      <c r="Y106" s="34">
        <v>1.6383944060714599</v>
      </c>
      <c r="Z106" s="34">
        <v>1.6481922768166599</v>
      </c>
      <c r="AA106" s="34">
        <v>1.6485180992083801</v>
      </c>
      <c r="AB106" s="33">
        <v>31.686547813422099</v>
      </c>
      <c r="AC106" s="33">
        <v>31.875730684419601</v>
      </c>
      <c r="AD106" s="33">
        <v>31.8855948479925</v>
      </c>
      <c r="AE106" s="15">
        <v>-5.4302588881115299E-3</v>
      </c>
      <c r="AF106" s="15">
        <v>5.22436141164538E-4</v>
      </c>
      <c r="AG106" s="15">
        <v>8.3184513067846805E-4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8.1412832384008382E-3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4.7187128644676692E-3</v>
      </c>
      <c r="BE106" s="29">
        <f t="shared" si="42"/>
        <v>0</v>
      </c>
      <c r="BF106" s="29">
        <f t="shared" si="43"/>
        <v>1.2859996102868507E-2</v>
      </c>
      <c r="BH106" s="29"/>
    </row>
    <row r="107" spans="1:60" x14ac:dyDescent="0.25">
      <c r="A107" s="1">
        <v>46177</v>
      </c>
      <c r="B107" s="33">
        <v>18.899999999999999</v>
      </c>
      <c r="C107" s="33">
        <v>31.25</v>
      </c>
      <c r="D107" s="15">
        <v>3.1796529173795801E-3</v>
      </c>
      <c r="E107" s="15">
        <v>6.4020488742325902E-4</v>
      </c>
      <c r="F107" s="33">
        <v>0</v>
      </c>
      <c r="G107" s="33">
        <v>0.5</v>
      </c>
      <c r="H107" s="33">
        <v>0</v>
      </c>
      <c r="I107" s="33">
        <v>0.62908200000000003</v>
      </c>
      <c r="J107" s="33">
        <v>0.5</v>
      </c>
      <c r="K107" s="33">
        <v>0.62908200000000003</v>
      </c>
      <c r="L107" s="33">
        <v>19.399999999999999</v>
      </c>
      <c r="M107" s="33">
        <v>31.879082</v>
      </c>
      <c r="N107" s="34">
        <v>1.6534391534391499</v>
      </c>
      <c r="O107" s="34">
        <v>1.6459148161032899</v>
      </c>
      <c r="P107" s="34">
        <v>1.65748254831331</v>
      </c>
      <c r="Q107" s="34">
        <v>1.6574715283700701</v>
      </c>
      <c r="R107" s="33">
        <v>31.107790024352202</v>
      </c>
      <c r="S107" s="33">
        <v>31.327305330585801</v>
      </c>
      <c r="T107" s="33">
        <v>31.329301508835901</v>
      </c>
      <c r="U107" s="15">
        <v>-4.5611052647336198E-3</v>
      </c>
      <c r="V107" s="15">
        <v>2.4707158450782999E-3</v>
      </c>
      <c r="W107" s="15">
        <v>2.53443389019764E-3</v>
      </c>
      <c r="X107" s="34">
        <v>1.64325164948453</v>
      </c>
      <c r="Y107" s="34">
        <v>1.6383944060714599</v>
      </c>
      <c r="Z107" s="34">
        <v>1.64801621844393</v>
      </c>
      <c r="AA107" s="34">
        <v>1.6482867263437999</v>
      </c>
      <c r="AB107" s="33">
        <v>31.7848514777864</v>
      </c>
      <c r="AC107" s="33">
        <v>31.974930170243301</v>
      </c>
      <c r="AD107" s="33">
        <v>31.981251124642601</v>
      </c>
      <c r="AE107" s="15">
        <v>-2.96025036087047E-3</v>
      </c>
      <c r="AF107" s="15">
        <v>3.0021055521099699E-3</v>
      </c>
      <c r="AG107" s="15">
        <v>3.1997707125978199E-3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8.1412832384008382E-3</v>
      </c>
      <c r="AT107" s="12"/>
      <c r="AU107">
        <f t="shared" si="30"/>
        <v>0</v>
      </c>
      <c r="AV107">
        <f t="shared" si="31"/>
        <v>0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4.7187128644676692E-3</v>
      </c>
      <c r="BE107" s="29">
        <f t="shared" si="42"/>
        <v>0</v>
      </c>
      <c r="BF107" s="29">
        <f t="shared" si="43"/>
        <v>1.2859996102868507E-2</v>
      </c>
      <c r="BH107" s="29"/>
    </row>
    <row r="108" spans="1:60" x14ac:dyDescent="0.25">
      <c r="A108" s="1">
        <v>46178</v>
      </c>
      <c r="B108" s="33">
        <v>18.75</v>
      </c>
      <c r="C108" s="33">
        <v>30.91</v>
      </c>
      <c r="D108" s="15">
        <v>-7.9681696491768397E-3</v>
      </c>
      <c r="E108" s="15">
        <v>-1.09396200383855E-2</v>
      </c>
      <c r="F108" s="33">
        <v>0</v>
      </c>
      <c r="G108" s="33">
        <v>0.5</v>
      </c>
      <c r="H108" s="33">
        <v>0</v>
      </c>
      <c r="I108" s="33">
        <v>0.62908200000000003</v>
      </c>
      <c r="J108" s="33">
        <v>0.5</v>
      </c>
      <c r="K108" s="33">
        <v>0.62908200000000003</v>
      </c>
      <c r="L108" s="33">
        <v>19.25</v>
      </c>
      <c r="M108" s="33">
        <v>31.539082000000001</v>
      </c>
      <c r="N108" s="34">
        <v>1.6485333333333301</v>
      </c>
      <c r="O108" s="34">
        <v>1.6459148161032899</v>
      </c>
      <c r="P108" s="34">
        <v>1.6568388056232599</v>
      </c>
      <c r="Q108" s="34">
        <v>1.65695082661569</v>
      </c>
      <c r="R108" s="33">
        <v>30.8609028019367</v>
      </c>
      <c r="S108" s="33">
        <v>31.0777977808747</v>
      </c>
      <c r="T108" s="33">
        <v>31.077591156938901</v>
      </c>
      <c r="U108" s="15">
        <v>-1.5896548755247901E-3</v>
      </c>
      <c r="V108" s="15">
        <v>5.4139103737712597E-3</v>
      </c>
      <c r="W108" s="15">
        <v>5.4072617487908696E-3</v>
      </c>
      <c r="X108" s="34">
        <v>1.6383938701298699</v>
      </c>
      <c r="Y108" s="34">
        <v>1.6383944060714599</v>
      </c>
      <c r="Z108" s="34">
        <v>1.6472502696942899</v>
      </c>
      <c r="AA108" s="34">
        <v>1.64770465438637</v>
      </c>
      <c r="AB108" s="33">
        <v>31.539092316875699</v>
      </c>
      <c r="AC108" s="33">
        <v>31.724312205045699</v>
      </c>
      <c r="AD108" s="33">
        <v>31.729519482118199</v>
      </c>
      <c r="AE108" s="15">
        <v>3.2711396104043999E-7</v>
      </c>
      <c r="AF108" s="15">
        <v>5.8558582474084898E-3</v>
      </c>
      <c r="AG108" s="15">
        <v>6.0199863054225099E-3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8.1412832384008382E-3</v>
      </c>
      <c r="AT108" s="12"/>
      <c r="AU108">
        <f t="shared" si="30"/>
        <v>1</v>
      </c>
      <c r="AV108">
        <f t="shared" si="31"/>
        <v>0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4.7187128644676692E-3</v>
      </c>
      <c r="BE108" s="29">
        <f t="shared" si="42"/>
        <v>0</v>
      </c>
      <c r="BF108" s="29">
        <f t="shared" si="43"/>
        <v>1.2859996102868507E-2</v>
      </c>
      <c r="BH108" s="29"/>
    </row>
    <row r="109" spans="1:60" x14ac:dyDescent="0.25">
      <c r="A109" s="1">
        <v>46181</v>
      </c>
      <c r="B109" s="33">
        <v>18.690000000000001</v>
      </c>
      <c r="C109" s="33">
        <v>30.97</v>
      </c>
      <c r="D109" s="15">
        <v>-3.2051309489483301E-3</v>
      </c>
      <c r="E109" s="15">
        <v>1.93923784108635E-3</v>
      </c>
      <c r="F109" s="33">
        <v>0</v>
      </c>
      <c r="G109" s="33">
        <v>0.5</v>
      </c>
      <c r="H109" s="33">
        <v>0</v>
      </c>
      <c r="I109" s="33">
        <v>0.62908200000000003</v>
      </c>
      <c r="J109" s="33">
        <v>0.5</v>
      </c>
      <c r="K109" s="33">
        <v>0.62908200000000003</v>
      </c>
      <c r="L109" s="33">
        <v>19.190000000000001</v>
      </c>
      <c r="M109" s="33">
        <v>31.599081999999999</v>
      </c>
      <c r="N109" s="34">
        <v>1.6570358480470799</v>
      </c>
      <c r="O109" s="34">
        <v>1.6459148161032899</v>
      </c>
      <c r="P109" s="34">
        <v>1.6565487666234999</v>
      </c>
      <c r="Q109" s="34">
        <v>1.6569395051204401</v>
      </c>
      <c r="R109" s="33">
        <v>30.762147912970502</v>
      </c>
      <c r="S109" s="33">
        <v>30.9663172770987</v>
      </c>
      <c r="T109" s="33">
        <v>30.9684109494472</v>
      </c>
      <c r="U109" s="15">
        <v>-6.7340236655595003E-3</v>
      </c>
      <c r="V109" s="15">
        <v>-1.18919660306103E-4</v>
      </c>
      <c r="W109" s="15">
        <v>-5.1310665828105197E-5</v>
      </c>
      <c r="X109" s="34">
        <v>1.64664314747264</v>
      </c>
      <c r="Y109" s="34">
        <v>1.6383944060714599</v>
      </c>
      <c r="Z109" s="34">
        <v>1.6468225709139801</v>
      </c>
      <c r="AA109" s="34">
        <v>1.64761438340791</v>
      </c>
      <c r="AB109" s="33">
        <v>31.440788652511401</v>
      </c>
      <c r="AC109" s="33">
        <v>31.6107326754335</v>
      </c>
      <c r="AD109" s="33">
        <v>31.6194523176746</v>
      </c>
      <c r="AE109" s="15">
        <v>-5.0220179241663998E-3</v>
      </c>
      <c r="AF109" s="15">
        <v>3.6863501737275902E-4</v>
      </c>
      <c r="AG109" s="15">
        <v>6.4444133668939603E-4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8.1412832384008382E-3</v>
      </c>
      <c r="AT109" s="12"/>
      <c r="AU109">
        <f t="shared" si="30"/>
        <v>0</v>
      </c>
      <c r="AV109">
        <f t="shared" si="31"/>
        <v>1</v>
      </c>
      <c r="AW109">
        <f t="shared" si="38"/>
        <v>1</v>
      </c>
      <c r="AX109">
        <f t="shared" si="25"/>
        <v>1</v>
      </c>
      <c r="AY109">
        <f t="shared" si="39"/>
        <v>1</v>
      </c>
      <c r="AZ109" s="28">
        <f t="shared" si="32"/>
        <v>3.2051309489483301E-3</v>
      </c>
      <c r="BA109" s="28">
        <f t="shared" si="33"/>
        <v>1.93923784108635E-3</v>
      </c>
      <c r="BB109" s="28">
        <f t="shared" si="40"/>
        <v>5.1443687900346799E-3</v>
      </c>
      <c r="BC109" s="29">
        <f t="shared" si="41"/>
        <v>9.8630816545023491E-3</v>
      </c>
      <c r="BE109" s="29">
        <f t="shared" si="42"/>
        <v>5.1443687900346799E-3</v>
      </c>
      <c r="BF109" s="29">
        <f t="shared" si="43"/>
        <v>1.8004364892903187E-2</v>
      </c>
      <c r="BH109" s="29"/>
    </row>
    <row r="110" spans="1:60" x14ac:dyDescent="0.25">
      <c r="A110" s="1">
        <v>46182</v>
      </c>
      <c r="B110" s="33">
        <v>18.66</v>
      </c>
      <c r="C110" s="33">
        <v>30.89</v>
      </c>
      <c r="D110" s="15">
        <v>-1.6064260482737899E-3</v>
      </c>
      <c r="E110" s="15">
        <v>-2.5864870546210401E-3</v>
      </c>
      <c r="F110" s="33">
        <v>0</v>
      </c>
      <c r="G110" s="33">
        <v>0.5</v>
      </c>
      <c r="H110" s="33">
        <v>0</v>
      </c>
      <c r="I110" s="33">
        <v>0.62908200000000003</v>
      </c>
      <c r="J110" s="33">
        <v>0.5</v>
      </c>
      <c r="K110" s="33">
        <v>0.62908200000000003</v>
      </c>
      <c r="L110" s="33">
        <v>19.16</v>
      </c>
      <c r="M110" s="33">
        <v>31.519082000000001</v>
      </c>
      <c r="N110" s="34">
        <v>1.65541264737406</v>
      </c>
      <c r="O110" s="34">
        <v>1.6459148161032899</v>
      </c>
      <c r="P110" s="34">
        <v>1.6562699255408</v>
      </c>
      <c r="Q110" s="34">
        <v>1.6566041563768701</v>
      </c>
      <c r="R110" s="33">
        <v>30.712770468487399</v>
      </c>
      <c r="S110" s="33">
        <v>30.9111999851946</v>
      </c>
      <c r="T110" s="33">
        <v>30.918491165547501</v>
      </c>
      <c r="U110" s="15">
        <v>-5.7539626592122703E-3</v>
      </c>
      <c r="V110" s="15">
        <v>6.8607036857686098E-4</v>
      </c>
      <c r="W110" s="15">
        <v>9.2191758861173202E-4</v>
      </c>
      <c r="X110" s="34">
        <v>1.64504603340292</v>
      </c>
      <c r="Y110" s="34">
        <v>1.6383944060714599</v>
      </c>
      <c r="Z110" s="34">
        <v>1.6464013452387301</v>
      </c>
      <c r="AA110" s="34">
        <v>1.64720819330005</v>
      </c>
      <c r="AB110" s="33">
        <v>31.3916368203293</v>
      </c>
      <c r="AC110" s="33">
        <v>31.553120458711899</v>
      </c>
      <c r="AD110" s="33">
        <v>31.568291586095601</v>
      </c>
      <c r="AE110" s="15">
        <v>-4.0516260631570499E-3</v>
      </c>
      <c r="AF110" s="15">
        <v>1.0793490853218499E-3</v>
      </c>
      <c r="AG110" s="15">
        <v>1.56004579929925E-3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8.1412832384008382E-3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9.8630816545023491E-3</v>
      </c>
      <c r="BE110" s="29">
        <f t="shared" si="42"/>
        <v>0</v>
      </c>
      <c r="BF110" s="29">
        <f t="shared" si="43"/>
        <v>1.8004364892903187E-2</v>
      </c>
      <c r="BH110" s="29"/>
    </row>
    <row r="111" spans="1:60" x14ac:dyDescent="0.25">
      <c r="A111" s="1">
        <v>46183</v>
      </c>
      <c r="B111" s="33">
        <v>18.61</v>
      </c>
      <c r="C111" s="33">
        <v>30.77</v>
      </c>
      <c r="D111" s="15">
        <v>-2.68312476503842E-3</v>
      </c>
      <c r="E111" s="15">
        <v>-3.8923175965398901E-3</v>
      </c>
      <c r="F111" s="33">
        <v>0</v>
      </c>
      <c r="G111" s="33">
        <v>0.5</v>
      </c>
      <c r="H111" s="33">
        <v>0</v>
      </c>
      <c r="I111" s="33">
        <v>0.62908200000000003</v>
      </c>
      <c r="J111" s="33">
        <v>0.5</v>
      </c>
      <c r="K111" s="33">
        <v>0.62908200000000003</v>
      </c>
      <c r="L111" s="33">
        <v>19.11</v>
      </c>
      <c r="M111" s="33">
        <v>31.399082</v>
      </c>
      <c r="N111" s="34">
        <v>1.65341214400859</v>
      </c>
      <c r="O111" s="34">
        <v>1.6459148161032899</v>
      </c>
      <c r="P111" s="34">
        <v>1.6559647019469399</v>
      </c>
      <c r="Q111" s="34">
        <v>1.65654415561084</v>
      </c>
      <c r="R111" s="33">
        <v>30.630474727682198</v>
      </c>
      <c r="S111" s="33">
        <v>30.823183314314299</v>
      </c>
      <c r="T111" s="33">
        <v>30.8294033501736</v>
      </c>
      <c r="U111" s="15">
        <v>-4.5447698277107998E-3</v>
      </c>
      <c r="V111" s="15">
        <v>1.72692251544146E-3</v>
      </c>
      <c r="W111" s="15">
        <v>1.92869947945454E-3</v>
      </c>
      <c r="X111" s="34">
        <v>1.6430707482993101</v>
      </c>
      <c r="Y111" s="34">
        <v>1.6383944060714599</v>
      </c>
      <c r="Z111" s="34">
        <v>1.64595035805316</v>
      </c>
      <c r="AA111" s="34">
        <v>1.6470704447807201</v>
      </c>
      <c r="AB111" s="33">
        <v>31.309717100025701</v>
      </c>
      <c r="AC111" s="33">
        <v>31.462729707512199</v>
      </c>
      <c r="AD111" s="33">
        <v>31.478148573963999</v>
      </c>
      <c r="AE111" s="15">
        <v>-2.85015697166368E-3</v>
      </c>
      <c r="AF111" s="15">
        <v>2.0250046103687299E-3</v>
      </c>
      <c r="AG111" s="15">
        <v>2.5149522304603201E-3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8.1412832384008382E-3</v>
      </c>
      <c r="AT111" s="12"/>
      <c r="AU111">
        <f t="shared" si="30"/>
        <v>0</v>
      </c>
      <c r="AV111">
        <f t="shared" si="31"/>
        <v>0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9.8630816545023491E-3</v>
      </c>
      <c r="BE111" s="29">
        <f t="shared" si="42"/>
        <v>0</v>
      </c>
      <c r="BF111" s="29">
        <f t="shared" si="43"/>
        <v>1.8004364892903187E-2</v>
      </c>
      <c r="BH111" s="29"/>
    </row>
    <row r="112" spans="1:60" x14ac:dyDescent="0.25">
      <c r="A112" s="1">
        <v>46184</v>
      </c>
      <c r="B112" s="33">
        <v>18.77</v>
      </c>
      <c r="C112" s="33">
        <v>31.02</v>
      </c>
      <c r="D112" s="15">
        <v>8.5607799442580304E-3</v>
      </c>
      <c r="E112" s="15">
        <v>8.0919684144422493E-3</v>
      </c>
      <c r="F112" s="33">
        <v>0</v>
      </c>
      <c r="G112" s="33">
        <v>0.5</v>
      </c>
      <c r="H112" s="33">
        <v>0</v>
      </c>
      <c r="I112" s="33">
        <v>0.62908200000000003</v>
      </c>
      <c r="J112" s="33">
        <v>0.5</v>
      </c>
      <c r="K112" s="33">
        <v>0.62908200000000003</v>
      </c>
      <c r="L112" s="33">
        <v>19.27</v>
      </c>
      <c r="M112" s="33">
        <v>31.649082</v>
      </c>
      <c r="N112" s="34">
        <v>1.6526371870005301</v>
      </c>
      <c r="O112" s="34">
        <v>1.6459148161032899</v>
      </c>
      <c r="P112" s="34">
        <v>1.6554389469627799</v>
      </c>
      <c r="Q112" s="34">
        <v>1.65620176377853</v>
      </c>
      <c r="R112" s="33">
        <v>30.893821098258702</v>
      </c>
      <c r="S112" s="33">
        <v>31.082457455544102</v>
      </c>
      <c r="T112" s="33">
        <v>31.0933338008156</v>
      </c>
      <c r="U112" s="15">
        <v>-4.07595829789503E-3</v>
      </c>
      <c r="V112" s="15">
        <v>2.01143333648842E-3</v>
      </c>
      <c r="W112" s="15">
        <v>2.3612912204870298E-3</v>
      </c>
      <c r="X112" s="34">
        <v>1.6424017644006199</v>
      </c>
      <c r="Y112" s="34">
        <v>1.6383944060714599</v>
      </c>
      <c r="Z112" s="34">
        <v>1.6452900963488899</v>
      </c>
      <c r="AA112" s="34">
        <v>1.64666175019067</v>
      </c>
      <c r="AB112" s="33">
        <v>31.571860204997101</v>
      </c>
      <c r="AC112" s="33">
        <v>31.717463399684402</v>
      </c>
      <c r="AD112" s="33">
        <v>31.7390474709246</v>
      </c>
      <c r="AE112" s="15">
        <v>-2.4429194097259298E-3</v>
      </c>
      <c r="AF112" s="15">
        <v>2.1582816546972701E-3</v>
      </c>
      <c r="AG112" s="15">
        <v>2.8385608498954101E-3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8.1412832384008382E-3</v>
      </c>
      <c r="AT112" s="12"/>
      <c r="AU112">
        <f t="shared" si="30"/>
        <v>0</v>
      </c>
      <c r="AV112">
        <f t="shared" si="31"/>
        <v>0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9.8630816545023491E-3</v>
      </c>
      <c r="BE112" s="29">
        <f t="shared" si="42"/>
        <v>0</v>
      </c>
      <c r="BF112" s="29">
        <f t="shared" si="43"/>
        <v>1.8004364892903187E-2</v>
      </c>
      <c r="BH112" s="29"/>
    </row>
    <row r="113" spans="1:60" x14ac:dyDescent="0.25">
      <c r="A113" s="1">
        <v>46185</v>
      </c>
      <c r="B113" s="33">
        <v>18.82</v>
      </c>
      <c r="C113" s="33">
        <v>31.07</v>
      </c>
      <c r="D113" s="15">
        <v>2.6602835588162401E-3</v>
      </c>
      <c r="E113" s="15">
        <v>1.6105656565632801E-3</v>
      </c>
      <c r="F113" s="33">
        <v>0</v>
      </c>
      <c r="G113" s="33">
        <v>0.5</v>
      </c>
      <c r="H113" s="33">
        <v>0</v>
      </c>
      <c r="I113" s="33">
        <v>0.62908200000000003</v>
      </c>
      <c r="J113" s="33">
        <v>0.5</v>
      </c>
      <c r="K113" s="33">
        <v>0.62908200000000003</v>
      </c>
      <c r="L113" s="33">
        <v>19.32</v>
      </c>
      <c r="M113" s="33">
        <v>31.699082000000001</v>
      </c>
      <c r="N113" s="34">
        <v>1.65090329436769</v>
      </c>
      <c r="O113" s="34">
        <v>1.6459148161032899</v>
      </c>
      <c r="P113" s="34">
        <v>1.6545986770304599</v>
      </c>
      <c r="Q113" s="34">
        <v>1.65580729595098</v>
      </c>
      <c r="R113" s="33">
        <v>30.976116839063899</v>
      </c>
      <c r="S113" s="33">
        <v>31.1553609818396</v>
      </c>
      <c r="T113" s="33">
        <v>31.1697171943119</v>
      </c>
      <c r="U113" s="15">
        <v>-3.0262403956421101E-3</v>
      </c>
      <c r="V113" s="15">
        <v>2.74360916636485E-3</v>
      </c>
      <c r="W113" s="15">
        <v>3.20429732420916E-3</v>
      </c>
      <c r="X113" s="34">
        <v>1.64073923395445</v>
      </c>
      <c r="Y113" s="34">
        <v>1.6383944060714599</v>
      </c>
      <c r="Z113" s="34">
        <v>1.6443244471387699</v>
      </c>
      <c r="AA113" s="34">
        <v>1.6462033776981599</v>
      </c>
      <c r="AB113" s="33">
        <v>31.6537799253007</v>
      </c>
      <c r="AC113" s="33">
        <v>31.7870046614606</v>
      </c>
      <c r="AD113" s="33">
        <v>31.813505013683699</v>
      </c>
      <c r="AE113" s="15">
        <v>-1.4301510948049501E-3</v>
      </c>
      <c r="AF113" s="15">
        <v>2.7698263445005001E-3</v>
      </c>
      <c r="AG113" s="15">
        <v>3.6031641240898901E-3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8.1412832384008382E-3</v>
      </c>
      <c r="AT113" s="12"/>
      <c r="AU113">
        <f t="shared" si="30"/>
        <v>0</v>
      </c>
      <c r="AV113">
        <f t="shared" si="31"/>
        <v>0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9.8630816545023491E-3</v>
      </c>
      <c r="BE113" s="29">
        <f t="shared" si="42"/>
        <v>0</v>
      </c>
      <c r="BF113" s="29">
        <f t="shared" si="43"/>
        <v>1.8004364892903187E-2</v>
      </c>
      <c r="BH113" s="29"/>
    </row>
    <row r="114" spans="1:60" x14ac:dyDescent="0.25">
      <c r="A114" s="1">
        <v>46188</v>
      </c>
      <c r="B114" s="33">
        <v>18.93</v>
      </c>
      <c r="C114" s="33">
        <v>31.3</v>
      </c>
      <c r="D114" s="15">
        <v>5.8278310639978204E-3</v>
      </c>
      <c r="E114" s="15">
        <v>7.3753741411514001E-3</v>
      </c>
      <c r="F114" s="33">
        <v>0</v>
      </c>
      <c r="G114" s="33">
        <v>0.5</v>
      </c>
      <c r="H114" s="33">
        <v>0</v>
      </c>
      <c r="I114" s="33">
        <v>0.62908200000000003</v>
      </c>
      <c r="J114" s="33">
        <v>0.5</v>
      </c>
      <c r="K114" s="33">
        <v>0.62908200000000003</v>
      </c>
      <c r="L114" s="33">
        <v>19.43</v>
      </c>
      <c r="M114" s="33">
        <v>31.929082000000001</v>
      </c>
      <c r="N114" s="34">
        <v>1.6534601162176401</v>
      </c>
      <c r="O114" s="34">
        <v>1.6459148161032899</v>
      </c>
      <c r="P114" s="34">
        <v>1.6541579938264599</v>
      </c>
      <c r="Q114" s="34">
        <v>1.65559813615677</v>
      </c>
      <c r="R114" s="33">
        <v>31.157167468835301</v>
      </c>
      <c r="S114" s="33">
        <v>31.3215529561867</v>
      </c>
      <c r="T114" s="33">
        <v>31.344432112352099</v>
      </c>
      <c r="U114" s="15">
        <v>-4.5737834727958299E-3</v>
      </c>
      <c r="V114" s="15">
        <v>6.8835587814013296E-4</v>
      </c>
      <c r="W114" s="15">
        <v>1.41854968764842E-3</v>
      </c>
      <c r="X114" s="34">
        <v>1.64328780236747</v>
      </c>
      <c r="Y114" s="34">
        <v>1.6383944060714599</v>
      </c>
      <c r="Z114" s="34">
        <v>1.6438945751121501</v>
      </c>
      <c r="AA114" s="34">
        <v>1.6459335552385701</v>
      </c>
      <c r="AB114" s="33">
        <v>31.834003309968502</v>
      </c>
      <c r="AC114" s="33">
        <v>31.949224007906398</v>
      </c>
      <c r="AD114" s="33">
        <v>31.9857316286752</v>
      </c>
      <c r="AE114" s="15">
        <v>-2.9822509383581599E-3</v>
      </c>
      <c r="AF114" s="15">
        <v>6.3063690422591903E-4</v>
      </c>
      <c r="AG114" s="15">
        <v>1.7726608369292699E-3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8.1412832384008382E-3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9.8630816545023491E-3</v>
      </c>
      <c r="BE114" s="29">
        <f t="shared" si="42"/>
        <v>0</v>
      </c>
      <c r="BF114" s="29">
        <f t="shared" si="43"/>
        <v>1.8004364892903187E-2</v>
      </c>
      <c r="BH114" s="29"/>
    </row>
    <row r="115" spans="1:60" x14ac:dyDescent="0.25">
      <c r="A115" s="1">
        <v>46189</v>
      </c>
      <c r="B115" s="33">
        <v>18.940000000000001</v>
      </c>
      <c r="C115" s="33">
        <v>31.19</v>
      </c>
      <c r="D115" s="15">
        <v>5.2812253670076305E-4</v>
      </c>
      <c r="E115" s="15">
        <v>-3.52056692639565E-3</v>
      </c>
      <c r="F115" s="33">
        <v>0</v>
      </c>
      <c r="G115" s="33">
        <v>0.5</v>
      </c>
      <c r="H115" s="33">
        <v>0</v>
      </c>
      <c r="I115" s="33">
        <v>0.62908200000000003</v>
      </c>
      <c r="J115" s="33">
        <v>0.5</v>
      </c>
      <c r="K115" s="33">
        <v>0.62908200000000003</v>
      </c>
      <c r="L115" s="33">
        <v>19.440000000000001</v>
      </c>
      <c r="M115" s="33">
        <v>31.819082000000002</v>
      </c>
      <c r="N115" s="34">
        <v>1.6467793030622999</v>
      </c>
      <c r="O115" s="34">
        <v>1.6459148161032899</v>
      </c>
      <c r="P115" s="34">
        <v>1.6529256338952301</v>
      </c>
      <c r="Q115" s="34">
        <v>1.65515282925887</v>
      </c>
      <c r="R115" s="33">
        <v>31.173626616996302</v>
      </c>
      <c r="S115" s="33">
        <v>31.3297524030733</v>
      </c>
      <c r="T115" s="33">
        <v>31.357028698809199</v>
      </c>
      <c r="U115" s="15">
        <v>-5.2509400969943801E-4</v>
      </c>
      <c r="V115" s="15">
        <v>4.4706714428545602E-3</v>
      </c>
      <c r="W115" s="15">
        <v>5.3409122489023299E-3</v>
      </c>
      <c r="X115" s="34">
        <v>1.6367840534979401</v>
      </c>
      <c r="Y115" s="34">
        <v>1.6383944060714599</v>
      </c>
      <c r="Z115" s="34">
        <v>1.64269338149022</v>
      </c>
      <c r="AA115" s="34">
        <v>1.64543486769494</v>
      </c>
      <c r="AB115" s="33">
        <v>31.8503872540293</v>
      </c>
      <c r="AC115" s="33">
        <v>31.957310540180199</v>
      </c>
      <c r="AD115" s="33">
        <v>31.996948313837802</v>
      </c>
      <c r="AE115" s="15">
        <v>9.8336791302980602E-4</v>
      </c>
      <c r="AF115" s="15">
        <v>4.3347938358527403E-3</v>
      </c>
      <c r="AG115" s="15">
        <v>5.57436034614544E-3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8.1412832384008382E-3</v>
      </c>
      <c r="AT115" s="12"/>
      <c r="AU115">
        <f t="shared" si="30"/>
        <v>1</v>
      </c>
      <c r="AV115">
        <f t="shared" si="31"/>
        <v>0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9.8630816545023491E-3</v>
      </c>
      <c r="BE115" s="29">
        <f t="shared" si="42"/>
        <v>0</v>
      </c>
      <c r="BF115" s="29">
        <f t="shared" si="43"/>
        <v>1.8004364892903187E-2</v>
      </c>
      <c r="BH115" s="29"/>
    </row>
    <row r="116" spans="1:60" x14ac:dyDescent="0.25">
      <c r="A116" s="1">
        <v>46190</v>
      </c>
      <c r="B116" s="33">
        <v>18.84</v>
      </c>
      <c r="C116" s="33">
        <v>31.09</v>
      </c>
      <c r="D116" s="15">
        <v>-5.2938186097152701E-3</v>
      </c>
      <c r="E116" s="15">
        <v>-3.2113065490494601E-3</v>
      </c>
      <c r="F116" s="33">
        <v>0</v>
      </c>
      <c r="G116" s="33">
        <v>0.5</v>
      </c>
      <c r="H116" s="33">
        <v>0</v>
      </c>
      <c r="I116" s="33">
        <v>0.62908200000000003</v>
      </c>
      <c r="J116" s="33">
        <v>0.5</v>
      </c>
      <c r="K116" s="33">
        <v>0.62908200000000003</v>
      </c>
      <c r="L116" s="33">
        <v>19.34</v>
      </c>
      <c r="M116" s="33">
        <v>31.719082</v>
      </c>
      <c r="N116" s="34">
        <v>1.65021231422505</v>
      </c>
      <c r="O116" s="34">
        <v>1.6459148161032899</v>
      </c>
      <c r="P116" s="34">
        <v>1.65218253410754</v>
      </c>
      <c r="Q116" s="34">
        <v>1.65485595833911</v>
      </c>
      <c r="R116" s="33">
        <v>31.009035135386</v>
      </c>
      <c r="S116" s="33">
        <v>31.1411189425861</v>
      </c>
      <c r="T116" s="33">
        <v>31.1830793032372</v>
      </c>
      <c r="U116" s="15">
        <v>-2.6076060703651501E-3</v>
      </c>
      <c r="V116" s="15">
        <v>1.64287433529783E-3</v>
      </c>
      <c r="W116" s="15">
        <v>2.9893936062061499E-3</v>
      </c>
      <c r="X116" s="34">
        <v>1.6400766287487001</v>
      </c>
      <c r="Y116" s="34">
        <v>1.6383944060714599</v>
      </c>
      <c r="Z116" s="34">
        <v>1.64196949317584</v>
      </c>
      <c r="AA116" s="34">
        <v>1.6450808849962499</v>
      </c>
      <c r="AB116" s="33">
        <v>31.686547813422099</v>
      </c>
      <c r="AC116" s="33">
        <v>31.769689998020901</v>
      </c>
      <c r="AD116" s="33">
        <v>31.822710341220201</v>
      </c>
      <c r="AE116" s="15">
        <v>-1.02622399710615E-3</v>
      </c>
      <c r="AF116" s="15">
        <v>1.5942349220803701E-3</v>
      </c>
      <c r="AG116" s="15">
        <v>3.26174095116981E-3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8.1412832384008382E-3</v>
      </c>
      <c r="AT116" s="12"/>
      <c r="AU116">
        <f t="shared" si="30"/>
        <v>0</v>
      </c>
      <c r="AV116">
        <f t="shared" si="31"/>
        <v>0</v>
      </c>
      <c r="AW116">
        <f t="shared" si="38"/>
        <v>1</v>
      </c>
      <c r="AX116">
        <f t="shared" si="25"/>
        <v>1</v>
      </c>
      <c r="AY116">
        <f t="shared" si="39"/>
        <v>1</v>
      </c>
      <c r="AZ116" s="28">
        <f t="shared" si="32"/>
        <v>5.2938186097152701E-3</v>
      </c>
      <c r="BA116" s="28">
        <f t="shared" si="33"/>
        <v>-3.2113065490494601E-3</v>
      </c>
      <c r="BB116" s="28">
        <f t="shared" si="40"/>
        <v>2.08251206066581E-3</v>
      </c>
      <c r="BC116" s="29">
        <f t="shared" si="41"/>
        <v>1.1945593715168158E-2</v>
      </c>
      <c r="BE116" s="29">
        <f t="shared" si="42"/>
        <v>2.08251206066581E-3</v>
      </c>
      <c r="BF116" s="29">
        <f t="shared" si="43"/>
        <v>2.0086876953568998E-2</v>
      </c>
      <c r="BH116" s="29"/>
    </row>
    <row r="117" spans="1:60" x14ac:dyDescent="0.25">
      <c r="A117" s="1">
        <v>46191</v>
      </c>
      <c r="B117" s="33">
        <v>18.89</v>
      </c>
      <c r="C117" s="33">
        <v>31.23</v>
      </c>
      <c r="D117" s="15">
        <v>2.6504123652011202E-3</v>
      </c>
      <c r="E117" s="15">
        <v>4.4929472243247998E-3</v>
      </c>
      <c r="F117" s="33">
        <v>0</v>
      </c>
      <c r="G117" s="33">
        <v>0.5</v>
      </c>
      <c r="H117" s="33">
        <v>0</v>
      </c>
      <c r="I117" s="33">
        <v>0.62908200000000003</v>
      </c>
      <c r="J117" s="33">
        <v>0.5</v>
      </c>
      <c r="K117" s="33">
        <v>0.62908200000000003</v>
      </c>
      <c r="L117" s="33">
        <v>19.39</v>
      </c>
      <c r="M117" s="33">
        <v>31.859082000000001</v>
      </c>
      <c r="N117" s="34">
        <v>1.65325569084171</v>
      </c>
      <c r="O117" s="34">
        <v>1.6459148161032899</v>
      </c>
      <c r="P117" s="34">
        <v>1.6521641878477999</v>
      </c>
      <c r="Q117" s="34">
        <v>1.65482336808056</v>
      </c>
      <c r="R117" s="33">
        <v>31.091330876191101</v>
      </c>
      <c r="S117" s="33">
        <v>31.209728069291501</v>
      </c>
      <c r="T117" s="33">
        <v>31.2602290530258</v>
      </c>
      <c r="U117" s="15">
        <v>-4.45014092948871E-3</v>
      </c>
      <c r="V117" s="15">
        <v>-6.4932798548498702E-4</v>
      </c>
      <c r="W117" s="15">
        <v>9.6748102357246198E-4</v>
      </c>
      <c r="X117" s="34">
        <v>1.6430676637441901</v>
      </c>
      <c r="Y117" s="34">
        <v>1.6383944060714599</v>
      </c>
      <c r="Z117" s="34">
        <v>1.6419510946018101</v>
      </c>
      <c r="AA117" s="34">
        <v>1.6449836565228699</v>
      </c>
      <c r="AB117" s="33">
        <v>31.768467533725701</v>
      </c>
      <c r="AC117" s="33">
        <v>31.837788472679701</v>
      </c>
      <c r="AD117" s="33">
        <v>31.898118360077401</v>
      </c>
      <c r="AE117" s="15">
        <v>-2.8482796586993698E-3</v>
      </c>
      <c r="AF117" s="15">
        <v>-6.6858945990543603E-4</v>
      </c>
      <c r="AG117" s="15">
        <v>1.2245319661098901E-3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1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8.1412832384008382E-3</v>
      </c>
      <c r="AT117" s="12"/>
      <c r="AU117">
        <f t="shared" si="30"/>
        <v>0</v>
      </c>
      <c r="AV117">
        <f t="shared" si="31"/>
        <v>1</v>
      </c>
      <c r="AW117">
        <f t="shared" si="38"/>
        <v>1</v>
      </c>
      <c r="AX117">
        <f t="shared" si="25"/>
        <v>1</v>
      </c>
      <c r="AY117">
        <f t="shared" si="39"/>
        <v>1</v>
      </c>
      <c r="AZ117" s="28">
        <f t="shared" si="32"/>
        <v>-2.6504123652011202E-3</v>
      </c>
      <c r="BA117" s="28">
        <f t="shared" si="33"/>
        <v>4.4929472243247998E-3</v>
      </c>
      <c r="BB117" s="28">
        <f t="shared" si="40"/>
        <v>1.8425348591236796E-3</v>
      </c>
      <c r="BC117" s="29">
        <f t="shared" si="41"/>
        <v>1.3788128574291838E-2</v>
      </c>
      <c r="BE117" s="29">
        <f t="shared" si="42"/>
        <v>1.8425348591236796E-3</v>
      </c>
      <c r="BF117" s="29">
        <f t="shared" si="43"/>
        <v>2.1929411812692676E-2</v>
      </c>
      <c r="BH117" s="29"/>
    </row>
    <row r="118" spans="1:60" x14ac:dyDescent="0.25">
      <c r="A118" s="1">
        <v>46195</v>
      </c>
      <c r="B118" s="33">
        <v>18.739999999999998</v>
      </c>
      <c r="C118" s="33">
        <v>30.84</v>
      </c>
      <c r="D118" s="15">
        <v>-7.97240470314221E-3</v>
      </c>
      <c r="E118" s="15">
        <v>-1.2566622599858499E-2</v>
      </c>
      <c r="F118" s="33">
        <v>0</v>
      </c>
      <c r="G118" s="33">
        <v>0.5</v>
      </c>
      <c r="H118" s="33">
        <v>0</v>
      </c>
      <c r="I118" s="33">
        <v>0.62908200000000003</v>
      </c>
      <c r="J118" s="33">
        <v>0.5</v>
      </c>
      <c r="K118" s="33">
        <v>0.62908200000000003</v>
      </c>
      <c r="L118" s="33">
        <v>19.239999999999998</v>
      </c>
      <c r="M118" s="33">
        <v>31.469082</v>
      </c>
      <c r="N118" s="34">
        <v>1.64567769477054</v>
      </c>
      <c r="O118" s="34">
        <v>1.6459148161032899</v>
      </c>
      <c r="P118" s="34">
        <v>1.65187862399152</v>
      </c>
      <c r="Q118" s="34">
        <v>1.6543587148073899</v>
      </c>
      <c r="R118" s="33">
        <v>30.844443653775599</v>
      </c>
      <c r="S118" s="33">
        <v>30.9615568802678</v>
      </c>
      <c r="T118" s="33">
        <v>31.0113899178296</v>
      </c>
      <c r="U118" s="15">
        <v>1.44076967227648E-4</v>
      </c>
      <c r="V118" s="15">
        <v>3.9337855924127399E-3</v>
      </c>
      <c r="W118" s="15">
        <v>5.5420050132124797E-3</v>
      </c>
      <c r="X118" s="34">
        <v>1.6356071725571699</v>
      </c>
      <c r="Y118" s="34">
        <v>1.6383944060714599</v>
      </c>
      <c r="Z118" s="34">
        <v>1.64167242484454</v>
      </c>
      <c r="AA118" s="34">
        <v>1.6444613472694201</v>
      </c>
      <c r="AB118" s="33">
        <v>31.522708372815</v>
      </c>
      <c r="AC118" s="33">
        <v>31.5911390601389</v>
      </c>
      <c r="AD118" s="33">
        <v>31.649485551500099</v>
      </c>
      <c r="AE118" s="15">
        <v>1.7026468196218399E-3</v>
      </c>
      <c r="AF118" s="15">
        <v>3.8711317693592099E-3</v>
      </c>
      <c r="AG118" s="15">
        <v>5.7163541489467602E-3</v>
      </c>
      <c r="AI118" s="12"/>
      <c r="AJ118">
        <f t="shared" si="26"/>
        <v>0</v>
      </c>
      <c r="AK118">
        <f t="shared" si="27"/>
        <v>1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8.1412832384008382E-3</v>
      </c>
      <c r="AT118" s="12"/>
      <c r="AU118">
        <f t="shared" si="30"/>
        <v>1</v>
      </c>
      <c r="AV118">
        <f t="shared" si="31"/>
        <v>0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1.3788128574291838E-2</v>
      </c>
      <c r="BE118" s="29">
        <f t="shared" si="42"/>
        <v>0</v>
      </c>
      <c r="BF118" s="29">
        <f t="shared" si="43"/>
        <v>2.1929411812692676E-2</v>
      </c>
      <c r="BH118" s="29"/>
    </row>
    <row r="119" spans="1:60" x14ac:dyDescent="0.25">
      <c r="A119" s="1">
        <v>46196</v>
      </c>
      <c r="B119" s="33">
        <v>18.739999999999998</v>
      </c>
      <c r="C119" s="33">
        <v>30.78</v>
      </c>
      <c r="D119" s="15">
        <v>0</v>
      </c>
      <c r="E119" s="15">
        <v>-1.9474202843955601E-3</v>
      </c>
      <c r="F119" s="33">
        <v>0</v>
      </c>
      <c r="G119" s="33">
        <v>0.5</v>
      </c>
      <c r="H119" s="33">
        <v>0</v>
      </c>
      <c r="I119" s="33">
        <v>0.62908200000000003</v>
      </c>
      <c r="J119" s="33">
        <v>0.5</v>
      </c>
      <c r="K119" s="33">
        <v>0.62908200000000003</v>
      </c>
      <c r="L119" s="33">
        <v>19.239999999999998</v>
      </c>
      <c r="M119" s="33">
        <v>31.409082000000001</v>
      </c>
      <c r="N119" s="34">
        <v>1.64247598719316</v>
      </c>
      <c r="O119" s="34">
        <v>1.6459148161032899</v>
      </c>
      <c r="P119" s="34">
        <v>1.65042263790613</v>
      </c>
      <c r="Q119" s="34">
        <v>1.65348570226481</v>
      </c>
      <c r="R119" s="33">
        <v>30.844443653775599</v>
      </c>
      <c r="S119" s="33">
        <v>30.956205413601101</v>
      </c>
      <c r="T119" s="33">
        <v>31.0026823154905</v>
      </c>
      <c r="U119" s="15">
        <v>2.0914972516231701E-3</v>
      </c>
      <c r="V119" s="15">
        <v>5.7083486390226102E-3</v>
      </c>
      <c r="W119" s="15">
        <v>7.2085986373737598E-3</v>
      </c>
      <c r="X119" s="34">
        <v>1.63248866943866</v>
      </c>
      <c r="Y119" s="34">
        <v>1.6383944060714599</v>
      </c>
      <c r="Z119" s="34">
        <v>1.6402569770411399</v>
      </c>
      <c r="AA119" s="34">
        <v>1.6435397739775599</v>
      </c>
      <c r="AB119" s="33">
        <v>31.522708372815</v>
      </c>
      <c r="AC119" s="33">
        <v>31.585777454009001</v>
      </c>
      <c r="AD119" s="33">
        <v>31.639436321463599</v>
      </c>
      <c r="AE119" s="15">
        <v>3.6111000693371999E-3</v>
      </c>
      <c r="AF119" s="15">
        <v>5.6098519444460499E-3</v>
      </c>
      <c r="AG119" s="15">
        <v>7.3072406010773602E-3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8.1412832384008382E-3</v>
      </c>
      <c r="AT119" s="12"/>
      <c r="AU119">
        <f t="shared" si="30"/>
        <v>1</v>
      </c>
      <c r="AV119">
        <f t="shared" si="31"/>
        <v>0</v>
      </c>
      <c r="AW119">
        <f t="shared" si="38"/>
        <v>1</v>
      </c>
      <c r="AX119">
        <f t="shared" si="25"/>
        <v>1</v>
      </c>
      <c r="AY119">
        <f t="shared" si="39"/>
        <v>1</v>
      </c>
      <c r="AZ119" s="28">
        <f t="shared" si="32"/>
        <v>0</v>
      </c>
      <c r="BA119" s="28">
        <f t="shared" si="33"/>
        <v>-1.9474202843955601E-3</v>
      </c>
      <c r="BB119" s="28">
        <f t="shared" si="40"/>
        <v>-1.9474202843955601E-3</v>
      </c>
      <c r="BC119" s="29">
        <f t="shared" si="41"/>
        <v>1.1840708289896279E-2</v>
      </c>
      <c r="BE119" s="29">
        <f t="shared" si="42"/>
        <v>-1.9474202843955601E-3</v>
      </c>
      <c r="BF119" s="29">
        <f t="shared" si="43"/>
        <v>1.9981991528297115E-2</v>
      </c>
      <c r="BH119" s="29"/>
    </row>
    <row r="120" spans="1:60" x14ac:dyDescent="0.25">
      <c r="A120" s="1">
        <v>46197</v>
      </c>
      <c r="B120" s="33">
        <v>18.68</v>
      </c>
      <c r="C120" s="33">
        <v>30.68</v>
      </c>
      <c r="D120" s="15">
        <v>-3.20684400957944E-3</v>
      </c>
      <c r="E120" s="15">
        <v>-3.25415191167778E-3</v>
      </c>
      <c r="F120" s="33">
        <v>0</v>
      </c>
      <c r="G120" s="33">
        <v>0.5</v>
      </c>
      <c r="H120" s="33">
        <v>0</v>
      </c>
      <c r="I120" s="33">
        <v>0.62908200000000003</v>
      </c>
      <c r="J120" s="33">
        <v>0.5</v>
      </c>
      <c r="K120" s="33">
        <v>0.62908200000000003</v>
      </c>
      <c r="L120" s="33">
        <v>19.18</v>
      </c>
      <c r="M120" s="33">
        <v>31.309082</v>
      </c>
      <c r="N120" s="34">
        <v>1.6423982869378999</v>
      </c>
      <c r="O120" s="34">
        <v>1.6459148161032899</v>
      </c>
      <c r="P120" s="34">
        <v>1.6491212018625101</v>
      </c>
      <c r="Q120" s="34">
        <v>1.65269556370166</v>
      </c>
      <c r="R120" s="33">
        <v>30.745688764809401</v>
      </c>
      <c r="S120" s="33">
        <v>30.829894876086499</v>
      </c>
      <c r="T120" s="33">
        <v>30.887112918306801</v>
      </c>
      <c r="U120" s="15">
        <v>2.1388051537214398E-3</v>
      </c>
      <c r="V120" s="15">
        <v>4.8738556003435803E-3</v>
      </c>
      <c r="W120" s="15">
        <v>6.7280627519361504E-3</v>
      </c>
      <c r="X120" s="34">
        <v>1.63238175182481</v>
      </c>
      <c r="Y120" s="34">
        <v>1.6383944060714599</v>
      </c>
      <c r="Z120" s="34">
        <v>1.6389905488833301</v>
      </c>
      <c r="AA120" s="34">
        <v>1.6426959470610301</v>
      </c>
      <c r="AB120" s="33">
        <v>31.424404708450702</v>
      </c>
      <c r="AC120" s="33">
        <v>31.460128819649199</v>
      </c>
      <c r="AD120" s="33">
        <v>31.523092864889701</v>
      </c>
      <c r="AE120" s="15">
        <v>3.6765958471751499E-3</v>
      </c>
      <c r="AF120" s="15">
        <v>4.81277713173773E-3</v>
      </c>
      <c r="AG120" s="15">
        <v>6.8121688596212296E-3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8.1412832384008382E-3</v>
      </c>
      <c r="AT120" s="12"/>
      <c r="AU120">
        <f t="shared" si="30"/>
        <v>1</v>
      </c>
      <c r="AV120">
        <f t="shared" si="31"/>
        <v>0</v>
      </c>
      <c r="AW120">
        <f t="shared" si="38"/>
        <v>1</v>
      </c>
      <c r="AX120">
        <f t="shared" si="25"/>
        <v>1</v>
      </c>
      <c r="AY120">
        <f t="shared" si="39"/>
        <v>1</v>
      </c>
      <c r="AZ120" s="28">
        <f t="shared" si="32"/>
        <v>3.20684400957944E-3</v>
      </c>
      <c r="BA120" s="28">
        <f t="shared" si="33"/>
        <v>-3.25415191167778E-3</v>
      </c>
      <c r="BB120" s="28">
        <f t="shared" si="40"/>
        <v>-4.7307902098339943E-5</v>
      </c>
      <c r="BC120" s="29">
        <f t="shared" si="41"/>
        <v>1.1793400387797939E-2</v>
      </c>
      <c r="BE120" s="29">
        <f t="shared" si="42"/>
        <v>-4.7307902098339943E-5</v>
      </c>
      <c r="BF120" s="29">
        <f t="shared" si="43"/>
        <v>1.9934683626198775E-2</v>
      </c>
      <c r="BH120" s="29"/>
    </row>
    <row r="121" spans="1:60" x14ac:dyDescent="0.25">
      <c r="A121" s="1">
        <v>46198</v>
      </c>
      <c r="B121" s="33">
        <v>18.649999999999999</v>
      </c>
      <c r="C121" s="33">
        <v>30.44</v>
      </c>
      <c r="D121" s="15">
        <v>-1.60728671087202E-3</v>
      </c>
      <c r="E121" s="15">
        <v>-7.85344350557028E-3</v>
      </c>
      <c r="F121" s="33">
        <v>0</v>
      </c>
      <c r="G121" s="33">
        <v>0.5</v>
      </c>
      <c r="H121" s="33">
        <v>0</v>
      </c>
      <c r="I121" s="33">
        <v>0.62908200000000003</v>
      </c>
      <c r="J121" s="33">
        <v>0.5</v>
      </c>
      <c r="K121" s="33">
        <v>0.62908200000000003</v>
      </c>
      <c r="L121" s="33">
        <v>19.149999999999999</v>
      </c>
      <c r="M121" s="33">
        <v>31.069082000000002</v>
      </c>
      <c r="N121" s="34">
        <v>1.63217158176943</v>
      </c>
      <c r="O121" s="34">
        <v>1.6459148161032899</v>
      </c>
      <c r="P121" s="34">
        <v>1.6469971456385899</v>
      </c>
      <c r="Q121" s="34">
        <v>1.6514809237927699</v>
      </c>
      <c r="R121" s="33">
        <v>30.696311320326298</v>
      </c>
      <c r="S121" s="33">
        <v>30.7561104147359</v>
      </c>
      <c r="T121" s="33">
        <v>30.822772263035901</v>
      </c>
      <c r="U121" s="15">
        <v>8.3849619484198008E-3</v>
      </c>
      <c r="V121" s="15">
        <v>1.03311541926321E-2</v>
      </c>
      <c r="W121" s="15">
        <v>1.24962429841669E-2</v>
      </c>
      <c r="X121" s="34">
        <v>1.6224063707571801</v>
      </c>
      <c r="Y121" s="34">
        <v>1.6383944060714599</v>
      </c>
      <c r="Z121" s="34">
        <v>1.63692411112912</v>
      </c>
      <c r="AA121" s="34">
        <v>1.6414372345911401</v>
      </c>
      <c r="AB121" s="33">
        <v>31.375252876268501</v>
      </c>
      <c r="AC121" s="33">
        <v>31.386669011115899</v>
      </c>
      <c r="AD121" s="33">
        <v>31.4576273862188</v>
      </c>
      <c r="AE121" s="15">
        <v>9.8062804384296993E-3</v>
      </c>
      <c r="AF121" s="15">
        <v>1.0170072197188001E-2</v>
      </c>
      <c r="AG121" s="15">
        <v>1.2428301163878001E-2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8.1412832384008382E-3</v>
      </c>
      <c r="AT121" s="12"/>
      <c r="AU121">
        <f t="shared" si="30"/>
        <v>1</v>
      </c>
      <c r="AV121">
        <f t="shared" si="31"/>
        <v>0</v>
      </c>
      <c r="AW121">
        <f t="shared" si="38"/>
        <v>1</v>
      </c>
      <c r="AX121">
        <f t="shared" si="25"/>
        <v>1</v>
      </c>
      <c r="AY121">
        <f t="shared" si="39"/>
        <v>1</v>
      </c>
      <c r="AZ121" s="28">
        <f t="shared" si="32"/>
        <v>1.60728671087202E-3</v>
      </c>
      <c r="BA121" s="28">
        <f t="shared" si="33"/>
        <v>-7.85344350557028E-3</v>
      </c>
      <c r="BB121" s="28">
        <f t="shared" si="40"/>
        <v>-6.2461567946982596E-3</v>
      </c>
      <c r="BC121" s="29">
        <f t="shared" si="41"/>
        <v>5.5472435930996791E-3</v>
      </c>
      <c r="BE121" s="29">
        <f t="shared" si="42"/>
        <v>-6.2461567946982596E-3</v>
      </c>
      <c r="BF121" s="29">
        <f t="shared" si="43"/>
        <v>1.3688526831500515E-2</v>
      </c>
      <c r="BH121" s="29"/>
    </row>
    <row r="122" spans="1:60" x14ac:dyDescent="0.25">
      <c r="A122" s="1">
        <v>46199</v>
      </c>
      <c r="B122" s="33">
        <v>18.64</v>
      </c>
      <c r="C122" s="33">
        <v>30.36</v>
      </c>
      <c r="D122" s="15">
        <v>-5.3633683237928897E-4</v>
      </c>
      <c r="E122" s="15">
        <v>-2.6315804660559301E-3</v>
      </c>
      <c r="F122" s="33">
        <v>0</v>
      </c>
      <c r="G122" s="33">
        <v>0.5</v>
      </c>
      <c r="H122" s="33">
        <v>0</v>
      </c>
      <c r="I122" s="33">
        <v>0.62908200000000003</v>
      </c>
      <c r="J122" s="33">
        <v>0.5</v>
      </c>
      <c r="K122" s="33">
        <v>0.62908200000000003</v>
      </c>
      <c r="L122" s="33">
        <v>19.14</v>
      </c>
      <c r="M122" s="33">
        <v>30.989082</v>
      </c>
      <c r="N122" s="34">
        <v>1.62875536480686</v>
      </c>
      <c r="O122" s="34">
        <v>1.6459148161032899</v>
      </c>
      <c r="P122" s="34">
        <v>1.64460896341923</v>
      </c>
      <c r="Q122" s="34">
        <v>1.6500239551910001</v>
      </c>
      <c r="R122" s="33">
        <v>30.679852172165301</v>
      </c>
      <c r="S122" s="33">
        <v>30.700026794703401</v>
      </c>
      <c r="T122" s="33">
        <v>30.783604419497198</v>
      </c>
      <c r="U122" s="15">
        <v>1.04802055820961E-2</v>
      </c>
      <c r="V122" s="15">
        <v>1.1137574856986099E-2</v>
      </c>
      <c r="W122" s="15">
        <v>1.38562716750579E-2</v>
      </c>
      <c r="X122" s="34">
        <v>1.6190742946708401</v>
      </c>
      <c r="Y122" s="34">
        <v>1.6383944060714599</v>
      </c>
      <c r="Z122" s="34">
        <v>1.63459136415614</v>
      </c>
      <c r="AA122" s="34">
        <v>1.63994073025252</v>
      </c>
      <c r="AB122" s="33">
        <v>31.358868932207798</v>
      </c>
      <c r="AC122" s="33">
        <v>31.330727487011401</v>
      </c>
      <c r="AD122" s="33">
        <v>31.417108670074398</v>
      </c>
      <c r="AE122" s="15">
        <v>1.1862178716964799E-2</v>
      </c>
      <c r="AF122" s="15">
        <v>1.09643759332768E-2</v>
      </c>
      <c r="AG122" s="15">
        <v>1.3717657732985E-2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8.1412832384008382E-3</v>
      </c>
      <c r="AT122" s="12"/>
      <c r="AU122">
        <f t="shared" si="30"/>
        <v>1</v>
      </c>
      <c r="AV122">
        <f t="shared" si="31"/>
        <v>0</v>
      </c>
      <c r="AW122">
        <f t="shared" si="38"/>
        <v>1</v>
      </c>
      <c r="AX122">
        <f t="shared" si="25"/>
        <v>1</v>
      </c>
      <c r="AY122">
        <f t="shared" si="39"/>
        <v>1</v>
      </c>
      <c r="AZ122" s="28">
        <f t="shared" si="32"/>
        <v>5.3633683237928897E-4</v>
      </c>
      <c r="BA122" s="28">
        <f t="shared" si="33"/>
        <v>-2.6315804660559301E-3</v>
      </c>
      <c r="BB122" s="28">
        <f t="shared" si="40"/>
        <v>-2.0952436336766412E-3</v>
      </c>
      <c r="BC122" s="29">
        <f t="shared" si="41"/>
        <v>3.4519999594230378E-3</v>
      </c>
      <c r="BE122" s="29">
        <f t="shared" si="42"/>
        <v>-2.0952436336766412E-3</v>
      </c>
      <c r="BF122" s="29">
        <f t="shared" si="43"/>
        <v>1.1593283197823875E-2</v>
      </c>
      <c r="BH122" s="29"/>
    </row>
    <row r="123" spans="1:60" x14ac:dyDescent="0.25">
      <c r="A123" s="1">
        <v>46202</v>
      </c>
      <c r="B123" s="33">
        <v>18.68</v>
      </c>
      <c r="C123" s="33">
        <v>30.61</v>
      </c>
      <c r="D123" s="15">
        <v>2.14362354325136E-3</v>
      </c>
      <c r="E123" s="15">
        <v>8.2008004298918698E-3</v>
      </c>
      <c r="F123" s="33">
        <v>0</v>
      </c>
      <c r="G123" s="33">
        <v>0.5</v>
      </c>
      <c r="H123" s="33">
        <v>0</v>
      </c>
      <c r="I123" s="33">
        <v>0.62908200000000003</v>
      </c>
      <c r="J123" s="33">
        <v>0.5</v>
      </c>
      <c r="K123" s="33">
        <v>0.62908200000000003</v>
      </c>
      <c r="L123" s="33">
        <v>19.18</v>
      </c>
      <c r="M123" s="33">
        <v>31.239082</v>
      </c>
      <c r="N123" s="34">
        <v>1.63865096359743</v>
      </c>
      <c r="O123" s="34">
        <v>1.6459148161032899</v>
      </c>
      <c r="P123" s="34">
        <v>1.6433837303422001</v>
      </c>
      <c r="Q123" s="34">
        <v>1.6489912036863299</v>
      </c>
      <c r="R123" s="33">
        <v>30.745688764809401</v>
      </c>
      <c r="S123" s="33">
        <v>30.721295436671198</v>
      </c>
      <c r="T123" s="33">
        <v>30.822447482967998</v>
      </c>
      <c r="U123" s="15">
        <v>4.4230286954556903E-3</v>
      </c>
      <c r="V123" s="15">
        <v>3.6293235955321898E-3</v>
      </c>
      <c r="W123" s="15">
        <v>6.9164859480562099E-3</v>
      </c>
      <c r="X123" s="34">
        <v>1.62873211678832</v>
      </c>
      <c r="Y123" s="34">
        <v>1.6383944060714599</v>
      </c>
      <c r="Z123" s="34">
        <v>1.6333906524395301</v>
      </c>
      <c r="AA123" s="34">
        <v>1.63885754978915</v>
      </c>
      <c r="AB123" s="33">
        <v>31.424404708450702</v>
      </c>
      <c r="AC123" s="33">
        <v>31.351462364514799</v>
      </c>
      <c r="AD123" s="33">
        <v>31.454063206243301</v>
      </c>
      <c r="AE123" s="15">
        <v>5.9148719130976404E-3</v>
      </c>
      <c r="AF123" s="15">
        <v>3.5909732506326699E-3</v>
      </c>
      <c r="AG123" s="15">
        <v>6.8582314120070199E-3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8.1412832384008382E-3</v>
      </c>
      <c r="AT123" s="12"/>
      <c r="AU123">
        <f t="shared" si="30"/>
        <v>1</v>
      </c>
      <c r="AV123">
        <f t="shared" si="31"/>
        <v>0</v>
      </c>
      <c r="AW123">
        <f t="shared" si="38"/>
        <v>1</v>
      </c>
      <c r="AX123">
        <f t="shared" si="25"/>
        <v>1</v>
      </c>
      <c r="AY123">
        <f t="shared" si="39"/>
        <v>1</v>
      </c>
      <c r="AZ123" s="28">
        <f t="shared" si="32"/>
        <v>-2.14362354325136E-3</v>
      </c>
      <c r="BA123" s="28">
        <f t="shared" si="33"/>
        <v>8.2008004298918698E-3</v>
      </c>
      <c r="BB123" s="28">
        <f t="shared" si="40"/>
        <v>6.0571768866405102E-3</v>
      </c>
      <c r="BC123" s="29">
        <f t="shared" si="41"/>
        <v>9.5091768460635485E-3</v>
      </c>
      <c r="BE123" s="29">
        <f t="shared" si="42"/>
        <v>6.0571768866405102E-3</v>
      </c>
      <c r="BF123" s="29">
        <f t="shared" si="43"/>
        <v>1.7650460084464387E-2</v>
      </c>
      <c r="BH123" s="29"/>
    </row>
    <row r="124" spans="1:60" x14ac:dyDescent="0.25">
      <c r="A124" s="1">
        <v>46203</v>
      </c>
      <c r="B124" s="33">
        <v>18.690000000000001</v>
      </c>
      <c r="C124" s="33">
        <v>30.49</v>
      </c>
      <c r="D124" s="15">
        <v>5.3518866677501901E-4</v>
      </c>
      <c r="E124" s="15">
        <v>-3.9279919571576999E-3</v>
      </c>
      <c r="F124" s="33">
        <v>0</v>
      </c>
      <c r="G124" s="33">
        <v>0.5</v>
      </c>
      <c r="H124" s="33">
        <v>0</v>
      </c>
      <c r="I124" s="33">
        <v>0.62908200000000003</v>
      </c>
      <c r="J124" s="33">
        <v>0.5</v>
      </c>
      <c r="K124" s="33">
        <v>0.62908200000000003</v>
      </c>
      <c r="L124" s="33">
        <v>19.190000000000001</v>
      </c>
      <c r="M124" s="33">
        <v>31.119081999999999</v>
      </c>
      <c r="N124" s="34">
        <v>1.6313536650615299</v>
      </c>
      <c r="O124" s="34">
        <v>1.6459148161032899</v>
      </c>
      <c r="P124" s="34">
        <v>1.64117308522659</v>
      </c>
      <c r="Q124" s="34">
        <v>1.6476655395265301</v>
      </c>
      <c r="R124" s="33">
        <v>30.762147912970502</v>
      </c>
      <c r="S124" s="33">
        <v>30.7148419200958</v>
      </c>
      <c r="T124" s="33">
        <v>30.819645596897601</v>
      </c>
      <c r="U124" s="15">
        <v>8.8862093193885806E-3</v>
      </c>
      <c r="V124" s="15">
        <v>7.3472269345961003E-3</v>
      </c>
      <c r="W124" s="15">
        <v>1.0753569698424699E-2</v>
      </c>
      <c r="X124" s="34">
        <v>1.6216301198540899</v>
      </c>
      <c r="Y124" s="34">
        <v>1.6383944060714599</v>
      </c>
      <c r="Z124" s="34">
        <v>1.63122488418819</v>
      </c>
      <c r="AA124" s="34">
        <v>1.63755972965017</v>
      </c>
      <c r="AB124" s="33">
        <v>31.440788652511401</v>
      </c>
      <c r="AC124" s="33">
        <v>31.344766620314601</v>
      </c>
      <c r="AD124" s="33">
        <v>31.449676380453901</v>
      </c>
      <c r="AE124" s="15">
        <v>1.02848514533685E-2</v>
      </c>
      <c r="AF124" s="15">
        <v>7.2261190222073501E-3</v>
      </c>
      <c r="AG124" s="15">
        <v>1.05674929633958E-2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0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8.1412832384008382E-3</v>
      </c>
      <c r="AT124" s="12"/>
      <c r="AU124">
        <f t="shared" si="30"/>
        <v>1</v>
      </c>
      <c r="AV124">
        <f t="shared" si="31"/>
        <v>0</v>
      </c>
      <c r="AW124">
        <f t="shared" si="38"/>
        <v>1</v>
      </c>
      <c r="AX124">
        <f t="shared" si="25"/>
        <v>0</v>
      </c>
      <c r="AY124">
        <f t="shared" si="39"/>
        <v>1</v>
      </c>
      <c r="AZ124" s="28">
        <f t="shared" si="32"/>
        <v>-5.3518866677501901E-4</v>
      </c>
      <c r="BA124" s="28">
        <f t="shared" si="33"/>
        <v>-3.9279919571576999E-3</v>
      </c>
      <c r="BB124" s="28">
        <f t="shared" si="40"/>
        <v>-4.4631806239327186E-3</v>
      </c>
      <c r="BC124" s="29">
        <f t="shared" si="41"/>
        <v>5.0459962221308299E-3</v>
      </c>
      <c r="BE124" s="29">
        <f t="shared" si="42"/>
        <v>-4.4631806239327186E-3</v>
      </c>
      <c r="BF124" s="29">
        <f t="shared" si="43"/>
        <v>1.3187279460531668E-2</v>
      </c>
      <c r="BH124" s="29"/>
    </row>
    <row r="125" spans="1:60" x14ac:dyDescent="0.25">
      <c r="A125" s="1">
        <v>46204</v>
      </c>
      <c r="B125" s="33">
        <v>18.61</v>
      </c>
      <c r="C125" s="33">
        <v>30.47</v>
      </c>
      <c r="D125" s="15">
        <v>-4.2895508133122297E-3</v>
      </c>
      <c r="E125" s="15">
        <v>-6.5616800254568095E-4</v>
      </c>
      <c r="F125" s="33">
        <v>0.1</v>
      </c>
      <c r="G125" s="33">
        <v>0.6</v>
      </c>
      <c r="H125" s="33">
        <v>0.14174</v>
      </c>
      <c r="I125" s="33">
        <v>0.77082200000000001</v>
      </c>
      <c r="J125" s="33">
        <v>0.6</v>
      </c>
      <c r="K125" s="33">
        <v>0.77082200000000001</v>
      </c>
      <c r="L125" s="33">
        <v>19.21</v>
      </c>
      <c r="M125" s="33">
        <v>31.240821999999898</v>
      </c>
      <c r="N125" s="34">
        <v>1.6372917786136401</v>
      </c>
      <c r="O125" s="34">
        <v>1.6459148161032899</v>
      </c>
      <c r="P125" s="34">
        <v>1.6402243327817201</v>
      </c>
      <c r="Q125" s="34">
        <v>1.64657498333848</v>
      </c>
      <c r="R125" s="33">
        <v>30.630474727682198</v>
      </c>
      <c r="S125" s="33">
        <v>30.542231116066901</v>
      </c>
      <c r="T125" s="33">
        <v>30.663055690588699</v>
      </c>
      <c r="U125" s="15">
        <v>5.2528265086220398E-3</v>
      </c>
      <c r="V125" s="15">
        <v>2.3677596603610099E-3</v>
      </c>
      <c r="W125" s="15">
        <v>6.31593923039756E-3</v>
      </c>
      <c r="X125" s="34">
        <v>1.62627912545549</v>
      </c>
      <c r="Y125" s="34">
        <v>1.6383944060714599</v>
      </c>
      <c r="Z125" s="34">
        <v>1.6301743913839399</v>
      </c>
      <c r="AA125" s="34">
        <v>1.63643388643708</v>
      </c>
      <c r="AB125" s="33">
        <v>31.473556540632799</v>
      </c>
      <c r="AC125" s="33">
        <v>31.335830025255198</v>
      </c>
      <c r="AD125" s="33">
        <v>31.457522406579798</v>
      </c>
      <c r="AE125" s="15">
        <v>7.42208132937347E-3</v>
      </c>
      <c r="AF125" s="15">
        <v>3.03653503926724E-3</v>
      </c>
      <c r="AG125" s="15">
        <v>6.9125037194469399E-3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8.1412832384008382E-3</v>
      </c>
      <c r="AT125" s="12"/>
      <c r="AU125">
        <f t="shared" si="30"/>
        <v>1</v>
      </c>
      <c r="AV125">
        <f t="shared" si="31"/>
        <v>0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5.0459962221308299E-3</v>
      </c>
      <c r="BE125" s="29">
        <f t="shared" si="42"/>
        <v>0</v>
      </c>
      <c r="BF125" s="29">
        <f t="shared" si="43"/>
        <v>1.3187279460531668E-2</v>
      </c>
      <c r="BH125" s="29"/>
    </row>
    <row r="126" spans="1:60" x14ac:dyDescent="0.25">
      <c r="A126" s="1">
        <v>46205</v>
      </c>
      <c r="B126" s="33">
        <v>18.579999999999998</v>
      </c>
      <c r="C126" s="33">
        <v>30.48</v>
      </c>
      <c r="D126" s="15">
        <v>-1.6133372684669601E-3</v>
      </c>
      <c r="E126" s="15">
        <v>3.28137820827833E-4</v>
      </c>
      <c r="F126" s="33">
        <v>0</v>
      </c>
      <c r="G126" s="33">
        <v>0.6</v>
      </c>
      <c r="H126" s="33">
        <v>0</v>
      </c>
      <c r="I126" s="33">
        <v>0.77082200000000001</v>
      </c>
      <c r="J126" s="33">
        <v>0.6</v>
      </c>
      <c r="K126" s="33">
        <v>0.77082200000000001</v>
      </c>
      <c r="L126" s="33">
        <v>19.18</v>
      </c>
      <c r="M126" s="33">
        <v>31.250821999999999</v>
      </c>
      <c r="N126" s="34">
        <v>1.6404736275565099</v>
      </c>
      <c r="O126" s="34">
        <v>1.6459148161032899</v>
      </c>
      <c r="P126" s="34">
        <v>1.63925046411487</v>
      </c>
      <c r="Q126" s="34">
        <v>1.6457164991112101</v>
      </c>
      <c r="R126" s="33">
        <v>30.581097283199099</v>
      </c>
      <c r="S126" s="33">
        <v>30.475368103084499</v>
      </c>
      <c r="T126" s="33">
        <v>30.593363190428899</v>
      </c>
      <c r="U126" s="15">
        <v>3.3113514193270901E-3</v>
      </c>
      <c r="V126" s="15">
        <v>-1.5197666976759E-4</v>
      </c>
      <c r="W126" s="15">
        <v>3.7123654143574498E-3</v>
      </c>
      <c r="X126" s="34">
        <v>1.62934421272158</v>
      </c>
      <c r="Y126" s="34">
        <v>1.6383944060714599</v>
      </c>
      <c r="Z126" s="34">
        <v>1.62910114978123</v>
      </c>
      <c r="AA126" s="34">
        <v>1.63553532147854</v>
      </c>
      <c r="AB126" s="33">
        <v>31.424404708450702</v>
      </c>
      <c r="AC126" s="33">
        <v>31.266744826744102</v>
      </c>
      <c r="AD126" s="33">
        <v>31.3868019418633</v>
      </c>
      <c r="AE126" s="15">
        <v>5.5391312130279504E-3</v>
      </c>
      <c r="AF126" s="15">
        <v>5.0938729373711995E-4</v>
      </c>
      <c r="AG126" s="15">
        <v>4.3418043955698498E-3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8.1412832384008382E-3</v>
      </c>
      <c r="AT126" s="12"/>
      <c r="AU126">
        <f t="shared" si="30"/>
        <v>1</v>
      </c>
      <c r="AV126">
        <f t="shared" si="31"/>
        <v>0</v>
      </c>
      <c r="AW126">
        <f t="shared" si="38"/>
        <v>1</v>
      </c>
      <c r="AX126">
        <f t="shared" si="25"/>
        <v>1</v>
      </c>
      <c r="AY126">
        <f t="shared" si="39"/>
        <v>1</v>
      </c>
      <c r="AZ126" s="28">
        <f t="shared" si="32"/>
        <v>1.6133372684669601E-3</v>
      </c>
      <c r="BA126" s="28">
        <f t="shared" si="33"/>
        <v>3.28137820827833E-4</v>
      </c>
      <c r="BB126" s="28">
        <f t="shared" si="40"/>
        <v>1.9414750892947931E-3</v>
      </c>
      <c r="BC126" s="29">
        <f t="shared" si="41"/>
        <v>6.9874713114256234E-3</v>
      </c>
      <c r="BE126" s="29">
        <f t="shared" si="42"/>
        <v>1.9414750892947931E-3</v>
      </c>
      <c r="BF126" s="29">
        <f t="shared" si="43"/>
        <v>1.5128754549826462E-2</v>
      </c>
      <c r="BH126" s="29"/>
    </row>
    <row r="127" spans="1:60" x14ac:dyDescent="0.25">
      <c r="A127" s="1">
        <v>46209</v>
      </c>
      <c r="B127" s="33">
        <v>18.79</v>
      </c>
      <c r="C127" s="33">
        <v>30.74</v>
      </c>
      <c r="D127" s="15">
        <v>1.1239080039681401E-2</v>
      </c>
      <c r="E127" s="15">
        <v>8.4940072920041097E-3</v>
      </c>
      <c r="F127" s="33">
        <v>0</v>
      </c>
      <c r="G127" s="33">
        <v>0.6</v>
      </c>
      <c r="H127" s="33">
        <v>0</v>
      </c>
      <c r="I127" s="33">
        <v>0.77082200000000001</v>
      </c>
      <c r="J127" s="33">
        <v>0.6</v>
      </c>
      <c r="K127" s="33">
        <v>0.77082200000000001</v>
      </c>
      <c r="L127" s="33">
        <v>19.39</v>
      </c>
      <c r="M127" s="33">
        <v>31.510821999999902</v>
      </c>
      <c r="N127" s="34">
        <v>1.6359765832889801</v>
      </c>
      <c r="O127" s="34">
        <v>1.6459148161032899</v>
      </c>
      <c r="P127" s="34">
        <v>1.6375225533596001</v>
      </c>
      <c r="Q127" s="34">
        <v>1.6448433706037</v>
      </c>
      <c r="R127" s="33">
        <v>30.9267393945808</v>
      </c>
      <c r="S127" s="33">
        <v>30.801516220718501</v>
      </c>
      <c r="T127" s="33">
        <v>30.923013018299599</v>
      </c>
      <c r="U127" s="15">
        <v>6.0564241670044696E-3</v>
      </c>
      <c r="V127" s="15">
        <v>1.9991786028297699E-3</v>
      </c>
      <c r="W127" s="15">
        <v>5.9359264724998797E-3</v>
      </c>
      <c r="X127" s="34">
        <v>1.62510685920577</v>
      </c>
      <c r="Y127" s="34">
        <v>1.6383944060714599</v>
      </c>
      <c r="Z127" s="34">
        <v>1.6273050693273901</v>
      </c>
      <c r="AA127" s="34">
        <v>1.6346280819646</v>
      </c>
      <c r="AB127" s="33">
        <v>31.768467533725701</v>
      </c>
      <c r="AC127" s="33">
        <v>31.588271294258099</v>
      </c>
      <c r="AD127" s="33">
        <v>31.713029883468899</v>
      </c>
      <c r="AE127" s="15">
        <v>8.1431684633163099E-3</v>
      </c>
      <c r="AF127" s="15">
        <v>2.4548477358067502E-3</v>
      </c>
      <c r="AG127" s="15">
        <v>6.3965913784907198E-3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8.1412832384008382E-3</v>
      </c>
      <c r="AT127" s="12"/>
      <c r="AU127">
        <f t="shared" si="30"/>
        <v>1</v>
      </c>
      <c r="AV127">
        <f t="shared" si="31"/>
        <v>0</v>
      </c>
      <c r="AW127">
        <f t="shared" si="38"/>
        <v>1</v>
      </c>
      <c r="AX127">
        <f t="shared" si="25"/>
        <v>1</v>
      </c>
      <c r="AY127">
        <f t="shared" si="39"/>
        <v>1</v>
      </c>
      <c r="AZ127" s="28">
        <f t="shared" si="32"/>
        <v>-1.1239080039681401E-2</v>
      </c>
      <c r="BA127" s="28">
        <f t="shared" si="33"/>
        <v>8.4940072920041097E-3</v>
      </c>
      <c r="BB127" s="28">
        <f t="shared" si="40"/>
        <v>-2.7450727476772911E-3</v>
      </c>
      <c r="BC127" s="29">
        <f t="shared" si="41"/>
        <v>4.2423985637483324E-3</v>
      </c>
      <c r="BE127" s="29">
        <f t="shared" si="42"/>
        <v>-2.7450727476772911E-3</v>
      </c>
      <c r="BF127" s="29">
        <f t="shared" si="43"/>
        <v>1.2383681802149171E-2</v>
      </c>
      <c r="BH127" s="29"/>
    </row>
    <row r="128" spans="1:60" x14ac:dyDescent="0.25">
      <c r="A128" s="1">
        <v>46210</v>
      </c>
      <c r="B128" s="33">
        <v>18.649999999999999</v>
      </c>
      <c r="C128" s="33">
        <v>30.51</v>
      </c>
      <c r="D128" s="15">
        <v>-7.4786673355494498E-3</v>
      </c>
      <c r="E128" s="15">
        <v>-7.51023938187146E-3</v>
      </c>
      <c r="F128" s="33">
        <v>0</v>
      </c>
      <c r="G128" s="33">
        <v>0.6</v>
      </c>
      <c r="H128" s="33">
        <v>0</v>
      </c>
      <c r="I128" s="33">
        <v>0.77082200000000001</v>
      </c>
      <c r="J128" s="33">
        <v>0.6</v>
      </c>
      <c r="K128" s="33">
        <v>0.77082200000000001</v>
      </c>
      <c r="L128" s="33">
        <v>19.25</v>
      </c>
      <c r="M128" s="33">
        <v>31.280822000000001</v>
      </c>
      <c r="N128" s="34">
        <v>1.63592493297587</v>
      </c>
      <c r="O128" s="34">
        <v>1.6459148161032899</v>
      </c>
      <c r="P128" s="34">
        <v>1.6365472771801299</v>
      </c>
      <c r="Q128" s="34">
        <v>1.6442129505858201</v>
      </c>
      <c r="R128" s="33">
        <v>30.696311320326298</v>
      </c>
      <c r="S128" s="33">
        <v>30.5397956201565</v>
      </c>
      <c r="T128" s="33">
        <v>30.676328861759</v>
      </c>
      <c r="U128" s="15">
        <v>6.0879962133264902E-3</v>
      </c>
      <c r="V128" s="15">
        <v>9.7610883770075701E-4</v>
      </c>
      <c r="W128" s="15">
        <v>5.4368116068246901E-3</v>
      </c>
      <c r="X128" s="34">
        <v>1.6249777662337599</v>
      </c>
      <c r="Y128" s="34">
        <v>1.6383944060714599</v>
      </c>
      <c r="Z128" s="34">
        <v>1.6262421286950499</v>
      </c>
      <c r="AA128" s="34">
        <v>1.6339572767697901</v>
      </c>
      <c r="AB128" s="33">
        <v>31.539092316875699</v>
      </c>
      <c r="AC128" s="33">
        <v>31.325622584552299</v>
      </c>
      <c r="AD128" s="33">
        <v>31.4665905778186</v>
      </c>
      <c r="AE128" s="15">
        <v>8.2226082237873196E-3</v>
      </c>
      <c r="AF128" s="15">
        <v>1.43118148608059E-3</v>
      </c>
      <c r="AG128" s="15">
        <v>5.9211722984166002E-3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8.1412832384008382E-3</v>
      </c>
      <c r="AT128" s="12"/>
      <c r="AU128">
        <f t="shared" si="30"/>
        <v>1</v>
      </c>
      <c r="AV128">
        <f t="shared" si="31"/>
        <v>0</v>
      </c>
      <c r="AW128">
        <f t="shared" si="38"/>
        <v>1</v>
      </c>
      <c r="AX128">
        <f t="shared" si="25"/>
        <v>1</v>
      </c>
      <c r="AY128">
        <f t="shared" si="39"/>
        <v>1</v>
      </c>
      <c r="AZ128" s="28">
        <f t="shared" si="32"/>
        <v>7.4786673355494498E-3</v>
      </c>
      <c r="BA128" s="28">
        <f t="shared" si="33"/>
        <v>-7.51023938187146E-3</v>
      </c>
      <c r="BB128" s="28">
        <f t="shared" si="40"/>
        <v>-3.157204632201014E-5</v>
      </c>
      <c r="BC128" s="29">
        <f t="shared" si="41"/>
        <v>4.2108265174263223E-3</v>
      </c>
      <c r="BE128" s="29">
        <f t="shared" si="42"/>
        <v>-3.157204632201014E-5</v>
      </c>
      <c r="BF128" s="29">
        <f t="shared" si="43"/>
        <v>1.2352109755827161E-2</v>
      </c>
      <c r="BH128" s="29"/>
    </row>
    <row r="129" spans="1:60" x14ac:dyDescent="0.25">
      <c r="A129" s="1">
        <v>46211</v>
      </c>
      <c r="B129" s="33">
        <v>18.559999999999999</v>
      </c>
      <c r="C129" s="33">
        <v>30.45</v>
      </c>
      <c r="D129" s="15">
        <v>-4.8374187317700504E-3</v>
      </c>
      <c r="E129" s="15">
        <v>-1.9685045726723E-3</v>
      </c>
      <c r="F129" s="33">
        <v>0</v>
      </c>
      <c r="G129" s="33">
        <v>0.6</v>
      </c>
      <c r="H129" s="33">
        <v>0</v>
      </c>
      <c r="I129" s="33">
        <v>0.77082200000000001</v>
      </c>
      <c r="J129" s="33">
        <v>0.6</v>
      </c>
      <c r="K129" s="33">
        <v>0.77082200000000001</v>
      </c>
      <c r="L129" s="33">
        <v>19.16</v>
      </c>
      <c r="M129" s="33">
        <v>31.220821999999998</v>
      </c>
      <c r="N129" s="34">
        <v>1.640625</v>
      </c>
      <c r="O129" s="34">
        <v>1.6459148161032899</v>
      </c>
      <c r="P129" s="34">
        <v>1.63636217846081</v>
      </c>
      <c r="Q129" s="34">
        <v>1.6433924081834701</v>
      </c>
      <c r="R129" s="33">
        <v>30.548178986877101</v>
      </c>
      <c r="S129" s="33">
        <v>30.374317464463299</v>
      </c>
      <c r="T129" s="33">
        <v>30.516592362872899</v>
      </c>
      <c r="U129" s="15">
        <v>3.21908205422866E-3</v>
      </c>
      <c r="V129" s="15">
        <v>-2.4885630533891499E-3</v>
      </c>
      <c r="W129" s="15">
        <v>2.1845534341073201E-3</v>
      </c>
      <c r="X129" s="34">
        <v>1.6294792275574099</v>
      </c>
      <c r="Y129" s="34">
        <v>1.6383944060714599</v>
      </c>
      <c r="Z129" s="34">
        <v>1.62594118450692</v>
      </c>
      <c r="AA129" s="34">
        <v>1.63309908077403</v>
      </c>
      <c r="AB129" s="33">
        <v>31.3916368203293</v>
      </c>
      <c r="AC129" s="33">
        <v>31.1587991857972</v>
      </c>
      <c r="AD129" s="33">
        <v>31.306621422909299</v>
      </c>
      <c r="AE129" s="15">
        <v>5.4562701201347997E-3</v>
      </c>
      <c r="AF129" s="15">
        <v>-1.9885607979716899E-3</v>
      </c>
      <c r="AG129" s="15">
        <v>2.74437821420933E-3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8.1412832384008382E-3</v>
      </c>
      <c r="AT129" s="12"/>
      <c r="AU129">
        <f t="shared" si="30"/>
        <v>0</v>
      </c>
      <c r="AV129">
        <f t="shared" si="31"/>
        <v>0</v>
      </c>
      <c r="AW129">
        <f t="shared" si="38"/>
        <v>1</v>
      </c>
      <c r="AX129">
        <f t="shared" si="25"/>
        <v>1</v>
      </c>
      <c r="AY129">
        <f t="shared" si="39"/>
        <v>1</v>
      </c>
      <c r="AZ129" s="28">
        <f t="shared" si="32"/>
        <v>4.8374187317700504E-3</v>
      </c>
      <c r="BA129" s="28">
        <f t="shared" si="33"/>
        <v>-1.9685045726723E-3</v>
      </c>
      <c r="BB129" s="28">
        <f t="shared" si="40"/>
        <v>2.8689141590977504E-3</v>
      </c>
      <c r="BC129" s="29">
        <f t="shared" si="41"/>
        <v>7.0797406765240722E-3</v>
      </c>
      <c r="BE129" s="29">
        <f t="shared" si="42"/>
        <v>2.8689141590977504E-3</v>
      </c>
      <c r="BF129" s="29">
        <f t="shared" si="43"/>
        <v>1.5221023914924912E-2</v>
      </c>
      <c r="BH129" s="29"/>
    </row>
    <row r="130" spans="1:60" x14ac:dyDescent="0.25">
      <c r="A130" s="1">
        <v>46212</v>
      </c>
      <c r="B130" s="33">
        <v>18.68</v>
      </c>
      <c r="C130" s="33">
        <v>30.56</v>
      </c>
      <c r="D130" s="15">
        <v>6.4447054426421801E-3</v>
      </c>
      <c r="E130" s="15">
        <v>3.6059701424137301E-3</v>
      </c>
      <c r="F130" s="33">
        <v>0</v>
      </c>
      <c r="G130" s="33">
        <v>0.6</v>
      </c>
      <c r="H130" s="33">
        <v>0</v>
      </c>
      <c r="I130" s="33">
        <v>0.77082200000000001</v>
      </c>
      <c r="J130" s="33">
        <v>0.6</v>
      </c>
      <c r="K130" s="33">
        <v>0.77082200000000001</v>
      </c>
      <c r="L130" s="33">
        <v>19.28</v>
      </c>
      <c r="M130" s="33">
        <v>31.330821999999898</v>
      </c>
      <c r="N130" s="34">
        <v>1.63597430406852</v>
      </c>
      <c r="O130" s="34">
        <v>1.6459148161032899</v>
      </c>
      <c r="P130" s="34">
        <v>1.6357197801738801</v>
      </c>
      <c r="Q130" s="34">
        <v>1.6424204910181901</v>
      </c>
      <c r="R130" s="33">
        <v>30.745688764809401</v>
      </c>
      <c r="S130" s="33">
        <v>30.567245493647999</v>
      </c>
      <c r="T130" s="33">
        <v>30.6985701848673</v>
      </c>
      <c r="U130" s="15">
        <v>6.0578173544572301E-3</v>
      </c>
      <c r="V130" s="15">
        <v>2.37062659163106E-4</v>
      </c>
      <c r="W130" s="15">
        <v>4.5241154274156701E-3</v>
      </c>
      <c r="X130" s="34">
        <v>1.62504263485477</v>
      </c>
      <c r="Y130" s="34">
        <v>1.6383944060714599</v>
      </c>
      <c r="Z130" s="34">
        <v>1.6252072728099201</v>
      </c>
      <c r="AA130" s="34">
        <v>1.6320989108466299</v>
      </c>
      <c r="AB130" s="33">
        <v>31.5882441490578</v>
      </c>
      <c r="AC130" s="33">
        <v>31.3481460372935</v>
      </c>
      <c r="AD130" s="33">
        <v>31.4861502773234</v>
      </c>
      <c r="AE130" s="15">
        <v>8.1826893229754692E-3</v>
      </c>
      <c r="AF130" s="15">
        <v>5.5278631021597497E-4</v>
      </c>
      <c r="AG130" s="15">
        <v>4.9454339573600297E-3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8.1412832384008382E-3</v>
      </c>
      <c r="AT130" s="12"/>
      <c r="AU130">
        <f t="shared" si="30"/>
        <v>1</v>
      </c>
      <c r="AV130">
        <f t="shared" si="31"/>
        <v>0</v>
      </c>
      <c r="AW130">
        <f t="shared" si="38"/>
        <v>1</v>
      </c>
      <c r="AX130">
        <f t="shared" si="25"/>
        <v>1</v>
      </c>
      <c r="AY130">
        <f t="shared" si="39"/>
        <v>1</v>
      </c>
      <c r="AZ130" s="28">
        <f t="shared" si="32"/>
        <v>-6.4447054426421801E-3</v>
      </c>
      <c r="BA130" s="28">
        <f t="shared" si="33"/>
        <v>3.6059701424137301E-3</v>
      </c>
      <c r="BB130" s="28">
        <f t="shared" si="40"/>
        <v>-2.83873530022845E-3</v>
      </c>
      <c r="BC130" s="29">
        <f t="shared" si="41"/>
        <v>4.2410053762956222E-3</v>
      </c>
      <c r="BE130" s="29">
        <f t="shared" si="42"/>
        <v>-2.83873530022845E-3</v>
      </c>
      <c r="BF130" s="29">
        <f t="shared" si="43"/>
        <v>1.2382288614696462E-2</v>
      </c>
      <c r="BH130" s="29"/>
    </row>
    <row r="131" spans="1:60" x14ac:dyDescent="0.25">
      <c r="A131" s="1">
        <v>46213</v>
      </c>
      <c r="B131" s="33">
        <v>18.649999999999999</v>
      </c>
      <c r="C131" s="33">
        <v>30.54</v>
      </c>
      <c r="D131" s="15">
        <v>-1.60728671087202E-3</v>
      </c>
      <c r="E131" s="15">
        <v>-6.5466450783338798E-4</v>
      </c>
      <c r="F131" s="33">
        <v>0</v>
      </c>
      <c r="G131" s="33">
        <v>0.6</v>
      </c>
      <c r="H131" s="33">
        <v>0</v>
      </c>
      <c r="I131" s="33">
        <v>0.77082200000000001</v>
      </c>
      <c r="J131" s="33">
        <v>0.6</v>
      </c>
      <c r="K131" s="33">
        <v>0.77082200000000001</v>
      </c>
      <c r="L131" s="33">
        <v>19.25</v>
      </c>
      <c r="M131" s="33">
        <v>31.310821999999899</v>
      </c>
      <c r="N131" s="34">
        <v>1.6375335120643399</v>
      </c>
      <c r="O131" s="34">
        <v>1.6459148161032899</v>
      </c>
      <c r="P131" s="34">
        <v>1.6362559732033699</v>
      </c>
      <c r="Q131" s="34">
        <v>1.64162655942098</v>
      </c>
      <c r="R131" s="33">
        <v>30.696311320326298</v>
      </c>
      <c r="S131" s="33">
        <v>30.5061739002428</v>
      </c>
      <c r="T131" s="33">
        <v>30.6311421574893</v>
      </c>
      <c r="U131" s="15">
        <v>5.1051951514183899E-3</v>
      </c>
      <c r="V131" s="15">
        <v>-1.1082137031007699E-3</v>
      </c>
      <c r="W131" s="15">
        <v>2.9799092094391099E-3</v>
      </c>
      <c r="X131" s="34">
        <v>1.6265362077922001</v>
      </c>
      <c r="Y131" s="34">
        <v>1.6383944060714599</v>
      </c>
      <c r="Z131" s="34">
        <v>1.6256202565134199</v>
      </c>
      <c r="AA131" s="34">
        <v>1.63127218382127</v>
      </c>
      <c r="AB131" s="33">
        <v>31.539092316875699</v>
      </c>
      <c r="AC131" s="33">
        <v>31.285240001590999</v>
      </c>
      <c r="AD131" s="33">
        <v>31.417904033797601</v>
      </c>
      <c r="AE131" s="15">
        <v>7.2640137411994401E-3</v>
      </c>
      <c r="AF131" s="15">
        <v>-8.1736770701541198E-4</v>
      </c>
      <c r="AG131" s="15">
        <v>3.4141339887900799E-3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8.1412832384008382E-3</v>
      </c>
      <c r="AT131" s="12"/>
      <c r="AU131">
        <f t="shared" si="30"/>
        <v>0</v>
      </c>
      <c r="AV131">
        <f t="shared" si="31"/>
        <v>0</v>
      </c>
      <c r="AW131">
        <f t="shared" si="38"/>
        <v>1</v>
      </c>
      <c r="AX131">
        <f t="shared" si="25"/>
        <v>1</v>
      </c>
      <c r="AY131">
        <f t="shared" si="39"/>
        <v>1</v>
      </c>
      <c r="AZ131" s="28">
        <f t="shared" si="32"/>
        <v>1.60728671087202E-3</v>
      </c>
      <c r="BA131" s="28">
        <f t="shared" si="33"/>
        <v>-6.5466450783338798E-4</v>
      </c>
      <c r="BB131" s="28">
        <f t="shared" si="40"/>
        <v>9.52622203038632E-4</v>
      </c>
      <c r="BC131" s="29">
        <f t="shared" si="41"/>
        <v>5.1936275793342543E-3</v>
      </c>
      <c r="BE131" s="29">
        <f t="shared" si="42"/>
        <v>9.52622203038632E-4</v>
      </c>
      <c r="BF131" s="29">
        <f t="shared" si="43"/>
        <v>1.3334910817735093E-2</v>
      </c>
      <c r="BH131" s="29"/>
    </row>
    <row r="132" spans="1:60" x14ac:dyDescent="0.25">
      <c r="A132" s="1">
        <v>46216</v>
      </c>
      <c r="B132" s="33">
        <v>18.55</v>
      </c>
      <c r="C132" s="33">
        <v>30.35</v>
      </c>
      <c r="D132" s="15">
        <v>-5.3763570363802903E-3</v>
      </c>
      <c r="E132" s="15">
        <v>-6.2407822849790302E-3</v>
      </c>
      <c r="F132" s="33">
        <v>0</v>
      </c>
      <c r="G132" s="33">
        <v>0.6</v>
      </c>
      <c r="H132" s="33">
        <v>0</v>
      </c>
      <c r="I132" s="33">
        <v>0.77082200000000001</v>
      </c>
      <c r="J132" s="33">
        <v>0.6</v>
      </c>
      <c r="K132" s="33">
        <v>0.77082200000000001</v>
      </c>
      <c r="L132" s="33">
        <v>19.149999999999999</v>
      </c>
      <c r="M132" s="33">
        <v>31.120822</v>
      </c>
      <c r="N132" s="34">
        <v>1.63611859838274</v>
      </c>
      <c r="O132" s="34">
        <v>1.6459148161032899</v>
      </c>
      <c r="P132" s="34">
        <v>1.63699229656095</v>
      </c>
      <c r="Q132" s="34">
        <v>1.6408006299900899</v>
      </c>
      <c r="R132" s="33">
        <v>30.531719838716</v>
      </c>
      <c r="S132" s="33">
        <v>30.3525483029225</v>
      </c>
      <c r="T132" s="33">
        <v>30.452172677259199</v>
      </c>
      <c r="U132" s="15">
        <v>5.9696204000172504E-3</v>
      </c>
      <c r="V132" s="15">
        <v>8.3960327705152703E-5</v>
      </c>
      <c r="W132" s="15">
        <v>3.3608263958899401E-3</v>
      </c>
      <c r="X132" s="34">
        <v>1.6251081984334199</v>
      </c>
      <c r="Y132" s="34">
        <v>1.6383944060714599</v>
      </c>
      <c r="Z132" s="34">
        <v>1.62622364688968</v>
      </c>
      <c r="AA132" s="34">
        <v>1.6304075055229099</v>
      </c>
      <c r="AB132" s="33">
        <v>31.375252876268501</v>
      </c>
      <c r="AC132" s="33">
        <v>31.1306279122321</v>
      </c>
      <c r="AD132" s="33">
        <v>31.2388623201774</v>
      </c>
      <c r="AE132" s="15">
        <v>8.1423443777586899E-3</v>
      </c>
      <c r="AF132" s="15">
        <v>3.1504205370475898E-4</v>
      </c>
      <c r="AG132" s="15">
        <v>3.7857940573636601E-3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8.1412832384008382E-3</v>
      </c>
      <c r="AT132" s="12"/>
      <c r="AU132">
        <f t="shared" si="30"/>
        <v>0</v>
      </c>
      <c r="AV132">
        <f t="shared" si="31"/>
        <v>0</v>
      </c>
      <c r="AW132">
        <f t="shared" si="38"/>
        <v>1</v>
      </c>
      <c r="AX132">
        <f t="shared" si="25"/>
        <v>1</v>
      </c>
      <c r="AY132">
        <f t="shared" si="39"/>
        <v>1</v>
      </c>
      <c r="AZ132" s="28">
        <f t="shared" si="32"/>
        <v>5.3763570363802903E-3</v>
      </c>
      <c r="BA132" s="28">
        <f t="shared" si="33"/>
        <v>-6.2407822849790302E-3</v>
      </c>
      <c r="BB132" s="28">
        <f t="shared" si="40"/>
        <v>-8.6442524859873995E-4</v>
      </c>
      <c r="BC132" s="29">
        <f t="shared" si="41"/>
        <v>4.3292023307355144E-3</v>
      </c>
      <c r="BE132" s="29">
        <f t="shared" si="42"/>
        <v>-8.6442524859873995E-4</v>
      </c>
      <c r="BF132" s="29">
        <f t="shared" si="43"/>
        <v>1.2470485569136353E-2</v>
      </c>
      <c r="BH132" s="29"/>
    </row>
    <row r="133" spans="1:60" x14ac:dyDescent="0.25">
      <c r="A133" s="1">
        <v>46217</v>
      </c>
      <c r="B133" s="33">
        <v>18.57</v>
      </c>
      <c r="C133" s="33">
        <v>30.51</v>
      </c>
      <c r="D133" s="15">
        <v>1.0775863111703401E-3</v>
      </c>
      <c r="E133" s="15">
        <v>5.2579812230710401E-3</v>
      </c>
      <c r="F133" s="33">
        <v>0</v>
      </c>
      <c r="G133" s="33">
        <v>0.6</v>
      </c>
      <c r="H133" s="33">
        <v>0</v>
      </c>
      <c r="I133" s="33">
        <v>0.77082200000000001</v>
      </c>
      <c r="J133" s="33">
        <v>0.6</v>
      </c>
      <c r="K133" s="33">
        <v>0.77082200000000001</v>
      </c>
      <c r="L133" s="33">
        <v>19.170000000000002</v>
      </c>
      <c r="M133" s="33">
        <v>31.280822000000001</v>
      </c>
      <c r="N133" s="34">
        <v>1.64297253634895</v>
      </c>
      <c r="O133" s="34">
        <v>1.6459148161032899</v>
      </c>
      <c r="P133" s="34">
        <v>1.63742445383611</v>
      </c>
      <c r="Q133" s="34">
        <v>1.6404040920891501</v>
      </c>
      <c r="R133" s="33">
        <v>30.564638135038098</v>
      </c>
      <c r="S133" s="33">
        <v>30.398946947136999</v>
      </c>
      <c r="T133" s="33">
        <v>30.469667698915998</v>
      </c>
      <c r="U133" s="15">
        <v>1.7892254881165699E-3</v>
      </c>
      <c r="V133" s="15">
        <v>-3.6465308131864399E-3</v>
      </c>
      <c r="W133" s="15">
        <v>-1.3228116349953401E-3</v>
      </c>
      <c r="X133" s="34">
        <v>1.63175910276473</v>
      </c>
      <c r="Y133" s="34">
        <v>1.6383944060714599</v>
      </c>
      <c r="Z133" s="34">
        <v>1.62652634548732</v>
      </c>
      <c r="AA133" s="34">
        <v>1.6299584989634199</v>
      </c>
      <c r="AB133" s="33">
        <v>31.408020764389999</v>
      </c>
      <c r="AC133" s="33">
        <v>31.174707310875199</v>
      </c>
      <c r="AD133" s="33">
        <v>31.2549118808742</v>
      </c>
      <c r="AE133" s="15">
        <v>4.0581045475472297E-3</v>
      </c>
      <c r="AF133" s="15">
        <v>-3.3980911667760498E-3</v>
      </c>
      <c r="AG133" s="15">
        <v>-8.2865008533172097E-4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8.1412832384008382E-3</v>
      </c>
      <c r="AT133" s="12"/>
      <c r="AU133">
        <f t="shared" si="30"/>
        <v>0</v>
      </c>
      <c r="AV133">
        <f t="shared" si="31"/>
        <v>1</v>
      </c>
      <c r="AW133">
        <f t="shared" si="38"/>
        <v>1</v>
      </c>
      <c r="AX133">
        <f t="shared" si="25"/>
        <v>1</v>
      </c>
      <c r="AY133">
        <f t="shared" si="39"/>
        <v>1</v>
      </c>
      <c r="AZ133" s="28">
        <f t="shared" si="32"/>
        <v>-1.0775863111703401E-3</v>
      </c>
      <c r="BA133" s="28">
        <f t="shared" si="33"/>
        <v>5.2579812230710401E-3</v>
      </c>
      <c r="BB133" s="28">
        <f t="shared" si="40"/>
        <v>4.1803949119006995E-3</v>
      </c>
      <c r="BC133" s="29">
        <f t="shared" si="41"/>
        <v>8.5095972426362139E-3</v>
      </c>
      <c r="BE133" s="29">
        <f t="shared" si="42"/>
        <v>4.1803949119006995E-3</v>
      </c>
      <c r="BF133" s="29">
        <f t="shared" si="43"/>
        <v>1.665088048103705E-2</v>
      </c>
      <c r="BH133" s="29"/>
    </row>
    <row r="134" spans="1:60" x14ac:dyDescent="0.25">
      <c r="A134" s="1">
        <v>46218</v>
      </c>
      <c r="B134" s="33">
        <v>18.649999999999999</v>
      </c>
      <c r="C134" s="33">
        <v>30.62</v>
      </c>
      <c r="D134" s="15">
        <v>4.2987707252099897E-3</v>
      </c>
      <c r="E134" s="15">
        <v>3.59889150095948E-3</v>
      </c>
      <c r="F134" s="33">
        <v>0</v>
      </c>
      <c r="G134" s="33">
        <v>0.6</v>
      </c>
      <c r="H134" s="33">
        <v>0</v>
      </c>
      <c r="I134" s="33">
        <v>0.77082200000000001</v>
      </c>
      <c r="J134" s="33">
        <v>0.6</v>
      </c>
      <c r="K134" s="33">
        <v>0.77082200000000001</v>
      </c>
      <c r="L134" s="33">
        <v>19.25</v>
      </c>
      <c r="M134" s="33">
        <v>31.390822</v>
      </c>
      <c r="N134" s="34">
        <v>1.64182305630026</v>
      </c>
      <c r="O134" s="34">
        <v>1.6459148161032899</v>
      </c>
      <c r="P134" s="34">
        <v>1.6384713929599799</v>
      </c>
      <c r="Q134" s="34">
        <v>1.6398222390932899</v>
      </c>
      <c r="R134" s="33">
        <v>30.696311320326298</v>
      </c>
      <c r="S134" s="33">
        <v>30.537966064043399</v>
      </c>
      <c r="T134" s="33">
        <v>30.593536317462799</v>
      </c>
      <c r="U134" s="15">
        <v>2.4891047123670098E-3</v>
      </c>
      <c r="V134" s="15">
        <v>-2.6826917386148599E-3</v>
      </c>
      <c r="W134" s="15">
        <v>-8.6463503917241899E-4</v>
      </c>
      <c r="X134" s="34">
        <v>1.6306920519480499</v>
      </c>
      <c r="Y134" s="34">
        <v>1.6383944060714599</v>
      </c>
      <c r="Z134" s="34">
        <v>1.6274325386967201</v>
      </c>
      <c r="AA134" s="34">
        <v>1.62932871144245</v>
      </c>
      <c r="AB134" s="33">
        <v>31.539092316875699</v>
      </c>
      <c r="AC134" s="33">
        <v>31.310632150631001</v>
      </c>
      <c r="AD134" s="33">
        <v>31.376701105045999</v>
      </c>
      <c r="AE134" s="15">
        <v>4.7122451333410798E-3</v>
      </c>
      <c r="AF134" s="15">
        <v>-2.5578320048699199E-3</v>
      </c>
      <c r="AG134" s="15">
        <v>-4.4994272495286602E-4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8.1412832384008382E-3</v>
      </c>
      <c r="AT134" s="12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8.5095972426362139E-3</v>
      </c>
      <c r="BE134" s="29">
        <f t="shared" si="42"/>
        <v>0</v>
      </c>
      <c r="BF134" s="29">
        <f t="shared" si="43"/>
        <v>1.665088048103705E-2</v>
      </c>
      <c r="BH134" s="29"/>
    </row>
    <row r="135" spans="1:60" x14ac:dyDescent="0.25">
      <c r="A135" s="1">
        <v>46219</v>
      </c>
      <c r="B135" s="33">
        <v>18.57</v>
      </c>
      <c r="C135" s="33">
        <v>30.37</v>
      </c>
      <c r="D135" s="15">
        <v>-4.2987707252100504E-3</v>
      </c>
      <c r="E135" s="15">
        <v>-8.1981111718802593E-3</v>
      </c>
      <c r="F135" s="33">
        <v>0</v>
      </c>
      <c r="G135" s="33">
        <v>0.6</v>
      </c>
      <c r="H135" s="33">
        <v>0</v>
      </c>
      <c r="I135" s="33">
        <v>0.77082200000000001</v>
      </c>
      <c r="J135" s="33">
        <v>0.6</v>
      </c>
      <c r="K135" s="33">
        <v>0.77082200000000001</v>
      </c>
      <c r="L135" s="33">
        <v>19.170000000000002</v>
      </c>
      <c r="M135" s="33">
        <v>31.140822</v>
      </c>
      <c r="N135" s="34">
        <v>1.63543349488422</v>
      </c>
      <c r="O135" s="34">
        <v>1.6459148161032899</v>
      </c>
      <c r="P135" s="34">
        <v>1.63828556458704</v>
      </c>
      <c r="Q135" s="34">
        <v>1.6392549486843799</v>
      </c>
      <c r="R135" s="33">
        <v>30.564638135038098</v>
      </c>
      <c r="S135" s="33">
        <v>30.426413767266901</v>
      </c>
      <c r="T135" s="33">
        <v>30.451498979962398</v>
      </c>
      <c r="U135" s="15">
        <v>6.3884451590373896E-3</v>
      </c>
      <c r="V135" s="15">
        <v>1.8558260253327601E-3</v>
      </c>
      <c r="W135" s="15">
        <v>2.6799414715829302E-3</v>
      </c>
      <c r="X135" s="34">
        <v>1.62445602503912</v>
      </c>
      <c r="Y135" s="34">
        <v>1.6383944060714599</v>
      </c>
      <c r="Z135" s="34">
        <v>1.6272502286550801</v>
      </c>
      <c r="AA135" s="34">
        <v>1.62871231001951</v>
      </c>
      <c r="AB135" s="33">
        <v>31.408020764389999</v>
      </c>
      <c r="AC135" s="33">
        <v>31.197881766816099</v>
      </c>
      <c r="AD135" s="33">
        <v>31.234231398351898</v>
      </c>
      <c r="AE135" s="15">
        <v>8.5437356771472395E-3</v>
      </c>
      <c r="AF135" s="15">
        <v>1.83063744683095E-3</v>
      </c>
      <c r="AG135" s="15">
        <v>2.99509060403709E-3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8.1412832384008382E-3</v>
      </c>
      <c r="AT135" s="12"/>
      <c r="AU135">
        <f t="shared" si="30"/>
        <v>0</v>
      </c>
      <c r="AV135">
        <f t="shared" si="31"/>
        <v>0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8.5095972426362139E-3</v>
      </c>
      <c r="BE135" s="29">
        <f t="shared" si="42"/>
        <v>0</v>
      </c>
      <c r="BF135" s="29">
        <f t="shared" si="43"/>
        <v>1.665088048103705E-2</v>
      </c>
      <c r="BH135" s="29"/>
    </row>
    <row r="136" spans="1:60" x14ac:dyDescent="0.25">
      <c r="A136" s="1">
        <v>46220</v>
      </c>
      <c r="B136" s="33">
        <v>18.59</v>
      </c>
      <c r="C136" s="33">
        <v>30.35</v>
      </c>
      <c r="D136" s="15">
        <v>1.0764263687381901E-3</v>
      </c>
      <c r="E136" s="15">
        <v>-6.5876155215006298E-4</v>
      </c>
      <c r="F136" s="33">
        <v>0</v>
      </c>
      <c r="G136" s="33">
        <v>0.6</v>
      </c>
      <c r="H136" s="33">
        <v>0</v>
      </c>
      <c r="I136" s="33">
        <v>0.77082200000000001</v>
      </c>
      <c r="J136" s="33">
        <v>0.6</v>
      </c>
      <c r="K136" s="33">
        <v>0.77082200000000001</v>
      </c>
      <c r="L136" s="33">
        <v>19.190000000000001</v>
      </c>
      <c r="M136" s="33">
        <v>31.120822</v>
      </c>
      <c r="N136" s="34">
        <v>1.6325981710597</v>
      </c>
      <c r="O136" s="34">
        <v>1.6459148161032899</v>
      </c>
      <c r="P136" s="34">
        <v>1.63749801893736</v>
      </c>
      <c r="Q136" s="34">
        <v>1.63837424152611</v>
      </c>
      <c r="R136" s="33">
        <v>30.5975564313602</v>
      </c>
      <c r="S136" s="33">
        <v>30.455728645673101</v>
      </c>
      <c r="T136" s="33">
        <v>30.4737494960427</v>
      </c>
      <c r="U136" s="15">
        <v>8.1236330799255106E-3</v>
      </c>
      <c r="V136" s="15">
        <v>3.4775918184590899E-3</v>
      </c>
      <c r="W136" s="15">
        <v>4.0691232559407304E-3</v>
      </c>
      <c r="X136" s="34">
        <v>1.6217207920792001</v>
      </c>
      <c r="Y136" s="34">
        <v>1.6383944060714599</v>
      </c>
      <c r="Z136" s="34">
        <v>1.6264878865908401</v>
      </c>
      <c r="AA136" s="34">
        <v>1.62779451818604</v>
      </c>
      <c r="AB136" s="33">
        <v>31.440788652511401</v>
      </c>
      <c r="AC136" s="33">
        <v>31.226931887890998</v>
      </c>
      <c r="AD136" s="33">
        <v>31.2549892292745</v>
      </c>
      <c r="AE136" s="15">
        <v>1.02289387707121E-2</v>
      </c>
      <c r="AF136" s="15">
        <v>3.4038111631204799E-3</v>
      </c>
      <c r="AG136" s="15">
        <v>4.3019059325402698E-3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8.1412832384008382E-3</v>
      </c>
      <c r="AT136" s="12"/>
      <c r="AU136">
        <f t="shared" si="30"/>
        <v>1</v>
      </c>
      <c r="AV136">
        <f t="shared" si="31"/>
        <v>0</v>
      </c>
      <c r="AW136">
        <f t="shared" si="38"/>
        <v>0</v>
      </c>
      <c r="AX136">
        <f t="shared" si="25"/>
        <v>1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8.5095972426362139E-3</v>
      </c>
      <c r="BE136" s="29">
        <f t="shared" si="42"/>
        <v>0</v>
      </c>
      <c r="BF136" s="29">
        <f t="shared" si="43"/>
        <v>1.665088048103705E-2</v>
      </c>
      <c r="BH136" s="29"/>
    </row>
    <row r="137" spans="1:60" x14ac:dyDescent="0.25">
      <c r="A137" s="1">
        <v>46223</v>
      </c>
      <c r="B137" s="33">
        <v>18.5</v>
      </c>
      <c r="C137" s="33">
        <v>30.32</v>
      </c>
      <c r="D137" s="15">
        <v>-4.8530696490734701E-3</v>
      </c>
      <c r="E137" s="15">
        <v>-9.8895673133641009E-4</v>
      </c>
      <c r="F137" s="33">
        <v>0</v>
      </c>
      <c r="G137" s="33">
        <v>0.6</v>
      </c>
      <c r="H137" s="33">
        <v>0</v>
      </c>
      <c r="I137" s="33">
        <v>0.77082200000000001</v>
      </c>
      <c r="J137" s="33">
        <v>0.6</v>
      </c>
      <c r="K137" s="33">
        <v>0.77082200000000001</v>
      </c>
      <c r="L137" s="33">
        <v>19.100000000000001</v>
      </c>
      <c r="M137" s="33">
        <v>31.090821999999999</v>
      </c>
      <c r="N137" s="34">
        <v>1.63891891891891</v>
      </c>
      <c r="O137" s="34">
        <v>1.6459148161032899</v>
      </c>
      <c r="P137" s="34">
        <v>1.6377922525003501</v>
      </c>
      <c r="Q137" s="34">
        <v>1.63765740292997</v>
      </c>
      <c r="R137" s="33">
        <v>30.449424097910899</v>
      </c>
      <c r="S137" s="33">
        <v>30.2937133503411</v>
      </c>
      <c r="T137" s="33">
        <v>30.309923468233201</v>
      </c>
      <c r="U137" s="15">
        <v>4.2595201621886099E-3</v>
      </c>
      <c r="V137" s="15">
        <v>-8.6734997259831103E-4</v>
      </c>
      <c r="W137" s="15">
        <v>-3.3239467520869897E-4</v>
      </c>
      <c r="X137" s="34">
        <v>1.62779172774869</v>
      </c>
      <c r="Y137" s="34">
        <v>1.6383944060714599</v>
      </c>
      <c r="Z137" s="34">
        <v>1.62675637344513</v>
      </c>
      <c r="AA137" s="34">
        <v>1.62703072138626</v>
      </c>
      <c r="AB137" s="33">
        <v>31.293333155965001</v>
      </c>
      <c r="AC137" s="33">
        <v>31.065918633885101</v>
      </c>
      <c r="AD137" s="33">
        <v>31.090875297353399</v>
      </c>
      <c r="AE137" s="15">
        <v>6.4924135560657402E-3</v>
      </c>
      <c r="AF137" s="15">
        <v>-8.0130866558880698E-4</v>
      </c>
      <c r="AG137" s="15">
        <v>1.7142456935672699E-6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8.1412832384008382E-3</v>
      </c>
      <c r="AT137" s="12"/>
      <c r="AU137">
        <f t="shared" si="30"/>
        <v>0</v>
      </c>
      <c r="AV137">
        <f t="shared" si="31"/>
        <v>1</v>
      </c>
      <c r="AW137">
        <f t="shared" si="38"/>
        <v>1</v>
      </c>
      <c r="AX137">
        <f t="shared" si="25"/>
        <v>1</v>
      </c>
      <c r="AY137">
        <f t="shared" si="39"/>
        <v>1</v>
      </c>
      <c r="AZ137" s="28">
        <f t="shared" si="32"/>
        <v>4.8530696490734701E-3</v>
      </c>
      <c r="BA137" s="28">
        <f t="shared" si="33"/>
        <v>-9.8895673133641009E-4</v>
      </c>
      <c r="BB137" s="28">
        <f t="shared" si="40"/>
        <v>3.8641129177370602E-3</v>
      </c>
      <c r="BC137" s="29">
        <f t="shared" si="41"/>
        <v>1.2373710160373273E-2</v>
      </c>
      <c r="BE137" s="29">
        <f t="shared" si="42"/>
        <v>3.8641129177370602E-3</v>
      </c>
      <c r="BF137" s="29">
        <f t="shared" si="43"/>
        <v>2.051499339877411E-2</v>
      </c>
      <c r="BH137" s="29"/>
    </row>
    <row r="138" spans="1:60" x14ac:dyDescent="0.25">
      <c r="A138" s="1">
        <v>46224</v>
      </c>
      <c r="B138" s="33">
        <v>18.52</v>
      </c>
      <c r="C138" s="33">
        <v>30.32</v>
      </c>
      <c r="D138" s="15">
        <v>1.08049713375417E-3</v>
      </c>
      <c r="E138" s="15">
        <v>0</v>
      </c>
      <c r="F138" s="33">
        <v>0</v>
      </c>
      <c r="G138" s="33">
        <v>0.6</v>
      </c>
      <c r="H138" s="33">
        <v>0</v>
      </c>
      <c r="I138" s="33">
        <v>0.77082200000000001</v>
      </c>
      <c r="J138" s="33">
        <v>0.6</v>
      </c>
      <c r="K138" s="33">
        <v>0.77082200000000001</v>
      </c>
      <c r="L138" s="33">
        <v>19.12</v>
      </c>
      <c r="M138" s="33">
        <v>31.090821999999999</v>
      </c>
      <c r="N138" s="34">
        <v>1.6371490280777501</v>
      </c>
      <c r="O138" s="34">
        <v>1.6459148161032899</v>
      </c>
      <c r="P138" s="34">
        <v>1.63791466201054</v>
      </c>
      <c r="Q138" s="34">
        <v>1.63723096959533</v>
      </c>
      <c r="R138" s="33">
        <v>30.482342394232901</v>
      </c>
      <c r="S138" s="33">
        <v>30.331912516306499</v>
      </c>
      <c r="T138" s="33">
        <v>30.329415102263201</v>
      </c>
      <c r="U138" s="15">
        <v>5.3400172959426704E-3</v>
      </c>
      <c r="V138" s="15">
        <v>3.9281585577556703E-4</v>
      </c>
      <c r="W138" s="15">
        <v>3.1047627822831399E-4</v>
      </c>
      <c r="X138" s="34">
        <v>1.6260890167363999</v>
      </c>
      <c r="Y138" s="34">
        <v>1.6383944060714599</v>
      </c>
      <c r="Z138" s="34">
        <v>1.6268674984953999</v>
      </c>
      <c r="AA138" s="34">
        <v>1.6265548135952199</v>
      </c>
      <c r="AB138" s="33">
        <v>31.3261010440864</v>
      </c>
      <c r="AC138" s="33">
        <v>31.103581860270999</v>
      </c>
      <c r="AD138" s="33">
        <v>31.1088273929054</v>
      </c>
      <c r="AE138" s="15">
        <v>7.5389861267367003E-3</v>
      </c>
      <c r="AF138" s="15">
        <v>4.1032181862365102E-4</v>
      </c>
      <c r="AG138" s="15">
        <v>5.7895481997415304E-4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8.1412832384008382E-3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1.2373710160373273E-2</v>
      </c>
      <c r="BE138" s="29">
        <f t="shared" si="42"/>
        <v>0</v>
      </c>
      <c r="BF138" s="29">
        <f t="shared" si="43"/>
        <v>2.051499339877411E-2</v>
      </c>
      <c r="BH138" s="29"/>
    </row>
    <row r="139" spans="1:60" x14ac:dyDescent="0.25">
      <c r="A139" s="1">
        <v>46225</v>
      </c>
      <c r="B139" s="33">
        <v>18.55</v>
      </c>
      <c r="C139" s="33">
        <v>30.45</v>
      </c>
      <c r="D139" s="15">
        <v>1.6185598354108001E-3</v>
      </c>
      <c r="E139" s="15">
        <v>4.2784333817350497E-3</v>
      </c>
      <c r="F139" s="33">
        <v>0</v>
      </c>
      <c r="G139" s="33">
        <v>0.6</v>
      </c>
      <c r="H139" s="33">
        <v>0</v>
      </c>
      <c r="I139" s="33">
        <v>0.77082200000000001</v>
      </c>
      <c r="J139" s="33">
        <v>0.6</v>
      </c>
      <c r="K139" s="33">
        <v>0.77082200000000001</v>
      </c>
      <c r="L139" s="33">
        <v>19.149999999999999</v>
      </c>
      <c r="M139" s="33">
        <v>31.220821999999998</v>
      </c>
      <c r="N139" s="34">
        <v>1.64150943396226</v>
      </c>
      <c r="O139" s="34">
        <v>1.6459148161032899</v>
      </c>
      <c r="P139" s="34">
        <v>1.6380031054067701</v>
      </c>
      <c r="Q139" s="34">
        <v>1.63718264193379</v>
      </c>
      <c r="R139" s="33">
        <v>30.531719838716</v>
      </c>
      <c r="S139" s="33">
        <v>30.383316980295501</v>
      </c>
      <c r="T139" s="33">
        <v>30.370634485993499</v>
      </c>
      <c r="U139" s="15">
        <v>2.6801437496184002E-3</v>
      </c>
      <c r="V139" s="15">
        <v>-2.19231992344057E-3</v>
      </c>
      <c r="W139" s="15">
        <v>-2.60982344971923E-3</v>
      </c>
      <c r="X139" s="34">
        <v>1.6303301305483</v>
      </c>
      <c r="Y139" s="34">
        <v>1.6383944060714599</v>
      </c>
      <c r="Z139" s="34">
        <v>1.62695258879449</v>
      </c>
      <c r="AA139" s="34">
        <v>1.62644688665071</v>
      </c>
      <c r="AB139" s="33">
        <v>31.375252876268501</v>
      </c>
      <c r="AC139" s="33">
        <v>31.154512596186901</v>
      </c>
      <c r="AD139" s="33">
        <v>31.148524680348601</v>
      </c>
      <c r="AE139" s="15">
        <v>4.9342132040755904E-3</v>
      </c>
      <c r="AF139" s="15">
        <v>-2.1261426242128001E-3</v>
      </c>
      <c r="AG139" s="15">
        <v>-2.3183616914853101E-3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8.1412832384008382E-3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1.2373710160373273E-2</v>
      </c>
      <c r="BE139" s="29">
        <f t="shared" si="42"/>
        <v>0</v>
      </c>
      <c r="BF139" s="29">
        <f t="shared" si="43"/>
        <v>2.051499339877411E-2</v>
      </c>
      <c r="BH139" s="29"/>
    </row>
    <row r="140" spans="1:60" x14ac:dyDescent="0.25">
      <c r="A140" s="1">
        <v>46226</v>
      </c>
      <c r="B140" s="33">
        <v>18.39</v>
      </c>
      <c r="C140" s="33">
        <v>30.14</v>
      </c>
      <c r="D140" s="15">
        <v>-8.6627504372144802E-3</v>
      </c>
      <c r="E140" s="15">
        <v>-1.02328009575566E-2</v>
      </c>
      <c r="F140" s="33">
        <v>0</v>
      </c>
      <c r="G140" s="33">
        <v>0.6</v>
      </c>
      <c r="H140" s="33">
        <v>0</v>
      </c>
      <c r="I140" s="33">
        <v>0.77082200000000001</v>
      </c>
      <c r="J140" s="33">
        <v>0.6</v>
      </c>
      <c r="K140" s="33">
        <v>0.77082200000000001</v>
      </c>
      <c r="L140" s="33">
        <v>18.989999999999998</v>
      </c>
      <c r="M140" s="33">
        <v>30.910822</v>
      </c>
      <c r="N140" s="34">
        <v>1.6389342033713901</v>
      </c>
      <c r="O140" s="34">
        <v>1.6459148161032899</v>
      </c>
      <c r="P140" s="34">
        <v>1.63829909533705</v>
      </c>
      <c r="Q140" s="34">
        <v>1.63700943775546</v>
      </c>
      <c r="R140" s="33">
        <v>30.268373468139501</v>
      </c>
      <c r="S140" s="33">
        <v>30.122877108430501</v>
      </c>
      <c r="T140" s="33">
        <v>30.107788785162398</v>
      </c>
      <c r="U140" s="15">
        <v>4.2501942699606898E-3</v>
      </c>
      <c r="V140" s="15">
        <v>-5.6827330031013396E-4</v>
      </c>
      <c r="W140" s="15">
        <v>-1.0692912903918399E-3</v>
      </c>
      <c r="X140" s="34">
        <v>1.6277420747761899</v>
      </c>
      <c r="Y140" s="34">
        <v>1.6383944060714599</v>
      </c>
      <c r="Z140" s="34">
        <v>1.6272225327866301</v>
      </c>
      <c r="AA140" s="34">
        <v>1.62621490279827</v>
      </c>
      <c r="AB140" s="33">
        <v>31.113109771297101</v>
      </c>
      <c r="AC140" s="33">
        <v>30.895829661207301</v>
      </c>
      <c r="AD140" s="33">
        <v>30.8862263774969</v>
      </c>
      <c r="AE140" s="15">
        <v>6.5229172924782296E-3</v>
      </c>
      <c r="AF140" s="15">
        <v>-4.8513675093860801E-4</v>
      </c>
      <c r="AG140" s="15">
        <v>-7.9601289859297403E-4</v>
      </c>
      <c r="AI140" s="12"/>
      <c r="AJ140">
        <f t="shared" si="26"/>
        <v>0</v>
      </c>
      <c r="AK140">
        <f t="shared" si="27"/>
        <v>1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8.1412832384008382E-3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1.2373710160373273E-2</v>
      </c>
      <c r="BE140" s="29">
        <f t="shared" si="42"/>
        <v>0</v>
      </c>
      <c r="BF140" s="29">
        <f t="shared" si="43"/>
        <v>2.051499339877411E-2</v>
      </c>
      <c r="BH140" s="29"/>
    </row>
    <row r="141" spans="1:60" x14ac:dyDescent="0.25">
      <c r="A141" s="1">
        <v>46227</v>
      </c>
      <c r="B141" s="33">
        <v>18.36</v>
      </c>
      <c r="C141" s="33">
        <v>30.16</v>
      </c>
      <c r="D141" s="15">
        <v>-1.63265342388533E-3</v>
      </c>
      <c r="E141" s="15">
        <v>6.6334994140597198E-4</v>
      </c>
      <c r="F141" s="33">
        <v>0</v>
      </c>
      <c r="G141" s="33">
        <v>0.6</v>
      </c>
      <c r="H141" s="33">
        <v>0</v>
      </c>
      <c r="I141" s="33">
        <v>0.77082200000000001</v>
      </c>
      <c r="J141" s="33">
        <v>0.6</v>
      </c>
      <c r="K141" s="33">
        <v>0.77082200000000001</v>
      </c>
      <c r="L141" s="33">
        <v>18.96</v>
      </c>
      <c r="M141" s="33">
        <v>30.930821999999999</v>
      </c>
      <c r="N141" s="34">
        <v>1.6427015250544601</v>
      </c>
      <c r="O141" s="34">
        <v>1.6459148161032899</v>
      </c>
      <c r="P141" s="34">
        <v>1.63881589663607</v>
      </c>
      <c r="Q141" s="34">
        <v>1.63753593491972</v>
      </c>
      <c r="R141" s="33">
        <v>30.218996023656398</v>
      </c>
      <c r="S141" s="33">
        <v>30.0791713903883</v>
      </c>
      <c r="T141" s="33">
        <v>30.055493277190401</v>
      </c>
      <c r="U141" s="15">
        <v>1.9541909046693899E-3</v>
      </c>
      <c r="V141" s="15">
        <v>-2.6835912996265401E-3</v>
      </c>
      <c r="W141" s="15">
        <v>-3.4710942998527599E-3</v>
      </c>
      <c r="X141" s="34">
        <v>1.6313724683544299</v>
      </c>
      <c r="Y141" s="34">
        <v>1.6383944060714599</v>
      </c>
      <c r="Z141" s="34">
        <v>1.6277061588428501</v>
      </c>
      <c r="AA141" s="34">
        <v>1.62666320767814</v>
      </c>
      <c r="AB141" s="33">
        <v>31.063957939114999</v>
      </c>
      <c r="AC141" s="33">
        <v>30.852139221634499</v>
      </c>
      <c r="AD141" s="33">
        <v>30.833034557055299</v>
      </c>
      <c r="AE141" s="15">
        <v>4.2950759375687203E-3</v>
      </c>
      <c r="AF141" s="15">
        <v>-2.5470718576120401E-3</v>
      </c>
      <c r="AG141" s="15">
        <v>-3.1664967216353699E-3</v>
      </c>
      <c r="AI141" s="12"/>
      <c r="AJ141">
        <f t="shared" si="26"/>
        <v>0</v>
      </c>
      <c r="AK141">
        <f t="shared" si="27"/>
        <v>0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8.1412832384008382E-3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1.2373710160373273E-2</v>
      </c>
      <c r="BE141" s="29">
        <f t="shared" si="42"/>
        <v>0</v>
      </c>
      <c r="BF141" s="29">
        <f t="shared" si="43"/>
        <v>2.051499339877411E-2</v>
      </c>
      <c r="BH141" s="29"/>
    </row>
    <row r="142" spans="1:60" x14ac:dyDescent="0.25">
      <c r="A142" s="1">
        <v>46230</v>
      </c>
      <c r="B142" s="33">
        <v>18.45</v>
      </c>
      <c r="C142" s="33">
        <v>30.28</v>
      </c>
      <c r="D142" s="15">
        <v>4.8899852941917702E-3</v>
      </c>
      <c r="E142" s="15">
        <v>3.9708854294927204E-3</v>
      </c>
      <c r="F142" s="33">
        <v>0</v>
      </c>
      <c r="G142" s="33">
        <v>0.6</v>
      </c>
      <c r="H142" s="33">
        <v>0</v>
      </c>
      <c r="I142" s="33">
        <v>0.77082200000000001</v>
      </c>
      <c r="J142" s="33">
        <v>0.6</v>
      </c>
      <c r="K142" s="33">
        <v>0.77082200000000001</v>
      </c>
      <c r="L142" s="33">
        <v>19.05</v>
      </c>
      <c r="M142" s="33">
        <v>31.050822</v>
      </c>
      <c r="N142" s="34">
        <v>1.6411924119241099</v>
      </c>
      <c r="O142" s="34">
        <v>1.6459148161032899</v>
      </c>
      <c r="P142" s="34">
        <v>1.6393232779902001</v>
      </c>
      <c r="Q142" s="34">
        <v>1.6381577872755799</v>
      </c>
      <c r="R142" s="33">
        <v>30.367128357105699</v>
      </c>
      <c r="S142" s="33">
        <v>30.236153292935398</v>
      </c>
      <c r="T142" s="33">
        <v>30.2125379992688</v>
      </c>
      <c r="U142" s="15">
        <v>2.8732907693684302E-3</v>
      </c>
      <c r="V142" s="15">
        <v>-1.44909127072061E-3</v>
      </c>
      <c r="W142" s="15">
        <v>-2.2304248070874099E-3</v>
      </c>
      <c r="X142" s="34">
        <v>1.6299644094488099</v>
      </c>
      <c r="Y142" s="34">
        <v>1.6383944060714599</v>
      </c>
      <c r="Z142" s="34">
        <v>1.6281917799443899</v>
      </c>
      <c r="AA142" s="34">
        <v>1.62720771341704</v>
      </c>
      <c r="AB142" s="33">
        <v>31.211413435661399</v>
      </c>
      <c r="AC142" s="33">
        <v>31.007802325956401</v>
      </c>
      <c r="AD142" s="33">
        <v>30.987934106268501</v>
      </c>
      <c r="AE142" s="15">
        <v>5.1585617078875696E-3</v>
      </c>
      <c r="AF142" s="15">
        <v>-1.3864207078948601E-3</v>
      </c>
      <c r="AG142" s="15">
        <v>-2.0273751190011701E-3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8.1412832384008382E-3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1.2373710160373273E-2</v>
      </c>
      <c r="BE142" s="29">
        <f t="shared" si="42"/>
        <v>0</v>
      </c>
      <c r="BF142" s="29">
        <f t="shared" si="43"/>
        <v>2.051499339877411E-2</v>
      </c>
      <c r="BH142" s="29"/>
    </row>
    <row r="143" spans="1:60" x14ac:dyDescent="0.25">
      <c r="A143" s="1">
        <v>46231</v>
      </c>
      <c r="B143" s="33">
        <v>18.489999999999998</v>
      </c>
      <c r="C143" s="33">
        <v>30.36</v>
      </c>
      <c r="D143" s="15">
        <v>2.1656749124971601E-3</v>
      </c>
      <c r="E143" s="15">
        <v>2.63852395818102E-3</v>
      </c>
      <c r="F143" s="33">
        <v>0</v>
      </c>
      <c r="G143" s="33">
        <v>0.6</v>
      </c>
      <c r="H143" s="33">
        <v>0</v>
      </c>
      <c r="I143" s="33">
        <v>0.77082200000000001</v>
      </c>
      <c r="J143" s="33">
        <v>0.6</v>
      </c>
      <c r="K143" s="33">
        <v>0.77082200000000001</v>
      </c>
      <c r="L143" s="33">
        <v>19.09</v>
      </c>
      <c r="M143" s="33">
        <v>31.130821999999998</v>
      </c>
      <c r="N143" s="34">
        <v>1.6419686316927999</v>
      </c>
      <c r="O143" s="34">
        <v>1.6459148161032899</v>
      </c>
      <c r="P143" s="34">
        <v>1.63922288752459</v>
      </c>
      <c r="Q143" s="34">
        <v>1.6383236706803499</v>
      </c>
      <c r="R143" s="33">
        <v>30.432964949749799</v>
      </c>
      <c r="S143" s="33">
        <v>30.311087410038901</v>
      </c>
      <c r="T143" s="33">
        <v>30.2895374867255</v>
      </c>
      <c r="U143" s="15">
        <v>2.4004417236846102E-3</v>
      </c>
      <c r="V143" s="15">
        <v>-1.61238582151541E-3</v>
      </c>
      <c r="W143" s="15">
        <v>-2.3235971088075001E-3</v>
      </c>
      <c r="X143" s="34">
        <v>1.6307397590361401</v>
      </c>
      <c r="Y143" s="34">
        <v>1.6383944060714599</v>
      </c>
      <c r="Z143" s="34">
        <v>1.62808984557153</v>
      </c>
      <c r="AA143" s="34">
        <v>1.6273080955294299</v>
      </c>
      <c r="AB143" s="33">
        <v>31.276949211904199</v>
      </c>
      <c r="AC143" s="33">
        <v>31.0821810791385</v>
      </c>
      <c r="AD143" s="33">
        <v>31.063395249131201</v>
      </c>
      <c r="AE143" s="15">
        <v>4.6829898302343902E-3</v>
      </c>
      <c r="AF143" s="15">
        <v>-1.5636901729594701E-3</v>
      </c>
      <c r="AG143" s="15">
        <v>-2.16826516250342E-3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8.1412832384008382E-3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1.2373710160373273E-2</v>
      </c>
      <c r="BE143" s="29">
        <f t="shared" si="42"/>
        <v>0</v>
      </c>
      <c r="BF143" s="29">
        <f t="shared" si="43"/>
        <v>2.051499339877411E-2</v>
      </c>
      <c r="BH143" s="29"/>
    </row>
    <row r="144" spans="1:60" x14ac:dyDescent="0.25">
      <c r="A144" s="1">
        <v>46232</v>
      </c>
      <c r="B144" s="33">
        <v>18.34</v>
      </c>
      <c r="C144" s="33">
        <v>30.1</v>
      </c>
      <c r="D144" s="15">
        <v>-8.1455785707145595E-3</v>
      </c>
      <c r="E144" s="15">
        <v>-8.6007807725991207E-3</v>
      </c>
      <c r="F144" s="33">
        <v>0</v>
      </c>
      <c r="G144" s="33">
        <v>0.6</v>
      </c>
      <c r="H144" s="33">
        <v>0</v>
      </c>
      <c r="I144" s="33">
        <v>0.77082200000000001</v>
      </c>
      <c r="J144" s="33">
        <v>0.6</v>
      </c>
      <c r="K144" s="33">
        <v>0.77082200000000001</v>
      </c>
      <c r="L144" s="33">
        <v>18.940000000000001</v>
      </c>
      <c r="M144" s="33">
        <v>30.870822</v>
      </c>
      <c r="N144" s="34">
        <v>1.6412213740457999</v>
      </c>
      <c r="O144" s="34">
        <v>1.6459148161032899</v>
      </c>
      <c r="P144" s="34">
        <v>1.63916271929914</v>
      </c>
      <c r="Q144" s="34">
        <v>1.6388170561295601</v>
      </c>
      <c r="R144" s="33">
        <v>30.1860777273343</v>
      </c>
      <c r="S144" s="33">
        <v>30.063347757201001</v>
      </c>
      <c r="T144" s="33">
        <v>30.046856120277599</v>
      </c>
      <c r="U144" s="15">
        <v>2.8556439255690898E-3</v>
      </c>
      <c r="V144" s="15">
        <v>-1.2184244627227901E-3</v>
      </c>
      <c r="W144" s="15">
        <v>-1.76713786821308E-3</v>
      </c>
      <c r="X144" s="34">
        <v>1.62992724392819</v>
      </c>
      <c r="Y144" s="34">
        <v>1.6383944060714599</v>
      </c>
      <c r="Z144" s="34">
        <v>1.6280133647695501</v>
      </c>
      <c r="AA144" s="34">
        <v>1.62772295173313</v>
      </c>
      <c r="AB144" s="33">
        <v>31.031190050993501</v>
      </c>
      <c r="AC144" s="33">
        <v>30.836021675124901</v>
      </c>
      <c r="AD144" s="33">
        <v>30.821215329327401</v>
      </c>
      <c r="AE144" s="15">
        <v>5.1813633986051502E-3</v>
      </c>
      <c r="AF144" s="15">
        <v>-1.1279244405291099E-3</v>
      </c>
      <c r="AG144" s="15">
        <v>-1.60820370056217E-3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8.1412832384008382E-3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1.2373710160373273E-2</v>
      </c>
      <c r="BE144" s="29">
        <f t="shared" si="42"/>
        <v>0</v>
      </c>
      <c r="BF144" s="29">
        <f t="shared" si="43"/>
        <v>2.051499339877411E-2</v>
      </c>
      <c r="BH144" s="29"/>
    </row>
    <row r="145" spans="1:60" x14ac:dyDescent="0.25">
      <c r="A145" s="1">
        <v>46233</v>
      </c>
      <c r="B145" s="33">
        <v>18.52</v>
      </c>
      <c r="C145" s="33">
        <v>30.44</v>
      </c>
      <c r="D145" s="15">
        <v>9.7667623897143997E-3</v>
      </c>
      <c r="E145" s="15">
        <v>1.1232361238654899E-2</v>
      </c>
      <c r="F145" s="33">
        <v>0</v>
      </c>
      <c r="G145" s="33">
        <v>0.6</v>
      </c>
      <c r="H145" s="33">
        <v>0</v>
      </c>
      <c r="I145" s="33">
        <v>0.77082200000000001</v>
      </c>
      <c r="J145" s="33">
        <v>0.6</v>
      </c>
      <c r="K145" s="33">
        <v>0.77082200000000001</v>
      </c>
      <c r="L145" s="33">
        <v>19.12</v>
      </c>
      <c r="M145" s="33">
        <v>31.210822</v>
      </c>
      <c r="N145" s="34">
        <v>1.64362850971922</v>
      </c>
      <c r="O145" s="34">
        <v>1.6459148161032899</v>
      </c>
      <c r="P145" s="34">
        <v>1.63998222078264</v>
      </c>
      <c r="Q145" s="34">
        <v>1.63913389268484</v>
      </c>
      <c r="R145" s="33">
        <v>30.482342394232901</v>
      </c>
      <c r="S145" s="33">
        <v>30.3572935614201</v>
      </c>
      <c r="T145" s="33">
        <v>30.350891879519502</v>
      </c>
      <c r="U145" s="15">
        <v>1.39004507662847E-3</v>
      </c>
      <c r="V145" s="15">
        <v>-2.72072932045501E-3</v>
      </c>
      <c r="W145" s="15">
        <v>-2.9316294446429698E-3</v>
      </c>
      <c r="X145" s="34">
        <v>1.6323651673640101</v>
      </c>
      <c r="Y145" s="34">
        <v>1.6383944060714599</v>
      </c>
      <c r="Z145" s="34">
        <v>1.6288042790020401</v>
      </c>
      <c r="AA145" s="34">
        <v>1.6280272538285601</v>
      </c>
      <c r="AB145" s="33">
        <v>31.3261010440864</v>
      </c>
      <c r="AC145" s="33">
        <v>31.127615534393801</v>
      </c>
      <c r="AD145" s="33">
        <v>31.122062837137499</v>
      </c>
      <c r="AE145" s="15">
        <v>3.6867555693291098E-3</v>
      </c>
      <c r="AF145" s="15">
        <v>-2.6695091603146899E-3</v>
      </c>
      <c r="AG145" s="15">
        <v>-2.8479099943827398E-3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8.1412832384008382E-3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1.2373710160373273E-2</v>
      </c>
      <c r="BE145" s="29">
        <f t="shared" si="42"/>
        <v>0</v>
      </c>
      <c r="BF145" s="29">
        <f t="shared" si="43"/>
        <v>2.051499339877411E-2</v>
      </c>
      <c r="BH145" s="29"/>
    </row>
    <row r="146" spans="1:60" x14ac:dyDescent="0.25">
      <c r="A146" s="1">
        <v>46234</v>
      </c>
      <c r="B146" s="33">
        <v>18.52</v>
      </c>
      <c r="C146" s="33">
        <v>30.47</v>
      </c>
      <c r="D146" s="15">
        <v>0</v>
      </c>
      <c r="E146" s="15">
        <v>9.8506000413249909E-4</v>
      </c>
      <c r="F146" s="33">
        <v>0</v>
      </c>
      <c r="G146" s="33">
        <v>0.6</v>
      </c>
      <c r="H146" s="33">
        <v>0</v>
      </c>
      <c r="I146" s="33">
        <v>0.77082200000000001</v>
      </c>
      <c r="J146" s="33">
        <v>0.6</v>
      </c>
      <c r="K146" s="33">
        <v>0.77082200000000001</v>
      </c>
      <c r="L146" s="33">
        <v>19.12</v>
      </c>
      <c r="M146" s="33">
        <v>31.240821999999898</v>
      </c>
      <c r="N146" s="34">
        <v>1.6452483801295801</v>
      </c>
      <c r="O146" s="34">
        <v>1.6459148161032899</v>
      </c>
      <c r="P146" s="34">
        <v>1.64124724168963</v>
      </c>
      <c r="Q146" s="34">
        <v>1.6393726303134899</v>
      </c>
      <c r="R146" s="33">
        <v>30.482342394232901</v>
      </c>
      <c r="S146" s="33">
        <v>30.372470728894601</v>
      </c>
      <c r="T146" s="33">
        <v>30.356759692523301</v>
      </c>
      <c r="U146" s="15">
        <v>4.0498507249591402E-4</v>
      </c>
      <c r="V146" s="15">
        <v>-3.2059629884326601E-3</v>
      </c>
      <c r="W146" s="15">
        <v>-3.72337566146589E-3</v>
      </c>
      <c r="X146" s="34">
        <v>1.63393420502092</v>
      </c>
      <c r="Y146" s="34">
        <v>1.6383944060714599</v>
      </c>
      <c r="Z146" s="34">
        <v>1.63002562029621</v>
      </c>
      <c r="AA146" s="34">
        <v>1.6282567534435199</v>
      </c>
      <c r="AB146" s="33">
        <v>31.3261010440864</v>
      </c>
      <c r="AC146" s="33">
        <v>31.142737814518998</v>
      </c>
      <c r="AD146" s="33">
        <v>31.127881093202099</v>
      </c>
      <c r="AE146" s="15">
        <v>2.7260121721633698E-3</v>
      </c>
      <c r="AF146" s="15">
        <v>-3.1445549627436998E-3</v>
      </c>
      <c r="AG146" s="15">
        <v>-3.6217213008782299E-3</v>
      </c>
      <c r="AI146" s="12"/>
      <c r="AJ146">
        <f t="shared" si="26"/>
        <v>0</v>
      </c>
      <c r="AK146">
        <f t="shared" si="27"/>
        <v>0</v>
      </c>
      <c r="AL146">
        <f t="shared" si="34"/>
        <v>0</v>
      </c>
      <c r="AM146">
        <f t="shared" si="24"/>
        <v>0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8.1412832384008382E-3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0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1.2373710160373273E-2</v>
      </c>
      <c r="BE146" s="29">
        <f t="shared" si="42"/>
        <v>0</v>
      </c>
      <c r="BF146" s="29">
        <f t="shared" si="43"/>
        <v>2.051499339877411E-2</v>
      </c>
      <c r="BH146" s="29"/>
    </row>
    <row r="147" spans="1:60" x14ac:dyDescent="0.25">
      <c r="A147" s="1">
        <v>46237</v>
      </c>
      <c r="B147" s="33">
        <v>18.61</v>
      </c>
      <c r="C147" s="33">
        <v>30.62</v>
      </c>
      <c r="D147" s="15">
        <v>4.8478414361260097E-3</v>
      </c>
      <c r="E147" s="15">
        <v>4.9107972319200003E-3</v>
      </c>
      <c r="F147" s="33">
        <v>0.1</v>
      </c>
      <c r="G147" s="33">
        <v>0.7</v>
      </c>
      <c r="H147" s="33">
        <v>0.14230999999999999</v>
      </c>
      <c r="I147" s="33">
        <v>0.91313200000000005</v>
      </c>
      <c r="J147" s="33">
        <v>0.7</v>
      </c>
      <c r="K147" s="33">
        <v>0.91313200000000005</v>
      </c>
      <c r="L147" s="33">
        <v>19.309999999999999</v>
      </c>
      <c r="M147" s="33">
        <v>31.533131999999998</v>
      </c>
      <c r="N147" s="34">
        <v>1.64535196131112</v>
      </c>
      <c r="O147" s="34">
        <v>1.6459148161032899</v>
      </c>
      <c r="P147" s="34">
        <v>1.64189054592885</v>
      </c>
      <c r="Q147" s="34">
        <v>1.6398413992145999</v>
      </c>
      <c r="R147" s="33">
        <v>30.630474727682198</v>
      </c>
      <c r="S147" s="33">
        <v>30.543611167843999</v>
      </c>
      <c r="T147" s="33">
        <v>30.508724650134099</v>
      </c>
      <c r="U147" s="15">
        <v>3.4202927670184502E-4</v>
      </c>
      <c r="V147" s="15">
        <v>-2.4978535575291999E-3</v>
      </c>
      <c r="W147" s="15">
        <v>-3.6406934190855202E-3</v>
      </c>
      <c r="X147" s="34">
        <v>1.63299492490937</v>
      </c>
      <c r="Y147" s="34">
        <v>1.6383944060714599</v>
      </c>
      <c r="Z147" s="34">
        <v>1.6305459400122799</v>
      </c>
      <c r="AA147" s="34">
        <v>1.6286511567287001</v>
      </c>
      <c r="AB147" s="33">
        <v>31.637395981240001</v>
      </c>
      <c r="AC147" s="33">
        <v>31.475794727919801</v>
      </c>
      <c r="AD147" s="33">
        <v>31.441637908994501</v>
      </c>
      <c r="AE147" s="15">
        <v>3.3010354432976901E-3</v>
      </c>
      <c r="AF147" s="15">
        <v>-1.8199734826235101E-3</v>
      </c>
      <c r="AG147" s="15">
        <v>-2.90574004522311E-3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8.1412832384008382E-3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1.2373710160373273E-2</v>
      </c>
      <c r="BE147" s="29">
        <f t="shared" si="42"/>
        <v>0</v>
      </c>
      <c r="BF147" s="29">
        <f t="shared" si="43"/>
        <v>2.051499339877411E-2</v>
      </c>
      <c r="BH147" s="29"/>
    </row>
    <row r="148" spans="1:60" x14ac:dyDescent="0.25">
      <c r="A148" s="1">
        <v>46238</v>
      </c>
      <c r="B148" s="33">
        <v>18.670000000000002</v>
      </c>
      <c r="C148" s="33">
        <v>30.73</v>
      </c>
      <c r="D148" s="15">
        <v>3.2188868994719299E-3</v>
      </c>
      <c r="E148" s="15">
        <v>3.5859859128556E-3</v>
      </c>
      <c r="F148" s="33">
        <v>0</v>
      </c>
      <c r="G148" s="33">
        <v>0.7</v>
      </c>
      <c r="H148" s="33">
        <v>0</v>
      </c>
      <c r="I148" s="33">
        <v>0.91313200000000005</v>
      </c>
      <c r="J148" s="33">
        <v>0.7</v>
      </c>
      <c r="K148" s="33">
        <v>0.91313200000000005</v>
      </c>
      <c r="L148" s="33">
        <v>19.37</v>
      </c>
      <c r="M148" s="33">
        <v>31.643132000000001</v>
      </c>
      <c r="N148" s="34">
        <v>1.64595607927155</v>
      </c>
      <c r="O148" s="34">
        <v>1.6459148161032899</v>
      </c>
      <c r="P148" s="34">
        <v>1.64277125104823</v>
      </c>
      <c r="Q148" s="34">
        <v>1.6403429565293799</v>
      </c>
      <c r="R148" s="33">
        <v>30.7292296166484</v>
      </c>
      <c r="S148" s="33">
        <v>30.6540964924917</v>
      </c>
      <c r="T148" s="33">
        <v>30.6158389233366</v>
      </c>
      <c r="U148" s="15">
        <v>-2.50697366816289E-5</v>
      </c>
      <c r="V148" s="15">
        <v>-2.47306877616056E-3</v>
      </c>
      <c r="W148" s="15">
        <v>-3.7218892251278399E-3</v>
      </c>
      <c r="X148" s="34">
        <v>1.63361548786783</v>
      </c>
      <c r="Y148" s="34">
        <v>1.6383944060714599</v>
      </c>
      <c r="Z148" s="34">
        <v>1.63129858712542</v>
      </c>
      <c r="AA148" s="34">
        <v>1.6290830428104099</v>
      </c>
      <c r="AB148" s="33">
        <v>31.735699645604299</v>
      </c>
      <c r="AC148" s="33">
        <v>31.583674858037799</v>
      </c>
      <c r="AD148" s="33">
        <v>31.546972905834998</v>
      </c>
      <c r="AE148" s="15">
        <v>2.9210923907063498E-3</v>
      </c>
      <c r="AF148" s="15">
        <v>-1.88075793933005E-3</v>
      </c>
      <c r="AG148" s="15">
        <v>-3.0434881706101098E-3</v>
      </c>
      <c r="AI148" s="12"/>
      <c r="AJ148">
        <f t="shared" si="26"/>
        <v>0</v>
      </c>
      <c r="AK148">
        <f t="shared" si="27"/>
        <v>0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8.1412832384008382E-3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1.2373710160373273E-2</v>
      </c>
      <c r="BE148" s="29">
        <f t="shared" si="42"/>
        <v>0</v>
      </c>
      <c r="BF148" s="29">
        <f t="shared" si="43"/>
        <v>2.051499339877411E-2</v>
      </c>
      <c r="BH148" s="29"/>
    </row>
    <row r="149" spans="1:60" x14ac:dyDescent="0.25">
      <c r="A149" s="1">
        <v>46239</v>
      </c>
      <c r="B149" s="33">
        <v>18.62</v>
      </c>
      <c r="C149" s="33">
        <v>30.74</v>
      </c>
      <c r="D149" s="15">
        <v>-2.6816857047102902E-3</v>
      </c>
      <c r="E149" s="15">
        <v>3.2536196805653102E-4</v>
      </c>
      <c r="F149" s="33">
        <v>0</v>
      </c>
      <c r="G149" s="33">
        <v>0.7</v>
      </c>
      <c r="H149" s="33">
        <v>0</v>
      </c>
      <c r="I149" s="33">
        <v>0.91313200000000005</v>
      </c>
      <c r="J149" s="33">
        <v>0.7</v>
      </c>
      <c r="K149" s="33">
        <v>0.91313200000000005</v>
      </c>
      <c r="L149" s="33">
        <v>19.32</v>
      </c>
      <c r="M149" s="33">
        <v>31.653131999999999</v>
      </c>
      <c r="N149" s="34">
        <v>1.6509129967776499</v>
      </c>
      <c r="O149" s="34">
        <v>1.6459148161032899</v>
      </c>
      <c r="P149" s="34">
        <v>1.64371160732977</v>
      </c>
      <c r="Q149" s="34">
        <v>1.64085735636827</v>
      </c>
      <c r="R149" s="33">
        <v>30.646933875843299</v>
      </c>
      <c r="S149" s="33">
        <v>30.5884006945181</v>
      </c>
      <c r="T149" s="33">
        <v>30.543185850577199</v>
      </c>
      <c r="U149" s="15">
        <v>-3.0321174094482999E-3</v>
      </c>
      <c r="V149" s="15">
        <v>-4.9438632850270104E-3</v>
      </c>
      <c r="W149" s="15">
        <v>-6.4231264529328799E-3</v>
      </c>
      <c r="X149" s="34">
        <v>1.6383608695652101</v>
      </c>
      <c r="Y149" s="34">
        <v>1.6383944060714599</v>
      </c>
      <c r="Z149" s="34">
        <v>1.63210166102711</v>
      </c>
      <c r="AA149" s="34">
        <v>1.6295271249108001</v>
      </c>
      <c r="AB149" s="33">
        <v>31.6537799253007</v>
      </c>
      <c r="AC149" s="33">
        <v>31.5166887032631</v>
      </c>
      <c r="AD149" s="33">
        <v>31.473884387097101</v>
      </c>
      <c r="AE149" s="15">
        <v>2.04693383726021E-5</v>
      </c>
      <c r="AF149" s="15">
        <v>-4.3198953995461998E-3</v>
      </c>
      <c r="AG149" s="15">
        <v>-5.6789661510745597E-3</v>
      </c>
      <c r="AI149" s="12"/>
      <c r="AJ149">
        <f t="shared" si="26"/>
        <v>1</v>
      </c>
      <c r="AK149">
        <f t="shared" si="27"/>
        <v>0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8.1412832384008382E-3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1.2373710160373273E-2</v>
      </c>
      <c r="BE149" s="29">
        <f t="shared" si="42"/>
        <v>0</v>
      </c>
      <c r="BF149" s="29">
        <f t="shared" si="43"/>
        <v>2.051499339877411E-2</v>
      </c>
      <c r="BH149" s="29"/>
    </row>
    <row r="150" spans="1:60" x14ac:dyDescent="0.25">
      <c r="A150" s="1">
        <v>46240</v>
      </c>
      <c r="B150" s="33">
        <v>18.510000000000002</v>
      </c>
      <c r="C150" s="33">
        <v>30.52</v>
      </c>
      <c r="D150" s="15">
        <v>-5.9251452635148199E-3</v>
      </c>
      <c r="E150" s="15">
        <v>-7.1825316941934803E-3</v>
      </c>
      <c r="F150" s="33">
        <v>0</v>
      </c>
      <c r="G150" s="33">
        <v>0.7</v>
      </c>
      <c r="H150" s="33">
        <v>0</v>
      </c>
      <c r="I150" s="33">
        <v>0.91313200000000005</v>
      </c>
      <c r="J150" s="33">
        <v>0.7</v>
      </c>
      <c r="K150" s="33">
        <v>0.91313200000000005</v>
      </c>
      <c r="L150" s="33">
        <v>19.21</v>
      </c>
      <c r="M150" s="33">
        <v>31.433132000000001</v>
      </c>
      <c r="N150" s="34">
        <v>1.6488384656942101</v>
      </c>
      <c r="O150" s="34">
        <v>1.6459148161032899</v>
      </c>
      <c r="P150" s="34">
        <v>1.6447020335620499</v>
      </c>
      <c r="Q150" s="34">
        <v>1.6415005644495499</v>
      </c>
      <c r="R150" s="33">
        <v>30.4658832460719</v>
      </c>
      <c r="S150" s="33">
        <v>30.4251018516741</v>
      </c>
      <c r="T150" s="33">
        <v>30.372269666376699</v>
      </c>
      <c r="U150" s="15">
        <v>-1.7747309787697E-3</v>
      </c>
      <c r="V150" s="15">
        <v>-3.11421991723734E-3</v>
      </c>
      <c r="W150" s="15">
        <v>-4.8521963223619102E-3</v>
      </c>
      <c r="X150" s="34">
        <v>1.63629005726184</v>
      </c>
      <c r="Y150" s="34">
        <v>1.6383944060714599</v>
      </c>
      <c r="Z150" s="34">
        <v>1.63295645927567</v>
      </c>
      <c r="AA150" s="34">
        <v>1.6300894960311501</v>
      </c>
      <c r="AB150" s="33">
        <v>31.473556540632799</v>
      </c>
      <c r="AC150" s="33">
        <v>31.352672908330799</v>
      </c>
      <c r="AD150" s="33">
        <v>31.3032160695365</v>
      </c>
      <c r="AE150" s="15">
        <v>1.28522251401584E-3</v>
      </c>
      <c r="AF150" s="15">
        <v>-2.5629721823292001E-3</v>
      </c>
      <c r="AG150" s="15">
        <v>-4.1416537674974297E-3</v>
      </c>
      <c r="AI150" s="12"/>
      <c r="AJ150">
        <f t="shared" ref="AJ150:AJ176" si="46">IF($AG150&lt;AI$21,1,0)</f>
        <v>0</v>
      </c>
      <c r="AK150">
        <f t="shared" ref="AK150:AK176" si="47">IF($AG150&gt;AI$22,1,0)</f>
        <v>0</v>
      </c>
      <c r="AL150">
        <f t="shared" si="34"/>
        <v>1</v>
      </c>
      <c r="AM150">
        <f t="shared" si="44"/>
        <v>1</v>
      </c>
      <c r="AN150">
        <f t="shared" si="35"/>
        <v>1</v>
      </c>
      <c r="AO150" s="28">
        <f t="shared" ref="AO150:AO176" si="48">AN150*D150</f>
        <v>-5.9251452635148199E-3</v>
      </c>
      <c r="AP150" s="28">
        <f t="shared" ref="AP150:AP176" si="49">-AN150*$E150</f>
        <v>7.1825316941934803E-3</v>
      </c>
      <c r="AQ150" s="28">
        <f t="shared" si="36"/>
        <v>1.2573864306786604E-3</v>
      </c>
      <c r="AR150" s="29">
        <f t="shared" si="37"/>
        <v>9.3986696690794985E-3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1.2373710160373273E-2</v>
      </c>
      <c r="BE150" s="29">
        <f t="shared" si="42"/>
        <v>1.2573864306786604E-3</v>
      </c>
      <c r="BF150" s="29">
        <f t="shared" si="43"/>
        <v>2.1772379829452772E-2</v>
      </c>
      <c r="BH150" s="29"/>
    </row>
    <row r="151" spans="1:60" x14ac:dyDescent="0.25">
      <c r="A151" s="1">
        <v>46241</v>
      </c>
      <c r="B151" s="33">
        <v>18.600000000000001</v>
      </c>
      <c r="C151" s="33">
        <v>30.64</v>
      </c>
      <c r="D151" s="15">
        <v>4.8504541337494799E-3</v>
      </c>
      <c r="E151" s="15">
        <v>3.9241384561343601E-3</v>
      </c>
      <c r="F151" s="33">
        <v>0</v>
      </c>
      <c r="G151" s="33">
        <v>0.7</v>
      </c>
      <c r="H151" s="33">
        <v>0</v>
      </c>
      <c r="I151" s="33">
        <v>0.91313200000000005</v>
      </c>
      <c r="J151" s="33">
        <v>0.7</v>
      </c>
      <c r="K151" s="33">
        <v>0.91313200000000005</v>
      </c>
      <c r="L151" s="33">
        <v>19.3</v>
      </c>
      <c r="M151" s="33">
        <v>31.553132000000002</v>
      </c>
      <c r="N151" s="34">
        <v>1.6473118279569801</v>
      </c>
      <c r="O151" s="34">
        <v>1.6459148161032899</v>
      </c>
      <c r="P151" s="34">
        <v>1.6451630638523</v>
      </c>
      <c r="Q151" s="34">
        <v>1.6419894802441799</v>
      </c>
      <c r="R151" s="33">
        <v>30.614015579521201</v>
      </c>
      <c r="S151" s="33">
        <v>30.591457824254199</v>
      </c>
      <c r="T151" s="33">
        <v>30.5319104987617</v>
      </c>
      <c r="U151" s="15">
        <v>-8.4841530115462797E-4</v>
      </c>
      <c r="V151" s="15">
        <v>-1.58553095548632E-3</v>
      </c>
      <c r="W151" s="15">
        <v>-3.53396233173243E-3</v>
      </c>
      <c r="X151" s="34">
        <v>1.6348773056994801</v>
      </c>
      <c r="Y151" s="34">
        <v>1.6383944060714599</v>
      </c>
      <c r="Z151" s="34">
        <v>1.6333069430101801</v>
      </c>
      <c r="AA151" s="34">
        <v>1.63050655092652</v>
      </c>
      <c r="AB151" s="33">
        <v>31.621012037179302</v>
      </c>
      <c r="AC151" s="33">
        <v>31.516059664020599</v>
      </c>
      <c r="AD151" s="33">
        <v>31.4607272734013</v>
      </c>
      <c r="AE151" s="15">
        <v>2.1489824464439298E-3</v>
      </c>
      <c r="AF151" s="15">
        <v>-1.1756085426476901E-3</v>
      </c>
      <c r="AG151" s="15">
        <v>-2.9328402957541199E-3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1</v>
      </c>
      <c r="AM151">
        <f t="shared" si="44"/>
        <v>1</v>
      </c>
      <c r="AN151">
        <f t="shared" ref="AN151:AN176" si="55">IF(AJ150,1,IF(AK150,0,AL150))*AM150</f>
        <v>1</v>
      </c>
      <c r="AO151" s="28">
        <f t="shared" si="48"/>
        <v>4.8504541337494799E-3</v>
      </c>
      <c r="AP151" s="28">
        <f t="shared" si="49"/>
        <v>-3.9241384561343601E-3</v>
      </c>
      <c r="AQ151" s="28">
        <f t="shared" ref="AQ151:AQ176" si="56">AO151+AP151</f>
        <v>9.2631567761511987E-4</v>
      </c>
      <c r="AR151" s="29">
        <f t="shared" ref="AR151:AR176" si="57">AR150+AQ151</f>
        <v>1.0324985346694619E-2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1.2373710160373273E-2</v>
      </c>
      <c r="BE151" s="29">
        <f t="shared" ref="BE151:BE176" si="62">AQ151+BB151</f>
        <v>9.2631567761511987E-4</v>
      </c>
      <c r="BF151" s="29">
        <f t="shared" ref="BF151:BF176" si="63">BF150+BE151</f>
        <v>2.2698695507067893E-2</v>
      </c>
      <c r="BH151" s="29"/>
    </row>
    <row r="152" spans="1:60" x14ac:dyDescent="0.25">
      <c r="A152" s="1">
        <v>46244</v>
      </c>
      <c r="B152" s="33">
        <v>18.559999999999999</v>
      </c>
      <c r="C152" s="33">
        <v>30.57</v>
      </c>
      <c r="D152" s="15">
        <v>-2.1528533611011999E-3</v>
      </c>
      <c r="E152" s="15">
        <v>-2.2872089696474602E-3</v>
      </c>
      <c r="F152" s="33">
        <v>0</v>
      </c>
      <c r="G152" s="33">
        <v>0.7</v>
      </c>
      <c r="H152" s="33">
        <v>0</v>
      </c>
      <c r="I152" s="33">
        <v>0.91313200000000005</v>
      </c>
      <c r="J152" s="33">
        <v>0.7</v>
      </c>
      <c r="K152" s="33">
        <v>0.91313200000000005</v>
      </c>
      <c r="L152" s="33">
        <v>19.259999999999899</v>
      </c>
      <c r="M152" s="33">
        <v>31.483132000000001</v>
      </c>
      <c r="N152" s="34">
        <v>1.6470905172413699</v>
      </c>
      <c r="O152" s="34">
        <v>1.6459148161032899</v>
      </c>
      <c r="P152" s="34">
        <v>1.64575287438403</v>
      </c>
      <c r="Q152" s="34">
        <v>1.64253807618712</v>
      </c>
      <c r="R152" s="33">
        <v>30.548178986877101</v>
      </c>
      <c r="S152" s="33">
        <v>30.534226465098801</v>
      </c>
      <c r="T152" s="33">
        <v>30.475324753332099</v>
      </c>
      <c r="U152" s="15">
        <v>-7.1405969260834303E-4</v>
      </c>
      <c r="V152" s="15">
        <v>-1.17090227821627E-3</v>
      </c>
      <c r="W152" s="15">
        <v>-3.1018042072104598E-3</v>
      </c>
      <c r="X152" s="34">
        <v>1.6346382139148401</v>
      </c>
      <c r="Y152" s="34">
        <v>1.6383944060714599</v>
      </c>
      <c r="Z152" s="34">
        <v>1.6337743234567801</v>
      </c>
      <c r="AA152" s="34">
        <v>1.6309830517005901</v>
      </c>
      <c r="AB152" s="33">
        <v>31.555476260936398</v>
      </c>
      <c r="AC152" s="33">
        <v>31.457491722376101</v>
      </c>
      <c r="AD152" s="33">
        <v>31.403556170844698</v>
      </c>
      <c r="AE152" s="15">
        <v>2.2952376231662598E-3</v>
      </c>
      <c r="AF152" s="15">
        <v>-8.1474499379918504E-4</v>
      </c>
      <c r="AG152" s="15">
        <v>-2.53076999098065E-3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1.0324985346694619E-2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1.2373710160373273E-2</v>
      </c>
      <c r="BE152" s="29">
        <f t="shared" si="62"/>
        <v>0</v>
      </c>
      <c r="BF152" s="29">
        <f t="shared" si="63"/>
        <v>2.2698695507067893E-2</v>
      </c>
      <c r="BH152" s="29"/>
    </row>
    <row r="153" spans="1:60" x14ac:dyDescent="0.25">
      <c r="A153" s="1">
        <v>46245</v>
      </c>
      <c r="B153" s="33">
        <v>18.57</v>
      </c>
      <c r="C153" s="33">
        <v>30.59</v>
      </c>
      <c r="D153" s="15">
        <v>5.38648006560032E-4</v>
      </c>
      <c r="E153" s="15">
        <v>6.5402226006898499E-4</v>
      </c>
      <c r="F153" s="33">
        <v>0</v>
      </c>
      <c r="G153" s="33">
        <v>0.7</v>
      </c>
      <c r="H153" s="33">
        <v>0</v>
      </c>
      <c r="I153" s="33">
        <v>0.91313200000000005</v>
      </c>
      <c r="J153" s="33">
        <v>0.7</v>
      </c>
      <c r="K153" s="33">
        <v>0.91313200000000005</v>
      </c>
      <c r="L153" s="33">
        <v>19.27</v>
      </c>
      <c r="M153" s="33">
        <v>31.503132000000001</v>
      </c>
      <c r="N153" s="34">
        <v>1.64728056004308</v>
      </c>
      <c r="O153" s="34">
        <v>1.6459148161032899</v>
      </c>
      <c r="P153" s="34">
        <v>1.64628406721906</v>
      </c>
      <c r="Q153" s="34">
        <v>1.64275347737182</v>
      </c>
      <c r="R153" s="33">
        <v>30.564638135038098</v>
      </c>
      <c r="S153" s="33">
        <v>30.561630877311501</v>
      </c>
      <c r="T153" s="33">
        <v>30.501932074794802</v>
      </c>
      <c r="U153" s="15">
        <v>-8.2943394611728095E-4</v>
      </c>
      <c r="V153" s="15">
        <v>-9.2782888425524705E-4</v>
      </c>
      <c r="W153" s="15">
        <v>-2.8831298411795998E-3</v>
      </c>
      <c r="X153" s="34">
        <v>1.63482781525687</v>
      </c>
      <c r="Y153" s="34">
        <v>1.6383944060714599</v>
      </c>
      <c r="Z153" s="34">
        <v>1.63418312907886</v>
      </c>
      <c r="AA153" s="34">
        <v>1.6311364873251899</v>
      </c>
      <c r="AB153" s="33">
        <v>31.571860204997101</v>
      </c>
      <c r="AC153" s="33">
        <v>31.4828312130123</v>
      </c>
      <c r="AD153" s="33">
        <v>31.429043406270399</v>
      </c>
      <c r="AE153" s="15">
        <v>2.1792545601538901E-3</v>
      </c>
      <c r="AF153" s="15">
        <v>-6.4461307424975396E-4</v>
      </c>
      <c r="AG153" s="15">
        <v>-2.3545548037957301E-3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1.0324985346694619E-2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1.2373710160373273E-2</v>
      </c>
      <c r="BE153" s="29">
        <f t="shared" si="62"/>
        <v>0</v>
      </c>
      <c r="BF153" s="29">
        <f t="shared" si="63"/>
        <v>2.2698695507067893E-2</v>
      </c>
      <c r="BH153" s="29"/>
    </row>
    <row r="154" spans="1:60" x14ac:dyDescent="0.25">
      <c r="A154" s="1">
        <v>46246</v>
      </c>
      <c r="B154" s="33">
        <v>18.649999999999999</v>
      </c>
      <c r="C154" s="33">
        <v>30.77</v>
      </c>
      <c r="D154" s="15">
        <v>4.2987707252099897E-3</v>
      </c>
      <c r="E154" s="15">
        <v>5.8670311711382797E-3</v>
      </c>
      <c r="F154" s="33">
        <v>0</v>
      </c>
      <c r="G154" s="33">
        <v>0.7</v>
      </c>
      <c r="H154" s="33">
        <v>0</v>
      </c>
      <c r="I154" s="33">
        <v>0.91313200000000005</v>
      </c>
      <c r="J154" s="33">
        <v>0.7</v>
      </c>
      <c r="K154" s="33">
        <v>0.91313200000000005</v>
      </c>
      <c r="L154" s="33">
        <v>19.349999999999898</v>
      </c>
      <c r="M154" s="33">
        <v>31.683132000000001</v>
      </c>
      <c r="N154" s="34">
        <v>1.64986595174262</v>
      </c>
      <c r="O154" s="34">
        <v>1.6459148161032899</v>
      </c>
      <c r="P154" s="34">
        <v>1.6471485249887401</v>
      </c>
      <c r="Q154" s="34">
        <v>1.6431556221439401</v>
      </c>
      <c r="R154" s="33">
        <v>30.696311320326298</v>
      </c>
      <c r="S154" s="33">
        <v>30.703197853635501</v>
      </c>
      <c r="T154" s="33">
        <v>30.6373523529845</v>
      </c>
      <c r="U154" s="15">
        <v>-2.3976943920456101E-3</v>
      </c>
      <c r="V154" s="15">
        <v>-2.17337555202103E-3</v>
      </c>
      <c r="W154" s="15">
        <v>-4.3202596513616598E-3</v>
      </c>
      <c r="X154" s="34">
        <v>1.6373711627906899</v>
      </c>
      <c r="Y154" s="34">
        <v>1.6383944060714599</v>
      </c>
      <c r="Z154" s="34">
        <v>1.63492752096511</v>
      </c>
      <c r="AA154" s="34">
        <v>1.6314704428673299</v>
      </c>
      <c r="AB154" s="33">
        <v>31.702931757482801</v>
      </c>
      <c r="AC154" s="33">
        <v>31.621443547675899</v>
      </c>
      <c r="AD154" s="33">
        <v>31.5624910297425</v>
      </c>
      <c r="AE154" s="15">
        <v>6.2473537409134499E-4</v>
      </c>
      <c r="AF154" s="15">
        <v>-1.9489419624622701E-3</v>
      </c>
      <c r="AG154" s="15">
        <v>-3.8150028665385602E-3</v>
      </c>
      <c r="AI154" s="12"/>
      <c r="AJ154">
        <f t="shared" si="46"/>
        <v>0</v>
      </c>
      <c r="AK154">
        <f t="shared" si="47"/>
        <v>0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1.0324985346694619E-2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1.2373710160373273E-2</v>
      </c>
      <c r="BE154" s="29">
        <f t="shared" si="62"/>
        <v>0</v>
      </c>
      <c r="BF154" s="29">
        <f t="shared" si="63"/>
        <v>2.2698695507067893E-2</v>
      </c>
      <c r="BH154" s="29"/>
    </row>
    <row r="155" spans="1:60" x14ac:dyDescent="0.25">
      <c r="A155" s="1">
        <v>46247</v>
      </c>
      <c r="B155" s="33">
        <v>18.72</v>
      </c>
      <c r="C155" s="33">
        <v>30.89</v>
      </c>
      <c r="D155" s="15">
        <v>3.7463249596213898E-3</v>
      </c>
      <c r="E155" s="15">
        <v>3.8923175965399799E-3</v>
      </c>
      <c r="F155" s="33">
        <v>0</v>
      </c>
      <c r="G155" s="33">
        <v>0.7</v>
      </c>
      <c r="H155" s="33">
        <v>0</v>
      </c>
      <c r="I155" s="33">
        <v>0.91313200000000005</v>
      </c>
      <c r="J155" s="33">
        <v>0.7</v>
      </c>
      <c r="K155" s="33">
        <v>0.91313200000000005</v>
      </c>
      <c r="L155" s="33">
        <v>19.419999999999899</v>
      </c>
      <c r="M155" s="33">
        <v>31.803132000000002</v>
      </c>
      <c r="N155" s="34">
        <v>1.65010683760683</v>
      </c>
      <c r="O155" s="34">
        <v>1.6459148161032899</v>
      </c>
      <c r="P155" s="34">
        <v>1.6477963577775001</v>
      </c>
      <c r="Q155" s="34">
        <v>1.6438892892800701</v>
      </c>
      <c r="R155" s="33">
        <v>30.811525357453601</v>
      </c>
      <c r="S155" s="33">
        <v>30.8346203877893</v>
      </c>
      <c r="T155" s="33">
        <v>30.7598732465346</v>
      </c>
      <c r="U155" s="15">
        <v>-2.5436870289640202E-3</v>
      </c>
      <c r="V155" s="15">
        <v>-1.7944096447263199E-3</v>
      </c>
      <c r="W155" s="15">
        <v>-4.2214830253781699E-3</v>
      </c>
      <c r="X155" s="34">
        <v>1.6376484037075101</v>
      </c>
      <c r="Y155" s="34">
        <v>1.6383944060714599</v>
      </c>
      <c r="Z155" s="34">
        <v>1.63545584459946</v>
      </c>
      <c r="AA155" s="34">
        <v>1.6321300618007499</v>
      </c>
      <c r="AB155" s="33">
        <v>31.817619365907799</v>
      </c>
      <c r="AC155" s="33">
        <v>31.7502924571424</v>
      </c>
      <c r="AD155" s="33">
        <v>31.6831560004835</v>
      </c>
      <c r="AE155" s="15">
        <v>4.5542895508934498E-4</v>
      </c>
      <c r="AF155" s="15">
        <v>-1.66283895743304E-3</v>
      </c>
      <c r="AG155" s="15">
        <v>-3.77959229054601E-3</v>
      </c>
      <c r="AI155" s="12"/>
      <c r="AJ155">
        <f t="shared" si="46"/>
        <v>0</v>
      </c>
      <c r="AK155">
        <f t="shared" si="47"/>
        <v>0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1.0324985346694619E-2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1.2373710160373273E-2</v>
      </c>
      <c r="BE155" s="29">
        <f t="shared" si="62"/>
        <v>0</v>
      </c>
      <c r="BF155" s="29">
        <f t="shared" si="63"/>
        <v>2.2698695507067893E-2</v>
      </c>
      <c r="BH155" s="29"/>
    </row>
    <row r="156" spans="1:60" x14ac:dyDescent="0.25">
      <c r="A156" s="1">
        <v>46248</v>
      </c>
      <c r="B156" s="33">
        <v>18.66</v>
      </c>
      <c r="C156" s="33">
        <v>30.84</v>
      </c>
      <c r="D156" s="15">
        <v>-3.2102756302480901E-3</v>
      </c>
      <c r="E156" s="15">
        <v>-1.6199582353615899E-3</v>
      </c>
      <c r="F156" s="33">
        <v>0</v>
      </c>
      <c r="G156" s="33">
        <v>0.7</v>
      </c>
      <c r="H156" s="33">
        <v>0</v>
      </c>
      <c r="I156" s="33">
        <v>0.91313200000000005</v>
      </c>
      <c r="J156" s="33">
        <v>0.7</v>
      </c>
      <c r="K156" s="33">
        <v>0.91313200000000005</v>
      </c>
      <c r="L156" s="33">
        <v>19.36</v>
      </c>
      <c r="M156" s="33">
        <v>31.753132000000001</v>
      </c>
      <c r="N156" s="34">
        <v>1.6527331189710599</v>
      </c>
      <c r="O156" s="34">
        <v>1.6459148161032899</v>
      </c>
      <c r="P156" s="34">
        <v>1.64854483166165</v>
      </c>
      <c r="Q156" s="34">
        <v>1.64489603667564</v>
      </c>
      <c r="R156" s="33">
        <v>30.712770468487399</v>
      </c>
      <c r="S156" s="33">
        <v>30.747880036128201</v>
      </c>
      <c r="T156" s="33">
        <v>30.674974137966199</v>
      </c>
      <c r="U156" s="15">
        <v>-4.1340044238506596E-3</v>
      </c>
      <c r="V156" s="15">
        <v>-2.9914987337327798E-3</v>
      </c>
      <c r="W156" s="15">
        <v>-5.3654011965945598E-3</v>
      </c>
      <c r="X156" s="34">
        <v>1.6401411157024699</v>
      </c>
      <c r="Y156" s="34">
        <v>1.6383944060714599</v>
      </c>
      <c r="Z156" s="34">
        <v>1.6360765356676099</v>
      </c>
      <c r="AA156" s="34">
        <v>1.6330510779819101</v>
      </c>
      <c r="AB156" s="33">
        <v>31.719315701543501</v>
      </c>
      <c r="AC156" s="33">
        <v>31.6624251514455</v>
      </c>
      <c r="AD156" s="33">
        <v>31.598037996462502</v>
      </c>
      <c r="AE156" s="15">
        <v>-1.0655427001949199E-3</v>
      </c>
      <c r="AF156" s="15">
        <v>-2.8607147674352901E-3</v>
      </c>
      <c r="AG156" s="15">
        <v>-4.89633619708588E-3</v>
      </c>
      <c r="AI156" s="12"/>
      <c r="AJ156">
        <f t="shared" si="46"/>
        <v>0</v>
      </c>
      <c r="AK156">
        <f t="shared" si="47"/>
        <v>0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1.0324985346694619E-2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1.2373710160373273E-2</v>
      </c>
      <c r="BE156" s="29">
        <f t="shared" si="62"/>
        <v>0</v>
      </c>
      <c r="BF156" s="29">
        <f t="shared" si="63"/>
        <v>2.2698695507067893E-2</v>
      </c>
      <c r="BH156" s="29"/>
    </row>
    <row r="157" spans="1:60" x14ac:dyDescent="0.25">
      <c r="A157" s="1">
        <v>46251</v>
      </c>
      <c r="B157" s="33">
        <v>18.53</v>
      </c>
      <c r="C157" s="33">
        <v>30.63</v>
      </c>
      <c r="D157" s="15">
        <v>-6.9911551219293197E-3</v>
      </c>
      <c r="E157" s="15">
        <v>-6.83262785044483E-3</v>
      </c>
      <c r="F157" s="33">
        <v>0</v>
      </c>
      <c r="G157" s="33">
        <v>0.7</v>
      </c>
      <c r="H157" s="33">
        <v>0</v>
      </c>
      <c r="I157" s="33">
        <v>0.91313200000000005</v>
      </c>
      <c r="J157" s="33">
        <v>0.7</v>
      </c>
      <c r="K157" s="33">
        <v>0.91313200000000005</v>
      </c>
      <c r="L157" s="33">
        <v>19.23</v>
      </c>
      <c r="M157" s="33">
        <v>31.543132</v>
      </c>
      <c r="N157" s="34">
        <v>1.6529951430113301</v>
      </c>
      <c r="O157" s="34">
        <v>1.6459148161032899</v>
      </c>
      <c r="P157" s="34">
        <v>1.6493091498316701</v>
      </c>
      <c r="Q157" s="34">
        <v>1.64559984788026</v>
      </c>
      <c r="R157" s="33">
        <v>30.498801542393998</v>
      </c>
      <c r="S157" s="33">
        <v>30.547535730690399</v>
      </c>
      <c r="T157" s="33">
        <v>30.479923559599602</v>
      </c>
      <c r="U157" s="15">
        <v>-4.2925316953350704E-3</v>
      </c>
      <c r="V157" s="15">
        <v>-2.6959019604076801E-3</v>
      </c>
      <c r="W157" s="15">
        <v>-4.91169791653272E-3</v>
      </c>
      <c r="X157" s="34">
        <v>1.6403084763390501</v>
      </c>
      <c r="Y157" s="34">
        <v>1.6383944060714599</v>
      </c>
      <c r="Z157" s="34">
        <v>1.6368078908105801</v>
      </c>
      <c r="AA157" s="34">
        <v>1.6336769154114299</v>
      </c>
      <c r="AB157" s="33">
        <v>31.506324428754301</v>
      </c>
      <c r="AC157" s="33">
        <v>31.4617517808882</v>
      </c>
      <c r="AD157" s="33">
        <v>31.4035722295922</v>
      </c>
      <c r="AE157" s="15">
        <v>-1.1675778828877301E-3</v>
      </c>
      <c r="AF157" s="15">
        <v>-2.5833001978670502E-3</v>
      </c>
      <c r="AG157" s="15">
        <v>-4.4342273607109097E-3</v>
      </c>
      <c r="AI157" s="12"/>
      <c r="AJ157">
        <f t="shared" si="46"/>
        <v>0</v>
      </c>
      <c r="AK157">
        <f t="shared" si="47"/>
        <v>0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1.0324985346694619E-2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1.2373710160373273E-2</v>
      </c>
      <c r="BE157" s="29">
        <f t="shared" si="62"/>
        <v>0</v>
      </c>
      <c r="BF157" s="29">
        <f t="shared" si="63"/>
        <v>2.2698695507067893E-2</v>
      </c>
      <c r="BH157" s="29"/>
    </row>
    <row r="158" spans="1:60" x14ac:dyDescent="0.25">
      <c r="A158" s="1">
        <v>46252</v>
      </c>
      <c r="B158" s="33">
        <v>18.41</v>
      </c>
      <c r="C158" s="33">
        <v>30.45</v>
      </c>
      <c r="D158" s="15">
        <v>-6.4970450522819504E-3</v>
      </c>
      <c r="E158" s="15">
        <v>-5.8939266887778003E-3</v>
      </c>
      <c r="F158" s="33">
        <v>0</v>
      </c>
      <c r="G158" s="33">
        <v>0.7</v>
      </c>
      <c r="H158" s="33">
        <v>0</v>
      </c>
      <c r="I158" s="33">
        <v>0.91313200000000005</v>
      </c>
      <c r="J158" s="33">
        <v>0.7</v>
      </c>
      <c r="K158" s="33">
        <v>0.91313200000000005</v>
      </c>
      <c r="L158" s="33">
        <v>19.11</v>
      </c>
      <c r="M158" s="33">
        <v>31.363132</v>
      </c>
      <c r="N158" s="34">
        <v>1.65399239543726</v>
      </c>
      <c r="O158" s="34">
        <v>1.6459148161032899</v>
      </c>
      <c r="P158" s="34">
        <v>1.6501127814482399</v>
      </c>
      <c r="Q158" s="34">
        <v>1.6464420162482301</v>
      </c>
      <c r="R158" s="33">
        <v>30.301291764461599</v>
      </c>
      <c r="S158" s="33">
        <v>30.363781448401099</v>
      </c>
      <c r="T158" s="33">
        <v>30.295493199475601</v>
      </c>
      <c r="U158" s="15">
        <v>-4.8956500588391303E-3</v>
      </c>
      <c r="V158" s="15">
        <v>-2.8354957482362901E-3</v>
      </c>
      <c r="W158" s="15">
        <v>-5.0870319946000296E-3</v>
      </c>
      <c r="X158" s="34">
        <v>1.6411895342752401</v>
      </c>
      <c r="Y158" s="34">
        <v>1.6383944060714599</v>
      </c>
      <c r="Z158" s="34">
        <v>1.63756529545132</v>
      </c>
      <c r="AA158" s="34">
        <v>1.6344319412883701</v>
      </c>
      <c r="AB158" s="33">
        <v>31.309717100025701</v>
      </c>
      <c r="AC158" s="33">
        <v>31.2793987933902</v>
      </c>
      <c r="AD158" s="33">
        <v>31.2195658535124</v>
      </c>
      <c r="AE158" s="15">
        <v>-1.7045630978819899E-3</v>
      </c>
      <c r="AF158" s="15">
        <v>-2.6733676120221199E-3</v>
      </c>
      <c r="AG158" s="15">
        <v>-4.5880539910661796E-3</v>
      </c>
      <c r="AI158" s="12"/>
      <c r="AJ158">
        <f t="shared" si="46"/>
        <v>0</v>
      </c>
      <c r="AK158">
        <f t="shared" si="47"/>
        <v>0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1.0324985346694619E-2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1.2373710160373273E-2</v>
      </c>
      <c r="BE158" s="29">
        <f t="shared" si="62"/>
        <v>0</v>
      </c>
      <c r="BF158" s="29">
        <f t="shared" si="63"/>
        <v>2.2698695507067893E-2</v>
      </c>
      <c r="BH158" s="29"/>
    </row>
    <row r="159" spans="1:60" x14ac:dyDescent="0.25">
      <c r="A159" s="1">
        <v>46253</v>
      </c>
      <c r="B159" s="33">
        <v>18.48</v>
      </c>
      <c r="C159" s="33">
        <v>30.59</v>
      </c>
      <c r="D159" s="15">
        <v>3.79507096855153E-3</v>
      </c>
      <c r="E159" s="15">
        <v>4.5871640069061401E-3</v>
      </c>
      <c r="F159" s="33">
        <v>0</v>
      </c>
      <c r="G159" s="33">
        <v>0.7</v>
      </c>
      <c r="H159" s="33">
        <v>0</v>
      </c>
      <c r="I159" s="33">
        <v>0.91313200000000005</v>
      </c>
      <c r="J159" s="33">
        <v>0.7</v>
      </c>
      <c r="K159" s="33">
        <v>0.91313200000000005</v>
      </c>
      <c r="L159" s="33">
        <v>19.18</v>
      </c>
      <c r="M159" s="33">
        <v>31.503132000000001</v>
      </c>
      <c r="N159" s="34">
        <v>1.6553030303030301</v>
      </c>
      <c r="O159" s="34">
        <v>1.6459148161032899</v>
      </c>
      <c r="P159" s="34">
        <v>1.65055178480078</v>
      </c>
      <c r="Q159" s="34">
        <v>1.64713169606527</v>
      </c>
      <c r="R159" s="33">
        <v>30.416505801588801</v>
      </c>
      <c r="S159" s="33">
        <v>30.494084201163499</v>
      </c>
      <c r="T159" s="33">
        <v>30.426248460267399</v>
      </c>
      <c r="U159" s="15">
        <v>-5.6877430971936198E-3</v>
      </c>
      <c r="V159" s="15">
        <v>-3.14045397982753E-3</v>
      </c>
      <c r="W159" s="15">
        <v>-5.3674861042254298E-3</v>
      </c>
      <c r="X159" s="34">
        <v>1.64249906152241</v>
      </c>
      <c r="Y159" s="34">
        <v>1.6383944060714599</v>
      </c>
      <c r="Z159" s="34">
        <v>1.6379791146470399</v>
      </c>
      <c r="AA159" s="34">
        <v>1.6350403878370801</v>
      </c>
      <c r="AB159" s="33">
        <v>31.424404708450702</v>
      </c>
      <c r="AC159" s="33">
        <v>31.408502366756402</v>
      </c>
      <c r="AD159" s="33">
        <v>31.348404633910999</v>
      </c>
      <c r="AE159" s="15">
        <v>-2.5021584108289299E-3</v>
      </c>
      <c r="AF159" s="15">
        <v>-3.0083371879715301E-3</v>
      </c>
      <c r="AG159" s="15">
        <v>-4.9235925467372597E-3</v>
      </c>
      <c r="AI159" s="12"/>
      <c r="AJ159">
        <f t="shared" si="46"/>
        <v>0</v>
      </c>
      <c r="AK159">
        <f t="shared" si="47"/>
        <v>0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1.0324985346694619E-2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1.2373710160373273E-2</v>
      </c>
      <c r="BE159" s="29">
        <f t="shared" si="62"/>
        <v>0</v>
      </c>
      <c r="BF159" s="29">
        <f t="shared" si="63"/>
        <v>2.2698695507067893E-2</v>
      </c>
      <c r="BH159" s="29"/>
    </row>
    <row r="160" spans="1:60" x14ac:dyDescent="0.25">
      <c r="A160" s="1">
        <v>46254</v>
      </c>
      <c r="B160" s="33">
        <v>18.420000000000002</v>
      </c>
      <c r="C160" s="33">
        <v>30.45</v>
      </c>
      <c r="D160" s="15">
        <v>-3.25203538637723E-3</v>
      </c>
      <c r="E160" s="15">
        <v>-4.5871640069060403E-3</v>
      </c>
      <c r="F160" s="33">
        <v>0</v>
      </c>
      <c r="G160" s="33">
        <v>0.7</v>
      </c>
      <c r="H160" s="33">
        <v>0</v>
      </c>
      <c r="I160" s="33">
        <v>0.91313200000000005</v>
      </c>
      <c r="J160" s="33">
        <v>0.7</v>
      </c>
      <c r="K160" s="33">
        <v>0.91313200000000005</v>
      </c>
      <c r="L160" s="33">
        <v>19.12</v>
      </c>
      <c r="M160" s="33">
        <v>31.363132</v>
      </c>
      <c r="N160" s="34">
        <v>1.65309446254071</v>
      </c>
      <c r="O160" s="34">
        <v>1.6459148161032899</v>
      </c>
      <c r="P160" s="34">
        <v>1.6509773844854301</v>
      </c>
      <c r="Q160" s="34">
        <v>1.64783970902374</v>
      </c>
      <c r="R160" s="33">
        <v>30.3177509126226</v>
      </c>
      <c r="S160" s="33">
        <v>30.403163876030401</v>
      </c>
      <c r="T160" s="33">
        <v>30.340165841522399</v>
      </c>
      <c r="U160" s="15">
        <v>-4.3526144766648303E-3</v>
      </c>
      <c r="V160" s="15">
        <v>-1.53931628972218E-3</v>
      </c>
      <c r="W160" s="15">
        <v>-3.6135541488627799E-3</v>
      </c>
      <c r="X160" s="34">
        <v>1.6403311715481099</v>
      </c>
      <c r="Y160" s="34">
        <v>1.6383944060714599</v>
      </c>
      <c r="Z160" s="34">
        <v>1.6383832260756701</v>
      </c>
      <c r="AA160" s="34">
        <v>1.6356698426756699</v>
      </c>
      <c r="AB160" s="33">
        <v>31.3261010440864</v>
      </c>
      <c r="AC160" s="33">
        <v>31.318160672051501</v>
      </c>
      <c r="AD160" s="33">
        <v>31.261972215444899</v>
      </c>
      <c r="AE160" s="15">
        <v>-1.1814137268082699E-3</v>
      </c>
      <c r="AF160" s="15">
        <v>-1.4349204921499199E-3</v>
      </c>
      <c r="AG160" s="15">
        <v>-3.2306492358560399E-3</v>
      </c>
      <c r="AI160" s="12"/>
      <c r="AJ160">
        <f t="shared" si="46"/>
        <v>0</v>
      </c>
      <c r="AK160">
        <f t="shared" si="47"/>
        <v>0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1.0324985346694619E-2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1.2373710160373273E-2</v>
      </c>
      <c r="BE160" s="29">
        <f t="shared" si="62"/>
        <v>0</v>
      </c>
      <c r="BF160" s="29">
        <f t="shared" si="63"/>
        <v>2.2698695507067893E-2</v>
      </c>
      <c r="BH160" s="29"/>
    </row>
    <row r="161" spans="1:60" x14ac:dyDescent="0.25">
      <c r="A161" s="1">
        <v>46255</v>
      </c>
      <c r="B161" s="33">
        <v>18.39</v>
      </c>
      <c r="C161" s="33">
        <v>30.46</v>
      </c>
      <c r="D161" s="15">
        <v>-1.6299922109311699E-3</v>
      </c>
      <c r="E161" s="15">
        <v>3.2835331110974298E-4</v>
      </c>
      <c r="F161" s="33">
        <v>0</v>
      </c>
      <c r="G161" s="33">
        <v>0.7</v>
      </c>
      <c r="H161" s="33">
        <v>0</v>
      </c>
      <c r="I161" s="33">
        <v>0.91313200000000005</v>
      </c>
      <c r="J161" s="33">
        <v>0.7</v>
      </c>
      <c r="K161" s="33">
        <v>0.91313200000000005</v>
      </c>
      <c r="L161" s="33">
        <v>19.09</v>
      </c>
      <c r="M161" s="33">
        <v>31.373131999999998</v>
      </c>
      <c r="N161" s="34">
        <v>1.6563349646547001</v>
      </c>
      <c r="O161" s="34">
        <v>1.6459148161032899</v>
      </c>
      <c r="P161" s="34">
        <v>1.6518796981552</v>
      </c>
      <c r="Q161" s="34">
        <v>1.64852138100375</v>
      </c>
      <c r="R161" s="33">
        <v>30.268373468139501</v>
      </c>
      <c r="S161" s="33">
        <v>30.361474100687001</v>
      </c>
      <c r="T161" s="33">
        <v>30.303772248946601</v>
      </c>
      <c r="U161" s="15">
        <v>-6.3109599987057098E-3</v>
      </c>
      <c r="V161" s="15">
        <v>-3.23984207721917E-3</v>
      </c>
      <c r="W161" s="15">
        <v>-5.14214603585269E-3</v>
      </c>
      <c r="X161" s="34">
        <v>1.6434327920377101</v>
      </c>
      <c r="Y161" s="34">
        <v>1.6383944060714599</v>
      </c>
      <c r="Z161" s="34">
        <v>1.6392387747094901</v>
      </c>
      <c r="AA161" s="34">
        <v>1.6362728588598401</v>
      </c>
      <c r="AB161" s="33">
        <v>31.276949211904199</v>
      </c>
      <c r="AC161" s="33">
        <v>31.276735785784599</v>
      </c>
      <c r="AD161" s="33">
        <v>31.224937296678601</v>
      </c>
      <c r="AE161" s="15">
        <v>-3.07047849903609E-3</v>
      </c>
      <c r="AF161" s="15">
        <v>-3.0773022735166699E-3</v>
      </c>
      <c r="AG161" s="15">
        <v>-4.73480993404199E-3</v>
      </c>
      <c r="AI161" s="12"/>
      <c r="AJ161">
        <f t="shared" si="46"/>
        <v>0</v>
      </c>
      <c r="AK161">
        <f t="shared" si="47"/>
        <v>0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1.0324985346694619E-2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1.2373710160373273E-2</v>
      </c>
      <c r="BE161" s="29">
        <f t="shared" si="62"/>
        <v>0</v>
      </c>
      <c r="BF161" s="29">
        <f t="shared" si="63"/>
        <v>2.2698695507067893E-2</v>
      </c>
      <c r="BH161" s="29"/>
    </row>
    <row r="162" spans="1:60" x14ac:dyDescent="0.25">
      <c r="A162" s="1">
        <v>46258</v>
      </c>
      <c r="B162" s="33">
        <v>18.399999999999999</v>
      </c>
      <c r="C162" s="33">
        <v>30.51</v>
      </c>
      <c r="D162" s="15">
        <v>5.4362599871018102E-4</v>
      </c>
      <c r="E162" s="15">
        <v>1.6401512615625601E-3</v>
      </c>
      <c r="F162" s="33">
        <v>0</v>
      </c>
      <c r="G162" s="33">
        <v>0.7</v>
      </c>
      <c r="H162" s="33">
        <v>0</v>
      </c>
      <c r="I162" s="33">
        <v>0.91313200000000005</v>
      </c>
      <c r="J162" s="33">
        <v>0.7</v>
      </c>
      <c r="K162" s="33">
        <v>0.91313200000000005</v>
      </c>
      <c r="L162" s="33">
        <v>19.099999999999898</v>
      </c>
      <c r="M162" s="33">
        <v>31.423131999999999</v>
      </c>
      <c r="N162" s="34">
        <v>1.65815217391304</v>
      </c>
      <c r="O162" s="34">
        <v>1.6459148161032899</v>
      </c>
      <c r="P162" s="34">
        <v>1.65298586382236</v>
      </c>
      <c r="Q162" s="34">
        <v>1.6493693691032001</v>
      </c>
      <c r="R162" s="33">
        <v>30.284832616300498</v>
      </c>
      <c r="S162" s="33">
        <v>30.394586446055701</v>
      </c>
      <c r="T162" s="33">
        <v>30.332793410469101</v>
      </c>
      <c r="U162" s="15">
        <v>-7.4074852615581398E-3</v>
      </c>
      <c r="V162" s="15">
        <v>-3.7899836064482001E-3</v>
      </c>
      <c r="W162" s="15">
        <v>-5.8250806931182796E-3</v>
      </c>
      <c r="X162" s="34">
        <v>1.64519015706806</v>
      </c>
      <c r="Y162" s="34">
        <v>1.6383944060714599</v>
      </c>
      <c r="Z162" s="34">
        <v>1.64029396902481</v>
      </c>
      <c r="AA162" s="34">
        <v>1.6370341462408</v>
      </c>
      <c r="AB162" s="33">
        <v>31.293333155965001</v>
      </c>
      <c r="AC162" s="33">
        <v>31.3094605969514</v>
      </c>
      <c r="AD162" s="33">
        <v>31.252811604222899</v>
      </c>
      <c r="AE162" s="15">
        <v>-4.1392329441766003E-3</v>
      </c>
      <c r="AF162" s="15">
        <v>-3.6240022211896602E-3</v>
      </c>
      <c r="AG162" s="15">
        <v>-5.4349661205953196E-3</v>
      </c>
      <c r="AI162" s="12"/>
      <c r="AJ162">
        <f t="shared" si="46"/>
        <v>1</v>
      </c>
      <c r="AK162">
        <f t="shared" si="47"/>
        <v>0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1.0324985346694619E-2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1.2373710160373273E-2</v>
      </c>
      <c r="BE162" s="29">
        <f t="shared" si="62"/>
        <v>0</v>
      </c>
      <c r="BF162" s="29">
        <f t="shared" si="63"/>
        <v>2.2698695507067893E-2</v>
      </c>
      <c r="BH162" s="29"/>
    </row>
    <row r="163" spans="1:60" x14ac:dyDescent="0.25">
      <c r="A163" s="1">
        <v>46259</v>
      </c>
      <c r="B163" s="33">
        <v>18.5</v>
      </c>
      <c r="C163" s="33">
        <v>30.68</v>
      </c>
      <c r="D163" s="15">
        <v>5.4200674693393302E-3</v>
      </c>
      <c r="E163" s="15">
        <v>5.5564777704771697E-3</v>
      </c>
      <c r="F163" s="33">
        <v>0</v>
      </c>
      <c r="G163" s="33">
        <v>0.7</v>
      </c>
      <c r="H163" s="33">
        <v>0</v>
      </c>
      <c r="I163" s="33">
        <v>0.91313200000000005</v>
      </c>
      <c r="J163" s="33">
        <v>0.7</v>
      </c>
      <c r="K163" s="33">
        <v>0.91313200000000005</v>
      </c>
      <c r="L163" s="33">
        <v>19.2</v>
      </c>
      <c r="M163" s="33">
        <v>31.593132000000001</v>
      </c>
      <c r="N163" s="34">
        <v>1.6583783783783701</v>
      </c>
      <c r="O163" s="34">
        <v>1.6459148161032899</v>
      </c>
      <c r="P163" s="34">
        <v>1.65409564565589</v>
      </c>
      <c r="Q163" s="34">
        <v>1.65018985643748</v>
      </c>
      <c r="R163" s="33">
        <v>30.449424097910899</v>
      </c>
      <c r="S163" s="33">
        <v>30.580238480713799</v>
      </c>
      <c r="T163" s="33">
        <v>30.5133333284092</v>
      </c>
      <c r="U163" s="15">
        <v>-7.5438955626959802E-3</v>
      </c>
      <c r="V163" s="15">
        <v>-3.2569774440537901E-3</v>
      </c>
      <c r="W163" s="15">
        <v>-5.4472301030442302E-3</v>
      </c>
      <c r="X163" s="34">
        <v>1.645475625</v>
      </c>
      <c r="Y163" s="34">
        <v>1.6383944060714599</v>
      </c>
      <c r="Z163" s="34">
        <v>1.64135874999913</v>
      </c>
      <c r="AA163" s="34">
        <v>1.6377709395389899</v>
      </c>
      <c r="AB163" s="33">
        <v>31.4571725965721</v>
      </c>
      <c r="AC163" s="33">
        <v>31.4936442052765</v>
      </c>
      <c r="AD163" s="33">
        <v>31.431055607823399</v>
      </c>
      <c r="AE163" s="15">
        <v>-4.3127345706308901E-3</v>
      </c>
      <c r="AF163" s="15">
        <v>-3.1540009866037099E-3</v>
      </c>
      <c r="AG163" s="15">
        <v>-5.1433189580714399E-3</v>
      </c>
      <c r="AI163" s="12"/>
      <c r="AJ163">
        <f t="shared" si="46"/>
        <v>1</v>
      </c>
      <c r="AK163">
        <f t="shared" si="47"/>
        <v>0</v>
      </c>
      <c r="AL163">
        <f t="shared" si="54"/>
        <v>1</v>
      </c>
      <c r="AM163">
        <f t="shared" si="44"/>
        <v>1</v>
      </c>
      <c r="AN163">
        <f t="shared" si="55"/>
        <v>1</v>
      </c>
      <c r="AO163" s="28">
        <f t="shared" si="48"/>
        <v>5.4200674693393302E-3</v>
      </c>
      <c r="AP163" s="28">
        <f t="shared" si="49"/>
        <v>-5.5564777704771697E-3</v>
      </c>
      <c r="AQ163" s="28">
        <f t="shared" si="56"/>
        <v>-1.3641030113783949E-4</v>
      </c>
      <c r="AR163" s="29">
        <f t="shared" si="57"/>
        <v>1.0188575045556779E-2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1.2373710160373273E-2</v>
      </c>
      <c r="BE163" s="29">
        <f t="shared" si="62"/>
        <v>-1.3641030113783949E-4</v>
      </c>
      <c r="BF163" s="29">
        <f t="shared" si="63"/>
        <v>2.2562285205930052E-2</v>
      </c>
      <c r="BH163" s="29"/>
    </row>
    <row r="164" spans="1:60" x14ac:dyDescent="0.25">
      <c r="A164" s="1">
        <v>46260</v>
      </c>
      <c r="B164" s="33">
        <v>18.510000000000002</v>
      </c>
      <c r="C164" s="33">
        <v>30.69</v>
      </c>
      <c r="D164" s="15">
        <v>5.4039450112699605E-4</v>
      </c>
      <c r="E164" s="15">
        <v>3.2589213258933203E-4</v>
      </c>
      <c r="F164" s="33">
        <v>0</v>
      </c>
      <c r="G164" s="33">
        <v>0.7</v>
      </c>
      <c r="H164" s="33">
        <v>0</v>
      </c>
      <c r="I164" s="33">
        <v>0.91313200000000005</v>
      </c>
      <c r="J164" s="33">
        <v>0.7</v>
      </c>
      <c r="K164" s="33">
        <v>0.91313200000000005</v>
      </c>
      <c r="L164" s="33">
        <v>19.21</v>
      </c>
      <c r="M164" s="33">
        <v>31.603131999999999</v>
      </c>
      <c r="N164" s="34">
        <v>1.6580226904376001</v>
      </c>
      <c r="O164" s="34">
        <v>1.6459148161032899</v>
      </c>
      <c r="P164" s="34">
        <v>1.6549113195253899</v>
      </c>
      <c r="Q164" s="34">
        <v>1.6510299222570699</v>
      </c>
      <c r="R164" s="33">
        <v>30.4658832460719</v>
      </c>
      <c r="S164" s="33">
        <v>30.617310401090698</v>
      </c>
      <c r="T164" s="33">
        <v>30.5450142426577</v>
      </c>
      <c r="U164" s="15">
        <v>-7.32939319415835E-3</v>
      </c>
      <c r="V164" s="15">
        <v>-2.37132023883743E-3</v>
      </c>
      <c r="W164" s="15">
        <v>-4.7353962455980404E-3</v>
      </c>
      <c r="X164" s="34">
        <v>1.6451396147839601</v>
      </c>
      <c r="Y164" s="34">
        <v>1.6383944060714599</v>
      </c>
      <c r="Z164" s="34">
        <v>1.64213559519845</v>
      </c>
      <c r="AA164" s="34">
        <v>1.6385315580817801</v>
      </c>
      <c r="AB164" s="33">
        <v>31.473556540632799</v>
      </c>
      <c r="AC164" s="33">
        <v>31.5305015874833</v>
      </c>
      <c r="AD164" s="33">
        <v>31.4615797485441</v>
      </c>
      <c r="AE164" s="15">
        <v>-4.10851123078929E-3</v>
      </c>
      <c r="AF164" s="15">
        <v>-2.3008479135788501E-3</v>
      </c>
      <c r="AG164" s="15">
        <v>-4.4891187241394501E-3</v>
      </c>
      <c r="AI164" s="12"/>
      <c r="AJ164">
        <f t="shared" si="46"/>
        <v>0</v>
      </c>
      <c r="AK164">
        <f t="shared" si="47"/>
        <v>0</v>
      </c>
      <c r="AL164">
        <f t="shared" si="54"/>
        <v>1</v>
      </c>
      <c r="AM164">
        <f t="shared" si="44"/>
        <v>1</v>
      </c>
      <c r="AN164">
        <f t="shared" si="55"/>
        <v>1</v>
      </c>
      <c r="AO164" s="28">
        <f t="shared" si="48"/>
        <v>5.4039450112699605E-4</v>
      </c>
      <c r="AP164" s="28">
        <f t="shared" si="49"/>
        <v>-3.2589213258933203E-4</v>
      </c>
      <c r="AQ164" s="28">
        <f t="shared" si="56"/>
        <v>2.1450236853766402E-4</v>
      </c>
      <c r="AR164" s="29">
        <f t="shared" si="57"/>
        <v>1.0403077414094443E-2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1.2373710160373273E-2</v>
      </c>
      <c r="BE164" s="29">
        <f t="shared" si="62"/>
        <v>2.1450236853766402E-4</v>
      </c>
      <c r="BF164" s="29">
        <f t="shared" si="63"/>
        <v>2.2776787574467716E-2</v>
      </c>
      <c r="BH164" s="29"/>
    </row>
    <row r="165" spans="1:60" x14ac:dyDescent="0.25">
      <c r="A165" s="1">
        <v>46261</v>
      </c>
      <c r="B165" s="33">
        <v>18.48</v>
      </c>
      <c r="C165" s="33">
        <v>30.64</v>
      </c>
      <c r="D165" s="15">
        <v>-1.6220603718680501E-3</v>
      </c>
      <c r="E165" s="15">
        <v>-1.6305237592542899E-3</v>
      </c>
      <c r="F165" s="33">
        <v>0</v>
      </c>
      <c r="G165" s="33">
        <v>0.7</v>
      </c>
      <c r="H165" s="33">
        <v>0</v>
      </c>
      <c r="I165" s="33">
        <v>0.91313200000000005</v>
      </c>
      <c r="J165" s="33">
        <v>0.7</v>
      </c>
      <c r="K165" s="33">
        <v>0.91313200000000005</v>
      </c>
      <c r="L165" s="33">
        <v>19.18</v>
      </c>
      <c r="M165" s="33">
        <v>31.553132000000002</v>
      </c>
      <c r="N165" s="34">
        <v>1.6580086580086499</v>
      </c>
      <c r="O165" s="34">
        <v>1.6459148161032899</v>
      </c>
      <c r="P165" s="34">
        <v>1.6557015015655701</v>
      </c>
      <c r="Q165" s="34">
        <v>1.65174892967154</v>
      </c>
      <c r="R165" s="33">
        <v>30.416505801588801</v>
      </c>
      <c r="S165" s="33">
        <v>30.582761184829302</v>
      </c>
      <c r="T165" s="33">
        <v>30.511032963310601</v>
      </c>
      <c r="U165" s="15">
        <v>-7.3209298067721104E-3</v>
      </c>
      <c r="V165" s="15">
        <v>-1.8698546338065799E-3</v>
      </c>
      <c r="W165" s="15">
        <v>-4.2179901679100899E-3</v>
      </c>
      <c r="X165" s="34">
        <v>1.64510594369134</v>
      </c>
      <c r="Y165" s="34">
        <v>1.6383944060714599</v>
      </c>
      <c r="Z165" s="34">
        <v>1.6428813491968399</v>
      </c>
      <c r="AA165" s="34">
        <v>1.63916859689815</v>
      </c>
      <c r="AB165" s="33">
        <v>31.424404708450702</v>
      </c>
      <c r="AC165" s="33">
        <v>31.496160715906399</v>
      </c>
      <c r="AD165" s="33">
        <v>31.4270352840086</v>
      </c>
      <c r="AE165" s="15">
        <v>-4.0880440091035997E-3</v>
      </c>
      <c r="AF165" s="15">
        <v>-1.8071986899460899E-3</v>
      </c>
      <c r="AG165" s="15">
        <v>-4.0043362830831097E-3</v>
      </c>
      <c r="AI165" s="12"/>
      <c r="AJ165">
        <f t="shared" si="46"/>
        <v>0</v>
      </c>
      <c r="AK165">
        <f t="shared" si="47"/>
        <v>0</v>
      </c>
      <c r="AL165">
        <f t="shared" si="54"/>
        <v>1</v>
      </c>
      <c r="AM165">
        <f t="shared" si="44"/>
        <v>1</v>
      </c>
      <c r="AN165">
        <f t="shared" si="55"/>
        <v>1</v>
      </c>
      <c r="AO165" s="28">
        <f t="shared" si="48"/>
        <v>-1.6220603718680501E-3</v>
      </c>
      <c r="AP165" s="28">
        <f t="shared" si="49"/>
        <v>1.6305237592542899E-3</v>
      </c>
      <c r="AQ165" s="28">
        <f t="shared" si="56"/>
        <v>8.4633873862398432E-6</v>
      </c>
      <c r="AR165" s="29">
        <f t="shared" si="57"/>
        <v>1.0411540801480683E-2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1.2373710160373273E-2</v>
      </c>
      <c r="BE165" s="29">
        <f t="shared" si="62"/>
        <v>8.4633873862398432E-6</v>
      </c>
      <c r="BF165" s="29">
        <f t="shared" si="63"/>
        <v>2.2785250961853958E-2</v>
      </c>
      <c r="BH165" s="29"/>
    </row>
    <row r="166" spans="1:60" x14ac:dyDescent="0.25">
      <c r="A166" s="1">
        <v>46262</v>
      </c>
      <c r="B166" s="33">
        <v>18.41</v>
      </c>
      <c r="C166" s="33">
        <v>30.54</v>
      </c>
      <c r="D166" s="15">
        <v>-3.7950709685515998E-3</v>
      </c>
      <c r="E166" s="15">
        <v>-3.2690450819042099E-3</v>
      </c>
      <c r="F166" s="33">
        <v>0</v>
      </c>
      <c r="G166" s="33">
        <v>0.7</v>
      </c>
      <c r="H166" s="33">
        <v>0</v>
      </c>
      <c r="I166" s="33">
        <v>0.91313200000000005</v>
      </c>
      <c r="J166" s="33">
        <v>0.7</v>
      </c>
      <c r="K166" s="33">
        <v>0.91313200000000005</v>
      </c>
      <c r="L166" s="33">
        <v>19.11</v>
      </c>
      <c r="M166" s="33">
        <v>31.453132</v>
      </c>
      <c r="N166" s="34">
        <v>1.65888104291146</v>
      </c>
      <c r="O166" s="34">
        <v>1.6459148161032899</v>
      </c>
      <c r="P166" s="34">
        <v>1.6563162939596101</v>
      </c>
      <c r="Q166" s="34">
        <v>1.6524305628106299</v>
      </c>
      <c r="R166" s="33">
        <v>30.301291764461599</v>
      </c>
      <c r="S166" s="33">
        <v>30.481464643822299</v>
      </c>
      <c r="T166" s="33">
        <v>30.408697795253001</v>
      </c>
      <c r="U166" s="15">
        <v>-7.8469556934195606E-3</v>
      </c>
      <c r="V166" s="15">
        <v>-1.91851750768907E-3</v>
      </c>
      <c r="W166" s="15">
        <v>-4.3086206144962403E-3</v>
      </c>
      <c r="X166" s="34">
        <v>1.64589911041339</v>
      </c>
      <c r="Y166" s="34">
        <v>1.6383944060714599</v>
      </c>
      <c r="Z166" s="34">
        <v>1.6434571486679299</v>
      </c>
      <c r="AA166" s="34">
        <v>1.63976684216777</v>
      </c>
      <c r="AB166" s="33">
        <v>31.309717100025701</v>
      </c>
      <c r="AC166" s="33">
        <v>31.395462583151598</v>
      </c>
      <c r="AD166" s="33">
        <v>31.324511886723599</v>
      </c>
      <c r="AE166" s="15">
        <v>-4.5700649871140402E-3</v>
      </c>
      <c r="AF166" s="15">
        <v>-1.8351860822444499E-3</v>
      </c>
      <c r="AG166" s="15">
        <v>-4.09764640026651E-3</v>
      </c>
      <c r="AI166" s="12"/>
      <c r="AJ166">
        <f t="shared" si="46"/>
        <v>0</v>
      </c>
      <c r="AK166">
        <f t="shared" si="47"/>
        <v>0</v>
      </c>
      <c r="AL166">
        <f t="shared" si="54"/>
        <v>1</v>
      </c>
      <c r="AM166">
        <f t="shared" si="44"/>
        <v>1</v>
      </c>
      <c r="AN166">
        <f t="shared" si="55"/>
        <v>1</v>
      </c>
      <c r="AO166" s="28">
        <f t="shared" si="48"/>
        <v>-3.7950709685515998E-3</v>
      </c>
      <c r="AP166" s="28">
        <f t="shared" si="49"/>
        <v>3.2690450819042099E-3</v>
      </c>
      <c r="AQ166" s="28">
        <f t="shared" si="56"/>
        <v>-5.260258866473899E-4</v>
      </c>
      <c r="AR166" s="29">
        <f t="shared" si="57"/>
        <v>9.8855149148332922E-3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1.2373710160373273E-2</v>
      </c>
      <c r="BE166" s="29">
        <f t="shared" si="62"/>
        <v>-5.260258866473899E-4</v>
      </c>
      <c r="BF166" s="29">
        <f t="shared" si="63"/>
        <v>2.2259225075206567E-2</v>
      </c>
      <c r="BH166" s="29"/>
    </row>
    <row r="167" spans="1:60" x14ac:dyDescent="0.25">
      <c r="A167" s="1">
        <v>46265</v>
      </c>
      <c r="B167" s="33">
        <v>18.32</v>
      </c>
      <c r="C167" s="33">
        <v>30.44</v>
      </c>
      <c r="D167" s="15">
        <v>-4.9006359990022797E-3</v>
      </c>
      <c r="E167" s="15">
        <v>-3.2797667970012401E-3</v>
      </c>
      <c r="F167" s="33">
        <v>0</v>
      </c>
      <c r="G167" s="33">
        <v>0.7</v>
      </c>
      <c r="H167" s="33">
        <v>0</v>
      </c>
      <c r="I167" s="33">
        <v>0.91313200000000005</v>
      </c>
      <c r="J167" s="33">
        <v>0.7</v>
      </c>
      <c r="K167" s="33">
        <v>0.91313200000000005</v>
      </c>
      <c r="L167" s="33">
        <v>19.02</v>
      </c>
      <c r="M167" s="33">
        <v>31.353131999999999</v>
      </c>
      <c r="N167" s="34">
        <v>1.6615720524017401</v>
      </c>
      <c r="O167" s="34">
        <v>1.6459148161032899</v>
      </c>
      <c r="P167" s="34">
        <v>1.65717398489866</v>
      </c>
      <c r="Q167" s="34">
        <v>1.6532415673651599</v>
      </c>
      <c r="R167" s="33">
        <v>30.153159431012298</v>
      </c>
      <c r="S167" s="33">
        <v>30.343714505340198</v>
      </c>
      <c r="T167" s="33">
        <v>30.272527910690801</v>
      </c>
      <c r="U167" s="15">
        <v>-9.4678248954205794E-3</v>
      </c>
      <c r="V167" s="15">
        <v>-3.1681372544895602E-3</v>
      </c>
      <c r="W167" s="15">
        <v>-5.51690136583114E-3</v>
      </c>
      <c r="X167" s="34">
        <v>1.6484296529968401</v>
      </c>
      <c r="Y167" s="34">
        <v>1.6383944060714599</v>
      </c>
      <c r="Z167" s="34">
        <v>1.64426926633371</v>
      </c>
      <c r="AA167" s="34">
        <v>1.64053857857214</v>
      </c>
      <c r="AB167" s="33">
        <v>31.162261603479202</v>
      </c>
      <c r="AC167" s="33">
        <v>31.258554967664001</v>
      </c>
      <c r="AD167" s="33">
        <v>31.188365338031002</v>
      </c>
      <c r="AE167" s="15">
        <v>-6.1063676836007304E-3</v>
      </c>
      <c r="AF167" s="15">
        <v>-3.0210687125343302E-3</v>
      </c>
      <c r="AG167" s="15">
        <v>-5.2690469586174999E-3</v>
      </c>
      <c r="AI167" s="12"/>
      <c r="AJ167">
        <f t="shared" si="46"/>
        <v>1</v>
      </c>
      <c r="AK167">
        <f t="shared" si="47"/>
        <v>0</v>
      </c>
      <c r="AL167">
        <f t="shared" si="54"/>
        <v>1</v>
      </c>
      <c r="AM167">
        <f t="shared" si="44"/>
        <v>0</v>
      </c>
      <c r="AN167">
        <f t="shared" si="55"/>
        <v>1</v>
      </c>
      <c r="AO167" s="28">
        <f t="shared" si="48"/>
        <v>-4.9006359990022797E-3</v>
      </c>
      <c r="AP167" s="28">
        <f t="shared" si="49"/>
        <v>3.2797667970012401E-3</v>
      </c>
      <c r="AQ167" s="28">
        <f t="shared" si="56"/>
        <v>-1.6208692020010396E-3</v>
      </c>
      <c r="AR167" s="29">
        <f t="shared" si="57"/>
        <v>8.2646457128322526E-3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0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1.2373710160373273E-2</v>
      </c>
      <c r="BE167" s="29">
        <f t="shared" si="62"/>
        <v>-1.6208692020010396E-3</v>
      </c>
      <c r="BF167" s="29">
        <f t="shared" si="63"/>
        <v>2.0638355873205526E-2</v>
      </c>
      <c r="BH167" s="29"/>
    </row>
    <row r="168" spans="1:60" x14ac:dyDescent="0.25">
      <c r="A168" s="1">
        <v>46266</v>
      </c>
      <c r="B168" s="33">
        <v>18.11</v>
      </c>
      <c r="C168" s="33">
        <v>30.1</v>
      </c>
      <c r="D168" s="15">
        <v>-1.1529087350662199E-2</v>
      </c>
      <c r="E168" s="15">
        <v>-1.1232361238654899E-2</v>
      </c>
      <c r="F168" s="33">
        <v>0.1</v>
      </c>
      <c r="G168" s="33">
        <v>0.79999999999999905</v>
      </c>
      <c r="H168" s="33">
        <v>0.14724200000000001</v>
      </c>
      <c r="I168" s="33">
        <v>1.0603739999999999</v>
      </c>
      <c r="J168" s="33">
        <v>0.79999999999999905</v>
      </c>
      <c r="K168" s="33">
        <v>1.0603739999999999</v>
      </c>
      <c r="L168" s="33">
        <v>18.91</v>
      </c>
      <c r="M168" s="33">
        <v>31.160374000000001</v>
      </c>
      <c r="N168" s="34">
        <v>1.6620651573716101</v>
      </c>
      <c r="O168" s="34">
        <v>1.6459148161032899</v>
      </c>
      <c r="P168" s="34">
        <v>1.6579812610920901</v>
      </c>
      <c r="Q168" s="34">
        <v>1.6540470212701699</v>
      </c>
      <c r="R168" s="33">
        <v>29.807517319630598</v>
      </c>
      <c r="S168" s="33">
        <v>30.011420866514701</v>
      </c>
      <c r="T168" s="33">
        <v>29.940204784983099</v>
      </c>
      <c r="U168" s="15">
        <v>-9.7645510074277995E-3</v>
      </c>
      <c r="V168" s="15">
        <v>-2.9471669883485E-3</v>
      </c>
      <c r="W168" s="15">
        <v>-5.3229529409419196E-3</v>
      </c>
      <c r="X168" s="34">
        <v>1.6478251718667301</v>
      </c>
      <c r="Y168" s="34">
        <v>1.6383944060714599</v>
      </c>
      <c r="Z168" s="34">
        <v>1.6449328300928601</v>
      </c>
      <c r="AA168" s="34">
        <v>1.6412490627720899</v>
      </c>
      <c r="AB168" s="33">
        <v>30.9820382188114</v>
      </c>
      <c r="AC168" s="33">
        <v>31.093131826370399</v>
      </c>
      <c r="AD168" s="33">
        <v>31.022584520799299</v>
      </c>
      <c r="AE168" s="15">
        <v>-5.7395992333431596E-3</v>
      </c>
      <c r="AF168" s="15">
        <v>-2.1602702976231498E-3</v>
      </c>
      <c r="AG168" s="15">
        <v>-4.43175133504717E-3</v>
      </c>
      <c r="AI168" s="12"/>
      <c r="AJ168">
        <f t="shared" si="46"/>
        <v>0</v>
      </c>
      <c r="AK168">
        <f t="shared" si="47"/>
        <v>0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8.2646457128322526E-3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1.2373710160373273E-2</v>
      </c>
      <c r="BE168" s="29">
        <f t="shared" si="62"/>
        <v>0</v>
      </c>
      <c r="BF168" s="29">
        <f t="shared" si="63"/>
        <v>2.0638355873205526E-2</v>
      </c>
      <c r="BH168" s="29"/>
    </row>
    <row r="169" spans="1:60" x14ac:dyDescent="0.25">
      <c r="A169" s="1">
        <v>46267</v>
      </c>
      <c r="B169" s="33">
        <v>18.14</v>
      </c>
      <c r="C169" s="33">
        <v>30.2</v>
      </c>
      <c r="D169" s="15">
        <v>1.65517279166864E-3</v>
      </c>
      <c r="E169" s="15">
        <v>3.3167526259938202E-3</v>
      </c>
      <c r="F169" s="33">
        <v>0</v>
      </c>
      <c r="G169" s="33">
        <v>0.79999999999999905</v>
      </c>
      <c r="H169" s="33">
        <v>0</v>
      </c>
      <c r="I169" s="33">
        <v>1.0603739999999999</v>
      </c>
      <c r="J169" s="33">
        <v>0.79999999999999905</v>
      </c>
      <c r="K169" s="33">
        <v>1.0603739999999999</v>
      </c>
      <c r="L169" s="33">
        <v>18.940000000000001</v>
      </c>
      <c r="M169" s="33">
        <v>31.260373999999999</v>
      </c>
      <c r="N169" s="34">
        <v>1.66482910694597</v>
      </c>
      <c r="O169" s="34">
        <v>1.6459148161032899</v>
      </c>
      <c r="P169" s="34">
        <v>1.6589338687563899</v>
      </c>
      <c r="Q169" s="34">
        <v>1.65474282677858</v>
      </c>
      <c r="R169" s="33">
        <v>29.856894764113701</v>
      </c>
      <c r="S169" s="33">
        <v>30.075780076210599</v>
      </c>
      <c r="T169" s="33">
        <v>30.0044129658408</v>
      </c>
      <c r="U169" s="15">
        <v>-1.1426130841753E-2</v>
      </c>
      <c r="V169" s="15">
        <v>-4.1217251603439904E-3</v>
      </c>
      <c r="W169" s="15">
        <v>-6.4974546752820904E-3</v>
      </c>
      <c r="X169" s="34">
        <v>1.6504949313621899</v>
      </c>
      <c r="Y169" s="34">
        <v>1.6383944060714599</v>
      </c>
      <c r="Z169" s="34">
        <v>1.6457324170768299</v>
      </c>
      <c r="AA169" s="34">
        <v>1.6418557658619399</v>
      </c>
      <c r="AB169" s="33">
        <v>31.031190050993501</v>
      </c>
      <c r="AC169" s="33">
        <v>31.155027801958699</v>
      </c>
      <c r="AD169" s="33">
        <v>31.0852572489034</v>
      </c>
      <c r="AE169" s="15">
        <v>-7.3584597410911298E-3</v>
      </c>
      <c r="AF169" s="15">
        <v>-3.37565072193587E-3</v>
      </c>
      <c r="AG169" s="15">
        <v>-5.6176257457701004E-3</v>
      </c>
      <c r="AI169" s="12"/>
      <c r="AJ169">
        <f t="shared" si="46"/>
        <v>1</v>
      </c>
      <c r="AK169">
        <f t="shared" si="47"/>
        <v>0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8.2646457128322526E-3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1.2373710160373273E-2</v>
      </c>
      <c r="BE169" s="29">
        <f t="shared" si="62"/>
        <v>0</v>
      </c>
      <c r="BF169" s="29">
        <f t="shared" si="63"/>
        <v>2.0638355873205526E-2</v>
      </c>
      <c r="BH169" s="29"/>
    </row>
    <row r="170" spans="1:60" x14ac:dyDescent="0.25">
      <c r="A170" s="1">
        <v>46268</v>
      </c>
      <c r="B170" s="33">
        <v>18.23</v>
      </c>
      <c r="C170" s="33">
        <v>30.36</v>
      </c>
      <c r="D170" s="15">
        <v>4.9491440035812099E-3</v>
      </c>
      <c r="E170" s="15">
        <v>5.2840281466051998E-3</v>
      </c>
      <c r="F170" s="33">
        <v>0</v>
      </c>
      <c r="G170" s="33">
        <v>0.79999999999999905</v>
      </c>
      <c r="H170" s="33">
        <v>0</v>
      </c>
      <c r="I170" s="33">
        <v>1.0603739999999999</v>
      </c>
      <c r="J170" s="33">
        <v>0.79999999999999905</v>
      </c>
      <c r="K170" s="33">
        <v>1.0603739999999999</v>
      </c>
      <c r="L170" s="33">
        <v>19.03</v>
      </c>
      <c r="M170" s="33">
        <v>31.420373999999999</v>
      </c>
      <c r="N170" s="34">
        <v>1.6653867251782699</v>
      </c>
      <c r="O170" s="34">
        <v>1.6459148161032899</v>
      </c>
      <c r="P170" s="34">
        <v>1.66016309502014</v>
      </c>
      <c r="Q170" s="34">
        <v>1.6555702397527801</v>
      </c>
      <c r="R170" s="33">
        <v>30.005027097563001</v>
      </c>
      <c r="S170" s="33">
        <v>30.2423644274289</v>
      </c>
      <c r="T170" s="33">
        <v>30.165961732173599</v>
      </c>
      <c r="U170" s="15">
        <v>-1.17610149847771E-2</v>
      </c>
      <c r="V170" s="15">
        <v>-3.8822155349457401E-3</v>
      </c>
      <c r="W170" s="15">
        <v>-6.41175875693859E-3</v>
      </c>
      <c r="X170" s="34">
        <v>1.65109689963215</v>
      </c>
      <c r="Y170" s="34">
        <v>1.6383944060714599</v>
      </c>
      <c r="Z170" s="34">
        <v>1.64680898988524</v>
      </c>
      <c r="AA170" s="34">
        <v>1.6425961079804501</v>
      </c>
      <c r="AB170" s="33">
        <v>31.17864554754</v>
      </c>
      <c r="AC170" s="33">
        <v>31.318287896972201</v>
      </c>
      <c r="AD170" s="33">
        <v>31.2445152243527</v>
      </c>
      <c r="AE170" s="15">
        <v>-7.7231131007116502E-3</v>
      </c>
      <c r="AF170" s="15">
        <v>-3.2543312221764899E-3</v>
      </c>
      <c r="AG170" s="15">
        <v>-5.6126880454501499E-3</v>
      </c>
      <c r="AI170" s="12"/>
      <c r="AJ170">
        <f t="shared" si="46"/>
        <v>1</v>
      </c>
      <c r="AK170">
        <f t="shared" si="47"/>
        <v>0</v>
      </c>
      <c r="AL170">
        <f t="shared" si="54"/>
        <v>1</v>
      </c>
      <c r="AM170">
        <f t="shared" si="44"/>
        <v>1</v>
      </c>
      <c r="AN170">
        <f t="shared" si="55"/>
        <v>1</v>
      </c>
      <c r="AO170" s="28">
        <f t="shared" si="48"/>
        <v>4.9491440035812099E-3</v>
      </c>
      <c r="AP170" s="28">
        <f t="shared" si="49"/>
        <v>-5.2840281466051998E-3</v>
      </c>
      <c r="AQ170" s="28">
        <f t="shared" si="56"/>
        <v>-3.3488414302398992E-4</v>
      </c>
      <c r="AR170" s="29">
        <f t="shared" si="57"/>
        <v>7.9297615698082635E-3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1.2373710160373273E-2</v>
      </c>
      <c r="BE170" s="29">
        <f t="shared" si="62"/>
        <v>-3.3488414302398992E-4</v>
      </c>
      <c r="BF170" s="29">
        <f t="shared" si="63"/>
        <v>2.0303471730181537E-2</v>
      </c>
      <c r="BH170" s="29"/>
    </row>
    <row r="171" spans="1:60" x14ac:dyDescent="0.25">
      <c r="A171" s="1">
        <v>46269</v>
      </c>
      <c r="B171" s="33">
        <v>18.260000000000002</v>
      </c>
      <c r="C171" s="33">
        <v>30.36</v>
      </c>
      <c r="D171" s="15">
        <v>1.64428647625074E-3</v>
      </c>
      <c r="E171" s="15">
        <v>0</v>
      </c>
      <c r="F171" s="33">
        <v>0</v>
      </c>
      <c r="G171" s="33">
        <v>0.79999999999999905</v>
      </c>
      <c r="H171" s="33">
        <v>0</v>
      </c>
      <c r="I171" s="33">
        <v>1.0603739999999999</v>
      </c>
      <c r="J171" s="33">
        <v>0.79999999999999905</v>
      </c>
      <c r="K171" s="33">
        <v>1.0603739999999999</v>
      </c>
      <c r="L171" s="33">
        <v>19.059999999999999</v>
      </c>
      <c r="M171" s="33">
        <v>31.420373999999999</v>
      </c>
      <c r="N171" s="34">
        <v>1.6626506024096299</v>
      </c>
      <c r="O171" s="34">
        <v>1.6459148161032899</v>
      </c>
      <c r="P171" s="34">
        <v>1.6607946587956399</v>
      </c>
      <c r="Q171" s="34">
        <v>1.6563371784754199</v>
      </c>
      <c r="R171" s="33">
        <v>30.0544045420461</v>
      </c>
      <c r="S171" s="33">
        <v>30.3145781150678</v>
      </c>
      <c r="T171" s="33">
        <v>30.2307125778859</v>
      </c>
      <c r="U171" s="15">
        <v>-1.0116728508526299E-2</v>
      </c>
      <c r="V171" s="15">
        <v>-1.4972298062346601E-3</v>
      </c>
      <c r="W171" s="15">
        <v>-4.2675721354122498E-3</v>
      </c>
      <c r="X171" s="34">
        <v>1.6484981112277</v>
      </c>
      <c r="Y171" s="34">
        <v>1.6383944060714599</v>
      </c>
      <c r="Z171" s="34">
        <v>1.6473155218042399</v>
      </c>
      <c r="AA171" s="34">
        <v>1.64327714825686</v>
      </c>
      <c r="AB171" s="33">
        <v>31.227797379722102</v>
      </c>
      <c r="AC171" s="33">
        <v>31.388179347212699</v>
      </c>
      <c r="AD171" s="33">
        <v>31.3078818181075</v>
      </c>
      <c r="AE171" s="15">
        <v>-6.1478961827136098E-3</v>
      </c>
      <c r="AF171" s="15">
        <v>-1.02516787574857E-3</v>
      </c>
      <c r="AG171" s="15">
        <v>-3.5866548820078798E-3</v>
      </c>
      <c r="AI171" s="12"/>
      <c r="AJ171">
        <f t="shared" si="46"/>
        <v>0</v>
      </c>
      <c r="AK171">
        <f t="shared" si="47"/>
        <v>0</v>
      </c>
      <c r="AL171">
        <f t="shared" si="54"/>
        <v>1</v>
      </c>
      <c r="AM171">
        <f t="shared" si="44"/>
        <v>1</v>
      </c>
      <c r="AN171">
        <f t="shared" si="55"/>
        <v>1</v>
      </c>
      <c r="AO171" s="28">
        <f t="shared" si="48"/>
        <v>1.64428647625074E-3</v>
      </c>
      <c r="AP171" s="28">
        <f t="shared" si="49"/>
        <v>0</v>
      </c>
      <c r="AQ171" s="28">
        <f t="shared" si="56"/>
        <v>1.64428647625074E-3</v>
      </c>
      <c r="AR171" s="29">
        <f t="shared" si="57"/>
        <v>9.5740480460590038E-3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1.2373710160373273E-2</v>
      </c>
      <c r="BE171" s="29">
        <f t="shared" si="62"/>
        <v>1.64428647625074E-3</v>
      </c>
      <c r="BF171" s="29">
        <f t="shared" si="63"/>
        <v>2.1947758206432275E-2</v>
      </c>
      <c r="BH171" s="29"/>
    </row>
    <row r="172" spans="1:60" x14ac:dyDescent="0.25">
      <c r="A172" s="1">
        <v>46273</v>
      </c>
      <c r="B172" s="33">
        <v>18.29</v>
      </c>
      <c r="C172" s="33">
        <v>30.39</v>
      </c>
      <c r="D172" s="15">
        <v>1.64158723595185E-3</v>
      </c>
      <c r="E172" s="15">
        <v>9.8765440127263201E-4</v>
      </c>
      <c r="F172" s="33">
        <v>0</v>
      </c>
      <c r="G172" s="33">
        <v>0.79999999999999905</v>
      </c>
      <c r="H172" s="33">
        <v>0</v>
      </c>
      <c r="I172" s="33">
        <v>1.0603739999999999</v>
      </c>
      <c r="J172" s="33">
        <v>0.79999999999999905</v>
      </c>
      <c r="K172" s="33">
        <v>1.0603739999999999</v>
      </c>
      <c r="L172" s="33">
        <v>19.09</v>
      </c>
      <c r="M172" s="33">
        <v>31.450374</v>
      </c>
      <c r="N172" s="34">
        <v>1.6615636960087401</v>
      </c>
      <c r="O172" s="34">
        <v>1.6459148161032899</v>
      </c>
      <c r="P172" s="34">
        <v>1.6611358110052099</v>
      </c>
      <c r="Q172" s="34">
        <v>1.6570608374137801</v>
      </c>
      <c r="R172" s="33">
        <v>30.103781986529199</v>
      </c>
      <c r="S172" s="33">
        <v>30.375934309372202</v>
      </c>
      <c r="T172" s="33">
        <v>30.294406994315398</v>
      </c>
      <c r="U172" s="15">
        <v>-9.4627956738471304E-3</v>
      </c>
      <c r="V172" s="15">
        <v>-4.62946584754257E-4</v>
      </c>
      <c r="W172" s="15">
        <v>-3.1504990981290298E-3</v>
      </c>
      <c r="X172" s="34">
        <v>1.6474789942378201</v>
      </c>
      <c r="Y172" s="34">
        <v>1.6383944060714599</v>
      </c>
      <c r="Z172" s="34">
        <v>1.6475444055212101</v>
      </c>
      <c r="AA172" s="34">
        <v>1.6439191872730099</v>
      </c>
      <c r="AB172" s="33">
        <v>31.276949211904199</v>
      </c>
      <c r="AC172" s="33">
        <v>31.4472533112429</v>
      </c>
      <c r="AD172" s="33">
        <v>31.370160760223602</v>
      </c>
      <c r="AE172" s="15">
        <v>-5.5294956357751198E-3</v>
      </c>
      <c r="AF172" s="15">
        <v>-9.9230730728755103E-5</v>
      </c>
      <c r="AG172" s="15">
        <v>-2.5537281296716102E-3</v>
      </c>
      <c r="AI172" s="12"/>
      <c r="AJ172">
        <f t="shared" si="46"/>
        <v>0</v>
      </c>
      <c r="AK172">
        <f t="shared" si="47"/>
        <v>1</v>
      </c>
      <c r="AL172">
        <f t="shared" si="54"/>
        <v>1</v>
      </c>
      <c r="AM172">
        <f t="shared" si="44"/>
        <v>1</v>
      </c>
      <c r="AN172">
        <f t="shared" si="55"/>
        <v>1</v>
      </c>
      <c r="AO172" s="28">
        <f t="shared" si="48"/>
        <v>1.64158723595185E-3</v>
      </c>
      <c r="AP172" s="28">
        <f t="shared" si="49"/>
        <v>-9.8765440127263201E-4</v>
      </c>
      <c r="AQ172" s="28">
        <f t="shared" si="56"/>
        <v>6.5393283467921797E-4</v>
      </c>
      <c r="AR172" s="29">
        <f t="shared" si="57"/>
        <v>1.0227980880738221E-2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1.2373710160373273E-2</v>
      </c>
      <c r="BE172" s="29">
        <f t="shared" si="62"/>
        <v>6.5393283467921797E-4</v>
      </c>
      <c r="BF172" s="29">
        <f t="shared" si="63"/>
        <v>2.2601691041111493E-2</v>
      </c>
      <c r="BH172" s="29"/>
    </row>
    <row r="173" spans="1:60" x14ac:dyDescent="0.25">
      <c r="A173" s="1">
        <v>46274</v>
      </c>
      <c r="B173" s="33">
        <v>18.170000000000002</v>
      </c>
      <c r="C173" s="33">
        <v>30.18</v>
      </c>
      <c r="D173" s="15">
        <v>-6.5825799946943701E-3</v>
      </c>
      <c r="E173" s="15">
        <v>-6.9341535889988499E-3</v>
      </c>
      <c r="F173" s="33">
        <v>0</v>
      </c>
      <c r="G173" s="33">
        <v>0.79999999999999905</v>
      </c>
      <c r="H173" s="33">
        <v>0</v>
      </c>
      <c r="I173" s="33">
        <v>1.0603739999999999</v>
      </c>
      <c r="J173" s="33">
        <v>0.79999999999999905</v>
      </c>
      <c r="K173" s="33">
        <v>1.0603739999999999</v>
      </c>
      <c r="L173" s="33">
        <v>18.97</v>
      </c>
      <c r="M173" s="33">
        <v>31.240373999999999</v>
      </c>
      <c r="N173" s="34">
        <v>1.66097963676389</v>
      </c>
      <c r="O173" s="34">
        <v>1.6459148161032899</v>
      </c>
      <c r="P173" s="34">
        <v>1.6613959368437601</v>
      </c>
      <c r="Q173" s="34">
        <v>1.6577457912498299</v>
      </c>
      <c r="R173" s="33">
        <v>29.9062722085968</v>
      </c>
      <c r="S173" s="33">
        <v>30.1828376859646</v>
      </c>
      <c r="T173" s="33">
        <v>30.108795415808501</v>
      </c>
      <c r="U173" s="15">
        <v>-9.1112220795426004E-3</v>
      </c>
      <c r="V173" s="15">
        <v>9.4020959767496799E-5</v>
      </c>
      <c r="W173" s="15">
        <v>-2.3621177636108399E-3</v>
      </c>
      <c r="X173" s="34">
        <v>1.6468304691618301</v>
      </c>
      <c r="Y173" s="34">
        <v>1.6383944060714599</v>
      </c>
      <c r="Z173" s="34">
        <v>1.6476798899374001</v>
      </c>
      <c r="AA173" s="34">
        <v>1.64451931996826</v>
      </c>
      <c r="AB173" s="33">
        <v>31.080341883175699</v>
      </c>
      <c r="AC173" s="33">
        <v>31.253917372737401</v>
      </c>
      <c r="AD173" s="33">
        <v>31.185146982569101</v>
      </c>
      <c r="AE173" s="15">
        <v>-5.1357711896843298E-3</v>
      </c>
      <c r="AF173" s="15">
        <v>4.3342752280319099E-4</v>
      </c>
      <c r="AG173" s="15">
        <v>-1.7693735180667101E-3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1.0227980880738221E-2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1.2373710160373273E-2</v>
      </c>
      <c r="BE173" s="29">
        <f t="shared" si="62"/>
        <v>0</v>
      </c>
      <c r="BF173" s="29">
        <f t="shared" si="63"/>
        <v>2.2601691041111493E-2</v>
      </c>
      <c r="BH173" s="29"/>
    </row>
    <row r="174" spans="1:60" x14ac:dyDescent="0.25">
      <c r="A174" s="1">
        <v>46275</v>
      </c>
      <c r="B174" s="33">
        <v>18.010000000000002</v>
      </c>
      <c r="C174" s="33">
        <v>29.97</v>
      </c>
      <c r="D174" s="15">
        <v>-8.8447232202151504E-3</v>
      </c>
      <c r="E174" s="15">
        <v>-6.9825720111310304E-3</v>
      </c>
      <c r="F174" s="33">
        <v>0</v>
      </c>
      <c r="G174" s="33">
        <v>0.79999999999999905</v>
      </c>
      <c r="H174" s="33">
        <v>0</v>
      </c>
      <c r="I174" s="33">
        <v>1.0603739999999999</v>
      </c>
      <c r="J174" s="33">
        <v>0.79999999999999905</v>
      </c>
      <c r="K174" s="33">
        <v>1.0603739999999999</v>
      </c>
      <c r="L174" s="33">
        <v>18.809999999999999</v>
      </c>
      <c r="M174" s="33">
        <v>31.030373999999998</v>
      </c>
      <c r="N174" s="34">
        <v>1.6640755136035501</v>
      </c>
      <c r="O174" s="34">
        <v>1.6459148161032899</v>
      </c>
      <c r="P174" s="34">
        <v>1.6620012191603499</v>
      </c>
      <c r="Q174" s="34">
        <v>1.6584562693428699</v>
      </c>
      <c r="R174" s="33">
        <v>29.642925838020201</v>
      </c>
      <c r="S174" s="33">
        <v>29.921740822556099</v>
      </c>
      <c r="T174" s="33">
        <v>29.856001700409401</v>
      </c>
      <c r="U174" s="15">
        <v>-1.09733732886267E-2</v>
      </c>
      <c r="V174" s="15">
        <v>-1.61154734277152E-3</v>
      </c>
      <c r="W174" s="15">
        <v>-3.8109997099472302E-3</v>
      </c>
      <c r="X174" s="34">
        <v>1.64967432216905</v>
      </c>
      <c r="Y174" s="34">
        <v>1.6383944060714599</v>
      </c>
      <c r="Z174" s="34">
        <v>1.6481333606759001</v>
      </c>
      <c r="AA174" s="34">
        <v>1.6451344779371799</v>
      </c>
      <c r="AB174" s="33">
        <v>30.818198778204199</v>
      </c>
      <c r="AC174" s="33">
        <v>30.992858729722499</v>
      </c>
      <c r="AD174" s="33">
        <v>30.933408408603</v>
      </c>
      <c r="AE174" s="15">
        <v>-6.8611463325910903E-3</v>
      </c>
      <c r="AF174" s="15">
        <v>-1.20971684968462E-3</v>
      </c>
      <c r="AG174" s="15">
        <v>-3.1297531163774501E-3</v>
      </c>
      <c r="AI174" s="12"/>
      <c r="AJ174">
        <f t="shared" si="46"/>
        <v>0</v>
      </c>
      <c r="AK174">
        <f t="shared" si="47"/>
        <v>0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1.0227980880738221E-2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1.2373710160373273E-2</v>
      </c>
      <c r="BE174" s="29">
        <f t="shared" si="62"/>
        <v>0</v>
      </c>
      <c r="BF174" s="29">
        <f t="shared" si="63"/>
        <v>2.2601691041111493E-2</v>
      </c>
      <c r="BH174" s="29"/>
    </row>
    <row r="175" spans="1:60" x14ac:dyDescent="0.25">
      <c r="A175" s="1">
        <v>46276</v>
      </c>
      <c r="B175" s="33">
        <v>18.12</v>
      </c>
      <c r="C175" s="33">
        <v>30.15</v>
      </c>
      <c r="D175" s="15">
        <v>6.0891414269685501E-3</v>
      </c>
      <c r="E175" s="15">
        <v>5.9880418446226899E-3</v>
      </c>
      <c r="F175" s="33">
        <v>0</v>
      </c>
      <c r="G175" s="33">
        <v>0.79999999999999905</v>
      </c>
      <c r="H175" s="33">
        <v>0</v>
      </c>
      <c r="I175" s="33">
        <v>1.0603739999999999</v>
      </c>
      <c r="J175" s="33">
        <v>0.79999999999999905</v>
      </c>
      <c r="K175" s="33">
        <v>1.0603739999999999</v>
      </c>
      <c r="L175" s="33">
        <v>18.920000000000002</v>
      </c>
      <c r="M175" s="33">
        <v>31.210373999999899</v>
      </c>
      <c r="N175" s="34">
        <v>1.6639072847682099</v>
      </c>
      <c r="O175" s="34">
        <v>1.6459148161032899</v>
      </c>
      <c r="P175" s="34">
        <v>1.6625910818363101</v>
      </c>
      <c r="Q175" s="34">
        <v>1.6591462917009401</v>
      </c>
      <c r="R175" s="33">
        <v>29.823976467791599</v>
      </c>
      <c r="S175" s="33">
        <v>30.115462091185599</v>
      </c>
      <c r="T175" s="33">
        <v>30.051227600492901</v>
      </c>
      <c r="U175" s="15">
        <v>-1.0872273706280701E-2</v>
      </c>
      <c r="V175" s="15">
        <v>-1.1461925752187701E-3</v>
      </c>
      <c r="W175" s="15">
        <v>-3.2814110965139701E-3</v>
      </c>
      <c r="X175" s="34">
        <v>1.6495969344608801</v>
      </c>
      <c r="Y175" s="34">
        <v>1.6383944060714599</v>
      </c>
      <c r="Z175" s="34">
        <v>1.64858245975286</v>
      </c>
      <c r="AA175" s="34">
        <v>1.64573190447485</v>
      </c>
      <c r="AB175" s="33">
        <v>30.9984221628721</v>
      </c>
      <c r="AC175" s="33">
        <v>31.1826831839882</v>
      </c>
      <c r="AD175" s="33">
        <v>31.125944322571499</v>
      </c>
      <c r="AE175" s="15">
        <v>-6.8142343316275299E-3</v>
      </c>
      <c r="AF175" s="15">
        <v>-8.8762497238160899E-4</v>
      </c>
      <c r="AG175" s="15">
        <v>-2.7088455439162802E-3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1.0227980880738221E-2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1.2373710160373273E-2</v>
      </c>
      <c r="BE175" s="29">
        <f t="shared" si="62"/>
        <v>0</v>
      </c>
      <c r="BF175" s="29">
        <f t="shared" si="63"/>
        <v>2.2601691041111493E-2</v>
      </c>
      <c r="BH175" s="29"/>
    </row>
    <row r="176" spans="1:60" x14ac:dyDescent="0.25">
      <c r="A176" s="1">
        <v>46279</v>
      </c>
      <c r="B176" s="33">
        <v>17.96</v>
      </c>
      <c r="C176" s="33">
        <v>29.94</v>
      </c>
      <c r="D176" s="15">
        <v>-8.8692377407797694E-3</v>
      </c>
      <c r="E176" s="15">
        <v>-6.9895441817120702E-3</v>
      </c>
      <c r="F176" s="33">
        <v>0</v>
      </c>
      <c r="G176" s="33">
        <v>0.79999999999999905</v>
      </c>
      <c r="H176" s="33">
        <v>0</v>
      </c>
      <c r="I176" s="33">
        <v>1.0603739999999999</v>
      </c>
      <c r="J176" s="33">
        <v>0.79999999999999905</v>
      </c>
      <c r="K176" s="33">
        <v>1.0603739999999999</v>
      </c>
      <c r="L176" s="33">
        <v>18.760000000000002</v>
      </c>
      <c r="M176" s="33">
        <v>31.000374000000001</v>
      </c>
      <c r="N176" s="34">
        <v>1.6670378619153601</v>
      </c>
      <c r="O176" s="34">
        <v>1.6459148161032899</v>
      </c>
      <c r="P176" s="34">
        <v>1.6634067637367</v>
      </c>
      <c r="Q176" s="34">
        <v>1.65986152884816</v>
      </c>
      <c r="R176" s="33">
        <v>29.5606300972151</v>
      </c>
      <c r="S176" s="33">
        <v>29.860135829780099</v>
      </c>
      <c r="T176" s="33">
        <v>29.798267398948902</v>
      </c>
      <c r="U176" s="15">
        <v>-1.2751967265348401E-2</v>
      </c>
      <c r="V176" s="15">
        <v>-2.6710380033032098E-3</v>
      </c>
      <c r="W176" s="15">
        <v>-4.7451281452416299E-3</v>
      </c>
      <c r="X176" s="34">
        <v>1.65247196162046</v>
      </c>
      <c r="Y176" s="34">
        <v>1.6383944060714599</v>
      </c>
      <c r="Z176" s="34">
        <v>1.6492397448735701</v>
      </c>
      <c r="AA176" s="34">
        <v>1.6463484467707501</v>
      </c>
      <c r="AB176" s="33">
        <v>30.736279057900699</v>
      </c>
      <c r="AC176" s="33">
        <v>30.9274069449637</v>
      </c>
      <c r="AD176" s="33">
        <v>30.8739305279482</v>
      </c>
      <c r="AE176" s="15">
        <v>-8.5555837562188101E-3</v>
      </c>
      <c r="AF176" s="15">
        <v>-2.3565219902781098E-3</v>
      </c>
      <c r="AG176" s="15">
        <v>-4.08711335120184E-3</v>
      </c>
      <c r="AI176" s="12"/>
      <c r="AJ176">
        <f t="shared" si="46"/>
        <v>0</v>
      </c>
      <c r="AK176">
        <f t="shared" si="47"/>
        <v>0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1.0227980880738221E-2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1.2373710160373273E-2</v>
      </c>
      <c r="BE176" s="29">
        <f t="shared" si="62"/>
        <v>0</v>
      </c>
      <c r="BF176" s="29">
        <f t="shared" si="63"/>
        <v>2.2601691041111493E-2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2026-09-22T14:51:18Z</dcterms:created>
  <dcterms:modified xsi:type="dcterms:W3CDTF">2026-09-22T14:57:42Z</dcterms:modified>
</cp:coreProperties>
</file>