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81D59271-B667-49B7-9531-C47964DC4E9E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R164" i="1"/>
  <c r="BS164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R163" i="1" s="1"/>
  <c r="BE162" i="1"/>
  <c r="BC162" i="1"/>
  <c r="BB162" i="1"/>
  <c r="BF163" i="1" s="1"/>
  <c r="BQ161" i="1"/>
  <c r="BO161" i="1"/>
  <c r="BN161" i="1"/>
  <c r="BR162" i="1" s="1"/>
  <c r="BP162" i="1" s="1"/>
  <c r="BG161" i="1"/>
  <c r="BF161" i="1"/>
  <c r="BH161" i="1" s="1"/>
  <c r="BE161" i="1"/>
  <c r="BC161" i="1"/>
  <c r="BB161" i="1"/>
  <c r="BF162" i="1" s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R157" i="1" s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R155" i="1" s="1"/>
  <c r="BP155" i="1" s="1"/>
  <c r="BN154" i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R153" i="1" s="1"/>
  <c r="BO152" i="1"/>
  <c r="BN152" i="1"/>
  <c r="BE152" i="1"/>
  <c r="BC152" i="1"/>
  <c r="BB152" i="1"/>
  <c r="BF153" i="1" s="1"/>
  <c r="BD153" i="1" s="1"/>
  <c r="BQ151" i="1"/>
  <c r="BO151" i="1"/>
  <c r="BN151" i="1"/>
  <c r="BF151" i="1"/>
  <c r="BD151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F149" i="1" s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R145" i="1" s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F143" i="1" s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R138" i="1"/>
  <c r="BQ138" i="1"/>
  <c r="BR139" i="1" s="1"/>
  <c r="BO138" i="1"/>
  <c r="BN138" i="1"/>
  <c r="BE138" i="1"/>
  <c r="BC138" i="1"/>
  <c r="BB138" i="1"/>
  <c r="BF139" i="1" s="1"/>
  <c r="BS137" i="1"/>
  <c r="BQ137" i="1"/>
  <c r="BO137" i="1"/>
  <c r="BN137" i="1"/>
  <c r="BE137" i="1"/>
  <c r="BC137" i="1"/>
  <c r="BB137" i="1"/>
  <c r="BF138" i="1" s="1"/>
  <c r="BQ136" i="1"/>
  <c r="BR137" i="1" s="1"/>
  <c r="BO136" i="1"/>
  <c r="BN136" i="1"/>
  <c r="BE136" i="1"/>
  <c r="BC136" i="1"/>
  <c r="BB136" i="1"/>
  <c r="BF137" i="1" s="1"/>
  <c r="BD137" i="1" s="1"/>
  <c r="BQ135" i="1"/>
  <c r="BR136" i="1" s="1"/>
  <c r="BO135" i="1"/>
  <c r="BN135" i="1"/>
  <c r="BE135" i="1"/>
  <c r="BF136" i="1" s="1"/>
  <c r="BH136" i="1" s="1"/>
  <c r="BC135" i="1"/>
  <c r="BB135" i="1"/>
  <c r="BQ134" i="1"/>
  <c r="BO134" i="1"/>
  <c r="BN134" i="1"/>
  <c r="BE134" i="1"/>
  <c r="BC134" i="1"/>
  <c r="BB134" i="1"/>
  <c r="BF135" i="1" s="1"/>
  <c r="BQ133" i="1"/>
  <c r="BO133" i="1"/>
  <c r="BR134" i="1" s="1"/>
  <c r="BS134" i="1" s="1"/>
  <c r="BN133" i="1"/>
  <c r="BE133" i="1"/>
  <c r="BC133" i="1"/>
  <c r="BB133" i="1"/>
  <c r="BF134" i="1" s="1"/>
  <c r="BH134" i="1" s="1"/>
  <c r="BQ132" i="1"/>
  <c r="BO132" i="1"/>
  <c r="BN132" i="1"/>
  <c r="BE132" i="1"/>
  <c r="BC132" i="1"/>
  <c r="BB132" i="1"/>
  <c r="BS131" i="1"/>
  <c r="BR131" i="1"/>
  <c r="BQ131" i="1"/>
  <c r="BR132" i="1" s="1"/>
  <c r="BO131" i="1"/>
  <c r="BN131" i="1"/>
  <c r="BE131" i="1"/>
  <c r="BC131" i="1"/>
  <c r="BB131" i="1"/>
  <c r="BF132" i="1" s="1"/>
  <c r="BQ130" i="1"/>
  <c r="BO130" i="1"/>
  <c r="BN130" i="1"/>
  <c r="BE130" i="1"/>
  <c r="BC130" i="1"/>
  <c r="BB130" i="1"/>
  <c r="BF131" i="1" s="1"/>
  <c r="BG131" i="1" s="1"/>
  <c r="BQ129" i="1"/>
  <c r="BR130" i="1" s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G124" i="1" s="1"/>
  <c r="BQ122" i="1"/>
  <c r="BO122" i="1"/>
  <c r="BN122" i="1"/>
  <c r="BE122" i="1"/>
  <c r="BC122" i="1"/>
  <c r="BB122" i="1"/>
  <c r="BF123" i="1" s="1"/>
  <c r="BQ121" i="1"/>
  <c r="BO121" i="1"/>
  <c r="BN121" i="1"/>
  <c r="BE121" i="1"/>
  <c r="BC121" i="1"/>
  <c r="BB121" i="1"/>
  <c r="BQ120" i="1"/>
  <c r="BO120" i="1"/>
  <c r="BN120" i="1"/>
  <c r="BR121" i="1" s="1"/>
  <c r="BS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R117" i="1" s="1"/>
  <c r="BS117" i="1" s="1"/>
  <c r="BE116" i="1"/>
  <c r="BC116" i="1"/>
  <c r="BB116" i="1"/>
  <c r="BQ115" i="1"/>
  <c r="BO115" i="1"/>
  <c r="BN115" i="1"/>
  <c r="BE115" i="1"/>
  <c r="BF116" i="1" s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F113" i="1" s="1"/>
  <c r="BQ111" i="1"/>
  <c r="BO111" i="1"/>
  <c r="BN111" i="1"/>
  <c r="BE111" i="1"/>
  <c r="BF112" i="1" s="1"/>
  <c r="BG112" i="1" s="1"/>
  <c r="BC111" i="1"/>
  <c r="BB111" i="1"/>
  <c r="BQ110" i="1"/>
  <c r="BO110" i="1"/>
  <c r="BN110" i="1"/>
  <c r="BR111" i="1" s="1"/>
  <c r="BE110" i="1"/>
  <c r="BF111" i="1" s="1"/>
  <c r="BC110" i="1"/>
  <c r="BB110" i="1"/>
  <c r="BQ109" i="1"/>
  <c r="BO109" i="1"/>
  <c r="BN109" i="1"/>
  <c r="BR110" i="1" s="1"/>
  <c r="BT110" i="1" s="1"/>
  <c r="BE109" i="1"/>
  <c r="BC109" i="1"/>
  <c r="BB109" i="1"/>
  <c r="BQ108" i="1"/>
  <c r="BR109" i="1" s="1"/>
  <c r="BO108" i="1"/>
  <c r="BN108" i="1"/>
  <c r="BE108" i="1"/>
  <c r="BF109" i="1" s="1"/>
  <c r="BD109" i="1" s="1"/>
  <c r="BC108" i="1"/>
  <c r="BB108" i="1"/>
  <c r="BQ107" i="1"/>
  <c r="BO107" i="1"/>
  <c r="BN107" i="1"/>
  <c r="BE107" i="1"/>
  <c r="BC107" i="1"/>
  <c r="BB107" i="1"/>
  <c r="BF108" i="1" s="1"/>
  <c r="BQ106" i="1"/>
  <c r="BO106" i="1"/>
  <c r="BN106" i="1"/>
  <c r="BR107" i="1" s="1"/>
  <c r="BS107" i="1" s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D105" i="1" s="1"/>
  <c r="BF106" i="1" s="1"/>
  <c r="BC104" i="1"/>
  <c r="BB104" i="1"/>
  <c r="BQ103" i="1"/>
  <c r="BO103" i="1"/>
  <c r="BN103" i="1"/>
  <c r="BE103" i="1"/>
  <c r="BC103" i="1"/>
  <c r="BB103" i="1"/>
  <c r="BF104" i="1" s="1"/>
  <c r="BD104" i="1" s="1"/>
  <c r="BQ102" i="1"/>
  <c r="BO102" i="1"/>
  <c r="BN102" i="1"/>
  <c r="BE102" i="1"/>
  <c r="BC102" i="1"/>
  <c r="BB102" i="1"/>
  <c r="BQ101" i="1"/>
  <c r="BO101" i="1"/>
  <c r="BN101" i="1"/>
  <c r="BG101" i="1"/>
  <c r="BE101" i="1"/>
  <c r="BC101" i="1"/>
  <c r="BB101" i="1"/>
  <c r="BF102" i="1" s="1"/>
  <c r="BQ100" i="1"/>
  <c r="BO100" i="1"/>
  <c r="BN100" i="1"/>
  <c r="BE100" i="1"/>
  <c r="BC100" i="1"/>
  <c r="BB100" i="1"/>
  <c r="BF101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R96" i="1" s="1"/>
  <c r="BT96" i="1" s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R91" i="1"/>
  <c r="BP91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F90" i="1" s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F82" i="1" s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E79" i="1"/>
  <c r="BC79" i="1"/>
  <c r="BB79" i="1"/>
  <c r="BQ78" i="1"/>
  <c r="BR79" i="1" s="1"/>
  <c r="BP79" i="1" s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F73" i="1" s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F68" i="1" s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F64" i="1" s="1"/>
  <c r="BD64" i="1" s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F61" i="1" s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R57" i="1" s="1"/>
  <c r="BP57" i="1" s="1"/>
  <c r="BO56" i="1"/>
  <c r="BN56" i="1"/>
  <c r="BE56" i="1"/>
  <c r="BC56" i="1"/>
  <c r="BB56" i="1"/>
  <c r="BF57" i="1" s="1"/>
  <c r="BG57" i="1" s="1"/>
  <c r="BQ55" i="1"/>
  <c r="BO55" i="1"/>
  <c r="BN55" i="1"/>
  <c r="BE55" i="1"/>
  <c r="BF56" i="1" s="1"/>
  <c r="BD56" i="1" s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F52" i="1" s="1"/>
  <c r="BH52" i="1" s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Q48" i="1"/>
  <c r="BO48" i="1"/>
  <c r="BN48" i="1"/>
  <c r="BE48" i="1"/>
  <c r="BC48" i="1"/>
  <c r="BF49" i="1" s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E44" i="1"/>
  <c r="BC44" i="1"/>
  <c r="BB44" i="1"/>
  <c r="BQ43" i="1"/>
  <c r="BO43" i="1"/>
  <c r="BN43" i="1"/>
  <c r="BE43" i="1"/>
  <c r="BC43" i="1"/>
  <c r="BB43" i="1"/>
  <c r="BF44" i="1" s="1"/>
  <c r="BH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G42" i="1" s="1"/>
  <c r="BQ40" i="1"/>
  <c r="BR41" i="1" s="1"/>
  <c r="BS41" i="1" s="1"/>
  <c r="BO40" i="1"/>
  <c r="BN40" i="1"/>
  <c r="BE40" i="1"/>
  <c r="BF41" i="1" s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F39" i="1" s="1"/>
  <c r="BC38" i="1"/>
  <c r="BB38" i="1"/>
  <c r="BQ37" i="1"/>
  <c r="BO37" i="1"/>
  <c r="BN37" i="1"/>
  <c r="BR38" i="1" s="1"/>
  <c r="BP38" i="1" s="1"/>
  <c r="BE37" i="1"/>
  <c r="BC37" i="1"/>
  <c r="BB37" i="1"/>
  <c r="BQ36" i="1"/>
  <c r="BR37" i="1" s="1"/>
  <c r="BP37" i="1" s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R35" i="1" s="1"/>
  <c r="BE34" i="1"/>
  <c r="BC34" i="1"/>
  <c r="BB34" i="1"/>
  <c r="BQ33" i="1"/>
  <c r="BO33" i="1"/>
  <c r="BN33" i="1"/>
  <c r="BR34" i="1" s="1"/>
  <c r="BE33" i="1"/>
  <c r="BC33" i="1"/>
  <c r="BB33" i="1"/>
  <c r="BF34" i="1" s="1"/>
  <c r="BQ32" i="1"/>
  <c r="BO32" i="1"/>
  <c r="BN32" i="1"/>
  <c r="BR33" i="1" s="1"/>
  <c r="BS33" i="1" s="1"/>
  <c r="BE32" i="1"/>
  <c r="BC32" i="1"/>
  <c r="BB32" i="1"/>
  <c r="BF33" i="1" s="1"/>
  <c r="BQ31" i="1"/>
  <c r="BO31" i="1"/>
  <c r="BN31" i="1"/>
  <c r="BR32" i="1" s="1"/>
  <c r="BP32" i="1" s="1"/>
  <c r="BE31" i="1"/>
  <c r="BC31" i="1"/>
  <c r="BB31" i="1"/>
  <c r="BF32" i="1" s="1"/>
  <c r="BQ30" i="1"/>
  <c r="BR31" i="1" s="1"/>
  <c r="BO30" i="1"/>
  <c r="BN30" i="1"/>
  <c r="BE30" i="1"/>
  <c r="BC30" i="1"/>
  <c r="BB30" i="1"/>
  <c r="BQ29" i="1"/>
  <c r="BR30" i="1" s="1"/>
  <c r="BO29" i="1"/>
  <c r="BN29" i="1"/>
  <c r="BE29" i="1"/>
  <c r="BC29" i="1"/>
  <c r="BB29" i="1"/>
  <c r="BQ28" i="1"/>
  <c r="BR29" i="1" s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Q22" i="1"/>
  <c r="BR23" i="1" s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H135" i="1" l="1"/>
  <c r="BG135" i="1"/>
  <c r="BI135" i="1" s="1"/>
  <c r="BH142" i="1"/>
  <c r="BG142" i="1"/>
  <c r="BI142" i="1" s="1"/>
  <c r="BD142" i="1"/>
  <c r="BH154" i="1"/>
  <c r="BD154" i="1"/>
  <c r="BG154" i="1"/>
  <c r="BH163" i="1"/>
  <c r="BD163" i="1"/>
  <c r="BH86" i="1"/>
  <c r="BG86" i="1"/>
  <c r="BI86" i="1" s="1"/>
  <c r="BD86" i="1"/>
  <c r="BP145" i="1"/>
  <c r="BR146" i="1" s="1"/>
  <c r="BT145" i="1"/>
  <c r="BG116" i="1"/>
  <c r="BD116" i="1"/>
  <c r="BF117" i="1" s="1"/>
  <c r="BS157" i="1"/>
  <c r="BT157" i="1"/>
  <c r="BR46" i="1"/>
  <c r="BR36" i="1"/>
  <c r="BT36" i="1" s="1"/>
  <c r="BR40" i="1"/>
  <c r="BS40" i="1" s="1"/>
  <c r="BT41" i="1"/>
  <c r="BR128" i="1"/>
  <c r="BT128" i="1" s="1"/>
  <c r="BF152" i="1"/>
  <c r="BH152" i="1" s="1"/>
  <c r="BR65" i="1"/>
  <c r="BS65" i="1" s="1"/>
  <c r="BF147" i="1"/>
  <c r="BG23" i="1"/>
  <c r="BR66" i="1"/>
  <c r="BT66" i="1" s="1"/>
  <c r="BF71" i="1"/>
  <c r="BG71" i="1" s="1"/>
  <c r="BR94" i="1"/>
  <c r="BT94" i="1" s="1"/>
  <c r="BR105" i="1"/>
  <c r="BT105" i="1" s="1"/>
  <c r="BF110" i="1"/>
  <c r="BG110" i="1" s="1"/>
  <c r="BF120" i="1"/>
  <c r="BD120" i="1" s="1"/>
  <c r="BF121" i="1" s="1"/>
  <c r="BR126" i="1"/>
  <c r="BS126" i="1" s="1"/>
  <c r="BH23" i="1"/>
  <c r="BR26" i="1"/>
  <c r="BS26" i="1" s="1"/>
  <c r="BR47" i="1"/>
  <c r="BS47" i="1" s="1"/>
  <c r="BF69" i="1"/>
  <c r="BG69" i="1" s="1"/>
  <c r="BF99" i="1"/>
  <c r="BG99" i="1" s="1"/>
  <c r="BF114" i="1"/>
  <c r="BG114" i="1" s="1"/>
  <c r="BF150" i="1"/>
  <c r="BH150" i="1" s="1"/>
  <c r="BR161" i="1"/>
  <c r="BP161" i="1" s="1"/>
  <c r="BF165" i="1"/>
  <c r="BG165" i="1" s="1"/>
  <c r="BF31" i="1"/>
  <c r="BD31" i="1" s="1"/>
  <c r="BF35" i="1"/>
  <c r="BD35" i="1" s="1"/>
  <c r="BR39" i="1"/>
  <c r="BP39" i="1" s="1"/>
  <c r="BH109" i="1"/>
  <c r="BR112" i="1"/>
  <c r="BP112" i="1" s="1"/>
  <c r="BR113" i="1" s="1"/>
  <c r="BF127" i="1"/>
  <c r="BF144" i="1"/>
  <c r="BG151" i="1"/>
  <c r="BR24" i="1"/>
  <c r="BP24" i="1" s="1"/>
  <c r="BR25" i="1" s="1"/>
  <c r="BF91" i="1"/>
  <c r="BH91" i="1" s="1"/>
  <c r="BH151" i="1"/>
  <c r="BR167" i="1"/>
  <c r="BT167" i="1" s="1"/>
  <c r="BF133" i="1"/>
  <c r="BR140" i="1"/>
  <c r="BT140" i="1" s="1"/>
  <c r="BR78" i="1"/>
  <c r="BT78" i="1" s="1"/>
  <c r="BF85" i="1"/>
  <c r="BG85" i="1" s="1"/>
  <c r="BF125" i="1"/>
  <c r="BG125" i="1" s="1"/>
  <c r="BR129" i="1"/>
  <c r="BT129" i="1" s="1"/>
  <c r="BR152" i="1"/>
  <c r="BT152" i="1" s="1"/>
  <c r="BR154" i="1"/>
  <c r="BT154" i="1" s="1"/>
  <c r="BD161" i="1"/>
  <c r="BR27" i="1"/>
  <c r="BT27" i="1" s="1"/>
  <c r="BF38" i="1"/>
  <c r="BD38" i="1" s="1"/>
  <c r="BF48" i="1"/>
  <c r="BH48" i="1" s="1"/>
  <c r="BR108" i="1"/>
  <c r="BS108" i="1" s="1"/>
  <c r="BF115" i="1"/>
  <c r="BG115" i="1" s="1"/>
  <c r="BR133" i="1"/>
  <c r="BS133" i="1" s="1"/>
  <c r="BR158" i="1"/>
  <c r="BS158" i="1" s="1"/>
  <c r="BF81" i="1"/>
  <c r="BD81" i="1" s="1"/>
  <c r="BF141" i="1"/>
  <c r="BG141" i="1" s="1"/>
  <c r="BR156" i="1"/>
  <c r="BS156" i="1" s="1"/>
  <c r="BT164" i="1"/>
  <c r="BU164" i="1" s="1"/>
  <c r="BF164" i="1"/>
  <c r="BD164" i="1" s="1"/>
  <c r="BF36" i="1"/>
  <c r="BD36" i="1" s="1"/>
  <c r="BF24" i="1"/>
  <c r="BP41" i="1"/>
  <c r="BR42" i="1" s="1"/>
  <c r="BT42" i="1" s="1"/>
  <c r="BR160" i="1"/>
  <c r="BP160" i="1" s="1"/>
  <c r="BF28" i="1"/>
  <c r="BS37" i="1"/>
  <c r="BF77" i="1"/>
  <c r="BH77" i="1" s="1"/>
  <c r="BF107" i="1"/>
  <c r="BD107" i="1" s="1"/>
  <c r="BP134" i="1"/>
  <c r="BF159" i="1"/>
  <c r="BD159" i="1" s="1"/>
  <c r="BS80" i="1"/>
  <c r="BP80" i="1"/>
  <c r="BR81" i="1" s="1"/>
  <c r="BT80" i="1"/>
  <c r="BT22" i="1"/>
  <c r="BS22" i="1"/>
  <c r="BH34" i="1"/>
  <c r="BD34" i="1"/>
  <c r="BH82" i="1"/>
  <c r="BG82" i="1"/>
  <c r="BI82" i="1" s="1"/>
  <c r="BD82" i="1"/>
  <c r="BF83" i="1" s="1"/>
  <c r="BS129" i="1"/>
  <c r="BD108" i="1"/>
  <c r="BG108" i="1"/>
  <c r="BH108" i="1"/>
  <c r="BG34" i="1"/>
  <c r="BP40" i="1"/>
  <c r="BD53" i="1"/>
  <c r="BG53" i="1"/>
  <c r="BG106" i="1"/>
  <c r="BD106" i="1"/>
  <c r="BH106" i="1"/>
  <c r="BH165" i="1"/>
  <c r="BD165" i="1"/>
  <c r="BP30" i="1"/>
  <c r="BT30" i="1"/>
  <c r="BS30" i="1"/>
  <c r="BT35" i="1"/>
  <c r="BS35" i="1"/>
  <c r="BP35" i="1"/>
  <c r="BH53" i="1"/>
  <c r="BS112" i="1"/>
  <c r="BP31" i="1"/>
  <c r="BT31" i="1"/>
  <c r="BS31" i="1"/>
  <c r="BH39" i="1"/>
  <c r="BD39" i="1"/>
  <c r="BG39" i="1"/>
  <c r="BH41" i="1"/>
  <c r="BG41" i="1"/>
  <c r="BD41" i="1"/>
  <c r="BD73" i="1"/>
  <c r="BH73" i="1"/>
  <c r="BG73" i="1"/>
  <c r="BI73" i="1" s="1"/>
  <c r="BG139" i="1"/>
  <c r="BH139" i="1"/>
  <c r="BD139" i="1"/>
  <c r="BF140" i="1" s="1"/>
  <c r="BG22" i="1"/>
  <c r="BI22" i="1" s="1"/>
  <c r="BP55" i="1"/>
  <c r="BT55" i="1"/>
  <c r="BS55" i="1"/>
  <c r="BR92" i="1"/>
  <c r="BG155" i="1"/>
  <c r="BD155" i="1"/>
  <c r="BF156" i="1" s="1"/>
  <c r="BH155" i="1"/>
  <c r="BH49" i="1"/>
  <c r="BG49" i="1"/>
  <c r="BD49" i="1"/>
  <c r="BH33" i="1"/>
  <c r="BG33" i="1"/>
  <c r="BD33" i="1"/>
  <c r="BH51" i="1"/>
  <c r="BG51" i="1"/>
  <c r="BD51" i="1"/>
  <c r="BS91" i="1"/>
  <c r="BT91" i="1"/>
  <c r="BT29" i="1"/>
  <c r="BS29" i="1"/>
  <c r="BU29" i="1" s="1"/>
  <c r="BP29" i="1"/>
  <c r="BD68" i="1"/>
  <c r="BH68" i="1"/>
  <c r="BG68" i="1"/>
  <c r="BG111" i="1"/>
  <c r="BD111" i="1"/>
  <c r="BH111" i="1"/>
  <c r="BT34" i="1"/>
  <c r="BS34" i="1"/>
  <c r="BP34" i="1"/>
  <c r="BU41" i="1"/>
  <c r="BH64" i="1"/>
  <c r="BG64" i="1"/>
  <c r="BS74" i="1"/>
  <c r="BT74" i="1"/>
  <c r="BP74" i="1"/>
  <c r="BR75" i="1" s="1"/>
  <c r="BH97" i="1"/>
  <c r="BG97" i="1"/>
  <c r="BD97" i="1"/>
  <c r="BF98" i="1" s="1"/>
  <c r="BD42" i="1"/>
  <c r="BH42" i="1"/>
  <c r="BI42" i="1" s="1"/>
  <c r="BP60" i="1"/>
  <c r="BT60" i="1"/>
  <c r="BS60" i="1"/>
  <c r="BT132" i="1"/>
  <c r="BS132" i="1"/>
  <c r="BP132" i="1"/>
  <c r="BT45" i="1"/>
  <c r="BP45" i="1"/>
  <c r="BS57" i="1"/>
  <c r="BG102" i="1"/>
  <c r="BD102" i="1"/>
  <c r="BH102" i="1"/>
  <c r="BG92" i="1"/>
  <c r="BD92" i="1"/>
  <c r="BH92" i="1"/>
  <c r="BH144" i="1"/>
  <c r="BD144" i="1"/>
  <c r="BG144" i="1"/>
  <c r="BP23" i="1"/>
  <c r="BT23" i="1"/>
  <c r="BS23" i="1"/>
  <c r="BU23" i="1" s="1"/>
  <c r="BR28" i="1"/>
  <c r="BT38" i="1"/>
  <c r="BS38" i="1"/>
  <c r="BS45" i="1"/>
  <c r="BT57" i="1"/>
  <c r="BP66" i="1"/>
  <c r="BP26" i="1"/>
  <c r="BG52" i="1"/>
  <c r="BI52" i="1" s="1"/>
  <c r="BD52" i="1"/>
  <c r="BD87" i="1"/>
  <c r="BH87" i="1"/>
  <c r="BG87" i="1"/>
  <c r="BI87" i="1" s="1"/>
  <c r="BS111" i="1"/>
  <c r="BT111" i="1"/>
  <c r="BP111" i="1"/>
  <c r="BT126" i="1"/>
  <c r="BU126" i="1" s="1"/>
  <c r="BH130" i="1"/>
  <c r="BG130" i="1"/>
  <c r="BD130" i="1"/>
  <c r="BD77" i="1"/>
  <c r="BF78" i="1" s="1"/>
  <c r="BG77" i="1"/>
  <c r="BI77" i="1" s="1"/>
  <c r="BR97" i="1"/>
  <c r="BG113" i="1"/>
  <c r="BD113" i="1"/>
  <c r="BH113" i="1"/>
  <c r="BP33" i="1"/>
  <c r="BT37" i="1"/>
  <c r="BF63" i="1"/>
  <c r="BF93" i="1"/>
  <c r="BG95" i="1"/>
  <c r="BH95" i="1"/>
  <c r="BD95" i="1"/>
  <c r="BH116" i="1"/>
  <c r="BI116" i="1" s="1"/>
  <c r="BF145" i="1"/>
  <c r="BR61" i="1"/>
  <c r="BF88" i="1"/>
  <c r="BD90" i="1"/>
  <c r="BH90" i="1"/>
  <c r="BG90" i="1"/>
  <c r="BI90" i="1" s="1"/>
  <c r="BG120" i="1"/>
  <c r="BH120" i="1"/>
  <c r="BT26" i="1"/>
  <c r="BU26" i="1" s="1"/>
  <c r="BT33" i="1"/>
  <c r="BU33" i="1" s="1"/>
  <c r="BF43" i="1"/>
  <c r="BD44" i="1"/>
  <c r="BF45" i="1" s="1"/>
  <c r="BF75" i="1"/>
  <c r="BS79" i="1"/>
  <c r="BT79" i="1"/>
  <c r="BT139" i="1"/>
  <c r="BS139" i="1"/>
  <c r="BP139" i="1"/>
  <c r="BH149" i="1"/>
  <c r="BD149" i="1"/>
  <c r="BS32" i="1"/>
  <c r="BT32" i="1"/>
  <c r="BR52" i="1"/>
  <c r="BH57" i="1"/>
  <c r="BI57" i="1" s="1"/>
  <c r="BD57" i="1"/>
  <c r="BR59" i="1"/>
  <c r="BF70" i="1"/>
  <c r="BS96" i="1"/>
  <c r="BU96" i="1" s="1"/>
  <c r="BP96" i="1"/>
  <c r="BH105" i="1"/>
  <c r="BG105" i="1"/>
  <c r="BP138" i="1"/>
  <c r="BS138" i="1"/>
  <c r="BT138" i="1"/>
  <c r="BG143" i="1"/>
  <c r="BD143" i="1"/>
  <c r="BH143" i="1"/>
  <c r="BG149" i="1"/>
  <c r="BI154" i="1"/>
  <c r="BF40" i="1"/>
  <c r="BD69" i="1"/>
  <c r="BG132" i="1"/>
  <c r="BH132" i="1"/>
  <c r="BD132" i="1"/>
  <c r="BF37" i="1"/>
  <c r="BG44" i="1"/>
  <c r="BI44" i="1" s="1"/>
  <c r="BF62" i="1"/>
  <c r="BD101" i="1"/>
  <c r="BH101" i="1"/>
  <c r="BI101" i="1" s="1"/>
  <c r="BG109" i="1"/>
  <c r="BI109" i="1" s="1"/>
  <c r="BP98" i="1"/>
  <c r="BR99" i="1" s="1"/>
  <c r="BS98" i="1"/>
  <c r="BT98" i="1"/>
  <c r="BH104" i="1"/>
  <c r="BG104" i="1"/>
  <c r="BH107" i="1"/>
  <c r="BG107" i="1"/>
  <c r="BH137" i="1"/>
  <c r="BG137" i="1"/>
  <c r="BI137" i="1" s="1"/>
  <c r="BH25" i="1"/>
  <c r="BG25" i="1"/>
  <c r="BH32" i="1"/>
  <c r="BG32" i="1"/>
  <c r="BH56" i="1"/>
  <c r="BG56" i="1"/>
  <c r="BR70" i="1"/>
  <c r="BP110" i="1"/>
  <c r="BS110" i="1"/>
  <c r="BU110" i="1" s="1"/>
  <c r="BD61" i="1"/>
  <c r="BH61" i="1"/>
  <c r="BG61" i="1"/>
  <c r="BT107" i="1"/>
  <c r="BU107" i="1" s="1"/>
  <c r="BP107" i="1"/>
  <c r="BD123" i="1"/>
  <c r="BH123" i="1"/>
  <c r="BG123" i="1"/>
  <c r="BS136" i="1"/>
  <c r="BT136" i="1"/>
  <c r="BP136" i="1"/>
  <c r="BT163" i="1"/>
  <c r="BP163" i="1"/>
  <c r="BS163" i="1"/>
  <c r="BD24" i="1"/>
  <c r="BD25" i="1"/>
  <c r="BF26" i="1" s="1"/>
  <c r="BD32" i="1"/>
  <c r="BH36" i="1"/>
  <c r="BT46" i="1"/>
  <c r="BF54" i="1"/>
  <c r="BR56" i="1"/>
  <c r="BF67" i="1"/>
  <c r="BT130" i="1"/>
  <c r="BP130" i="1"/>
  <c r="BS130" i="1"/>
  <c r="BG160" i="1"/>
  <c r="BD160" i="1"/>
  <c r="BH160" i="1"/>
  <c r="BF58" i="1"/>
  <c r="BF89" i="1"/>
  <c r="BF96" i="1"/>
  <c r="BP117" i="1"/>
  <c r="BR118" i="1" s="1"/>
  <c r="BT117" i="1"/>
  <c r="BU117" i="1" s="1"/>
  <c r="BH166" i="1"/>
  <c r="BG166" i="1"/>
  <c r="BD166" i="1"/>
  <c r="BF167" i="1" s="1"/>
  <c r="BF50" i="1"/>
  <c r="BF65" i="1"/>
  <c r="BF79" i="1"/>
  <c r="BR83" i="1"/>
  <c r="BR85" i="1"/>
  <c r="BT134" i="1"/>
  <c r="BU134" i="1" s="1"/>
  <c r="BR67" i="1"/>
  <c r="BT121" i="1"/>
  <c r="BU121" i="1" s="1"/>
  <c r="BP121" i="1"/>
  <c r="BR122" i="1" s="1"/>
  <c r="BF148" i="1"/>
  <c r="BR58" i="1"/>
  <c r="BF118" i="1"/>
  <c r="BF119" i="1"/>
  <c r="BP128" i="1"/>
  <c r="BS128" i="1"/>
  <c r="BH138" i="1"/>
  <c r="BG138" i="1"/>
  <c r="BD138" i="1"/>
  <c r="BG153" i="1"/>
  <c r="BH153" i="1"/>
  <c r="BF74" i="1"/>
  <c r="BR95" i="1"/>
  <c r="BF100" i="1"/>
  <c r="BT109" i="1"/>
  <c r="BS109" i="1"/>
  <c r="BP109" i="1"/>
  <c r="BH112" i="1"/>
  <c r="BI112" i="1" s="1"/>
  <c r="BD112" i="1"/>
  <c r="BF122" i="1"/>
  <c r="BG127" i="1"/>
  <c r="BD127" i="1"/>
  <c r="BH127" i="1"/>
  <c r="BG134" i="1"/>
  <c r="BI134" i="1" s="1"/>
  <c r="BD134" i="1"/>
  <c r="BI161" i="1"/>
  <c r="BF129" i="1"/>
  <c r="BP154" i="1"/>
  <c r="BS154" i="1"/>
  <c r="BP131" i="1"/>
  <c r="BT131" i="1"/>
  <c r="BU131" i="1" s="1"/>
  <c r="BD135" i="1"/>
  <c r="BG152" i="1"/>
  <c r="BP157" i="1"/>
  <c r="BP164" i="1"/>
  <c r="BR165" i="1" s="1"/>
  <c r="BG136" i="1"/>
  <c r="BI136" i="1" s="1"/>
  <c r="BD136" i="1"/>
  <c r="BH128" i="1"/>
  <c r="BD128" i="1"/>
  <c r="BG128" i="1"/>
  <c r="BS145" i="1"/>
  <c r="BF72" i="1"/>
  <c r="BF76" i="1"/>
  <c r="BR106" i="1"/>
  <c r="BH124" i="1"/>
  <c r="BI124" i="1" s="1"/>
  <c r="BD124" i="1"/>
  <c r="BT153" i="1"/>
  <c r="BS153" i="1"/>
  <c r="BU153" i="1" s="1"/>
  <c r="BP153" i="1"/>
  <c r="BG162" i="1"/>
  <c r="BD162" i="1"/>
  <c r="BH162" i="1"/>
  <c r="BS167" i="1"/>
  <c r="BT137" i="1"/>
  <c r="BU137" i="1" s="1"/>
  <c r="BP137" i="1"/>
  <c r="BT155" i="1"/>
  <c r="BS155" i="1"/>
  <c r="BT162" i="1"/>
  <c r="BS162" i="1"/>
  <c r="BU162" i="1" s="1"/>
  <c r="BF84" i="1"/>
  <c r="BF103" i="1"/>
  <c r="BF146" i="1"/>
  <c r="BT161" i="1"/>
  <c r="BR151" i="1"/>
  <c r="BR135" i="1"/>
  <c r="BG163" i="1"/>
  <c r="BI163" i="1" s="1"/>
  <c r="BH131" i="1"/>
  <c r="BI131" i="1" s="1"/>
  <c r="BD131" i="1"/>
  <c r="BS152" i="1" l="1"/>
  <c r="BH164" i="1"/>
  <c r="BP156" i="1"/>
  <c r="BH125" i="1"/>
  <c r="BD110" i="1"/>
  <c r="BT156" i="1"/>
  <c r="BU156" i="1" s="1"/>
  <c r="BP152" i="1"/>
  <c r="BD125" i="1"/>
  <c r="BF126" i="1" s="1"/>
  <c r="BH126" i="1" s="1"/>
  <c r="BS39" i="1"/>
  <c r="BT39" i="1"/>
  <c r="BI123" i="1"/>
  <c r="BI130" i="1"/>
  <c r="BX130" i="1" s="1"/>
  <c r="BI68" i="1"/>
  <c r="BS27" i="1"/>
  <c r="BU109" i="1"/>
  <c r="BH110" i="1"/>
  <c r="BI110" i="1" s="1"/>
  <c r="BG164" i="1"/>
  <c r="BS24" i="1"/>
  <c r="BI165" i="1"/>
  <c r="BU157" i="1"/>
  <c r="BG36" i="1"/>
  <c r="BI36" i="1" s="1"/>
  <c r="BD115" i="1"/>
  <c r="BP129" i="1"/>
  <c r="BI69" i="1"/>
  <c r="BI141" i="1"/>
  <c r="BD85" i="1"/>
  <c r="BI164" i="1"/>
  <c r="BX164" i="1" s="1"/>
  <c r="BS161" i="1"/>
  <c r="BU161" i="1" s="1"/>
  <c r="BX161" i="1" s="1"/>
  <c r="BS66" i="1"/>
  <c r="BU66" i="1" s="1"/>
  <c r="BG35" i="1"/>
  <c r="BT112" i="1"/>
  <c r="BP78" i="1"/>
  <c r="BU155" i="1"/>
  <c r="BI56" i="1"/>
  <c r="BI105" i="1"/>
  <c r="BU139" i="1"/>
  <c r="BG81" i="1"/>
  <c r="BI81" i="1" s="1"/>
  <c r="BS78" i="1"/>
  <c r="BU78" i="1" s="1"/>
  <c r="BU37" i="1"/>
  <c r="BH85" i="1"/>
  <c r="BI85" i="1" s="1"/>
  <c r="BP126" i="1"/>
  <c r="BR127" i="1" s="1"/>
  <c r="BT127" i="1" s="1"/>
  <c r="BH81" i="1"/>
  <c r="BH159" i="1"/>
  <c r="BD152" i="1"/>
  <c r="BH69" i="1"/>
  <c r="BI102" i="1"/>
  <c r="BH35" i="1"/>
  <c r="BI35" i="1" s="1"/>
  <c r="BU55" i="1"/>
  <c r="BU35" i="1"/>
  <c r="BG159" i="1"/>
  <c r="BI159" i="1" s="1"/>
  <c r="BP105" i="1"/>
  <c r="BU167" i="1"/>
  <c r="BT133" i="1"/>
  <c r="BU133" i="1" s="1"/>
  <c r="BH141" i="1"/>
  <c r="BP167" i="1"/>
  <c r="BP133" i="1"/>
  <c r="BD141" i="1"/>
  <c r="BI97" i="1"/>
  <c r="BI111" i="1"/>
  <c r="BI33" i="1"/>
  <c r="BX33" i="1" s="1"/>
  <c r="BU22" i="1"/>
  <c r="BX22" i="1" s="1"/>
  <c r="BT158" i="1"/>
  <c r="BU158" i="1" s="1"/>
  <c r="BS105" i="1"/>
  <c r="BU105" i="1" s="1"/>
  <c r="BD71" i="1"/>
  <c r="BU145" i="1"/>
  <c r="BS140" i="1"/>
  <c r="BU140" i="1" s="1"/>
  <c r="BH71" i="1"/>
  <c r="BI71" i="1" s="1"/>
  <c r="BP140" i="1"/>
  <c r="BR141" i="1" s="1"/>
  <c r="BP141" i="1" s="1"/>
  <c r="BR142" i="1" s="1"/>
  <c r="BH115" i="1"/>
  <c r="BI115" i="1" s="1"/>
  <c r="BU132" i="1"/>
  <c r="BI49" i="1"/>
  <c r="BP36" i="1"/>
  <c r="BH147" i="1"/>
  <c r="BD147" i="1"/>
  <c r="BD150" i="1"/>
  <c r="BI160" i="1"/>
  <c r="BP108" i="1"/>
  <c r="BU138" i="1"/>
  <c r="BX138" i="1" s="1"/>
  <c r="BP42" i="1"/>
  <c r="BR43" i="1" s="1"/>
  <c r="BS43" i="1" s="1"/>
  <c r="BG24" i="1"/>
  <c r="BH24" i="1"/>
  <c r="BI151" i="1"/>
  <c r="BI61" i="1"/>
  <c r="BI25" i="1"/>
  <c r="BT108" i="1"/>
  <c r="BI95" i="1"/>
  <c r="BT65" i="1"/>
  <c r="BU65" i="1" s="1"/>
  <c r="BS42" i="1"/>
  <c r="BU42" i="1" s="1"/>
  <c r="BX42" i="1" s="1"/>
  <c r="BG38" i="1"/>
  <c r="BP65" i="1"/>
  <c r="BI23" i="1"/>
  <c r="BX23" i="1" s="1"/>
  <c r="BD114" i="1"/>
  <c r="BI120" i="1"/>
  <c r="BH38" i="1"/>
  <c r="BD28" i="1"/>
  <c r="BF29" i="1" s="1"/>
  <c r="BH28" i="1"/>
  <c r="BG28" i="1"/>
  <c r="BS160" i="1"/>
  <c r="BH114" i="1"/>
  <c r="BI114" i="1" s="1"/>
  <c r="BP47" i="1"/>
  <c r="BR48" i="1" s="1"/>
  <c r="BS48" i="1" s="1"/>
  <c r="BI53" i="1"/>
  <c r="BS46" i="1"/>
  <c r="BU46" i="1" s="1"/>
  <c r="BP46" i="1"/>
  <c r="BG150" i="1"/>
  <c r="BI150" i="1" s="1"/>
  <c r="BT160" i="1"/>
  <c r="BI138" i="1"/>
  <c r="BU130" i="1"/>
  <c r="BT47" i="1"/>
  <c r="BU47" i="1" s="1"/>
  <c r="BG147" i="1"/>
  <c r="BP158" i="1"/>
  <c r="BR159" i="1" s="1"/>
  <c r="BT159" i="1" s="1"/>
  <c r="BI125" i="1"/>
  <c r="BH99" i="1"/>
  <c r="BP27" i="1"/>
  <c r="BT40" i="1"/>
  <c r="BU40" i="1" s="1"/>
  <c r="BG48" i="1"/>
  <c r="BI48" i="1" s="1"/>
  <c r="BD48" i="1"/>
  <c r="BD99" i="1"/>
  <c r="BG31" i="1"/>
  <c r="BH31" i="1"/>
  <c r="BP94" i="1"/>
  <c r="BU79" i="1"/>
  <c r="BG91" i="1"/>
  <c r="BI91" i="1" s="1"/>
  <c r="BT24" i="1"/>
  <c r="BS36" i="1"/>
  <c r="BU36" i="1" s="1"/>
  <c r="BH133" i="1"/>
  <c r="BD133" i="1"/>
  <c r="BG133" i="1"/>
  <c r="BI133" i="1" s="1"/>
  <c r="BU111" i="1"/>
  <c r="BX111" i="1" s="1"/>
  <c r="BI113" i="1"/>
  <c r="BD91" i="1"/>
  <c r="BU24" i="1"/>
  <c r="BU27" i="1"/>
  <c r="BI92" i="1"/>
  <c r="BS94" i="1"/>
  <c r="BU94" i="1" s="1"/>
  <c r="BU136" i="1"/>
  <c r="BI107" i="1"/>
  <c r="BX107" i="1" s="1"/>
  <c r="BU38" i="1"/>
  <c r="BI155" i="1"/>
  <c r="BU30" i="1"/>
  <c r="BS75" i="1"/>
  <c r="BP75" i="1"/>
  <c r="BR76" i="1" s="1"/>
  <c r="BT75" i="1"/>
  <c r="BD45" i="1"/>
  <c r="BF46" i="1" s="1"/>
  <c r="BH45" i="1"/>
  <c r="BG45" i="1"/>
  <c r="BT165" i="1"/>
  <c r="BP165" i="1"/>
  <c r="BR166" i="1" s="1"/>
  <c r="BS165" i="1"/>
  <c r="BS113" i="1"/>
  <c r="BP113" i="1"/>
  <c r="BR114" i="1" s="1"/>
  <c r="BT113" i="1"/>
  <c r="BD126" i="1"/>
  <c r="BG126" i="1"/>
  <c r="BH103" i="1"/>
  <c r="BD103" i="1"/>
  <c r="BG103" i="1"/>
  <c r="BI162" i="1"/>
  <c r="BX162" i="1" s="1"/>
  <c r="BG72" i="1"/>
  <c r="BH72" i="1"/>
  <c r="BD72" i="1"/>
  <c r="BG167" i="1"/>
  <c r="BH167" i="1"/>
  <c r="BD167" i="1"/>
  <c r="BG54" i="1"/>
  <c r="BH54" i="1"/>
  <c r="BD54" i="1"/>
  <c r="BF55" i="1" s="1"/>
  <c r="BU108" i="1"/>
  <c r="BI143" i="1"/>
  <c r="BU57" i="1"/>
  <c r="BX57" i="1" s="1"/>
  <c r="BS122" i="1"/>
  <c r="BT122" i="1"/>
  <c r="BP122" i="1"/>
  <c r="BR123" i="1" s="1"/>
  <c r="BP25" i="1"/>
  <c r="BT25" i="1"/>
  <c r="BS25" i="1"/>
  <c r="BH98" i="1"/>
  <c r="BG98" i="1"/>
  <c r="BD98" i="1"/>
  <c r="BI152" i="1"/>
  <c r="BI166" i="1"/>
  <c r="BS70" i="1"/>
  <c r="BT70" i="1"/>
  <c r="BP70" i="1"/>
  <c r="BR71" i="1" s="1"/>
  <c r="BU32" i="1"/>
  <c r="BS61" i="1"/>
  <c r="BT61" i="1"/>
  <c r="BP61" i="1"/>
  <c r="BR62" i="1" s="1"/>
  <c r="BS127" i="1"/>
  <c r="BU60" i="1"/>
  <c r="BJ22" i="1"/>
  <c r="BI41" i="1"/>
  <c r="BX41" i="1" s="1"/>
  <c r="BU112" i="1"/>
  <c r="BX112" i="1" s="1"/>
  <c r="BH100" i="1"/>
  <c r="BG100" i="1"/>
  <c r="BD100" i="1"/>
  <c r="BH145" i="1"/>
  <c r="BG145" i="1"/>
  <c r="BD145" i="1"/>
  <c r="BH156" i="1"/>
  <c r="BD156" i="1"/>
  <c r="BF157" i="1" s="1"/>
  <c r="BG156" i="1"/>
  <c r="BH140" i="1"/>
  <c r="BD140" i="1"/>
  <c r="BG140" i="1"/>
  <c r="BI140" i="1" s="1"/>
  <c r="BT67" i="1"/>
  <c r="BS67" i="1"/>
  <c r="BU67" i="1" s="1"/>
  <c r="BP67" i="1"/>
  <c r="BR68" i="1" s="1"/>
  <c r="BS56" i="1"/>
  <c r="BP56" i="1"/>
  <c r="BT56" i="1"/>
  <c r="BG75" i="1"/>
  <c r="BH75" i="1"/>
  <c r="BD75" i="1"/>
  <c r="BI108" i="1"/>
  <c r="BH117" i="1"/>
  <c r="BD117" i="1"/>
  <c r="BG117" i="1"/>
  <c r="BT146" i="1"/>
  <c r="BS146" i="1"/>
  <c r="BP146" i="1"/>
  <c r="BR147" i="1" s="1"/>
  <c r="BT95" i="1"/>
  <c r="BP95" i="1"/>
  <c r="BS95" i="1"/>
  <c r="BU95" i="1" s="1"/>
  <c r="BX95" i="1" s="1"/>
  <c r="BH119" i="1"/>
  <c r="BG119" i="1"/>
  <c r="BD119" i="1"/>
  <c r="BX109" i="1"/>
  <c r="BD43" i="1"/>
  <c r="BG43" i="1"/>
  <c r="BH43" i="1"/>
  <c r="BU74" i="1"/>
  <c r="BU91" i="1"/>
  <c r="BX91" i="1" s="1"/>
  <c r="BI39" i="1"/>
  <c r="BU129" i="1"/>
  <c r="BD129" i="1"/>
  <c r="BH129" i="1"/>
  <c r="BG129" i="1"/>
  <c r="BD50" i="1"/>
  <c r="BG50" i="1"/>
  <c r="BH50" i="1"/>
  <c r="BD88" i="1"/>
  <c r="BH88" i="1"/>
  <c r="BG88" i="1"/>
  <c r="BD76" i="1"/>
  <c r="BH76" i="1"/>
  <c r="BG76" i="1"/>
  <c r="BP52" i="1"/>
  <c r="BR53" i="1" s="1"/>
  <c r="BT52" i="1"/>
  <c r="BS52" i="1"/>
  <c r="BH84" i="1"/>
  <c r="BG84" i="1"/>
  <c r="BD84" i="1"/>
  <c r="BX131" i="1"/>
  <c r="BI144" i="1"/>
  <c r="BI128" i="1"/>
  <c r="BX134" i="1"/>
  <c r="BH74" i="1"/>
  <c r="BD74" i="1"/>
  <c r="BG74" i="1"/>
  <c r="BG118" i="1"/>
  <c r="BH118" i="1"/>
  <c r="BD118" i="1"/>
  <c r="BT141" i="1"/>
  <c r="BS141" i="1"/>
  <c r="BU141" i="1" s="1"/>
  <c r="BI32" i="1"/>
  <c r="BI104" i="1"/>
  <c r="BI64" i="1"/>
  <c r="BI106" i="1"/>
  <c r="BG83" i="1"/>
  <c r="BH83" i="1"/>
  <c r="BD83" i="1"/>
  <c r="BT135" i="1"/>
  <c r="BP135" i="1"/>
  <c r="BS135" i="1"/>
  <c r="BU135" i="1" s="1"/>
  <c r="BX135" i="1" s="1"/>
  <c r="BS58" i="1"/>
  <c r="BT58" i="1"/>
  <c r="BP58" i="1"/>
  <c r="BS118" i="1"/>
  <c r="BP118" i="1"/>
  <c r="BR119" i="1" s="1"/>
  <c r="BT118" i="1"/>
  <c r="BH26" i="1"/>
  <c r="BG26" i="1"/>
  <c r="BI26" i="1" s="1"/>
  <c r="BX26" i="1" s="1"/>
  <c r="BD26" i="1"/>
  <c r="BF27" i="1" s="1"/>
  <c r="BS92" i="1"/>
  <c r="BP92" i="1"/>
  <c r="BR93" i="1" s="1"/>
  <c r="BT92" i="1"/>
  <c r="BH96" i="1"/>
  <c r="BD96" i="1"/>
  <c r="BG96" i="1"/>
  <c r="BD62" i="1"/>
  <c r="BH62" i="1"/>
  <c r="BG62" i="1"/>
  <c r="BU154" i="1"/>
  <c r="BX154" i="1" s="1"/>
  <c r="BI127" i="1"/>
  <c r="BI153" i="1"/>
  <c r="BX153" i="1" s="1"/>
  <c r="BG148" i="1"/>
  <c r="BI148" i="1" s="1"/>
  <c r="BD148" i="1"/>
  <c r="BH148" i="1"/>
  <c r="BU163" i="1"/>
  <c r="BX163" i="1" s="1"/>
  <c r="BU98" i="1"/>
  <c r="BH121" i="1"/>
  <c r="BG121" i="1"/>
  <c r="BI121" i="1" s="1"/>
  <c r="BX121" i="1" s="1"/>
  <c r="BD121" i="1"/>
  <c r="BX110" i="1"/>
  <c r="BU45" i="1"/>
  <c r="BI51" i="1"/>
  <c r="BG146" i="1"/>
  <c r="BD146" i="1"/>
  <c r="BH146" i="1"/>
  <c r="BS99" i="1"/>
  <c r="BP99" i="1"/>
  <c r="BR100" i="1" s="1"/>
  <c r="BT99" i="1"/>
  <c r="BS106" i="1"/>
  <c r="BT106" i="1"/>
  <c r="BP106" i="1"/>
  <c r="BS85" i="1"/>
  <c r="BT85" i="1"/>
  <c r="BP85" i="1"/>
  <c r="BR86" i="1" s="1"/>
  <c r="BP159" i="1"/>
  <c r="BH37" i="1"/>
  <c r="BG37" i="1"/>
  <c r="BD37" i="1"/>
  <c r="BS97" i="1"/>
  <c r="BT97" i="1"/>
  <c r="BP97" i="1"/>
  <c r="BT151" i="1"/>
  <c r="BP151" i="1"/>
  <c r="BS151" i="1"/>
  <c r="BD122" i="1"/>
  <c r="BG122" i="1"/>
  <c r="BH122" i="1"/>
  <c r="BS83" i="1"/>
  <c r="BT83" i="1"/>
  <c r="BP83" i="1"/>
  <c r="BR84" i="1" s="1"/>
  <c r="BH89" i="1"/>
  <c r="BD89" i="1"/>
  <c r="BG89" i="1"/>
  <c r="BI89" i="1" s="1"/>
  <c r="BD40" i="1"/>
  <c r="BH40" i="1"/>
  <c r="BG40" i="1"/>
  <c r="BD70" i="1"/>
  <c r="BH70" i="1"/>
  <c r="BG70" i="1"/>
  <c r="BI70" i="1" s="1"/>
  <c r="BH93" i="1"/>
  <c r="BD93" i="1"/>
  <c r="BF94" i="1" s="1"/>
  <c r="BG93" i="1"/>
  <c r="BI93" i="1" s="1"/>
  <c r="BI139" i="1"/>
  <c r="BP81" i="1"/>
  <c r="BR82" i="1" s="1"/>
  <c r="BT81" i="1"/>
  <c r="BS81" i="1"/>
  <c r="BG79" i="1"/>
  <c r="BH79" i="1"/>
  <c r="BD79" i="1"/>
  <c r="BF80" i="1" s="1"/>
  <c r="BG58" i="1"/>
  <c r="BH58" i="1"/>
  <c r="BD58" i="1"/>
  <c r="BF59" i="1" s="1"/>
  <c r="BU152" i="1"/>
  <c r="BX137" i="1"/>
  <c r="BP59" i="1"/>
  <c r="BT59" i="1"/>
  <c r="BS59" i="1"/>
  <c r="BD63" i="1"/>
  <c r="BG63" i="1"/>
  <c r="BH63" i="1"/>
  <c r="BH78" i="1"/>
  <c r="BD78" i="1"/>
  <c r="BG78" i="1"/>
  <c r="BI78" i="1" s="1"/>
  <c r="BU80" i="1"/>
  <c r="BX136" i="1"/>
  <c r="BU128" i="1"/>
  <c r="BG65" i="1"/>
  <c r="BD65" i="1"/>
  <c r="BF66" i="1" s="1"/>
  <c r="BH65" i="1"/>
  <c r="BH67" i="1"/>
  <c r="BD67" i="1"/>
  <c r="BG67" i="1"/>
  <c r="BI67" i="1" s="1"/>
  <c r="BI132" i="1"/>
  <c r="BX132" i="1" s="1"/>
  <c r="BI149" i="1"/>
  <c r="BT28" i="1"/>
  <c r="BS28" i="1"/>
  <c r="BP28" i="1"/>
  <c r="BI99" i="1"/>
  <c r="BU34" i="1"/>
  <c r="BU31" i="1"/>
  <c r="BI34" i="1"/>
  <c r="BI72" i="1" l="1"/>
  <c r="BV22" i="1"/>
  <c r="BV23" i="1" s="1"/>
  <c r="BI103" i="1"/>
  <c r="BX35" i="1"/>
  <c r="BU39" i="1"/>
  <c r="BI37" i="1"/>
  <c r="BX37" i="1" s="1"/>
  <c r="BI38" i="1"/>
  <c r="BX38" i="1" s="1"/>
  <c r="BI96" i="1"/>
  <c r="BX96" i="1" s="1"/>
  <c r="BX39" i="1"/>
  <c r="BX155" i="1"/>
  <c r="BX133" i="1"/>
  <c r="BX140" i="1"/>
  <c r="BX141" i="1"/>
  <c r="BX34" i="1"/>
  <c r="BI117" i="1"/>
  <c r="BX117" i="1" s="1"/>
  <c r="BI74" i="1"/>
  <c r="BI126" i="1"/>
  <c r="BX126" i="1" s="1"/>
  <c r="BX139" i="1"/>
  <c r="BT43" i="1"/>
  <c r="BU43" i="1" s="1"/>
  <c r="BP43" i="1"/>
  <c r="BR44" i="1" s="1"/>
  <c r="BI54" i="1"/>
  <c r="BS159" i="1"/>
  <c r="BU159" i="1" s="1"/>
  <c r="BX159" i="1" s="1"/>
  <c r="BI156" i="1"/>
  <c r="BX156" i="1" s="1"/>
  <c r="BP127" i="1"/>
  <c r="BI147" i="1"/>
  <c r="BU25" i="1"/>
  <c r="BX25" i="1" s="1"/>
  <c r="BI28" i="1"/>
  <c r="BX78" i="1"/>
  <c r="BV24" i="1"/>
  <c r="BI58" i="1"/>
  <c r="BI62" i="1"/>
  <c r="BI84" i="1"/>
  <c r="BI129" i="1"/>
  <c r="BX129" i="1" s="1"/>
  <c r="BI145" i="1"/>
  <c r="BX145" i="1" s="1"/>
  <c r="BX105" i="1"/>
  <c r="BI88" i="1"/>
  <c r="BU146" i="1"/>
  <c r="BI45" i="1"/>
  <c r="BX45" i="1" s="1"/>
  <c r="BI24" i="1"/>
  <c r="BX24" i="1" s="1"/>
  <c r="BJ23" i="1"/>
  <c r="BJ24" i="1" s="1"/>
  <c r="BJ25" i="1" s="1"/>
  <c r="BJ26" i="1" s="1"/>
  <c r="BX108" i="1"/>
  <c r="BU75" i="1"/>
  <c r="BU58" i="1"/>
  <c r="BX58" i="1" s="1"/>
  <c r="BX36" i="1"/>
  <c r="BI43" i="1"/>
  <c r="BU59" i="1"/>
  <c r="BT48" i="1"/>
  <c r="BI75" i="1"/>
  <c r="BP48" i="1"/>
  <c r="BR49" i="1" s="1"/>
  <c r="BT49" i="1" s="1"/>
  <c r="BU160" i="1"/>
  <c r="BX160" i="1" s="1"/>
  <c r="BU85" i="1"/>
  <c r="BX85" i="1" s="1"/>
  <c r="BU106" i="1"/>
  <c r="BX106" i="1" s="1"/>
  <c r="BU83" i="1"/>
  <c r="BU61" i="1"/>
  <c r="BX61" i="1" s="1"/>
  <c r="BX67" i="1"/>
  <c r="BI65" i="1"/>
  <c r="BX65" i="1" s="1"/>
  <c r="BU56" i="1"/>
  <c r="BX56" i="1" s="1"/>
  <c r="BU165" i="1"/>
  <c r="BX165" i="1" s="1"/>
  <c r="BI146" i="1"/>
  <c r="BI31" i="1"/>
  <c r="BX31" i="1" s="1"/>
  <c r="BD29" i="1"/>
  <c r="BF30" i="1" s="1"/>
  <c r="BH29" i="1"/>
  <c r="BG29" i="1"/>
  <c r="BI29" i="1" s="1"/>
  <c r="BX29" i="1" s="1"/>
  <c r="BD80" i="1"/>
  <c r="BH80" i="1"/>
  <c r="BG80" i="1"/>
  <c r="BI80" i="1" s="1"/>
  <c r="BX80" i="1" s="1"/>
  <c r="BU118" i="1"/>
  <c r="BS68" i="1"/>
  <c r="BP68" i="1"/>
  <c r="BR69" i="1" s="1"/>
  <c r="BT68" i="1"/>
  <c r="BU127" i="1"/>
  <c r="BX127" i="1" s="1"/>
  <c r="BP147" i="1"/>
  <c r="BR148" i="1" s="1"/>
  <c r="BS147" i="1"/>
  <c r="BT147" i="1"/>
  <c r="BI122" i="1"/>
  <c r="BI79" i="1"/>
  <c r="BX79" i="1" s="1"/>
  <c r="BU99" i="1"/>
  <c r="BX99" i="1" s="1"/>
  <c r="BT44" i="1"/>
  <c r="BS44" i="1"/>
  <c r="BU44" i="1" s="1"/>
  <c r="BX44" i="1" s="1"/>
  <c r="BP44" i="1"/>
  <c r="BT62" i="1"/>
  <c r="BS62" i="1"/>
  <c r="BP62" i="1"/>
  <c r="BR63" i="1" s="1"/>
  <c r="BH46" i="1"/>
  <c r="BG46" i="1"/>
  <c r="BD46" i="1"/>
  <c r="BF47" i="1" s="1"/>
  <c r="BX32" i="1"/>
  <c r="BT142" i="1"/>
  <c r="BP142" i="1"/>
  <c r="BR143" i="1" s="1"/>
  <c r="BS142" i="1"/>
  <c r="BU142" i="1" s="1"/>
  <c r="BX142" i="1" s="1"/>
  <c r="BI63" i="1"/>
  <c r="BU81" i="1"/>
  <c r="BX81" i="1" s="1"/>
  <c r="BI40" i="1"/>
  <c r="BX40" i="1" s="1"/>
  <c r="BU151" i="1"/>
  <c r="BX151" i="1" s="1"/>
  <c r="BI50" i="1"/>
  <c r="BG55" i="1"/>
  <c r="BH55" i="1"/>
  <c r="BD55" i="1"/>
  <c r="BP119" i="1"/>
  <c r="BR120" i="1" s="1"/>
  <c r="BS119" i="1"/>
  <c r="BT119" i="1"/>
  <c r="BT100" i="1"/>
  <c r="BP100" i="1"/>
  <c r="BR101" i="1" s="1"/>
  <c r="BS100" i="1"/>
  <c r="BU100" i="1" s="1"/>
  <c r="BH66" i="1"/>
  <c r="BG66" i="1"/>
  <c r="BI66" i="1" s="1"/>
  <c r="BX66" i="1" s="1"/>
  <c r="BD66" i="1"/>
  <c r="BU52" i="1"/>
  <c r="BX52" i="1" s="1"/>
  <c r="BI100" i="1"/>
  <c r="BS76" i="1"/>
  <c r="BP76" i="1"/>
  <c r="BR77" i="1" s="1"/>
  <c r="BT76" i="1"/>
  <c r="BT86" i="1"/>
  <c r="BP86" i="1"/>
  <c r="BR87" i="1" s="1"/>
  <c r="BS86" i="1"/>
  <c r="BU86" i="1" s="1"/>
  <c r="BX86" i="1" s="1"/>
  <c r="BI118" i="1"/>
  <c r="BT53" i="1"/>
  <c r="BS53" i="1"/>
  <c r="BU53" i="1" s="1"/>
  <c r="BX53" i="1" s="1"/>
  <c r="BP53" i="1"/>
  <c r="BR54" i="1" s="1"/>
  <c r="BT71" i="1"/>
  <c r="BP71" i="1"/>
  <c r="BR72" i="1" s="1"/>
  <c r="BS71" i="1"/>
  <c r="BU71" i="1" s="1"/>
  <c r="BX71" i="1" s="1"/>
  <c r="BS93" i="1"/>
  <c r="BP93" i="1"/>
  <c r="BT93" i="1"/>
  <c r="BX74" i="1"/>
  <c r="BU92" i="1"/>
  <c r="BX92" i="1" s="1"/>
  <c r="BI119" i="1"/>
  <c r="BG157" i="1"/>
  <c r="BD157" i="1"/>
  <c r="BF158" i="1" s="1"/>
  <c r="BH157" i="1"/>
  <c r="BY22" i="1"/>
  <c r="BY23" i="1" s="1"/>
  <c r="BU70" i="1"/>
  <c r="BX70" i="1" s="1"/>
  <c r="BT123" i="1"/>
  <c r="BS123" i="1"/>
  <c r="BP123" i="1"/>
  <c r="BR124" i="1" s="1"/>
  <c r="BI167" i="1"/>
  <c r="BX167" i="1" s="1"/>
  <c r="BT114" i="1"/>
  <c r="BS114" i="1"/>
  <c r="BP114" i="1"/>
  <c r="BR115" i="1" s="1"/>
  <c r="BU113" i="1"/>
  <c r="BX113" i="1" s="1"/>
  <c r="BU28" i="1"/>
  <c r="BD94" i="1"/>
  <c r="BH94" i="1"/>
  <c r="BG94" i="1"/>
  <c r="BI94" i="1" s="1"/>
  <c r="BX94" i="1" s="1"/>
  <c r="BU97" i="1"/>
  <c r="BX97" i="1" s="1"/>
  <c r="BH27" i="1"/>
  <c r="BD27" i="1"/>
  <c r="BG27" i="1"/>
  <c r="BI83" i="1"/>
  <c r="BI76" i="1"/>
  <c r="BX152" i="1"/>
  <c r="BU122" i="1"/>
  <c r="BS82" i="1"/>
  <c r="BP82" i="1"/>
  <c r="BT82" i="1"/>
  <c r="BT84" i="1"/>
  <c r="BS84" i="1"/>
  <c r="BP84" i="1"/>
  <c r="BU48" i="1"/>
  <c r="BX48" i="1" s="1"/>
  <c r="BG59" i="1"/>
  <c r="BH59" i="1"/>
  <c r="BD59" i="1"/>
  <c r="BF60" i="1" s="1"/>
  <c r="BX128" i="1"/>
  <c r="BP166" i="1"/>
  <c r="BS166" i="1"/>
  <c r="BT166" i="1"/>
  <c r="BI98" i="1"/>
  <c r="BX98" i="1" s="1"/>
  <c r="BU84" i="1" l="1"/>
  <c r="BP49" i="1"/>
  <c r="BR50" i="1" s="1"/>
  <c r="BX43" i="1"/>
  <c r="BU114" i="1"/>
  <c r="BX114" i="1" s="1"/>
  <c r="BV25" i="1"/>
  <c r="BV26" i="1" s="1"/>
  <c r="BV27" i="1" s="1"/>
  <c r="BU62" i="1"/>
  <c r="BX75" i="1"/>
  <c r="BX62" i="1"/>
  <c r="BX84" i="1"/>
  <c r="BX28" i="1"/>
  <c r="BS49" i="1"/>
  <c r="BU49" i="1" s="1"/>
  <c r="BX49" i="1" s="1"/>
  <c r="BX146" i="1"/>
  <c r="BI46" i="1"/>
  <c r="BX46" i="1" s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I55" i="1"/>
  <c r="BX55" i="1" s="1"/>
  <c r="BX118" i="1"/>
  <c r="BD30" i="1"/>
  <c r="BH30" i="1"/>
  <c r="BG30" i="1"/>
  <c r="BI30" i="1" s="1"/>
  <c r="BX30" i="1" s="1"/>
  <c r="BX83" i="1"/>
  <c r="BI27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U123" i="1"/>
  <c r="BX123" i="1" s="1"/>
  <c r="BU147" i="1"/>
  <c r="BX147" i="1" s="1"/>
  <c r="BI59" i="1"/>
  <c r="BX59" i="1" s="1"/>
  <c r="BX27" i="1"/>
  <c r="BS143" i="1"/>
  <c r="BT143" i="1"/>
  <c r="BP143" i="1"/>
  <c r="BR144" i="1" s="1"/>
  <c r="BU93" i="1"/>
  <c r="BX93" i="1" s="1"/>
  <c r="BU119" i="1"/>
  <c r="BX119" i="1" s="1"/>
  <c r="BS63" i="1"/>
  <c r="BP63" i="1"/>
  <c r="BR64" i="1" s="1"/>
  <c r="BT63" i="1"/>
  <c r="BT69" i="1"/>
  <c r="BP69" i="1"/>
  <c r="BS69" i="1"/>
  <c r="BU69" i="1" s="1"/>
  <c r="BX69" i="1" s="1"/>
  <c r="BV28" i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P50" i="1"/>
  <c r="BR51" i="1" s="1"/>
  <c r="BT50" i="1"/>
  <c r="BS50" i="1"/>
  <c r="BT148" i="1"/>
  <c r="BS148" i="1"/>
  <c r="BP148" i="1"/>
  <c r="BR149" i="1" s="1"/>
  <c r="BP124" i="1"/>
  <c r="BR125" i="1" s="1"/>
  <c r="BT124" i="1"/>
  <c r="BS124" i="1"/>
  <c r="BU124" i="1" s="1"/>
  <c r="BX124" i="1" s="1"/>
  <c r="BU166" i="1"/>
  <c r="BX166" i="1" s="1"/>
  <c r="BS101" i="1"/>
  <c r="BT101" i="1"/>
  <c r="BP101" i="1"/>
  <c r="BR102" i="1" s="1"/>
  <c r="BS87" i="1"/>
  <c r="BP87" i="1"/>
  <c r="BR88" i="1" s="1"/>
  <c r="BT87" i="1"/>
  <c r="BU68" i="1"/>
  <c r="BX68" i="1" s="1"/>
  <c r="BS77" i="1"/>
  <c r="BP77" i="1"/>
  <c r="BT77" i="1"/>
  <c r="BS120" i="1"/>
  <c r="BT120" i="1"/>
  <c r="BP120" i="1"/>
  <c r="BU82" i="1"/>
  <c r="BX82" i="1" s="1"/>
  <c r="BG158" i="1"/>
  <c r="BD158" i="1"/>
  <c r="BH158" i="1"/>
  <c r="BS72" i="1"/>
  <c r="BP72" i="1"/>
  <c r="BR73" i="1" s="1"/>
  <c r="BT72" i="1"/>
  <c r="BU76" i="1"/>
  <c r="BX76" i="1" s="1"/>
  <c r="BI157" i="1"/>
  <c r="BX157" i="1" s="1"/>
  <c r="BX100" i="1"/>
  <c r="BX122" i="1"/>
  <c r="BH60" i="1"/>
  <c r="BD60" i="1"/>
  <c r="BG60" i="1"/>
  <c r="BI60" i="1" s="1"/>
  <c r="BX60" i="1" s="1"/>
  <c r="BS115" i="1"/>
  <c r="BT115" i="1"/>
  <c r="BP115" i="1"/>
  <c r="BR116" i="1" s="1"/>
  <c r="BT54" i="1"/>
  <c r="BP54" i="1"/>
  <c r="BS54" i="1"/>
  <c r="BU54" i="1" s="1"/>
  <c r="BX54" i="1" s="1"/>
  <c r="BH47" i="1"/>
  <c r="BG47" i="1"/>
  <c r="BD47" i="1"/>
  <c r="BV49" i="1" l="1"/>
  <c r="BJ46" i="1"/>
  <c r="BU148" i="1"/>
  <c r="BX148" i="1" s="1"/>
  <c r="BU143" i="1"/>
  <c r="BX143" i="1" s="1"/>
  <c r="BU63" i="1"/>
  <c r="BX63" i="1" s="1"/>
  <c r="BI47" i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S125" i="1"/>
  <c r="BT125" i="1"/>
  <c r="BP125" i="1"/>
  <c r="BT149" i="1"/>
  <c r="BP149" i="1"/>
  <c r="BR150" i="1" s="1"/>
  <c r="BS149" i="1"/>
  <c r="BU149" i="1" s="1"/>
  <c r="BX149" i="1" s="1"/>
  <c r="BU77" i="1"/>
  <c r="BX77" i="1" s="1"/>
  <c r="BT144" i="1"/>
  <c r="BP144" i="1"/>
  <c r="BS144" i="1"/>
  <c r="BT73" i="1"/>
  <c r="BS73" i="1"/>
  <c r="BP73" i="1"/>
  <c r="BS88" i="1"/>
  <c r="BP88" i="1"/>
  <c r="BR89" i="1" s="1"/>
  <c r="BT88" i="1"/>
  <c r="BU50" i="1"/>
  <c r="BV50" i="1" s="1"/>
  <c r="BU72" i="1"/>
  <c r="BX72" i="1" s="1"/>
  <c r="BU87" i="1"/>
  <c r="BX87" i="1" s="1"/>
  <c r="BS51" i="1"/>
  <c r="BT51" i="1"/>
  <c r="BP51" i="1"/>
  <c r="BT116" i="1"/>
  <c r="BP116" i="1"/>
  <c r="BS116" i="1"/>
  <c r="BT102" i="1"/>
  <c r="BP102" i="1"/>
  <c r="BR103" i="1" s="1"/>
  <c r="BS102" i="1"/>
  <c r="BU102" i="1" s="1"/>
  <c r="BX102" i="1" s="1"/>
  <c r="BI158" i="1"/>
  <c r="BX158" i="1" s="1"/>
  <c r="BU115" i="1"/>
  <c r="BX115" i="1" s="1"/>
  <c r="BU101" i="1"/>
  <c r="BX101" i="1" s="1"/>
  <c r="BU120" i="1"/>
  <c r="BX120" i="1" s="1"/>
  <c r="BT64" i="1"/>
  <c r="BS64" i="1"/>
  <c r="BP64" i="1"/>
  <c r="BU144" i="1" l="1"/>
  <c r="BX144" i="1" s="1"/>
  <c r="BJ9" i="1"/>
  <c r="BX47" i="1"/>
  <c r="BY47" i="1" s="1"/>
  <c r="BY48" i="1" s="1"/>
  <c r="BY49" i="1" s="1"/>
  <c r="BJ10" i="1"/>
  <c r="BU73" i="1"/>
  <c r="BX73" i="1" s="1"/>
  <c r="BU64" i="1"/>
  <c r="BX64" i="1" s="1"/>
  <c r="BU51" i="1"/>
  <c r="BX51" i="1" s="1"/>
  <c r="BS150" i="1"/>
  <c r="BT150" i="1"/>
  <c r="BP150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X50" i="1"/>
  <c r="BS103" i="1"/>
  <c r="BT103" i="1"/>
  <c r="BP103" i="1"/>
  <c r="BR104" i="1" s="1"/>
  <c r="BT89" i="1"/>
  <c r="BS89" i="1"/>
  <c r="BP89" i="1"/>
  <c r="BR90" i="1" s="1"/>
  <c r="BU125" i="1"/>
  <c r="BX125" i="1" s="1"/>
  <c r="BU116" i="1"/>
  <c r="BX116" i="1" s="1"/>
  <c r="BU88" i="1"/>
  <c r="BX88" i="1" s="1"/>
  <c r="BJ158" i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1" i="1" l="1"/>
  <c r="BS104" i="1"/>
  <c r="BT104" i="1"/>
  <c r="BP104" i="1"/>
  <c r="BU103" i="1"/>
  <c r="BX103" i="1" s="1"/>
  <c r="BU150" i="1"/>
  <c r="BS90" i="1"/>
  <c r="BP90" i="1"/>
  <c r="BT90" i="1"/>
  <c r="BU89" i="1"/>
  <c r="BY50" i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X89" i="1" l="1"/>
  <c r="BU90" i="1"/>
  <c r="BX90" i="1" s="1"/>
  <c r="BX150" i="1"/>
  <c r="BV89" i="1"/>
  <c r="BU104" i="1"/>
  <c r="BX104" i="1" s="1"/>
  <c r="BV90" i="1" l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0" i="1"/>
  <c r="BV9" i="1"/>
  <c r="BV11" i="1" s="1"/>
  <c r="BY9" i="1"/>
  <c r="BY10" i="1"/>
  <c r="BY89" i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<sst xmlns="http://schemas.openxmlformats.org/spreadsheetml/2006/main" count="53" uniqueCount="42">
  <si>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</si>
  <si>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</si>
  <si>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</si>
  <si>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</si>
  <si>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</si>
  <si>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</si>
  <si>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</si>
  <si>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</si>
  <si>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</si>
  <si>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</si>
  <si>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</si>
  <si>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FHLC</t>
  </si>
  <si>
    <t>VHT</t>
  </si>
  <si>
    <t>FHLC log rtn</t>
  </si>
  <si>
    <t>VHT log rtn</t>
  </si>
  <si>
    <t>FHLC div</t>
  </si>
  <si>
    <t>FHLC div cumsum</t>
  </si>
  <si>
    <t>VHT div</t>
  </si>
  <si>
    <t>VHT div cumsum</t>
  </si>
  <si>
    <t>FHLC div adjustment</t>
  </si>
  <si>
    <t>VHT div adjustment</t>
  </si>
  <si>
    <t>FHLC*</t>
  </si>
  <si>
    <t>VHT*</t>
  </si>
  <si>
    <t>VHT/FHLC</t>
  </si>
  <si>
    <t>VHT/FHLC avg</t>
  </si>
  <si>
    <t>VHT/FHLC 10 dma</t>
  </si>
  <si>
    <t>VHT/FHLC 20 dma</t>
  </si>
  <si>
    <t>FHLC x avg</t>
  </si>
  <si>
    <t>FHLC x 10 dma</t>
  </si>
  <si>
    <t>FHLC x 20 dma</t>
  </si>
  <si>
    <t>log diff FHLC x avg / VHT</t>
  </si>
  <si>
    <t>log diff FHLC x 10 dma / VHT</t>
  </si>
  <si>
    <t>log diff FHLC x 20 dma / VHT</t>
  </si>
  <si>
    <t>VHT*/FHLC*</t>
  </si>
  <si>
    <t>VHT*/FHLC* avg</t>
  </si>
  <si>
    <t>VHT*/FHLC* 10 dma</t>
  </si>
  <si>
    <t>VHT*/FHLC* 20 dma</t>
  </si>
  <si>
    <t>FHLC* x avg</t>
  </si>
  <si>
    <t>FHLC* x 10 dma</t>
  </si>
  <si>
    <t>FHLC* x 20 dma</t>
  </si>
  <si>
    <t>log diff FHLC* x avg / VHT*</t>
  </si>
  <si>
    <t>log diff FHLC* x 10 dma / VHT*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</si>
</sst>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VHT/FHLC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3.8715231538253501</c:v>
                </c:pt>
                <c:pt idx="1">
                  <c:v>3.8715231538253501</c:v>
                </c:pt>
                <c:pt idx="2">
                  <c:v>3.8715231538253501</c:v>
                </c:pt>
                <c:pt idx="3">
                  <c:v>3.8715231538253501</c:v>
                </c:pt>
                <c:pt idx="4">
                  <c:v>3.8715231538253501</c:v>
                </c:pt>
                <c:pt idx="5">
                  <c:v>3.8715231538253501</c:v>
                </c:pt>
                <c:pt idx="6">
                  <c:v>3.8715231538253501</c:v>
                </c:pt>
                <c:pt idx="7">
                  <c:v>3.8715231538253501</c:v>
                </c:pt>
                <c:pt idx="8">
                  <c:v>3.8715231538253501</c:v>
                </c:pt>
                <c:pt idx="9">
                  <c:v>3.8715231538253501</c:v>
                </c:pt>
                <c:pt idx="10">
                  <c:v>3.8715231538253501</c:v>
                </c:pt>
                <c:pt idx="11">
                  <c:v>3.8715231538253501</c:v>
                </c:pt>
                <c:pt idx="12">
                  <c:v>3.8715231538253501</c:v>
                </c:pt>
                <c:pt idx="13">
                  <c:v>3.8715231538253501</c:v>
                </c:pt>
                <c:pt idx="14">
                  <c:v>3.8715231538253501</c:v>
                </c:pt>
                <c:pt idx="15">
                  <c:v>3.8715231538253501</c:v>
                </c:pt>
                <c:pt idx="16">
                  <c:v>3.8715231538253501</c:v>
                </c:pt>
                <c:pt idx="17">
                  <c:v>3.8715231538253501</c:v>
                </c:pt>
                <c:pt idx="18">
                  <c:v>3.8715231538253501</c:v>
                </c:pt>
                <c:pt idx="19">
                  <c:v>3.8715231538253501</c:v>
                </c:pt>
                <c:pt idx="20">
                  <c:v>3.8715231538253501</c:v>
                </c:pt>
                <c:pt idx="21">
                  <c:v>3.8715231538253501</c:v>
                </c:pt>
                <c:pt idx="22">
                  <c:v>3.8715231538253501</c:v>
                </c:pt>
                <c:pt idx="23">
                  <c:v>3.8715231538253501</c:v>
                </c:pt>
                <c:pt idx="24">
                  <c:v>3.8715231538253501</c:v>
                </c:pt>
                <c:pt idx="25">
                  <c:v>3.8715231538253501</c:v>
                </c:pt>
                <c:pt idx="26">
                  <c:v>3.8715231538253501</c:v>
                </c:pt>
                <c:pt idx="27">
                  <c:v>3.8715231538253501</c:v>
                </c:pt>
                <c:pt idx="28">
                  <c:v>3.8715231538253501</c:v>
                </c:pt>
                <c:pt idx="29">
                  <c:v>3.8715231538253501</c:v>
                </c:pt>
                <c:pt idx="30">
                  <c:v>3.8715231538253501</c:v>
                </c:pt>
                <c:pt idx="31">
                  <c:v>3.8715231538253501</c:v>
                </c:pt>
                <c:pt idx="32">
                  <c:v>3.8715231538253501</c:v>
                </c:pt>
                <c:pt idx="33">
                  <c:v>3.8715231538253501</c:v>
                </c:pt>
                <c:pt idx="34">
                  <c:v>3.8715231538253501</c:v>
                </c:pt>
                <c:pt idx="35">
                  <c:v>3.8715231538253501</c:v>
                </c:pt>
                <c:pt idx="36">
                  <c:v>3.8715231538253501</c:v>
                </c:pt>
                <c:pt idx="37">
                  <c:v>3.8715231538253501</c:v>
                </c:pt>
                <c:pt idx="38">
                  <c:v>3.8715231538253501</c:v>
                </c:pt>
                <c:pt idx="39">
                  <c:v>3.8715231538253501</c:v>
                </c:pt>
                <c:pt idx="40">
                  <c:v>3.8715231538253501</c:v>
                </c:pt>
                <c:pt idx="41">
                  <c:v>3.8715231538253501</c:v>
                </c:pt>
                <c:pt idx="42">
                  <c:v>3.8715231538253501</c:v>
                </c:pt>
                <c:pt idx="43">
                  <c:v>3.8715231538253501</c:v>
                </c:pt>
                <c:pt idx="44">
                  <c:v>3.8715231538253501</c:v>
                </c:pt>
                <c:pt idx="45">
                  <c:v>3.8715231538253501</c:v>
                </c:pt>
                <c:pt idx="46">
                  <c:v>3.8715231538253501</c:v>
                </c:pt>
                <c:pt idx="47">
                  <c:v>3.8715231538253501</c:v>
                </c:pt>
                <c:pt idx="48">
                  <c:v>3.8715231538253501</c:v>
                </c:pt>
                <c:pt idx="49">
                  <c:v>3.8715231538253501</c:v>
                </c:pt>
                <c:pt idx="50">
                  <c:v>3.8715231538253501</c:v>
                </c:pt>
                <c:pt idx="51">
                  <c:v>3.8715231538253501</c:v>
                </c:pt>
                <c:pt idx="52">
                  <c:v>3.8715231538253501</c:v>
                </c:pt>
                <c:pt idx="53">
                  <c:v>3.8715231538253501</c:v>
                </c:pt>
                <c:pt idx="54">
                  <c:v>3.8715231538253501</c:v>
                </c:pt>
                <c:pt idx="55">
                  <c:v>3.8715231538253501</c:v>
                </c:pt>
                <c:pt idx="56">
                  <c:v>3.8715231538253501</c:v>
                </c:pt>
                <c:pt idx="57">
                  <c:v>3.8715231538253501</c:v>
                </c:pt>
                <c:pt idx="58">
                  <c:v>3.8715231538253501</c:v>
                </c:pt>
                <c:pt idx="59">
                  <c:v>3.8715231538253501</c:v>
                </c:pt>
                <c:pt idx="60">
                  <c:v>3.8715231538253501</c:v>
                </c:pt>
                <c:pt idx="61">
                  <c:v>3.8715231538253501</c:v>
                </c:pt>
                <c:pt idx="62">
                  <c:v>3.8715231538253501</c:v>
                </c:pt>
                <c:pt idx="63">
                  <c:v>3.8715231538253501</c:v>
                </c:pt>
                <c:pt idx="64">
                  <c:v>3.8715231538253501</c:v>
                </c:pt>
                <c:pt idx="65">
                  <c:v>3.8715231538253501</c:v>
                </c:pt>
                <c:pt idx="66">
                  <c:v>3.8715231538253501</c:v>
                </c:pt>
                <c:pt idx="67">
                  <c:v>3.8715231538253501</c:v>
                </c:pt>
                <c:pt idx="68">
                  <c:v>3.8715231538253501</c:v>
                </c:pt>
                <c:pt idx="69">
                  <c:v>3.8715231538253501</c:v>
                </c:pt>
                <c:pt idx="70">
                  <c:v>3.8715231538253501</c:v>
                </c:pt>
                <c:pt idx="71">
                  <c:v>3.8715231538253501</c:v>
                </c:pt>
                <c:pt idx="72">
                  <c:v>3.8715231538253501</c:v>
                </c:pt>
                <c:pt idx="73">
                  <c:v>3.8715231538253501</c:v>
                </c:pt>
                <c:pt idx="74">
                  <c:v>3.8715231538253501</c:v>
                </c:pt>
                <c:pt idx="75">
                  <c:v>3.8715231538253501</c:v>
                </c:pt>
                <c:pt idx="76">
                  <c:v>3.8715231538253501</c:v>
                </c:pt>
                <c:pt idx="77">
                  <c:v>3.8715231538253501</c:v>
                </c:pt>
                <c:pt idx="78">
                  <c:v>3.8715231538253501</c:v>
                </c:pt>
                <c:pt idx="79">
                  <c:v>3.8715231538253501</c:v>
                </c:pt>
                <c:pt idx="80">
                  <c:v>3.8715231538253501</c:v>
                </c:pt>
                <c:pt idx="81">
                  <c:v>3.8715231538253501</c:v>
                </c:pt>
                <c:pt idx="82">
                  <c:v>3.8715231538253501</c:v>
                </c:pt>
                <c:pt idx="83">
                  <c:v>3.8715231538253501</c:v>
                </c:pt>
                <c:pt idx="84">
                  <c:v>3.8715231538253501</c:v>
                </c:pt>
                <c:pt idx="85">
                  <c:v>3.8715231538253501</c:v>
                </c:pt>
                <c:pt idx="86">
                  <c:v>3.8715231538253501</c:v>
                </c:pt>
                <c:pt idx="87">
                  <c:v>3.8715231538253501</c:v>
                </c:pt>
                <c:pt idx="88">
                  <c:v>3.8715231538253501</c:v>
                </c:pt>
                <c:pt idx="89">
                  <c:v>3.8715231538253501</c:v>
                </c:pt>
                <c:pt idx="90">
                  <c:v>3.8715231538253501</c:v>
                </c:pt>
                <c:pt idx="91">
                  <c:v>3.8715231538253501</c:v>
                </c:pt>
                <c:pt idx="92">
                  <c:v>3.8715231538253501</c:v>
                </c:pt>
                <c:pt idx="93">
                  <c:v>3.8715231538253501</c:v>
                </c:pt>
                <c:pt idx="94">
                  <c:v>3.8715231538253501</c:v>
                </c:pt>
                <c:pt idx="95">
                  <c:v>3.8715231538253501</c:v>
                </c:pt>
                <c:pt idx="96">
                  <c:v>3.8715231538253501</c:v>
                </c:pt>
                <c:pt idx="97">
                  <c:v>3.8715231538253501</c:v>
                </c:pt>
                <c:pt idx="98">
                  <c:v>3.8715231538253501</c:v>
                </c:pt>
                <c:pt idx="99">
                  <c:v>3.8715231538253501</c:v>
                </c:pt>
                <c:pt idx="100">
                  <c:v>3.8715231538253501</c:v>
                </c:pt>
                <c:pt idx="101">
                  <c:v>3.8715231538253501</c:v>
                </c:pt>
                <c:pt idx="102">
                  <c:v>3.8715231538253501</c:v>
                </c:pt>
                <c:pt idx="103">
                  <c:v>3.8715231538253501</c:v>
                </c:pt>
                <c:pt idx="104">
                  <c:v>3.8715231538253501</c:v>
                </c:pt>
                <c:pt idx="105">
                  <c:v>3.8715231538253501</c:v>
                </c:pt>
                <c:pt idx="106">
                  <c:v>3.8715231538253501</c:v>
                </c:pt>
                <c:pt idx="107">
                  <c:v>3.8715231538253501</c:v>
                </c:pt>
                <c:pt idx="108">
                  <c:v>3.8715231538253501</c:v>
                </c:pt>
                <c:pt idx="109">
                  <c:v>3.8715231538253501</c:v>
                </c:pt>
                <c:pt idx="110">
                  <c:v>3.8715231538253501</c:v>
                </c:pt>
                <c:pt idx="111">
                  <c:v>3.8715231538253501</c:v>
                </c:pt>
                <c:pt idx="112">
                  <c:v>3.8715231538253501</c:v>
                </c:pt>
                <c:pt idx="113">
                  <c:v>3.8715231538253501</c:v>
                </c:pt>
                <c:pt idx="114">
                  <c:v>3.8715231538253501</c:v>
                </c:pt>
                <c:pt idx="115">
                  <c:v>3.8715231538253501</c:v>
                </c:pt>
                <c:pt idx="116">
                  <c:v>3.8715231538253501</c:v>
                </c:pt>
                <c:pt idx="117">
                  <c:v>3.8715231538253501</c:v>
                </c:pt>
                <c:pt idx="118">
                  <c:v>3.8715231538253501</c:v>
                </c:pt>
                <c:pt idx="119">
                  <c:v>3.8715231538253501</c:v>
                </c:pt>
                <c:pt idx="120">
                  <c:v>3.8715231538253501</c:v>
                </c:pt>
                <c:pt idx="121">
                  <c:v>3.8715231538253501</c:v>
                </c:pt>
                <c:pt idx="122">
                  <c:v>3.8715231538253501</c:v>
                </c:pt>
                <c:pt idx="123">
                  <c:v>3.8715231538253501</c:v>
                </c:pt>
                <c:pt idx="124">
                  <c:v>3.8715231538253501</c:v>
                </c:pt>
                <c:pt idx="125">
                  <c:v>3.8715231538253501</c:v>
                </c:pt>
                <c:pt idx="126">
                  <c:v>3.8715231538253501</c:v>
                </c:pt>
                <c:pt idx="127">
                  <c:v>3.8715231538253501</c:v>
                </c:pt>
                <c:pt idx="128">
                  <c:v>3.8715231538253501</c:v>
                </c:pt>
                <c:pt idx="129">
                  <c:v>3.8715231538253501</c:v>
                </c:pt>
                <c:pt idx="130">
                  <c:v>3.8715231538253501</c:v>
                </c:pt>
                <c:pt idx="131">
                  <c:v>3.8715231538253501</c:v>
                </c:pt>
                <c:pt idx="132">
                  <c:v>3.8715231538253501</c:v>
                </c:pt>
                <c:pt idx="133">
                  <c:v>3.8715231538253501</c:v>
                </c:pt>
                <c:pt idx="134">
                  <c:v>3.8715231538253501</c:v>
                </c:pt>
                <c:pt idx="135">
                  <c:v>3.8715231538253501</c:v>
                </c:pt>
                <c:pt idx="136">
                  <c:v>3.8715231538253501</c:v>
                </c:pt>
                <c:pt idx="137">
                  <c:v>3.8715231538253501</c:v>
                </c:pt>
                <c:pt idx="138">
                  <c:v>3.8715231538253501</c:v>
                </c:pt>
                <c:pt idx="139">
                  <c:v>3.8715231538253501</c:v>
                </c:pt>
                <c:pt idx="140">
                  <c:v>3.8715231538253501</c:v>
                </c:pt>
                <c:pt idx="141">
                  <c:v>3.8715231538253501</c:v>
                </c:pt>
                <c:pt idx="142">
                  <c:v>3.8715231538253501</c:v>
                </c:pt>
                <c:pt idx="143">
                  <c:v>3.8715231538253501</c:v>
                </c:pt>
                <c:pt idx="144">
                  <c:v>3.8715231538253501</c:v>
                </c:pt>
                <c:pt idx="145">
                  <c:v>3.8715231538253501</c:v>
                </c:pt>
                <c:pt idx="146">
                  <c:v>3.8715231538253501</c:v>
                </c:pt>
                <c:pt idx="147">
                  <c:v>3.8715231538253501</c:v>
                </c:pt>
                <c:pt idx="148">
                  <c:v>3.8715231538253501</c:v>
                </c:pt>
                <c:pt idx="149">
                  <c:v>3.8715231538253501</c:v>
                </c:pt>
                <c:pt idx="150">
                  <c:v>3.8715231538253501</c:v>
                </c:pt>
                <c:pt idx="151">
                  <c:v>3.8715231538253501</c:v>
                </c:pt>
                <c:pt idx="152">
                  <c:v>3.8715231538253501</c:v>
                </c:pt>
                <c:pt idx="153">
                  <c:v>3.8715231538253501</c:v>
                </c:pt>
                <c:pt idx="154">
                  <c:v>3.8715231538253501</c:v>
                </c:pt>
                <c:pt idx="155">
                  <c:v>3.8715231538253501</c:v>
                </c:pt>
                <c:pt idx="156">
                  <c:v>3.8715231538253501</c:v>
                </c:pt>
                <c:pt idx="157">
                  <c:v>3.8715231538253501</c:v>
                </c:pt>
                <c:pt idx="158">
                  <c:v>3.8715231538253501</c:v>
                </c:pt>
                <c:pt idx="159">
                  <c:v>3.8715231538253501</c:v>
                </c:pt>
                <c:pt idx="160">
                  <c:v>3.8715231538253501</c:v>
                </c:pt>
                <c:pt idx="161">
                  <c:v>3.8715231538253501</c:v>
                </c:pt>
                <c:pt idx="162">
                  <c:v>3.8715231538253501</c:v>
                </c:pt>
                <c:pt idx="163">
                  <c:v>3.8715231538253501</c:v>
                </c:pt>
                <c:pt idx="164">
                  <c:v>3.8715231538253501</c:v>
                </c:pt>
                <c:pt idx="165">
                  <c:v>3.8715231538253501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VHT/FHLC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VHT/FHLC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FHLC* x avg / VHT*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-5.83636418646252E-4</c:v>
                </c:pt>
                <c:pt idx="2">
                  <c:v>1.6917135986211699E-4</c:v>
                </c:pt>
                <c:pt idx="3">
                  <c:v>-6.8213106271575999E-4</c:v>
                </c:pt>
                <c:pt idx="4">
                  <c:v>-2.01307964524887E-4</c:v>
                </c:pt>
                <c:pt idx="5">
                  <c:v>-8.5131642811207202E-4</c:v>
                </c:pt>
                <c:pt idx="6">
                  <c:v>-8.0868294183489102E-4</c:v>
                </c:pt>
                <c:pt idx="7">
                  <c:v>-5.47121270364438E-4</c:v>
                </c:pt>
                <c:pt idx="8">
                  <c:v>-1.5371136431001199E-3</c:v>
                </c:pt>
                <c:pt idx="9">
                  <c:v>-1.2412633873208599E-3</c:v>
                </c:pt>
                <c:pt idx="10">
                  <c:v>-8.3482497672370903E-4</c:v>
                </c:pt>
                <c:pt idx="11">
                  <c:v>-1.3664014176961801E-3</c:v>
                </c:pt>
                <c:pt idx="12">
                  <c:v>-9.9963536379661395E-4</c:v>
                </c:pt>
                <c:pt idx="13">
                  <c:v>-1.22391250280957E-3</c:v>
                </c:pt>
                <c:pt idx="14">
                  <c:v>-8.2575009970772503E-4</c:v>
                </c:pt>
                <c:pt idx="15">
                  <c:v>-8.8088488321858005E-4</c:v>
                </c:pt>
                <c:pt idx="16">
                  <c:v>-9.4713150919101805E-4</c:v>
                </c:pt>
                <c:pt idx="17">
                  <c:v>-5.5646622622676696E-4</c:v>
                </c:pt>
                <c:pt idx="18">
                  <c:v>-6.0828670770229302E-4</c:v>
                </c:pt>
                <c:pt idx="19">
                  <c:v>-8.7442616634869099E-4</c:v>
                </c:pt>
                <c:pt idx="20">
                  <c:v>-8.2629975639358303E-4</c:v>
                </c:pt>
                <c:pt idx="21">
                  <c:v>-8.3980004877475195E-4</c:v>
                </c:pt>
                <c:pt idx="22">
                  <c:v>-1.21156257878809E-3</c:v>
                </c:pt>
                <c:pt idx="23">
                  <c:v>-4.5521254630664102E-4</c:v>
                </c:pt>
                <c:pt idx="24">
                  <c:v>-2.2945784974504901E-4</c:v>
                </c:pt>
                <c:pt idx="25">
                  <c:v>-2.1650119751365099E-4</c:v>
                </c:pt>
                <c:pt idx="26">
                  <c:v>-5.0053790336474998E-4</c:v>
                </c:pt>
                <c:pt idx="27">
                  <c:v>-3.0162709547856099E-5</c:v>
                </c:pt>
                <c:pt idx="28">
                  <c:v>-1.1001474356006099E-3</c:v>
                </c:pt>
                <c:pt idx="29">
                  <c:v>-5.0759408300876695E-4</c:v>
                </c:pt>
                <c:pt idx="30">
                  <c:v>-5.6369807178721903E-4</c:v>
                </c:pt>
                <c:pt idx="31">
                  <c:v>-8.5167954706399202E-4</c:v>
                </c:pt>
                <c:pt idx="32">
                  <c:v>-8.2602317059300202E-4</c:v>
                </c:pt>
                <c:pt idx="33">
                  <c:v>-6.8819192475952904E-4</c:v>
                </c:pt>
                <c:pt idx="34">
                  <c:v>-6.5921690935249403E-4</c:v>
                </c:pt>
                <c:pt idx="35">
                  <c:v>-4.7480215104944701E-4</c:v>
                </c:pt>
                <c:pt idx="36">
                  <c:v>-5.6894155067392801E-4</c:v>
                </c:pt>
                <c:pt idx="37">
                  <c:v>-9.8466711292262898E-4</c:v>
                </c:pt>
                <c:pt idx="38">
                  <c:v>-5.2928140603880202E-4</c:v>
                </c:pt>
                <c:pt idx="39">
                  <c:v>-4.2437072432777E-4</c:v>
                </c:pt>
                <c:pt idx="40">
                  <c:v>-1.6998250679698299E-4</c:v>
                </c:pt>
                <c:pt idx="41">
                  <c:v>-5.2467426803367103E-4</c:v>
                </c:pt>
                <c:pt idx="42">
                  <c:v>-8.8408244993886601E-4</c:v>
                </c:pt>
                <c:pt idx="43">
                  <c:v>2.7522606182283998E-4</c:v>
                </c:pt>
                <c:pt idx="44">
                  <c:v>2.8973287421015301E-4</c:v>
                </c:pt>
                <c:pt idx="45">
                  <c:v>-5.9345796326645199E-4</c:v>
                </c:pt>
                <c:pt idx="46">
                  <c:v>-2.0408184538514099E-4</c:v>
                </c:pt>
                <c:pt idx="47">
                  <c:v>-5.7327210190655403E-5</c:v>
                </c:pt>
                <c:pt idx="48">
                  <c:v>-7.6497581433703703E-4</c:v>
                </c:pt>
                <c:pt idx="49">
                  <c:v>-8.4266976789828095E-5</c:v>
                </c:pt>
                <c:pt idx="50">
                  <c:v>-1.8783644998390301E-4</c:v>
                </c:pt>
                <c:pt idx="51">
                  <c:v>-5.0792689682944796E-4</c:v>
                </c:pt>
                <c:pt idx="52">
                  <c:v>-7.5086729137714497E-4</c:v>
                </c:pt>
                <c:pt idx="53">
                  <c:v>-3.5733825843906801E-5</c:v>
                </c:pt>
                <c:pt idx="54">
                  <c:v>5.6091792893511099E-4</c:v>
                </c:pt>
                <c:pt idx="55">
                  <c:v>4.6364923766576999E-4</c:v>
                </c:pt>
                <c:pt idx="56">
                  <c:v>-1.7454857115086099E-4</c:v>
                </c:pt>
                <c:pt idx="57">
                  <c:v>3.1108332014709501E-4</c:v>
                </c:pt>
                <c:pt idx="58">
                  <c:v>-4.5599893132652902E-4</c:v>
                </c:pt>
                <c:pt idx="59">
                  <c:v>-4.2917884985527801E-4</c:v>
                </c:pt>
                <c:pt idx="60">
                  <c:v>-2.0964588347004899E-5</c:v>
                </c:pt>
                <c:pt idx="61">
                  <c:v>-1.6752505648788199E-4</c:v>
                </c:pt>
                <c:pt idx="62">
                  <c:v>-1.7798896611146E-4</c:v>
                </c:pt>
                <c:pt idx="63">
                  <c:v>2.1744391480234501E-4</c:v>
                </c:pt>
                <c:pt idx="64">
                  <c:v>-3.9645486723972E-4</c:v>
                </c:pt>
                <c:pt idx="65">
                  <c:v>-3.81525873180779E-4</c:v>
                </c:pt>
                <c:pt idx="66">
                  <c:v>-4.9284493505973601E-4</c:v>
                </c:pt>
                <c:pt idx="67">
                  <c:v>-5.0694981648015305E-4</c:v>
                </c:pt>
                <c:pt idx="68">
                  <c:v>-8.5212235491912997E-4</c:v>
                </c:pt>
                <c:pt idx="69">
                  <c:v>-3.5053141693358198E-7</c:v>
                </c:pt>
                <c:pt idx="70">
                  <c:v>-7.2693891802842595E-5</c:v>
                </c:pt>
                <c:pt idx="71">
                  <c:v>-8.1165495223560502E-4</c:v>
                </c:pt>
                <c:pt idx="72">
                  <c:v>-2.8708840989517799E-5</c:v>
                </c:pt>
                <c:pt idx="73">
                  <c:v>-3.02140994447155E-4</c:v>
                </c:pt>
                <c:pt idx="74">
                  <c:v>-1.3757797961752699E-4</c:v>
                </c:pt>
                <c:pt idx="75">
                  <c:v>-1.21607713954589E-5</c:v>
                </c:pt>
                <c:pt idx="76">
                  <c:v>3.2353165848884001E-4</c:v>
                </c:pt>
                <c:pt idx="77">
                  <c:v>-1.8713713279611501E-5</c:v>
                </c:pt>
                <c:pt idx="78">
                  <c:v>-6.6500808583535906E-5</c:v>
                </c:pt>
                <c:pt idx="79">
                  <c:v>-2.1476207485816401E-4</c:v>
                </c:pt>
                <c:pt idx="80">
                  <c:v>9.7372229847241502E-5</c:v>
                </c:pt>
                <c:pt idx="81">
                  <c:v>7.0022525253661395E-5</c:v>
                </c:pt>
                <c:pt idx="82">
                  <c:v>1.6993611337997599E-4</c:v>
                </c:pt>
                <c:pt idx="83">
                  <c:v>-8.2407550972445794E-5</c:v>
                </c:pt>
                <c:pt idx="84">
                  <c:v>1.39506927261494E-4</c:v>
                </c:pt>
                <c:pt idx="85">
                  <c:v>1.3637814106864799E-4</c:v>
                </c:pt>
                <c:pt idx="86">
                  <c:v>-3.0215382929453901E-4</c:v>
                </c:pt>
                <c:pt idx="87">
                  <c:v>-2.3360873119627999E-4</c:v>
                </c:pt>
                <c:pt idx="88">
                  <c:v>2.8398423016824502E-4</c:v>
                </c:pt>
                <c:pt idx="89">
                  <c:v>5.0321580193141897E-5</c:v>
                </c:pt>
                <c:pt idx="90">
                  <c:v>5.8083491386005405E-4</c:v>
                </c:pt>
                <c:pt idx="91">
                  <c:v>8.6366871780175396E-4</c:v>
                </c:pt>
                <c:pt idx="92">
                  <c:v>5.7227793212756301E-4</c:v>
                </c:pt>
                <c:pt idx="93">
                  <c:v>6.1870563848541199E-4</c:v>
                </c:pt>
                <c:pt idx="94">
                  <c:v>3.78406574156891E-4</c:v>
                </c:pt>
                <c:pt idx="95">
                  <c:v>2.5760887756418299E-4</c:v>
                </c:pt>
                <c:pt idx="96">
                  <c:v>2.9596738602929897E-4</c:v>
                </c:pt>
                <c:pt idx="97">
                  <c:v>2.23086122929079E-4</c:v>
                </c:pt>
                <c:pt idx="98">
                  <c:v>4.5000442147677898E-4</c:v>
                </c:pt>
                <c:pt idx="99">
                  <c:v>7.6528790245778398E-4</c:v>
                </c:pt>
                <c:pt idx="100">
                  <c:v>2.8043645677138499E-4</c:v>
                </c:pt>
                <c:pt idx="101">
                  <c:v>1.1505707864856E-4</c:v>
                </c:pt>
                <c:pt idx="102">
                  <c:v>9.1343616284745601E-4</c:v>
                </c:pt>
                <c:pt idx="103">
                  <c:v>5.7428001425818798E-4</c:v>
                </c:pt>
                <c:pt idx="104">
                  <c:v>4.0939323938162599E-4</c:v>
                </c:pt>
                <c:pt idx="105">
                  <c:v>6.0807702202538396E-4</c:v>
                </c:pt>
                <c:pt idx="106">
                  <c:v>4.2052827428861199E-4</c:v>
                </c:pt>
                <c:pt idx="107">
                  <c:v>9.55154565794234E-4</c:v>
                </c:pt>
                <c:pt idx="108">
                  <c:v>1.06044798335218E-3</c:v>
                </c:pt>
                <c:pt idx="109">
                  <c:v>7.9260045564717805E-4</c:v>
                </c:pt>
                <c:pt idx="110">
                  <c:v>8.2575010375263798E-4</c:v>
                </c:pt>
                <c:pt idx="111">
                  <c:v>6.6265995804963898E-4</c:v>
                </c:pt>
                <c:pt idx="112">
                  <c:v>3.5328854609280899E-4</c:v>
                </c:pt>
                <c:pt idx="113">
                  <c:v>1.07441191486744E-3</c:v>
                </c:pt>
                <c:pt idx="114">
                  <c:v>1.8694291196961601E-4</c:v>
                </c:pt>
                <c:pt idx="115">
                  <c:v>4.77688678977588E-4</c:v>
                </c:pt>
                <c:pt idx="116">
                  <c:v>1.45172752101182E-4</c:v>
                </c:pt>
                <c:pt idx="117">
                  <c:v>5.76027482055156E-4</c:v>
                </c:pt>
                <c:pt idx="118">
                  <c:v>-1.18690463648675E-4</c:v>
                </c:pt>
                <c:pt idx="119">
                  <c:v>-1.2413644061566801E-4</c:v>
                </c:pt>
                <c:pt idx="120">
                  <c:v>1.4068206543531899E-5</c:v>
                </c:pt>
                <c:pt idx="121">
                  <c:v>-9.1130369616507705E-5</c:v>
                </c:pt>
                <c:pt idx="122">
                  <c:v>7.85674598691283E-5</c:v>
                </c:pt>
                <c:pt idx="123">
                  <c:v>-2.11255799519281E-4</c:v>
                </c:pt>
                <c:pt idx="124">
                  <c:v>-1.9946486600055E-5</c:v>
                </c:pt>
                <c:pt idx="125">
                  <c:v>4.0848672878409601E-4</c:v>
                </c:pt>
                <c:pt idx="126">
                  <c:v>-8.8539392096536297E-5</c:v>
                </c:pt>
                <c:pt idx="127">
                  <c:v>1.87489368268745E-4</c:v>
                </c:pt>
                <c:pt idx="128">
                  <c:v>2.6803057985373598E-4</c:v>
                </c:pt>
                <c:pt idx="129">
                  <c:v>2.1321200951991299E-4</c:v>
                </c:pt>
                <c:pt idx="130">
                  <c:v>2.9451770562807501E-4</c:v>
                </c:pt>
                <c:pt idx="131">
                  <c:v>3.1658740063211202E-4</c:v>
                </c:pt>
                <c:pt idx="132">
                  <c:v>-3.0739881147063598E-4</c:v>
                </c:pt>
                <c:pt idx="133">
                  <c:v>4.8831238524748297E-4</c:v>
                </c:pt>
                <c:pt idx="134">
                  <c:v>6.4746827569928198E-4</c:v>
                </c:pt>
                <c:pt idx="135">
                  <c:v>7.9777904968812295E-4</c:v>
                </c:pt>
                <c:pt idx="136">
                  <c:v>4.40123020083136E-4</c:v>
                </c:pt>
                <c:pt idx="137">
                  <c:v>6.67946390059916E-4</c:v>
                </c:pt>
                <c:pt idx="138">
                  <c:v>5.7767863145911295E-4</c:v>
                </c:pt>
                <c:pt idx="139">
                  <c:v>3.9098701142422699E-4</c:v>
                </c:pt>
                <c:pt idx="140">
                  <c:v>4.73894034097759E-4</c:v>
                </c:pt>
                <c:pt idx="141">
                  <c:v>1.0258496463861201E-3</c:v>
                </c:pt>
                <c:pt idx="142">
                  <c:v>9.4924802754360203E-4</c:v>
                </c:pt>
                <c:pt idx="143">
                  <c:v>1.17439999985511E-3</c:v>
                </c:pt>
                <c:pt idx="144">
                  <c:v>1.0299429127996199E-4</c:v>
                </c:pt>
                <c:pt idx="145">
                  <c:v>6.7005209043215295E-4</c:v>
                </c:pt>
                <c:pt idx="146">
                  <c:v>9.0363746948427599E-4</c:v>
                </c:pt>
                <c:pt idx="147">
                  <c:v>1.84856839890477E-4</c:v>
                </c:pt>
                <c:pt idx="148">
                  <c:v>1.3517773408951099E-4</c:v>
                </c:pt>
                <c:pt idx="149">
                  <c:v>4.9581891703774997E-4</c:v>
                </c:pt>
                <c:pt idx="150">
                  <c:v>9.9822828853263906E-4</c:v>
                </c:pt>
                <c:pt idx="151">
                  <c:v>6.4640906088313699E-4</c:v>
                </c:pt>
                <c:pt idx="152">
                  <c:v>1.00236736141689E-3</c:v>
                </c:pt>
                <c:pt idx="153">
                  <c:v>5.0289119591646696E-4</c:v>
                </c:pt>
                <c:pt idx="154">
                  <c:v>5.3665372809165305E-4</c:v>
                </c:pt>
                <c:pt idx="155">
                  <c:v>1.06289707390487E-3</c:v>
                </c:pt>
                <c:pt idx="156">
                  <c:v>5.6476743821859398E-5</c:v>
                </c:pt>
                <c:pt idx="157">
                  <c:v>8.9583136359309198E-4</c:v>
                </c:pt>
                <c:pt idx="158">
                  <c:v>2.62553887527375E-4</c:v>
                </c:pt>
                <c:pt idx="159">
                  <c:v>7.5596255024771699E-5</c:v>
                </c:pt>
                <c:pt idx="160">
                  <c:v>1.25421252871871E-4</c:v>
                </c:pt>
                <c:pt idx="161">
                  <c:v>2.11802135992941E-4</c:v>
                </c:pt>
                <c:pt idx="162">
                  <c:v>4.2170695642525501E-4</c:v>
                </c:pt>
                <c:pt idx="163">
                  <c:v>6.9534190511145598E-4</c:v>
                </c:pt>
                <c:pt idx="164">
                  <c:v>1.0444092757495101E-3</c:v>
                </c:pt>
                <c:pt idx="165">
                  <c:v>9.0667332323923603E-4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FHLC* x 10 dma / VHT*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2.2291120283739199E-4</c:v>
                </c:pt>
                <c:pt idx="54">
                  <c:v>8.5064669918253504E-4</c:v>
                </c:pt>
                <c:pt idx="55">
                  <c:v>7.2627851943962403E-4</c:v>
                </c:pt>
                <c:pt idx="56">
                  <c:v>-1.7614700377332001E-5</c:v>
                </c:pt>
                <c:pt idx="57">
                  <c:v>4.6506376350145102E-4</c:v>
                </c:pt>
                <c:pt idx="58">
                  <c:v>-3.3884987381132197E-4</c:v>
                </c:pt>
                <c:pt idx="59">
                  <c:v>-3.4294320535279798E-4</c:v>
                </c:pt>
                <c:pt idx="60">
                  <c:v>9.9767529432128802E-5</c:v>
                </c:pt>
                <c:pt idx="61">
                  <c:v>-6.34799915933336E-5</c:v>
                </c:pt>
                <c:pt idx="62">
                  <c:v>-1.07992620537187E-4</c:v>
                </c:pt>
                <c:pt idx="63">
                  <c:v>2.3012818416207401E-4</c:v>
                </c:pt>
                <c:pt idx="64">
                  <c:v>-4.0908607119714098E-4</c:v>
                </c:pt>
                <c:pt idx="65">
                  <c:v>-2.9843103886242499E-4</c:v>
                </c:pt>
                <c:pt idx="66">
                  <c:v>-3.2524665040684802E-4</c:v>
                </c:pt>
                <c:pt idx="67">
                  <c:v>-3.0751711472960401E-4</c:v>
                </c:pt>
                <c:pt idx="68">
                  <c:v>-5.7089798482498697E-4</c:v>
                </c:pt>
                <c:pt idx="69">
                  <c:v>3.2050016783342298E-4</c:v>
                </c:pt>
                <c:pt idx="70">
                  <c:v>2.0527760500270201E-4</c:v>
                </c:pt>
                <c:pt idx="71">
                  <c:v>-5.2851173400188798E-4</c:v>
                </c:pt>
                <c:pt idx="72">
                  <c:v>3.1885859187575299E-4</c:v>
                </c:pt>
                <c:pt idx="73">
                  <c:v>3.0501959774769E-5</c:v>
                </c:pt>
                <c:pt idx="74">
                  <c:v>2.4700703603089402E-4</c:v>
                </c:pt>
                <c:pt idx="75">
                  <c:v>3.4653926380530701E-4</c:v>
                </c:pt>
                <c:pt idx="76">
                  <c:v>6.4530047929060603E-4</c:v>
                </c:pt>
                <c:pt idx="77">
                  <c:v>2.21433469934511E-4</c:v>
                </c:pt>
                <c:pt idx="78">
                  <c:v>1.2482046430432799E-4</c:v>
                </c:pt>
                <c:pt idx="79">
                  <c:v>-1.02027103164439E-4</c:v>
                </c:pt>
                <c:pt idx="80">
                  <c:v>2.31548015033852E-4</c:v>
                </c:pt>
                <c:pt idx="81">
                  <c:v>1.8719404522338199E-4</c:v>
                </c:pt>
                <c:pt idx="82">
                  <c:v>1.9891362764974701E-4</c:v>
                </c:pt>
                <c:pt idx="83">
                  <c:v>-7.3292751205128202E-5</c:v>
                </c:pt>
                <c:pt idx="84">
                  <c:v>1.26644116136332E-4</c:v>
                </c:pt>
                <c:pt idx="85">
                  <c:v>9.5806125583561505E-5</c:v>
                </c:pt>
                <c:pt idx="86">
                  <c:v>-3.5757952645541302E-4</c:v>
                </c:pt>
                <c:pt idx="87">
                  <c:v>-2.26465036885098E-4</c:v>
                </c:pt>
                <c:pt idx="88">
                  <c:v>3.1261975314088802E-4</c:v>
                </c:pt>
                <c:pt idx="89">
                  <c:v>4.3912799602889302E-5</c:v>
                </c:pt>
                <c:pt idx="90">
                  <c:v>5.4791506675694497E-4</c:v>
                </c:pt>
                <c:pt idx="91">
                  <c:v>7.8241623439824601E-4</c:v>
                </c:pt>
                <c:pt idx="92">
                  <c:v>4.1168827683024401E-4</c:v>
                </c:pt>
                <c:pt idx="93">
                  <c:v>4.1788946106887802E-4</c:v>
                </c:pt>
                <c:pt idx="94">
                  <c:v>1.07481339413271E-4</c:v>
                </c:pt>
                <c:pt idx="95">
                  <c:v>-3.7206893230601303E-5</c:v>
                </c:pt>
                <c:pt idx="96">
                  <c:v>-1.09727178863965E-5</c:v>
                </c:pt>
                <c:pt idx="97">
                  <c:v>-1.4368643996272101E-4</c:v>
                </c:pt>
                <c:pt idx="98">
                  <c:v>3.7544335359914899E-5</c:v>
                </c:pt>
                <c:pt idx="99">
                  <c:v>3.3622490452301198E-4</c:v>
                </c:pt>
                <c:pt idx="100">
                  <c:v>-2.2012725093741199E-4</c:v>
                </c:pt>
                <c:pt idx="101">
                  <c:v>-3.5546513378784198E-4</c:v>
                </c:pt>
                <c:pt idx="102">
                  <c:v>5.1777090380014895E-4</c:v>
                </c:pt>
                <c:pt idx="103">
                  <c:v>1.44510193097041E-4</c:v>
                </c:pt>
                <c:pt idx="104">
                  <c:v>-1.5934769836738001E-5</c:v>
                </c:pt>
                <c:pt idx="105">
                  <c:v>1.7965024409632901E-4</c:v>
                </c:pt>
                <c:pt idx="106">
                  <c:v>-4.2945777641768501E-5</c:v>
                </c:pt>
                <c:pt idx="107">
                  <c:v>4.7922303665971398E-4</c:v>
                </c:pt>
                <c:pt idx="108">
                  <c:v>5.1131521487828902E-4</c:v>
                </c:pt>
                <c:pt idx="109">
                  <c:v>1.8243404706777601E-4</c:v>
                </c:pt>
                <c:pt idx="110">
                  <c:v>2.1285289706187999E-4</c:v>
                </c:pt>
                <c:pt idx="111">
                  <c:v>-4.7733623688485701E-6</c:v>
                </c:pt>
                <c:pt idx="112">
                  <c:v>-3.6892182014668199E-4</c:v>
                </c:pt>
                <c:pt idx="113">
                  <c:v>4.08219719010497E-4</c:v>
                </c:pt>
                <c:pt idx="114">
                  <c:v>-5.2925581562634095E-4</c:v>
                </c:pt>
                <c:pt idx="115">
                  <c:v>-2.1625596240588201E-4</c:v>
                </c:pt>
                <c:pt idx="116">
                  <c:v>-5.3573117018028903E-4</c:v>
                </c:pt>
                <c:pt idx="117">
                  <c:v>-7.7330304516673806E-5</c:v>
                </c:pt>
                <c:pt idx="118">
                  <c:v>-7.3414051495393105E-4</c:v>
                </c:pt>
                <c:pt idx="119">
                  <c:v>-6.2166254550187602E-4</c:v>
                </c:pt>
                <c:pt idx="120">
                  <c:v>-3.9177343765992798E-4</c:v>
                </c:pt>
                <c:pt idx="121">
                  <c:v>-4.1580825756382301E-4</c:v>
                </c:pt>
                <c:pt idx="122">
                  <c:v>-1.7073130131618801E-4</c:v>
                </c:pt>
                <c:pt idx="123">
                  <c:v>-4.3308191259216702E-4</c:v>
                </c:pt>
                <c:pt idx="124">
                  <c:v>-1.1324104421777799E-4</c:v>
                </c:pt>
                <c:pt idx="125">
                  <c:v>3.3588109971976099E-4</c:v>
                </c:pt>
                <c:pt idx="126">
                  <c:v>-1.5422741340019699E-4</c:v>
                </c:pt>
                <c:pt idx="127">
                  <c:v>1.4517316174508999E-4</c:v>
                </c:pt>
                <c:pt idx="128">
                  <c:v>2.6455424428953003E-4</c:v>
                </c:pt>
                <c:pt idx="129">
                  <c:v>1.7106557479910101E-4</c:v>
                </c:pt>
                <c:pt idx="130">
                  <c:v>2.18635937375326E-4</c:v>
                </c:pt>
                <c:pt idx="131">
                  <c:v>2.1266248812539101E-4</c:v>
                </c:pt>
                <c:pt idx="132">
                  <c:v>-4.5209597352433402E-4</c:v>
                </c:pt>
                <c:pt idx="133">
                  <c:v>3.8222110752786999E-4</c:v>
                </c:pt>
                <c:pt idx="134">
                  <c:v>4.7142000029650101E-4</c:v>
                </c:pt>
                <c:pt idx="135">
                  <c:v>5.5499626062920895E-4</c:v>
                </c:pt>
                <c:pt idx="136">
                  <c:v>1.58424267097175E-4</c:v>
                </c:pt>
                <c:pt idx="137">
                  <c:v>3.3337439827710303E-4</c:v>
                </c:pt>
                <c:pt idx="138">
                  <c:v>1.9506425806944299E-4</c:v>
                </c:pt>
                <c:pt idx="139">
                  <c:v>-2.2591400624778199E-5</c:v>
                </c:pt>
                <c:pt idx="140">
                  <c:v>4.25359818514148E-5</c:v>
                </c:pt>
                <c:pt idx="141">
                  <c:v>5.7655295455376397E-4</c:v>
                </c:pt>
                <c:pt idx="142">
                  <c:v>4.2903833371353702E-4</c:v>
                </c:pt>
                <c:pt idx="143">
                  <c:v>5.2849266864332797E-4</c:v>
                </c:pt>
                <c:pt idx="144">
                  <c:v>-6.1151143331677398E-4</c:v>
                </c:pt>
                <c:pt idx="145">
                  <c:v>1.00107574828658E-5</c:v>
                </c:pt>
                <c:pt idx="146">
                  <c:v>2.56367807373171E-4</c:v>
                </c:pt>
                <c:pt idx="147">
                  <c:v>-5.0876420106283195E-4</c:v>
                </c:pt>
                <c:pt idx="148">
                  <c:v>-5.1012260802406296E-4</c:v>
                </c:pt>
                <c:pt idx="149">
                  <c:v>-1.0521953008469999E-4</c:v>
                </c:pt>
                <c:pt idx="150">
                  <c:v>3.8670494322447598E-4</c:v>
                </c:pt>
                <c:pt idx="151">
                  <c:v>-1.75425552690071E-5</c:v>
                </c:pt>
                <c:pt idx="152">
                  <c:v>3.7635255187311398E-4</c:v>
                </c:pt>
                <c:pt idx="153">
                  <c:v>-1.2843370336236199E-4</c:v>
                </c:pt>
                <c:pt idx="154">
                  <c:v>-2.75364634408672E-5</c:v>
                </c:pt>
                <c:pt idx="155">
                  <c:v>4.5532939909688399E-4</c:v>
                </c:pt>
                <c:pt idx="156">
                  <c:v>-5.9036603113151603E-4</c:v>
                </c:pt>
                <c:pt idx="157">
                  <c:v>3.33715204943793E-4</c:v>
                </c:pt>
                <c:pt idx="158">
                  <c:v>-3.7066380059829098E-4</c:v>
                </c:pt>
                <c:pt idx="159">
                  <c:v>-5.70364663456374E-4</c:v>
                </c:pt>
                <c:pt idx="160">
                  <c:v>-4.7850314125716799E-4</c:v>
                </c:pt>
                <c:pt idx="161">
                  <c:v>-3.0484168629729902E-4</c:v>
                </c:pt>
                <c:pt idx="162">
                  <c:v>-5.1473312949551202E-5</c:v>
                </c:pt>
                <c:pt idx="163">
                  <c:v>2.8021212427178297E-4</c:v>
                </c:pt>
                <c:pt idx="164">
                  <c:v>6.10037779352593E-4</c:v>
                </c:pt>
                <c:pt idx="165">
                  <c:v>4.2154306432889001E-4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1.74873741453631E-3</c:v>
                </c:pt>
                <c:pt idx="51">
                  <c:v>4.3784409745834701E-4</c:v>
                </c:pt>
                <c:pt idx="52">
                  <c:v>-1.7735025605860601E-5</c:v>
                </c:pt>
                <c:pt idx="53">
                  <c:v>-2.46320224811026E-3</c:v>
                </c:pt>
                <c:pt idx="54">
                  <c:v>-1.43916326338029E-3</c:v>
                </c:pt>
                <c:pt idx="55">
                  <c:v>-4.4774603340949301E-4</c:v>
                </c:pt>
                <c:pt idx="56">
                  <c:v>-5.4365417357877898E-5</c:v>
                </c:pt>
                <c:pt idx="57">
                  <c:v>-9.1691116428777801E-4</c:v>
                </c:pt>
                <c:pt idx="58">
                  <c:v>2.9957462026690402E-4</c:v>
                </c:pt>
                <c:pt idx="59">
                  <c:v>1.9704231063864798E-5</c:v>
                </c:pt>
                <c:pt idx="60">
                  <c:v>1.9349657278497999E-4</c:v>
                </c:pt>
                <c:pt idx="61">
                  <c:v>6.1429270065756604E-4</c:v>
                </c:pt>
                <c:pt idx="62">
                  <c:v>-1.90431078769153E-3</c:v>
                </c:pt>
                <c:pt idx="63">
                  <c:v>-7.9312802665805796E-4</c:v>
                </c:pt>
                <c:pt idx="64">
                  <c:v>-1.6424945107508099E-3</c:v>
                </c:pt>
                <c:pt idx="65">
                  <c:v>9.2549240148967796E-4</c:v>
                </c:pt>
                <c:pt idx="66">
                  <c:v>1.48835824812377E-3</c:v>
                </c:pt>
                <c:pt idx="67">
                  <c:v>2.3314780711983299E-3</c:v>
                </c:pt>
                <c:pt idx="68">
                  <c:v>8.4373791429531904E-4</c:v>
                </c:pt>
                <c:pt idx="69">
                  <c:v>1.2802857225088101E-3</c:v>
                </c:pt>
                <c:pt idx="70">
                  <c:v>1.01515981970384E-3</c:v>
                </c:pt>
                <c:pt idx="71">
                  <c:v>2.2889950989909802E-3</c:v>
                </c:pt>
                <c:pt idx="72">
                  <c:v>1.7861779505842601E-3</c:v>
                </c:pt>
                <c:pt idx="73">
                  <c:v>9.7431509870035899E-4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8.3817268955812001E-4</c:v>
                </c:pt>
                <c:pt idx="113">
                  <c:v>8.1140520839927002E-4</c:v>
                </c:pt>
                <c:pt idx="114">
                  <c:v>-2.6601212014804298E-4</c:v>
                </c:pt>
                <c:pt idx="115">
                  <c:v>3.75179984050135E-4</c:v>
                </c:pt>
                <c:pt idx="116">
                  <c:v>7.9448820249703302E-4</c:v>
                </c:pt>
                <c:pt idx="117">
                  <c:v>7.9176915203459406E-5</c:v>
                </c:pt>
                <c:pt idx="118">
                  <c:v>-9.0508916215530002E-4</c:v>
                </c:pt>
                <c:pt idx="119">
                  <c:v>4.4506336200082297E-5</c:v>
                </c:pt>
                <c:pt idx="120">
                  <c:v>2.1668189448789601E-4</c:v>
                </c:pt>
                <c:pt idx="121">
                  <c:v>1.3105828534465799E-3</c:v>
                </c:pt>
                <c:pt idx="122">
                  <c:v>6.7586208964386595E-4</c:v>
                </c:pt>
                <c:pt idx="123">
                  <c:v>-6.2853053308822599E-4</c:v>
                </c:pt>
                <c:pt idx="124">
                  <c:v>9.4594405075714992E-6</c:v>
                </c:pt>
                <c:pt idx="125">
                  <c:v>-1.4511446508487201E-3</c:v>
                </c:pt>
                <c:pt idx="126">
                  <c:v>-3.2333328234306E-3</c:v>
                </c:pt>
                <c:pt idx="127">
                  <c:v>-2.8569454311224902E-3</c:v>
                </c:pt>
                <c:pt idx="128">
                  <c:v>-3.03527888004389E-3</c:v>
                </c:pt>
                <c:pt idx="129">
                  <c:v>-2.5551510518867599E-3</c:v>
                </c:pt>
                <c:pt idx="130">
                  <c:v>-3.1614215724494301E-3</c:v>
                </c:pt>
                <c:pt idx="131">
                  <c:v>-2.6761255796605501E-3</c:v>
                </c:pt>
                <c:pt idx="132">
                  <c:v>-3.5595962480902401E-3</c:v>
                </c:pt>
                <c:pt idx="133">
                  <c:v>-4.7220389149693299E-3</c:v>
                </c:pt>
                <c:pt idx="134">
                  <c:v>-3.8003836992136198E-3</c:v>
                </c:pt>
                <c:pt idx="135">
                  <c:v>-3.4034602295595598E-3</c:v>
                </c:pt>
                <c:pt idx="136">
                  <c:v>-1.54187881875662E-3</c:v>
                </c:pt>
                <c:pt idx="137">
                  <c:v>-1.6160452349794899E-4</c:v>
                </c:pt>
                <c:pt idx="138">
                  <c:v>5.6896809248248997E-4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-2.78145902881035E-3</c:v>
                </c:pt>
                <c:pt idx="150">
                  <c:v>-3.2826991431648199E-3</c:v>
                </c:pt>
                <c:pt idx="151">
                  <c:v>-2.2979211864092301E-3</c:v>
                </c:pt>
                <c:pt idx="152">
                  <c:v>-1.96045418919511E-3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-3.0198887573076801E-4</c:v>
                </c:pt>
                <c:pt idx="156">
                  <c:v>4.7175668268405597E-4</c:v>
                </c:pt>
                <c:pt idx="157">
                  <c:v>-1.34721654915505E-3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VHT*/FHLC*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3.8719668777701699</c:v>
                </c:pt>
                <c:pt idx="1">
                  <c:v>3.8719668777701699</c:v>
                </c:pt>
                <c:pt idx="2">
                  <c:v>3.8719668777701699</c:v>
                </c:pt>
                <c:pt idx="3">
                  <c:v>3.8719668777701699</c:v>
                </c:pt>
                <c:pt idx="4">
                  <c:v>3.8719668777701699</c:v>
                </c:pt>
                <c:pt idx="5">
                  <c:v>3.8719668777701699</c:v>
                </c:pt>
                <c:pt idx="6">
                  <c:v>3.8719668777701699</c:v>
                </c:pt>
                <c:pt idx="7">
                  <c:v>3.8719668777701699</c:v>
                </c:pt>
                <c:pt idx="8">
                  <c:v>3.8719668777701699</c:v>
                </c:pt>
                <c:pt idx="9">
                  <c:v>3.8719668777701699</c:v>
                </c:pt>
                <c:pt idx="10">
                  <c:v>3.8719668777701699</c:v>
                </c:pt>
                <c:pt idx="11">
                  <c:v>3.8719668777701699</c:v>
                </c:pt>
                <c:pt idx="12">
                  <c:v>3.8719668777701699</c:v>
                </c:pt>
                <c:pt idx="13">
                  <c:v>3.8719668777701699</c:v>
                </c:pt>
                <c:pt idx="14">
                  <c:v>3.8719668777701699</c:v>
                </c:pt>
                <c:pt idx="15">
                  <c:v>3.8719668777701699</c:v>
                </c:pt>
                <c:pt idx="16">
                  <c:v>3.8719668777701699</c:v>
                </c:pt>
                <c:pt idx="17">
                  <c:v>3.8719668777701699</c:v>
                </c:pt>
                <c:pt idx="18">
                  <c:v>3.8719668777701699</c:v>
                </c:pt>
                <c:pt idx="19">
                  <c:v>3.8719668777701699</c:v>
                </c:pt>
                <c:pt idx="20">
                  <c:v>3.8719668777701699</c:v>
                </c:pt>
                <c:pt idx="21">
                  <c:v>3.8719668777701699</c:v>
                </c:pt>
                <c:pt idx="22">
                  <c:v>3.8719668777701699</c:v>
                </c:pt>
                <c:pt idx="23">
                  <c:v>3.8719668777701699</c:v>
                </c:pt>
                <c:pt idx="24">
                  <c:v>3.8719668777701699</c:v>
                </c:pt>
                <c:pt idx="25">
                  <c:v>3.8719668777701699</c:v>
                </c:pt>
                <c:pt idx="26">
                  <c:v>3.8719668777701699</c:v>
                </c:pt>
                <c:pt idx="27">
                  <c:v>3.8719668777701699</c:v>
                </c:pt>
                <c:pt idx="28">
                  <c:v>3.8719668777701699</c:v>
                </c:pt>
                <c:pt idx="29">
                  <c:v>3.8719668777701699</c:v>
                </c:pt>
                <c:pt idx="30">
                  <c:v>3.8719668777701699</c:v>
                </c:pt>
                <c:pt idx="31">
                  <c:v>3.8719668777701699</c:v>
                </c:pt>
                <c:pt idx="32">
                  <c:v>3.8719668777701699</c:v>
                </c:pt>
                <c:pt idx="33">
                  <c:v>3.8719668777701699</c:v>
                </c:pt>
                <c:pt idx="34">
                  <c:v>3.8719668777701699</c:v>
                </c:pt>
                <c:pt idx="35">
                  <c:v>3.8719668777701699</c:v>
                </c:pt>
                <c:pt idx="36">
                  <c:v>3.8719668777701699</c:v>
                </c:pt>
                <c:pt idx="37">
                  <c:v>3.8719668777701699</c:v>
                </c:pt>
                <c:pt idx="38">
                  <c:v>3.8719668777701699</c:v>
                </c:pt>
                <c:pt idx="39">
                  <c:v>3.8719668777701699</c:v>
                </c:pt>
                <c:pt idx="40">
                  <c:v>3.8719668777701699</c:v>
                </c:pt>
                <c:pt idx="41">
                  <c:v>3.8719668777701699</c:v>
                </c:pt>
                <c:pt idx="42">
                  <c:v>3.8719668777701699</c:v>
                </c:pt>
                <c:pt idx="43">
                  <c:v>3.8719668777701699</c:v>
                </c:pt>
                <c:pt idx="44">
                  <c:v>3.8719668777701699</c:v>
                </c:pt>
                <c:pt idx="45">
                  <c:v>3.8719668777701699</c:v>
                </c:pt>
                <c:pt idx="46">
                  <c:v>3.8719668777701699</c:v>
                </c:pt>
                <c:pt idx="47">
                  <c:v>3.8719668777701699</c:v>
                </c:pt>
                <c:pt idx="48">
                  <c:v>3.8719668777701699</c:v>
                </c:pt>
                <c:pt idx="49">
                  <c:v>3.8719668777701699</c:v>
                </c:pt>
                <c:pt idx="50">
                  <c:v>3.8719668777701699</c:v>
                </c:pt>
                <c:pt idx="51">
                  <c:v>3.8719668777701699</c:v>
                </c:pt>
                <c:pt idx="52">
                  <c:v>3.8719668777701699</c:v>
                </c:pt>
                <c:pt idx="53">
                  <c:v>3.8719668777701699</c:v>
                </c:pt>
                <c:pt idx="54">
                  <c:v>3.8719668777701699</c:v>
                </c:pt>
                <c:pt idx="55">
                  <c:v>3.8719668777701699</c:v>
                </c:pt>
                <c:pt idx="56">
                  <c:v>3.8719668777701699</c:v>
                </c:pt>
                <c:pt idx="57">
                  <c:v>3.8719668777701699</c:v>
                </c:pt>
                <c:pt idx="58">
                  <c:v>3.8719668777701699</c:v>
                </c:pt>
                <c:pt idx="59">
                  <c:v>3.8719668777701699</c:v>
                </c:pt>
                <c:pt idx="60">
                  <c:v>3.8719668777701699</c:v>
                </c:pt>
                <c:pt idx="61">
                  <c:v>3.8719668777701699</c:v>
                </c:pt>
                <c:pt idx="62">
                  <c:v>3.8719668777701699</c:v>
                </c:pt>
                <c:pt idx="63">
                  <c:v>3.8719668777701699</c:v>
                </c:pt>
                <c:pt idx="64">
                  <c:v>3.8719668777701699</c:v>
                </c:pt>
                <c:pt idx="65">
                  <c:v>3.8719668777701699</c:v>
                </c:pt>
                <c:pt idx="66">
                  <c:v>3.8719668777701699</c:v>
                </c:pt>
                <c:pt idx="67">
                  <c:v>3.8719668777701699</c:v>
                </c:pt>
                <c:pt idx="68">
                  <c:v>3.8719668777701699</c:v>
                </c:pt>
                <c:pt idx="69">
                  <c:v>3.8719668777701699</c:v>
                </c:pt>
                <c:pt idx="70">
                  <c:v>3.8719668777701699</c:v>
                </c:pt>
                <c:pt idx="71">
                  <c:v>3.8719668777701699</c:v>
                </c:pt>
                <c:pt idx="72">
                  <c:v>3.8719668777701699</c:v>
                </c:pt>
                <c:pt idx="73">
                  <c:v>3.8719668777701699</c:v>
                </c:pt>
                <c:pt idx="74">
                  <c:v>3.8719668777701699</c:v>
                </c:pt>
                <c:pt idx="75">
                  <c:v>3.8719668777701699</c:v>
                </c:pt>
                <c:pt idx="76">
                  <c:v>3.8719668777701699</c:v>
                </c:pt>
                <c:pt idx="77">
                  <c:v>3.8719668777701699</c:v>
                </c:pt>
                <c:pt idx="78">
                  <c:v>3.8719668777701699</c:v>
                </c:pt>
                <c:pt idx="79">
                  <c:v>3.8719668777701699</c:v>
                </c:pt>
                <c:pt idx="80">
                  <c:v>3.8719668777701699</c:v>
                </c:pt>
                <c:pt idx="81">
                  <c:v>3.8719668777701699</c:v>
                </c:pt>
                <c:pt idx="82">
                  <c:v>3.8719668777701699</c:v>
                </c:pt>
                <c:pt idx="83">
                  <c:v>3.8719668777701699</c:v>
                </c:pt>
                <c:pt idx="84">
                  <c:v>3.8719668777701699</c:v>
                </c:pt>
                <c:pt idx="85">
                  <c:v>3.8719668777701699</c:v>
                </c:pt>
                <c:pt idx="86">
                  <c:v>3.8719668777701699</c:v>
                </c:pt>
                <c:pt idx="87">
                  <c:v>3.8719668777701699</c:v>
                </c:pt>
                <c:pt idx="88">
                  <c:v>3.8719668777701699</c:v>
                </c:pt>
                <c:pt idx="89">
                  <c:v>3.8719668777701699</c:v>
                </c:pt>
                <c:pt idx="90">
                  <c:v>3.8719668777701699</c:v>
                </c:pt>
                <c:pt idx="91">
                  <c:v>3.8719668777701699</c:v>
                </c:pt>
                <c:pt idx="92">
                  <c:v>3.8719668777701699</c:v>
                </c:pt>
                <c:pt idx="93">
                  <c:v>3.8719668777701699</c:v>
                </c:pt>
                <c:pt idx="94">
                  <c:v>3.8719668777701699</c:v>
                </c:pt>
                <c:pt idx="95">
                  <c:v>3.8719668777701699</c:v>
                </c:pt>
                <c:pt idx="96">
                  <c:v>3.8719668777701699</c:v>
                </c:pt>
                <c:pt idx="97">
                  <c:v>3.8719668777701699</c:v>
                </c:pt>
                <c:pt idx="98">
                  <c:v>3.8719668777701699</c:v>
                </c:pt>
                <c:pt idx="99">
                  <c:v>3.8719668777701699</c:v>
                </c:pt>
                <c:pt idx="100">
                  <c:v>3.8719668777701699</c:v>
                </c:pt>
                <c:pt idx="101">
                  <c:v>3.8719668777701699</c:v>
                </c:pt>
                <c:pt idx="102">
                  <c:v>3.8719668777701699</c:v>
                </c:pt>
                <c:pt idx="103">
                  <c:v>3.8719668777701699</c:v>
                </c:pt>
                <c:pt idx="104">
                  <c:v>3.8719668777701699</c:v>
                </c:pt>
                <c:pt idx="105">
                  <c:v>3.8719668777701699</c:v>
                </c:pt>
                <c:pt idx="106">
                  <c:v>3.8719668777701699</c:v>
                </c:pt>
                <c:pt idx="107">
                  <c:v>3.8719668777701699</c:v>
                </c:pt>
                <c:pt idx="108">
                  <c:v>3.8719668777701699</c:v>
                </c:pt>
                <c:pt idx="109">
                  <c:v>3.8719668777701699</c:v>
                </c:pt>
                <c:pt idx="110">
                  <c:v>3.8719668777701699</c:v>
                </c:pt>
                <c:pt idx="111">
                  <c:v>3.8719668777701699</c:v>
                </c:pt>
                <c:pt idx="112">
                  <c:v>3.8719668777701699</c:v>
                </c:pt>
                <c:pt idx="113">
                  <c:v>3.8719668777701699</c:v>
                </c:pt>
                <c:pt idx="114">
                  <c:v>3.8719668777701699</c:v>
                </c:pt>
                <c:pt idx="115">
                  <c:v>3.8719668777701699</c:v>
                </c:pt>
                <c:pt idx="116">
                  <c:v>3.8719668777701699</c:v>
                </c:pt>
                <c:pt idx="117">
                  <c:v>3.8719668777701699</c:v>
                </c:pt>
                <c:pt idx="118">
                  <c:v>3.8719668777701699</c:v>
                </c:pt>
                <c:pt idx="119">
                  <c:v>3.8719668777701699</c:v>
                </c:pt>
                <c:pt idx="120">
                  <c:v>3.8719668777701699</c:v>
                </c:pt>
                <c:pt idx="121">
                  <c:v>3.8719668777701699</c:v>
                </c:pt>
                <c:pt idx="122">
                  <c:v>3.8719668777701699</c:v>
                </c:pt>
                <c:pt idx="123">
                  <c:v>3.8719668777701699</c:v>
                </c:pt>
                <c:pt idx="124">
                  <c:v>3.8719668777701699</c:v>
                </c:pt>
                <c:pt idx="125">
                  <c:v>3.8719668777701699</c:v>
                </c:pt>
                <c:pt idx="126">
                  <c:v>3.8719668777701699</c:v>
                </c:pt>
                <c:pt idx="127">
                  <c:v>3.8719668777701699</c:v>
                </c:pt>
                <c:pt idx="128">
                  <c:v>3.8719668777701699</c:v>
                </c:pt>
                <c:pt idx="129">
                  <c:v>3.8719668777701699</c:v>
                </c:pt>
                <c:pt idx="130">
                  <c:v>3.8719668777701699</c:v>
                </c:pt>
                <c:pt idx="131">
                  <c:v>3.8719668777701699</c:v>
                </c:pt>
                <c:pt idx="132">
                  <c:v>3.8719668777701699</c:v>
                </c:pt>
                <c:pt idx="133">
                  <c:v>3.8719668777701699</c:v>
                </c:pt>
                <c:pt idx="134">
                  <c:v>3.8719668777701699</c:v>
                </c:pt>
                <c:pt idx="135">
                  <c:v>3.8719668777701699</c:v>
                </c:pt>
                <c:pt idx="136">
                  <c:v>3.8719668777701699</c:v>
                </c:pt>
                <c:pt idx="137">
                  <c:v>3.8719668777701699</c:v>
                </c:pt>
                <c:pt idx="138">
                  <c:v>3.8719668777701699</c:v>
                </c:pt>
                <c:pt idx="139">
                  <c:v>3.8719668777701699</c:v>
                </c:pt>
                <c:pt idx="140">
                  <c:v>3.8719668777701699</c:v>
                </c:pt>
                <c:pt idx="141">
                  <c:v>3.8719668777701699</c:v>
                </c:pt>
                <c:pt idx="142">
                  <c:v>3.8719668777701699</c:v>
                </c:pt>
                <c:pt idx="143">
                  <c:v>3.8719668777701699</c:v>
                </c:pt>
                <c:pt idx="144">
                  <c:v>3.8719668777701699</c:v>
                </c:pt>
                <c:pt idx="145">
                  <c:v>3.8719668777701699</c:v>
                </c:pt>
                <c:pt idx="146">
                  <c:v>3.8719668777701699</c:v>
                </c:pt>
                <c:pt idx="147">
                  <c:v>3.8719668777701699</c:v>
                </c:pt>
                <c:pt idx="148">
                  <c:v>3.8719668777701699</c:v>
                </c:pt>
                <c:pt idx="149">
                  <c:v>3.8719668777701699</c:v>
                </c:pt>
                <c:pt idx="150">
                  <c:v>3.8719668777701699</c:v>
                </c:pt>
                <c:pt idx="151">
                  <c:v>3.8719668777701699</c:v>
                </c:pt>
                <c:pt idx="152">
                  <c:v>3.8719668777701699</c:v>
                </c:pt>
                <c:pt idx="153">
                  <c:v>3.8719668777701699</c:v>
                </c:pt>
                <c:pt idx="154">
                  <c:v>3.8719668777701699</c:v>
                </c:pt>
                <c:pt idx="155">
                  <c:v>3.8719668777701699</c:v>
                </c:pt>
                <c:pt idx="156">
                  <c:v>3.8719668777701699</c:v>
                </c:pt>
                <c:pt idx="157">
                  <c:v>3.8719668777701699</c:v>
                </c:pt>
                <c:pt idx="158">
                  <c:v>3.8719668777701699</c:v>
                </c:pt>
                <c:pt idx="159">
                  <c:v>3.8719668777701699</c:v>
                </c:pt>
                <c:pt idx="160">
                  <c:v>3.8719668777701699</c:v>
                </c:pt>
                <c:pt idx="161">
                  <c:v>3.8719668777701699</c:v>
                </c:pt>
                <c:pt idx="162">
                  <c:v>3.8719668777701699</c:v>
                </c:pt>
                <c:pt idx="163">
                  <c:v>3.8719668777701699</c:v>
                </c:pt>
                <c:pt idx="164">
                  <c:v>3.8719668777701699</c:v>
                </c:pt>
                <c:pt idx="165">
                  <c:v>3.8719668777701699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VHT*/FHLC*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3.8730888604996001</c:v>
                </c:pt>
                <c:pt idx="54">
                  <c:v>3.8729839031948199</c:v>
                </c:pt>
                <c:pt idx="55">
                  <c:v>3.8725745682021699</c:v>
                </c:pt>
                <c:pt idx="56">
                  <c:v>3.8725631308511401</c:v>
                </c:pt>
                <c:pt idx="57">
                  <c:v>3.8724205016109199</c:v>
                </c:pt>
                <c:pt idx="58">
                  <c:v>3.8723007937268901</c:v>
                </c:pt>
                <c:pt idx="59">
                  <c:v>3.8724343767518001</c:v>
                </c:pt>
                <c:pt idx="60">
                  <c:v>3.87236975777371</c:v>
                </c:pt>
                <c:pt idx="61">
                  <c:v>3.8722379107873501</c:v>
                </c:pt>
                <c:pt idx="62">
                  <c:v>3.8720159911524799</c:v>
                </c:pt>
                <c:pt idx="63">
                  <c:v>3.8719179704757001</c:v>
                </c:pt>
                <c:pt idx="64">
                  <c:v>3.8722886315842202</c:v>
                </c:pt>
                <c:pt idx="65">
                  <c:v>3.8726158671603601</c:v>
                </c:pt>
                <c:pt idx="66">
                  <c:v>3.87273915159146</c:v>
                </c:pt>
                <c:pt idx="67">
                  <c:v>3.8730559223421599</c:v>
                </c:pt>
                <c:pt idx="68">
                  <c:v>3.8732094003718398</c:v>
                </c:pt>
                <c:pt idx="69">
                  <c:v>3.8730433238024902</c:v>
                </c:pt>
                <c:pt idx="70">
                  <c:v>3.8730633541554398</c:v>
                </c:pt>
                <c:pt idx="71">
                  <c:v>3.8733128812579598</c:v>
                </c:pt>
                <c:pt idx="72">
                  <c:v>3.87325507451395</c:v>
                </c:pt>
                <c:pt idx="73">
                  <c:v>3.8734562645920199</c:v>
                </c:pt>
                <c:pt idx="74">
                  <c:v>3.8733560015500101</c:v>
                </c:pt>
                <c:pt idx="75">
                  <c:v>3.8732129564504998</c:v>
                </c:pt>
                <c:pt idx="76">
                  <c:v>3.8728968313677701</c:v>
                </c:pt>
                <c:pt idx="77">
                  <c:v>3.87270773827073</c:v>
                </c:pt>
                <c:pt idx="78">
                  <c:v>3.8724034084522101</c:v>
                </c:pt>
                <c:pt idx="79">
                  <c:v>3.8724864368215601</c:v>
                </c:pt>
                <c:pt idx="80">
                  <c:v>3.8724205885949901</c:v>
                </c:pt>
                <c:pt idx="81">
                  <c:v>3.87207907937128</c:v>
                </c:pt>
                <c:pt idx="82">
                  <c:v>3.8720021701338099</c:v>
                </c:pt>
                <c:pt idx="83">
                  <c:v>3.8719170737118498</c:v>
                </c:pt>
                <c:pt idx="84">
                  <c:v>3.8718097874568098</c:v>
                </c:pt>
                <c:pt idx="85">
                  <c:v>3.8717522772538402</c:v>
                </c:pt>
                <c:pt idx="86">
                  <c:v>3.8719945380167302</c:v>
                </c:pt>
                <c:pt idx="87">
                  <c:v>3.8720777551541601</c:v>
                </c:pt>
                <c:pt idx="88">
                  <c:v>3.87194206326352</c:v>
                </c:pt>
                <c:pt idx="89">
                  <c:v>3.8718394153106002</c:v>
                </c:pt>
                <c:pt idx="90">
                  <c:v>3.8716522836266498</c:v>
                </c:pt>
                <c:pt idx="91">
                  <c:v>3.87134512986843</c:v>
                </c:pt>
                <c:pt idx="92">
                  <c:v>3.8711894022501401</c:v>
                </c:pt>
                <c:pt idx="93">
                  <c:v>3.8709180063241799</c:v>
                </c:pt>
                <c:pt idx="94">
                  <c:v>3.8708255291226701</c:v>
                </c:pt>
                <c:pt idx="95">
                  <c:v>3.8707785982290002</c:v>
                </c:pt>
                <c:pt idx="96">
                  <c:v>3.87054700695573</c:v>
                </c:pt>
                <c:pt idx="97">
                  <c:v>3.8703701752889899</c:v>
                </c:pt>
                <c:pt idx="98">
                  <c:v>3.8703059164077098</c:v>
                </c:pt>
                <c:pt idx="99">
                  <c:v>3.8700291966805902</c:v>
                </c:pt>
                <c:pt idx="100">
                  <c:v>3.8701454598907499</c:v>
                </c:pt>
                <c:pt idx="101">
                  <c:v>3.87043517803263</c:v>
                </c:pt>
                <c:pt idx="102">
                  <c:v>3.8703031807865602</c:v>
                </c:pt>
                <c:pt idx="103">
                  <c:v>3.8703203719836301</c:v>
                </c:pt>
                <c:pt idx="104">
                  <c:v>3.8703083787745398</c:v>
                </c:pt>
                <c:pt idx="105">
                  <c:v>3.87017273739326</c:v>
                </c:pt>
                <c:pt idx="106">
                  <c:v>3.8701245251049099</c:v>
                </c:pt>
                <c:pt idx="107">
                  <c:v>3.8698412375619098</c:v>
                </c:pt>
                <c:pt idx="108">
                  <c:v>3.86960505427218</c:v>
                </c:pt>
                <c:pt idx="109">
                  <c:v>3.8695944871764398</c:v>
                </c:pt>
                <c:pt idx="110">
                  <c:v>3.86938346028575</c:v>
                </c:pt>
                <c:pt idx="111">
                  <c:v>3.8691715126956301</c:v>
                </c:pt>
                <c:pt idx="112">
                  <c:v>3.8693882626755798</c:v>
                </c:pt>
                <c:pt idx="113">
                  <c:v>3.8691947728265301</c:v>
                </c:pt>
                <c:pt idx="114">
                  <c:v>3.8692808791786799</c:v>
                </c:pt>
                <c:pt idx="115">
                  <c:v>3.8693313377127598</c:v>
                </c:pt>
                <c:pt idx="116">
                  <c:v>3.8694379243069101</c:v>
                </c:pt>
                <c:pt idx="117">
                  <c:v>3.8695846087155998</c:v>
                </c:pt>
                <c:pt idx="118">
                  <c:v>3.8700409523100499</c:v>
                </c:pt>
                <c:pt idx="119">
                  <c:v>3.8703957911939399</c:v>
                </c:pt>
                <c:pt idx="120">
                  <c:v>3.8707099398031199</c:v>
                </c:pt>
                <c:pt idx="121">
                  <c:v>3.8710017215353201</c:v>
                </c:pt>
                <c:pt idx="122">
                  <c:v>3.8711080696642801</c:v>
                </c:pt>
                <c:pt idx="123">
                  <c:v>3.8716056611832301</c:v>
                </c:pt>
                <c:pt idx="124">
                  <c:v>3.87168576138474</c:v>
                </c:pt>
                <c:pt idx="125">
                  <c:v>3.87171254428084</c:v>
                </c:pt>
                <c:pt idx="126">
                  <c:v>3.87180303428676</c:v>
                </c:pt>
                <c:pt idx="127">
                  <c:v>3.87195341753741</c:v>
                </c:pt>
                <c:pt idx="128">
                  <c:v>3.8718036916098</c:v>
                </c:pt>
                <c:pt idx="129">
                  <c:v>3.8716730772240702</c:v>
                </c:pt>
                <c:pt idx="130">
                  <c:v>3.87156450485982</c:v>
                </c:pt>
                <c:pt idx="131">
                  <c:v>3.8714066556836402</c:v>
                </c:pt>
                <c:pt idx="132">
                  <c:v>3.8715561176462399</c:v>
                </c:pt>
                <c:pt idx="133">
                  <c:v>3.87128528467733</c:v>
                </c:pt>
                <c:pt idx="134">
                  <c:v>3.87102694495682</c:v>
                </c:pt>
                <c:pt idx="135">
                  <c:v>3.8708763031430702</c:v>
                </c:pt>
                <c:pt idx="136">
                  <c:v>3.8706716427865202</c:v>
                </c:pt>
                <c:pt idx="137">
                  <c:v>3.8704856909692</c:v>
                </c:pt>
                <c:pt idx="138">
                  <c:v>3.8703658469560702</c:v>
                </c:pt>
                <c:pt idx="139">
                  <c:v>3.87029703385562</c:v>
                </c:pt>
                <c:pt idx="140">
                  <c:v>3.8702276066147498</c:v>
                </c:pt>
                <c:pt idx="141">
                  <c:v>3.86995316688754</c:v>
                </c:pt>
                <c:pt idx="142">
                  <c:v>3.8694667534888301</c:v>
                </c:pt>
                <c:pt idx="143">
                  <c:v>3.8692013233904299</c:v>
                </c:pt>
                <c:pt idx="144">
                  <c:v>3.86941206282552</c:v>
                </c:pt>
                <c:pt idx="145">
                  <c:v>3.8694614819983002</c:v>
                </c:pt>
                <c:pt idx="146">
                  <c:v>3.86928213127984</c:v>
                </c:pt>
                <c:pt idx="147">
                  <c:v>3.8694691022136798</c:v>
                </c:pt>
                <c:pt idx="148">
                  <c:v>3.8696403760391802</c:v>
                </c:pt>
                <c:pt idx="149">
                  <c:v>3.86959980346652</c:v>
                </c:pt>
                <c:pt idx="150">
                  <c:v>3.8693969323581001</c:v>
                </c:pt>
                <c:pt idx="151">
                  <c:v>3.8695437277056701</c:v>
                </c:pt>
                <c:pt idx="152">
                  <c:v>3.8695231801358001</c:v>
                </c:pt>
                <c:pt idx="153">
                  <c:v>3.86978296816392</c:v>
                </c:pt>
                <c:pt idx="154">
                  <c:v>3.8696151103585898</c:v>
                </c:pt>
                <c:pt idx="155">
                  <c:v>3.86946313382207</c:v>
                </c:pt>
                <c:pt idx="156">
                  <c:v>3.86979099422937</c:v>
                </c:pt>
                <c:pt idx="157">
                  <c:v>3.8695158559524101</c:v>
                </c:pt>
                <c:pt idx="158">
                  <c:v>3.8694665461346802</c:v>
                </c:pt>
                <c:pt idx="159">
                  <c:v>3.86962920847823</c:v>
                </c:pt>
                <c:pt idx="160">
                  <c:v>3.8699669666680001</c:v>
                </c:pt>
                <c:pt idx="161">
                  <c:v>3.87013517283743</c:v>
                </c:pt>
                <c:pt idx="162">
                  <c:v>3.8703598425959398</c:v>
                </c:pt>
                <c:pt idx="163">
                  <c:v>3.87028537094923</c:v>
                </c:pt>
                <c:pt idx="164">
                  <c:v>3.8700889250389499</c:v>
                </c:pt>
                <c:pt idx="165">
                  <c:v>3.87014935481815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VHT*/FHLC*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3.8734855190165698</c:v>
                </c:pt>
                <c:pt idx="54">
                  <c:v>3.8732492913077099</c:v>
                </c:pt>
                <c:pt idx="55">
                  <c:v>3.87306760765322</c:v>
                </c:pt>
                <c:pt idx="56">
                  <c:v>3.8729912254356198</c:v>
                </c:pt>
                <c:pt idx="57">
                  <c:v>3.87274028577992</c:v>
                </c:pt>
                <c:pt idx="58">
                  <c:v>3.87272609142319</c:v>
                </c:pt>
                <c:pt idx="59">
                  <c:v>3.87272702266567</c:v>
                </c:pt>
                <c:pt idx="60">
                  <c:v>3.87269817028892</c:v>
                </c:pt>
                <c:pt idx="61">
                  <c:v>3.8726290028579902</c:v>
                </c:pt>
                <c:pt idx="62">
                  <c:v>3.8724922317149701</c:v>
                </c:pt>
                <c:pt idx="63">
                  <c:v>3.8725034154876501</c:v>
                </c:pt>
                <c:pt idx="64">
                  <c:v>3.8726362673895198</c:v>
                </c:pt>
                <c:pt idx="65">
                  <c:v>3.8725952176812601</c:v>
                </c:pt>
                <c:pt idx="66">
                  <c:v>3.8726511412212998</c:v>
                </c:pt>
                <c:pt idx="67">
                  <c:v>3.8727382119765399</c:v>
                </c:pt>
                <c:pt idx="68">
                  <c:v>3.87275509704937</c:v>
                </c:pt>
                <c:pt idx="69">
                  <c:v>3.87273885027715</c:v>
                </c:pt>
                <c:pt idx="70">
                  <c:v>3.8727165559645802</c:v>
                </c:pt>
                <c:pt idx="71">
                  <c:v>3.8727753960226501</c:v>
                </c:pt>
                <c:pt idx="72">
                  <c:v>3.87263553283322</c:v>
                </c:pt>
                <c:pt idx="73">
                  <c:v>3.87268711753386</c:v>
                </c:pt>
                <c:pt idx="74">
                  <c:v>3.8728223165671101</c:v>
                </c:pt>
                <c:pt idx="75">
                  <c:v>3.8729144118054299</c:v>
                </c:pt>
                <c:pt idx="76">
                  <c:v>3.8728179914796201</c:v>
                </c:pt>
                <c:pt idx="77">
                  <c:v>3.8728818303064498</c:v>
                </c:pt>
                <c:pt idx="78">
                  <c:v>3.8728064044120298</c:v>
                </c:pt>
                <c:pt idx="79">
                  <c:v>3.8727648803120198</c:v>
                </c:pt>
                <c:pt idx="80">
                  <c:v>3.87274197137521</c:v>
                </c:pt>
                <c:pt idx="81">
                  <c:v>3.8726959803146199</c:v>
                </c:pt>
                <c:pt idx="82">
                  <c:v>3.8726286223238802</c:v>
                </c:pt>
                <c:pt idx="83">
                  <c:v>3.8726866691519399</c:v>
                </c:pt>
                <c:pt idx="84">
                  <c:v>3.87258289450341</c:v>
                </c:pt>
                <c:pt idx="85">
                  <c:v>3.87248261685217</c:v>
                </c:pt>
                <c:pt idx="86">
                  <c:v>3.8724456846922499</c:v>
                </c:pt>
                <c:pt idx="87">
                  <c:v>3.8723927467124502</c:v>
                </c:pt>
                <c:pt idx="88">
                  <c:v>3.8721727358578599</c:v>
                </c:pt>
                <c:pt idx="89">
                  <c:v>3.8721629260660801</c:v>
                </c:pt>
                <c:pt idx="90">
                  <c:v>3.8720364361108199</c:v>
                </c:pt>
                <c:pt idx="91">
                  <c:v>3.8717121046198502</c:v>
                </c:pt>
                <c:pt idx="92">
                  <c:v>3.8715957861919699</c:v>
                </c:pt>
                <c:pt idx="93">
                  <c:v>3.8714175400180202</c:v>
                </c:pt>
                <c:pt idx="94">
                  <c:v>3.8713176582897399</c:v>
                </c:pt>
                <c:pt idx="95">
                  <c:v>3.8712654377414202</c:v>
                </c:pt>
                <c:pt idx="96">
                  <c:v>3.8712707724862301</c:v>
                </c:pt>
                <c:pt idx="97">
                  <c:v>3.8712239652215699</c:v>
                </c:pt>
                <c:pt idx="98">
                  <c:v>3.8711239898356098</c:v>
                </c:pt>
                <c:pt idx="99">
                  <c:v>3.8709343059955899</c:v>
                </c:pt>
                <c:pt idx="100">
                  <c:v>3.8708988717586998</c:v>
                </c:pt>
                <c:pt idx="101">
                  <c:v>3.8708901539505298</c:v>
                </c:pt>
                <c:pt idx="102">
                  <c:v>3.8707462915183499</c:v>
                </c:pt>
                <c:pt idx="103">
                  <c:v>3.8706191891539001</c:v>
                </c:pt>
                <c:pt idx="104">
                  <c:v>3.8705669539485998</c:v>
                </c:pt>
                <c:pt idx="105">
                  <c:v>3.8704756678111298</c:v>
                </c:pt>
                <c:pt idx="106">
                  <c:v>3.8703357660303199</c:v>
                </c:pt>
                <c:pt idx="107">
                  <c:v>3.8701057064254498</c:v>
                </c:pt>
                <c:pt idx="108">
                  <c:v>3.8699554853399398</c:v>
                </c:pt>
                <c:pt idx="109">
                  <c:v>3.8698118419285099</c:v>
                </c:pt>
                <c:pt idx="110">
                  <c:v>3.8697644600882501</c:v>
                </c:pt>
                <c:pt idx="111">
                  <c:v>3.8698033453641298</c:v>
                </c:pt>
                <c:pt idx="112">
                  <c:v>3.8698457217310702</c:v>
                </c:pt>
                <c:pt idx="113">
                  <c:v>3.8697575724050801</c:v>
                </c:pt>
                <c:pt idx="114">
                  <c:v>3.8697946289766101</c:v>
                </c:pt>
                <c:pt idx="115">
                  <c:v>3.8697520375530101</c:v>
                </c:pt>
                <c:pt idx="116">
                  <c:v>3.86978122470591</c:v>
                </c:pt>
                <c:pt idx="117">
                  <c:v>3.8697129231387501</c:v>
                </c:pt>
                <c:pt idx="118">
                  <c:v>3.8698230032911201</c:v>
                </c:pt>
                <c:pt idx="119">
                  <c:v>3.8699951391851899</c:v>
                </c:pt>
                <c:pt idx="120">
                  <c:v>3.8700467000444401</c:v>
                </c:pt>
                <c:pt idx="121">
                  <c:v>3.8700866171154802</c:v>
                </c:pt>
                <c:pt idx="122">
                  <c:v>3.8702481661699299</c:v>
                </c:pt>
                <c:pt idx="123">
                  <c:v>3.8704002170048799</c:v>
                </c:pt>
                <c:pt idx="124">
                  <c:v>3.8704833202817102</c:v>
                </c:pt>
                <c:pt idx="125">
                  <c:v>3.8705219409968001</c:v>
                </c:pt>
                <c:pt idx="126">
                  <c:v>3.8706204792968402</c:v>
                </c:pt>
                <c:pt idx="127">
                  <c:v>3.8707690131265</c:v>
                </c:pt>
                <c:pt idx="128">
                  <c:v>3.8709223219599198</c:v>
                </c:pt>
                <c:pt idx="129">
                  <c:v>3.8710344342090002</c:v>
                </c:pt>
                <c:pt idx="130">
                  <c:v>3.8711372223314702</c:v>
                </c:pt>
                <c:pt idx="131">
                  <c:v>3.8712041886094801</c:v>
                </c:pt>
                <c:pt idx="132">
                  <c:v>3.8713320936552602</c:v>
                </c:pt>
                <c:pt idx="133">
                  <c:v>3.8714454729302799</c:v>
                </c:pt>
                <c:pt idx="134">
                  <c:v>3.8713563531707802</c:v>
                </c:pt>
                <c:pt idx="135">
                  <c:v>3.87129442371196</c:v>
                </c:pt>
                <c:pt idx="136">
                  <c:v>3.8712373385366399</c:v>
                </c:pt>
                <c:pt idx="137">
                  <c:v>3.8712195542533001</c:v>
                </c:pt>
                <c:pt idx="138">
                  <c:v>3.87108476928293</c:v>
                </c:pt>
                <c:pt idx="139">
                  <c:v>3.87098505553984</c:v>
                </c:pt>
                <c:pt idx="140">
                  <c:v>3.87089605573729</c:v>
                </c:pt>
                <c:pt idx="141">
                  <c:v>3.8706799112855901</c:v>
                </c:pt>
                <c:pt idx="142">
                  <c:v>3.8705114355675398</c:v>
                </c:pt>
                <c:pt idx="143">
                  <c:v>3.8702433040338802</c:v>
                </c:pt>
                <c:pt idx="144">
                  <c:v>3.8702195038911702</c:v>
                </c:pt>
                <c:pt idx="145">
                  <c:v>3.8701688925706899</c:v>
                </c:pt>
                <c:pt idx="146">
                  <c:v>3.8699768870331801</c:v>
                </c:pt>
                <c:pt idx="147">
                  <c:v>3.8699773965914401</c:v>
                </c:pt>
                <c:pt idx="148">
                  <c:v>3.8700031114976299</c:v>
                </c:pt>
                <c:pt idx="149">
                  <c:v>3.8699484186610702</c:v>
                </c:pt>
                <c:pt idx="150">
                  <c:v>3.8698122694864301</c:v>
                </c:pt>
                <c:pt idx="151">
                  <c:v>3.8697484472966099</c:v>
                </c:pt>
                <c:pt idx="152">
                  <c:v>3.86949496681232</c:v>
                </c:pt>
                <c:pt idx="153">
                  <c:v>3.86949214577717</c:v>
                </c:pt>
                <c:pt idx="154">
                  <c:v>3.86951358659205</c:v>
                </c:pt>
                <c:pt idx="155">
                  <c:v>3.86946230791018</c:v>
                </c:pt>
                <c:pt idx="156">
                  <c:v>3.8695365627546101</c:v>
                </c:pt>
                <c:pt idx="157">
                  <c:v>3.8694924790830498</c:v>
                </c:pt>
                <c:pt idx="158">
                  <c:v>3.8695534610869302</c:v>
                </c:pt>
                <c:pt idx="159">
                  <c:v>3.8696145059723799</c:v>
                </c:pt>
                <c:pt idx="160">
                  <c:v>3.8696819495130499</c:v>
                </c:pt>
                <c:pt idx="161">
                  <c:v>3.8698394502715501</c:v>
                </c:pt>
                <c:pt idx="162">
                  <c:v>3.8699415113658699</c:v>
                </c:pt>
                <c:pt idx="163">
                  <c:v>3.8700341695565701</c:v>
                </c:pt>
                <c:pt idx="164">
                  <c:v>3.8698520176987699</c:v>
                </c:pt>
                <c:pt idx="165">
                  <c:v>3.86980624432011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FHLC x avg / VHT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-6.9824209218667796E-4</c:v>
                </c:pt>
                <c:pt idx="2">
                  <c:v>5.4565686321890802E-5</c:v>
                </c:pt>
                <c:pt idx="3">
                  <c:v>-7.9673673625598905E-4</c:v>
                </c:pt>
                <c:pt idx="4">
                  <c:v>-3.1591363806506001E-4</c:v>
                </c:pt>
                <c:pt idx="5">
                  <c:v>-9.6592210165242305E-4</c:v>
                </c:pt>
                <c:pt idx="6">
                  <c:v>-9.2328861537500798E-4</c:v>
                </c:pt>
                <c:pt idx="7">
                  <c:v>-6.6172694390482405E-4</c:v>
                </c:pt>
                <c:pt idx="8">
                  <c:v>-1.65171931664045E-3</c:v>
                </c:pt>
                <c:pt idx="9">
                  <c:v>-1.35586906086101E-3</c:v>
                </c:pt>
                <c:pt idx="10">
                  <c:v>-9.4943065026395696E-4</c:v>
                </c:pt>
                <c:pt idx="11">
                  <c:v>-1.48100709123644E-3</c:v>
                </c:pt>
                <c:pt idx="12">
                  <c:v>-1.11424103733693E-3</c:v>
                </c:pt>
                <c:pt idx="13">
                  <c:v>-1.3385181763499599E-3</c:v>
                </c:pt>
                <c:pt idx="14">
                  <c:v>-9.4035577324798E-4</c:v>
                </c:pt>
                <c:pt idx="15">
                  <c:v>-9.9549055675879697E-4</c:v>
                </c:pt>
                <c:pt idx="16">
                  <c:v>-1.06173718273129E-3</c:v>
                </c:pt>
                <c:pt idx="17">
                  <c:v>-6.7107189976715702E-4</c:v>
                </c:pt>
                <c:pt idx="18">
                  <c:v>-7.2289238124246505E-4</c:v>
                </c:pt>
                <c:pt idx="19">
                  <c:v>-9.8903183988883103E-4</c:v>
                </c:pt>
                <c:pt idx="20">
                  <c:v>-9.4090542993389504E-4</c:v>
                </c:pt>
                <c:pt idx="21">
                  <c:v>-9.5440572231508803E-4</c:v>
                </c:pt>
                <c:pt idx="22">
                  <c:v>-1.3261682523283301E-3</c:v>
                </c:pt>
                <c:pt idx="23">
                  <c:v>-5.6981821984695904E-4</c:v>
                </c:pt>
                <c:pt idx="24">
                  <c:v>-3.4406352328533903E-4</c:v>
                </c:pt>
                <c:pt idx="25">
                  <c:v>-3.31106871053861E-4</c:v>
                </c:pt>
                <c:pt idx="26">
                  <c:v>-6.1514357690519805E-4</c:v>
                </c:pt>
                <c:pt idx="27">
                  <c:v>-1.4476838308811999E-4</c:v>
                </c:pt>
                <c:pt idx="28">
                  <c:v>-1.2147531091410101E-3</c:v>
                </c:pt>
                <c:pt idx="29">
                  <c:v>-6.2219975654910899E-4</c:v>
                </c:pt>
                <c:pt idx="30">
                  <c:v>-6.7830374532750805E-4</c:v>
                </c:pt>
                <c:pt idx="31">
                  <c:v>-9.6628522060429199E-4</c:v>
                </c:pt>
                <c:pt idx="32">
                  <c:v>-9.4062884413333701E-4</c:v>
                </c:pt>
                <c:pt idx="33">
                  <c:v>-8.0279759829962095E-4</c:v>
                </c:pt>
                <c:pt idx="34">
                  <c:v>-7.7382258289287499E-4</c:v>
                </c:pt>
                <c:pt idx="35">
                  <c:v>-5.8940782458978503E-4</c:v>
                </c:pt>
                <c:pt idx="36">
                  <c:v>-6.8354722421418298E-4</c:v>
                </c:pt>
                <c:pt idx="37">
                  <c:v>-1.09927278646303E-3</c:v>
                </c:pt>
                <c:pt idx="38">
                  <c:v>-6.43887079578976E-4</c:v>
                </c:pt>
                <c:pt idx="39">
                  <c:v>-5.3897639786812401E-4</c:v>
                </c:pt>
                <c:pt idx="40">
                  <c:v>-2.8458818033722498E-4</c:v>
                </c:pt>
                <c:pt idx="41">
                  <c:v>-6.39279941574101E-4</c:v>
                </c:pt>
                <c:pt idx="42">
                  <c:v>-9.9868812347899999E-4</c:v>
                </c:pt>
                <c:pt idx="43">
                  <c:v>1.6062038828262601E-4</c:v>
                </c:pt>
                <c:pt idx="44">
                  <c:v>1.7512720067001399E-4</c:v>
                </c:pt>
                <c:pt idx="45">
                  <c:v>-7.0806363680657599E-4</c:v>
                </c:pt>
                <c:pt idx="46">
                  <c:v>-3.1868751892538498E-4</c:v>
                </c:pt>
                <c:pt idx="47">
                  <c:v>-1.7193288373096901E-4</c:v>
                </c:pt>
                <c:pt idx="48">
                  <c:v>-8.7958148787743902E-4</c:v>
                </c:pt>
                <c:pt idx="49">
                  <c:v>-1.9887265033004001E-4</c:v>
                </c:pt>
                <c:pt idx="50">
                  <c:v>-3.0244212352398801E-4</c:v>
                </c:pt>
                <c:pt idx="51">
                  <c:v>-6.2253257036964504E-4</c:v>
                </c:pt>
                <c:pt idx="52">
                  <c:v>-8.6547296491759304E-4</c:v>
                </c:pt>
                <c:pt idx="53">
                  <c:v>-3.4517430702926798E-3</c:v>
                </c:pt>
                <c:pt idx="54">
                  <c:v>-2.84796745743666E-3</c:v>
                </c:pt>
                <c:pt idx="55">
                  <c:v>7.5056815537955998E-4</c:v>
                </c:pt>
                <c:pt idx="56">
                  <c:v>1.05452635426088E-4</c:v>
                </c:pt>
                <c:pt idx="57">
                  <c:v>5.9428096773588999E-4</c:v>
                </c:pt>
                <c:pt idx="58">
                  <c:v>-1.6777963175478299E-4</c:v>
                </c:pt>
                <c:pt idx="59">
                  <c:v>-1.42382295188828E-4</c:v>
                </c:pt>
                <c:pt idx="60">
                  <c:v>2.58363063763456E-4</c:v>
                </c:pt>
                <c:pt idx="61">
                  <c:v>1.0821577562981499E-4</c:v>
                </c:pt>
                <c:pt idx="62">
                  <c:v>9.9761643337573205E-5</c:v>
                </c:pt>
                <c:pt idx="63">
                  <c:v>4.9786647792573601E-4</c:v>
                </c:pt>
                <c:pt idx="64">
                  <c:v>-1.19054742572659E-4</c:v>
                </c:pt>
                <c:pt idx="65">
                  <c:v>-1.1165755499869399E-4</c:v>
                </c:pt>
                <c:pt idx="66">
                  <c:v>-2.22570672731362E-4</c:v>
                </c:pt>
                <c:pt idx="67">
                  <c:v>-2.31281855528981E-4</c:v>
                </c:pt>
                <c:pt idx="68">
                  <c:v>-5.8054829112193804E-4</c:v>
                </c:pt>
                <c:pt idx="69">
                  <c:v>2.7114871503055199E-4</c:v>
                </c:pt>
                <c:pt idx="70">
                  <c:v>2.00654281201894E-4</c:v>
                </c:pt>
                <c:pt idx="71">
                  <c:v>-5.3769777145225598E-4</c:v>
                </c:pt>
                <c:pt idx="72">
                  <c:v>2.4193764111042699E-4</c:v>
                </c:pt>
                <c:pt idx="73">
                  <c:v>-2.93465397081411E-5</c:v>
                </c:pt>
                <c:pt idx="74">
                  <c:v>1.3993054368879599E-4</c:v>
                </c:pt>
                <c:pt idx="75">
                  <c:v>2.6469486040866402E-4</c:v>
                </c:pt>
                <c:pt idx="76">
                  <c:v>6.0299655711960399E-4</c:v>
                </c:pt>
                <c:pt idx="77">
                  <c:v>2.6418206420750602E-4</c:v>
                </c:pt>
                <c:pt idx="78">
                  <c:v>2.1787864248681499E-4</c:v>
                </c:pt>
                <c:pt idx="79">
                  <c:v>6.9069118402558902E-5</c:v>
                </c:pt>
                <c:pt idx="80">
                  <c:v>3.8525645656076001E-4</c:v>
                </c:pt>
                <c:pt idx="81">
                  <c:v>3.4945823539204199E-4</c:v>
                </c:pt>
                <c:pt idx="82">
                  <c:v>4.51368077540241E-4</c:v>
                </c:pt>
                <c:pt idx="83">
                  <c:v>1.9815639269207599E-4</c:v>
                </c:pt>
                <c:pt idx="84">
                  <c:v>4.1958866439739602E-4</c:v>
                </c:pt>
                <c:pt idx="85">
                  <c:v>4.1510594238948403E-4</c:v>
                </c:pt>
                <c:pt idx="86">
                  <c:v>-2.19441308029715E-5</c:v>
                </c:pt>
                <c:pt idx="87">
                  <c:v>4.9923386811114697E-5</c:v>
                </c:pt>
                <c:pt idx="88">
                  <c:v>5.7075853589860803E-4</c:v>
                </c:pt>
                <c:pt idx="89">
                  <c:v>3.2901488916018898E-4</c:v>
                </c:pt>
                <c:pt idx="90">
                  <c:v>8.5912041840294597E-4</c:v>
                </c:pt>
                <c:pt idx="91">
                  <c:v>1.1433123973951501E-3</c:v>
                </c:pt>
                <c:pt idx="92">
                  <c:v>8.5603672421312004E-4</c:v>
                </c:pt>
                <c:pt idx="93">
                  <c:v>9.0144202028263399E-4</c:v>
                </c:pt>
                <c:pt idx="94">
                  <c:v>6.5656804014301701E-4</c:v>
                </c:pt>
                <c:pt idx="95">
                  <c:v>5.3433752030667802E-4</c:v>
                </c:pt>
                <c:pt idx="96">
                  <c:v>5.7031468072560798E-4</c:v>
                </c:pt>
                <c:pt idx="97">
                  <c:v>4.9340069698374596E-4</c:v>
                </c:pt>
                <c:pt idx="98">
                  <c:v>7.2376407778608801E-4</c:v>
                </c:pt>
                <c:pt idx="99">
                  <c:v>1.03925610966365E-3</c:v>
                </c:pt>
                <c:pt idx="100">
                  <c:v>5.4751684031613998E-4</c:v>
                </c:pt>
                <c:pt idx="101">
                  <c:v>3.8456130264926102E-4</c:v>
                </c:pt>
                <c:pt idx="102">
                  <c:v>1.19005833631992E-3</c:v>
                </c:pt>
                <c:pt idx="103">
                  <c:v>8.5460199399933995E-4</c:v>
                </c:pt>
                <c:pt idx="104">
                  <c:v>6.8589976500511396E-4</c:v>
                </c:pt>
                <c:pt idx="105">
                  <c:v>8.7401362389766095E-4</c:v>
                </c:pt>
                <c:pt idx="106">
                  <c:v>6.8487581542555102E-4</c:v>
                </c:pt>
                <c:pt idx="107">
                  <c:v>1.22225669576064E-3</c:v>
                </c:pt>
                <c:pt idx="108">
                  <c:v>1.3224698181415399E-3</c:v>
                </c:pt>
                <c:pt idx="109">
                  <c:v>1.05809459756498E-3</c:v>
                </c:pt>
                <c:pt idx="110">
                  <c:v>1.0878219414444999E-3</c:v>
                </c:pt>
                <c:pt idx="111">
                  <c:v>9.2467454305778798E-4</c:v>
                </c:pt>
                <c:pt idx="112">
                  <c:v>6.1545098637542396E-4</c:v>
                </c:pt>
                <c:pt idx="113">
                  <c:v>1.3393419968998599E-3</c:v>
                </c:pt>
                <c:pt idx="114">
                  <c:v>4.5343177505098299E-4</c:v>
                </c:pt>
                <c:pt idx="115">
                  <c:v>-2.8877926039800801E-3</c:v>
                </c:pt>
                <c:pt idx="116">
                  <c:v>-3.1925254327243098E-3</c:v>
                </c:pt>
                <c:pt idx="117">
                  <c:v>-2.7174742291604299E-3</c:v>
                </c:pt>
                <c:pt idx="118">
                  <c:v>2.8388792111844199E-5</c:v>
                </c:pt>
                <c:pt idx="119">
                  <c:v>1.9067876224549802E-5</c:v>
                </c:pt>
                <c:pt idx="120">
                  <c:v>1.5096225814368401E-4</c:v>
                </c:pt>
                <c:pt idx="121">
                  <c:v>4.4269683828436001E-5</c:v>
                </c:pt>
                <c:pt idx="122">
                  <c:v>2.1790753969033199E-4</c:v>
                </c:pt>
                <c:pt idx="123">
                  <c:v>-7.5295175290388599E-5</c:v>
                </c:pt>
                <c:pt idx="124">
                  <c:v>1.1104621657236E-4</c:v>
                </c:pt>
                <c:pt idx="125">
                  <c:v>5.4424313123210095E-4</c:v>
                </c:pt>
                <c:pt idx="126">
                  <c:v>4.0544407049975903E-5</c:v>
                </c:pt>
                <c:pt idx="127">
                  <c:v>3.2137418307574302E-4</c:v>
                </c:pt>
                <c:pt idx="128">
                  <c:v>4.0231031473662301E-4</c:v>
                </c:pt>
                <c:pt idx="129">
                  <c:v>3.4967355504569799E-4</c:v>
                </c:pt>
                <c:pt idx="130">
                  <c:v>4.3138168576339501E-4</c:v>
                </c:pt>
                <c:pt idx="131">
                  <c:v>4.57802520756618E-4</c:v>
                </c:pt>
                <c:pt idx="132">
                  <c:v>-1.7051740207414901E-4</c:v>
                </c:pt>
                <c:pt idx="133">
                  <c:v>6.2592644826090502E-4</c:v>
                </c:pt>
                <c:pt idx="134">
                  <c:v>7.8682978578142502E-4</c:v>
                </c:pt>
                <c:pt idx="135">
                  <c:v>9.4128379149882005E-4</c:v>
                </c:pt>
                <c:pt idx="136">
                  <c:v>5.7929591773965604E-4</c:v>
                </c:pt>
                <c:pt idx="137">
                  <c:v>8.1036010011384298E-4</c:v>
                </c:pt>
                <c:pt idx="138">
                  <c:v>7.1655195854104499E-4</c:v>
                </c:pt>
                <c:pt idx="139">
                  <c:v>5.27233222673884E-4</c:v>
                </c:pt>
                <c:pt idx="140">
                  <c:v>6.0934629047869403E-4</c:v>
                </c:pt>
                <c:pt idx="141">
                  <c:v>1.1594191116200601E-3</c:v>
                </c:pt>
                <c:pt idx="142">
                  <c:v>1.0838717426403599E-3</c:v>
                </c:pt>
                <c:pt idx="143">
                  <c:v>1.31380153629071E-3</c:v>
                </c:pt>
                <c:pt idx="144">
                  <c:v>2.37655441794945E-4</c:v>
                </c:pt>
                <c:pt idx="145">
                  <c:v>8.0849571529607097E-4</c:v>
                </c:pt>
                <c:pt idx="146">
                  <c:v>1.04314867412723E-3</c:v>
                </c:pt>
                <c:pt idx="147">
                  <c:v>3.1701017011053298E-4</c:v>
                </c:pt>
                <c:pt idx="148">
                  <c:v>2.6664169024658799E-4</c:v>
                </c:pt>
                <c:pt idx="149">
                  <c:v>6.2703910963259296E-4</c:v>
                </c:pt>
                <c:pt idx="150">
                  <c:v>1.1288974704585901E-3</c:v>
                </c:pt>
                <c:pt idx="151">
                  <c:v>7.7574218674636105E-4</c:v>
                </c:pt>
                <c:pt idx="152">
                  <c:v>1.1330923881738399E-3</c:v>
                </c:pt>
                <c:pt idx="153">
                  <c:v>6.3096705534936796E-4</c:v>
                </c:pt>
                <c:pt idx="154">
                  <c:v>6.6610581802733202E-4</c:v>
                </c:pt>
                <c:pt idx="155">
                  <c:v>1.19581451960765E-3</c:v>
                </c:pt>
                <c:pt idx="156">
                  <c:v>1.7989280274511001E-4</c:v>
                </c:pt>
                <c:pt idx="157">
                  <c:v>1.0164113910111499E-3</c:v>
                </c:pt>
                <c:pt idx="158">
                  <c:v>3.8361631671372001E-4</c:v>
                </c:pt>
                <c:pt idx="159">
                  <c:v>1.9268879731872601E-4</c:v>
                </c:pt>
                <c:pt idx="160">
                  <c:v>2.4295208774072701E-4</c:v>
                </c:pt>
                <c:pt idx="161">
                  <c:v>3.28760598350464E-4</c:v>
                </c:pt>
                <c:pt idx="162">
                  <c:v>5.4183476239942705E-4</c:v>
                </c:pt>
                <c:pt idx="163">
                  <c:v>8.1951014870427802E-4</c:v>
                </c:pt>
                <c:pt idx="164">
                  <c:v>1.17211243233729E-3</c:v>
                </c:pt>
                <c:pt idx="165">
                  <c:v>1.0343146307805499E-3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FHLC x 10 dma / VHT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-3.0784923680710701E-3</c:v>
                </c:pt>
                <c:pt idx="54">
                  <c:v>-2.11308571173624E-3</c:v>
                </c:pt>
                <c:pt idx="55">
                  <c:v>1.78789564620585E-3</c:v>
                </c:pt>
                <c:pt idx="56">
                  <c:v>9.970606436582939E-4</c:v>
                </c:pt>
                <c:pt idx="57">
                  <c:v>1.44350734366416E-3</c:v>
                </c:pt>
                <c:pt idx="58">
                  <c:v>6.0490363409114098E-4</c:v>
                </c:pt>
                <c:pt idx="59">
                  <c:v>5.5913597322643899E-4</c:v>
                </c:pt>
                <c:pt idx="60">
                  <c:v>9.5423527894973701E-4</c:v>
                </c:pt>
                <c:pt idx="61">
                  <c:v>7.4804367705784099E-4</c:v>
                </c:pt>
                <c:pt idx="62">
                  <c:v>6.6653999864816802E-4</c:v>
                </c:pt>
                <c:pt idx="63">
                  <c:v>9.6813446291076804E-4</c:v>
                </c:pt>
                <c:pt idx="64">
                  <c:v>-4.4223940019247297E-5</c:v>
                </c:pt>
                <c:pt idx="65">
                  <c:v>-3.1014014287329E-4</c:v>
                </c:pt>
                <c:pt idx="66">
                  <c:v>-3.3484483289819599E-4</c:v>
                </c:pt>
                <c:pt idx="67">
                  <c:v>-3.1074861869634601E-4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2.0367384745507801E-4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2.9830890835490299E-5</c:v>
                </c:pt>
                <c:pt idx="74">
                  <c:v>2.5181241957027497E-4</c:v>
                </c:pt>
                <c:pt idx="75">
                  <c:v>3.5068104000964299E-4</c:v>
                </c:pt>
                <c:pt idx="76">
                  <c:v>6.5135290237575301E-4</c:v>
                </c:pt>
                <c:pt idx="77">
                  <c:v>2.2999797091567299E-4</c:v>
                </c:pt>
                <c:pt idx="78">
                  <c:v>1.34146050545201E-4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1.87608589024297E-4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9.2851373005175503E-5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3.1738621161687698E-4</c:v>
                </c:pt>
                <c:pt idx="89">
                  <c:v>4.03589262539702E-5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-4.1530598419469601E-5</c:v>
                </c:pt>
                <c:pt idx="96">
                  <c:v>-1.7477872940460801E-5</c:v>
                </c:pt>
                <c:pt idx="97">
                  <c:v>-1.53638070303427E-4</c:v>
                </c:pt>
                <c:pt idx="98">
                  <c:v>3.2359944758987303E-5</c:v>
                </c:pt>
                <c:pt idx="99">
                  <c:v>3.3255062994308601E-4</c:v>
                </c:pt>
                <c:pt idx="100">
                  <c:v>-2.3021688842501001E-4</c:v>
                </c:pt>
                <c:pt idx="101">
                  <c:v>-3.6201023481600498E-4</c:v>
                </c:pt>
                <c:pt idx="102">
                  <c:v>5.1935771429518997E-4</c:v>
                </c:pt>
                <c:pt idx="103">
                  <c:v>1.50510420212184E-4</c:v>
                </c:pt>
                <c:pt idx="104">
                  <c:v>-1.3508631739240999E-5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2.0543072020266101E-4</c:v>
                </c:pt>
                <c:pt idx="111">
                  <c:v>-1.1752145910528401E-5</c:v>
                </c:pt>
                <c:pt idx="112">
                  <c:v>-3.7500370978642999E-4</c:v>
                </c:pt>
                <c:pt idx="113">
                  <c:v>4.0635142495824898E-4</c:v>
                </c:pt>
                <c:pt idx="114">
                  <c:v>-5.2802602398854001E-4</c:v>
                </c:pt>
                <c:pt idx="115">
                  <c:v>-3.8459942995793502E-3</c:v>
                </c:pt>
                <c:pt idx="116">
                  <c:v>-3.7738773440630599E-3</c:v>
                </c:pt>
                <c:pt idx="117">
                  <c:v>-2.9104489755429098E-3</c:v>
                </c:pt>
                <c:pt idx="118">
                  <c:v>2.2968039898417701E-4</c:v>
                </c:pt>
                <c:pt idx="119">
                  <c:v>3.4964583181113803E-4</c:v>
                </c:pt>
                <c:pt idx="120">
                  <c:v>5.8534723367083296E-4</c:v>
                </c:pt>
                <c:pt idx="121">
                  <c:v>5.7223757996309899E-4</c:v>
                </c:pt>
                <c:pt idx="122">
                  <c:v>8.3382296648763104E-4</c:v>
                </c:pt>
                <c:pt idx="123">
                  <c:v>5.8033277894573997E-4</c:v>
                </c:pt>
                <c:pt idx="124">
                  <c:v>9.0794588176770395E-4</c:v>
                </c:pt>
                <c:pt idx="125">
                  <c:v>1.3753438393594899E-3</c:v>
                </c:pt>
                <c:pt idx="126">
                  <c:v>5.2826548465917703E-4</c:v>
                </c:pt>
                <c:pt idx="127">
                  <c:v>4.85383710183598E-4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2.2069465035106099E-4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3.8469740333460202E-4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1.6068288623864301E-4</c:v>
                </c:pt>
                <c:pt idx="137">
                  <c:v>3.3786460909556099E-4</c:v>
                </c:pt>
                <c:pt idx="138">
                  <c:v>1.95161245508607E-4</c:v>
                </c:pt>
                <c:pt idx="139">
                  <c:v>-2.55809532143287E-5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-5.1393033794706205E-4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4.5614232877306198E-4</c:v>
                </c:pt>
                <c:pt idx="156">
                  <c:v>-5.9850185334481504E-4</c:v>
                </c:pt>
                <c:pt idx="157">
                  <c:v>3.2435300434839398E-4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FHLC x 20 dma / VHT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-2.91237848283263E-3</c:v>
                </c:pt>
                <c:pt idx="54">
                  <c:v>-2.17595387500428E-3</c:v>
                </c:pt>
                <c:pt idx="55">
                  <c:v>1.5264017881995099E-3</c:v>
                </c:pt>
                <c:pt idx="56">
                  <c:v>8.1434257769345602E-4</c:v>
                </c:pt>
                <c:pt idx="57">
                  <c:v>1.26373669779316E-3</c:v>
                </c:pt>
                <c:pt idx="58">
                  <c:v>4.1703011794111302E-4</c:v>
                </c:pt>
                <c:pt idx="59">
                  <c:v>4.18626058858742E-4</c:v>
                </c:pt>
                <c:pt idx="60">
                  <c:v>7.9954588460023597E-4</c:v>
                </c:pt>
                <c:pt idx="61">
                  <c:v>6.2226499785147103E-4</c:v>
                </c:pt>
                <c:pt idx="62">
                  <c:v>5.7644466784216499E-4</c:v>
                </c:pt>
                <c:pt idx="63">
                  <c:v>9.1962699807309899E-4</c:v>
                </c:pt>
                <c:pt idx="64">
                  <c:v>2.85855989959205E-4</c:v>
                </c:pt>
                <c:pt idx="65">
                  <c:v>3.0795579978364703E-4</c:v>
                </c:pt>
                <c:pt idx="66">
                  <c:v>1.6722222372213299E-4</c:v>
                </c:pt>
                <c:pt idx="67">
                  <c:v>1.5370575971617801E-4</c:v>
                </c:pt>
                <c:pt idx="68">
                  <c:v>-1.92593775809285E-4</c:v>
                </c:pt>
                <c:pt idx="69">
                  <c:v>6.44146342602658E-4</c:v>
                </c:pt>
                <c:pt idx="70">
                  <c:v>5.5016017751967805E-4</c:v>
                </c:pt>
                <c:pt idx="71">
                  <c:v>-2.1333950142573901E-4</c:v>
                </c:pt>
                <c:pt idx="72">
                  <c:v>5.6205307719602905E-4</c:v>
                </c:pt>
                <c:pt idx="73">
                  <c:v>2.35397292486611E-4</c:v>
                </c:pt>
                <c:pt idx="74">
                  <c:v>2.33287054504023E-4</c:v>
                </c:pt>
                <c:pt idx="75">
                  <c:v>2.0845677158150299E-4</c:v>
                </c:pt>
                <c:pt idx="76">
                  <c:v>5.7104087493427204E-4</c:v>
                </c:pt>
                <c:pt idx="77">
                  <c:v>2.0735689229298601E-4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3.6278107842185702E-4</c:v>
                </c:pt>
                <c:pt idx="83">
                  <c:v>9.1992204118700101E-5</c:v>
                </c:pt>
                <c:pt idx="84">
                  <c:v>3.2840624415012698E-4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1.02889040985792E-4</c:v>
                </c:pt>
                <c:pt idx="90">
                  <c:v>6.3010147130614297E-4</c:v>
                </c:pt>
                <c:pt idx="91">
                  <c:v>8.81379505278414E-4</c:v>
                </c:pt>
                <c:pt idx="92">
                  <c:v>5.1005321705001002E-4</c:v>
                </c:pt>
                <c:pt idx="93">
                  <c:v>5.2475931985219103E-4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5.4159723402474804E-4</c:v>
                </c:pt>
                <c:pt idx="100">
                  <c:v>1.35017761060686E-6</c:v>
                </c:pt>
                <c:pt idx="101">
                  <c:v>-1.6971905945164901E-4</c:v>
                </c:pt>
                <c:pt idx="102">
                  <c:v>6.3402249059569898E-4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5.6644611876999304E-4</c:v>
                </c:pt>
                <c:pt idx="109">
                  <c:v>2.6449178987880798E-4</c:v>
                </c:pt>
                <c:pt idx="110">
                  <c:v>2.57760835601567E-4</c:v>
                </c:pt>
                <c:pt idx="111">
                  <c:v>8.3179935463369498E-5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-3.7180560968218001E-3</c:v>
                </c:pt>
                <c:pt idx="116">
                  <c:v>-3.8513532775576302E-3</c:v>
                </c:pt>
                <c:pt idx="117">
                  <c:v>-3.1878067309878402E-3</c:v>
                </c:pt>
                <c:pt idx="118">
                  <c:v>-2.81158580367282E-4</c:v>
                </c:pt>
                <c:pt idx="119">
                  <c:v>-2.5571364866564601E-4</c:v>
                </c:pt>
                <c:pt idx="120">
                  <c:v>-7.2824127285169498E-5</c:v>
                </c:pt>
                <c:pt idx="121">
                  <c:v>-1.5969165617481701E-4</c:v>
                </c:pt>
                <c:pt idx="122">
                  <c:v>3.0960458095050698E-5</c:v>
                </c:pt>
                <c:pt idx="123">
                  <c:v>-2.13661020573598E-4</c:v>
                </c:pt>
                <c:pt idx="124">
                  <c:v>1.9162469006980199E-5</c:v>
                </c:pt>
                <c:pt idx="125">
                  <c:v>4.81092837829378E-4</c:v>
                </c:pt>
                <c:pt idx="126">
                  <c:v>-6.1281451895846096E-6</c:v>
                </c:pt>
                <c:pt idx="127">
                  <c:v>3.0690750315975099E-4</c:v>
                </c:pt>
                <c:pt idx="128">
                  <c:v>4.3285264785830602E-4</c:v>
                </c:pt>
                <c:pt idx="129">
                  <c:v>4.2618174483757902E-4</c:v>
                </c:pt>
                <c:pt idx="130">
                  <c:v>5.4328267055722397E-4</c:v>
                </c:pt>
                <c:pt idx="131">
                  <c:v>6.0249638921549696E-4</c:v>
                </c:pt>
                <c:pt idx="132">
                  <c:v>-2.4997098094714601E-6</c:v>
                </c:pt>
                <c:pt idx="133">
                  <c:v>8.3322644697188697E-4</c:v>
                </c:pt>
                <c:pt idx="134">
                  <c:v>1.0297575073701E-3</c:v>
                </c:pt>
                <c:pt idx="135">
                  <c:v>1.1675558546619801E-3</c:v>
                </c:pt>
                <c:pt idx="136">
                  <c:v>6.1395262097993096E-4</c:v>
                </c:pt>
                <c:pt idx="137">
                  <c:v>6.5616776048745397E-4</c:v>
                </c:pt>
                <c:pt idx="138">
                  <c:v>3.8575671141839502E-4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6.14590015465514E-4</c:v>
                </c:pt>
                <c:pt idx="143">
                  <c:v>8.0122852314531198E-4</c:v>
                </c:pt>
                <c:pt idx="144">
                  <c:v>-3.4436741503933498E-4</c:v>
                </c:pt>
                <c:pt idx="145">
                  <c:v>2.2013979586462E-4</c:v>
                </c:pt>
                <c:pt idx="146">
                  <c:v>4.4158120102004699E-4</c:v>
                </c:pt>
                <c:pt idx="147">
                  <c:v>-3.34691769073704E-4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8.2301379026596794E-5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-6.0158221713815102E-4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3.6083845642015399E-4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-2.8403670585114022E-4</c:v>
                </c:pt>
                <c:pt idx="7">
                  <c:v>1.8633848796585986E-4</c:v>
                </c:pt>
                <c:pt idx="8">
                  <c:v>-8.8364623808698988E-4</c:v>
                </c:pt>
                <c:pt idx="9">
                  <c:v>-1.4761995906789707E-3</c:v>
                </c:pt>
                <c:pt idx="10">
                  <c:v>-1.4200956019004877E-3</c:v>
                </c:pt>
                <c:pt idx="11">
                  <c:v>-1.1321141266238579E-3</c:v>
                </c:pt>
                <c:pt idx="12">
                  <c:v>-1.1577705030948178E-3</c:v>
                </c:pt>
                <c:pt idx="13">
                  <c:v>-1.2956017489284175E-3</c:v>
                </c:pt>
                <c:pt idx="14">
                  <c:v>-1.3245767643351582E-3</c:v>
                </c:pt>
                <c:pt idx="15">
                  <c:v>-1.5089915226383379E-3</c:v>
                </c:pt>
                <c:pt idx="16">
                  <c:v>-1.414852123013741E-3</c:v>
                </c:pt>
                <c:pt idx="17">
                  <c:v>-9.9912656076505085E-4</c:v>
                </c:pt>
                <c:pt idx="18">
                  <c:v>-1.454512267649051E-3</c:v>
                </c:pt>
                <c:pt idx="19">
                  <c:v>-1.5594229493600196E-3</c:v>
                </c:pt>
                <c:pt idx="20">
                  <c:v>-1.8138111668910193E-3</c:v>
                </c:pt>
                <c:pt idx="21">
                  <c:v>-1.4591194056541191E-3</c:v>
                </c:pt>
                <c:pt idx="22">
                  <c:v>-1.0997112237490184E-3</c:v>
                </c:pt>
                <c:pt idx="23">
                  <c:v>-1.0997112237490184E-3</c:v>
                </c:pt>
                <c:pt idx="24">
                  <c:v>-1.0997112237490184E-3</c:v>
                </c:pt>
                <c:pt idx="25">
                  <c:v>-1.0997112237490184E-3</c:v>
                </c:pt>
                <c:pt idx="26">
                  <c:v>-1.0997112237490184E-3</c:v>
                </c:pt>
                <c:pt idx="27">
                  <c:v>-1.0997112237490184E-3</c:v>
                </c:pt>
                <c:pt idx="28">
                  <c:v>-1.0997112237490184E-3</c:v>
                </c:pt>
                <c:pt idx="29">
                  <c:v>-1.0997112237490184E-3</c:v>
                </c:pt>
                <c:pt idx="30">
                  <c:v>-9.9614175055512855E-4</c:v>
                </c:pt>
                <c:pt idx="31">
                  <c:v>-6.7605130370942718E-4</c:v>
                </c:pt>
                <c:pt idx="32">
                  <c:v>-4.3311090916162728E-4</c:v>
                </c:pt>
                <c:pt idx="33">
                  <c:v>-4.3311090916162728E-4</c:v>
                </c:pt>
                <c:pt idx="34">
                  <c:v>1.7066470369415249E-4</c:v>
                </c:pt>
                <c:pt idx="35">
                  <c:v>1.7066470369415249E-4</c:v>
                </c:pt>
                <c:pt idx="36">
                  <c:v>1.7066470369415249E-4</c:v>
                </c:pt>
                <c:pt idx="37">
                  <c:v>1.7066470369415249E-4</c:v>
                </c:pt>
                <c:pt idx="38">
                  <c:v>1.7066470369415249E-4</c:v>
                </c:pt>
                <c:pt idx="39">
                  <c:v>1.7066470369415249E-4</c:v>
                </c:pt>
                <c:pt idx="40">
                  <c:v>1.7066470369415249E-4</c:v>
                </c:pt>
                <c:pt idx="41">
                  <c:v>1.7066470369415249E-4</c:v>
                </c:pt>
                <c:pt idx="42">
                  <c:v>1.7066470369415249E-4</c:v>
                </c:pt>
                <c:pt idx="43">
                  <c:v>5.6876953828211268E-4</c:v>
                </c:pt>
                <c:pt idx="44">
                  <c:v>-4.8151682216197346E-5</c:v>
                </c:pt>
                <c:pt idx="45">
                  <c:v>-4.0754494642095997E-5</c:v>
                </c:pt>
                <c:pt idx="46">
                  <c:v>-4.0754494642095997E-5</c:v>
                </c:pt>
                <c:pt idx="47">
                  <c:v>-4.0754494642095997E-5</c:v>
                </c:pt>
                <c:pt idx="48">
                  <c:v>3.0851194095085372E-4</c:v>
                </c:pt>
                <c:pt idx="49">
                  <c:v>-5.431850652016755E-4</c:v>
                </c:pt>
                <c:pt idx="50">
                  <c:v>-4.7269063137293614E-4</c:v>
                </c:pt>
                <c:pt idx="51">
                  <c:v>2.6566142128124463E-4</c:v>
                </c:pt>
                <c:pt idx="52">
                  <c:v>-5.1397399128135651E-4</c:v>
                </c:pt>
                <c:pt idx="53">
                  <c:v>-2.4268981046295622E-4</c:v>
                </c:pt>
                <c:pt idx="54">
                  <c:v>-4.1196689385985565E-4</c:v>
                </c:pt>
                <c:pt idx="55">
                  <c:v>-5.3673121057969597E-4</c:v>
                </c:pt>
                <c:pt idx="56">
                  <c:v>-5.3673121057969597E-4</c:v>
                </c:pt>
                <c:pt idx="57">
                  <c:v>-8.7554570349179751E-4</c:v>
                </c:pt>
                <c:pt idx="58">
                  <c:v>-9.2184912521246732E-4</c:v>
                </c:pt>
                <c:pt idx="59">
                  <c:v>-9.2184912521246732E-4</c:v>
                </c:pt>
                <c:pt idx="60">
                  <c:v>-9.2184912521246732E-4</c:v>
                </c:pt>
                <c:pt idx="61">
                  <c:v>-9.2184912521246732E-4</c:v>
                </c:pt>
                <c:pt idx="62">
                  <c:v>-9.2184912521246732E-4</c:v>
                </c:pt>
                <c:pt idx="63">
                  <c:v>-6.686374403641524E-4</c:v>
                </c:pt>
                <c:pt idx="64">
                  <c:v>-8.9006971206970252E-4</c:v>
                </c:pt>
                <c:pt idx="65">
                  <c:v>-8.855869900615326E-4</c:v>
                </c:pt>
                <c:pt idx="66">
                  <c:v>-4.4853691686923269E-4</c:v>
                </c:pt>
                <c:pt idx="67">
                  <c:v>-5.2040443448328217E-4</c:v>
                </c:pt>
                <c:pt idx="68">
                  <c:v>-1.0412395835708022E-3</c:v>
                </c:pt>
                <c:pt idx="69">
                  <c:v>-7.9949593683219938E-4</c:v>
                </c:pt>
                <c:pt idx="70">
                  <c:v>-1.3296014660749188E-3</c:v>
                </c:pt>
                <c:pt idx="71">
                  <c:v>-1.6137934450673507E-3</c:v>
                </c:pt>
                <c:pt idx="72">
                  <c:v>-1.6137934450673507E-3</c:v>
                </c:pt>
                <c:pt idx="73">
                  <c:v>-1.5683881489977104E-3</c:v>
                </c:pt>
                <c:pt idx="74">
                  <c:v>-1.8132621291377E-3</c:v>
                </c:pt>
                <c:pt idx="75">
                  <c:v>-1.9354926489740399E-3</c:v>
                </c:pt>
                <c:pt idx="76">
                  <c:v>-1.8995154885552302E-3</c:v>
                </c:pt>
                <c:pt idx="77">
                  <c:v>-1.8995154885552302E-3</c:v>
                </c:pt>
                <c:pt idx="78">
                  <c:v>-1.8995154885552302E-3</c:v>
                </c:pt>
                <c:pt idx="79">
                  <c:v>-1.8995154885552302E-3</c:v>
                </c:pt>
                <c:pt idx="80">
                  <c:v>-1.8995154885552302E-3</c:v>
                </c:pt>
                <c:pt idx="81">
                  <c:v>-1.8995154885552302E-3</c:v>
                </c:pt>
                <c:pt idx="82">
                  <c:v>-1.8995154885552302E-3</c:v>
                </c:pt>
                <c:pt idx="83">
                  <c:v>-2.2349718308757299E-3</c:v>
                </c:pt>
                <c:pt idx="84">
                  <c:v>-2.4036740598699698E-3</c:v>
                </c:pt>
                <c:pt idx="85">
                  <c:v>-2.2155602009773703E-3</c:v>
                </c:pt>
                <c:pt idx="86">
                  <c:v>-2.4046980094497802E-3</c:v>
                </c:pt>
                <c:pt idx="87">
                  <c:v>-1.86731712911459E-3</c:v>
                </c:pt>
                <c:pt idx="88">
                  <c:v>-1.76710400673379E-3</c:v>
                </c:pt>
                <c:pt idx="89">
                  <c:v>-2.0314792273101899E-3</c:v>
                </c:pt>
                <c:pt idx="90">
                  <c:v>-2.0017518834310492E-3</c:v>
                </c:pt>
                <c:pt idx="91">
                  <c:v>-2.0017518834310492E-3</c:v>
                </c:pt>
                <c:pt idx="92">
                  <c:v>-2.0017518834310492E-3</c:v>
                </c:pt>
                <c:pt idx="93">
                  <c:v>-2.0017518834310492E-3</c:v>
                </c:pt>
                <c:pt idx="94">
                  <c:v>-2.0017518834310492E-3</c:v>
                </c:pt>
                <c:pt idx="95">
                  <c:v>-2.0017518834310492E-3</c:v>
                </c:pt>
                <c:pt idx="96">
                  <c:v>-2.0017518834310492E-3</c:v>
                </c:pt>
                <c:pt idx="97">
                  <c:v>-2.0017518834310492E-3</c:v>
                </c:pt>
                <c:pt idx="98">
                  <c:v>-2.0017518834310492E-3</c:v>
                </c:pt>
                <c:pt idx="99">
                  <c:v>-2.0017518834310492E-3</c:v>
                </c:pt>
                <c:pt idx="100">
                  <c:v>-2.0017518834310492E-3</c:v>
                </c:pt>
                <c:pt idx="101">
                  <c:v>-2.0017518834310492E-3</c:v>
                </c:pt>
                <c:pt idx="102">
                  <c:v>-2.0017518834310492E-3</c:v>
                </c:pt>
                <c:pt idx="103">
                  <c:v>-2.0017518834310492E-3</c:v>
                </c:pt>
                <c:pt idx="104">
                  <c:v>-2.0017518834310492E-3</c:v>
                </c:pt>
                <c:pt idx="105">
                  <c:v>-2.0017518834310492E-3</c:v>
                </c:pt>
                <c:pt idx="106">
                  <c:v>-2.505450607612948E-3</c:v>
                </c:pt>
                <c:pt idx="107">
                  <c:v>-2.2246208315870484E-3</c:v>
                </c:pt>
                <c:pt idx="108">
                  <c:v>-2.1436846999263433E-3</c:v>
                </c:pt>
                <c:pt idx="109">
                  <c:v>-2.1963214596175422E-3</c:v>
                </c:pt>
                <c:pt idx="110">
                  <c:v>-2.1146133288995421E-3</c:v>
                </c:pt>
                <c:pt idx="111">
                  <c:v>-2.0881924939065446E-3</c:v>
                </c:pt>
                <c:pt idx="112">
                  <c:v>-2.7165124167371625E-3</c:v>
                </c:pt>
                <c:pt idx="113">
                  <c:v>-1.9200685664021648E-3</c:v>
                </c:pt>
                <c:pt idx="114">
                  <c:v>-1.7591652288817148E-3</c:v>
                </c:pt>
                <c:pt idx="115">
                  <c:v>-1.604711223164316E-3</c:v>
                </c:pt>
                <c:pt idx="116">
                  <c:v>-1.9666990969233562E-3</c:v>
                </c:pt>
                <c:pt idx="117">
                  <c:v>-1.7356349145491966E-3</c:v>
                </c:pt>
                <c:pt idx="118">
                  <c:v>-1.8294430561221972E-3</c:v>
                </c:pt>
                <c:pt idx="119">
                  <c:v>-1.8294430561221972E-3</c:v>
                </c:pt>
                <c:pt idx="120">
                  <c:v>-1.8294430561221972E-3</c:v>
                </c:pt>
                <c:pt idx="121">
                  <c:v>-1.8294430561221972E-3</c:v>
                </c:pt>
                <c:pt idx="122">
                  <c:v>-1.8294430561221972E-3</c:v>
                </c:pt>
                <c:pt idx="123">
                  <c:v>-1.8294430561221972E-3</c:v>
                </c:pt>
                <c:pt idx="124">
                  <c:v>-1.8294430561221972E-3</c:v>
                </c:pt>
                <c:pt idx="125">
                  <c:v>-1.8294430561221972E-3</c:v>
                </c:pt>
                <c:pt idx="126">
                  <c:v>-1.8294430561221972E-3</c:v>
                </c:pt>
                <c:pt idx="127">
                  <c:v>-1.8294430561221972E-3</c:v>
                </c:pt>
                <c:pt idx="128">
                  <c:v>-1.8294430561221972E-3</c:v>
                </c:pt>
                <c:pt idx="129">
                  <c:v>-1.4690456367362978E-3</c:v>
                </c:pt>
                <c:pt idx="130">
                  <c:v>-9.6718727590999753E-4</c:v>
                </c:pt>
                <c:pt idx="131">
                  <c:v>-1.3203425596221376E-3</c:v>
                </c:pt>
                <c:pt idx="132">
                  <c:v>-9.6299235819459787E-4</c:v>
                </c:pt>
                <c:pt idx="133">
                  <c:v>-1.4651176910192979E-3</c:v>
                </c:pt>
                <c:pt idx="134">
                  <c:v>-1.4299789283411077E-3</c:v>
                </c:pt>
                <c:pt idx="135">
                  <c:v>-9.0027022676071665E-4</c:v>
                </c:pt>
                <c:pt idx="136">
                  <c:v>-1.9161919436234173E-3</c:v>
                </c:pt>
                <c:pt idx="137">
                  <c:v>-1.9161919436234173E-3</c:v>
                </c:pt>
                <c:pt idx="138">
                  <c:v>-2.5489870179207169E-3</c:v>
                </c:pt>
                <c:pt idx="139">
                  <c:v>-2.7399145373157166E-3</c:v>
                </c:pt>
                <c:pt idx="140">
                  <c:v>-2.6896512468937359E-3</c:v>
                </c:pt>
                <c:pt idx="141">
                  <c:v>-2.6038427362841451E-3</c:v>
                </c:pt>
                <c:pt idx="142">
                  <c:v>-2.3907685722351756E-3</c:v>
                </c:pt>
                <c:pt idx="143">
                  <c:v>-2.3907685722351756E-3</c:v>
                </c:pt>
                <c:pt idx="144">
                  <c:v>-2.3907685722351756E-3</c:v>
                </c:pt>
                <c:pt idx="145">
                  <c:v>-2.3907685722351756E-3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-2.8403670585114022E-4</c:v>
                </c:pt>
                <c:pt idx="7">
                  <c:v>1.8633848796585986E-4</c:v>
                </c:pt>
                <c:pt idx="8">
                  <c:v>-8.8364623808698988E-4</c:v>
                </c:pt>
                <c:pt idx="9">
                  <c:v>-8.8364623808698988E-4</c:v>
                </c:pt>
                <c:pt idx="10">
                  <c:v>-8.8364623808698988E-4</c:v>
                </c:pt>
                <c:pt idx="11">
                  <c:v>-8.8364623808698988E-4</c:v>
                </c:pt>
                <c:pt idx="12">
                  <c:v>-8.8364623808698988E-4</c:v>
                </c:pt>
                <c:pt idx="13">
                  <c:v>-8.8364623808698988E-4</c:v>
                </c:pt>
                <c:pt idx="14">
                  <c:v>-8.8364623808698988E-4</c:v>
                </c:pt>
                <c:pt idx="15">
                  <c:v>-8.8364623808698988E-4</c:v>
                </c:pt>
                <c:pt idx="16">
                  <c:v>-8.8364623808698988E-4</c:v>
                </c:pt>
                <c:pt idx="17">
                  <c:v>-8.8364623808698988E-4</c:v>
                </c:pt>
                <c:pt idx="18">
                  <c:v>-8.8364623808698988E-4</c:v>
                </c:pt>
                <c:pt idx="19">
                  <c:v>-8.8364623808698988E-4</c:v>
                </c:pt>
                <c:pt idx="20">
                  <c:v>-8.8364623808698988E-4</c:v>
                </c:pt>
                <c:pt idx="21">
                  <c:v>-8.8364623808698988E-4</c:v>
                </c:pt>
                <c:pt idx="22">
                  <c:v>-8.8364623808698988E-4</c:v>
                </c:pt>
                <c:pt idx="23">
                  <c:v>-8.8364623808698988E-4</c:v>
                </c:pt>
                <c:pt idx="24">
                  <c:v>-8.8364623808698988E-4</c:v>
                </c:pt>
                <c:pt idx="25">
                  <c:v>-8.8364623808698988E-4</c:v>
                </c:pt>
                <c:pt idx="26">
                  <c:v>-8.8364623808698988E-4</c:v>
                </c:pt>
                <c:pt idx="27">
                  <c:v>-8.8364623808698988E-4</c:v>
                </c:pt>
                <c:pt idx="28">
                  <c:v>-8.8364623808698988E-4</c:v>
                </c:pt>
                <c:pt idx="29">
                  <c:v>-8.8364623808698988E-4</c:v>
                </c:pt>
                <c:pt idx="30">
                  <c:v>-8.8364623808698988E-4</c:v>
                </c:pt>
                <c:pt idx="31">
                  <c:v>-8.8364623808698988E-4</c:v>
                </c:pt>
                <c:pt idx="32">
                  <c:v>-8.8364623808698988E-4</c:v>
                </c:pt>
                <c:pt idx="33">
                  <c:v>-8.8364623808698988E-4</c:v>
                </c:pt>
                <c:pt idx="34">
                  <c:v>-2.7987062523121011E-4</c:v>
                </c:pt>
                <c:pt idx="35">
                  <c:v>-2.7987062523121011E-4</c:v>
                </c:pt>
                <c:pt idx="36">
                  <c:v>-2.7987062523121011E-4</c:v>
                </c:pt>
                <c:pt idx="37">
                  <c:v>-2.7987062523121011E-4</c:v>
                </c:pt>
                <c:pt idx="38">
                  <c:v>-2.7987062523121011E-4</c:v>
                </c:pt>
                <c:pt idx="39">
                  <c:v>-2.7987062523121011E-4</c:v>
                </c:pt>
                <c:pt idx="40">
                  <c:v>-2.7987062523121011E-4</c:v>
                </c:pt>
                <c:pt idx="41">
                  <c:v>-2.7987062523121011E-4</c:v>
                </c:pt>
                <c:pt idx="42">
                  <c:v>-2.7987062523121011E-4</c:v>
                </c:pt>
                <c:pt idx="43">
                  <c:v>1.1823420935675008E-4</c:v>
                </c:pt>
                <c:pt idx="44">
                  <c:v>-4.9868701114155994E-4</c:v>
                </c:pt>
                <c:pt idx="45">
                  <c:v>-4.9128982356745859E-4</c:v>
                </c:pt>
                <c:pt idx="46">
                  <c:v>-4.9128982356745859E-4</c:v>
                </c:pt>
                <c:pt idx="47">
                  <c:v>-4.9128982356745859E-4</c:v>
                </c:pt>
                <c:pt idx="48">
                  <c:v>-4.9128982356745859E-4</c:v>
                </c:pt>
                <c:pt idx="49">
                  <c:v>-4.9128982356745859E-4</c:v>
                </c:pt>
                <c:pt idx="50">
                  <c:v>-4.9128982356745859E-4</c:v>
                </c:pt>
                <c:pt idx="51">
                  <c:v>-4.9128982356745859E-4</c:v>
                </c:pt>
                <c:pt idx="52">
                  <c:v>-4.9128982356745859E-4</c:v>
                </c:pt>
                <c:pt idx="53">
                  <c:v>-4.9128982356745859E-4</c:v>
                </c:pt>
                <c:pt idx="54">
                  <c:v>-4.9128982356745859E-4</c:v>
                </c:pt>
                <c:pt idx="55">
                  <c:v>-4.9128982356745859E-4</c:v>
                </c:pt>
                <c:pt idx="56">
                  <c:v>-4.9128982356745859E-4</c:v>
                </c:pt>
                <c:pt idx="57">
                  <c:v>-8.3010431647956013E-4</c:v>
                </c:pt>
                <c:pt idx="58">
                  <c:v>-8.7640773820022995E-4</c:v>
                </c:pt>
                <c:pt idx="59">
                  <c:v>-8.7640773820022995E-4</c:v>
                </c:pt>
                <c:pt idx="60">
                  <c:v>-8.7640773820022995E-4</c:v>
                </c:pt>
                <c:pt idx="61">
                  <c:v>-8.7640773820022995E-4</c:v>
                </c:pt>
                <c:pt idx="62">
                  <c:v>-8.7640773820022995E-4</c:v>
                </c:pt>
                <c:pt idx="63">
                  <c:v>-8.7640773820022995E-4</c:v>
                </c:pt>
                <c:pt idx="64">
                  <c:v>-8.7640773820022995E-4</c:v>
                </c:pt>
                <c:pt idx="65">
                  <c:v>-8.7640773820022995E-4</c:v>
                </c:pt>
                <c:pt idx="66">
                  <c:v>-8.7640773820022995E-4</c:v>
                </c:pt>
                <c:pt idx="67">
                  <c:v>-8.7640773820022995E-4</c:v>
                </c:pt>
                <c:pt idx="68">
                  <c:v>-8.7640773820022995E-4</c:v>
                </c:pt>
                <c:pt idx="69">
                  <c:v>-8.7640773820022995E-4</c:v>
                </c:pt>
                <c:pt idx="70">
                  <c:v>-8.7640773820022995E-4</c:v>
                </c:pt>
                <c:pt idx="71">
                  <c:v>-8.7640773820022995E-4</c:v>
                </c:pt>
                <c:pt idx="72">
                  <c:v>-8.7640773820022995E-4</c:v>
                </c:pt>
                <c:pt idx="73">
                  <c:v>-8.3100244213058969E-4</c:v>
                </c:pt>
                <c:pt idx="74">
                  <c:v>-1.0758764222705793E-3</c:v>
                </c:pt>
                <c:pt idx="75">
                  <c:v>-1.1981069421069192E-3</c:v>
                </c:pt>
                <c:pt idx="76">
                  <c:v>-1.1621297816881095E-3</c:v>
                </c:pt>
                <c:pt idx="77">
                  <c:v>-1.1621297816881095E-3</c:v>
                </c:pt>
                <c:pt idx="78">
                  <c:v>-1.1621297816881095E-3</c:v>
                </c:pt>
                <c:pt idx="79">
                  <c:v>-1.1621297816881095E-3</c:v>
                </c:pt>
                <c:pt idx="80">
                  <c:v>-1.1621297816881095E-3</c:v>
                </c:pt>
                <c:pt idx="81">
                  <c:v>-1.1621297816881095E-3</c:v>
                </c:pt>
                <c:pt idx="82">
                  <c:v>-1.1621297816881095E-3</c:v>
                </c:pt>
                <c:pt idx="83">
                  <c:v>-1.4975861240086091E-3</c:v>
                </c:pt>
                <c:pt idx="84">
                  <c:v>-1.6662883530028491E-3</c:v>
                </c:pt>
                <c:pt idx="85">
                  <c:v>-1.4781744941102495E-3</c:v>
                </c:pt>
                <c:pt idx="86">
                  <c:v>-1.6673123025826595E-3</c:v>
                </c:pt>
                <c:pt idx="87">
                  <c:v>-1.1299314222474692E-3</c:v>
                </c:pt>
                <c:pt idx="88">
                  <c:v>-1.0297182998666693E-3</c:v>
                </c:pt>
                <c:pt idx="89">
                  <c:v>-1.2940935204430691E-3</c:v>
                </c:pt>
                <c:pt idx="90">
                  <c:v>-1.2643661765639285E-3</c:v>
                </c:pt>
                <c:pt idx="91">
                  <c:v>-1.2643661765639285E-3</c:v>
                </c:pt>
                <c:pt idx="92">
                  <c:v>-1.2643661765639285E-3</c:v>
                </c:pt>
                <c:pt idx="93">
                  <c:v>-1.2643661765639285E-3</c:v>
                </c:pt>
                <c:pt idx="94">
                  <c:v>-1.2643661765639285E-3</c:v>
                </c:pt>
                <c:pt idx="95">
                  <c:v>-1.2643661765639285E-3</c:v>
                </c:pt>
                <c:pt idx="96">
                  <c:v>-1.2643661765639285E-3</c:v>
                </c:pt>
                <c:pt idx="97">
                  <c:v>-1.2643661765639285E-3</c:v>
                </c:pt>
                <c:pt idx="98">
                  <c:v>-1.2643661765639285E-3</c:v>
                </c:pt>
                <c:pt idx="99">
                  <c:v>-1.2643661765639285E-3</c:v>
                </c:pt>
                <c:pt idx="100">
                  <c:v>-1.2643661765639285E-3</c:v>
                </c:pt>
                <c:pt idx="101">
                  <c:v>-1.2643661765639285E-3</c:v>
                </c:pt>
                <c:pt idx="102">
                  <c:v>-1.2643661765639285E-3</c:v>
                </c:pt>
                <c:pt idx="103">
                  <c:v>-1.2643661765639285E-3</c:v>
                </c:pt>
                <c:pt idx="104">
                  <c:v>-1.2643661765639285E-3</c:v>
                </c:pt>
                <c:pt idx="105">
                  <c:v>-1.2643661765639285E-3</c:v>
                </c:pt>
                <c:pt idx="106">
                  <c:v>-1.7680649007458273E-3</c:v>
                </c:pt>
                <c:pt idx="107">
                  <c:v>-1.4872351247199277E-3</c:v>
                </c:pt>
                <c:pt idx="108">
                  <c:v>-1.4062989930592228E-3</c:v>
                </c:pt>
                <c:pt idx="109">
                  <c:v>-1.4589357527504216E-3</c:v>
                </c:pt>
                <c:pt idx="110">
                  <c:v>-1.3772276220324216E-3</c:v>
                </c:pt>
                <c:pt idx="111">
                  <c:v>-1.3508067870394241E-3</c:v>
                </c:pt>
                <c:pt idx="112">
                  <c:v>-1.979126709870042E-3</c:v>
                </c:pt>
                <c:pt idx="113">
                  <c:v>-1.1826828595350443E-3</c:v>
                </c:pt>
                <c:pt idx="114">
                  <c:v>-1.0217795220145943E-3</c:v>
                </c:pt>
                <c:pt idx="115">
                  <c:v>-8.6732551629719549E-4</c:v>
                </c:pt>
                <c:pt idx="116">
                  <c:v>-1.2293133900562357E-3</c:v>
                </c:pt>
                <c:pt idx="117">
                  <c:v>-9.9824920768207606E-4</c:v>
                </c:pt>
                <c:pt idx="118">
                  <c:v>-1.0920573492550767E-3</c:v>
                </c:pt>
                <c:pt idx="119">
                  <c:v>-1.0920573492550767E-3</c:v>
                </c:pt>
                <c:pt idx="120">
                  <c:v>-1.0920573492550767E-3</c:v>
                </c:pt>
                <c:pt idx="121">
                  <c:v>-1.0920573492550767E-3</c:v>
                </c:pt>
                <c:pt idx="122">
                  <c:v>-1.0920573492550767E-3</c:v>
                </c:pt>
                <c:pt idx="123">
                  <c:v>-1.0920573492550767E-3</c:v>
                </c:pt>
                <c:pt idx="124">
                  <c:v>-1.0920573492550767E-3</c:v>
                </c:pt>
                <c:pt idx="125">
                  <c:v>-1.0920573492550767E-3</c:v>
                </c:pt>
                <c:pt idx="126">
                  <c:v>-1.0920573492550767E-3</c:v>
                </c:pt>
                <c:pt idx="127">
                  <c:v>-1.0920573492550767E-3</c:v>
                </c:pt>
                <c:pt idx="128">
                  <c:v>-1.0920573492550767E-3</c:v>
                </c:pt>
                <c:pt idx="129">
                  <c:v>-7.3165992986917727E-4</c:v>
                </c:pt>
                <c:pt idx="130">
                  <c:v>-2.2980156904287702E-4</c:v>
                </c:pt>
                <c:pt idx="131">
                  <c:v>-5.8295685275501713E-4</c:v>
                </c:pt>
                <c:pt idx="132">
                  <c:v>-2.2560665132747735E-4</c:v>
                </c:pt>
                <c:pt idx="133">
                  <c:v>-7.2773198415217741E-4</c:v>
                </c:pt>
                <c:pt idx="134">
                  <c:v>-6.9259322147398718E-4</c:v>
                </c:pt>
                <c:pt idx="135">
                  <c:v>-1.6288451989359613E-4</c:v>
                </c:pt>
                <c:pt idx="136">
                  <c:v>-1.1788062367562968E-3</c:v>
                </c:pt>
                <c:pt idx="137">
                  <c:v>-1.1788062367562968E-3</c:v>
                </c:pt>
                <c:pt idx="138">
                  <c:v>-1.8116013110535962E-3</c:v>
                </c:pt>
                <c:pt idx="139">
                  <c:v>-2.0025288304485961E-3</c:v>
                </c:pt>
                <c:pt idx="140">
                  <c:v>-1.9522655400266151E-3</c:v>
                </c:pt>
                <c:pt idx="141">
                  <c:v>-1.8664570294170243E-3</c:v>
                </c:pt>
                <c:pt idx="142">
                  <c:v>-1.6533828653680549E-3</c:v>
                </c:pt>
                <c:pt idx="143">
                  <c:v>-1.6533828653680549E-3</c:v>
                </c:pt>
                <c:pt idx="144">
                  <c:v>-1.6533828653680549E-3</c:v>
                </c:pt>
                <c:pt idx="145">
                  <c:v>-1.6533828653680549E-3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-5.9255335259198079E-4</c:v>
                </c:pt>
                <c:pt idx="10">
                  <c:v>-5.3644936381349781E-4</c:v>
                </c:pt>
                <c:pt idx="11">
                  <c:v>-2.4846788853686804E-4</c:v>
                </c:pt>
                <c:pt idx="12">
                  <c:v>-2.741242650078279E-4</c:v>
                </c:pt>
                <c:pt idx="13">
                  <c:v>-4.1195551084142763E-4</c:v>
                </c:pt>
                <c:pt idx="14">
                  <c:v>-4.4093052624816827E-4</c:v>
                </c:pt>
                <c:pt idx="15">
                  <c:v>-6.25345284551348E-4</c:v>
                </c:pt>
                <c:pt idx="16">
                  <c:v>-5.31205884926751E-4</c:v>
                </c:pt>
                <c:pt idx="17">
                  <c:v>-1.1548032267806087E-4</c:v>
                </c:pt>
                <c:pt idx="18">
                  <c:v>-5.7086602956206098E-4</c:v>
                </c:pt>
                <c:pt idx="19">
                  <c:v>-6.7577671127302963E-4</c:v>
                </c:pt>
                <c:pt idx="20">
                  <c:v>-9.3016492880402927E-4</c:v>
                </c:pt>
                <c:pt idx="21">
                  <c:v>-5.7547316756712907E-4</c:v>
                </c:pt>
                <c:pt idx="22">
                  <c:v>-2.1606498566202842E-4</c:v>
                </c:pt>
                <c:pt idx="23">
                  <c:v>-2.1606498566202842E-4</c:v>
                </c:pt>
                <c:pt idx="24">
                  <c:v>-2.1606498566202842E-4</c:v>
                </c:pt>
                <c:pt idx="25">
                  <c:v>-2.1606498566202842E-4</c:v>
                </c:pt>
                <c:pt idx="26">
                  <c:v>-2.1606498566202842E-4</c:v>
                </c:pt>
                <c:pt idx="27">
                  <c:v>-2.1606498566202842E-4</c:v>
                </c:pt>
                <c:pt idx="28">
                  <c:v>-2.1606498566202842E-4</c:v>
                </c:pt>
                <c:pt idx="29">
                  <c:v>-2.1606498566202842E-4</c:v>
                </c:pt>
                <c:pt idx="30">
                  <c:v>-1.1249551246813856E-4</c:v>
                </c:pt>
                <c:pt idx="31">
                  <c:v>2.0759493437756281E-4</c:v>
                </c:pt>
                <c:pt idx="32">
                  <c:v>4.505353289253627E-4</c:v>
                </c:pt>
                <c:pt idx="33">
                  <c:v>4.505353289253627E-4</c:v>
                </c:pt>
                <c:pt idx="34">
                  <c:v>4.505353289253627E-4</c:v>
                </c:pt>
                <c:pt idx="35">
                  <c:v>4.505353289253627E-4</c:v>
                </c:pt>
                <c:pt idx="36">
                  <c:v>4.505353289253627E-4</c:v>
                </c:pt>
                <c:pt idx="37">
                  <c:v>4.505353289253627E-4</c:v>
                </c:pt>
                <c:pt idx="38">
                  <c:v>4.505353289253627E-4</c:v>
                </c:pt>
                <c:pt idx="39">
                  <c:v>4.505353289253627E-4</c:v>
                </c:pt>
                <c:pt idx="40">
                  <c:v>4.505353289253627E-4</c:v>
                </c:pt>
                <c:pt idx="41">
                  <c:v>4.505353289253627E-4</c:v>
                </c:pt>
                <c:pt idx="42">
                  <c:v>4.505353289253627E-4</c:v>
                </c:pt>
                <c:pt idx="43">
                  <c:v>4.505353289253627E-4</c:v>
                </c:pt>
                <c:pt idx="44">
                  <c:v>4.505353289253627E-4</c:v>
                </c:pt>
                <c:pt idx="45">
                  <c:v>4.505353289253627E-4</c:v>
                </c:pt>
                <c:pt idx="46">
                  <c:v>4.505353289253627E-4</c:v>
                </c:pt>
                <c:pt idx="47">
                  <c:v>4.505353289253627E-4</c:v>
                </c:pt>
                <c:pt idx="48">
                  <c:v>7.9980176451831242E-4</c:v>
                </c:pt>
                <c:pt idx="49">
                  <c:v>-5.1895241634216803E-5</c:v>
                </c:pt>
                <c:pt idx="50">
                  <c:v>1.8599192194522561E-5</c:v>
                </c:pt>
                <c:pt idx="51">
                  <c:v>7.5695124484870333E-4</c:v>
                </c:pt>
                <c:pt idx="52">
                  <c:v>-2.2684167713897811E-5</c:v>
                </c:pt>
                <c:pt idx="53">
                  <c:v>2.4860001310450248E-4</c:v>
                </c:pt>
                <c:pt idx="54">
                  <c:v>7.9322929707603055E-5</c:v>
                </c:pt>
                <c:pt idx="55">
                  <c:v>-4.5441387012237267E-5</c:v>
                </c:pt>
                <c:pt idx="56">
                  <c:v>-4.5441387012237267E-5</c:v>
                </c:pt>
                <c:pt idx="57">
                  <c:v>-4.5441387012237267E-5</c:v>
                </c:pt>
                <c:pt idx="58">
                  <c:v>-4.5441387012237267E-5</c:v>
                </c:pt>
                <c:pt idx="59">
                  <c:v>-4.5441387012237267E-5</c:v>
                </c:pt>
                <c:pt idx="60">
                  <c:v>-4.5441387012237267E-5</c:v>
                </c:pt>
                <c:pt idx="61">
                  <c:v>-4.5441387012237267E-5</c:v>
                </c:pt>
                <c:pt idx="62">
                  <c:v>-4.5441387012237267E-5</c:v>
                </c:pt>
                <c:pt idx="63">
                  <c:v>2.0777029783607771E-4</c:v>
                </c:pt>
                <c:pt idx="64">
                  <c:v>-1.3661973869472414E-5</c:v>
                </c:pt>
                <c:pt idx="65">
                  <c:v>-9.1792518613024857E-6</c:v>
                </c:pt>
                <c:pt idx="66">
                  <c:v>4.2787082133099742E-4</c:v>
                </c:pt>
                <c:pt idx="67">
                  <c:v>3.5600330371694794E-4</c:v>
                </c:pt>
                <c:pt idx="68">
                  <c:v>-1.6483184537057204E-4</c:v>
                </c:pt>
                <c:pt idx="69">
                  <c:v>7.6911801368030727E-5</c:v>
                </c:pt>
                <c:pt idx="70">
                  <c:v>-4.531937278746887E-4</c:v>
                </c:pt>
                <c:pt idx="71">
                  <c:v>-7.3738570686712052E-4</c:v>
                </c:pt>
                <c:pt idx="72">
                  <c:v>-7.3738570686712052E-4</c:v>
                </c:pt>
                <c:pt idx="73">
                  <c:v>-7.3738570686712052E-4</c:v>
                </c:pt>
                <c:pt idx="74">
                  <c:v>-7.3738570686712052E-4</c:v>
                </c:pt>
                <c:pt idx="75">
                  <c:v>-7.3738570686712052E-4</c:v>
                </c:pt>
                <c:pt idx="76">
                  <c:v>-7.3738570686712052E-4</c:v>
                </c:pt>
                <c:pt idx="77">
                  <c:v>-7.3738570686712052E-4</c:v>
                </c:pt>
                <c:pt idx="78">
                  <c:v>-7.3738570686712052E-4</c:v>
                </c:pt>
                <c:pt idx="79">
                  <c:v>-7.3738570686712052E-4</c:v>
                </c:pt>
                <c:pt idx="80">
                  <c:v>-7.3738570686712052E-4</c:v>
                </c:pt>
                <c:pt idx="81">
                  <c:v>-7.3738570686712052E-4</c:v>
                </c:pt>
                <c:pt idx="82">
                  <c:v>-7.3738570686712052E-4</c:v>
                </c:pt>
                <c:pt idx="83">
                  <c:v>-7.3738570686712052E-4</c:v>
                </c:pt>
                <c:pt idx="84">
                  <c:v>-7.3738570686712052E-4</c:v>
                </c:pt>
                <c:pt idx="85">
                  <c:v>-7.3738570686712052E-4</c:v>
                </c:pt>
                <c:pt idx="86">
                  <c:v>-7.3738570686712052E-4</c:v>
                </c:pt>
                <c:pt idx="87">
                  <c:v>-7.3738570686712052E-4</c:v>
                </c:pt>
                <c:pt idx="88">
                  <c:v>-7.3738570686712052E-4</c:v>
                </c:pt>
                <c:pt idx="89">
                  <c:v>-7.3738570686712052E-4</c:v>
                </c:pt>
                <c:pt idx="90">
                  <c:v>-7.3738570686712052E-4</c:v>
                </c:pt>
                <c:pt idx="91">
                  <c:v>-7.3738570686712052E-4</c:v>
                </c:pt>
                <c:pt idx="92">
                  <c:v>-7.3738570686712052E-4</c:v>
                </c:pt>
                <c:pt idx="93">
                  <c:v>-7.3738570686712052E-4</c:v>
                </c:pt>
                <c:pt idx="94">
                  <c:v>-7.3738570686712052E-4</c:v>
                </c:pt>
                <c:pt idx="95">
                  <c:v>-7.3738570686712052E-4</c:v>
                </c:pt>
                <c:pt idx="96">
                  <c:v>-7.3738570686712052E-4</c:v>
                </c:pt>
                <c:pt idx="97">
                  <c:v>-7.3738570686712052E-4</c:v>
                </c:pt>
                <c:pt idx="98">
                  <c:v>-7.3738570686712052E-4</c:v>
                </c:pt>
                <c:pt idx="99">
                  <c:v>-7.3738570686712052E-4</c:v>
                </c:pt>
                <c:pt idx="100">
                  <c:v>-7.3738570686712052E-4</c:v>
                </c:pt>
                <c:pt idx="101">
                  <c:v>-7.3738570686712052E-4</c:v>
                </c:pt>
                <c:pt idx="102">
                  <c:v>-7.3738570686712052E-4</c:v>
                </c:pt>
                <c:pt idx="103">
                  <c:v>-7.3738570686712052E-4</c:v>
                </c:pt>
                <c:pt idx="104">
                  <c:v>-7.3738570686712052E-4</c:v>
                </c:pt>
                <c:pt idx="105">
                  <c:v>-7.3738570686712052E-4</c:v>
                </c:pt>
                <c:pt idx="106">
                  <c:v>-7.3738570686712052E-4</c:v>
                </c:pt>
                <c:pt idx="107">
                  <c:v>-7.3738570686712052E-4</c:v>
                </c:pt>
                <c:pt idx="108">
                  <c:v>-7.3738570686712052E-4</c:v>
                </c:pt>
                <c:pt idx="109">
                  <c:v>-7.3738570686712052E-4</c:v>
                </c:pt>
                <c:pt idx="110">
                  <c:v>-7.3738570686712052E-4</c:v>
                </c:pt>
                <c:pt idx="111">
                  <c:v>-7.3738570686712052E-4</c:v>
                </c:pt>
                <c:pt idx="112">
                  <c:v>-7.3738570686712052E-4</c:v>
                </c:pt>
                <c:pt idx="113">
                  <c:v>-7.3738570686712052E-4</c:v>
                </c:pt>
                <c:pt idx="114">
                  <c:v>-7.3738570686712052E-4</c:v>
                </c:pt>
                <c:pt idx="115">
                  <c:v>-7.3738570686712052E-4</c:v>
                </c:pt>
                <c:pt idx="116">
                  <c:v>-7.3738570686712052E-4</c:v>
                </c:pt>
                <c:pt idx="117">
                  <c:v>-7.3738570686712052E-4</c:v>
                </c:pt>
                <c:pt idx="118">
                  <c:v>-7.3738570686712052E-4</c:v>
                </c:pt>
                <c:pt idx="119">
                  <c:v>-7.3738570686712052E-4</c:v>
                </c:pt>
                <c:pt idx="120">
                  <c:v>-7.3738570686712052E-4</c:v>
                </c:pt>
                <c:pt idx="121">
                  <c:v>-7.3738570686712052E-4</c:v>
                </c:pt>
                <c:pt idx="122">
                  <c:v>-7.3738570686712052E-4</c:v>
                </c:pt>
                <c:pt idx="123">
                  <c:v>-7.3738570686712052E-4</c:v>
                </c:pt>
                <c:pt idx="124">
                  <c:v>-7.3738570686712052E-4</c:v>
                </c:pt>
                <c:pt idx="125">
                  <c:v>-7.3738570686712052E-4</c:v>
                </c:pt>
                <c:pt idx="126">
                  <c:v>-7.3738570686712052E-4</c:v>
                </c:pt>
                <c:pt idx="127">
                  <c:v>-7.3738570686712052E-4</c:v>
                </c:pt>
                <c:pt idx="128">
                  <c:v>-7.3738570686712052E-4</c:v>
                </c:pt>
                <c:pt idx="129">
                  <c:v>-7.3738570686712052E-4</c:v>
                </c:pt>
                <c:pt idx="130">
                  <c:v>-7.3738570686712052E-4</c:v>
                </c:pt>
                <c:pt idx="131">
                  <c:v>-7.3738570686712052E-4</c:v>
                </c:pt>
                <c:pt idx="132">
                  <c:v>-7.3738570686712052E-4</c:v>
                </c:pt>
                <c:pt idx="133">
                  <c:v>-7.3738570686712052E-4</c:v>
                </c:pt>
                <c:pt idx="134">
                  <c:v>-7.3738570686712052E-4</c:v>
                </c:pt>
                <c:pt idx="135">
                  <c:v>-7.3738570686712052E-4</c:v>
                </c:pt>
                <c:pt idx="136">
                  <c:v>-7.3738570686712052E-4</c:v>
                </c:pt>
                <c:pt idx="137">
                  <c:v>-7.3738570686712052E-4</c:v>
                </c:pt>
                <c:pt idx="138">
                  <c:v>-7.3738570686712052E-4</c:v>
                </c:pt>
                <c:pt idx="139">
                  <c:v>-7.3738570686712052E-4</c:v>
                </c:pt>
                <c:pt idx="140">
                  <c:v>-7.3738570686712052E-4</c:v>
                </c:pt>
                <c:pt idx="141">
                  <c:v>-7.3738570686712052E-4</c:v>
                </c:pt>
                <c:pt idx="142">
                  <c:v>-7.3738570686712052E-4</c:v>
                </c:pt>
                <c:pt idx="143">
                  <c:v>-7.3738570686712052E-4</c:v>
                </c:pt>
                <c:pt idx="144">
                  <c:v>-7.3738570686712052E-4</c:v>
                </c:pt>
                <c:pt idx="145">
                  <c:v>-7.3738570686712052E-4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F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4" t="s">
        <v>31</v>
      </c>
      <c r="W1" s="4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3" t="s">
        <v>37</v>
      </c>
      <c r="AC1" s="3" t="s">
        <v>38</v>
      </c>
      <c r="AD1" s="3" t="s">
        <v>39</v>
      </c>
      <c r="AE1" s="4" t="s">
        <v>40</v>
      </c>
      <c r="AF1" s="4" t="s">
        <v>41</v>
      </c>
      <c r="AG1" s="4" t="s">
        <v>1</v>
      </c>
      <c r="BG1" s="6"/>
      <c r="BH1" s="6"/>
      <c r="BI1" s="6"/>
      <c r="BJ1" s="7">
        <f>BJ167</f>
        <v>-1.6533828653680549E-3</v>
      </c>
      <c r="BS1" s="6"/>
      <c r="BT1" s="6"/>
      <c r="BU1" s="6"/>
      <c r="BV1" s="7">
        <f>BV167</f>
        <v>-7.3738570686712052E-4</v>
      </c>
      <c r="BY1" s="7">
        <f>BY167</f>
        <v>-2.3907685722351756E-3</v>
      </c>
    </row>
    <row r="2" spans="1:77" x14ac:dyDescent="0.3">
      <c r="A2" s="1">
        <v>46024</v>
      </c>
      <c r="B2" s="8">
        <v>74.56</v>
      </c>
      <c r="C2" s="8">
        <v>288.75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74.56</v>
      </c>
      <c r="M2" s="8">
        <v>288.75</v>
      </c>
      <c r="N2" s="10">
        <v>3.8727199570815398</v>
      </c>
      <c r="O2" s="10">
        <v>3.8715231538253501</v>
      </c>
      <c r="X2" s="10">
        <v>3.8727199570815398</v>
      </c>
      <c r="Y2" s="10">
        <v>3.8719668777701699</v>
      </c>
    </row>
    <row r="3" spans="1:77" x14ac:dyDescent="0.3">
      <c r="A3" s="1">
        <v>46027</v>
      </c>
      <c r="B3" s="8">
        <v>74.42</v>
      </c>
      <c r="C3" s="8">
        <v>288.32</v>
      </c>
      <c r="D3" s="9">
        <v>-1.87944745885927E-3</v>
      </c>
      <c r="E3" s="9">
        <v>-1.49028741603025E-3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74.42</v>
      </c>
      <c r="M3" s="8">
        <v>288.32</v>
      </c>
      <c r="N3" s="10">
        <v>3.8742273582370301</v>
      </c>
      <c r="O3" s="10">
        <v>3.8715231538253501</v>
      </c>
      <c r="R3" s="8">
        <v>288.11875310768198</v>
      </c>
      <c r="U3" s="9">
        <v>-6.9824209218667796E-4</v>
      </c>
      <c r="X3" s="10">
        <v>3.8742273582370301</v>
      </c>
      <c r="Y3" s="10">
        <v>3.8719668777701699</v>
      </c>
      <c r="AB3" s="8">
        <v>288.15177504365602</v>
      </c>
      <c r="AE3" s="9">
        <v>-5.83636418646252E-4</v>
      </c>
    </row>
    <row r="4" spans="1:77" x14ac:dyDescent="0.3">
      <c r="A4" s="1">
        <v>46028</v>
      </c>
      <c r="B4" s="8">
        <v>75.92</v>
      </c>
      <c r="C4" s="8">
        <v>293.91000000000003</v>
      </c>
      <c r="D4" s="9">
        <v>1.9955431383195801E-2</v>
      </c>
      <c r="E4" s="9">
        <v>1.92026236046875E-2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75.92</v>
      </c>
      <c r="M4" s="8">
        <v>293.91000000000003</v>
      </c>
      <c r="N4" s="10">
        <v>3.87131190727081</v>
      </c>
      <c r="O4" s="10">
        <v>3.8715231538253501</v>
      </c>
      <c r="R4" s="8">
        <v>293.92603783841997</v>
      </c>
      <c r="U4" s="9">
        <v>5.4565686321890802E-5</v>
      </c>
      <c r="X4" s="10">
        <v>3.87131190727081</v>
      </c>
      <c r="Y4" s="10">
        <v>3.8719668777701699</v>
      </c>
      <c r="AB4" s="8">
        <v>293.95972536031098</v>
      </c>
      <c r="AE4" s="9">
        <v>1.6917135986211699E-4</v>
      </c>
    </row>
    <row r="5" spans="1:77" x14ac:dyDescent="0.3">
      <c r="A5" s="1">
        <v>46029</v>
      </c>
      <c r="B5" s="8">
        <v>76.72</v>
      </c>
      <c r="C5" s="8">
        <v>297.26</v>
      </c>
      <c r="D5" s="9">
        <v>1.0482276273510199E-2</v>
      </c>
      <c r="E5" s="9">
        <v>1.13335786960882E-2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76.72</v>
      </c>
      <c r="M5" s="8">
        <v>297.26</v>
      </c>
      <c r="N5" s="10">
        <v>3.8746089676746598</v>
      </c>
      <c r="O5" s="10">
        <v>3.8715231538253501</v>
      </c>
      <c r="R5" s="8">
        <v>297.023256361481</v>
      </c>
      <c r="U5" s="9">
        <v>-7.9673673625598905E-4</v>
      </c>
      <c r="X5" s="10">
        <v>3.8746089676746598</v>
      </c>
      <c r="Y5" s="10">
        <v>3.8719668777701699</v>
      </c>
      <c r="AB5" s="8">
        <v>297.057298862528</v>
      </c>
      <c r="AE5" s="9">
        <v>-6.8213106271575999E-4</v>
      </c>
    </row>
    <row r="6" spans="1:77" x14ac:dyDescent="0.3">
      <c r="A6" s="1">
        <v>46030</v>
      </c>
      <c r="B6" s="8">
        <v>75.989999999999995</v>
      </c>
      <c r="C6" s="8">
        <v>294.29000000000002</v>
      </c>
      <c r="D6" s="9">
        <v>-9.5606778934892896E-3</v>
      </c>
      <c r="E6" s="9">
        <v>-1.00415009916802E-2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75.989999999999995</v>
      </c>
      <c r="M6" s="8">
        <v>294.29000000000002</v>
      </c>
      <c r="N6" s="10">
        <v>3.8727464140018402</v>
      </c>
      <c r="O6" s="10">
        <v>3.8715231538253501</v>
      </c>
      <c r="R6" s="8">
        <v>294.19704445918802</v>
      </c>
      <c r="U6" s="9">
        <v>-3.1591363806506001E-4</v>
      </c>
      <c r="X6" s="10">
        <v>3.8727464140018402</v>
      </c>
      <c r="Y6" s="10">
        <v>3.8719668777701699</v>
      </c>
      <c r="AB6" s="8">
        <v>294.23076304175498</v>
      </c>
      <c r="AE6" s="9">
        <v>-2.01307964524887E-4</v>
      </c>
    </row>
    <row r="7" spans="1:77" x14ac:dyDescent="0.3">
      <c r="A7" s="1">
        <v>46031</v>
      </c>
      <c r="B7" s="8">
        <v>75.599999999999994</v>
      </c>
      <c r="C7" s="8">
        <v>292.97000000000003</v>
      </c>
      <c r="D7" s="9">
        <v>-5.1454694962062E-3</v>
      </c>
      <c r="E7" s="9">
        <v>-4.49546103261901E-3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75.599999999999994</v>
      </c>
      <c r="M7" s="8">
        <v>292.97000000000003</v>
      </c>
      <c r="N7" s="10">
        <v>3.87526455026455</v>
      </c>
      <c r="O7" s="10">
        <v>3.8715231538253501</v>
      </c>
      <c r="R7" s="8">
        <v>292.68715042919598</v>
      </c>
      <c r="U7" s="9">
        <v>-9.6592210165242305E-4</v>
      </c>
      <c r="X7" s="10">
        <v>3.87526455026455</v>
      </c>
      <c r="Y7" s="10">
        <v>3.8719668777701699</v>
      </c>
      <c r="AB7" s="8">
        <v>292.72069595942497</v>
      </c>
      <c r="AE7" s="9">
        <v>-8.5131642811207202E-4</v>
      </c>
    </row>
    <row r="8" spans="1:77" x14ac:dyDescent="0.3">
      <c r="A8" s="1">
        <v>46034</v>
      </c>
      <c r="B8" s="8">
        <v>75.5</v>
      </c>
      <c r="C8" s="8">
        <v>292.57</v>
      </c>
      <c r="D8" s="9">
        <v>-1.3236269305082499E-3</v>
      </c>
      <c r="E8" s="9">
        <v>-1.3662604167854399E-3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75.5</v>
      </c>
      <c r="M8" s="8">
        <v>292.57</v>
      </c>
      <c r="N8" s="10">
        <v>3.87509933774834</v>
      </c>
      <c r="O8" s="10">
        <v>3.8715231538253501</v>
      </c>
      <c r="R8" s="8">
        <v>292.29999811381401</v>
      </c>
      <c r="U8" s="9">
        <v>-9.2328861537500798E-4</v>
      </c>
      <c r="X8" s="10">
        <v>3.87509933774834</v>
      </c>
      <c r="Y8" s="10">
        <v>3.8719668777701699</v>
      </c>
      <c r="AB8" s="8">
        <v>292.33349927164801</v>
      </c>
      <c r="AE8" s="9">
        <v>-8.0868294183489102E-4</v>
      </c>
    </row>
    <row r="9" spans="1:77" x14ac:dyDescent="0.3">
      <c r="A9" s="1">
        <v>46035</v>
      </c>
      <c r="B9" s="8">
        <v>75.209999999999994</v>
      </c>
      <c r="C9" s="8">
        <v>291.37</v>
      </c>
      <c r="D9" s="9">
        <v>-3.8484554166674299E-3</v>
      </c>
      <c r="E9" s="9">
        <v>-4.1100170881376201E-3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75.209999999999994</v>
      </c>
      <c r="M9" s="8">
        <v>291.37</v>
      </c>
      <c r="N9" s="10">
        <v>3.8740858928334001</v>
      </c>
      <c r="O9" s="10">
        <v>3.8715231538253501</v>
      </c>
      <c r="R9" s="8">
        <v>291.177256399204</v>
      </c>
      <c r="U9" s="9">
        <v>-6.6172694390482405E-4</v>
      </c>
      <c r="X9" s="10">
        <v>3.8740858928334001</v>
      </c>
      <c r="Y9" s="10">
        <v>3.8719668777701699</v>
      </c>
      <c r="AB9" s="8">
        <v>291.21062887709502</v>
      </c>
      <c r="AE9" s="9">
        <v>-5.47121270364438E-4</v>
      </c>
      <c r="BJ9" s="12">
        <f>AVERAGE(BI22:BI200)</f>
        <v>-1.1324540173753801E-5</v>
      </c>
      <c r="BV9" s="12">
        <f>AVERAGE(BU22:BU200)</f>
        <v>-5.0505870333364418E-6</v>
      </c>
      <c r="BY9" s="12">
        <f>AVERAGE(BX22:BX200)</f>
        <v>-1.6375127207090244E-5</v>
      </c>
    </row>
    <row r="10" spans="1:77" x14ac:dyDescent="0.3">
      <c r="A10" s="1">
        <v>46036</v>
      </c>
      <c r="B10" s="8">
        <v>75.69</v>
      </c>
      <c r="C10" s="8">
        <v>293.52</v>
      </c>
      <c r="D10" s="9">
        <v>6.3618504827643602E-3</v>
      </c>
      <c r="E10" s="9">
        <v>7.3518428555001299E-3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75.69</v>
      </c>
      <c r="M10" s="8">
        <v>293.52</v>
      </c>
      <c r="N10" s="10">
        <v>3.8779231074118101</v>
      </c>
      <c r="O10" s="10">
        <v>3.8715231538253501</v>
      </c>
      <c r="R10" s="8">
        <v>293.03558751304001</v>
      </c>
      <c r="U10" s="9">
        <v>-1.65171931664045E-3</v>
      </c>
      <c r="X10" s="10">
        <v>3.8779231074118101</v>
      </c>
      <c r="Y10" s="10">
        <v>3.8719668777701699</v>
      </c>
      <c r="AB10" s="8">
        <v>293.06917297842398</v>
      </c>
      <c r="AE10" s="9">
        <v>-1.5371136431001199E-3</v>
      </c>
      <c r="AZ10" s="13"/>
      <c r="BJ10" s="12">
        <f>STDEV(BI22:BI200)</f>
        <v>2.2625049866262375E-4</v>
      </c>
      <c r="BL10" s="13"/>
      <c r="BV10" s="12">
        <f>STDEV(BU22:BU200)</f>
        <v>1.7624314858508252E-4</v>
      </c>
      <c r="BY10" s="12">
        <f>STDEV(BX22:BX200)</f>
        <v>2.8659336264515276E-4</v>
      </c>
    </row>
    <row r="11" spans="1:77" x14ac:dyDescent="0.3">
      <c r="A11" s="1">
        <v>46037</v>
      </c>
      <c r="B11" s="8">
        <v>75.31</v>
      </c>
      <c r="C11" s="8">
        <v>291.95999999999998</v>
      </c>
      <c r="D11" s="9">
        <v>-5.0331232078156801E-3</v>
      </c>
      <c r="E11" s="9">
        <v>-5.3289734635951101E-3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75.31</v>
      </c>
      <c r="M11" s="8">
        <v>291.95999999999998</v>
      </c>
      <c r="N11" s="10">
        <v>3.8767759925640601</v>
      </c>
      <c r="O11" s="10">
        <v>3.8715231538253501</v>
      </c>
      <c r="P11" s="10">
        <v>3.8744763485088001</v>
      </c>
      <c r="R11" s="8">
        <v>291.56440871458699</v>
      </c>
      <c r="U11" s="9">
        <v>-1.35586906086101E-3</v>
      </c>
      <c r="X11" s="10">
        <v>3.8767759925640601</v>
      </c>
      <c r="Y11" s="10">
        <v>3.8719668777701699</v>
      </c>
      <c r="Z11" s="10">
        <v>3.8744763485088001</v>
      </c>
      <c r="AB11" s="8">
        <v>291.59782556487198</v>
      </c>
      <c r="AE11" s="9">
        <v>-1.2412633873208599E-3</v>
      </c>
      <c r="BJ11">
        <f>SQRT(252)*BJ9/BJ10</f>
        <v>-0.79456842364597391</v>
      </c>
      <c r="BV11">
        <f>SQRT(252)*BV9/BV10</f>
        <v>-0.45491461219480533</v>
      </c>
      <c r="BY11">
        <f>SQRT(252)*BY9/BY10</f>
        <v>-0.90702409596242384</v>
      </c>
    </row>
    <row r="12" spans="1:77" x14ac:dyDescent="0.3">
      <c r="A12" s="1">
        <v>46038</v>
      </c>
      <c r="B12" s="8">
        <v>74.760000000000005</v>
      </c>
      <c r="C12" s="8">
        <v>289.70999999999998</v>
      </c>
      <c r="D12" s="9">
        <v>-7.3299455258982599E-3</v>
      </c>
      <c r="E12" s="9">
        <v>-7.73638393649532E-3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74.760000000000005</v>
      </c>
      <c r="M12" s="8">
        <v>289.70999999999998</v>
      </c>
      <c r="N12" s="10">
        <v>3.8752006420545699</v>
      </c>
      <c r="O12" s="10">
        <v>3.8715231538253501</v>
      </c>
      <c r="P12" s="10">
        <v>3.8747244170061101</v>
      </c>
      <c r="R12" s="8">
        <v>289.43507097998298</v>
      </c>
      <c r="S12" s="8">
        <v>289.65585181451797</v>
      </c>
      <c r="U12" s="9">
        <v>-9.4943065026395696E-4</v>
      </c>
      <c r="V12" s="9">
        <v>-1.8692225463285E-4</v>
      </c>
      <c r="X12" s="10">
        <v>3.8752006420545699</v>
      </c>
      <c r="Y12" s="10">
        <v>3.8719668777701699</v>
      </c>
      <c r="Z12" s="10">
        <v>3.8747244170061101</v>
      </c>
      <c r="AB12" s="8">
        <v>289.468243782098</v>
      </c>
      <c r="AC12" s="8">
        <v>289.65585181451797</v>
      </c>
      <c r="AE12" s="9">
        <v>-8.3482497672370903E-4</v>
      </c>
      <c r="AF12" s="9">
        <v>-1.8692225463285E-4</v>
      </c>
    </row>
    <row r="13" spans="1:77" x14ac:dyDescent="0.3">
      <c r="A13" s="1">
        <v>46042</v>
      </c>
      <c r="B13" s="8">
        <v>74.63</v>
      </c>
      <c r="C13" s="8">
        <v>289.36</v>
      </c>
      <c r="D13" s="9">
        <v>-1.7404114440661301E-3</v>
      </c>
      <c r="E13" s="9">
        <v>-1.20883500309358E-3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74.63</v>
      </c>
      <c r="M13" s="8">
        <v>289.36</v>
      </c>
      <c r="N13" s="10">
        <v>3.8772611550314799</v>
      </c>
      <c r="O13" s="10">
        <v>3.8715231538253501</v>
      </c>
      <c r="P13" s="10">
        <v>3.8750277966855502</v>
      </c>
      <c r="R13" s="8">
        <v>288.93177296998601</v>
      </c>
      <c r="S13" s="8">
        <v>289.17068324116599</v>
      </c>
      <c r="U13" s="9">
        <v>-1.48100709123644E-3</v>
      </c>
      <c r="V13" s="9">
        <v>-6.5447441622631995E-4</v>
      </c>
      <c r="X13" s="10">
        <v>3.8772611550314799</v>
      </c>
      <c r="Y13" s="10">
        <v>3.8719668777701699</v>
      </c>
      <c r="Z13" s="10">
        <v>3.8750277966855502</v>
      </c>
      <c r="AB13" s="8">
        <v>288.96488808798802</v>
      </c>
      <c r="AC13" s="8">
        <v>289.17068324116599</v>
      </c>
      <c r="AE13" s="9">
        <v>-1.3664014176961801E-3</v>
      </c>
      <c r="AF13" s="9">
        <v>-6.5447441622631995E-4</v>
      </c>
    </row>
    <row r="14" spans="1:77" x14ac:dyDescent="0.3">
      <c r="A14" s="1">
        <v>46043</v>
      </c>
      <c r="B14" s="8">
        <v>75.95</v>
      </c>
      <c r="C14" s="8">
        <v>294.37</v>
      </c>
      <c r="D14" s="9">
        <v>1.75326578984859E-2</v>
      </c>
      <c r="E14" s="9">
        <v>1.7165891844586199E-2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75.95</v>
      </c>
      <c r="M14" s="8">
        <v>294.37</v>
      </c>
      <c r="N14" s="10">
        <v>3.8758393680052601</v>
      </c>
      <c r="O14" s="10">
        <v>3.8715231538253501</v>
      </c>
      <c r="P14" s="10">
        <v>3.875480542759</v>
      </c>
      <c r="R14" s="8">
        <v>294.04218353303497</v>
      </c>
      <c r="S14" s="8">
        <v>294.30836115826702</v>
      </c>
      <c r="U14" s="9">
        <v>-1.11424103733693E-3</v>
      </c>
      <c r="V14" s="9">
        <v>-2.0941432885707701E-4</v>
      </c>
      <c r="X14" s="10">
        <v>3.8758393680052601</v>
      </c>
      <c r="Y14" s="10">
        <v>3.8719668777701699</v>
      </c>
      <c r="Z14" s="10">
        <v>3.875480542759</v>
      </c>
      <c r="AB14" s="8">
        <v>294.07588436664503</v>
      </c>
      <c r="AC14" s="8">
        <v>294.30836115826702</v>
      </c>
      <c r="AE14" s="9">
        <v>-9.9963536379661395E-4</v>
      </c>
      <c r="AF14" s="9">
        <v>-2.0941432885707701E-4</v>
      </c>
    </row>
    <row r="15" spans="1:77" x14ac:dyDescent="0.3">
      <c r="A15" s="1">
        <v>46044</v>
      </c>
      <c r="B15" s="8">
        <v>76.08</v>
      </c>
      <c r="C15" s="8">
        <v>294.94</v>
      </c>
      <c r="D15" s="9">
        <v>1.7101891953529699E-3</v>
      </c>
      <c r="E15" s="9">
        <v>1.93446633436593E-3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76.08</v>
      </c>
      <c r="M15" s="8">
        <v>294.94</v>
      </c>
      <c r="N15" s="10">
        <v>3.8767087276551</v>
      </c>
      <c r="O15" s="10">
        <v>3.8715231538253501</v>
      </c>
      <c r="P15" s="10">
        <v>3.8756905187570401</v>
      </c>
      <c r="R15" s="8">
        <v>294.545481543032</v>
      </c>
      <c r="S15" s="8">
        <v>294.84655969310398</v>
      </c>
      <c r="U15" s="9">
        <v>-1.3385181763499599E-3</v>
      </c>
      <c r="V15" s="9">
        <v>-3.1686143450121998E-4</v>
      </c>
      <c r="X15" s="10">
        <v>3.8767087276551</v>
      </c>
      <c r="Y15" s="10">
        <v>3.8719668777701699</v>
      </c>
      <c r="Z15" s="10">
        <v>3.8756905187570401</v>
      </c>
      <c r="AB15" s="8">
        <v>294.57924006075501</v>
      </c>
      <c r="AC15" s="8">
        <v>294.84655969310398</v>
      </c>
      <c r="AE15" s="9">
        <v>-1.22391250280957E-3</v>
      </c>
      <c r="AF15" s="9">
        <v>-3.1686143450121998E-4</v>
      </c>
    </row>
    <row r="16" spans="1:77" x14ac:dyDescent="0.3">
      <c r="A16" s="1">
        <v>46045</v>
      </c>
      <c r="B16" s="8">
        <v>75.540000000000006</v>
      </c>
      <c r="C16" s="8">
        <v>292.73</v>
      </c>
      <c r="D16" s="9">
        <v>-7.1231009528239103E-3</v>
      </c>
      <c r="E16" s="9">
        <v>-7.5212633559257197E-3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75.540000000000006</v>
      </c>
      <c r="M16" s="8">
        <v>292.73</v>
      </c>
      <c r="N16" s="10">
        <v>3.8751654752448998</v>
      </c>
      <c r="O16" s="10">
        <v>3.8715231538253501</v>
      </c>
      <c r="P16" s="10">
        <v>3.8759324248813498</v>
      </c>
      <c r="R16" s="8">
        <v>292.454859039967</v>
      </c>
      <c r="S16" s="8">
        <v>292.76966178690702</v>
      </c>
      <c r="U16" s="9">
        <v>-9.4035577324798E-4</v>
      </c>
      <c r="V16" s="9">
        <v>1.35480136220248E-4</v>
      </c>
      <c r="X16" s="10">
        <v>3.8751654752448998</v>
      </c>
      <c r="Y16" s="10">
        <v>3.8719668777701699</v>
      </c>
      <c r="Z16" s="10">
        <v>3.8759324248813498</v>
      </c>
      <c r="AB16" s="8">
        <v>292.48837794675899</v>
      </c>
      <c r="AC16" s="8">
        <v>292.76966178690702</v>
      </c>
      <c r="AE16" s="9">
        <v>-8.2575009970772503E-4</v>
      </c>
      <c r="AF16" s="9">
        <v>1.35480136220248E-4</v>
      </c>
    </row>
    <row r="17" spans="1:77" x14ac:dyDescent="0.3">
      <c r="A17" s="1">
        <v>46048</v>
      </c>
      <c r="B17" s="8">
        <v>75.83</v>
      </c>
      <c r="C17" s="8">
        <v>293.87</v>
      </c>
      <c r="D17" s="9">
        <v>3.83167542853333E-3</v>
      </c>
      <c r="E17" s="9">
        <v>3.8868102120440001E-3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75.83</v>
      </c>
      <c r="M17" s="8">
        <v>293.87</v>
      </c>
      <c r="N17" s="10">
        <v>3.8753791375444999</v>
      </c>
      <c r="O17" s="10">
        <v>3.8715231538253501</v>
      </c>
      <c r="P17" s="10">
        <v>3.8759438836093398</v>
      </c>
      <c r="R17" s="8">
        <v>293.577600754576</v>
      </c>
      <c r="S17" s="8">
        <v>293.91195577875197</v>
      </c>
      <c r="U17" s="9">
        <v>-9.9549055675879697E-4</v>
      </c>
      <c r="V17" s="9">
        <v>1.42759669335102E-4</v>
      </c>
      <c r="X17" s="10">
        <v>3.8753791375444999</v>
      </c>
      <c r="Y17" s="10">
        <v>3.8719668777701699</v>
      </c>
      <c r="Z17" s="10">
        <v>3.8759438836093398</v>
      </c>
      <c r="AB17" s="8">
        <v>293.61124834131198</v>
      </c>
      <c r="AC17" s="8">
        <v>293.91195577875197</v>
      </c>
      <c r="AE17" s="9">
        <v>-8.8088488321858005E-4</v>
      </c>
      <c r="AF17" s="9">
        <v>1.42759669335102E-4</v>
      </c>
    </row>
    <row r="18" spans="1:77" x14ac:dyDescent="0.3">
      <c r="A18" s="1">
        <v>46049</v>
      </c>
      <c r="B18" s="8">
        <v>74.7</v>
      </c>
      <c r="C18" s="8">
        <v>289.51</v>
      </c>
      <c r="D18" s="9">
        <v>-1.5013900574072399E-2</v>
      </c>
      <c r="E18" s="9">
        <v>-1.49476539481E-2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74.7</v>
      </c>
      <c r="M18" s="8">
        <v>289.51</v>
      </c>
      <c r="N18" s="10">
        <v>3.8756358768406902</v>
      </c>
      <c r="O18" s="10">
        <v>3.8715231538253501</v>
      </c>
      <c r="P18" s="10">
        <v>3.8759975375185798</v>
      </c>
      <c r="R18" s="8">
        <v>289.20277959075298</v>
      </c>
      <c r="S18" s="8">
        <v>289.53300810561802</v>
      </c>
      <c r="U18" s="9">
        <v>-1.06173718273129E-3</v>
      </c>
      <c r="V18" s="9">
        <v>7.9469418707092497E-5</v>
      </c>
      <c r="X18" s="10">
        <v>3.8756358768406902</v>
      </c>
      <c r="Y18" s="10">
        <v>3.8719668777701699</v>
      </c>
      <c r="Z18" s="10">
        <v>3.8759975375185798</v>
      </c>
      <c r="AB18" s="8">
        <v>289.23592576943201</v>
      </c>
      <c r="AC18" s="8">
        <v>289.53300810561802</v>
      </c>
      <c r="AE18" s="9">
        <v>-9.4713150919101805E-4</v>
      </c>
      <c r="AF18" s="9">
        <v>7.9469418707092497E-5</v>
      </c>
    </row>
    <row r="19" spans="1:77" x14ac:dyDescent="0.3">
      <c r="A19" s="1">
        <v>46050</v>
      </c>
      <c r="B19" s="8">
        <v>74.040000000000006</v>
      </c>
      <c r="C19" s="8">
        <v>286.83999999999997</v>
      </c>
      <c r="D19" s="9">
        <v>-8.8746044334748406E-3</v>
      </c>
      <c r="E19" s="9">
        <v>-9.2652697164388696E-3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74.040000000000006</v>
      </c>
      <c r="M19" s="8">
        <v>286.83999999999997</v>
      </c>
      <c r="N19" s="10">
        <v>3.8741220961642302</v>
      </c>
      <c r="O19" s="10">
        <v>3.8715231538253501</v>
      </c>
      <c r="P19" s="10">
        <v>3.8760011578516602</v>
      </c>
      <c r="R19" s="8">
        <v>286.64757430922901</v>
      </c>
      <c r="S19" s="8">
        <v>286.978857677875</v>
      </c>
      <c r="U19" s="9">
        <v>-6.7107189976715702E-4</v>
      </c>
      <c r="V19" s="9">
        <v>4.8397740411733402E-4</v>
      </c>
      <c r="X19" s="10">
        <v>3.8741220961642302</v>
      </c>
      <c r="Y19" s="10">
        <v>3.8719668777701699</v>
      </c>
      <c r="Z19" s="10">
        <v>3.8760011578516602</v>
      </c>
      <c r="AB19" s="8">
        <v>286.68042763010402</v>
      </c>
      <c r="AC19" s="8">
        <v>286.978857677875</v>
      </c>
      <c r="AE19" s="9">
        <v>-5.5646622622676696E-4</v>
      </c>
      <c r="AF19" s="9">
        <v>4.8397740411733402E-4</v>
      </c>
      <c r="BX19" s="6" t="s">
        <v>2</v>
      </c>
      <c r="BY19" s="6" t="s">
        <v>2</v>
      </c>
    </row>
    <row r="20" spans="1:77" x14ac:dyDescent="0.3">
      <c r="A20" s="1">
        <v>46051</v>
      </c>
      <c r="B20" s="8">
        <v>73.84</v>
      </c>
      <c r="C20" s="8">
        <v>286.08</v>
      </c>
      <c r="D20" s="9">
        <v>-2.7048975107001002E-3</v>
      </c>
      <c r="E20" s="9">
        <v>-2.6530770292248198E-3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73.84</v>
      </c>
      <c r="M20" s="8">
        <v>286.08</v>
      </c>
      <c r="N20" s="10">
        <v>3.8743228602383502</v>
      </c>
      <c r="O20" s="10">
        <v>3.8715231538253501</v>
      </c>
      <c r="P20" s="10">
        <v>3.8756411331343101</v>
      </c>
      <c r="R20" s="8">
        <v>285.873269678464</v>
      </c>
      <c r="S20" s="8">
        <v>286.20392549576599</v>
      </c>
      <c r="U20" s="9">
        <v>-7.2289238124246505E-4</v>
      </c>
      <c r="V20" s="9">
        <v>4.3309096126254598E-4</v>
      </c>
      <c r="X20" s="10">
        <v>3.8743228602383502</v>
      </c>
      <c r="Y20" s="10">
        <v>3.8719668777701699</v>
      </c>
      <c r="Z20" s="10">
        <v>3.8756411331343101</v>
      </c>
      <c r="AB20" s="8">
        <v>285.90603425454901</v>
      </c>
      <c r="AC20" s="8">
        <v>286.20392549576599</v>
      </c>
      <c r="AE20" s="9">
        <v>-6.0828670770229302E-4</v>
      </c>
      <c r="AF20" s="9">
        <v>4.3309096126254598E-4</v>
      </c>
      <c r="AZ20" s="14" t="s">
        <v>3</v>
      </c>
      <c r="BA20" s="15">
        <v>-1.1209599027042093E-3</v>
      </c>
      <c r="BB20" s="6" t="s">
        <v>4</v>
      </c>
      <c r="BC20" s="6" t="s">
        <v>5</v>
      </c>
      <c r="BD20" s="6" t="s">
        <v>6</v>
      </c>
      <c r="BE20" s="6" t="s">
        <v>7</v>
      </c>
      <c r="BF20" s="6" t="s">
        <v>8</v>
      </c>
      <c r="BG20" s="6" t="str">
        <f>D1</f>
        <v>FHLC log rtn</v>
      </c>
      <c r="BH20" s="6" t="str">
        <f>E1</f>
        <v>VHT log rtn</v>
      </c>
      <c r="BI20" s="6" t="s">
        <v>9</v>
      </c>
      <c r="BJ20" s="6" t="s">
        <v>10</v>
      </c>
      <c r="BL20" s="14" t="s">
        <v>3</v>
      </c>
      <c r="BM20" s="15">
        <v>2.2260370323622628E-3</v>
      </c>
      <c r="BN20" s="6" t="s">
        <v>5</v>
      </c>
      <c r="BO20" s="6" t="s">
        <v>4</v>
      </c>
      <c r="BP20" s="6" t="s">
        <v>6</v>
      </c>
      <c r="BQ20" s="6" t="s">
        <v>7</v>
      </c>
      <c r="BR20" s="6" t="s">
        <v>8</v>
      </c>
      <c r="BS20" s="7" t="str">
        <f>D1</f>
        <v>FHLC log rtn</v>
      </c>
      <c r="BT20" s="7" t="str">
        <f>E1</f>
        <v>VHT log rtn</v>
      </c>
      <c r="BU20" s="6" t="s">
        <v>9</v>
      </c>
      <c r="BV20" s="6" t="s">
        <v>10</v>
      </c>
      <c r="BX20" s="6" t="s">
        <v>9</v>
      </c>
      <c r="BY20" s="6" t="s">
        <v>10</v>
      </c>
    </row>
    <row r="21" spans="1:77" x14ac:dyDescent="0.3">
      <c r="A21" s="1">
        <v>46052</v>
      </c>
      <c r="B21" s="8">
        <v>74.13</v>
      </c>
      <c r="C21" s="8">
        <v>287.27999999999997</v>
      </c>
      <c r="D21" s="9">
        <v>3.9197184740315198E-3</v>
      </c>
      <c r="E21" s="9">
        <v>4.1858579326780297E-3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74.13</v>
      </c>
      <c r="M21" s="8">
        <v>287.27999999999997</v>
      </c>
      <c r="N21" s="10">
        <v>3.8753541076487199</v>
      </c>
      <c r="O21" s="10">
        <v>3.8715231538253501</v>
      </c>
      <c r="P21" s="10">
        <v>3.8754989446427799</v>
      </c>
      <c r="Q21" s="10">
        <v>3.8749876465757902</v>
      </c>
      <c r="R21" s="8">
        <v>286.99601139307299</v>
      </c>
      <c r="S21" s="8">
        <v>287.30127719924701</v>
      </c>
      <c r="U21" s="9">
        <v>-9.8903183988883103E-4</v>
      </c>
      <c r="V21" s="9">
        <v>7.4061582237986293E-5</v>
      </c>
      <c r="X21" s="10">
        <v>3.8753541076487199</v>
      </c>
      <c r="Y21" s="10">
        <v>3.8719668777701699</v>
      </c>
      <c r="Z21" s="10">
        <v>3.8754989446427799</v>
      </c>
      <c r="AA21" s="10">
        <v>3.8749876465757902</v>
      </c>
      <c r="AB21" s="8">
        <v>287.02890464910303</v>
      </c>
      <c r="AC21" s="8">
        <v>287.30127719924701</v>
      </c>
      <c r="AE21" s="9">
        <v>-8.7442616634869099E-4</v>
      </c>
      <c r="AF21" s="9">
        <v>7.4061582237986293E-5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74.58</v>
      </c>
      <c r="C22" s="8">
        <v>289.01</v>
      </c>
      <c r="D22" s="9">
        <v>6.0520660820464001E-3</v>
      </c>
      <c r="E22" s="9">
        <v>6.0039396720913702E-3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74.58</v>
      </c>
      <c r="M22" s="8">
        <v>289.01</v>
      </c>
      <c r="N22" s="10">
        <v>3.8751676052561002</v>
      </c>
      <c r="O22" s="10">
        <v>3.8715231538253501</v>
      </c>
      <c r="P22" s="10">
        <v>3.8754956409629302</v>
      </c>
      <c r="Q22" s="10">
        <v>3.8751100289845199</v>
      </c>
      <c r="R22" s="8">
        <v>288.73819681229401</v>
      </c>
      <c r="S22" s="8">
        <v>289.034711291458</v>
      </c>
      <c r="T22" s="8">
        <v>288.996578681622</v>
      </c>
      <c r="U22" s="9">
        <v>-9.4090542993389504E-4</v>
      </c>
      <c r="V22" s="9">
        <v>8.5499585036352306E-5</v>
      </c>
      <c r="W22" s="9">
        <v>-4.6440019454997003E-5</v>
      </c>
      <c r="X22" s="10">
        <v>3.8751676052561002</v>
      </c>
      <c r="Y22" s="10">
        <v>3.8719668777701699</v>
      </c>
      <c r="Z22" s="10">
        <v>3.8754956409629302</v>
      </c>
      <c r="AA22" s="10">
        <v>3.8751100289845199</v>
      </c>
      <c r="AB22" s="8">
        <v>288.77128974409902</v>
      </c>
      <c r="AC22" s="8">
        <v>289.034711291458</v>
      </c>
      <c r="AD22" s="8">
        <v>288.996578681622</v>
      </c>
      <c r="AE22" s="9">
        <v>-8.2629975639358303E-4</v>
      </c>
      <c r="AF22" s="9">
        <v>8.5499585036352306E-5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73.89</v>
      </c>
      <c r="C23" s="8">
        <v>286.33999999999997</v>
      </c>
      <c r="D23" s="9">
        <v>-9.2948739501185207E-3</v>
      </c>
      <c r="E23" s="9">
        <v>-9.2813736577372595E-3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73.89</v>
      </c>
      <c r="M23" s="8">
        <v>286.33999999999997</v>
      </c>
      <c r="N23" s="10">
        <v>3.8752199215049301</v>
      </c>
      <c r="O23" s="10">
        <v>3.8715231538253501</v>
      </c>
      <c r="P23" s="10">
        <v>3.8752915176102798</v>
      </c>
      <c r="Q23" s="10">
        <v>3.8751596571479099</v>
      </c>
      <c r="R23" s="8">
        <v>286.06684583615498</v>
      </c>
      <c r="S23" s="8">
        <v>286.36037291075098</v>
      </c>
      <c r="T23" s="8">
        <v>286.33188004166601</v>
      </c>
      <c r="U23" s="9">
        <v>-9.5440572231508803E-4</v>
      </c>
      <c r="V23" s="9">
        <v>7.1146839512372799E-5</v>
      </c>
      <c r="W23" s="9">
        <v>-2.8358152781822399E-5</v>
      </c>
      <c r="X23" s="10">
        <v>3.8752199215049301</v>
      </c>
      <c r="Y23" s="10">
        <v>3.8719668777701699</v>
      </c>
      <c r="Z23" s="10">
        <v>3.8752915176102798</v>
      </c>
      <c r="AA23" s="10">
        <v>3.8751596571479099</v>
      </c>
      <c r="AB23" s="8">
        <v>286.09963259843801</v>
      </c>
      <c r="AC23" s="8">
        <v>286.36037291075098</v>
      </c>
      <c r="AD23" s="8">
        <v>286.33188004166601</v>
      </c>
      <c r="AE23" s="9">
        <v>-8.3980004877475195E-4</v>
      </c>
      <c r="AF23" s="9">
        <v>7.1146839512372799E-5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74.510000000000005</v>
      </c>
      <c r="C24" s="8">
        <v>288.85000000000002</v>
      </c>
      <c r="D24" s="9">
        <v>8.3558437650799108E-3</v>
      </c>
      <c r="E24" s="9">
        <v>8.7276062950933202E-3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74.510000000000005</v>
      </c>
      <c r="M24" s="8">
        <v>288.85000000000002</v>
      </c>
      <c r="N24" s="10">
        <v>3.87666085089249</v>
      </c>
      <c r="O24" s="10">
        <v>3.8715231538253501</v>
      </c>
      <c r="P24" s="10">
        <v>3.8753736658990001</v>
      </c>
      <c r="Q24" s="10">
        <v>3.8754271043289998</v>
      </c>
      <c r="R24" s="8">
        <v>288.46719019152698</v>
      </c>
      <c r="S24" s="8">
        <v>288.74797097714202</v>
      </c>
      <c r="T24" s="8">
        <v>288.73814605409098</v>
      </c>
      <c r="U24" s="9">
        <v>-1.3261682523283301E-3</v>
      </c>
      <c r="V24" s="9">
        <v>-3.5328733494836601E-4</v>
      </c>
      <c r="W24" s="9">
        <v>-3.8731386047639502E-4</v>
      </c>
      <c r="X24" s="10">
        <v>3.87666085089249</v>
      </c>
      <c r="Y24" s="10">
        <v>3.8719668777701699</v>
      </c>
      <c r="Z24" s="10">
        <v>3.8753736658990001</v>
      </c>
      <c r="AA24" s="10">
        <v>3.8754271043289998</v>
      </c>
      <c r="AB24" s="8">
        <v>288.50025206265599</v>
      </c>
      <c r="AC24" s="8">
        <v>288.74797097714202</v>
      </c>
      <c r="AD24" s="8">
        <v>288.73814605409098</v>
      </c>
      <c r="AE24" s="9">
        <v>-1.21156257878809E-3</v>
      </c>
      <c r="AF24" s="9">
        <v>-3.5328733494836601E-4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73.81</v>
      </c>
      <c r="C25" s="8">
        <v>285.92</v>
      </c>
      <c r="D25" s="9">
        <v>-9.4391207836751704E-3</v>
      </c>
      <c r="E25" s="9">
        <v>-1.0195470816156601E-2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73.81</v>
      </c>
      <c r="M25" s="8">
        <v>285.92</v>
      </c>
      <c r="N25" s="10">
        <v>3.8737298469042099</v>
      </c>
      <c r="O25" s="10">
        <v>3.8715231538253501</v>
      </c>
      <c r="P25" s="10">
        <v>3.87507577782391</v>
      </c>
      <c r="Q25" s="10">
        <v>3.8753831482904801</v>
      </c>
      <c r="R25" s="8">
        <v>285.757123983849</v>
      </c>
      <c r="S25" s="8">
        <v>286.04133028000501</v>
      </c>
      <c r="T25" s="8">
        <v>286.04527457052302</v>
      </c>
      <c r="U25" s="9">
        <v>-5.6981821984695904E-4</v>
      </c>
      <c r="V25" s="9">
        <v>4.2426043650934699E-4</v>
      </c>
      <c r="W25" s="9">
        <v>4.3804957432444199E-4</v>
      </c>
      <c r="X25" s="10">
        <v>3.8737298469042099</v>
      </c>
      <c r="Y25" s="10">
        <v>3.8719668777701699</v>
      </c>
      <c r="Z25" s="10">
        <v>3.87507577782391</v>
      </c>
      <c r="AA25" s="10">
        <v>3.8753831482904801</v>
      </c>
      <c r="AB25" s="8">
        <v>285.78987524821599</v>
      </c>
      <c r="AC25" s="8">
        <v>286.04133028000501</v>
      </c>
      <c r="AD25" s="8">
        <v>286.04527457052302</v>
      </c>
      <c r="AE25" s="9">
        <v>-4.5521254630664102E-4</v>
      </c>
      <c r="AF25" s="9">
        <v>4.2426043650934699E-4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75.19</v>
      </c>
      <c r="C26" s="8">
        <v>291.2</v>
      </c>
      <c r="D26" s="9">
        <v>1.8524019607974399E-2</v>
      </c>
      <c r="E26" s="9">
        <v>1.8298264911412801E-2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75.19</v>
      </c>
      <c r="M26" s="8">
        <v>291.2</v>
      </c>
      <c r="N26" s="10">
        <v>3.87285543290331</v>
      </c>
      <c r="O26" s="10">
        <v>3.8715231538253501</v>
      </c>
      <c r="P26" s="10">
        <v>3.87484477358975</v>
      </c>
      <c r="Q26" s="10">
        <v>3.8753885992355501</v>
      </c>
      <c r="R26" s="8">
        <v>291.09982593612801</v>
      </c>
      <c r="S26" s="8">
        <v>291.36694773457998</v>
      </c>
      <c r="T26" s="8">
        <v>291.39005891996101</v>
      </c>
      <c r="U26" s="9">
        <v>-3.4406352328533903E-4</v>
      </c>
      <c r="V26" s="9">
        <v>5.73145248969783E-4</v>
      </c>
      <c r="W26" s="9">
        <v>6.52461962897237E-4</v>
      </c>
      <c r="X26" s="10">
        <v>3.87285543290331</v>
      </c>
      <c r="Y26" s="10">
        <v>3.8719668777701699</v>
      </c>
      <c r="Z26" s="10">
        <v>3.87484477358975</v>
      </c>
      <c r="AA26" s="10">
        <v>3.8753885992355501</v>
      </c>
      <c r="AB26" s="8">
        <v>291.13318953953899</v>
      </c>
      <c r="AC26" s="8">
        <v>291.36694773457998</v>
      </c>
      <c r="AD26" s="8">
        <v>291.39005891996101</v>
      </c>
      <c r="AE26" s="9">
        <v>-2.2945784974504901E-4</v>
      </c>
      <c r="AF26" s="9">
        <v>5.73145248969783E-4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74.61</v>
      </c>
      <c r="C27" s="8">
        <v>288.95</v>
      </c>
      <c r="D27" s="9">
        <v>-7.7436969065125E-3</v>
      </c>
      <c r="E27" s="9">
        <v>-7.7566535587439501E-3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74.61</v>
      </c>
      <c r="M27" s="8">
        <v>288.95</v>
      </c>
      <c r="N27" s="10">
        <v>3.8728052539874001</v>
      </c>
      <c r="O27" s="10">
        <v>3.8715231538253501</v>
      </c>
      <c r="P27" s="10">
        <v>3.8745873852340398</v>
      </c>
      <c r="Q27" s="10">
        <v>3.87526563442169</v>
      </c>
      <c r="R27" s="8">
        <v>288.85434250690901</v>
      </c>
      <c r="S27" s="8">
        <v>289.102168557531</v>
      </c>
      <c r="T27" s="8">
        <v>289.14274338896399</v>
      </c>
      <c r="U27" s="9">
        <v>-3.31106871053861E-4</v>
      </c>
      <c r="V27" s="9">
        <v>5.2648729413660002E-4</v>
      </c>
      <c r="W27" s="9">
        <v>6.6682517056624398E-4</v>
      </c>
      <c r="X27" s="10">
        <v>3.8728052539874001</v>
      </c>
      <c r="Y27" s="10">
        <v>3.8719668777701699</v>
      </c>
      <c r="Z27" s="10">
        <v>3.8745873852340398</v>
      </c>
      <c r="AA27" s="10">
        <v>3.87526563442169</v>
      </c>
      <c r="AB27" s="8">
        <v>288.88744875043199</v>
      </c>
      <c r="AC27" s="8">
        <v>289.102168557531</v>
      </c>
      <c r="AD27" s="8">
        <v>289.14274338896399</v>
      </c>
      <c r="AE27" s="9">
        <v>-2.1650119751365099E-4</v>
      </c>
      <c r="AF27" s="9">
        <v>5.2648729413660002E-4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74.23</v>
      </c>
      <c r="C28" s="8">
        <v>287.56</v>
      </c>
      <c r="D28" s="9">
        <v>-5.10616535396732E-3</v>
      </c>
      <c r="E28" s="9">
        <v>-4.8221286481161798E-3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74.23</v>
      </c>
      <c r="M28" s="8">
        <v>287.56</v>
      </c>
      <c r="N28" s="10">
        <v>3.8739054290718</v>
      </c>
      <c r="O28" s="10">
        <v>3.8715231538253501</v>
      </c>
      <c r="P28" s="10">
        <v>3.8744143404571498</v>
      </c>
      <c r="Q28" s="10">
        <v>3.8752059389878699</v>
      </c>
      <c r="R28" s="8">
        <v>287.38316370845502</v>
      </c>
      <c r="S28" s="8">
        <v>287.61062160592297</v>
      </c>
      <c r="T28" s="8">
        <v>287.66096804312201</v>
      </c>
      <c r="U28" s="9">
        <v>-6.1514357690519805E-4</v>
      </c>
      <c r="V28" s="9">
        <v>1.7602291964325401E-4</v>
      </c>
      <c r="W28" s="9">
        <v>3.5105828809771101E-4</v>
      </c>
      <c r="X28" s="10">
        <v>3.8739054290718</v>
      </c>
      <c r="Y28" s="10">
        <v>3.8719668777701699</v>
      </c>
      <c r="Z28" s="10">
        <v>3.8744143404571498</v>
      </c>
      <c r="AA28" s="10">
        <v>3.8752059389878699</v>
      </c>
      <c r="AB28" s="8">
        <v>287.41610133687999</v>
      </c>
      <c r="AC28" s="8">
        <v>287.61062160592297</v>
      </c>
      <c r="AD28" s="8">
        <v>287.66096804312201</v>
      </c>
      <c r="AE28" s="9">
        <v>-5.0053790336474998E-4</v>
      </c>
      <c r="AF28" s="9">
        <v>1.7602291964325401E-4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-5.10616535396732E-3</v>
      </c>
      <c r="BH28" s="9">
        <f t="shared" si="7"/>
        <v>4.8221286481161798E-3</v>
      </c>
      <c r="BI28" s="9">
        <f t="shared" si="8"/>
        <v>-2.8403670585114022E-4</v>
      </c>
      <c r="BJ28" s="12">
        <f t="shared" si="9"/>
        <v>-2.8403670585114022E-4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-2.8403670585114022E-4</v>
      </c>
      <c r="BY28" s="12">
        <f t="shared" si="19"/>
        <v>-2.8403670585114022E-4</v>
      </c>
    </row>
    <row r="29" spans="1:77" x14ac:dyDescent="0.3">
      <c r="A29" s="1">
        <v>46064</v>
      </c>
      <c r="B29" s="8">
        <v>74.58</v>
      </c>
      <c r="C29" s="8">
        <v>288.77999999999997</v>
      </c>
      <c r="D29" s="9">
        <v>4.7039936212191101E-3</v>
      </c>
      <c r="E29" s="9">
        <v>4.23361842740211E-3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74.58</v>
      </c>
      <c r="M29" s="8">
        <v>288.77999999999997</v>
      </c>
      <c r="N29" s="10">
        <v>3.8720836685438398</v>
      </c>
      <c r="O29" s="10">
        <v>3.8715231538253501</v>
      </c>
      <c r="P29" s="10">
        <v>3.8742104976951102</v>
      </c>
      <c r="Q29" s="10">
        <v>3.8751058277733899</v>
      </c>
      <c r="R29" s="8">
        <v>288.73819681229401</v>
      </c>
      <c r="S29" s="8">
        <v>288.953821511294</v>
      </c>
      <c r="T29" s="8">
        <v>289.01285892971498</v>
      </c>
      <c r="U29" s="9">
        <v>-1.4476838308811999E-4</v>
      </c>
      <c r="V29" s="9">
        <v>6.0173564388194402E-4</v>
      </c>
      <c r="W29" s="9">
        <v>8.0602914599465505E-4</v>
      </c>
      <c r="X29" s="10">
        <v>3.8720836685438398</v>
      </c>
      <c r="Y29" s="10">
        <v>3.8719668777701699</v>
      </c>
      <c r="Z29" s="10">
        <v>3.8742104976951102</v>
      </c>
      <c r="AA29" s="10">
        <v>3.8751058277733899</v>
      </c>
      <c r="AB29" s="8">
        <v>288.77128974409902</v>
      </c>
      <c r="AC29" s="8">
        <v>288.953821511294</v>
      </c>
      <c r="AD29" s="8">
        <v>289.01285892971498</v>
      </c>
      <c r="AE29" s="9">
        <v>-3.0162709547856099E-5</v>
      </c>
      <c r="AF29" s="9">
        <v>6.0173564388194402E-4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4.7039936212191101E-3</v>
      </c>
      <c r="BH29" s="9">
        <f t="shared" si="7"/>
        <v>-4.23361842740211E-3</v>
      </c>
      <c r="BI29" s="9">
        <f t="shared" si="8"/>
        <v>4.7037519381700008E-4</v>
      </c>
      <c r="BJ29" s="12">
        <f t="shared" si="9"/>
        <v>1.8633848796585986E-4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4.7037519381700008E-4</v>
      </c>
      <c r="BY29" s="12">
        <f t="shared" si="19"/>
        <v>1.8633848796585986E-4</v>
      </c>
    </row>
    <row r="30" spans="1:77" x14ac:dyDescent="0.3">
      <c r="A30" s="1">
        <v>46065</v>
      </c>
      <c r="B30" s="8">
        <v>74.25</v>
      </c>
      <c r="C30" s="8">
        <v>287.81</v>
      </c>
      <c r="D30" s="9">
        <v>-4.4345970678657497E-3</v>
      </c>
      <c r="E30" s="9">
        <v>-3.3646123418128999E-3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74.25</v>
      </c>
      <c r="M30" s="8">
        <v>287.81</v>
      </c>
      <c r="N30" s="10">
        <v>3.87622895622895</v>
      </c>
      <c r="O30" s="10">
        <v>3.8715231538253501</v>
      </c>
      <c r="P30" s="10">
        <v>3.8744011072941702</v>
      </c>
      <c r="Q30" s="10">
        <v>3.8750211202142402</v>
      </c>
      <c r="R30" s="8">
        <v>287.46059417153202</v>
      </c>
      <c r="S30" s="8">
        <v>287.660129453862</v>
      </c>
      <c r="T30" s="8">
        <v>287.72660771217397</v>
      </c>
      <c r="U30" s="9">
        <v>-1.2147531091410101E-3</v>
      </c>
      <c r="V30" s="9">
        <v>-5.2086300176163998E-4</v>
      </c>
      <c r="W30" s="9">
        <v>-2.8978969292945398E-4</v>
      </c>
      <c r="X30" s="10">
        <v>3.87622895622895</v>
      </c>
      <c r="Y30" s="10">
        <v>3.8719668777701699</v>
      </c>
      <c r="Z30" s="10">
        <v>3.8744011072941702</v>
      </c>
      <c r="AA30" s="10">
        <v>3.8750211202142402</v>
      </c>
      <c r="AB30" s="8">
        <v>287.493540674435</v>
      </c>
      <c r="AC30" s="8">
        <v>287.660129453862</v>
      </c>
      <c r="AD30" s="8">
        <v>287.72660771217397</v>
      </c>
      <c r="AE30" s="9">
        <v>-1.1001474356006099E-3</v>
      </c>
      <c r="AF30" s="9">
        <v>-5.2086300176163998E-4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-4.4345970678657497E-3</v>
      </c>
      <c r="BH30" s="9">
        <f t="shared" si="7"/>
        <v>3.3646123418128999E-3</v>
      </c>
      <c r="BI30" s="9">
        <f t="shared" si="8"/>
        <v>-1.0699847260528497E-3</v>
      </c>
      <c r="BJ30" s="12">
        <f t="shared" si="9"/>
        <v>-8.8364623808698988E-4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-1.0699847260528497E-3</v>
      </c>
      <c r="BY30" s="12">
        <f t="shared" si="19"/>
        <v>-8.8364623808698988E-4</v>
      </c>
    </row>
    <row r="31" spans="1:77" x14ac:dyDescent="0.3">
      <c r="A31" s="1">
        <v>46066</v>
      </c>
      <c r="B31" s="8">
        <v>74.959999999999994</v>
      </c>
      <c r="C31" s="8">
        <v>290.39</v>
      </c>
      <c r="D31" s="9">
        <v>9.51686024735773E-3</v>
      </c>
      <c r="E31" s="9">
        <v>8.9243068947657492E-3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74.959999999999994</v>
      </c>
      <c r="M31" s="8">
        <v>290.39</v>
      </c>
      <c r="N31" s="10">
        <v>3.8739327641408701</v>
      </c>
      <c r="O31" s="10">
        <v>3.8715231538253501</v>
      </c>
      <c r="P31" s="10">
        <v>3.8742589729433901</v>
      </c>
      <c r="Q31" s="10">
        <v>3.8748789587930799</v>
      </c>
      <c r="R31" s="8">
        <v>290.209375610748</v>
      </c>
      <c r="S31" s="8">
        <v>290.42510700277103</v>
      </c>
      <c r="T31" s="8">
        <v>290.47158317126002</v>
      </c>
      <c r="U31" s="9">
        <v>-6.2219975654910899E-4</v>
      </c>
      <c r="V31" s="9">
        <v>1.20888738571356E-4</v>
      </c>
      <c r="W31" s="9">
        <v>2.8090400246887098E-4</v>
      </c>
      <c r="X31" s="10">
        <v>3.8739327641408701</v>
      </c>
      <c r="Y31" s="10">
        <v>3.8719668777701699</v>
      </c>
      <c r="Z31" s="10">
        <v>3.8742589729433901</v>
      </c>
      <c r="AA31" s="10">
        <v>3.8748789587930799</v>
      </c>
      <c r="AB31" s="8">
        <v>290.24263715765198</v>
      </c>
      <c r="AC31" s="8">
        <v>290.42510700277103</v>
      </c>
      <c r="AD31" s="8">
        <v>290.47158317126002</v>
      </c>
      <c r="AE31" s="9">
        <v>-5.0759408300876695E-4</v>
      </c>
      <c r="AF31" s="9">
        <v>1.20888738571356E-4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-8.8364623808698988E-4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-9.51686024735773E-3</v>
      </c>
      <c r="BT31" s="9">
        <f t="shared" si="15"/>
        <v>8.9243068947657492E-3</v>
      </c>
      <c r="BU31" s="9">
        <f t="shared" si="16"/>
        <v>-5.9255335259198079E-4</v>
      </c>
      <c r="BV31" s="12">
        <f t="shared" si="17"/>
        <v>-5.9255335259198079E-4</v>
      </c>
      <c r="BX31" s="12">
        <f t="shared" si="18"/>
        <v>-5.9255335259198079E-4</v>
      </c>
      <c r="BY31" s="12">
        <f t="shared" si="19"/>
        <v>-1.4761995906789707E-3</v>
      </c>
    </row>
    <row r="32" spans="1:77" x14ac:dyDescent="0.3">
      <c r="A32" s="1">
        <v>46070</v>
      </c>
      <c r="B32" s="8">
        <v>75.010000000000005</v>
      </c>
      <c r="C32" s="8">
        <v>290.60000000000002</v>
      </c>
      <c r="D32" s="9">
        <v>6.6680005137829501E-4</v>
      </c>
      <c r="E32" s="9">
        <v>7.2290404015677798E-4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75.010000000000005</v>
      </c>
      <c r="M32" s="8">
        <v>290.60000000000002</v>
      </c>
      <c r="N32" s="10">
        <v>3.8741501133182199</v>
      </c>
      <c r="O32" s="10">
        <v>3.8715231538253501</v>
      </c>
      <c r="P32" s="10">
        <v>3.8741572237496</v>
      </c>
      <c r="Q32" s="10">
        <v>3.87482643235627</v>
      </c>
      <c r="R32" s="8">
        <v>290.40295176843898</v>
      </c>
      <c r="S32" s="8">
        <v>290.608165560484</v>
      </c>
      <c r="T32" s="8">
        <v>290.65467069906902</v>
      </c>
      <c r="U32" s="9">
        <v>-6.7830374532750805E-4</v>
      </c>
      <c r="V32" s="9">
        <v>2.80985745500139E-5</v>
      </c>
      <c r="W32" s="9">
        <v>1.8811272231194199E-4</v>
      </c>
      <c r="X32" s="10">
        <v>3.8741501133182199</v>
      </c>
      <c r="Y32" s="10">
        <v>3.8719668777701699</v>
      </c>
      <c r="Z32" s="10">
        <v>3.8741572237496</v>
      </c>
      <c r="AA32" s="10">
        <v>3.87482643235627</v>
      </c>
      <c r="AB32" s="8">
        <v>290.43623550154098</v>
      </c>
      <c r="AC32" s="8">
        <v>290.608165560484</v>
      </c>
      <c r="AD32" s="8">
        <v>290.65467069906902</v>
      </c>
      <c r="AE32" s="9">
        <v>-5.6369807178721903E-4</v>
      </c>
      <c r="AF32" s="9">
        <v>2.80985745500139E-5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-8.8364623808698988E-4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-6.6680005137829501E-4</v>
      </c>
      <c r="BT32" s="9">
        <f t="shared" si="15"/>
        <v>7.2290404015677798E-4</v>
      </c>
      <c r="BU32" s="9">
        <f t="shared" si="16"/>
        <v>5.6103988778482975E-5</v>
      </c>
      <c r="BV32" s="12">
        <f t="shared" si="17"/>
        <v>-5.3644936381349781E-4</v>
      </c>
      <c r="BX32" s="12">
        <f t="shared" si="18"/>
        <v>5.6103988778482975E-5</v>
      </c>
      <c r="BY32" s="12">
        <f t="shared" si="19"/>
        <v>-1.4200956019004877E-3</v>
      </c>
    </row>
    <row r="33" spans="1:77" x14ac:dyDescent="0.3">
      <c r="A33" s="1">
        <v>46071</v>
      </c>
      <c r="B33" s="8">
        <v>75.2</v>
      </c>
      <c r="C33" s="8">
        <v>291.42</v>
      </c>
      <c r="D33" s="9">
        <v>2.5297929742492402E-3</v>
      </c>
      <c r="E33" s="9">
        <v>2.81777444952587E-3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75.2</v>
      </c>
      <c r="M33" s="8">
        <v>291.42</v>
      </c>
      <c r="N33" s="10">
        <v>3.8752659574467998</v>
      </c>
      <c r="O33" s="10">
        <v>3.8715231538253501</v>
      </c>
      <c r="P33" s="10">
        <v>3.8741618273437899</v>
      </c>
      <c r="Q33" s="10">
        <v>3.87472667247703</v>
      </c>
      <c r="R33" s="8">
        <v>291.13854116766601</v>
      </c>
      <c r="S33" s="8">
        <v>291.33662322597002</v>
      </c>
      <c r="T33" s="8">
        <v>291.38694771319098</v>
      </c>
      <c r="U33" s="9">
        <v>-9.6628522060429199E-4</v>
      </c>
      <c r="V33" s="9">
        <v>-2.8614612438686797E-4</v>
      </c>
      <c r="W33" s="9">
        <v>-1.13424477774271E-4</v>
      </c>
      <c r="X33" s="10">
        <v>3.8752659574467998</v>
      </c>
      <c r="Y33" s="10">
        <v>3.8719668777701699</v>
      </c>
      <c r="Z33" s="10">
        <v>3.8741618273437899</v>
      </c>
      <c r="AA33" s="10">
        <v>3.87472667247703</v>
      </c>
      <c r="AB33" s="8">
        <v>291.171909208317</v>
      </c>
      <c r="AC33" s="8">
        <v>291.33662322597002</v>
      </c>
      <c r="AD33" s="8">
        <v>291.38694771319098</v>
      </c>
      <c r="AE33" s="9">
        <v>-8.5167954706399202E-4</v>
      </c>
      <c r="AF33" s="9">
        <v>-2.8614612438686797E-4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-8.8364623808698988E-4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-2.5297929742492402E-3</v>
      </c>
      <c r="BT33" s="9">
        <f t="shared" si="15"/>
        <v>2.81777444952587E-3</v>
      </c>
      <c r="BU33" s="9">
        <f t="shared" si="16"/>
        <v>2.8798147527662977E-4</v>
      </c>
      <c r="BV33" s="12">
        <f t="shared" si="17"/>
        <v>-2.4846788853686804E-4</v>
      </c>
      <c r="BX33" s="12">
        <f t="shared" si="18"/>
        <v>2.8798147527662977E-4</v>
      </c>
      <c r="BY33" s="12">
        <f t="shared" si="19"/>
        <v>-1.1321141266238579E-3</v>
      </c>
    </row>
    <row r="34" spans="1:77" x14ac:dyDescent="0.3">
      <c r="A34" s="1">
        <v>46072</v>
      </c>
      <c r="B34" s="8">
        <v>75.06</v>
      </c>
      <c r="C34" s="8">
        <v>290.87</v>
      </c>
      <c r="D34" s="9">
        <v>-1.8634372489193601E-3</v>
      </c>
      <c r="E34" s="9">
        <v>-1.8890936253903199E-3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75.06</v>
      </c>
      <c r="M34" s="8">
        <v>290.87</v>
      </c>
      <c r="N34" s="10">
        <v>3.8751665334399101</v>
      </c>
      <c r="O34" s="10">
        <v>3.8715231538253501</v>
      </c>
      <c r="P34" s="10">
        <v>3.8740123955985299</v>
      </c>
      <c r="Q34" s="10">
        <v>3.8746930307487699</v>
      </c>
      <c r="R34" s="8">
        <v>290.59652792613002</v>
      </c>
      <c r="S34" s="8">
        <v>290.79458676042498</v>
      </c>
      <c r="T34" s="8">
        <v>290.83698403612601</v>
      </c>
      <c r="U34" s="9">
        <v>-9.4062884413333701E-4</v>
      </c>
      <c r="V34" s="9">
        <v>-2.59301465875457E-4</v>
      </c>
      <c r="W34" s="9">
        <v>-1.13514070881046E-4</v>
      </c>
      <c r="X34" s="10">
        <v>3.8751665334399101</v>
      </c>
      <c r="Y34" s="10">
        <v>3.8719668777701699</v>
      </c>
      <c r="Z34" s="10">
        <v>3.8740123955985299</v>
      </c>
      <c r="AA34" s="10">
        <v>3.8746930307487699</v>
      </c>
      <c r="AB34" s="8">
        <v>290.629833845429</v>
      </c>
      <c r="AC34" s="8">
        <v>290.79458676042498</v>
      </c>
      <c r="AD34" s="8">
        <v>290.83698403612601</v>
      </c>
      <c r="AE34" s="9">
        <v>-8.2602317059300202E-4</v>
      </c>
      <c r="AF34" s="9">
        <v>-2.59301465875457E-4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-8.8364623808698988E-4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1.8634372489193601E-3</v>
      </c>
      <c r="BT34" s="9">
        <f t="shared" si="15"/>
        <v>-1.8890936253903199E-3</v>
      </c>
      <c r="BU34" s="9">
        <f t="shared" si="16"/>
        <v>-2.5656376470959861E-5</v>
      </c>
      <c r="BV34" s="12">
        <f t="shared" si="17"/>
        <v>-2.741242650078279E-4</v>
      </c>
      <c r="BX34" s="12">
        <f t="shared" si="18"/>
        <v>-2.5656376470959861E-5</v>
      </c>
      <c r="BY34" s="12">
        <f t="shared" si="19"/>
        <v>-1.1577705030948178E-3</v>
      </c>
    </row>
    <row r="35" spans="1:77" x14ac:dyDescent="0.3">
      <c r="A35" s="1">
        <v>46073</v>
      </c>
      <c r="B35" s="8">
        <v>74.819999999999993</v>
      </c>
      <c r="C35" s="8">
        <v>289.89999999999998</v>
      </c>
      <c r="D35" s="9">
        <v>-3.2025647868748502E-3</v>
      </c>
      <c r="E35" s="9">
        <v>-3.3403960327084499E-3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74.819999999999993</v>
      </c>
      <c r="M35" s="8">
        <v>289.89999999999998</v>
      </c>
      <c r="N35" s="10">
        <v>3.8746324512162502</v>
      </c>
      <c r="O35" s="10">
        <v>3.8715231538253501</v>
      </c>
      <c r="P35" s="10">
        <v>3.8741026560297298</v>
      </c>
      <c r="Q35" s="10">
        <v>3.8745892169268199</v>
      </c>
      <c r="R35" s="8">
        <v>289.66736236921201</v>
      </c>
      <c r="S35" s="8">
        <v>289.85360743868199</v>
      </c>
      <c r="T35" s="8">
        <v>289.90453256062199</v>
      </c>
      <c r="U35" s="9">
        <v>-8.0279759829962095E-4</v>
      </c>
      <c r="V35" s="9">
        <v>-1.60042338060057E-4</v>
      </c>
      <c r="W35" s="9">
        <v>1.5634788514139701E-5</v>
      </c>
      <c r="X35" s="10">
        <v>3.8746324512162502</v>
      </c>
      <c r="Y35" s="10">
        <v>3.8719668777701699</v>
      </c>
      <c r="Z35" s="10">
        <v>3.8741026560297298</v>
      </c>
      <c r="AA35" s="10">
        <v>3.8745892169268199</v>
      </c>
      <c r="AB35" s="8">
        <v>289.70056179476398</v>
      </c>
      <c r="AC35" s="8">
        <v>289.85360743868199</v>
      </c>
      <c r="AD35" s="8">
        <v>289.90453256062199</v>
      </c>
      <c r="AE35" s="9">
        <v>-6.8819192475952904E-4</v>
      </c>
      <c r="AF35" s="9">
        <v>-1.60042338060057E-4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-8.8364623808698988E-4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3.2025647868748502E-3</v>
      </c>
      <c r="BT35" s="9">
        <f t="shared" si="15"/>
        <v>-3.3403960327084499E-3</v>
      </c>
      <c r="BU35" s="9">
        <f t="shared" si="16"/>
        <v>-1.3783124583359972E-4</v>
      </c>
      <c r="BV35" s="12">
        <f t="shared" si="17"/>
        <v>-4.1195551084142763E-4</v>
      </c>
      <c r="BX35" s="12">
        <f t="shared" si="18"/>
        <v>-1.3783124583359972E-4</v>
      </c>
      <c r="BY35" s="12">
        <f t="shared" si="19"/>
        <v>-1.2956017489284175E-3</v>
      </c>
    </row>
    <row r="36" spans="1:77" x14ac:dyDescent="0.3">
      <c r="A36" s="1">
        <v>46076</v>
      </c>
      <c r="B36" s="8">
        <v>75.55</v>
      </c>
      <c r="C36" s="8">
        <v>292.72000000000003</v>
      </c>
      <c r="D36" s="9">
        <v>9.7094597987484703E-3</v>
      </c>
      <c r="E36" s="9">
        <v>9.6804847833417296E-3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75.55</v>
      </c>
      <c r="M36" s="8">
        <v>292.72000000000003</v>
      </c>
      <c r="N36" s="10">
        <v>3.8745201853077398</v>
      </c>
      <c r="O36" s="10">
        <v>3.8715231538253501</v>
      </c>
      <c r="P36" s="10">
        <v>3.87426913127018</v>
      </c>
      <c r="Q36" s="10">
        <v>3.8745569524299701</v>
      </c>
      <c r="R36" s="8">
        <v>292.493574271505</v>
      </c>
      <c r="S36" s="8">
        <v>292.688455663046</v>
      </c>
      <c r="T36" s="8">
        <v>292.72521533882099</v>
      </c>
      <c r="U36" s="9">
        <v>-7.7382258289287499E-4</v>
      </c>
      <c r="V36" s="9">
        <v>-1.0776864146264999E-4</v>
      </c>
      <c r="W36" s="9">
        <v>1.7816658793288199E-5</v>
      </c>
      <c r="X36" s="10">
        <v>3.8745201853077398</v>
      </c>
      <c r="Y36" s="10">
        <v>3.8719668777701699</v>
      </c>
      <c r="Z36" s="10">
        <v>3.87426913127018</v>
      </c>
      <c r="AA36" s="10">
        <v>3.8745569524299701</v>
      </c>
      <c r="AB36" s="8">
        <v>292.52709761553598</v>
      </c>
      <c r="AC36" s="8">
        <v>292.688455663046</v>
      </c>
      <c r="AD36" s="8">
        <v>292.72521533882099</v>
      </c>
      <c r="AE36" s="9">
        <v>-6.5921690935249403E-4</v>
      </c>
      <c r="AF36" s="9">
        <v>-1.0776864146264999E-4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-8.8364623808698988E-4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-9.7094597987484703E-3</v>
      </c>
      <c r="BT36" s="9">
        <f t="shared" si="15"/>
        <v>9.6804847833417296E-3</v>
      </c>
      <c r="BU36" s="9">
        <f t="shared" si="16"/>
        <v>-2.8975015406740648E-5</v>
      </c>
      <c r="BV36" s="12">
        <f t="shared" si="17"/>
        <v>-4.4093052624816827E-4</v>
      </c>
      <c r="BX36" s="12">
        <f t="shared" si="18"/>
        <v>-2.8975015406740648E-5</v>
      </c>
      <c r="BY36" s="12">
        <f t="shared" si="19"/>
        <v>-1.3245767643351582E-3</v>
      </c>
    </row>
    <row r="37" spans="1:77" x14ac:dyDescent="0.3">
      <c r="A37" s="1">
        <v>46077</v>
      </c>
      <c r="B37" s="8">
        <v>75.36</v>
      </c>
      <c r="C37" s="8">
        <v>291.93</v>
      </c>
      <c r="D37" s="9">
        <v>-2.5180584506409201E-3</v>
      </c>
      <c r="E37" s="9">
        <v>-2.7024732089440998E-3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75.36</v>
      </c>
      <c r="M37" s="8">
        <v>291.93</v>
      </c>
      <c r="N37" s="10">
        <v>3.8738057324840698</v>
      </c>
      <c r="O37" s="10">
        <v>3.8715231538253501</v>
      </c>
      <c r="P37" s="10">
        <v>3.8743691791198498</v>
      </c>
      <c r="Q37" s="10">
        <v>3.8744782821769399</v>
      </c>
      <c r="R37" s="8">
        <v>291.75798487227797</v>
      </c>
      <c r="S37" s="8">
        <v>291.96492173252102</v>
      </c>
      <c r="T37" s="8">
        <v>291.98661193512203</v>
      </c>
      <c r="U37" s="9">
        <v>-5.8940782458978503E-4</v>
      </c>
      <c r="V37" s="9">
        <v>1.19616496951274E-4</v>
      </c>
      <c r="W37" s="9">
        <v>1.93904177900789E-4</v>
      </c>
      <c r="X37" s="10">
        <v>3.8738057324840698</v>
      </c>
      <c r="Y37" s="10">
        <v>3.8719668777701699</v>
      </c>
      <c r="Z37" s="10">
        <v>3.8743691791198498</v>
      </c>
      <c r="AA37" s="10">
        <v>3.8744782821769399</v>
      </c>
      <c r="AB37" s="8">
        <v>291.79142390876001</v>
      </c>
      <c r="AC37" s="8">
        <v>291.96492173252102</v>
      </c>
      <c r="AD37" s="8">
        <v>291.98661193512203</v>
      </c>
      <c r="AE37" s="9">
        <v>-4.7480215104944701E-4</v>
      </c>
      <c r="AF37" s="9">
        <v>1.19616496951274E-4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-8.8364623808698988E-4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2.5180584506409201E-3</v>
      </c>
      <c r="BT37" s="9">
        <f t="shared" si="15"/>
        <v>-2.7024732089440998E-3</v>
      </c>
      <c r="BU37" s="9">
        <f t="shared" si="16"/>
        <v>-1.8441475830317973E-4</v>
      </c>
      <c r="BV37" s="12">
        <f t="shared" si="17"/>
        <v>-6.25345284551348E-4</v>
      </c>
      <c r="BX37" s="12">
        <f t="shared" si="18"/>
        <v>-1.8441475830317973E-4</v>
      </c>
      <c r="BY37" s="12">
        <f t="shared" si="19"/>
        <v>-1.5089915226383379E-3</v>
      </c>
    </row>
    <row r="38" spans="1:77" x14ac:dyDescent="0.3">
      <c r="A38" s="1">
        <v>46078</v>
      </c>
      <c r="B38" s="8">
        <v>75.34</v>
      </c>
      <c r="C38" s="8">
        <v>291.88</v>
      </c>
      <c r="D38" s="9">
        <v>-2.6542800421258E-4</v>
      </c>
      <c r="E38" s="9">
        <v>-1.7128860458798299E-4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75.34</v>
      </c>
      <c r="M38" s="8">
        <v>291.88</v>
      </c>
      <c r="N38" s="10">
        <v>3.8741704273958</v>
      </c>
      <c r="O38" s="10">
        <v>3.8715231538253501</v>
      </c>
      <c r="P38" s="10">
        <v>3.8743956789522498</v>
      </c>
      <c r="Q38" s="10">
        <v>3.8744050097047</v>
      </c>
      <c r="R38" s="8">
        <v>291.68055440920199</v>
      </c>
      <c r="S38" s="8">
        <v>291.894973954889</v>
      </c>
      <c r="T38" s="8">
        <v>291.90319377921099</v>
      </c>
      <c r="U38" s="9">
        <v>-6.8354722421418298E-4</v>
      </c>
      <c r="V38" s="9">
        <v>5.1300434451170298E-5</v>
      </c>
      <c r="W38" s="9">
        <v>7.9460249868838106E-5</v>
      </c>
      <c r="X38" s="10">
        <v>3.8741704273958</v>
      </c>
      <c r="Y38" s="10">
        <v>3.8719668777701699</v>
      </c>
      <c r="Z38" s="10">
        <v>3.8743956789522498</v>
      </c>
      <c r="AA38" s="10">
        <v>3.8744050097047</v>
      </c>
      <c r="AB38" s="8">
        <v>291.713984571205</v>
      </c>
      <c r="AC38" s="8">
        <v>291.894973954889</v>
      </c>
      <c r="AD38" s="8">
        <v>291.90319377921099</v>
      </c>
      <c r="AE38" s="9">
        <v>-5.6894155067392801E-4</v>
      </c>
      <c r="AF38" s="9">
        <v>5.1300434451170298E-5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-8.8364623808698988E-4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2.6542800421258E-4</v>
      </c>
      <c r="BT38" s="9">
        <f t="shared" si="15"/>
        <v>-1.7128860458798299E-4</v>
      </c>
      <c r="BU38" s="9">
        <f t="shared" si="16"/>
        <v>9.4139399624597006E-5</v>
      </c>
      <c r="BV38" s="12">
        <f t="shared" si="17"/>
        <v>-5.31205884926751E-4</v>
      </c>
      <c r="BX38" s="12">
        <f t="shared" si="18"/>
        <v>9.4139399624597006E-5</v>
      </c>
      <c r="BY38" s="12">
        <f t="shared" si="19"/>
        <v>-1.414852123013741E-3</v>
      </c>
    </row>
    <row r="39" spans="1:77" x14ac:dyDescent="0.3">
      <c r="A39" s="1">
        <v>46079</v>
      </c>
      <c r="B39" s="8">
        <v>75.19</v>
      </c>
      <c r="C39" s="8">
        <v>291.42</v>
      </c>
      <c r="D39" s="9">
        <v>-1.9929588739595501E-3</v>
      </c>
      <c r="E39" s="9">
        <v>-1.57723331171086E-3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75.19</v>
      </c>
      <c r="M39" s="8">
        <v>291.42</v>
      </c>
      <c r="N39" s="10">
        <v>3.8757813539034398</v>
      </c>
      <c r="O39" s="10">
        <v>3.8715231538253501</v>
      </c>
      <c r="P39" s="10">
        <v>3.8747654474882101</v>
      </c>
      <c r="Q39" s="10">
        <v>3.8744879725916599</v>
      </c>
      <c r="R39" s="8">
        <v>291.09982593612801</v>
      </c>
      <c r="S39" s="8">
        <v>291.31581110041901</v>
      </c>
      <c r="T39" s="8">
        <v>291.31651267969602</v>
      </c>
      <c r="U39" s="9">
        <v>-1.09927278646303E-3</v>
      </c>
      <c r="V39" s="9">
        <v>-3.5758537129811102E-4</v>
      </c>
      <c r="W39" s="9">
        <v>-3.5517706249553298E-4</v>
      </c>
      <c r="X39" s="10">
        <v>3.8757813539034398</v>
      </c>
      <c r="Y39" s="10">
        <v>3.8719668777701699</v>
      </c>
      <c r="Z39" s="10">
        <v>3.8747654474882101</v>
      </c>
      <c r="AA39" s="10">
        <v>3.8744879725916599</v>
      </c>
      <c r="AB39" s="8">
        <v>291.13318953953899</v>
      </c>
      <c r="AC39" s="8">
        <v>291.31581110041901</v>
      </c>
      <c r="AD39" s="8">
        <v>291.31651267969602</v>
      </c>
      <c r="AE39" s="9">
        <v>-9.8466711292262898E-4</v>
      </c>
      <c r="AF39" s="9">
        <v>-3.5758537129811102E-4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-8.8364623808698988E-4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1.9929588739595501E-3</v>
      </c>
      <c r="BT39" s="9">
        <f t="shared" si="15"/>
        <v>-1.57723331171086E-3</v>
      </c>
      <c r="BU39" s="9">
        <f t="shared" si="16"/>
        <v>4.1572556224869013E-4</v>
      </c>
      <c r="BV39" s="12">
        <f t="shared" si="17"/>
        <v>-1.1548032267806087E-4</v>
      </c>
      <c r="BX39" s="12">
        <f t="shared" si="18"/>
        <v>4.1572556224869013E-4</v>
      </c>
      <c r="BY39" s="12">
        <f t="shared" si="19"/>
        <v>-9.9912656076505085E-4</v>
      </c>
    </row>
    <row r="40" spans="1:77" x14ac:dyDescent="0.3">
      <c r="A40" s="1">
        <v>46080</v>
      </c>
      <c r="B40" s="8">
        <v>76.28</v>
      </c>
      <c r="C40" s="8">
        <v>295.51</v>
      </c>
      <c r="D40" s="9">
        <v>1.43925373422828E-2</v>
      </c>
      <c r="E40" s="9">
        <v>1.39371516353988E-2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76.28</v>
      </c>
      <c r="M40" s="8">
        <v>295.51</v>
      </c>
      <c r="N40" s="10">
        <v>3.87401678028316</v>
      </c>
      <c r="O40" s="10">
        <v>3.8715231538253501</v>
      </c>
      <c r="P40" s="10">
        <v>3.8745442298936301</v>
      </c>
      <c r="Q40" s="10">
        <v>3.8744726685939002</v>
      </c>
      <c r="R40" s="8">
        <v>295.31978617379701</v>
      </c>
      <c r="S40" s="8">
        <v>295.56710833440002</v>
      </c>
      <c r="T40" s="8">
        <v>295.54594254929202</v>
      </c>
      <c r="U40" s="9">
        <v>-6.43887079578976E-4</v>
      </c>
      <c r="V40" s="9">
        <v>1.93234803964412E-4</v>
      </c>
      <c r="W40" s="9">
        <v>1.21621480300174E-4</v>
      </c>
      <c r="X40" s="10">
        <v>3.87401678028316</v>
      </c>
      <c r="Y40" s="10">
        <v>3.8719668777701699</v>
      </c>
      <c r="Z40" s="10">
        <v>3.8745442298936301</v>
      </c>
      <c r="AA40" s="10">
        <v>3.8744726685939002</v>
      </c>
      <c r="AB40" s="8">
        <v>295.353633436309</v>
      </c>
      <c r="AC40" s="8">
        <v>295.56710833440002</v>
      </c>
      <c r="AD40" s="8">
        <v>295.54594254929202</v>
      </c>
      <c r="AE40" s="9">
        <v>-5.2928140603880202E-4</v>
      </c>
      <c r="AF40" s="9">
        <v>1.93234803964412E-4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-8.8364623808698988E-4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-1.43925373422828E-2</v>
      </c>
      <c r="BT40" s="9">
        <f t="shared" si="15"/>
        <v>1.39371516353988E-2</v>
      </c>
      <c r="BU40" s="9">
        <f t="shared" si="16"/>
        <v>-4.5538570688400011E-4</v>
      </c>
      <c r="BV40" s="12">
        <f t="shared" si="17"/>
        <v>-5.7086602956206098E-4</v>
      </c>
      <c r="BX40" s="12">
        <f t="shared" si="18"/>
        <v>-4.5538570688400011E-4</v>
      </c>
      <c r="BY40" s="12">
        <f t="shared" si="19"/>
        <v>-1.454512267649051E-3</v>
      </c>
    </row>
    <row r="41" spans="1:77" x14ac:dyDescent="0.3">
      <c r="A41" s="1">
        <v>46083</v>
      </c>
      <c r="B41" s="8">
        <v>75.56</v>
      </c>
      <c r="C41" s="8">
        <v>292.69</v>
      </c>
      <c r="D41" s="9">
        <v>-9.4837380989094607E-3</v>
      </c>
      <c r="E41" s="9">
        <v>-9.5886487806204294E-3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75.56</v>
      </c>
      <c r="M41" s="8">
        <v>292.69</v>
      </c>
      <c r="N41" s="10">
        <v>3.87361037586024</v>
      </c>
      <c r="O41" s="10">
        <v>3.8715231538253501</v>
      </c>
      <c r="P41" s="10">
        <v>3.8745119910655599</v>
      </c>
      <c r="Q41" s="10">
        <v>3.8743854820044801</v>
      </c>
      <c r="R41" s="8">
        <v>292.53228950304299</v>
      </c>
      <c r="S41" s="8">
        <v>292.76056201076199</v>
      </c>
      <c r="T41" s="8">
        <v>292.75515483895498</v>
      </c>
      <c r="U41" s="9">
        <v>-5.3897639786812401E-4</v>
      </c>
      <c r="V41" s="9">
        <v>2.4105198861605999E-4</v>
      </c>
      <c r="W41" s="9">
        <v>2.2258221350347299E-4</v>
      </c>
      <c r="X41" s="10">
        <v>3.87361037586024</v>
      </c>
      <c r="Y41" s="10">
        <v>3.8719668777701699</v>
      </c>
      <c r="Z41" s="10">
        <v>3.8745119910655599</v>
      </c>
      <c r="AA41" s="10">
        <v>3.8743854820044801</v>
      </c>
      <c r="AB41" s="8">
        <v>292.56581728431399</v>
      </c>
      <c r="AC41" s="8">
        <v>292.76056201076199</v>
      </c>
      <c r="AD41" s="8">
        <v>292.75515483895498</v>
      </c>
      <c r="AE41" s="9">
        <v>-4.2437072432777E-4</v>
      </c>
      <c r="AF41" s="9">
        <v>2.4105198861605999E-4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-8.8364623808698988E-4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9.4837380989094607E-3</v>
      </c>
      <c r="BT41" s="9">
        <f t="shared" si="15"/>
        <v>-9.5886487806204294E-3</v>
      </c>
      <c r="BU41" s="9">
        <f t="shared" si="16"/>
        <v>-1.0491068171096865E-4</v>
      </c>
      <c r="BV41" s="12">
        <f t="shared" si="17"/>
        <v>-6.7577671127302963E-4</v>
      </c>
      <c r="BX41" s="12">
        <f t="shared" si="18"/>
        <v>-1.0491068171096865E-4</v>
      </c>
      <c r="BY41" s="12">
        <f t="shared" si="19"/>
        <v>-1.5594229493600196E-3</v>
      </c>
    </row>
    <row r="42" spans="1:77" x14ac:dyDescent="0.3">
      <c r="A42" s="1">
        <v>46084</v>
      </c>
      <c r="B42" s="8">
        <v>74.739999999999995</v>
      </c>
      <c r="C42" s="8">
        <v>289.44</v>
      </c>
      <c r="D42" s="9">
        <v>-1.0911618575971E-2</v>
      </c>
      <c r="E42" s="9">
        <v>-1.1166006793501999E-2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74.739999999999995</v>
      </c>
      <c r="M42" s="8">
        <v>289.44</v>
      </c>
      <c r="N42" s="10">
        <v>3.8726251003478702</v>
      </c>
      <c r="O42" s="10">
        <v>3.8715231538253501</v>
      </c>
      <c r="P42" s="10">
        <v>3.8743594897685298</v>
      </c>
      <c r="Q42" s="10">
        <v>3.87425835675907</v>
      </c>
      <c r="R42" s="8">
        <v>289.35764051690597</v>
      </c>
      <c r="S42" s="8">
        <v>289.58102621223998</v>
      </c>
      <c r="T42" s="8">
        <v>289.57157092501399</v>
      </c>
      <c r="U42" s="9">
        <v>-2.8458818033722498E-4</v>
      </c>
      <c r="V42" s="9">
        <v>4.8711949530305199E-4</v>
      </c>
      <c r="W42" s="9">
        <v>4.5446735052048602E-4</v>
      </c>
      <c r="X42" s="10">
        <v>3.8726251003478702</v>
      </c>
      <c r="Y42" s="10">
        <v>3.8719668777701699</v>
      </c>
      <c r="Z42" s="10">
        <v>3.8743594897685298</v>
      </c>
      <c r="AA42" s="10">
        <v>3.87425835675907</v>
      </c>
      <c r="AB42" s="8">
        <v>289.39080444454299</v>
      </c>
      <c r="AC42" s="8">
        <v>289.58102621223998</v>
      </c>
      <c r="AD42" s="8">
        <v>289.57157092501399</v>
      </c>
      <c r="AE42" s="9">
        <v>-1.6998250679698299E-4</v>
      </c>
      <c r="AF42" s="9">
        <v>4.8711949530305199E-4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-8.8364623808698988E-4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1.0911618575971E-2</v>
      </c>
      <c r="BT42" s="9">
        <f t="shared" si="15"/>
        <v>-1.1166006793501999E-2</v>
      </c>
      <c r="BU42" s="9">
        <f t="shared" si="16"/>
        <v>-2.5438821753099965E-4</v>
      </c>
      <c r="BV42" s="12">
        <f t="shared" si="17"/>
        <v>-9.3016492880402927E-4</v>
      </c>
      <c r="BX42" s="12">
        <f t="shared" si="18"/>
        <v>-2.5438821753099965E-4</v>
      </c>
      <c r="BY42" s="12">
        <f t="shared" si="19"/>
        <v>-1.8138111668910193E-3</v>
      </c>
    </row>
    <row r="43" spans="1:77" x14ac:dyDescent="0.3">
      <c r="A43" s="1">
        <v>46085</v>
      </c>
      <c r="B43" s="8">
        <v>74.92</v>
      </c>
      <c r="C43" s="8">
        <v>290.24</v>
      </c>
      <c r="D43" s="9">
        <v>2.40545351854997E-3</v>
      </c>
      <c r="E43" s="9">
        <v>2.7601452797868702E-3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74.92</v>
      </c>
      <c r="M43" s="8">
        <v>290.24</v>
      </c>
      <c r="N43" s="10">
        <v>3.8739989321943402</v>
      </c>
      <c r="O43" s="10">
        <v>3.8715231538253501</v>
      </c>
      <c r="P43" s="10">
        <v>3.87423278724328</v>
      </c>
      <c r="Q43" s="10">
        <v>3.8741973072935401</v>
      </c>
      <c r="R43" s="8">
        <v>290.05451468459501</v>
      </c>
      <c r="S43" s="8">
        <v>290.26701297345801</v>
      </c>
      <c r="T43" s="8">
        <v>290.25943608838901</v>
      </c>
      <c r="U43" s="9">
        <v>-6.39279941574101E-4</v>
      </c>
      <c r="V43" s="9">
        <v>9.3066829079490194E-5</v>
      </c>
      <c r="W43" s="9">
        <v>6.6963332566571303E-5</v>
      </c>
      <c r="X43" s="10">
        <v>3.8739989321943402</v>
      </c>
      <c r="Y43" s="10">
        <v>3.8719668777701699</v>
      </c>
      <c r="Z43" s="10">
        <v>3.87423278724328</v>
      </c>
      <c r="AA43" s="10">
        <v>3.8741973072935401</v>
      </c>
      <c r="AB43" s="8">
        <v>290.08775848254101</v>
      </c>
      <c r="AC43" s="8">
        <v>290.26701297345801</v>
      </c>
      <c r="AD43" s="8">
        <v>290.25943608838901</v>
      </c>
      <c r="AE43" s="9">
        <v>-5.2467426803367103E-4</v>
      </c>
      <c r="AF43" s="9">
        <v>9.3066829079490194E-5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-8.8364623808698988E-4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-2.40545351854997E-3</v>
      </c>
      <c r="BT43" s="9">
        <f t="shared" si="15"/>
        <v>2.7601452797868702E-3</v>
      </c>
      <c r="BU43" s="9">
        <f t="shared" si="16"/>
        <v>3.546917612369002E-4</v>
      </c>
      <c r="BV43" s="12">
        <f t="shared" si="17"/>
        <v>-5.7547316756712907E-4</v>
      </c>
      <c r="BX43" s="12">
        <f t="shared" si="18"/>
        <v>3.546917612369002E-4</v>
      </c>
      <c r="BY43" s="12">
        <f t="shared" si="19"/>
        <v>-1.4591194056541191E-3</v>
      </c>
    </row>
    <row r="44" spans="1:77" x14ac:dyDescent="0.3">
      <c r="A44" s="1">
        <v>46086</v>
      </c>
      <c r="B44" s="8">
        <v>73.430000000000007</v>
      </c>
      <c r="C44" s="8">
        <v>284.57</v>
      </c>
      <c r="D44" s="9">
        <v>-2.00883061123685E-2</v>
      </c>
      <c r="E44" s="9">
        <v>-1.9728897930463399E-2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73.430000000000007</v>
      </c>
      <c r="M44" s="8">
        <v>284.57</v>
      </c>
      <c r="N44" s="10">
        <v>3.8753915293476702</v>
      </c>
      <c r="O44" s="10">
        <v>3.8715231538253501</v>
      </c>
      <c r="P44" s="10">
        <v>3.8742552868340598</v>
      </c>
      <c r="Q44" s="10">
        <v>3.87413384121629</v>
      </c>
      <c r="R44" s="8">
        <v>284.28594518539501</v>
      </c>
      <c r="S44" s="8">
        <v>284.48491356727402</v>
      </c>
      <c r="T44" s="8">
        <v>284.48230827456399</v>
      </c>
      <c r="U44" s="9">
        <v>-9.9868812347899999E-4</v>
      </c>
      <c r="V44" s="9">
        <v>-2.9904471899288399E-4</v>
      </c>
      <c r="W44" s="9">
        <v>-3.0820269017219602E-4</v>
      </c>
      <c r="X44" s="10">
        <v>3.8753915293476702</v>
      </c>
      <c r="Y44" s="10">
        <v>3.8719668777701699</v>
      </c>
      <c r="Z44" s="10">
        <v>3.8742552868340598</v>
      </c>
      <c r="AA44" s="10">
        <v>3.87413384121629</v>
      </c>
      <c r="AB44" s="8">
        <v>284.318527834664</v>
      </c>
      <c r="AC44" s="8">
        <v>284.48491356727402</v>
      </c>
      <c r="AD44" s="8">
        <v>284.48230827456399</v>
      </c>
      <c r="AE44" s="9">
        <v>-8.8408244993886601E-4</v>
      </c>
      <c r="AF44" s="9">
        <v>-2.9904471899288399E-4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-8.8364623808698988E-4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2.00883061123685E-2</v>
      </c>
      <c r="BT44" s="9">
        <f t="shared" si="15"/>
        <v>-1.9728897930463399E-2</v>
      </c>
      <c r="BU44" s="9">
        <f t="shared" si="16"/>
        <v>3.5940818190510065E-4</v>
      </c>
      <c r="BV44" s="12">
        <f t="shared" si="17"/>
        <v>-2.1606498566202842E-4</v>
      </c>
      <c r="BX44" s="12">
        <f t="shared" si="18"/>
        <v>3.5940818190510065E-4</v>
      </c>
      <c r="BY44" s="12">
        <f t="shared" si="19"/>
        <v>-1.0997112237490184E-3</v>
      </c>
    </row>
    <row r="45" spans="1:77" x14ac:dyDescent="0.3">
      <c r="A45" s="1">
        <v>46087</v>
      </c>
      <c r="B45" s="8">
        <v>72.89</v>
      </c>
      <c r="C45" s="8">
        <v>282.14999999999998</v>
      </c>
      <c r="D45" s="9">
        <v>-7.3811160693976396E-3</v>
      </c>
      <c r="E45" s="9">
        <v>-8.5404245811593095E-3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72.89</v>
      </c>
      <c r="M45" s="8">
        <v>282.14999999999998</v>
      </c>
      <c r="N45" s="10">
        <v>3.8709013582109999</v>
      </c>
      <c r="O45" s="10">
        <v>3.8715231538253501</v>
      </c>
      <c r="P45" s="10">
        <v>3.8738821775335301</v>
      </c>
      <c r="Q45" s="10">
        <v>3.87399241678163</v>
      </c>
      <c r="R45" s="8">
        <v>282.19532268232899</v>
      </c>
      <c r="S45" s="8">
        <v>282.39446785733401</v>
      </c>
      <c r="T45" s="8">
        <v>282.38561568625602</v>
      </c>
      <c r="U45" s="9">
        <v>1.6062038828262601E-4</v>
      </c>
      <c r="V45" s="9">
        <v>8.6607127174061303E-4</v>
      </c>
      <c r="W45" s="9">
        <v>8.34723951474119E-4</v>
      </c>
      <c r="X45" s="10">
        <v>3.8709013582109999</v>
      </c>
      <c r="Y45" s="10">
        <v>3.8719668777701699</v>
      </c>
      <c r="Z45" s="10">
        <v>3.8738821775335301</v>
      </c>
      <c r="AA45" s="10">
        <v>3.87399241678163</v>
      </c>
      <c r="AB45" s="8">
        <v>282.22766572066803</v>
      </c>
      <c r="AC45" s="8">
        <v>282.39446785733401</v>
      </c>
      <c r="AD45" s="8">
        <v>282.38561568625602</v>
      </c>
      <c r="AE45" s="9">
        <v>2.7522606182283998E-4</v>
      </c>
      <c r="AF45" s="9">
        <v>8.6607127174061303E-4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-8.8364623808698988E-4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-2.1606498566202842E-4</v>
      </c>
      <c r="BX45" s="12">
        <f t="shared" si="18"/>
        <v>0</v>
      </c>
      <c r="BY45" s="12">
        <f t="shared" si="19"/>
        <v>-1.0997112237490184E-3</v>
      </c>
    </row>
    <row r="46" spans="1:77" x14ac:dyDescent="0.3">
      <c r="A46" s="1">
        <v>46090</v>
      </c>
      <c r="B46" s="8">
        <v>73.709999999999994</v>
      </c>
      <c r="C46" s="8">
        <v>285.32</v>
      </c>
      <c r="D46" s="9">
        <v>1.11870198070758E-2</v>
      </c>
      <c r="E46" s="9">
        <v>1.11725129946883E-2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73.709999999999994</v>
      </c>
      <c r="M46" s="8">
        <v>285.32</v>
      </c>
      <c r="N46" s="10">
        <v>3.8708452041785302</v>
      </c>
      <c r="O46" s="10">
        <v>3.8715231538253501</v>
      </c>
      <c r="P46" s="10">
        <v>3.8735146794206101</v>
      </c>
      <c r="Q46" s="10">
        <v>3.8738919053454</v>
      </c>
      <c r="R46" s="8">
        <v>285.36997166846601</v>
      </c>
      <c r="S46" s="8">
        <v>285.543855305997</v>
      </c>
      <c r="T46" s="8">
        <v>285.551981040974</v>
      </c>
      <c r="U46" s="9">
        <v>1.7512720067001399E-4</v>
      </c>
      <c r="V46" s="9">
        <v>7.8426866718003005E-4</v>
      </c>
      <c r="W46" s="9">
        <v>8.1272530951906395E-4</v>
      </c>
      <c r="X46" s="10">
        <v>3.8708452041785302</v>
      </c>
      <c r="Y46" s="10">
        <v>3.8719668777701699</v>
      </c>
      <c r="Z46" s="10">
        <v>3.8735146794206101</v>
      </c>
      <c r="AA46" s="10">
        <v>3.8738919053454</v>
      </c>
      <c r="AB46" s="8">
        <v>285.40267856043903</v>
      </c>
      <c r="AC46" s="8">
        <v>285.543855305997</v>
      </c>
      <c r="AD46" s="8">
        <v>285.551981040974</v>
      </c>
      <c r="AE46" s="9">
        <v>2.8973287421015301E-4</v>
      </c>
      <c r="AF46" s="9">
        <v>7.8426866718003005E-4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-8.8364623808698988E-4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-2.1606498566202842E-4</v>
      </c>
      <c r="BX46" s="12">
        <f t="shared" si="18"/>
        <v>0</v>
      </c>
      <c r="BY46" s="12">
        <f t="shared" si="19"/>
        <v>-1.0997112237490184E-3</v>
      </c>
    </row>
    <row r="47" spans="1:77" x14ac:dyDescent="0.3">
      <c r="A47" s="1">
        <v>46091</v>
      </c>
      <c r="B47" s="8">
        <v>73.17</v>
      </c>
      <c r="C47" s="8">
        <v>283.48</v>
      </c>
      <c r="D47" s="9">
        <v>-7.3529743052586898E-3</v>
      </c>
      <c r="E47" s="9">
        <v>-6.4697834677820698E-3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73.17</v>
      </c>
      <c r="M47" s="8">
        <v>283.48</v>
      </c>
      <c r="N47" s="10">
        <v>3.8742654093207598</v>
      </c>
      <c r="O47" s="10">
        <v>3.8715231538253501</v>
      </c>
      <c r="P47" s="10">
        <v>3.8735606471042798</v>
      </c>
      <c r="Q47" s="10">
        <v>3.8739649131120601</v>
      </c>
      <c r="R47" s="8">
        <v>283.27934916540102</v>
      </c>
      <c r="S47" s="8">
        <v>283.42506909320599</v>
      </c>
      <c r="T47" s="8">
        <v>283.45267071412201</v>
      </c>
      <c r="U47" s="9">
        <v>-7.0806363680657599E-4</v>
      </c>
      <c r="V47" s="9">
        <v>-1.9379225891643899E-4</v>
      </c>
      <c r="W47" s="9">
        <v>-9.6411046002515107E-5</v>
      </c>
      <c r="X47" s="10">
        <v>3.8742654093207598</v>
      </c>
      <c r="Y47" s="10">
        <v>3.8719668777701699</v>
      </c>
      <c r="Z47" s="10">
        <v>3.8735606471042798</v>
      </c>
      <c r="AA47" s="10">
        <v>3.8739649131120601</v>
      </c>
      <c r="AB47" s="8">
        <v>283.311816446443</v>
      </c>
      <c r="AC47" s="8">
        <v>283.42506909320599</v>
      </c>
      <c r="AD47" s="8">
        <v>283.45267071412201</v>
      </c>
      <c r="AE47" s="9">
        <v>-5.9345796326645199E-4</v>
      </c>
      <c r="AF47" s="9">
        <v>-1.9379225891643899E-4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-8.8364623808698988E-4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-2.1606498566202842E-4</v>
      </c>
      <c r="BX47" s="12">
        <f t="shared" si="18"/>
        <v>0</v>
      </c>
      <c r="BY47" s="12">
        <f t="shared" si="19"/>
        <v>-1.0997112237490184E-3</v>
      </c>
    </row>
    <row r="48" spans="1:77" x14ac:dyDescent="0.3">
      <c r="A48" s="1">
        <v>46092</v>
      </c>
      <c r="B48" s="8">
        <v>73.010000000000005</v>
      </c>
      <c r="C48" s="8">
        <v>282.75</v>
      </c>
      <c r="D48" s="9">
        <v>-2.18908282794419E-3</v>
      </c>
      <c r="E48" s="9">
        <v>-2.5784589458254701E-3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73.010000000000005</v>
      </c>
      <c r="M48" s="8">
        <v>282.75</v>
      </c>
      <c r="N48" s="10">
        <v>3.8727571565538899</v>
      </c>
      <c r="O48" s="10">
        <v>3.8715231538253501</v>
      </c>
      <c r="P48" s="10">
        <v>3.8734193200200902</v>
      </c>
      <c r="Q48" s="10">
        <v>3.8739074994861702</v>
      </c>
      <c r="R48" s="8">
        <v>282.65990546078802</v>
      </c>
      <c r="S48" s="8">
        <v>282.80866284508301</v>
      </c>
      <c r="T48" s="8">
        <v>282.83817830631199</v>
      </c>
      <c r="U48" s="9">
        <v>-3.1868751892538498E-4</v>
      </c>
      <c r="V48" s="9">
        <v>2.0745096538420801E-4</v>
      </c>
      <c r="W48" s="9">
        <v>3.1181099750203397E-4</v>
      </c>
      <c r="X48" s="10">
        <v>3.8727571565538899</v>
      </c>
      <c r="Y48" s="10">
        <v>3.8719668777701699</v>
      </c>
      <c r="Z48" s="10">
        <v>3.8734193200200902</v>
      </c>
      <c r="AA48" s="10">
        <v>3.8739074994861702</v>
      </c>
      <c r="AB48" s="8">
        <v>282.692301746</v>
      </c>
      <c r="AC48" s="8">
        <v>282.80866284508301</v>
      </c>
      <c r="AD48" s="8">
        <v>282.83817830631199</v>
      </c>
      <c r="AE48" s="9">
        <v>-2.0408184538514099E-4</v>
      </c>
      <c r="AF48" s="9">
        <v>2.0745096538420801E-4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-8.8364623808698988E-4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-2.1606498566202842E-4</v>
      </c>
      <c r="BX48" s="12">
        <f t="shared" si="18"/>
        <v>0</v>
      </c>
      <c r="BY48" s="12">
        <f t="shared" si="19"/>
        <v>-1.0997112237490184E-3</v>
      </c>
    </row>
    <row r="49" spans="1:77" x14ac:dyDescent="0.3">
      <c r="A49" s="1">
        <v>46093</v>
      </c>
      <c r="B49" s="8">
        <v>71.59</v>
      </c>
      <c r="C49" s="8">
        <v>277.20999999999998</v>
      </c>
      <c r="D49" s="9">
        <v>-1.96410186599007E-2</v>
      </c>
      <c r="E49" s="9">
        <v>-1.9787773295095099E-2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71.59</v>
      </c>
      <c r="M49" s="8">
        <v>277.20999999999998</v>
      </c>
      <c r="N49" s="10">
        <v>3.8721888531917799</v>
      </c>
      <c r="O49" s="10">
        <v>3.8715231538253501</v>
      </c>
      <c r="P49" s="10">
        <v>3.8730600699489202</v>
      </c>
      <c r="Q49" s="10">
        <v>3.8739127587185598</v>
      </c>
      <c r="R49" s="8">
        <v>277.16234258235602</v>
      </c>
      <c r="S49" s="8">
        <v>277.29808912023799</v>
      </c>
      <c r="T49" s="8">
        <v>277.33303788821502</v>
      </c>
      <c r="U49" s="9">
        <v>-1.7193288373096901E-4</v>
      </c>
      <c r="V49" s="9">
        <v>3.17719877159524E-4</v>
      </c>
      <c r="W49" s="9">
        <v>4.4374514447971498E-4</v>
      </c>
      <c r="X49" s="10">
        <v>3.8721888531917799</v>
      </c>
      <c r="Y49" s="10">
        <v>3.8719668777701699</v>
      </c>
      <c r="Z49" s="10">
        <v>3.8730600699489202</v>
      </c>
      <c r="AA49" s="10">
        <v>3.8739127587185598</v>
      </c>
      <c r="AB49" s="8">
        <v>277.19410877956699</v>
      </c>
      <c r="AC49" s="8">
        <v>277.29808912023799</v>
      </c>
      <c r="AD49" s="8">
        <v>277.33303788821502</v>
      </c>
      <c r="AE49" s="9">
        <v>-5.7327210190655403E-5</v>
      </c>
      <c r="AF49" s="9">
        <v>3.17719877159524E-4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-8.8364623808698988E-4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-2.1606498566202842E-4</v>
      </c>
      <c r="BX49" s="12">
        <f t="shared" si="18"/>
        <v>0</v>
      </c>
      <c r="BY49" s="12">
        <f t="shared" si="19"/>
        <v>-1.0997112237490184E-3</v>
      </c>
    </row>
    <row r="50" spans="1:77" x14ac:dyDescent="0.3">
      <c r="A50" s="1">
        <v>46094</v>
      </c>
      <c r="B50" s="8">
        <v>71.400000000000006</v>
      </c>
      <c r="C50" s="8">
        <v>276.67</v>
      </c>
      <c r="D50" s="9">
        <v>-2.6575300625549599E-3</v>
      </c>
      <c r="E50" s="9">
        <v>-1.9498814584085499E-3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71.400000000000006</v>
      </c>
      <c r="M50" s="8">
        <v>276.67</v>
      </c>
      <c r="N50" s="10">
        <v>3.8749299719887902</v>
      </c>
      <c r="O50" s="10">
        <v>3.8715231538253501</v>
      </c>
      <c r="P50" s="10">
        <v>3.87315138911949</v>
      </c>
      <c r="Q50" s="10">
        <v>3.87384780950656</v>
      </c>
      <c r="R50" s="8">
        <v>276.42675318313002</v>
      </c>
      <c r="S50" s="8">
        <v>276.53648899435302</v>
      </c>
      <c r="T50" s="8">
        <v>276.59737097250502</v>
      </c>
      <c r="U50" s="9">
        <v>-8.7958148787743902E-4</v>
      </c>
      <c r="V50" s="9">
        <v>-4.82680557421849E-4</v>
      </c>
      <c r="W50" s="9">
        <v>-2.6254585656727603E-4</v>
      </c>
      <c r="X50" s="10">
        <v>3.8749299719887902</v>
      </c>
      <c r="Y50" s="10">
        <v>3.8719668777701699</v>
      </c>
      <c r="Z50" s="10">
        <v>3.87315138911949</v>
      </c>
      <c r="AA50" s="10">
        <v>3.87384780950656</v>
      </c>
      <c r="AB50" s="8">
        <v>276.45843507279</v>
      </c>
      <c r="AC50" s="8">
        <v>276.53648899435302</v>
      </c>
      <c r="AD50" s="8">
        <v>276.59737097250502</v>
      </c>
      <c r="AE50" s="9">
        <v>-7.6497581433703703E-4</v>
      </c>
      <c r="AF50" s="9">
        <v>-4.82680557421849E-4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-8.8364623808698988E-4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-2.1606498566202842E-4</v>
      </c>
      <c r="BX50" s="12">
        <f t="shared" si="18"/>
        <v>0</v>
      </c>
      <c r="BY50" s="12">
        <f t="shared" si="19"/>
        <v>-1.0997112237490184E-3</v>
      </c>
    </row>
    <row r="51" spans="1:77" x14ac:dyDescent="0.3">
      <c r="A51" s="1">
        <v>46097</v>
      </c>
      <c r="B51" s="8">
        <v>72.040000000000006</v>
      </c>
      <c r="C51" s="8">
        <v>278.95999999999998</v>
      </c>
      <c r="D51" s="9">
        <v>8.9236509622165894E-3</v>
      </c>
      <c r="E51" s="9">
        <v>8.2429421246693994E-3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72.040000000000006</v>
      </c>
      <c r="M51" s="8">
        <v>278.95999999999998</v>
      </c>
      <c r="N51" s="10">
        <v>3.8722931704608499</v>
      </c>
      <c r="O51" s="10">
        <v>3.8715231538253501</v>
      </c>
      <c r="P51" s="10">
        <v>3.8730196685795502</v>
      </c>
      <c r="Q51" s="10">
        <v>3.8737658298225601</v>
      </c>
      <c r="R51" s="8">
        <v>278.904528001578</v>
      </c>
      <c r="S51" s="8">
        <v>279.02182607216798</v>
      </c>
      <c r="T51" s="8">
        <v>279.07199619685201</v>
      </c>
      <c r="U51" s="9">
        <v>-1.9887265033004001E-4</v>
      </c>
      <c r="V51" s="9">
        <v>2.2160604353886E-4</v>
      </c>
      <c r="W51" s="9">
        <v>4.0139704934419502E-4</v>
      </c>
      <c r="X51" s="10">
        <v>3.8722931704608499</v>
      </c>
      <c r="Y51" s="10">
        <v>3.8719668777701699</v>
      </c>
      <c r="Z51" s="10">
        <v>3.8730196685795502</v>
      </c>
      <c r="AA51" s="10">
        <v>3.8737658298225601</v>
      </c>
      <c r="AB51" s="8">
        <v>278.93649387456298</v>
      </c>
      <c r="AC51" s="8">
        <v>279.02182607216798</v>
      </c>
      <c r="AD51" s="8">
        <v>279.07199619685201</v>
      </c>
      <c r="AE51" s="9">
        <v>-8.4266976789828095E-5</v>
      </c>
      <c r="AF51" s="9">
        <v>2.2160604353886E-4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-8.8364623808698988E-4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-2.1606498566202842E-4</v>
      </c>
      <c r="BX51" s="12">
        <f t="shared" si="18"/>
        <v>0</v>
      </c>
      <c r="BY51" s="12">
        <f t="shared" si="19"/>
        <v>-1.0997112237490184E-3</v>
      </c>
    </row>
    <row r="52" spans="1:77" x14ac:dyDescent="0.3">
      <c r="A52" s="1">
        <v>46098</v>
      </c>
      <c r="B52" s="8">
        <v>71.56</v>
      </c>
      <c r="C52" s="8">
        <v>277.13</v>
      </c>
      <c r="D52" s="9">
        <v>-6.6852616672370196E-3</v>
      </c>
      <c r="E52" s="9">
        <v>-6.5816921940431298E-3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71.56</v>
      </c>
      <c r="M52" s="8">
        <v>277.13</v>
      </c>
      <c r="N52" s="10">
        <v>3.8726942425936199</v>
      </c>
      <c r="O52" s="10">
        <v>3.8715231538253501</v>
      </c>
      <c r="P52" s="10">
        <v>3.8730265828041199</v>
      </c>
      <c r="Q52" s="10">
        <v>3.8736930362863302</v>
      </c>
      <c r="R52" s="8">
        <v>277.04619688774198</v>
      </c>
      <c r="S52" s="8">
        <v>277.15328748355199</v>
      </c>
      <c r="T52" s="8">
        <v>277.20668278210201</v>
      </c>
      <c r="U52" s="9">
        <v>-3.0244212352398801E-4</v>
      </c>
      <c r="V52" s="9">
        <v>8.4027370452364802E-5</v>
      </c>
      <c r="W52" s="9">
        <v>2.7666501234136902E-4</v>
      </c>
      <c r="X52" s="10">
        <v>3.8726942425936199</v>
      </c>
      <c r="Y52" s="10">
        <v>3.8719668777701699</v>
      </c>
      <c r="Z52" s="10">
        <v>3.8730265828041199</v>
      </c>
      <c r="AA52" s="10">
        <v>3.8736930362863302</v>
      </c>
      <c r="AB52" s="8">
        <v>277.077949773233</v>
      </c>
      <c r="AC52" s="8">
        <v>277.15328748355199</v>
      </c>
      <c r="AD52" s="8">
        <v>277.20668278210201</v>
      </c>
      <c r="AE52" s="9">
        <v>-1.8783644998390301E-4</v>
      </c>
      <c r="AF52" s="9">
        <v>8.4027370452364802E-5</v>
      </c>
      <c r="AG52" s="9">
        <v>1.74873741453631E-3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-8.8364623808698988E-4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6.6852616672370196E-3</v>
      </c>
      <c r="BT52" s="9">
        <f t="shared" si="15"/>
        <v>-6.5816921940431298E-3</v>
      </c>
      <c r="BU52" s="9">
        <f t="shared" si="16"/>
        <v>1.0356947319388986E-4</v>
      </c>
      <c r="BV52" s="12">
        <f t="shared" si="17"/>
        <v>-1.1249551246813856E-4</v>
      </c>
      <c r="BX52" s="12">
        <f t="shared" si="18"/>
        <v>1.0356947319388986E-4</v>
      </c>
      <c r="BY52" s="12">
        <f t="shared" si="19"/>
        <v>-9.9614175055512855E-4</v>
      </c>
    </row>
    <row r="53" spans="1:77" x14ac:dyDescent="0.3">
      <c r="A53" s="1">
        <v>46099</v>
      </c>
      <c r="B53" s="8">
        <v>70.36</v>
      </c>
      <c r="C53" s="8">
        <v>272.57</v>
      </c>
      <c r="D53" s="9">
        <v>-1.6911338771161001E-2</v>
      </c>
      <c r="E53" s="9">
        <v>-1.65912483243153E-2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70.36</v>
      </c>
      <c r="M53" s="8">
        <v>272.57</v>
      </c>
      <c r="N53" s="10">
        <v>3.87393405343945</v>
      </c>
      <c r="O53" s="10">
        <v>3.8715231538253501</v>
      </c>
      <c r="P53" s="10">
        <v>3.8730200949286302</v>
      </c>
      <c r="Q53" s="10">
        <v>3.87362644108596</v>
      </c>
      <c r="R53" s="8">
        <v>272.40036910315098</v>
      </c>
      <c r="S53" s="8">
        <v>272.50615036609798</v>
      </c>
      <c r="T53" s="8">
        <v>272.55304203310601</v>
      </c>
      <c r="U53" s="9">
        <v>-6.2253257036964504E-4</v>
      </c>
      <c r="V53" s="9">
        <v>-2.3427784962071701E-4</v>
      </c>
      <c r="W53" s="9">
        <v>-6.2217024750868405E-5</v>
      </c>
      <c r="X53" s="10">
        <v>3.87393405343945</v>
      </c>
      <c r="Y53" s="10">
        <v>3.8719668777701699</v>
      </c>
      <c r="Z53" s="10">
        <v>3.8730200949286302</v>
      </c>
      <c r="AA53" s="10">
        <v>3.87362644108596</v>
      </c>
      <c r="AB53" s="8">
        <v>272.43158951990898</v>
      </c>
      <c r="AC53" s="8">
        <v>272.50615036609798</v>
      </c>
      <c r="AD53" s="8">
        <v>272.55304203310601</v>
      </c>
      <c r="AE53" s="9">
        <v>-5.0792689682944796E-4</v>
      </c>
      <c r="AF53" s="9">
        <v>-2.3427784962071701E-4</v>
      </c>
      <c r="AG53" s="9">
        <v>4.3784409745834701E-4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-8.8364623808698988E-4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1.6911338771161001E-2</v>
      </c>
      <c r="BT53" s="9">
        <f t="shared" si="15"/>
        <v>-1.65912483243153E-2</v>
      </c>
      <c r="BU53" s="9">
        <f t="shared" si="16"/>
        <v>3.2009044684570137E-4</v>
      </c>
      <c r="BV53" s="12">
        <f t="shared" si="17"/>
        <v>2.0759493437756281E-4</v>
      </c>
      <c r="BX53" s="12">
        <f t="shared" si="18"/>
        <v>3.2009044684570137E-4</v>
      </c>
      <c r="BY53" s="12">
        <f t="shared" si="19"/>
        <v>-6.7605130370942718E-4</v>
      </c>
    </row>
    <row r="54" spans="1:77" x14ac:dyDescent="0.3">
      <c r="A54" s="1">
        <v>46100</v>
      </c>
      <c r="B54" s="8">
        <v>70.17</v>
      </c>
      <c r="C54" s="8">
        <v>271.89999999999998</v>
      </c>
      <c r="D54" s="9">
        <v>-2.70405060516008E-3</v>
      </c>
      <c r="E54" s="9">
        <v>-2.4611102106122801E-3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70.17</v>
      </c>
      <c r="M54" s="8">
        <v>271.89999999999998</v>
      </c>
      <c r="N54" s="10">
        <v>3.8748753028359602</v>
      </c>
      <c r="O54" s="10">
        <v>3.8715231538253501</v>
      </c>
      <c r="P54" s="10">
        <v>3.87296847227746</v>
      </c>
      <c r="Q54" s="10">
        <v>3.8736118795557601</v>
      </c>
      <c r="R54" s="8">
        <v>271.66477970392401</v>
      </c>
      <c r="S54" s="8">
        <v>271.76982006114201</v>
      </c>
      <c r="T54" s="8">
        <v>271.81236737100198</v>
      </c>
      <c r="U54" s="9">
        <v>-8.6547296491759304E-4</v>
      </c>
      <c r="V54" s="9">
        <v>-4.7889338911852699E-4</v>
      </c>
      <c r="W54" s="9">
        <v>-3.22349223654937E-4</v>
      </c>
      <c r="X54" s="10">
        <v>3.8748753028359602</v>
      </c>
      <c r="Y54" s="10">
        <v>3.8719668777701699</v>
      </c>
      <c r="Z54" s="10">
        <v>3.87296847227746</v>
      </c>
      <c r="AA54" s="10">
        <v>3.8736118795557601</v>
      </c>
      <c r="AB54" s="8">
        <v>271.69591581313301</v>
      </c>
      <c r="AC54" s="8">
        <v>271.76982006114201</v>
      </c>
      <c r="AD54" s="8">
        <v>271.81236737100198</v>
      </c>
      <c r="AE54" s="9">
        <v>-7.5086729137714497E-4</v>
      </c>
      <c r="AF54" s="9">
        <v>-4.7889338911852699E-4</v>
      </c>
      <c r="AG54" s="9">
        <v>-1.7735025605860601E-5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-8.8364623808698988E-4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2.70405060516008E-3</v>
      </c>
      <c r="BT54" s="9">
        <f t="shared" si="15"/>
        <v>-2.4611102106122801E-3</v>
      </c>
      <c r="BU54" s="9">
        <f t="shared" si="16"/>
        <v>2.429403945477999E-4</v>
      </c>
      <c r="BV54" s="12">
        <f t="shared" si="17"/>
        <v>4.505353289253627E-4</v>
      </c>
      <c r="BX54" s="12">
        <f t="shared" si="18"/>
        <v>2.429403945477999E-4</v>
      </c>
      <c r="BY54" s="12">
        <f t="shared" si="19"/>
        <v>-4.3311090916162728E-4</v>
      </c>
    </row>
    <row r="55" spans="1:77" x14ac:dyDescent="0.3">
      <c r="A55" s="1">
        <v>46101</v>
      </c>
      <c r="B55" s="8">
        <v>69.25</v>
      </c>
      <c r="C55" s="8">
        <v>269.02999999999997</v>
      </c>
      <c r="D55" s="9">
        <v>-1.31977241967495E-2</v>
      </c>
      <c r="E55" s="9">
        <v>-1.06114540913743E-2</v>
      </c>
      <c r="F55" s="8">
        <v>0.22900000000000001</v>
      </c>
      <c r="G55" s="8">
        <v>0.22900000000000001</v>
      </c>
      <c r="H55" s="8">
        <v>0</v>
      </c>
      <c r="I55" s="8">
        <v>0</v>
      </c>
      <c r="J55" s="8">
        <v>0.22900000000000001</v>
      </c>
      <c r="K55" s="8">
        <v>0</v>
      </c>
      <c r="L55" s="8">
        <v>69.478999999999999</v>
      </c>
      <c r="M55" s="8">
        <v>269.02999999999997</v>
      </c>
      <c r="N55" s="10">
        <v>3.8849097472924101</v>
      </c>
      <c r="O55" s="10">
        <v>3.8715231538253501</v>
      </c>
      <c r="P55" s="10">
        <v>3.8743693111856099</v>
      </c>
      <c r="Q55" s="10">
        <v>3.8741257443595698</v>
      </c>
      <c r="R55" s="8">
        <v>268.10297840240497</v>
      </c>
      <c r="S55" s="8">
        <v>268.20306670521398</v>
      </c>
      <c r="T55" s="8">
        <v>268.24762265923601</v>
      </c>
      <c r="U55" s="9">
        <v>-3.4517430702926798E-3</v>
      </c>
      <c r="V55" s="9">
        <v>-3.0784923680710701E-3</v>
      </c>
      <c r="W55" s="9">
        <v>-2.91237848283263E-3</v>
      </c>
      <c r="X55" s="10">
        <v>3.8721052404323602</v>
      </c>
      <c r="Y55" s="10">
        <v>3.8719668777701699</v>
      </c>
      <c r="Z55" s="10">
        <v>3.8730888604996001</v>
      </c>
      <c r="AA55" s="10">
        <v>3.8734855190165698</v>
      </c>
      <c r="AB55" s="8">
        <v>269.02038670059397</v>
      </c>
      <c r="AC55" s="8">
        <v>269.08997648536598</v>
      </c>
      <c r="AD55" s="8">
        <v>269.13467977965502</v>
      </c>
      <c r="AE55" s="9">
        <v>-3.5733825843906801E-5</v>
      </c>
      <c r="AF55" s="9">
        <v>2.2291120283739199E-4</v>
      </c>
      <c r="AG55" s="9">
        <v>-2.46320224811026E-3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-8.8364623808698988E-4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4.505353289253627E-4</v>
      </c>
      <c r="BX55" s="12">
        <f t="shared" si="18"/>
        <v>0</v>
      </c>
      <c r="BY55" s="12">
        <f t="shared" si="19"/>
        <v>-4.3311090916162728E-4</v>
      </c>
    </row>
    <row r="56" spans="1:77" x14ac:dyDescent="0.3">
      <c r="A56" s="1">
        <v>46104</v>
      </c>
      <c r="B56" s="8">
        <v>69.400000000000006</v>
      </c>
      <c r="C56" s="8">
        <v>269.45</v>
      </c>
      <c r="D56" s="9">
        <v>2.1637224453109598E-3</v>
      </c>
      <c r="E56" s="9">
        <v>1.5599468324551801E-3</v>
      </c>
      <c r="F56" s="8">
        <v>0</v>
      </c>
      <c r="G56" s="8">
        <v>0.22900000000000001</v>
      </c>
      <c r="H56" s="8">
        <v>0</v>
      </c>
      <c r="I56" s="8">
        <v>0</v>
      </c>
      <c r="J56" s="8">
        <v>0.22900000000000001</v>
      </c>
      <c r="K56" s="8">
        <v>0</v>
      </c>
      <c r="L56" s="8">
        <v>69.629000000000005</v>
      </c>
      <c r="M56" s="8">
        <v>269.45</v>
      </c>
      <c r="N56" s="10">
        <v>3.8825648414985499</v>
      </c>
      <c r="O56" s="10">
        <v>3.8715231538253501</v>
      </c>
      <c r="P56" s="10">
        <v>3.8755412749176101</v>
      </c>
      <c r="Q56" s="10">
        <v>3.8745279771691101</v>
      </c>
      <c r="R56" s="8">
        <v>268.683706875479</v>
      </c>
      <c r="S56" s="8">
        <v>268.88123019628102</v>
      </c>
      <c r="T56" s="8">
        <v>268.86432665855398</v>
      </c>
      <c r="U56" s="9">
        <v>-2.84796745743666E-3</v>
      </c>
      <c r="V56" s="9">
        <v>-2.11308571173624E-3</v>
      </c>
      <c r="W56" s="9">
        <v>-2.17595387500428E-3</v>
      </c>
      <c r="X56" s="10">
        <v>3.8697956311307</v>
      </c>
      <c r="Y56" s="10">
        <v>3.8719668777701699</v>
      </c>
      <c r="Z56" s="10">
        <v>3.8729839031948199</v>
      </c>
      <c r="AA56" s="10">
        <v>3.8732492913077099</v>
      </c>
      <c r="AB56" s="8">
        <v>269.60118173225902</v>
      </c>
      <c r="AC56" s="8">
        <v>269.67930426772602</v>
      </c>
      <c r="AD56" s="8">
        <v>269.70692320360399</v>
      </c>
      <c r="AE56" s="9">
        <v>5.6091792893511099E-4</v>
      </c>
      <c r="AF56" s="9">
        <v>8.5064669918253504E-4</v>
      </c>
      <c r="AG56" s="9">
        <v>-1.43916326338029E-3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2.1637224453109598E-3</v>
      </c>
      <c r="BH56" s="9">
        <f t="shared" si="7"/>
        <v>-1.5599468324551801E-3</v>
      </c>
      <c r="BI56" s="9">
        <f t="shared" si="8"/>
        <v>6.0377561285577977E-4</v>
      </c>
      <c r="BJ56" s="12">
        <f t="shared" si="9"/>
        <v>-2.7987062523121011E-4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4.505353289253627E-4</v>
      </c>
      <c r="BX56" s="12">
        <f t="shared" si="18"/>
        <v>6.0377561285577977E-4</v>
      </c>
      <c r="BY56" s="12">
        <f t="shared" si="19"/>
        <v>1.7066470369415249E-4</v>
      </c>
    </row>
    <row r="57" spans="1:77" x14ac:dyDescent="0.3">
      <c r="A57" s="1">
        <v>46105</v>
      </c>
      <c r="B57" s="8">
        <v>69.34</v>
      </c>
      <c r="C57" s="8">
        <v>268.25</v>
      </c>
      <c r="D57" s="9">
        <v>-8.6492725588145798E-4</v>
      </c>
      <c r="E57" s="9">
        <v>-4.4634628686978598E-3</v>
      </c>
      <c r="F57" s="8">
        <v>0</v>
      </c>
      <c r="G57" s="8">
        <v>0.22900000000000001</v>
      </c>
      <c r="H57" s="8">
        <v>0.99399999999999999</v>
      </c>
      <c r="I57" s="8">
        <v>0.99399999999999999</v>
      </c>
      <c r="J57" s="8">
        <v>0.22900000000000001</v>
      </c>
      <c r="K57" s="8">
        <v>0.99399999999999999</v>
      </c>
      <c r="L57" s="8">
        <v>69.569000000000003</v>
      </c>
      <c r="M57" s="8">
        <v>269.24400000000003</v>
      </c>
      <c r="N57" s="10">
        <v>3.86861840207672</v>
      </c>
      <c r="O57" s="10">
        <v>3.8715231538253501</v>
      </c>
      <c r="P57" s="10">
        <v>3.8749765741931999</v>
      </c>
      <c r="Q57" s="10">
        <v>3.8742686106487398</v>
      </c>
      <c r="R57" s="8">
        <v>268.451415486249</v>
      </c>
      <c r="S57" s="8">
        <v>268.73003200278703</v>
      </c>
      <c r="T57" s="8">
        <v>268.659769936906</v>
      </c>
      <c r="U57" s="9">
        <v>7.5056815537955998E-4</v>
      </c>
      <c r="V57" s="9">
        <v>1.78789564620585E-3</v>
      </c>
      <c r="W57" s="9">
        <v>1.5264017881995099E-3</v>
      </c>
      <c r="X57" s="10">
        <v>3.8701720593942701</v>
      </c>
      <c r="Y57" s="10">
        <v>3.8719668777701699</v>
      </c>
      <c r="Z57" s="10">
        <v>3.8725745682021699</v>
      </c>
      <c r="AA57" s="10">
        <v>3.87306760765322</v>
      </c>
      <c r="AB57" s="8">
        <v>269.36886371959298</v>
      </c>
      <c r="AC57" s="8">
        <v>269.43961716135999</v>
      </c>
      <c r="AD57" s="8">
        <v>269.458079946986</v>
      </c>
      <c r="AE57" s="9">
        <v>4.6364923766576999E-4</v>
      </c>
      <c r="AF57" s="9">
        <v>7.2627851943962403E-4</v>
      </c>
      <c r="AG57" s="9">
        <v>-4.4774603340949301E-4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-2.7987062523121011E-4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4.505353289253627E-4</v>
      </c>
      <c r="BX57" s="12">
        <f t="shared" si="18"/>
        <v>0</v>
      </c>
      <c r="BY57" s="12">
        <f t="shared" si="19"/>
        <v>1.7066470369415249E-4</v>
      </c>
    </row>
    <row r="58" spans="1:77" x14ac:dyDescent="0.3">
      <c r="A58" s="1">
        <v>46106</v>
      </c>
      <c r="B58" s="8">
        <v>70.14</v>
      </c>
      <c r="C58" s="8">
        <v>271.52</v>
      </c>
      <c r="D58" s="9">
        <v>1.14713044551546E-2</v>
      </c>
      <c r="E58" s="9">
        <v>1.2116419975108201E-2</v>
      </c>
      <c r="F58" s="8">
        <v>0</v>
      </c>
      <c r="G58" s="8">
        <v>0.22900000000000001</v>
      </c>
      <c r="H58" s="8">
        <v>0</v>
      </c>
      <c r="I58" s="8">
        <v>0.99399999999999999</v>
      </c>
      <c r="J58" s="8">
        <v>0.22900000000000001</v>
      </c>
      <c r="K58" s="8">
        <v>0.99399999999999999</v>
      </c>
      <c r="L58" s="8">
        <v>70.369</v>
      </c>
      <c r="M58" s="8">
        <v>272.51400000000001</v>
      </c>
      <c r="N58" s="10">
        <v>3.87111491303108</v>
      </c>
      <c r="O58" s="10">
        <v>3.8715231538253501</v>
      </c>
      <c r="P58" s="10">
        <v>3.8748123498409202</v>
      </c>
      <c r="Q58" s="10">
        <v>3.8741158349305098</v>
      </c>
      <c r="R58" s="8">
        <v>271.54863400930998</v>
      </c>
      <c r="S58" s="8">
        <v>271.790856913911</v>
      </c>
      <c r="T58" s="8">
        <v>271.741200350903</v>
      </c>
      <c r="U58" s="9">
        <v>1.05452635426088E-4</v>
      </c>
      <c r="V58" s="9">
        <v>9.970606436582939E-4</v>
      </c>
      <c r="W58" s="9">
        <v>8.1434257769345602E-4</v>
      </c>
      <c r="X58" s="10">
        <v>3.8726427830436698</v>
      </c>
      <c r="Y58" s="10">
        <v>3.8719668777701699</v>
      </c>
      <c r="Z58" s="10">
        <v>3.8725631308511401</v>
      </c>
      <c r="AA58" s="10">
        <v>3.8729912254356198</v>
      </c>
      <c r="AB58" s="8">
        <v>272.46643722180897</v>
      </c>
      <c r="AC58" s="8">
        <v>272.50919978981801</v>
      </c>
      <c r="AD58" s="8">
        <v>272.54389448295001</v>
      </c>
      <c r="AE58" s="9">
        <v>-1.7454857115086099E-4</v>
      </c>
      <c r="AF58" s="9">
        <v>-1.7614700377332001E-5</v>
      </c>
      <c r="AG58" s="9">
        <v>-5.4365417357877898E-5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-2.7987062523121011E-4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4.505353289253627E-4</v>
      </c>
      <c r="BX58" s="12">
        <f t="shared" si="18"/>
        <v>0</v>
      </c>
      <c r="BY58" s="12">
        <f t="shared" si="19"/>
        <v>1.7066470369415249E-4</v>
      </c>
    </row>
    <row r="59" spans="1:77" x14ac:dyDescent="0.3">
      <c r="A59" s="1">
        <v>46107</v>
      </c>
      <c r="B59" s="8">
        <v>69.89</v>
      </c>
      <c r="C59" s="8">
        <v>270.42</v>
      </c>
      <c r="D59" s="9">
        <v>-3.57066722299434E-3</v>
      </c>
      <c r="E59" s="9">
        <v>-4.0594955553041002E-3</v>
      </c>
      <c r="F59" s="8">
        <v>0</v>
      </c>
      <c r="G59" s="8">
        <v>0.22900000000000001</v>
      </c>
      <c r="H59" s="8">
        <v>0</v>
      </c>
      <c r="I59" s="8">
        <v>0.99399999999999999</v>
      </c>
      <c r="J59" s="8">
        <v>0.22900000000000001</v>
      </c>
      <c r="K59" s="8">
        <v>0.99399999999999999</v>
      </c>
      <c r="L59" s="8">
        <v>70.119</v>
      </c>
      <c r="M59" s="8">
        <v>271.41399999999999</v>
      </c>
      <c r="N59" s="10">
        <v>3.8692230648161399</v>
      </c>
      <c r="O59" s="10">
        <v>3.8715231538253501</v>
      </c>
      <c r="P59" s="10">
        <v>3.87451577100336</v>
      </c>
      <c r="Q59" s="10">
        <v>3.8737879204761398</v>
      </c>
      <c r="R59" s="8">
        <v>270.58075322085301</v>
      </c>
      <c r="S59" s="8">
        <v>270.81063513038202</v>
      </c>
      <c r="T59" s="8">
        <v>270.76195570329298</v>
      </c>
      <c r="U59" s="9">
        <v>5.9428096773588999E-4</v>
      </c>
      <c r="V59" s="9">
        <v>1.44350734366416E-3</v>
      </c>
      <c r="W59" s="9">
        <v>1.26373669779316E-3</v>
      </c>
      <c r="X59" s="10">
        <v>3.87076256078951</v>
      </c>
      <c r="Y59" s="10">
        <v>3.8719668777701699</v>
      </c>
      <c r="Z59" s="10">
        <v>3.8724205016109199</v>
      </c>
      <c r="AA59" s="10">
        <v>3.87274028577992</v>
      </c>
      <c r="AB59" s="8">
        <v>271.49844550236702</v>
      </c>
      <c r="AC59" s="8">
        <v>271.54025417215098</v>
      </c>
      <c r="AD59" s="8">
        <v>271.57027173632002</v>
      </c>
      <c r="AE59" s="9">
        <v>3.1108332014709501E-4</v>
      </c>
      <c r="AF59" s="9">
        <v>4.6506376350145102E-4</v>
      </c>
      <c r="AG59" s="9">
        <v>-9.1691116428777801E-4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-2.7987062523121011E-4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4.505353289253627E-4</v>
      </c>
      <c r="BX59" s="12">
        <f t="shared" si="18"/>
        <v>0</v>
      </c>
      <c r="BY59" s="12">
        <f t="shared" si="19"/>
        <v>1.7066470369415249E-4</v>
      </c>
    </row>
    <row r="60" spans="1:77" x14ac:dyDescent="0.3">
      <c r="A60" s="1">
        <v>46108</v>
      </c>
      <c r="B60" s="8">
        <v>68.53</v>
      </c>
      <c r="C60" s="8">
        <v>265.36</v>
      </c>
      <c r="D60" s="9">
        <v>-1.96509718913052E-2</v>
      </c>
      <c r="E60" s="9">
        <v>-1.88889112918149E-2</v>
      </c>
      <c r="F60" s="8">
        <v>0</v>
      </c>
      <c r="G60" s="8">
        <v>0.22900000000000001</v>
      </c>
      <c r="H60" s="8">
        <v>0</v>
      </c>
      <c r="I60" s="8">
        <v>0.99399999999999999</v>
      </c>
      <c r="J60" s="8">
        <v>0.22900000000000001</v>
      </c>
      <c r="K60" s="8">
        <v>0.99399999999999999</v>
      </c>
      <c r="L60" s="8">
        <v>68.759</v>
      </c>
      <c r="M60" s="8">
        <v>266.35399999999998</v>
      </c>
      <c r="N60" s="10">
        <v>3.8721727710491698</v>
      </c>
      <c r="O60" s="10">
        <v>3.8715231538253501</v>
      </c>
      <c r="P60" s="10">
        <v>3.8742400509094002</v>
      </c>
      <c r="Q60" s="10">
        <v>3.8736957200144402</v>
      </c>
      <c r="R60" s="8">
        <v>265.315481731651</v>
      </c>
      <c r="S60" s="8">
        <v>265.52056578686</v>
      </c>
      <c r="T60" s="8">
        <v>265.47068619023003</v>
      </c>
      <c r="U60" s="9">
        <v>-1.6777963175478299E-4</v>
      </c>
      <c r="V60" s="9">
        <v>6.0490363409114098E-4</v>
      </c>
      <c r="W60" s="9">
        <v>4.1703011794111302E-4</v>
      </c>
      <c r="X60" s="10">
        <v>3.8737328931485302</v>
      </c>
      <c r="Y60" s="10">
        <v>3.8719668777701699</v>
      </c>
      <c r="Z60" s="10">
        <v>3.8723007937268901</v>
      </c>
      <c r="AA60" s="10">
        <v>3.87272609142319</v>
      </c>
      <c r="AB60" s="8">
        <v>266.23257054859903</v>
      </c>
      <c r="AC60" s="8">
        <v>266.26376127026498</v>
      </c>
      <c r="AD60" s="8">
        <v>266.28574930994102</v>
      </c>
      <c r="AE60" s="9">
        <v>-4.5599893132652902E-4</v>
      </c>
      <c r="AF60" s="9">
        <v>-3.3884987381132197E-4</v>
      </c>
      <c r="AG60" s="9">
        <v>2.9957462026690402E-4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-2.7987062523121011E-4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4.505353289253627E-4</v>
      </c>
      <c r="BX60" s="12">
        <f t="shared" si="18"/>
        <v>0</v>
      </c>
      <c r="BY60" s="12">
        <f t="shared" si="19"/>
        <v>1.7066470369415249E-4</v>
      </c>
    </row>
    <row r="61" spans="1:77" x14ac:dyDescent="0.3">
      <c r="A61" s="1">
        <v>46111</v>
      </c>
      <c r="B61" s="8">
        <v>68.790000000000006</v>
      </c>
      <c r="C61" s="8">
        <v>266.36</v>
      </c>
      <c r="D61" s="9">
        <v>3.78677994019059E-3</v>
      </c>
      <c r="E61" s="9">
        <v>3.7613826036247298E-3</v>
      </c>
      <c r="F61" s="8">
        <v>0</v>
      </c>
      <c r="G61" s="8">
        <v>0.22900000000000001</v>
      </c>
      <c r="H61" s="8">
        <v>0</v>
      </c>
      <c r="I61" s="8">
        <v>0.99399999999999999</v>
      </c>
      <c r="J61" s="8">
        <v>0.22900000000000001</v>
      </c>
      <c r="K61" s="8">
        <v>0.99399999999999999</v>
      </c>
      <c r="L61" s="8">
        <v>69.019000000000005</v>
      </c>
      <c r="M61" s="8">
        <v>267.35399999999998</v>
      </c>
      <c r="N61" s="10">
        <v>3.8720744294228799</v>
      </c>
      <c r="O61" s="10">
        <v>3.8715231538253501</v>
      </c>
      <c r="P61" s="10">
        <v>3.8742181768055999</v>
      </c>
      <c r="Q61" s="10">
        <v>3.8736189226925699</v>
      </c>
      <c r="R61" s="8">
        <v>266.322077751645</v>
      </c>
      <c r="S61" s="8">
        <v>266.50897310205698</v>
      </c>
      <c r="T61" s="8">
        <v>266.47152857979302</v>
      </c>
      <c r="U61" s="9">
        <v>-1.42382295188828E-4</v>
      </c>
      <c r="V61" s="9">
        <v>5.5913597322643899E-4</v>
      </c>
      <c r="W61" s="9">
        <v>4.18626058858742E-4</v>
      </c>
      <c r="X61" s="10">
        <v>3.8736290007099399</v>
      </c>
      <c r="Y61" s="10">
        <v>3.8719668777701699</v>
      </c>
      <c r="Z61" s="10">
        <v>3.8724343767518001</v>
      </c>
      <c r="AA61" s="10">
        <v>3.87272702266567</v>
      </c>
      <c r="AB61" s="8">
        <v>267.239281936819</v>
      </c>
      <c r="AC61" s="8">
        <v>267.262328482236</v>
      </c>
      <c r="AD61" s="8">
        <v>267.29168210393698</v>
      </c>
      <c r="AE61" s="9">
        <v>-4.2917884985527801E-4</v>
      </c>
      <c r="AF61" s="9">
        <v>-3.4294320535279798E-4</v>
      </c>
      <c r="AG61" s="9">
        <v>1.9704231063864798E-5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-2.7987062523121011E-4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4.505353289253627E-4</v>
      </c>
      <c r="BX61" s="12">
        <f t="shared" si="18"/>
        <v>0</v>
      </c>
      <c r="BY61" s="12">
        <f t="shared" si="19"/>
        <v>1.7066470369415249E-4</v>
      </c>
    </row>
    <row r="62" spans="1:77" x14ac:dyDescent="0.3">
      <c r="A62" s="1">
        <v>46112</v>
      </c>
      <c r="B62" s="8">
        <v>70.36</v>
      </c>
      <c r="C62" s="8">
        <v>272.33</v>
      </c>
      <c r="D62" s="9">
        <v>2.2566534331434601E-2</v>
      </c>
      <c r="E62" s="9">
        <v>2.2165788972482399E-2</v>
      </c>
      <c r="F62" s="8">
        <v>0</v>
      </c>
      <c r="G62" s="8">
        <v>0.22900000000000001</v>
      </c>
      <c r="H62" s="8">
        <v>0</v>
      </c>
      <c r="I62" s="8">
        <v>0.99399999999999999</v>
      </c>
      <c r="J62" s="8">
        <v>0.22900000000000001</v>
      </c>
      <c r="K62" s="8">
        <v>0.99399999999999999</v>
      </c>
      <c r="L62" s="8">
        <v>70.588999999999999</v>
      </c>
      <c r="M62" s="8">
        <v>273.32400000000001</v>
      </c>
      <c r="N62" s="10">
        <v>3.8705230244457001</v>
      </c>
      <c r="O62" s="10">
        <v>3.8715231538253501</v>
      </c>
      <c r="P62" s="10">
        <v>3.8740010549908099</v>
      </c>
      <c r="Q62" s="10">
        <v>3.87351381889746</v>
      </c>
      <c r="R62" s="8">
        <v>272.40036910315098</v>
      </c>
      <c r="S62" s="8">
        <v>272.589990920042</v>
      </c>
      <c r="T62" s="8">
        <v>272.547827400649</v>
      </c>
      <c r="U62" s="9">
        <v>2.58363063763456E-4</v>
      </c>
      <c r="V62" s="9">
        <v>9.5423527894973701E-4</v>
      </c>
      <c r="W62" s="9">
        <v>7.9954588460023597E-4</v>
      </c>
      <c r="X62" s="10">
        <v>3.8720480528127599</v>
      </c>
      <c r="Y62" s="10">
        <v>3.8719668777701699</v>
      </c>
      <c r="Z62" s="10">
        <v>3.87236975777371</v>
      </c>
      <c r="AA62" s="10">
        <v>3.87269817028892</v>
      </c>
      <c r="AB62" s="8">
        <v>273.31826993491899</v>
      </c>
      <c r="AC62" s="8">
        <v>273.35127022053302</v>
      </c>
      <c r="AD62" s="8">
        <v>273.37192780294703</v>
      </c>
      <c r="AE62" s="9">
        <v>-2.0964588347004899E-5</v>
      </c>
      <c r="AF62" s="9">
        <v>9.9767529432128802E-5</v>
      </c>
      <c r="AG62" s="9">
        <v>1.9349657278497999E-4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-2.7987062523121011E-4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4.505353289253627E-4</v>
      </c>
      <c r="BX62" s="12">
        <f t="shared" si="18"/>
        <v>0</v>
      </c>
      <c r="BY62" s="12">
        <f t="shared" si="19"/>
        <v>1.7066470369415249E-4</v>
      </c>
    </row>
    <row r="63" spans="1:77" x14ac:dyDescent="0.3">
      <c r="A63" s="1">
        <v>46113</v>
      </c>
      <c r="B63" s="8">
        <v>70.91</v>
      </c>
      <c r="C63" s="8">
        <v>274.5</v>
      </c>
      <c r="D63" s="9">
        <v>7.7865474465477497E-3</v>
      </c>
      <c r="E63" s="9">
        <v>7.9366947346812006E-3</v>
      </c>
      <c r="F63" s="8">
        <v>0</v>
      </c>
      <c r="G63" s="8">
        <v>0.22900000000000001</v>
      </c>
      <c r="H63" s="8">
        <v>0</v>
      </c>
      <c r="I63" s="8">
        <v>0.99399999999999999</v>
      </c>
      <c r="J63" s="8">
        <v>0.22900000000000001</v>
      </c>
      <c r="K63" s="8">
        <v>0.99399999999999999</v>
      </c>
      <c r="L63" s="8">
        <v>71.138999999999996</v>
      </c>
      <c r="M63" s="8">
        <v>275.49400000000003</v>
      </c>
      <c r="N63" s="10">
        <v>3.8711042166126002</v>
      </c>
      <c r="O63" s="10">
        <v>3.8715231538253501</v>
      </c>
      <c r="P63" s="10">
        <v>3.8737180713081201</v>
      </c>
      <c r="Q63" s="10">
        <v>3.87336908311838</v>
      </c>
      <c r="R63" s="8">
        <v>274.52970683775499</v>
      </c>
      <c r="S63" s="8">
        <v>274.70541480939801</v>
      </c>
      <c r="T63" s="8">
        <v>274.67086489801898</v>
      </c>
      <c r="U63" s="9">
        <v>1.0821577562981499E-4</v>
      </c>
      <c r="V63" s="9">
        <v>7.4804367705784099E-4</v>
      </c>
      <c r="W63" s="9">
        <v>6.2226499785147103E-4</v>
      </c>
      <c r="X63" s="10">
        <v>3.87261558357581</v>
      </c>
      <c r="Y63" s="10">
        <v>3.8719668777701699</v>
      </c>
      <c r="Z63" s="10">
        <v>3.8722379107873501</v>
      </c>
      <c r="AA63" s="10">
        <v>3.8726290028579902</v>
      </c>
      <c r="AB63" s="8">
        <v>275.447851717692</v>
      </c>
      <c r="AC63" s="8">
        <v>275.476512198264</v>
      </c>
      <c r="AD63" s="8">
        <v>275.49987513618299</v>
      </c>
      <c r="AE63" s="9">
        <v>-1.6752505648788199E-4</v>
      </c>
      <c r="AF63" s="9">
        <v>-6.34799915933336E-5</v>
      </c>
      <c r="AG63" s="9">
        <v>6.1429270065756604E-4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-2.7987062523121011E-4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4.505353289253627E-4</v>
      </c>
      <c r="BX63" s="12">
        <f t="shared" si="18"/>
        <v>0</v>
      </c>
      <c r="BY63" s="12">
        <f t="shared" si="19"/>
        <v>1.7066470369415249E-4</v>
      </c>
    </row>
    <row r="64" spans="1:77" x14ac:dyDescent="0.3">
      <c r="A64" s="1">
        <v>46114</v>
      </c>
      <c r="B64" s="8">
        <v>70.540000000000006</v>
      </c>
      <c r="C64" s="8">
        <v>273.07</v>
      </c>
      <c r="D64" s="9">
        <v>-5.23154250799921E-3</v>
      </c>
      <c r="E64" s="9">
        <v>-5.2230883757068804E-3</v>
      </c>
      <c r="F64" s="8">
        <v>0</v>
      </c>
      <c r="G64" s="8">
        <v>0.22900000000000001</v>
      </c>
      <c r="H64" s="8">
        <v>0</v>
      </c>
      <c r="I64" s="8">
        <v>0.99399999999999999</v>
      </c>
      <c r="J64" s="8">
        <v>0.22900000000000001</v>
      </c>
      <c r="K64" s="8">
        <v>0.99399999999999999</v>
      </c>
      <c r="L64" s="8">
        <v>70.769000000000005</v>
      </c>
      <c r="M64" s="8">
        <v>274.06400000000002</v>
      </c>
      <c r="N64" s="10">
        <v>3.8711369435781098</v>
      </c>
      <c r="O64" s="10">
        <v>3.8715231538253501</v>
      </c>
      <c r="P64" s="10">
        <v>3.8733442353823402</v>
      </c>
      <c r="Q64" s="10">
        <v>3.8731563538298999</v>
      </c>
      <c r="R64" s="8">
        <v>273.09724327084001</v>
      </c>
      <c r="S64" s="8">
        <v>273.252072750075</v>
      </c>
      <c r="T64" s="8">
        <v>273.22745512316999</v>
      </c>
      <c r="U64" s="9">
        <v>9.9761643337573205E-5</v>
      </c>
      <c r="V64" s="9">
        <v>6.6653999864816802E-4</v>
      </c>
      <c r="W64" s="9">
        <v>5.7644466784216499E-4</v>
      </c>
      <c r="X64" s="10">
        <v>3.8726561064873</v>
      </c>
      <c r="Y64" s="10">
        <v>3.8719668777701699</v>
      </c>
      <c r="Z64" s="10">
        <v>3.8720159911524799</v>
      </c>
      <c r="AA64" s="10">
        <v>3.8724922317149701</v>
      </c>
      <c r="AB64" s="8">
        <v>274.015223972917</v>
      </c>
      <c r="AC64" s="8">
        <v>274.03440470851001</v>
      </c>
      <c r="AD64" s="8">
        <v>274.06208190325702</v>
      </c>
      <c r="AE64" s="9">
        <v>-1.7798896611146E-4</v>
      </c>
      <c r="AF64" s="9">
        <v>-1.07992620537187E-4</v>
      </c>
      <c r="AG64" s="9">
        <v>-1.90431078769153E-3</v>
      </c>
      <c r="AZ64" s="9"/>
      <c r="BB64">
        <f t="shared" si="2"/>
        <v>1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-2.7987062523121011E-4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4.505353289253627E-4</v>
      </c>
      <c r="BX64" s="12">
        <f t="shared" si="18"/>
        <v>0</v>
      </c>
      <c r="BY64" s="12">
        <f t="shared" si="19"/>
        <v>1.7066470369415249E-4</v>
      </c>
    </row>
    <row r="65" spans="1:77" x14ac:dyDescent="0.3">
      <c r="A65" s="1">
        <v>46118</v>
      </c>
      <c r="B65" s="8">
        <v>70.319999999999993</v>
      </c>
      <c r="C65" s="8">
        <v>272.11</v>
      </c>
      <c r="D65" s="9">
        <v>-3.1236714309845798E-3</v>
      </c>
      <c r="E65" s="9">
        <v>-3.52177626557254E-3</v>
      </c>
      <c r="F65" s="8">
        <v>0</v>
      </c>
      <c r="G65" s="8">
        <v>0.22900000000000001</v>
      </c>
      <c r="H65" s="8">
        <v>0</v>
      </c>
      <c r="I65" s="8">
        <v>0.99399999999999999</v>
      </c>
      <c r="J65" s="8">
        <v>0.22900000000000001</v>
      </c>
      <c r="K65" s="8">
        <v>0.99399999999999999</v>
      </c>
      <c r="L65" s="8">
        <v>70.548999999999893</v>
      </c>
      <c r="M65" s="8">
        <v>273.10399999999998</v>
      </c>
      <c r="N65" s="10">
        <v>3.86959613196814</v>
      </c>
      <c r="O65" s="10">
        <v>3.8715231538253501</v>
      </c>
      <c r="P65" s="10">
        <v>3.87181287384991</v>
      </c>
      <c r="Q65" s="10">
        <v>3.8730910925177602</v>
      </c>
      <c r="R65" s="8">
        <v>272.24550817699799</v>
      </c>
      <c r="S65" s="8">
        <v>272.37356663208601</v>
      </c>
      <c r="T65" s="8">
        <v>272.36035480131801</v>
      </c>
      <c r="U65" s="9">
        <v>4.9786647792573601E-4</v>
      </c>
      <c r="V65" s="9">
        <v>9.6813446291076804E-4</v>
      </c>
      <c r="W65" s="9">
        <v>9.1962699807309899E-4</v>
      </c>
      <c r="X65" s="10">
        <v>3.8711250336645402</v>
      </c>
      <c r="Y65" s="10">
        <v>3.8719668777701699</v>
      </c>
      <c r="Z65" s="10">
        <v>3.8719179704757001</v>
      </c>
      <c r="AA65" s="10">
        <v>3.8725034154876501</v>
      </c>
      <c r="AB65" s="8">
        <v>273.16339125980801</v>
      </c>
      <c r="AC65" s="8">
        <v>273.16685615981697</v>
      </c>
      <c r="AD65" s="8">
        <v>273.20045445526</v>
      </c>
      <c r="AE65" s="9">
        <v>2.1744391480234501E-4</v>
      </c>
      <c r="AF65" s="9">
        <v>2.3012818416207401E-4</v>
      </c>
      <c r="AG65" s="9">
        <v>-7.9312802665805796E-4</v>
      </c>
      <c r="AZ65" s="9"/>
      <c r="BB65">
        <f t="shared" si="2"/>
        <v>0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-3.1236714309845798E-3</v>
      </c>
      <c r="BH65" s="9">
        <f t="shared" si="7"/>
        <v>3.52177626557254E-3</v>
      </c>
      <c r="BI65" s="9">
        <f t="shared" si="8"/>
        <v>3.9810483458796019E-4</v>
      </c>
      <c r="BJ65" s="12">
        <f t="shared" si="9"/>
        <v>1.1823420935675008E-4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4.505353289253627E-4</v>
      </c>
      <c r="BX65" s="12">
        <f t="shared" si="18"/>
        <v>3.9810483458796019E-4</v>
      </c>
      <c r="BY65" s="12">
        <f t="shared" si="19"/>
        <v>5.6876953828211268E-4</v>
      </c>
    </row>
    <row r="66" spans="1:77" x14ac:dyDescent="0.3">
      <c r="A66" s="1">
        <v>46119</v>
      </c>
      <c r="B66" s="8">
        <v>70.459999999999994</v>
      </c>
      <c r="C66" s="8">
        <v>272.82</v>
      </c>
      <c r="D66" s="9">
        <v>1.9889195361700298E-3</v>
      </c>
      <c r="E66" s="9">
        <v>2.6058407566683399E-3</v>
      </c>
      <c r="F66" s="8">
        <v>0</v>
      </c>
      <c r="G66" s="8">
        <v>0.22900000000000001</v>
      </c>
      <c r="H66" s="8">
        <v>0</v>
      </c>
      <c r="I66" s="8">
        <v>0.99399999999999999</v>
      </c>
      <c r="J66" s="8">
        <v>0.22900000000000001</v>
      </c>
      <c r="K66" s="8">
        <v>0.99399999999999999</v>
      </c>
      <c r="L66" s="8">
        <v>70.688999999999993</v>
      </c>
      <c r="M66" s="8">
        <v>273.81400000000002</v>
      </c>
      <c r="N66" s="10">
        <v>3.8719841044564198</v>
      </c>
      <c r="O66" s="10">
        <v>3.8715231538253501</v>
      </c>
      <c r="P66" s="10">
        <v>3.87075480014569</v>
      </c>
      <c r="Q66" s="10">
        <v>3.8731480375316498</v>
      </c>
      <c r="R66" s="8">
        <v>272.78752141853403</v>
      </c>
      <c r="S66" s="8">
        <v>272.807935091464</v>
      </c>
      <c r="T66" s="8">
        <v>272.89799837880099</v>
      </c>
      <c r="U66" s="9">
        <v>-1.19054742572659E-4</v>
      </c>
      <c r="V66" s="9">
        <v>-4.4223940019247297E-5</v>
      </c>
      <c r="W66" s="9">
        <v>2.85855989959205E-4</v>
      </c>
      <c r="X66" s="10">
        <v>3.8735022422159</v>
      </c>
      <c r="Y66" s="10">
        <v>3.8719668777701699</v>
      </c>
      <c r="Z66" s="10">
        <v>3.8722886315842202</v>
      </c>
      <c r="AA66" s="10">
        <v>3.8726362673895198</v>
      </c>
      <c r="AB66" s="8">
        <v>273.70546662269601</v>
      </c>
      <c r="AC66" s="8">
        <v>273.70200941495699</v>
      </c>
      <c r="AD66" s="8">
        <v>273.74339393740598</v>
      </c>
      <c r="AE66" s="9">
        <v>-3.9645486723972E-4</v>
      </c>
      <c r="AF66" s="9">
        <v>-4.0908607119714098E-4</v>
      </c>
      <c r="AG66" s="9">
        <v>-1.6424945107508099E-3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1.9889195361700298E-3</v>
      </c>
      <c r="BH66" s="9">
        <f t="shared" si="7"/>
        <v>-2.6058407566683399E-3</v>
      </c>
      <c r="BI66" s="9">
        <f t="shared" si="8"/>
        <v>-6.1692122049831002E-4</v>
      </c>
      <c r="BJ66" s="12">
        <f t="shared" si="9"/>
        <v>-4.9868701114155994E-4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4.505353289253627E-4</v>
      </c>
      <c r="BX66" s="12">
        <f t="shared" si="18"/>
        <v>-6.1692122049831002E-4</v>
      </c>
      <c r="BY66" s="12">
        <f t="shared" si="19"/>
        <v>-4.8151682216197346E-5</v>
      </c>
    </row>
    <row r="67" spans="1:77" x14ac:dyDescent="0.3">
      <c r="A67" s="1">
        <v>46120</v>
      </c>
      <c r="B67" s="8">
        <v>71.849999999999994</v>
      </c>
      <c r="C67" s="8">
        <v>278.2</v>
      </c>
      <c r="D67" s="9">
        <v>1.9535439611942301E-2</v>
      </c>
      <c r="E67" s="9">
        <v>1.9528042424368199E-2</v>
      </c>
      <c r="F67" s="8">
        <v>0</v>
      </c>
      <c r="G67" s="8">
        <v>0.22900000000000001</v>
      </c>
      <c r="H67" s="8">
        <v>0</v>
      </c>
      <c r="I67" s="8">
        <v>0.99399999999999999</v>
      </c>
      <c r="J67" s="8">
        <v>0.22900000000000001</v>
      </c>
      <c r="K67" s="8">
        <v>0.99399999999999999</v>
      </c>
      <c r="L67" s="8">
        <v>72.078999999999994</v>
      </c>
      <c r="M67" s="8">
        <v>279.19400000000002</v>
      </c>
      <c r="N67" s="10">
        <v>3.87195546276965</v>
      </c>
      <c r="O67" s="10">
        <v>3.8715231538253501</v>
      </c>
      <c r="P67" s="10">
        <v>3.8710885062149898</v>
      </c>
      <c r="Q67" s="10">
        <v>3.8730325402040999</v>
      </c>
      <c r="R67" s="8">
        <v>278.16893860235098</v>
      </c>
      <c r="S67" s="8">
        <v>278.11373239046799</v>
      </c>
      <c r="T67" s="8">
        <v>278.28568649664902</v>
      </c>
      <c r="U67" s="9">
        <v>-1.1165755499869399E-4</v>
      </c>
      <c r="V67" s="9">
        <v>-3.1014014287329E-4</v>
      </c>
      <c r="W67" s="9">
        <v>3.0795579978364703E-4</v>
      </c>
      <c r="X67" s="10">
        <v>3.87344441515559</v>
      </c>
      <c r="Y67" s="10">
        <v>3.8719668777701699</v>
      </c>
      <c r="Z67" s="10">
        <v>3.8726158671603601</v>
      </c>
      <c r="AA67" s="10">
        <v>3.8725952176812601</v>
      </c>
      <c r="AB67" s="8">
        <v>279.087500582796</v>
      </c>
      <c r="AC67" s="8">
        <v>279.11069227595902</v>
      </c>
      <c r="AD67" s="8">
        <v>279.13574951716902</v>
      </c>
      <c r="AE67" s="9">
        <v>-3.81525873180779E-4</v>
      </c>
      <c r="AF67" s="9">
        <v>-2.9843103886242499E-4</v>
      </c>
      <c r="AG67" s="9">
        <v>9.2549240148967796E-4</v>
      </c>
      <c r="AZ67" s="9"/>
      <c r="BB67">
        <f t="shared" si="2"/>
        <v>0</v>
      </c>
      <c r="BC67">
        <f t="shared" si="3"/>
        <v>1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1.9535439611942301E-2</v>
      </c>
      <c r="BH67" s="9">
        <f t="shared" si="7"/>
        <v>-1.9528042424368199E-2</v>
      </c>
      <c r="BI67" s="9">
        <f t="shared" si="8"/>
        <v>7.3971875741013493E-6</v>
      </c>
      <c r="BJ67" s="12">
        <f t="shared" si="9"/>
        <v>-4.9128982356745859E-4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4.505353289253627E-4</v>
      </c>
      <c r="BX67" s="12">
        <f t="shared" si="18"/>
        <v>7.3971875741013493E-6</v>
      </c>
      <c r="BY67" s="12">
        <f t="shared" si="19"/>
        <v>-4.0754494642095997E-5</v>
      </c>
    </row>
    <row r="68" spans="1:77" x14ac:dyDescent="0.3">
      <c r="A68" s="1">
        <v>46121</v>
      </c>
      <c r="B68" s="8">
        <v>71.7</v>
      </c>
      <c r="C68" s="8">
        <v>277.64999999999998</v>
      </c>
      <c r="D68" s="9">
        <v>-2.0898649194591298E-3</v>
      </c>
      <c r="E68" s="9">
        <v>-1.9789518017264002E-3</v>
      </c>
      <c r="F68" s="8">
        <v>0</v>
      </c>
      <c r="G68" s="8">
        <v>0.22900000000000001</v>
      </c>
      <c r="H68" s="8">
        <v>0</v>
      </c>
      <c r="I68" s="8">
        <v>0.99399999999999999</v>
      </c>
      <c r="J68" s="8">
        <v>0.22900000000000001</v>
      </c>
      <c r="K68" s="8">
        <v>0.99399999999999999</v>
      </c>
      <c r="L68" s="8">
        <v>71.929000000000002</v>
      </c>
      <c r="M68" s="8">
        <v>278.64400000000001</v>
      </c>
      <c r="N68" s="10">
        <v>3.8723849372384902</v>
      </c>
      <c r="O68" s="10">
        <v>3.8715231538253501</v>
      </c>
      <c r="P68" s="10">
        <v>3.8712155086357298</v>
      </c>
      <c r="Q68" s="10">
        <v>3.8730139292383301</v>
      </c>
      <c r="R68" s="8">
        <v>277.588210129277</v>
      </c>
      <c r="S68" s="8">
        <v>277.55704589561498</v>
      </c>
      <c r="T68" s="8">
        <v>277.69643313263401</v>
      </c>
      <c r="U68" s="9">
        <v>-2.22570672731362E-4</v>
      </c>
      <c r="V68" s="9">
        <v>-3.3484483289819599E-4</v>
      </c>
      <c r="W68" s="9">
        <v>1.6722222372213299E-4</v>
      </c>
      <c r="X68" s="10">
        <v>3.8738756273547499</v>
      </c>
      <c r="Y68" s="10">
        <v>3.8719668777701699</v>
      </c>
      <c r="Z68" s="10">
        <v>3.87273915159146</v>
      </c>
      <c r="AA68" s="10">
        <v>3.8726511412212998</v>
      </c>
      <c r="AB68" s="8">
        <v>278.50670555113101</v>
      </c>
      <c r="AC68" s="8">
        <v>278.55338670897697</v>
      </c>
      <c r="AD68" s="8">
        <v>278.55190141259499</v>
      </c>
      <c r="AE68" s="9">
        <v>-4.9284493505973601E-4</v>
      </c>
      <c r="AF68" s="9">
        <v>-3.2524665040684802E-4</v>
      </c>
      <c r="AG68" s="9">
        <v>1.48835824812377E-3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-4.9128982356745859E-4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4.505353289253627E-4</v>
      </c>
      <c r="BX68" s="12">
        <f t="shared" si="18"/>
        <v>0</v>
      </c>
      <c r="BY68" s="12">
        <f t="shared" si="19"/>
        <v>-4.0754494642095997E-5</v>
      </c>
    </row>
    <row r="69" spans="1:77" x14ac:dyDescent="0.3">
      <c r="A69" s="1">
        <v>46122</v>
      </c>
      <c r="B69" s="8">
        <v>70.7</v>
      </c>
      <c r="C69" s="8">
        <v>273.77999999999997</v>
      </c>
      <c r="D69" s="9">
        <v>-1.40451747030476E-2</v>
      </c>
      <c r="E69" s="9">
        <v>-1.403646352025E-2</v>
      </c>
      <c r="F69" s="8">
        <v>0</v>
      </c>
      <c r="G69" s="8">
        <v>0.22900000000000001</v>
      </c>
      <c r="H69" s="8">
        <v>0</v>
      </c>
      <c r="I69" s="8">
        <v>0.99399999999999999</v>
      </c>
      <c r="J69" s="8">
        <v>0.22900000000000001</v>
      </c>
      <c r="K69" s="8">
        <v>0.99399999999999999</v>
      </c>
      <c r="L69" s="8">
        <v>70.929000000000002</v>
      </c>
      <c r="M69" s="8">
        <v>274.774</v>
      </c>
      <c r="N69" s="10">
        <v>3.8724186704384702</v>
      </c>
      <c r="O69" s="10">
        <v>3.8715231538253501</v>
      </c>
      <c r="P69" s="10">
        <v>3.87153506919796</v>
      </c>
      <c r="Q69" s="10">
        <v>3.8730254201006602</v>
      </c>
      <c r="R69" s="8">
        <v>273.71668697545198</v>
      </c>
      <c r="S69" s="8">
        <v>273.69493646054599</v>
      </c>
      <c r="T69" s="8">
        <v>273.82208479715001</v>
      </c>
      <c r="U69" s="9">
        <v>-2.31281855528981E-4</v>
      </c>
      <c r="V69" s="9">
        <v>-3.1074861869634601E-4</v>
      </c>
      <c r="W69" s="9">
        <v>1.5370575971617801E-4</v>
      </c>
      <c r="X69" s="10">
        <v>3.8739302682964598</v>
      </c>
      <c r="Y69" s="10">
        <v>3.8719668777701699</v>
      </c>
      <c r="Z69" s="10">
        <v>3.8730559223421599</v>
      </c>
      <c r="AA69" s="10">
        <v>3.8727382119765399</v>
      </c>
      <c r="AB69" s="8">
        <v>274.63473867336</v>
      </c>
      <c r="AC69" s="8">
        <v>274.689515283231</v>
      </c>
      <c r="AD69" s="8">
        <v>274.68327279568598</v>
      </c>
      <c r="AE69" s="9">
        <v>-5.0694981648015305E-4</v>
      </c>
      <c r="AF69" s="9">
        <v>-3.0751711472960401E-4</v>
      </c>
      <c r="AG69" s="9">
        <v>2.3314780711983299E-3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-4.9128982356745859E-4</v>
      </c>
      <c r="BL69" s="9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4.505353289253627E-4</v>
      </c>
      <c r="BX69" s="12">
        <f t="shared" si="18"/>
        <v>0</v>
      </c>
      <c r="BY69" s="12">
        <f t="shared" si="19"/>
        <v>-4.0754494642095997E-5</v>
      </c>
    </row>
    <row r="70" spans="1:77" x14ac:dyDescent="0.3">
      <c r="A70" s="1">
        <v>46125</v>
      </c>
      <c r="B70" s="8">
        <v>71.22</v>
      </c>
      <c r="C70" s="8">
        <v>275.89</v>
      </c>
      <c r="D70" s="9">
        <v>7.32810494710454E-3</v>
      </c>
      <c r="E70" s="9">
        <v>7.6773713826974897E-3</v>
      </c>
      <c r="F70" s="8">
        <v>0</v>
      </c>
      <c r="G70" s="8">
        <v>0.22900000000000001</v>
      </c>
      <c r="H70" s="8">
        <v>0</v>
      </c>
      <c r="I70" s="8">
        <v>0.99399999999999999</v>
      </c>
      <c r="J70" s="8">
        <v>0.22900000000000001</v>
      </c>
      <c r="K70" s="8">
        <v>0.99399999999999999</v>
      </c>
      <c r="L70" s="8">
        <v>71.448999999999998</v>
      </c>
      <c r="M70" s="8">
        <v>276.88400000000001</v>
      </c>
      <c r="N70" s="10">
        <v>3.8737714125245701</v>
      </c>
      <c r="O70" s="10">
        <v>3.8715231538253501</v>
      </c>
      <c r="P70" s="10">
        <v>3.8716949333455002</v>
      </c>
      <c r="Q70" s="10">
        <v>3.87296749212745</v>
      </c>
      <c r="R70" s="8">
        <v>275.72987901544099</v>
      </c>
      <c r="S70" s="8">
        <v>275.730727628279</v>
      </c>
      <c r="T70" s="8">
        <v>275.83687041956898</v>
      </c>
      <c r="U70" s="9">
        <v>-5.8054829112193804E-4</v>
      </c>
      <c r="V70" s="9">
        <v>-5.7747059952416703E-4</v>
      </c>
      <c r="W70" s="9">
        <v>-1.92593775809285E-4</v>
      </c>
      <c r="X70" s="10">
        <v>3.8752676734453901</v>
      </c>
      <c r="Y70" s="10">
        <v>3.8719668777701699</v>
      </c>
      <c r="Z70" s="10">
        <v>3.8732094003718398</v>
      </c>
      <c r="AA70" s="10">
        <v>3.87275509704937</v>
      </c>
      <c r="AB70" s="8">
        <v>276.64816144980102</v>
      </c>
      <c r="AC70" s="8">
        <v>276.72597259542499</v>
      </c>
      <c r="AD70" s="8">
        <v>276.703272507512</v>
      </c>
      <c r="AE70" s="9">
        <v>-8.5212235491912997E-4</v>
      </c>
      <c r="AF70" s="9">
        <v>-5.7089798482498697E-4</v>
      </c>
      <c r="AG70" s="9">
        <v>8.4373791429531904E-4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-4.9128982356745859E-4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-7.32810494710454E-3</v>
      </c>
      <c r="BT70" s="9">
        <f t="shared" si="15"/>
        <v>7.6773713826974897E-3</v>
      </c>
      <c r="BU70" s="9">
        <f t="shared" si="16"/>
        <v>3.4926643559294972E-4</v>
      </c>
      <c r="BV70" s="12">
        <f t="shared" si="17"/>
        <v>7.9980176451831242E-4</v>
      </c>
      <c r="BX70" s="12">
        <f t="shared" si="18"/>
        <v>3.4926643559294972E-4</v>
      </c>
      <c r="BY70" s="12">
        <f t="shared" si="19"/>
        <v>3.0851194095085372E-4</v>
      </c>
    </row>
    <row r="71" spans="1:77" x14ac:dyDescent="0.3">
      <c r="A71" s="1">
        <v>46126</v>
      </c>
      <c r="B71" s="8">
        <v>71.8</v>
      </c>
      <c r="C71" s="8">
        <v>277.89999999999998</v>
      </c>
      <c r="D71" s="9">
        <v>8.1107982045468593E-3</v>
      </c>
      <c r="E71" s="9">
        <v>7.2591011983943301E-3</v>
      </c>
      <c r="F71" s="8">
        <v>0</v>
      </c>
      <c r="G71" s="8">
        <v>0.22900000000000001</v>
      </c>
      <c r="H71" s="8">
        <v>0</v>
      </c>
      <c r="I71" s="8">
        <v>0.99399999999999999</v>
      </c>
      <c r="J71" s="8">
        <v>0.22900000000000001</v>
      </c>
      <c r="K71" s="8">
        <v>0.99399999999999999</v>
      </c>
      <c r="L71" s="8">
        <v>72.028999999999996</v>
      </c>
      <c r="M71" s="8">
        <v>278.89400000000001</v>
      </c>
      <c r="N71" s="10">
        <v>3.8704735376044499</v>
      </c>
      <c r="O71" s="10">
        <v>3.8715231538253501</v>
      </c>
      <c r="P71" s="10">
        <v>3.8715348441636599</v>
      </c>
      <c r="Q71" s="10">
        <v>3.8728765104846299</v>
      </c>
      <c r="R71" s="8">
        <v>277.97536244465999</v>
      </c>
      <c r="S71" s="8">
        <v>277.98769621420701</v>
      </c>
      <c r="T71" s="8">
        <v>278.07906593475099</v>
      </c>
      <c r="U71" s="9">
        <v>2.7114871503055199E-4</v>
      </c>
      <c r="V71" s="9">
        <v>3.1551774047973202E-4</v>
      </c>
      <c r="W71" s="9">
        <v>6.44146342602658E-4</v>
      </c>
      <c r="X71" s="10">
        <v>3.8719682350164502</v>
      </c>
      <c r="Y71" s="10">
        <v>3.8719668777701699</v>
      </c>
      <c r="Z71" s="10">
        <v>3.8730433238024902</v>
      </c>
      <c r="AA71" s="10">
        <v>3.87273885027715</v>
      </c>
      <c r="AB71" s="8">
        <v>278.89390223890803</v>
      </c>
      <c r="AC71" s="8">
        <v>278.98339989938302</v>
      </c>
      <c r="AD71" s="8">
        <v>278.95067688536898</v>
      </c>
      <c r="AE71" s="9">
        <v>-3.5053141693358198E-7</v>
      </c>
      <c r="AF71" s="9">
        <v>3.2050016783342298E-4</v>
      </c>
      <c r="AG71" s="9">
        <v>1.2802857225088101E-3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-4.9128982356745859E-4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-8.1107982045468593E-3</v>
      </c>
      <c r="BT71" s="9">
        <f t="shared" si="15"/>
        <v>7.2591011983943301E-3</v>
      </c>
      <c r="BU71" s="9">
        <f t="shared" si="16"/>
        <v>-8.5169700615252922E-4</v>
      </c>
      <c r="BV71" s="12">
        <f t="shared" si="17"/>
        <v>-5.1895241634216803E-5</v>
      </c>
      <c r="BX71" s="12">
        <f t="shared" si="18"/>
        <v>-8.5169700615252922E-4</v>
      </c>
      <c r="BY71" s="12">
        <f t="shared" si="19"/>
        <v>-5.431850652016755E-4</v>
      </c>
    </row>
    <row r="72" spans="1:77" x14ac:dyDescent="0.3">
      <c r="A72" s="1">
        <v>46127</v>
      </c>
      <c r="B72" s="8">
        <v>71.41</v>
      </c>
      <c r="C72" s="8">
        <v>276.41000000000003</v>
      </c>
      <c r="D72" s="9">
        <v>-5.4465604931599196E-3</v>
      </c>
      <c r="E72" s="9">
        <v>-5.3760660593311803E-3</v>
      </c>
      <c r="F72" s="8">
        <v>0</v>
      </c>
      <c r="G72" s="8">
        <v>0.22900000000000001</v>
      </c>
      <c r="H72" s="8">
        <v>0</v>
      </c>
      <c r="I72" s="8">
        <v>0.99399999999999999</v>
      </c>
      <c r="J72" s="8">
        <v>0.22900000000000001</v>
      </c>
      <c r="K72" s="8">
        <v>0.99399999999999999</v>
      </c>
      <c r="L72" s="8">
        <v>71.638999999999996</v>
      </c>
      <c r="M72" s="8">
        <v>277.404</v>
      </c>
      <c r="N72" s="10">
        <v>3.8707463940624498</v>
      </c>
      <c r="O72" s="10">
        <v>3.8715231538253501</v>
      </c>
      <c r="P72" s="10">
        <v>3.8715571811253402</v>
      </c>
      <c r="Q72" s="10">
        <v>3.87277911805807</v>
      </c>
      <c r="R72" s="8">
        <v>276.46546841466801</v>
      </c>
      <c r="S72" s="8">
        <v>276.466303221727</v>
      </c>
      <c r="T72" s="8">
        <v>276.56211161370697</v>
      </c>
      <c r="U72" s="9">
        <v>2.00654281201894E-4</v>
      </c>
      <c r="V72" s="9">
        <v>2.0367384745507801E-4</v>
      </c>
      <c r="W72" s="9">
        <v>5.5016017751967805E-4</v>
      </c>
      <c r="X72" s="10">
        <v>3.8722483563422099</v>
      </c>
      <c r="Y72" s="10">
        <v>3.8719668777701699</v>
      </c>
      <c r="Z72" s="10">
        <v>3.8730633541554398</v>
      </c>
      <c r="AA72" s="10">
        <v>3.8727165559645802</v>
      </c>
      <c r="AB72" s="8">
        <v>277.38383515657699</v>
      </c>
      <c r="AC72" s="8">
        <v>277.460950673887</v>
      </c>
      <c r="AD72" s="8">
        <v>277.43913849500399</v>
      </c>
      <c r="AE72" s="9">
        <v>-7.2693891802842595E-5</v>
      </c>
      <c r="AF72" s="9">
        <v>2.0527760500270201E-4</v>
      </c>
      <c r="AG72" s="9">
        <v>1.01515981970384E-3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-4.9128982356745859E-4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5.4465604931599196E-3</v>
      </c>
      <c r="BT72" s="9">
        <f t="shared" si="15"/>
        <v>-5.3760660593311803E-3</v>
      </c>
      <c r="BU72" s="9">
        <f t="shared" si="16"/>
        <v>7.0494433828739364E-5</v>
      </c>
      <c r="BV72" s="12">
        <f t="shared" si="17"/>
        <v>1.8599192194522561E-5</v>
      </c>
      <c r="BX72" s="12">
        <f t="shared" si="18"/>
        <v>7.0494433828739364E-5</v>
      </c>
      <c r="BY72" s="12">
        <f t="shared" si="19"/>
        <v>-4.7269063137293614E-4</v>
      </c>
    </row>
    <row r="73" spans="1:77" x14ac:dyDescent="0.3">
      <c r="A73" s="1">
        <v>46128</v>
      </c>
      <c r="B73" s="8">
        <v>70.81</v>
      </c>
      <c r="C73" s="8">
        <v>274.29000000000002</v>
      </c>
      <c r="D73" s="9">
        <v>-8.4376818973359406E-3</v>
      </c>
      <c r="E73" s="9">
        <v>-7.6993298446817598E-3</v>
      </c>
      <c r="F73" s="8">
        <v>0</v>
      </c>
      <c r="G73" s="8">
        <v>0.22900000000000001</v>
      </c>
      <c r="H73" s="8">
        <v>0</v>
      </c>
      <c r="I73" s="8">
        <v>0.99399999999999999</v>
      </c>
      <c r="J73" s="8">
        <v>0.22900000000000001</v>
      </c>
      <c r="K73" s="8">
        <v>0.99399999999999999</v>
      </c>
      <c r="L73" s="8">
        <v>71.039000000000001</v>
      </c>
      <c r="M73" s="8">
        <v>275.28399999999999</v>
      </c>
      <c r="N73" s="10">
        <v>3.87360542296285</v>
      </c>
      <c r="O73" s="10">
        <v>3.8715231538253501</v>
      </c>
      <c r="P73" s="10">
        <v>3.8718073017603598</v>
      </c>
      <c r="Q73" s="10">
        <v>3.8727626865342399</v>
      </c>
      <c r="R73" s="8">
        <v>274.14255452237302</v>
      </c>
      <c r="S73" s="8">
        <v>274.144963995485</v>
      </c>
      <c r="T73" s="8">
        <v>274.23148934969203</v>
      </c>
      <c r="U73" s="9">
        <v>-5.3769777145225598E-4</v>
      </c>
      <c r="V73" s="9">
        <v>-5.2890868532194896E-4</v>
      </c>
      <c r="W73" s="9">
        <v>-2.1333950142573901E-4</v>
      </c>
      <c r="X73" s="10">
        <v>3.8751108546009898</v>
      </c>
      <c r="Y73" s="10">
        <v>3.8719668777701699</v>
      </c>
      <c r="Z73" s="10">
        <v>3.8733128812579598</v>
      </c>
      <c r="AA73" s="10">
        <v>3.8727753960226501</v>
      </c>
      <c r="AB73" s="8">
        <v>275.06065502991498</v>
      </c>
      <c r="AC73" s="8">
        <v>275.13854761584798</v>
      </c>
      <c r="AD73" s="8">
        <v>275.11391141916698</v>
      </c>
      <c r="AE73" s="9">
        <v>-8.1165495223560502E-4</v>
      </c>
      <c r="AF73" s="9">
        <v>-5.2851173400188798E-4</v>
      </c>
      <c r="AG73" s="9">
        <v>2.2889950989909802E-3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-4.9128982356745859E-4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8.4376818973359406E-3</v>
      </c>
      <c r="BT73" s="9">
        <f t="shared" si="15"/>
        <v>-7.6993298446817598E-3</v>
      </c>
      <c r="BU73" s="9">
        <f t="shared" si="16"/>
        <v>7.3835205265418077E-4</v>
      </c>
      <c r="BV73" s="12">
        <f t="shared" si="17"/>
        <v>7.5695124484870333E-4</v>
      </c>
      <c r="BX73" s="12">
        <f t="shared" si="18"/>
        <v>7.3835205265418077E-4</v>
      </c>
      <c r="BY73" s="12">
        <f t="shared" si="19"/>
        <v>2.6566142128124463E-4</v>
      </c>
    </row>
    <row r="74" spans="1:77" x14ac:dyDescent="0.3">
      <c r="A74" s="1">
        <v>46129</v>
      </c>
      <c r="B74" s="8">
        <v>71.94</v>
      </c>
      <c r="C74" s="8">
        <v>278.45</v>
      </c>
      <c r="D74" s="9">
        <v>1.58322046037952E-2</v>
      </c>
      <c r="E74" s="9">
        <v>1.5052569191232599E-2</v>
      </c>
      <c r="F74" s="8">
        <v>0</v>
      </c>
      <c r="G74" s="8">
        <v>0.22900000000000001</v>
      </c>
      <c r="H74" s="8">
        <v>0</v>
      </c>
      <c r="I74" s="8">
        <v>0.99399999999999999</v>
      </c>
      <c r="J74" s="8">
        <v>0.22900000000000001</v>
      </c>
      <c r="K74" s="8">
        <v>0.99399999999999999</v>
      </c>
      <c r="L74" s="8">
        <v>72.168999999999997</v>
      </c>
      <c r="M74" s="8">
        <v>279.44400000000002</v>
      </c>
      <c r="N74" s="10">
        <v>3.87058659994439</v>
      </c>
      <c r="O74" s="10">
        <v>3.8715231538253501</v>
      </c>
      <c r="P74" s="10">
        <v>3.8717522673969902</v>
      </c>
      <c r="Q74" s="10">
        <v>3.8725482513896599</v>
      </c>
      <c r="R74" s="8">
        <v>278.51737568619501</v>
      </c>
      <c r="S74" s="8">
        <v>278.53781728863999</v>
      </c>
      <c r="T74" s="8">
        <v>278.60654766927303</v>
      </c>
      <c r="U74" s="9">
        <v>2.4193764111042699E-4</v>
      </c>
      <c r="V74" s="9">
        <v>3.1532930036359401E-4</v>
      </c>
      <c r="W74" s="9">
        <v>5.6205307719602905E-4</v>
      </c>
      <c r="X74" s="10">
        <v>3.87207803904723</v>
      </c>
      <c r="Y74" s="10">
        <v>3.8719668777701699</v>
      </c>
      <c r="Z74" s="10">
        <v>3.87325507451395</v>
      </c>
      <c r="AA74" s="10">
        <v>3.87263553283322</v>
      </c>
      <c r="AB74" s="8">
        <v>279.435977601795</v>
      </c>
      <c r="AC74" s="8">
        <v>279.53311732750501</v>
      </c>
      <c r="AD74" s="8">
        <v>279.49432755555898</v>
      </c>
      <c r="AE74" s="9">
        <v>-2.8708840989517799E-5</v>
      </c>
      <c r="AF74" s="9">
        <v>3.1885859187575299E-4</v>
      </c>
      <c r="AG74" s="9">
        <v>1.7861779505842601E-3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-4.9128982356745859E-4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-1.58322046037952E-2</v>
      </c>
      <c r="BT74" s="9">
        <f t="shared" si="15"/>
        <v>1.5052569191232599E-2</v>
      </c>
      <c r="BU74" s="9">
        <f t="shared" si="16"/>
        <v>-7.7963541256260115E-4</v>
      </c>
      <c r="BV74" s="12">
        <f t="shared" si="17"/>
        <v>-2.2684167713897811E-5</v>
      </c>
      <c r="BX74" s="12">
        <f t="shared" si="18"/>
        <v>-7.7963541256260115E-4</v>
      </c>
      <c r="BY74" s="12">
        <f t="shared" si="19"/>
        <v>-5.1397399128135651E-4</v>
      </c>
    </row>
    <row r="75" spans="1:77" x14ac:dyDescent="0.3">
      <c r="A75" s="1">
        <v>46132</v>
      </c>
      <c r="B75" s="8">
        <v>71.36</v>
      </c>
      <c r="C75" s="8">
        <v>276.27999999999997</v>
      </c>
      <c r="D75" s="9">
        <v>-8.0949499957239102E-3</v>
      </c>
      <c r="E75" s="9">
        <v>-7.8236658149055099E-3</v>
      </c>
      <c r="F75" s="8">
        <v>0</v>
      </c>
      <c r="G75" s="8">
        <v>0.22900000000000001</v>
      </c>
      <c r="H75" s="8">
        <v>0</v>
      </c>
      <c r="I75" s="8">
        <v>0.99399999999999999</v>
      </c>
      <c r="J75" s="8">
        <v>0.22900000000000001</v>
      </c>
      <c r="K75" s="8">
        <v>0.99399999999999999</v>
      </c>
      <c r="L75" s="8">
        <v>71.588999999999999</v>
      </c>
      <c r="M75" s="8">
        <v>277.274</v>
      </c>
      <c r="N75" s="10">
        <v>3.87163677130044</v>
      </c>
      <c r="O75" s="10">
        <v>3.8715231538253501</v>
      </c>
      <c r="P75" s="10">
        <v>3.8719563313302201</v>
      </c>
      <c r="Q75" s="10">
        <v>3.8718846025900602</v>
      </c>
      <c r="R75" s="8">
        <v>276.27189225697703</v>
      </c>
      <c r="S75" s="8">
        <v>276.28824180144898</v>
      </c>
      <c r="T75" s="8">
        <v>276.34504321916597</v>
      </c>
      <c r="U75" s="9">
        <v>-2.93465397081411E-5</v>
      </c>
      <c r="V75" s="9">
        <v>2.9830890835490299E-5</v>
      </c>
      <c r="W75" s="9">
        <v>2.35397292486611E-4</v>
      </c>
      <c r="X75" s="10">
        <v>3.8731369344452302</v>
      </c>
      <c r="Y75" s="10">
        <v>3.8719668777701699</v>
      </c>
      <c r="Z75" s="10">
        <v>3.8734562645920199</v>
      </c>
      <c r="AA75" s="10">
        <v>3.87268711753386</v>
      </c>
      <c r="AB75" s="8">
        <v>277.19023681268902</v>
      </c>
      <c r="AC75" s="8">
        <v>277.28245752937897</v>
      </c>
      <c r="AD75" s="8">
        <v>277.23810515999702</v>
      </c>
      <c r="AE75" s="9">
        <v>-3.02140994447155E-4</v>
      </c>
      <c r="AF75" s="9">
        <v>3.0501959774769E-5</v>
      </c>
      <c r="AG75" s="9">
        <v>9.7431509870035899E-4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-4.9128982356745859E-4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8.0949499957239102E-3</v>
      </c>
      <c r="BT75" s="9">
        <f t="shared" si="15"/>
        <v>-7.8236658149055099E-3</v>
      </c>
      <c r="BU75" s="9">
        <f t="shared" si="16"/>
        <v>2.7128418081840029E-4</v>
      </c>
      <c r="BV75" s="12">
        <f t="shared" si="17"/>
        <v>2.4860001310450248E-4</v>
      </c>
      <c r="BX75" s="12">
        <f t="shared" si="18"/>
        <v>2.7128418081840029E-4</v>
      </c>
      <c r="BY75" s="12">
        <f t="shared" si="19"/>
        <v>-2.4268981046295622E-4</v>
      </c>
    </row>
    <row r="76" spans="1:77" x14ac:dyDescent="0.3">
      <c r="A76" s="1">
        <v>46133</v>
      </c>
      <c r="B76" s="8">
        <v>70.61</v>
      </c>
      <c r="C76" s="8">
        <v>273.33</v>
      </c>
      <c r="D76" s="9">
        <v>-1.0565710743498401E-2</v>
      </c>
      <c r="E76" s="9">
        <v>-1.07349878268953E-2</v>
      </c>
      <c r="F76" s="8">
        <v>0</v>
      </c>
      <c r="G76" s="8">
        <v>0.22900000000000001</v>
      </c>
      <c r="H76" s="8">
        <v>0</v>
      </c>
      <c r="I76" s="8">
        <v>0.99399999999999999</v>
      </c>
      <c r="J76" s="8">
        <v>0.22900000000000001</v>
      </c>
      <c r="K76" s="8">
        <v>0.99399999999999999</v>
      </c>
      <c r="L76" s="8">
        <v>70.838999999999999</v>
      </c>
      <c r="M76" s="8">
        <v>274.32400000000001</v>
      </c>
      <c r="N76" s="10">
        <v>3.8709814473870501</v>
      </c>
      <c r="O76" s="10">
        <v>3.8715231538253501</v>
      </c>
      <c r="P76" s="10">
        <v>3.8718560656232799</v>
      </c>
      <c r="Q76" s="10">
        <v>3.87130543288449</v>
      </c>
      <c r="R76" s="8">
        <v>273.368249891608</v>
      </c>
      <c r="S76" s="8">
        <v>273.39883655522698</v>
      </c>
      <c r="T76" s="8">
        <v>273.39377178888401</v>
      </c>
      <c r="U76" s="9">
        <v>1.3993054368879599E-4</v>
      </c>
      <c r="V76" s="9">
        <v>2.5181241957027497E-4</v>
      </c>
      <c r="W76" s="9">
        <v>2.33287054504023E-4</v>
      </c>
      <c r="X76" s="10">
        <v>3.8724996117957602</v>
      </c>
      <c r="Y76" s="10">
        <v>3.8719668777701699</v>
      </c>
      <c r="Z76" s="10">
        <v>3.8733560015500101</v>
      </c>
      <c r="AA76" s="10">
        <v>3.8728223165671101</v>
      </c>
      <c r="AB76" s="8">
        <v>274.286261654361</v>
      </c>
      <c r="AC76" s="8">
        <v>274.39176832743402</v>
      </c>
      <c r="AD76" s="8">
        <v>274.33728271898099</v>
      </c>
      <c r="AE76" s="9">
        <v>-1.3757797961752699E-4</v>
      </c>
      <c r="AF76" s="9">
        <v>2.4700703603089402E-4</v>
      </c>
      <c r="AG76" s="9">
        <v>1.0672219577337199E-3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-4.9128982356745859E-4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1.0565710743498401E-2</v>
      </c>
      <c r="BT76" s="9">
        <f t="shared" si="15"/>
        <v>-1.07349878268953E-2</v>
      </c>
      <c r="BU76" s="9">
        <f t="shared" si="16"/>
        <v>-1.6927708339689942E-4</v>
      </c>
      <c r="BV76" s="12">
        <f t="shared" si="17"/>
        <v>7.9322929707603055E-5</v>
      </c>
      <c r="BX76" s="12">
        <f t="shared" si="18"/>
        <v>-1.6927708339689942E-4</v>
      </c>
      <c r="BY76" s="12">
        <f t="shared" si="19"/>
        <v>-4.1196689385985565E-4</v>
      </c>
    </row>
    <row r="77" spans="1:77" x14ac:dyDescent="0.3">
      <c r="A77" s="1">
        <v>46134</v>
      </c>
      <c r="B77" s="8">
        <v>70.81</v>
      </c>
      <c r="C77" s="8">
        <v>274.07</v>
      </c>
      <c r="D77" s="9">
        <v>2.8284561354270901E-3</v>
      </c>
      <c r="E77" s="9">
        <v>2.7036918187072498E-3</v>
      </c>
      <c r="F77" s="8">
        <v>0</v>
      </c>
      <c r="G77" s="8">
        <v>0.22900000000000001</v>
      </c>
      <c r="H77" s="8">
        <v>0</v>
      </c>
      <c r="I77" s="8">
        <v>0.99399999999999999</v>
      </c>
      <c r="J77" s="8">
        <v>0.22900000000000001</v>
      </c>
      <c r="K77" s="8">
        <v>0.99399999999999999</v>
      </c>
      <c r="L77" s="8">
        <v>71.039000000000001</v>
      </c>
      <c r="M77" s="8">
        <v>275.06400000000002</v>
      </c>
      <c r="N77" s="10">
        <v>3.8704985171585902</v>
      </c>
      <c r="O77" s="10">
        <v>3.8715231538253501</v>
      </c>
      <c r="P77" s="10">
        <v>3.8717103710621799</v>
      </c>
      <c r="Q77" s="10">
        <v>3.8713994386385799</v>
      </c>
      <c r="R77" s="8">
        <v>274.14255452237302</v>
      </c>
      <c r="S77" s="8">
        <v>274.16612800678502</v>
      </c>
      <c r="T77" s="8">
        <v>274.12713770254999</v>
      </c>
      <c r="U77" s="9">
        <v>2.6469486040866402E-4</v>
      </c>
      <c r="V77" s="9">
        <v>3.5068104000964299E-4</v>
      </c>
      <c r="W77" s="9">
        <v>2.0845677158150299E-4</v>
      </c>
      <c r="X77" s="10">
        <v>3.87201396416053</v>
      </c>
      <c r="Y77" s="10">
        <v>3.8719668777701699</v>
      </c>
      <c r="Z77" s="10">
        <v>3.8732129564504998</v>
      </c>
      <c r="AA77" s="10">
        <v>3.8729144118054299</v>
      </c>
      <c r="AB77" s="8">
        <v>275.06065502991498</v>
      </c>
      <c r="AC77" s="8">
        <v>275.15933699411102</v>
      </c>
      <c r="AD77" s="8">
        <v>275.12142454661102</v>
      </c>
      <c r="AE77" s="9">
        <v>-1.21607713954589E-5</v>
      </c>
      <c r="AF77" s="9">
        <v>3.4653926380530701E-4</v>
      </c>
      <c r="AG77" s="9">
        <v>-5.7333327518318102E-4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-4.9128982356745859E-4</v>
      </c>
      <c r="BL77" s="9"/>
      <c r="BN77">
        <f t="shared" si="10"/>
        <v>0</v>
      </c>
      <c r="BO77">
        <f t="shared" si="11"/>
        <v>1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-2.8284561354270901E-3</v>
      </c>
      <c r="BT77" s="9">
        <f t="shared" si="15"/>
        <v>2.7036918187072498E-3</v>
      </c>
      <c r="BU77" s="9">
        <f t="shared" si="16"/>
        <v>-1.2476431671984032E-4</v>
      </c>
      <c r="BV77" s="12">
        <f t="shared" si="17"/>
        <v>-4.5441387012237267E-5</v>
      </c>
      <c r="BX77" s="12">
        <f t="shared" si="18"/>
        <v>-1.2476431671984032E-4</v>
      </c>
      <c r="BY77" s="12">
        <f t="shared" si="19"/>
        <v>-5.3673121057969597E-4</v>
      </c>
    </row>
    <row r="78" spans="1:77" x14ac:dyDescent="0.3">
      <c r="A78" s="1">
        <v>46135</v>
      </c>
      <c r="B78" s="8">
        <v>70.56</v>
      </c>
      <c r="C78" s="8">
        <v>273.01</v>
      </c>
      <c r="D78" s="9">
        <v>-3.5368219651467198E-3</v>
      </c>
      <c r="E78" s="9">
        <v>-3.8751236618575899E-3</v>
      </c>
      <c r="F78" s="8">
        <v>0</v>
      </c>
      <c r="G78" s="8">
        <v>0.22900000000000001</v>
      </c>
      <c r="H78" s="8">
        <v>0</v>
      </c>
      <c r="I78" s="8">
        <v>0.99399999999999999</v>
      </c>
      <c r="J78" s="8">
        <v>0.22900000000000001</v>
      </c>
      <c r="K78" s="8">
        <v>0.99399999999999999</v>
      </c>
      <c r="L78" s="8">
        <v>70.789000000000001</v>
      </c>
      <c r="M78" s="8">
        <v>274.00400000000002</v>
      </c>
      <c r="N78" s="10">
        <v>3.8691893424036201</v>
      </c>
      <c r="O78" s="10">
        <v>3.8715231538253501</v>
      </c>
      <c r="P78" s="10">
        <v>3.8713908115786899</v>
      </c>
      <c r="Q78" s="10">
        <v>3.8713031601072099</v>
      </c>
      <c r="R78" s="8">
        <v>273.17467373391599</v>
      </c>
      <c r="S78" s="8">
        <v>273.18788378214703</v>
      </c>
      <c r="T78" s="8">
        <v>273.16594439033798</v>
      </c>
      <c r="U78" s="9">
        <v>6.0299655711960399E-4</v>
      </c>
      <c r="V78" s="9">
        <v>6.5135290237575301E-4</v>
      </c>
      <c r="W78" s="9">
        <v>5.7104087493427204E-4</v>
      </c>
      <c r="X78" s="10">
        <v>3.8707143765274199</v>
      </c>
      <c r="Y78" s="10">
        <v>3.8719668777701699</v>
      </c>
      <c r="Z78" s="10">
        <v>3.8728968313677701</v>
      </c>
      <c r="AA78" s="10">
        <v>3.8728179914796201</v>
      </c>
      <c r="AB78" s="8">
        <v>274.09266331047297</v>
      </c>
      <c r="AC78" s="8">
        <v>274.18087197417401</v>
      </c>
      <c r="AD78" s="8">
        <v>274.15973829729398</v>
      </c>
      <c r="AE78" s="9">
        <v>3.2353165848884001E-4</v>
      </c>
      <c r="AF78" s="9">
        <v>6.4530047929060603E-4</v>
      </c>
      <c r="AG78" s="9">
        <v>-1.3752879670371301E-3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-4.9128982356745859E-4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-4.5441387012237267E-5</v>
      </c>
      <c r="BX78" s="12">
        <f t="shared" si="18"/>
        <v>0</v>
      </c>
      <c r="BY78" s="12">
        <f t="shared" si="19"/>
        <v>-5.3673121057969597E-4</v>
      </c>
    </row>
    <row r="79" spans="1:77" x14ac:dyDescent="0.3">
      <c r="A79" s="1">
        <v>46136</v>
      </c>
      <c r="B79" s="8">
        <v>69.73</v>
      </c>
      <c r="C79" s="8">
        <v>269.89</v>
      </c>
      <c r="D79" s="9">
        <v>-1.1832770465616401E-2</v>
      </c>
      <c r="E79" s="9">
        <v>-1.1493955972704299E-2</v>
      </c>
      <c r="F79" s="8">
        <v>0</v>
      </c>
      <c r="G79" s="8">
        <v>0.22900000000000001</v>
      </c>
      <c r="H79" s="8">
        <v>0</v>
      </c>
      <c r="I79" s="8">
        <v>0.99399999999999999</v>
      </c>
      <c r="J79" s="8">
        <v>0.22900000000000001</v>
      </c>
      <c r="K79" s="8">
        <v>0.99399999999999999</v>
      </c>
      <c r="L79" s="8">
        <v>69.959000000000003</v>
      </c>
      <c r="M79" s="8">
        <v>270.88400000000001</v>
      </c>
      <c r="N79" s="10">
        <v>3.8705005019360299</v>
      </c>
      <c r="O79" s="10">
        <v>3.8715231538253501</v>
      </c>
      <c r="P79" s="10">
        <v>3.87119899472845</v>
      </c>
      <c r="Q79" s="10">
        <v>3.8713670319631999</v>
      </c>
      <c r="R79" s="8">
        <v>269.96130951624099</v>
      </c>
      <c r="S79" s="8">
        <v>269.952081291382</v>
      </c>
      <c r="T79" s="8">
        <v>269.94596935427597</v>
      </c>
      <c r="U79" s="9">
        <v>2.6418206420750602E-4</v>
      </c>
      <c r="V79" s="9">
        <v>2.2999797091567299E-4</v>
      </c>
      <c r="W79" s="9">
        <v>2.0735689229298601E-4</v>
      </c>
      <c r="X79" s="10">
        <v>3.8720393373261399</v>
      </c>
      <c r="Y79" s="10">
        <v>3.8719668777701699</v>
      </c>
      <c r="Z79" s="10">
        <v>3.87270773827073</v>
      </c>
      <c r="AA79" s="10">
        <v>3.8728818303064498</v>
      </c>
      <c r="AB79" s="8">
        <v>270.87893080192299</v>
      </c>
      <c r="AC79" s="8">
        <v>270.94398942565698</v>
      </c>
      <c r="AD79" s="8">
        <v>270.93847386592199</v>
      </c>
      <c r="AE79" s="9">
        <v>-1.8713713279611501E-5</v>
      </c>
      <c r="AF79" s="9">
        <v>2.21433469934511E-4</v>
      </c>
      <c r="AG79" s="9">
        <v>-4.0716926204696998E-4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-1.1832770465616401E-2</v>
      </c>
      <c r="BH79" s="9">
        <f t="shared" si="7"/>
        <v>1.1493955972704299E-2</v>
      </c>
      <c r="BI79" s="9">
        <f t="shared" si="8"/>
        <v>-3.3881449291210154E-4</v>
      </c>
      <c r="BJ79" s="12">
        <f t="shared" si="9"/>
        <v>-8.3010431647956013E-4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-4.5441387012237267E-5</v>
      </c>
      <c r="BX79" s="12">
        <f t="shared" si="18"/>
        <v>-3.3881449291210154E-4</v>
      </c>
      <c r="BY79" s="12">
        <f t="shared" si="19"/>
        <v>-8.7554570349179751E-4</v>
      </c>
    </row>
    <row r="80" spans="1:77" x14ac:dyDescent="0.3">
      <c r="A80" s="1">
        <v>46139</v>
      </c>
      <c r="B80" s="8">
        <v>69.44</v>
      </c>
      <c r="C80" s="8">
        <v>268.77999999999997</v>
      </c>
      <c r="D80" s="9">
        <v>-4.1675708808246699E-3</v>
      </c>
      <c r="E80" s="9">
        <v>-4.1212674591040001E-3</v>
      </c>
      <c r="F80" s="8">
        <v>0</v>
      </c>
      <c r="G80" s="8">
        <v>0.22900000000000001</v>
      </c>
      <c r="H80" s="8">
        <v>0</v>
      </c>
      <c r="I80" s="8">
        <v>0.99399999999999999</v>
      </c>
      <c r="J80" s="8">
        <v>0.22900000000000001</v>
      </c>
      <c r="K80" s="8">
        <v>0.99399999999999999</v>
      </c>
      <c r="L80" s="8">
        <v>69.668999999999997</v>
      </c>
      <c r="M80" s="8">
        <v>269.774</v>
      </c>
      <c r="N80" s="10">
        <v>3.8706797235022998</v>
      </c>
      <c r="O80" s="10">
        <v>3.8715231538253501</v>
      </c>
      <c r="P80" s="10">
        <v>3.8708898258262199</v>
      </c>
      <c r="Q80" s="10">
        <v>3.87129237958586</v>
      </c>
      <c r="R80" s="8">
        <v>268.838567801632</v>
      </c>
      <c r="S80" s="8">
        <v>268.81605819394298</v>
      </c>
      <c r="T80" s="8">
        <v>268.82772669952499</v>
      </c>
      <c r="U80" s="9">
        <v>2.1787864248681499E-4</v>
      </c>
      <c r="V80" s="9">
        <v>1.34146050545201E-4</v>
      </c>
      <c r="W80" s="9">
        <v>1.7755213431789099E-4</v>
      </c>
      <c r="X80" s="10">
        <v>3.8722243752601502</v>
      </c>
      <c r="Y80" s="10">
        <v>3.8719668777701699</v>
      </c>
      <c r="Z80" s="10">
        <v>3.8724034084522101</v>
      </c>
      <c r="AA80" s="10">
        <v>3.8728064044120298</v>
      </c>
      <c r="AB80" s="8">
        <v>269.75606040737</v>
      </c>
      <c r="AC80" s="8">
        <v>269.80767541758399</v>
      </c>
      <c r="AD80" s="8">
        <v>269.81980423561998</v>
      </c>
      <c r="AE80" s="9">
        <v>-6.6500808583535906E-5</v>
      </c>
      <c r="AF80" s="9">
        <v>1.2482046430432799E-4</v>
      </c>
      <c r="AG80" s="9">
        <v>1.21279905084421E-3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-4.1675708808246699E-3</v>
      </c>
      <c r="BH80" s="9">
        <f t="shared" si="7"/>
        <v>4.1212674591040001E-3</v>
      </c>
      <c r="BI80" s="9">
        <f t="shared" si="8"/>
        <v>-4.6303421720669813E-5</v>
      </c>
      <c r="BJ80" s="12">
        <f t="shared" si="9"/>
        <v>-8.7640773820022995E-4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-4.5441387012237267E-5</v>
      </c>
      <c r="BX80" s="12">
        <f t="shared" si="18"/>
        <v>-4.6303421720669813E-5</v>
      </c>
      <c r="BY80" s="12">
        <f t="shared" si="19"/>
        <v>-9.2184912521246732E-4</v>
      </c>
    </row>
    <row r="81" spans="1:77" x14ac:dyDescent="0.3">
      <c r="A81" s="1">
        <v>46140</v>
      </c>
      <c r="B81" s="8">
        <v>69.44</v>
      </c>
      <c r="C81" s="8">
        <v>268.82</v>
      </c>
      <c r="D81" s="9">
        <v>0</v>
      </c>
      <c r="E81" s="9">
        <v>1.48809524084108E-4</v>
      </c>
      <c r="F81" s="8">
        <v>0</v>
      </c>
      <c r="G81" s="8">
        <v>0.22900000000000001</v>
      </c>
      <c r="H81" s="8">
        <v>0</v>
      </c>
      <c r="I81" s="8">
        <v>0.99399999999999999</v>
      </c>
      <c r="J81" s="8">
        <v>0.22900000000000001</v>
      </c>
      <c r="K81" s="8">
        <v>0.99399999999999999</v>
      </c>
      <c r="L81" s="8">
        <v>69.668999999999997</v>
      </c>
      <c r="M81" s="8">
        <v>269.81400000000002</v>
      </c>
      <c r="N81" s="10">
        <v>3.8712557603686601</v>
      </c>
      <c r="O81" s="10">
        <v>3.8715231538253501</v>
      </c>
      <c r="P81" s="10">
        <v>3.8709680481026401</v>
      </c>
      <c r="Q81" s="10">
        <v>3.87125144613315</v>
      </c>
      <c r="R81" s="8">
        <v>268.838567801632</v>
      </c>
      <c r="S81" s="8">
        <v>268.79458950537298</v>
      </c>
      <c r="T81" s="8">
        <v>268.82254283844202</v>
      </c>
      <c r="U81" s="9">
        <v>6.9069118402558902E-5</v>
      </c>
      <c r="V81" s="9">
        <v>-9.4530524810766694E-5</v>
      </c>
      <c r="W81" s="9">
        <v>9.4592158913722898E-6</v>
      </c>
      <c r="X81" s="10">
        <v>3.8727985187098999</v>
      </c>
      <c r="Y81" s="10">
        <v>3.8719668777701699</v>
      </c>
      <c r="Z81" s="10">
        <v>3.8724864368215601</v>
      </c>
      <c r="AA81" s="10">
        <v>3.8727648803120198</v>
      </c>
      <c r="AB81" s="8">
        <v>269.75606040737</v>
      </c>
      <c r="AC81" s="8">
        <v>269.78647306345698</v>
      </c>
      <c r="AD81" s="8">
        <v>269.81454938898099</v>
      </c>
      <c r="AE81" s="9">
        <v>-2.1476207485816401E-4</v>
      </c>
      <c r="AF81" s="9">
        <v>-1.02027103164439E-4</v>
      </c>
      <c r="AG81" s="9">
        <v>7.1770995903040703E-4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-8.7640773820022995E-4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-4.5441387012237267E-5</v>
      </c>
      <c r="BX81" s="12">
        <f t="shared" si="18"/>
        <v>0</v>
      </c>
      <c r="BY81" s="12">
        <f t="shared" si="19"/>
        <v>-9.2184912521246732E-4</v>
      </c>
    </row>
    <row r="82" spans="1:77" x14ac:dyDescent="0.3">
      <c r="A82" s="1">
        <v>46141</v>
      </c>
      <c r="B82" s="8">
        <v>68.94</v>
      </c>
      <c r="C82" s="8">
        <v>266.8</v>
      </c>
      <c r="D82" s="9">
        <v>-7.2265092633754299E-3</v>
      </c>
      <c r="E82" s="9">
        <v>-7.5426966015335502E-3</v>
      </c>
      <c r="F82" s="8">
        <v>0</v>
      </c>
      <c r="G82" s="8">
        <v>0.22900000000000001</v>
      </c>
      <c r="H82" s="8">
        <v>0</v>
      </c>
      <c r="I82" s="8">
        <v>0.99399999999999999</v>
      </c>
      <c r="J82" s="8">
        <v>0.22900000000000001</v>
      </c>
      <c r="K82" s="8">
        <v>0.99399999999999999</v>
      </c>
      <c r="L82" s="8">
        <v>69.168999999999997</v>
      </c>
      <c r="M82" s="8">
        <v>267.79399999999998</v>
      </c>
      <c r="N82" s="10">
        <v>3.8700319118073598</v>
      </c>
      <c r="O82" s="10">
        <v>3.8715231538253501</v>
      </c>
      <c r="P82" s="10">
        <v>3.8708965998771299</v>
      </c>
      <c r="Q82" s="10">
        <v>3.8712268905012301</v>
      </c>
      <c r="R82" s="8">
        <v>266.90280622471897</v>
      </c>
      <c r="S82" s="8">
        <v>266.86453723619599</v>
      </c>
      <c r="T82" s="8">
        <v>266.88407469641902</v>
      </c>
      <c r="U82" s="9">
        <v>3.8525645656076001E-4</v>
      </c>
      <c r="V82" s="9">
        <v>2.41864437330435E-4</v>
      </c>
      <c r="W82" s="9">
        <v>3.1507290961611199E-4</v>
      </c>
      <c r="X82" s="10">
        <v>3.87158987407653</v>
      </c>
      <c r="Y82" s="10">
        <v>3.8719668777701699</v>
      </c>
      <c r="Z82" s="10">
        <v>3.8724205885949901</v>
      </c>
      <c r="AA82" s="10">
        <v>3.87274197137521</v>
      </c>
      <c r="AB82" s="8">
        <v>267.82007696848501</v>
      </c>
      <c r="AC82" s="8">
        <v>267.85601434850997</v>
      </c>
      <c r="AD82" s="8">
        <v>267.87527400630199</v>
      </c>
      <c r="AE82" s="9">
        <v>9.7372229847241502E-5</v>
      </c>
      <c r="AF82" s="9">
        <v>2.31548015033852E-4</v>
      </c>
      <c r="AG82" s="9">
        <v>-2.2609459390447701E-4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-8.7640773820022995E-4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-4.5441387012237267E-5</v>
      </c>
      <c r="BX82" s="12">
        <f t="shared" si="18"/>
        <v>0</v>
      </c>
      <c r="BY82" s="12">
        <f t="shared" si="19"/>
        <v>-9.2184912521246732E-4</v>
      </c>
    </row>
    <row r="83" spans="1:77" x14ac:dyDescent="0.3">
      <c r="A83" s="1">
        <v>46142</v>
      </c>
      <c r="B83" s="8">
        <v>70.400000000000006</v>
      </c>
      <c r="C83" s="8">
        <v>272.45999999999998</v>
      </c>
      <c r="D83" s="9">
        <v>2.09567020752774E-2</v>
      </c>
      <c r="E83" s="9">
        <v>2.0992500296446E-2</v>
      </c>
      <c r="F83" s="8">
        <v>0</v>
      </c>
      <c r="G83" s="8">
        <v>0.22900000000000001</v>
      </c>
      <c r="H83" s="8">
        <v>0</v>
      </c>
      <c r="I83" s="8">
        <v>0.99399999999999999</v>
      </c>
      <c r="J83" s="8">
        <v>0.22900000000000001</v>
      </c>
      <c r="K83" s="8">
        <v>0.99399999999999999</v>
      </c>
      <c r="L83" s="8">
        <v>70.629000000000005</v>
      </c>
      <c r="M83" s="8">
        <v>273.45400000000001</v>
      </c>
      <c r="N83" s="10">
        <v>3.8701704545454501</v>
      </c>
      <c r="O83" s="10">
        <v>3.8715231538253501</v>
      </c>
      <c r="P83" s="10">
        <v>3.8705531030353901</v>
      </c>
      <c r="Q83" s="10">
        <v>3.8711802023978801</v>
      </c>
      <c r="R83" s="8">
        <v>272.55523002930403</v>
      </c>
      <c r="S83" s="8">
        <v>272.51112063135002</v>
      </c>
      <c r="T83" s="8">
        <v>272.53437309128702</v>
      </c>
      <c r="U83" s="9">
        <v>3.4945823539204199E-4</v>
      </c>
      <c r="V83" s="9">
        <v>1.87608589024297E-4</v>
      </c>
      <c r="W83" s="9">
        <v>2.7293159497063002E-4</v>
      </c>
      <c r="X83" s="10">
        <v>3.8716957623638999</v>
      </c>
      <c r="Y83" s="10">
        <v>3.8719668777701699</v>
      </c>
      <c r="Z83" s="10">
        <v>3.87207907937128</v>
      </c>
      <c r="AA83" s="10">
        <v>3.8726959803146199</v>
      </c>
      <c r="AB83" s="8">
        <v>273.473148610029</v>
      </c>
      <c r="AC83" s="8">
        <v>273.50519375187503</v>
      </c>
      <c r="AD83" s="8">
        <v>273.52789269625998</v>
      </c>
      <c r="AE83" s="9">
        <v>7.0022525253661395E-5</v>
      </c>
      <c r="AF83" s="9">
        <v>1.8719404522338199E-4</v>
      </c>
      <c r="AG83" s="9">
        <v>1.3497489309353299E-3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-8.7640773820022995E-4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-4.5441387012237267E-5</v>
      </c>
      <c r="BX83" s="12">
        <f t="shared" si="18"/>
        <v>0</v>
      </c>
      <c r="BY83" s="12">
        <f t="shared" si="19"/>
        <v>-9.2184912521246732E-4</v>
      </c>
    </row>
    <row r="84" spans="1:77" x14ac:dyDescent="0.3">
      <c r="A84" s="1">
        <v>46143</v>
      </c>
      <c r="B84" s="8">
        <v>70.11</v>
      </c>
      <c r="C84" s="8">
        <v>271.31</v>
      </c>
      <c r="D84" s="9">
        <v>-4.1278259451205702E-3</v>
      </c>
      <c r="E84" s="9">
        <v>-4.22973578726851E-3</v>
      </c>
      <c r="F84" s="8">
        <v>0</v>
      </c>
      <c r="G84" s="8">
        <v>0.22900000000000001</v>
      </c>
      <c r="H84" s="8">
        <v>0</v>
      </c>
      <c r="I84" s="8">
        <v>0.99399999999999999</v>
      </c>
      <c r="J84" s="8">
        <v>0.22900000000000001</v>
      </c>
      <c r="K84" s="8">
        <v>0.99399999999999999</v>
      </c>
      <c r="L84" s="8">
        <v>70.338999999999999</v>
      </c>
      <c r="M84" s="8">
        <v>272.30399999999997</v>
      </c>
      <c r="N84" s="10">
        <v>3.8697760661817102</v>
      </c>
      <c r="O84" s="10">
        <v>3.8715231538253501</v>
      </c>
      <c r="P84" s="10">
        <v>3.8704720496591198</v>
      </c>
      <c r="Q84" s="10">
        <v>3.8711121585280601</v>
      </c>
      <c r="R84" s="8">
        <v>271.43248831469498</v>
      </c>
      <c r="S84" s="8">
        <v>271.36447805381101</v>
      </c>
      <c r="T84" s="8">
        <v>271.40844399011502</v>
      </c>
      <c r="U84" s="9">
        <v>4.51368077540241E-4</v>
      </c>
      <c r="V84" s="9">
        <v>2.0077617871392899E-4</v>
      </c>
      <c r="W84" s="9">
        <v>3.6278107842185702E-4</v>
      </c>
      <c r="X84" s="10">
        <v>3.8713089466725399</v>
      </c>
      <c r="Y84" s="10">
        <v>3.8719668777701699</v>
      </c>
      <c r="Z84" s="10">
        <v>3.8720021701338099</v>
      </c>
      <c r="AA84" s="10">
        <v>3.8726286223238802</v>
      </c>
      <c r="AB84" s="8">
        <v>272.35027821547601</v>
      </c>
      <c r="AC84" s="8">
        <v>272.35817036389602</v>
      </c>
      <c r="AD84" s="8">
        <v>272.40156255935</v>
      </c>
      <c r="AE84" s="9">
        <v>1.6993611337997599E-4</v>
      </c>
      <c r="AF84" s="9">
        <v>1.9891362764974701E-4</v>
      </c>
      <c r="AG84" s="9">
        <v>2.4008528197355002E-3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-8.7640773820022995E-4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-4.5441387012237267E-5</v>
      </c>
      <c r="BX84" s="12">
        <f t="shared" si="18"/>
        <v>0</v>
      </c>
      <c r="BY84" s="12">
        <f t="shared" si="19"/>
        <v>-9.2184912521246732E-4</v>
      </c>
    </row>
    <row r="85" spans="1:77" x14ac:dyDescent="0.3">
      <c r="A85" s="1">
        <v>46146</v>
      </c>
      <c r="B85" s="8">
        <v>70.099999999999994</v>
      </c>
      <c r="C85" s="8">
        <v>271.33999999999997</v>
      </c>
      <c r="D85" s="9">
        <v>-1.4264317833195399E-4</v>
      </c>
      <c r="E85" s="9">
        <v>1.10568506516361E-4</v>
      </c>
      <c r="F85" s="8">
        <v>0</v>
      </c>
      <c r="G85" s="8">
        <v>0.22900000000000001</v>
      </c>
      <c r="H85" s="8">
        <v>0</v>
      </c>
      <c r="I85" s="8">
        <v>0.99399999999999999</v>
      </c>
      <c r="J85" s="8">
        <v>0.22900000000000001</v>
      </c>
      <c r="K85" s="8">
        <v>0.99399999999999999</v>
      </c>
      <c r="L85" s="8">
        <v>70.328999999999994</v>
      </c>
      <c r="M85" s="8">
        <v>272.334</v>
      </c>
      <c r="N85" s="10">
        <v>3.87075606276747</v>
      </c>
      <c r="O85" s="10">
        <v>3.8715231538253501</v>
      </c>
      <c r="P85" s="10">
        <v>3.8703839788058199</v>
      </c>
      <c r="Q85" s="10">
        <v>3.87117015506802</v>
      </c>
      <c r="R85" s="8">
        <v>271.39377308315699</v>
      </c>
      <c r="S85" s="8">
        <v>271.32009068110398</v>
      </c>
      <c r="T85" s="8">
        <v>271.364962312817</v>
      </c>
      <c r="U85" s="9">
        <v>1.9815639269207599E-4</v>
      </c>
      <c r="V85" s="9">
        <v>-7.3376757369981397E-5</v>
      </c>
      <c r="W85" s="9">
        <v>9.1992204118700101E-5</v>
      </c>
      <c r="X85" s="10">
        <v>3.8722859702256498</v>
      </c>
      <c r="Y85" s="10">
        <v>3.8719668777701699</v>
      </c>
      <c r="Z85" s="10">
        <v>3.8719170737118498</v>
      </c>
      <c r="AA85" s="10">
        <v>3.8726866691519399</v>
      </c>
      <c r="AB85" s="8">
        <v>272.311558546698</v>
      </c>
      <c r="AC85" s="8">
        <v>272.31404062334099</v>
      </c>
      <c r="AD85" s="8">
        <v>272.35809837941599</v>
      </c>
      <c r="AE85" s="9">
        <v>-8.2407550972445794E-5</v>
      </c>
      <c r="AF85" s="9">
        <v>-7.3292751205128202E-5</v>
      </c>
      <c r="AG85" s="9">
        <v>9.1441068047636096E-4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-8.7640773820022995E-4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1.4264317833195399E-4</v>
      </c>
      <c r="BT85" s="9">
        <f t="shared" si="15"/>
        <v>1.10568506516361E-4</v>
      </c>
      <c r="BU85" s="9">
        <f t="shared" si="16"/>
        <v>2.5321168484831498E-4</v>
      </c>
      <c r="BV85" s="12">
        <f t="shared" si="17"/>
        <v>2.0777029783607771E-4</v>
      </c>
      <c r="BX85" s="12">
        <f t="shared" si="18"/>
        <v>2.5321168484831498E-4</v>
      </c>
      <c r="BY85" s="12">
        <f t="shared" si="19"/>
        <v>-6.686374403641524E-4</v>
      </c>
    </row>
    <row r="86" spans="1:77" x14ac:dyDescent="0.3">
      <c r="A86" s="1">
        <v>46147</v>
      </c>
      <c r="B86" s="8">
        <v>70.33</v>
      </c>
      <c r="C86" s="8">
        <v>272.17</v>
      </c>
      <c r="D86" s="9">
        <v>3.2756562793825501E-3</v>
      </c>
      <c r="E86" s="9">
        <v>3.054224007677E-3</v>
      </c>
      <c r="F86" s="8">
        <v>0</v>
      </c>
      <c r="G86" s="8">
        <v>0.22900000000000001</v>
      </c>
      <c r="H86" s="8">
        <v>0</v>
      </c>
      <c r="I86" s="8">
        <v>0.99399999999999999</v>
      </c>
      <c r="J86" s="8">
        <v>0.22900000000000001</v>
      </c>
      <c r="K86" s="8">
        <v>0.99399999999999999</v>
      </c>
      <c r="L86" s="8">
        <v>70.558999999999997</v>
      </c>
      <c r="M86" s="8">
        <v>273.16399999999999</v>
      </c>
      <c r="N86" s="10">
        <v>3.86989904734821</v>
      </c>
      <c r="O86" s="10">
        <v>3.8715231538253501</v>
      </c>
      <c r="P86" s="10">
        <v>3.87027573880194</v>
      </c>
      <c r="Q86" s="10">
        <v>3.8710659022126102</v>
      </c>
      <c r="R86" s="8">
        <v>272.284223408537</v>
      </c>
      <c r="S86" s="8">
        <v>272.20410522941398</v>
      </c>
      <c r="T86" s="8">
        <v>272.25939700593398</v>
      </c>
      <c r="U86" s="9">
        <v>4.1958866439739602E-4</v>
      </c>
      <c r="V86" s="9">
        <v>1.25300704537428E-4</v>
      </c>
      <c r="W86" s="9">
        <v>3.2840624415012698E-4</v>
      </c>
      <c r="X86" s="10">
        <v>3.8714267492453098</v>
      </c>
      <c r="Y86" s="10">
        <v>3.8719668777701699</v>
      </c>
      <c r="Z86" s="10">
        <v>3.8718097874568098</v>
      </c>
      <c r="AA86" s="10">
        <v>3.87258289450341</v>
      </c>
      <c r="AB86" s="8">
        <v>273.202110928585</v>
      </c>
      <c r="AC86" s="8">
        <v>273.19859680403403</v>
      </c>
      <c r="AD86" s="8">
        <v>273.252898688691</v>
      </c>
      <c r="AE86" s="9">
        <v>1.39506927261494E-4</v>
      </c>
      <c r="AF86" s="9">
        <v>1.26644116136332E-4</v>
      </c>
      <c r="AG86" s="9">
        <v>1.9714024534915799E-3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-8.7640773820022995E-4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-3.2756562793825501E-3</v>
      </c>
      <c r="BT86" s="9">
        <f t="shared" si="15"/>
        <v>3.054224007677E-3</v>
      </c>
      <c r="BU86" s="9">
        <f t="shared" si="16"/>
        <v>-2.2143227170555013E-4</v>
      </c>
      <c r="BV86" s="12">
        <f t="shared" si="17"/>
        <v>-1.3661973869472414E-5</v>
      </c>
      <c r="BX86" s="12">
        <f t="shared" si="18"/>
        <v>-2.2143227170555013E-4</v>
      </c>
      <c r="BY86" s="12">
        <f t="shared" si="19"/>
        <v>-8.9006971206970252E-4</v>
      </c>
    </row>
    <row r="87" spans="1:77" x14ac:dyDescent="0.3">
      <c r="A87" s="1">
        <v>46148</v>
      </c>
      <c r="B87" s="8">
        <v>70.569999999999993</v>
      </c>
      <c r="C87" s="8">
        <v>273.10000000000002</v>
      </c>
      <c r="D87" s="9">
        <v>3.4066746928118402E-3</v>
      </c>
      <c r="E87" s="9">
        <v>3.4111574148200101E-3</v>
      </c>
      <c r="F87" s="8">
        <v>0</v>
      </c>
      <c r="G87" s="8">
        <v>0.22900000000000001</v>
      </c>
      <c r="H87" s="8">
        <v>0</v>
      </c>
      <c r="I87" s="8">
        <v>0.99399999999999999</v>
      </c>
      <c r="J87" s="8">
        <v>0.22900000000000001</v>
      </c>
      <c r="K87" s="8">
        <v>0.99399999999999999</v>
      </c>
      <c r="L87" s="8">
        <v>70.798999999999893</v>
      </c>
      <c r="M87" s="8">
        <v>274.09399999999999</v>
      </c>
      <c r="N87" s="10">
        <v>3.8699163950687199</v>
      </c>
      <c r="O87" s="10">
        <v>3.8715231538253501</v>
      </c>
      <c r="P87" s="10">
        <v>3.8702175265929499</v>
      </c>
      <c r="Q87" s="10">
        <v>3.87096394882757</v>
      </c>
      <c r="R87" s="8">
        <v>273.21338896545501</v>
      </c>
      <c r="S87" s="8">
        <v>273.12535888725301</v>
      </c>
      <c r="T87" s="8">
        <v>273.18112071914402</v>
      </c>
      <c r="U87" s="9">
        <v>4.1510594238948403E-4</v>
      </c>
      <c r="V87" s="9">
        <v>9.2851373005175503E-5</v>
      </c>
      <c r="W87" s="9">
        <v>2.9699258006122398E-4</v>
      </c>
      <c r="X87" s="10">
        <v>3.87143886213082</v>
      </c>
      <c r="Y87" s="10">
        <v>3.8719668777701699</v>
      </c>
      <c r="Z87" s="10">
        <v>3.8717522772538402</v>
      </c>
      <c r="AA87" s="10">
        <v>3.87248261685217</v>
      </c>
      <c r="AB87" s="8">
        <v>274.13138297925002</v>
      </c>
      <c r="AC87" s="8">
        <v>274.12026114215399</v>
      </c>
      <c r="AD87" s="8">
        <v>274.17499634794598</v>
      </c>
      <c r="AE87" s="9">
        <v>1.3637814106864799E-4</v>
      </c>
      <c r="AF87" s="9">
        <v>9.5806125583561505E-5</v>
      </c>
      <c r="AG87" s="9">
        <v>1.8634144582060201E-3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-8.7640773820022995E-4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-3.4066746928118402E-3</v>
      </c>
      <c r="BT87" s="9">
        <f t="shared" ref="BT87:BT150" si="35">BR87*$E87</f>
        <v>3.4111574148200101E-3</v>
      </c>
      <c r="BU87" s="9">
        <f t="shared" ref="BU87:BU150" si="36">BS87+BT87</f>
        <v>4.482722008169928E-6</v>
      </c>
      <c r="BV87" s="12">
        <f t="shared" ref="BV87:BV150" si="37">BV86+BU87</f>
        <v>-9.1792518613024857E-6</v>
      </c>
      <c r="BX87" s="12">
        <f t="shared" ref="BX87:BX150" si="38">BI87+BU87</f>
        <v>4.482722008169928E-6</v>
      </c>
      <c r="BY87" s="12">
        <f t="shared" ref="BY87:BY150" si="39">BY86+BX87</f>
        <v>-8.855869900615326E-4</v>
      </c>
    </row>
    <row r="88" spans="1:77" x14ac:dyDescent="0.3">
      <c r="A88" s="1">
        <v>46149</v>
      </c>
      <c r="B88" s="8">
        <v>70.02</v>
      </c>
      <c r="C88" s="8">
        <v>271.08999999999997</v>
      </c>
      <c r="D88" s="9">
        <v>-7.8242094862191799E-3</v>
      </c>
      <c r="E88" s="9">
        <v>-7.38715941302688E-3</v>
      </c>
      <c r="F88" s="8">
        <v>0</v>
      </c>
      <c r="G88" s="8">
        <v>0.22900000000000001</v>
      </c>
      <c r="H88" s="8">
        <v>0</v>
      </c>
      <c r="I88" s="8">
        <v>0.99399999999999999</v>
      </c>
      <c r="J88" s="8">
        <v>0.22900000000000001</v>
      </c>
      <c r="K88" s="8">
        <v>0.99399999999999999</v>
      </c>
      <c r="L88" s="8">
        <v>70.248999999999995</v>
      </c>
      <c r="M88" s="8">
        <v>272.084</v>
      </c>
      <c r="N88" s="10">
        <v>3.8716081119679999</v>
      </c>
      <c r="O88" s="10">
        <v>3.8715231538253501</v>
      </c>
      <c r="P88" s="10">
        <v>3.8704594035493902</v>
      </c>
      <c r="Q88" s="10">
        <v>3.8709251075640401</v>
      </c>
      <c r="R88" s="8">
        <v>271.084051230851</v>
      </c>
      <c r="S88" s="8">
        <v>270.99263121203899</v>
      </c>
      <c r="T88" s="8">
        <v>271.044895696906</v>
      </c>
      <c r="U88" s="9">
        <v>-2.19441308029715E-5</v>
      </c>
      <c r="V88" s="9">
        <v>-3.5923965610347398E-4</v>
      </c>
      <c r="W88" s="9">
        <v>-1.66395129904346E-4</v>
      </c>
      <c r="X88" s="10">
        <v>3.8731369841563499</v>
      </c>
      <c r="Y88" s="10">
        <v>3.8719668777701699</v>
      </c>
      <c r="Z88" s="10">
        <v>3.8719945380167302</v>
      </c>
      <c r="AA88" s="10">
        <v>3.8724456846922499</v>
      </c>
      <c r="AB88" s="8">
        <v>272.001801196477</v>
      </c>
      <c r="AC88" s="8">
        <v>271.98672572480501</v>
      </c>
      <c r="AD88" s="8">
        <v>272.03803135124798</v>
      </c>
      <c r="AE88" s="9">
        <v>-3.0215382929453901E-4</v>
      </c>
      <c r="AF88" s="9">
        <v>-3.5757952645541302E-4</v>
      </c>
      <c r="AG88" s="9">
        <v>6.2035775261661203E-4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-8.7640773820022995E-4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7.8242094862191799E-3</v>
      </c>
      <c r="BT88" s="9">
        <f t="shared" si="35"/>
        <v>-7.38715941302688E-3</v>
      </c>
      <c r="BU88" s="9">
        <f t="shared" si="36"/>
        <v>4.370500731922999E-4</v>
      </c>
      <c r="BV88" s="12">
        <f t="shared" si="37"/>
        <v>4.2787082133099742E-4</v>
      </c>
      <c r="BX88" s="12">
        <f t="shared" si="38"/>
        <v>4.370500731922999E-4</v>
      </c>
      <c r="BY88" s="12">
        <f t="shared" si="39"/>
        <v>-4.4853691686923269E-4</v>
      </c>
    </row>
    <row r="89" spans="1:77" x14ac:dyDescent="0.3">
      <c r="A89" s="1">
        <v>46150</v>
      </c>
      <c r="B89" s="8">
        <v>69.48</v>
      </c>
      <c r="C89" s="8">
        <v>268.98</v>
      </c>
      <c r="D89" s="9">
        <v>-7.7419741536152798E-3</v>
      </c>
      <c r="E89" s="9">
        <v>-7.8138416712293293E-3</v>
      </c>
      <c r="F89" s="8">
        <v>0</v>
      </c>
      <c r="G89" s="8">
        <v>0.22900000000000001</v>
      </c>
      <c r="H89" s="8">
        <v>0</v>
      </c>
      <c r="I89" s="8">
        <v>0.99399999999999999</v>
      </c>
      <c r="J89" s="8">
        <v>0.22900000000000001</v>
      </c>
      <c r="K89" s="8">
        <v>0.99399999999999999</v>
      </c>
      <c r="L89" s="8">
        <v>69.709000000000003</v>
      </c>
      <c r="M89" s="8">
        <v>269.97399999999999</v>
      </c>
      <c r="N89" s="10">
        <v>3.8713298791019</v>
      </c>
      <c r="O89" s="10">
        <v>3.8715231538253501</v>
      </c>
      <c r="P89" s="10">
        <v>3.8705423412659798</v>
      </c>
      <c r="Q89" s="10">
        <v>3.87087066799721</v>
      </c>
      <c r="R89" s="8">
        <v>268.99342872778499</v>
      </c>
      <c r="S89" s="8">
        <v>268.91951935861198</v>
      </c>
      <c r="T89" s="8">
        <v>268.95187647354902</v>
      </c>
      <c r="U89" s="9">
        <v>4.9923386811114697E-5</v>
      </c>
      <c r="V89" s="9">
        <v>-2.2487709866305999E-4</v>
      </c>
      <c r="W89" s="9">
        <v>-1.04561665540701E-4</v>
      </c>
      <c r="X89" s="10">
        <v>3.8728715087004502</v>
      </c>
      <c r="Y89" s="10">
        <v>3.8719668777701699</v>
      </c>
      <c r="Z89" s="10">
        <v>3.8720777551541601</v>
      </c>
      <c r="AA89" s="10">
        <v>3.8723927467124502</v>
      </c>
      <c r="AB89" s="8">
        <v>269.91093908248098</v>
      </c>
      <c r="AC89" s="8">
        <v>269.91286725060797</v>
      </c>
      <c r="AD89" s="8">
        <v>269.94431623421201</v>
      </c>
      <c r="AE89" s="9">
        <v>-2.3360873119627999E-4</v>
      </c>
      <c r="AF89" s="9">
        <v>-2.26465036885098E-4</v>
      </c>
      <c r="AG89" s="9">
        <v>1.20562551199307E-3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-8.7640773820022995E-4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7.7419741536152798E-3</v>
      </c>
      <c r="BT89" s="9">
        <f t="shared" si="35"/>
        <v>-7.8138416712293293E-3</v>
      </c>
      <c r="BU89" s="9">
        <f t="shared" si="36"/>
        <v>-7.1867517614049477E-5</v>
      </c>
      <c r="BV89" s="12">
        <f t="shared" si="37"/>
        <v>3.5600330371694794E-4</v>
      </c>
      <c r="BX89" s="12">
        <f t="shared" si="38"/>
        <v>-7.1867517614049477E-5</v>
      </c>
      <c r="BY89" s="12">
        <f t="shared" si="39"/>
        <v>-5.2040443448328217E-4</v>
      </c>
    </row>
    <row r="90" spans="1:77" x14ac:dyDescent="0.3">
      <c r="A90" s="1">
        <v>46153</v>
      </c>
      <c r="B90" s="8">
        <v>69.25</v>
      </c>
      <c r="C90" s="8">
        <v>267.95</v>
      </c>
      <c r="D90" s="9">
        <v>-3.3157963054564E-3</v>
      </c>
      <c r="E90" s="9">
        <v>-3.8366314545439199E-3</v>
      </c>
      <c r="F90" s="8">
        <v>0</v>
      </c>
      <c r="G90" s="8">
        <v>0.22900000000000001</v>
      </c>
      <c r="H90" s="8">
        <v>0</v>
      </c>
      <c r="I90" s="8">
        <v>0.99399999999999999</v>
      </c>
      <c r="J90" s="8">
        <v>0.22900000000000001</v>
      </c>
      <c r="K90" s="8">
        <v>0.99399999999999999</v>
      </c>
      <c r="L90" s="8">
        <v>69.478999999999999</v>
      </c>
      <c r="M90" s="8">
        <v>268.94400000000002</v>
      </c>
      <c r="N90" s="10">
        <v>3.8693140794223799</v>
      </c>
      <c r="O90" s="10">
        <v>3.8715231538253501</v>
      </c>
      <c r="P90" s="10">
        <v>3.8704057768579898</v>
      </c>
      <c r="Q90" s="10">
        <v>3.8706478013421002</v>
      </c>
      <c r="R90" s="8">
        <v>268.10297840240497</v>
      </c>
      <c r="S90" s="8">
        <v>268.03505713266901</v>
      </c>
      <c r="T90" s="8">
        <v>268.05779375880701</v>
      </c>
      <c r="U90" s="9">
        <v>5.7075853589860803E-4</v>
      </c>
      <c r="V90" s="9">
        <v>3.1738621161687698E-4</v>
      </c>
      <c r="W90" s="9">
        <v>4.0220967499196201E-4</v>
      </c>
      <c r="X90" s="10">
        <v>3.87086745635371</v>
      </c>
      <c r="Y90" s="10">
        <v>3.8719668777701699</v>
      </c>
      <c r="Z90" s="10">
        <v>3.87194206326352</v>
      </c>
      <c r="AA90" s="10">
        <v>3.8721727358578599</v>
      </c>
      <c r="AB90" s="8">
        <v>269.02038670059397</v>
      </c>
      <c r="AC90" s="8">
        <v>269.02809035035602</v>
      </c>
      <c r="AD90" s="8">
        <v>269.04997564883399</v>
      </c>
      <c r="AE90" s="9">
        <v>2.8398423016824502E-4</v>
      </c>
      <c r="AF90" s="9">
        <v>3.1261975314088802E-4</v>
      </c>
      <c r="AG90" s="9">
        <v>2.32539652710903E-3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-8.7640773820022995E-4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3.3157963054564E-3</v>
      </c>
      <c r="BT90" s="9">
        <f t="shared" si="35"/>
        <v>-3.8366314545439199E-3</v>
      </c>
      <c r="BU90" s="9">
        <f t="shared" si="36"/>
        <v>-5.2083514908751998E-4</v>
      </c>
      <c r="BV90" s="12">
        <f t="shared" si="37"/>
        <v>-1.6483184537057204E-4</v>
      </c>
      <c r="BX90" s="12">
        <f t="shared" si="38"/>
        <v>-5.2083514908751998E-4</v>
      </c>
      <c r="BY90" s="12">
        <f t="shared" si="39"/>
        <v>-1.0412395835708022E-3</v>
      </c>
    </row>
    <row r="91" spans="1:77" x14ac:dyDescent="0.3">
      <c r="A91" s="1">
        <v>46154</v>
      </c>
      <c r="B91" s="8">
        <v>70.52</v>
      </c>
      <c r="C91" s="8">
        <v>272.93</v>
      </c>
      <c r="D91" s="9">
        <v>1.8173212462221498E-2</v>
      </c>
      <c r="E91" s="9">
        <v>1.8414956108960101E-2</v>
      </c>
      <c r="F91" s="8">
        <v>0</v>
      </c>
      <c r="G91" s="8">
        <v>0.22900000000000001</v>
      </c>
      <c r="H91" s="8">
        <v>0</v>
      </c>
      <c r="I91" s="8">
        <v>0.99399999999999999</v>
      </c>
      <c r="J91" s="8">
        <v>0.22900000000000001</v>
      </c>
      <c r="K91" s="8">
        <v>0.99399999999999999</v>
      </c>
      <c r="L91" s="8">
        <v>70.748999999999995</v>
      </c>
      <c r="M91" s="8">
        <v>273.92399999999998</v>
      </c>
      <c r="N91" s="10">
        <v>3.87024957458876</v>
      </c>
      <c r="O91" s="10">
        <v>3.8715231538253501</v>
      </c>
      <c r="P91" s="10">
        <v>3.8703051582799999</v>
      </c>
      <c r="Q91" s="10">
        <v>3.8706366031913202</v>
      </c>
      <c r="R91" s="8">
        <v>273.019812807763</v>
      </c>
      <c r="S91" s="8">
        <v>272.94101538402498</v>
      </c>
      <c r="T91" s="8">
        <v>272.95808295064501</v>
      </c>
      <c r="U91" s="9">
        <v>3.2901488916018898E-4</v>
      </c>
      <c r="V91" s="9">
        <v>4.03589262539702E-5</v>
      </c>
      <c r="W91" s="9">
        <v>1.02889040985792E-4</v>
      </c>
      <c r="X91" s="10">
        <v>3.87177203918076</v>
      </c>
      <c r="Y91" s="10">
        <v>3.8719668777701699</v>
      </c>
      <c r="Z91" s="10">
        <v>3.8718394153106002</v>
      </c>
      <c r="AA91" s="10">
        <v>3.8721629260660801</v>
      </c>
      <c r="AB91" s="8">
        <v>273.93778463536199</v>
      </c>
      <c r="AC91" s="8">
        <v>273.93602903382998</v>
      </c>
      <c r="AD91" s="8">
        <v>273.952348889208</v>
      </c>
      <c r="AE91" s="9">
        <v>5.0321580193141897E-5</v>
      </c>
      <c r="AF91" s="9">
        <v>4.3912799602889302E-5</v>
      </c>
      <c r="AG91" s="9">
        <v>3.91190706649554E-4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-8.7640773820022995E-4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-1.8173212462221498E-2</v>
      </c>
      <c r="BT91" s="9">
        <f t="shared" si="35"/>
        <v>1.8414956108960101E-2</v>
      </c>
      <c r="BU91" s="9">
        <f t="shared" si="36"/>
        <v>2.4174364673860277E-4</v>
      </c>
      <c r="BV91" s="12">
        <f t="shared" si="37"/>
        <v>7.6911801368030727E-5</v>
      </c>
      <c r="BX91" s="12">
        <f t="shared" si="38"/>
        <v>2.4174364673860277E-4</v>
      </c>
      <c r="BY91" s="12">
        <f t="shared" si="39"/>
        <v>-7.9949593683219938E-4</v>
      </c>
    </row>
    <row r="92" spans="1:77" x14ac:dyDescent="0.3">
      <c r="A92" s="1">
        <v>46155</v>
      </c>
      <c r="B92" s="8">
        <v>70.94</v>
      </c>
      <c r="C92" s="8">
        <v>274.41000000000003</v>
      </c>
      <c r="D92" s="9">
        <v>5.9380918158064098E-3</v>
      </c>
      <c r="E92" s="9">
        <v>5.4079862865636904E-3</v>
      </c>
      <c r="F92" s="8">
        <v>0</v>
      </c>
      <c r="G92" s="8">
        <v>0.22900000000000001</v>
      </c>
      <c r="H92" s="8">
        <v>0</v>
      </c>
      <c r="I92" s="8">
        <v>0.99399999999999999</v>
      </c>
      <c r="J92" s="8">
        <v>0.22900000000000001</v>
      </c>
      <c r="K92" s="8">
        <v>0.99399999999999999</v>
      </c>
      <c r="L92" s="8">
        <v>71.168999999999997</v>
      </c>
      <c r="M92" s="8">
        <v>275.404</v>
      </c>
      <c r="N92" s="10">
        <v>3.8681984775866902</v>
      </c>
      <c r="O92" s="10">
        <v>3.8715231538253501</v>
      </c>
      <c r="P92" s="10">
        <v>3.8701218148579302</v>
      </c>
      <c r="Q92" s="10">
        <v>3.87050920736753</v>
      </c>
      <c r="R92" s="8">
        <v>274.64585253236999</v>
      </c>
      <c r="S92" s="8">
        <v>274.55944792838301</v>
      </c>
      <c r="T92" s="8">
        <v>274.58296063039199</v>
      </c>
      <c r="U92" s="9">
        <v>8.5912041840294597E-4</v>
      </c>
      <c r="V92" s="9">
        <v>5.4446721084082503E-4</v>
      </c>
      <c r="W92" s="9">
        <v>6.3010147130614297E-4</v>
      </c>
      <c r="X92" s="10">
        <v>3.8697185572369999</v>
      </c>
      <c r="Y92" s="10">
        <v>3.8719668777701699</v>
      </c>
      <c r="Z92" s="10">
        <v>3.8716522836266498</v>
      </c>
      <c r="AA92" s="10">
        <v>3.8720364361108199</v>
      </c>
      <c r="AB92" s="8">
        <v>275.56401072402502</v>
      </c>
      <c r="AC92" s="8">
        <v>275.55493934824</v>
      </c>
      <c r="AD92" s="8">
        <v>275.57796328519697</v>
      </c>
      <c r="AE92" s="9">
        <v>5.8083491386005405E-4</v>
      </c>
      <c r="AF92" s="9">
        <v>5.4791506675694497E-4</v>
      </c>
      <c r="AG92" s="9">
        <v>6.8649721492334095E-4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-8.7640773820022995E-4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-5.9380918158064098E-3</v>
      </c>
      <c r="BT92" s="9">
        <f t="shared" si="35"/>
        <v>5.4079862865636904E-3</v>
      </c>
      <c r="BU92" s="9">
        <f t="shared" si="36"/>
        <v>-5.3010552924271943E-4</v>
      </c>
      <c r="BV92" s="12">
        <f t="shared" si="37"/>
        <v>-4.531937278746887E-4</v>
      </c>
      <c r="BX92" s="12">
        <f t="shared" si="38"/>
        <v>-5.3010552924271943E-4</v>
      </c>
      <c r="BY92" s="12">
        <f t="shared" si="39"/>
        <v>-1.3296014660749188E-3</v>
      </c>
    </row>
    <row r="93" spans="1:77" x14ac:dyDescent="0.3">
      <c r="A93" s="1">
        <v>46156</v>
      </c>
      <c r="B93" s="8">
        <v>70.88</v>
      </c>
      <c r="C93" s="8">
        <v>274.10000000000002</v>
      </c>
      <c r="D93" s="9">
        <v>-8.4614304865024805E-4</v>
      </c>
      <c r="E93" s="9">
        <v>-1.1303350276426799E-3</v>
      </c>
      <c r="F93" s="8">
        <v>0</v>
      </c>
      <c r="G93" s="8">
        <v>0.22900000000000001</v>
      </c>
      <c r="H93" s="8">
        <v>0</v>
      </c>
      <c r="I93" s="8">
        <v>0.99399999999999999</v>
      </c>
      <c r="J93" s="8">
        <v>0.22900000000000001</v>
      </c>
      <c r="K93" s="8">
        <v>0.99399999999999999</v>
      </c>
      <c r="L93" s="8">
        <v>71.108999999999995</v>
      </c>
      <c r="M93" s="8">
        <v>275.09399999999999</v>
      </c>
      <c r="N93" s="10">
        <v>3.8670993227990902</v>
      </c>
      <c r="O93" s="10">
        <v>3.8715231538253501</v>
      </c>
      <c r="P93" s="10">
        <v>3.86981470168329</v>
      </c>
      <c r="Q93" s="10">
        <v>3.8701839023593401</v>
      </c>
      <c r="R93" s="8">
        <v>274.41356114313999</v>
      </c>
      <c r="S93" s="8">
        <v>274.31423423712999</v>
      </c>
      <c r="T93" s="8">
        <v>274.34169261821</v>
      </c>
      <c r="U93" s="9">
        <v>1.1433123973951501E-3</v>
      </c>
      <c r="V93" s="9">
        <v>7.8128624187099097E-4</v>
      </c>
      <c r="W93" s="9">
        <v>8.81379505278414E-4</v>
      </c>
      <c r="X93" s="10">
        <v>3.8686242247816698</v>
      </c>
      <c r="Y93" s="10">
        <v>3.8719668777701699</v>
      </c>
      <c r="Z93" s="10">
        <v>3.87134512986843</v>
      </c>
      <c r="AA93" s="10">
        <v>3.8717121046198502</v>
      </c>
      <c r="AB93" s="8">
        <v>275.33169271135898</v>
      </c>
      <c r="AC93" s="8">
        <v>275.30932223640701</v>
      </c>
      <c r="AD93" s="8">
        <v>275.33663893540398</v>
      </c>
      <c r="AE93" s="9">
        <v>8.6366871780175396E-4</v>
      </c>
      <c r="AF93" s="9">
        <v>7.8241623439824601E-4</v>
      </c>
      <c r="AG93" s="9">
        <v>-1.68213399896224E-4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-8.7640773820022995E-4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8.4614304865024805E-4</v>
      </c>
      <c r="BT93" s="9">
        <f t="shared" si="35"/>
        <v>-1.1303350276426799E-3</v>
      </c>
      <c r="BU93" s="9">
        <f t="shared" si="36"/>
        <v>-2.8419197899243187E-4</v>
      </c>
      <c r="BV93" s="12">
        <f t="shared" si="37"/>
        <v>-7.3738570686712052E-4</v>
      </c>
      <c r="BX93" s="12">
        <f t="shared" si="38"/>
        <v>-2.8419197899243187E-4</v>
      </c>
      <c r="BY93" s="12">
        <f t="shared" si="39"/>
        <v>-1.6137934450673507E-3</v>
      </c>
    </row>
    <row r="94" spans="1:77" x14ac:dyDescent="0.3">
      <c r="A94" s="1">
        <v>46157</v>
      </c>
      <c r="B94" s="8">
        <v>69.959999999999994</v>
      </c>
      <c r="C94" s="8">
        <v>270.62</v>
      </c>
      <c r="D94" s="9">
        <v>-1.3064656146424099E-2</v>
      </c>
      <c r="E94" s="9">
        <v>-1.2777380473242001E-2</v>
      </c>
      <c r="F94" s="8">
        <v>0</v>
      </c>
      <c r="G94" s="8">
        <v>0.22900000000000001</v>
      </c>
      <c r="H94" s="8">
        <v>0</v>
      </c>
      <c r="I94" s="8">
        <v>0.99399999999999999</v>
      </c>
      <c r="J94" s="8">
        <v>0.22900000000000001</v>
      </c>
      <c r="K94" s="8">
        <v>0.99399999999999999</v>
      </c>
      <c r="L94" s="8">
        <v>70.188999999999993</v>
      </c>
      <c r="M94" s="8">
        <v>271.61399999999998</v>
      </c>
      <c r="N94" s="10">
        <v>3.8682104059462499</v>
      </c>
      <c r="O94" s="10">
        <v>3.8715231538253501</v>
      </c>
      <c r="P94" s="10">
        <v>3.8696581356597499</v>
      </c>
      <c r="Q94" s="10">
        <v>3.8700650926594302</v>
      </c>
      <c r="R94" s="8">
        <v>270.851759841621</v>
      </c>
      <c r="S94" s="8">
        <v>270.73223652976299</v>
      </c>
      <c r="T94" s="8">
        <v>270.75806580905902</v>
      </c>
      <c r="U94" s="9">
        <v>8.5603672421312004E-4</v>
      </c>
      <c r="V94" s="9">
        <v>4.1465250828603902E-4</v>
      </c>
      <c r="W94" s="9">
        <v>5.1005321705001002E-4</v>
      </c>
      <c r="X94" s="10">
        <v>3.8697516704896699</v>
      </c>
      <c r="Y94" s="10">
        <v>3.8719668777701699</v>
      </c>
      <c r="Z94" s="10">
        <v>3.8711894022501401</v>
      </c>
      <c r="AA94" s="10">
        <v>3.8715957861919699</v>
      </c>
      <c r="AB94" s="8">
        <v>271.76948318381</v>
      </c>
      <c r="AC94" s="8">
        <v>271.725843320335</v>
      </c>
      <c r="AD94" s="8">
        <v>271.751600911163</v>
      </c>
      <c r="AE94" s="9">
        <v>5.7227793212756301E-4</v>
      </c>
      <c r="AF94" s="9">
        <v>4.1168827683024401E-4</v>
      </c>
      <c r="AG94" s="9">
        <v>-2.4928547519703801E-3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-8.7640773820022995E-4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-7.3738570686712052E-4</v>
      </c>
      <c r="BX94" s="12">
        <f t="shared" si="38"/>
        <v>0</v>
      </c>
      <c r="BY94" s="12">
        <f t="shared" si="39"/>
        <v>-1.6137934450673507E-3</v>
      </c>
    </row>
    <row r="95" spans="1:77" x14ac:dyDescent="0.3">
      <c r="A95" s="1">
        <v>46160</v>
      </c>
      <c r="B95" s="8">
        <v>70.17</v>
      </c>
      <c r="C95" s="8">
        <v>271.42</v>
      </c>
      <c r="D95" s="9">
        <v>2.9972191137961602E-3</v>
      </c>
      <c r="E95" s="9">
        <v>2.9518138177265199E-3</v>
      </c>
      <c r="F95" s="8">
        <v>0</v>
      </c>
      <c r="G95" s="8">
        <v>0.22900000000000001</v>
      </c>
      <c r="H95" s="8">
        <v>0</v>
      </c>
      <c r="I95" s="8">
        <v>0.99399999999999999</v>
      </c>
      <c r="J95" s="8">
        <v>0.22900000000000001</v>
      </c>
      <c r="K95" s="8">
        <v>0.99399999999999999</v>
      </c>
      <c r="L95" s="8">
        <v>70.399000000000001</v>
      </c>
      <c r="M95" s="8">
        <v>272.41399999999999</v>
      </c>
      <c r="N95" s="10">
        <v>3.8680347726948798</v>
      </c>
      <c r="O95" s="10">
        <v>3.8715231538253501</v>
      </c>
      <c r="P95" s="10">
        <v>3.8693860066524901</v>
      </c>
      <c r="Q95" s="10">
        <v>3.8698849927291601</v>
      </c>
      <c r="R95" s="8">
        <v>271.66477970392401</v>
      </c>
      <c r="S95" s="8">
        <v>271.53391137924399</v>
      </c>
      <c r="T95" s="8">
        <v>271.56246755191199</v>
      </c>
      <c r="U95" s="9">
        <v>9.0144202028263399E-4</v>
      </c>
      <c r="V95" s="9">
        <v>4.1959871189344098E-4</v>
      </c>
      <c r="W95" s="9">
        <v>5.2475931985219103E-4</v>
      </c>
      <c r="X95" s="10">
        <v>3.8695720109660598</v>
      </c>
      <c r="Y95" s="10">
        <v>3.8719668777701699</v>
      </c>
      <c r="Z95" s="10">
        <v>3.8709180063241799</v>
      </c>
      <c r="AA95" s="10">
        <v>3.8714175400180202</v>
      </c>
      <c r="AB95" s="8">
        <v>272.58259622814199</v>
      </c>
      <c r="AC95" s="8">
        <v>272.52786272900698</v>
      </c>
      <c r="AD95" s="8">
        <v>272.55647175212903</v>
      </c>
      <c r="AE95" s="9">
        <v>6.1870563848541199E-4</v>
      </c>
      <c r="AF95" s="9">
        <v>4.1788946106887802E-4</v>
      </c>
      <c r="AG95" s="9">
        <v>-2.9245500746250801E-3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2.9972191137961602E-3</v>
      </c>
      <c r="BH95" s="9">
        <f t="shared" si="27"/>
        <v>-2.9518138177265199E-3</v>
      </c>
      <c r="BI95" s="9">
        <f t="shared" si="28"/>
        <v>4.5405296069640257E-5</v>
      </c>
      <c r="BJ95" s="12">
        <f t="shared" si="29"/>
        <v>-8.3100244213058969E-4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-7.3738570686712052E-4</v>
      </c>
      <c r="BX95" s="12">
        <f t="shared" si="38"/>
        <v>4.5405296069640257E-5</v>
      </c>
      <c r="BY95" s="12">
        <f t="shared" si="39"/>
        <v>-1.5683881489977104E-3</v>
      </c>
    </row>
    <row r="96" spans="1:77" x14ac:dyDescent="0.3">
      <c r="A96" s="1">
        <v>46161</v>
      </c>
      <c r="B96" s="8">
        <v>70.83</v>
      </c>
      <c r="C96" s="8">
        <v>274.04000000000002</v>
      </c>
      <c r="D96" s="9">
        <v>9.3617705013337802E-3</v>
      </c>
      <c r="E96" s="9">
        <v>9.6066444814737698E-3</v>
      </c>
      <c r="F96" s="8">
        <v>0</v>
      </c>
      <c r="G96" s="8">
        <v>0.22900000000000001</v>
      </c>
      <c r="H96" s="8">
        <v>0</v>
      </c>
      <c r="I96" s="8">
        <v>0.99399999999999999</v>
      </c>
      <c r="J96" s="8">
        <v>0.22900000000000001</v>
      </c>
      <c r="K96" s="8">
        <v>0.99399999999999999</v>
      </c>
      <c r="L96" s="8">
        <v>71.058999999999997</v>
      </c>
      <c r="M96" s="8">
        <v>275.03399999999999</v>
      </c>
      <c r="N96" s="10">
        <v>3.8689820697444501</v>
      </c>
      <c r="O96" s="10">
        <v>3.8715231538253501</v>
      </c>
      <c r="P96" s="10">
        <v>3.8692943088921101</v>
      </c>
      <c r="Q96" s="10">
        <v>3.8697850238470299</v>
      </c>
      <c r="R96" s="8">
        <v>274.219984985449</v>
      </c>
      <c r="S96" s="8">
        <v>274.06861085119601</v>
      </c>
      <c r="T96" s="8">
        <v>274.10395403500598</v>
      </c>
      <c r="U96" s="9">
        <v>6.5656804014301701E-4</v>
      </c>
      <c r="V96" s="9">
        <v>1.04398473789996E-4</v>
      </c>
      <c r="W96" s="9">
        <v>2.33347589902035E-4</v>
      </c>
      <c r="X96" s="10">
        <v>3.8705019772301799</v>
      </c>
      <c r="Y96" s="10">
        <v>3.8719668777701699</v>
      </c>
      <c r="Z96" s="10">
        <v>3.8708255291226701</v>
      </c>
      <c r="AA96" s="10">
        <v>3.8713176582897399</v>
      </c>
      <c r="AB96" s="8">
        <v>275.13809436747101</v>
      </c>
      <c r="AC96" s="8">
        <v>275.06356261139001</v>
      </c>
      <c r="AD96" s="8">
        <v>275.09905897613999</v>
      </c>
      <c r="AE96" s="9">
        <v>3.78406574156891E-4</v>
      </c>
      <c r="AF96" s="9">
        <v>1.07481339413271E-4</v>
      </c>
      <c r="AG96" s="9">
        <v>-2.14754904964716E-3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9.3617705013337802E-3</v>
      </c>
      <c r="BH96" s="9">
        <f t="shared" si="27"/>
        <v>-9.6066444814737698E-3</v>
      </c>
      <c r="BI96" s="9">
        <f t="shared" si="28"/>
        <v>-2.4487398013998962E-4</v>
      </c>
      <c r="BJ96" s="12">
        <f t="shared" si="29"/>
        <v>-1.0758764222705793E-3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-7.3738570686712052E-4</v>
      </c>
      <c r="BX96" s="12">
        <f t="shared" si="38"/>
        <v>-2.4487398013998962E-4</v>
      </c>
      <c r="BY96" s="12">
        <f t="shared" si="39"/>
        <v>-1.8132621291377E-3</v>
      </c>
    </row>
    <row r="97" spans="1:77" x14ac:dyDescent="0.3">
      <c r="A97" s="1">
        <v>46162</v>
      </c>
      <c r="B97" s="8">
        <v>71.010000000000005</v>
      </c>
      <c r="C97" s="8">
        <v>274.77</v>
      </c>
      <c r="D97" s="9">
        <v>2.5380724284710899E-3</v>
      </c>
      <c r="E97" s="9">
        <v>2.6603029483074298E-3</v>
      </c>
      <c r="F97" s="8">
        <v>0</v>
      </c>
      <c r="G97" s="8">
        <v>0.22900000000000001</v>
      </c>
      <c r="H97" s="8">
        <v>0</v>
      </c>
      <c r="I97" s="8">
        <v>0.99399999999999999</v>
      </c>
      <c r="J97" s="8">
        <v>0.22900000000000001</v>
      </c>
      <c r="K97" s="8">
        <v>0.99399999999999999</v>
      </c>
      <c r="L97" s="8">
        <v>71.239000000000004</v>
      </c>
      <c r="M97" s="8">
        <v>275.76400000000001</v>
      </c>
      <c r="N97" s="10">
        <v>3.8694550063371298</v>
      </c>
      <c r="O97" s="10">
        <v>3.8715231538253501</v>
      </c>
      <c r="P97" s="10">
        <v>3.8692481700189498</v>
      </c>
      <c r="Q97" s="10">
        <v>3.8697328483059499</v>
      </c>
      <c r="R97" s="8">
        <v>274.91685915313798</v>
      </c>
      <c r="S97" s="8">
        <v>274.75858887442899</v>
      </c>
      <c r="T97" s="8">
        <v>274.79343454337697</v>
      </c>
      <c r="U97" s="9">
        <v>5.3433752030667802E-4</v>
      </c>
      <c r="V97" s="9">
        <v>-4.1530598419469601E-5</v>
      </c>
      <c r="W97" s="9">
        <v>8.5284216230256294E-5</v>
      </c>
      <c r="X97" s="10">
        <v>3.8709695531941701</v>
      </c>
      <c r="Y97" s="10">
        <v>3.8719668777701699</v>
      </c>
      <c r="Z97" s="10">
        <v>3.8707785982290002</v>
      </c>
      <c r="AA97" s="10">
        <v>3.8712654377414202</v>
      </c>
      <c r="AB97" s="8">
        <v>275.83504840546902</v>
      </c>
      <c r="AC97" s="8">
        <v>275.75373986916998</v>
      </c>
      <c r="AD97" s="8">
        <v>275.78879865890298</v>
      </c>
      <c r="AE97" s="9">
        <v>2.5760887756418299E-4</v>
      </c>
      <c r="AF97" s="9">
        <v>-3.7206893230601303E-5</v>
      </c>
      <c r="AG97" s="9">
        <v>-7.9762920908492603E-4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2.5380724284710899E-3</v>
      </c>
      <c r="BH97" s="9">
        <f t="shared" si="27"/>
        <v>-2.6603029483074298E-3</v>
      </c>
      <c r="BI97" s="9">
        <f t="shared" si="28"/>
        <v>-1.2223051983633985E-4</v>
      </c>
      <c r="BJ97" s="12">
        <f t="shared" si="29"/>
        <v>-1.1981069421069192E-3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-7.3738570686712052E-4</v>
      </c>
      <c r="BX97" s="12">
        <f t="shared" si="38"/>
        <v>-1.2223051983633985E-4</v>
      </c>
      <c r="BY97" s="12">
        <f t="shared" si="39"/>
        <v>-1.9354926489740399E-3</v>
      </c>
    </row>
    <row r="98" spans="1:77" x14ac:dyDescent="0.3">
      <c r="A98" s="1">
        <v>46163</v>
      </c>
      <c r="B98" s="8">
        <v>71.47</v>
      </c>
      <c r="C98" s="8">
        <v>276.54000000000002</v>
      </c>
      <c r="D98" s="9">
        <v>6.4570690378850798E-3</v>
      </c>
      <c r="E98" s="9">
        <v>6.4210918774662701E-3</v>
      </c>
      <c r="F98" s="8">
        <v>0</v>
      </c>
      <c r="G98" s="8">
        <v>0.22900000000000001</v>
      </c>
      <c r="H98" s="8">
        <v>0</v>
      </c>
      <c r="I98" s="8">
        <v>0.99399999999999999</v>
      </c>
      <c r="J98" s="8">
        <v>0.22900000000000001</v>
      </c>
      <c r="K98" s="8">
        <v>0.99399999999999999</v>
      </c>
      <c r="L98" s="8">
        <v>71.698999999999998</v>
      </c>
      <c r="M98" s="8">
        <v>277.53399999999999</v>
      </c>
      <c r="N98" s="10">
        <v>3.8693157968378298</v>
      </c>
      <c r="O98" s="10">
        <v>3.8715231538253501</v>
      </c>
      <c r="P98" s="10">
        <v>3.8690189385059401</v>
      </c>
      <c r="Q98" s="10">
        <v>3.8697391710276601</v>
      </c>
      <c r="R98" s="8">
        <v>276.69775980389699</v>
      </c>
      <c r="S98" s="8">
        <v>276.53516671125499</v>
      </c>
      <c r="T98" s="8">
        <v>276.569806668426</v>
      </c>
      <c r="U98" s="9">
        <v>5.7031468072560798E-4</v>
      </c>
      <c r="V98" s="9">
        <v>-1.7477872940460801E-5</v>
      </c>
      <c r="W98" s="9">
        <v>1.07778484837385E-4</v>
      </c>
      <c r="X98" s="10">
        <v>3.87082107142359</v>
      </c>
      <c r="Y98" s="10">
        <v>3.8719668777701699</v>
      </c>
      <c r="Z98" s="10">
        <v>3.87054700695573</v>
      </c>
      <c r="AA98" s="10">
        <v>3.8712707724862301</v>
      </c>
      <c r="AB98" s="8">
        <v>277.616153169244</v>
      </c>
      <c r="AC98" s="8">
        <v>277.530954714421</v>
      </c>
      <c r="AD98" s="8">
        <v>277.565860620622</v>
      </c>
      <c r="AE98" s="9">
        <v>2.9596738602929897E-4</v>
      </c>
      <c r="AF98" s="9">
        <v>-1.09727178863965E-5</v>
      </c>
      <c r="AG98" s="9">
        <v>9.1792500601552195E-4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6.4570690378850798E-3</v>
      </c>
      <c r="BH98" s="9">
        <f t="shared" si="27"/>
        <v>-6.4210918774662701E-3</v>
      </c>
      <c r="BI98" s="9">
        <f t="shared" si="28"/>
        <v>3.5977160418809717E-5</v>
      </c>
      <c r="BJ98" s="12">
        <f t="shared" si="29"/>
        <v>-1.1621297816881095E-3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-7.3738570686712052E-4</v>
      </c>
      <c r="BX98" s="12">
        <f t="shared" si="38"/>
        <v>3.5977160418809717E-5</v>
      </c>
      <c r="BY98" s="12">
        <f t="shared" si="39"/>
        <v>-1.8995154885552302E-3</v>
      </c>
    </row>
    <row r="99" spans="1:77" x14ac:dyDescent="0.3">
      <c r="A99" s="1">
        <v>46164</v>
      </c>
      <c r="B99" s="8">
        <v>72.17</v>
      </c>
      <c r="C99" s="8">
        <v>279.27</v>
      </c>
      <c r="D99" s="9">
        <v>9.7466658522944692E-3</v>
      </c>
      <c r="E99" s="9">
        <v>9.8235798360361108E-3</v>
      </c>
      <c r="F99" s="8">
        <v>0</v>
      </c>
      <c r="G99" s="8">
        <v>0.22900000000000001</v>
      </c>
      <c r="H99" s="8">
        <v>0</v>
      </c>
      <c r="I99" s="8">
        <v>0.99399999999999999</v>
      </c>
      <c r="J99" s="8">
        <v>0.22900000000000001</v>
      </c>
      <c r="K99" s="8">
        <v>0.99399999999999999</v>
      </c>
      <c r="L99" s="8">
        <v>72.399000000000001</v>
      </c>
      <c r="M99" s="8">
        <v>280.26400000000001</v>
      </c>
      <c r="N99" s="10">
        <v>3.8696134127753901</v>
      </c>
      <c r="O99" s="10">
        <v>3.8715231538253501</v>
      </c>
      <c r="P99" s="10">
        <v>3.8688472918732901</v>
      </c>
      <c r="Q99" s="10">
        <v>3.8696948165696301</v>
      </c>
      <c r="R99" s="8">
        <v>279.40782601157503</v>
      </c>
      <c r="S99" s="8">
        <v>279.227096791973</v>
      </c>
      <c r="T99" s="8">
        <v>279.27907597306603</v>
      </c>
      <c r="U99" s="9">
        <v>4.9340069698374596E-4</v>
      </c>
      <c r="V99" s="9">
        <v>-1.53638070303427E-4</v>
      </c>
      <c r="W99" s="9">
        <v>3.2498390770289302E-5</v>
      </c>
      <c r="X99" s="10">
        <v>3.8711031920330301</v>
      </c>
      <c r="Y99" s="10">
        <v>3.8719668777701699</v>
      </c>
      <c r="Z99" s="10">
        <v>3.8703701752889899</v>
      </c>
      <c r="AA99" s="10">
        <v>3.8712239652215699</v>
      </c>
      <c r="AB99" s="8">
        <v>280.32652998368297</v>
      </c>
      <c r="AC99" s="8">
        <v>280.22373275658799</v>
      </c>
      <c r="AD99" s="8">
        <v>280.27613265722999</v>
      </c>
      <c r="AE99" s="9">
        <v>2.23086122929079E-4</v>
      </c>
      <c r="AF99" s="9">
        <v>-1.4368643996272101E-4</v>
      </c>
      <c r="AG99" s="9">
        <v>6.9837704210563302E-4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-1.1621297816881095E-3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-7.3738570686712052E-4</v>
      </c>
      <c r="BX99" s="12">
        <f t="shared" si="38"/>
        <v>0</v>
      </c>
      <c r="BY99" s="12">
        <f t="shared" si="39"/>
        <v>-1.8995154885552302E-3</v>
      </c>
    </row>
    <row r="100" spans="1:77" x14ac:dyDescent="0.3">
      <c r="A100" s="1">
        <v>46168</v>
      </c>
      <c r="B100" s="8">
        <v>71.680000000000007</v>
      </c>
      <c r="C100" s="8">
        <v>277.31</v>
      </c>
      <c r="D100" s="9">
        <v>-6.8126784175067002E-3</v>
      </c>
      <c r="E100" s="9">
        <v>-7.0430417983091903E-3</v>
      </c>
      <c r="F100" s="8">
        <v>0</v>
      </c>
      <c r="G100" s="8">
        <v>0.22900000000000001</v>
      </c>
      <c r="H100" s="8">
        <v>0</v>
      </c>
      <c r="I100" s="8">
        <v>0.99399999999999999</v>
      </c>
      <c r="J100" s="8">
        <v>0.22900000000000001</v>
      </c>
      <c r="K100" s="8">
        <v>0.99399999999999999</v>
      </c>
      <c r="L100" s="8">
        <v>71.909000000000006</v>
      </c>
      <c r="M100" s="8">
        <v>278.30399999999997</v>
      </c>
      <c r="N100" s="10">
        <v>3.8687220982142798</v>
      </c>
      <c r="O100" s="10">
        <v>3.8715231538253501</v>
      </c>
      <c r="P100" s="10">
        <v>3.8687880937524799</v>
      </c>
      <c r="Q100" s="10">
        <v>3.8695969353052302</v>
      </c>
      <c r="R100" s="8">
        <v>277.51077966620102</v>
      </c>
      <c r="S100" s="8">
        <v>277.31897388147701</v>
      </c>
      <c r="T100" s="8">
        <v>277.37972445171101</v>
      </c>
      <c r="U100" s="9">
        <v>7.2376407778608801E-4</v>
      </c>
      <c r="V100" s="9">
        <v>3.2359944758987303E-5</v>
      </c>
      <c r="W100" s="9">
        <v>2.5139983311466398E-4</v>
      </c>
      <c r="X100" s="10">
        <v>3.8702248675409199</v>
      </c>
      <c r="Y100" s="10">
        <v>3.8719668777701699</v>
      </c>
      <c r="Z100" s="10">
        <v>3.8703059164077098</v>
      </c>
      <c r="AA100" s="10">
        <v>3.8711239898356098</v>
      </c>
      <c r="AB100" s="8">
        <v>278.42926621357498</v>
      </c>
      <c r="AC100" s="8">
        <v>278.31444893485599</v>
      </c>
      <c r="AD100" s="8">
        <v>278.37584411511801</v>
      </c>
      <c r="AE100" s="9">
        <v>4.5000442147677898E-4</v>
      </c>
      <c r="AF100" s="9">
        <v>3.7544335359914899E-5</v>
      </c>
      <c r="AG100" s="9">
        <v>7.5542129293344501E-4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-1.1621297816881095E-3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-7.3738570686712052E-4</v>
      </c>
      <c r="BX100" s="12">
        <f t="shared" si="38"/>
        <v>0</v>
      </c>
      <c r="BY100" s="12">
        <f t="shared" si="39"/>
        <v>-1.8995154885552302E-3</v>
      </c>
    </row>
    <row r="101" spans="1:77" x14ac:dyDescent="0.3">
      <c r="A101" s="1">
        <v>46169</v>
      </c>
      <c r="B101" s="8">
        <v>71.849999999999994</v>
      </c>
      <c r="C101" s="8">
        <v>277.88</v>
      </c>
      <c r="D101" s="9">
        <v>2.3688438583588001E-3</v>
      </c>
      <c r="E101" s="9">
        <v>2.0533518264811501E-3</v>
      </c>
      <c r="F101" s="8">
        <v>0</v>
      </c>
      <c r="G101" s="8">
        <v>0.22900000000000001</v>
      </c>
      <c r="H101" s="8">
        <v>0</v>
      </c>
      <c r="I101" s="8">
        <v>0.99399999999999999</v>
      </c>
      <c r="J101" s="8">
        <v>0.22900000000000001</v>
      </c>
      <c r="K101" s="8">
        <v>0.99399999999999999</v>
      </c>
      <c r="L101" s="8">
        <v>72.078999999999994</v>
      </c>
      <c r="M101" s="8">
        <v>278.87400000000002</v>
      </c>
      <c r="N101" s="10">
        <v>3.8675017397355602</v>
      </c>
      <c r="O101" s="10">
        <v>3.8715231538253501</v>
      </c>
      <c r="P101" s="10">
        <v>3.8685133102671498</v>
      </c>
      <c r="Q101" s="10">
        <v>3.8694092342735802</v>
      </c>
      <c r="R101" s="8">
        <v>278.16893860235098</v>
      </c>
      <c r="S101" s="8">
        <v>277.972424536115</v>
      </c>
      <c r="T101" s="8">
        <v>278.03053980168102</v>
      </c>
      <c r="U101" s="9">
        <v>1.03925610966365E-3</v>
      </c>
      <c r="V101" s="9">
        <v>3.3255062994308601E-4</v>
      </c>
      <c r="W101" s="9">
        <v>5.4159723402474804E-4</v>
      </c>
      <c r="X101" s="10">
        <v>3.8690048419095699</v>
      </c>
      <c r="Y101" s="10">
        <v>3.8719668777701699</v>
      </c>
      <c r="Z101" s="10">
        <v>3.8700291966805902</v>
      </c>
      <c r="AA101" s="10">
        <v>3.8709343059955899</v>
      </c>
      <c r="AB101" s="8">
        <v>279.087500582796</v>
      </c>
      <c r="AC101" s="8">
        <v>278.96778014875099</v>
      </c>
      <c r="AD101" s="8">
        <v>279.02674606336097</v>
      </c>
      <c r="AE101" s="9">
        <v>7.6528790245778398E-4</v>
      </c>
      <c r="AF101" s="9">
        <v>3.3622490452301198E-4</v>
      </c>
      <c r="AG101" s="9">
        <v>1.42350197654029E-3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-1.1621297816881095E-3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-7.3738570686712052E-4</v>
      </c>
      <c r="BX101" s="12">
        <f t="shared" si="38"/>
        <v>0</v>
      </c>
      <c r="BY101" s="12">
        <f t="shared" si="39"/>
        <v>-1.8995154885552302E-3</v>
      </c>
    </row>
    <row r="102" spans="1:77" x14ac:dyDescent="0.3">
      <c r="A102" s="1">
        <v>46170</v>
      </c>
      <c r="B102" s="8">
        <v>72.819999999999993</v>
      </c>
      <c r="C102" s="8">
        <v>281.77</v>
      </c>
      <c r="D102" s="9">
        <v>1.34100302222534E-2</v>
      </c>
      <c r="E102" s="9">
        <v>1.3901769491601001E-2</v>
      </c>
      <c r="F102" s="8">
        <v>0</v>
      </c>
      <c r="G102" s="8">
        <v>0.22900000000000001</v>
      </c>
      <c r="H102" s="8">
        <v>0</v>
      </c>
      <c r="I102" s="8">
        <v>0.99399999999999999</v>
      </c>
      <c r="J102" s="8">
        <v>0.22900000000000001</v>
      </c>
      <c r="K102" s="8">
        <v>0.99399999999999999</v>
      </c>
      <c r="L102" s="8">
        <v>73.048999999999893</v>
      </c>
      <c r="M102" s="8">
        <v>282.76400000000001</v>
      </c>
      <c r="N102" s="10">
        <v>3.8694040098873899</v>
      </c>
      <c r="O102" s="10">
        <v>3.8715231538253501</v>
      </c>
      <c r="P102" s="10">
        <v>3.8686338634972199</v>
      </c>
      <c r="Q102" s="10">
        <v>3.8693778391775799</v>
      </c>
      <c r="R102" s="8">
        <v>281.92431606156202</v>
      </c>
      <c r="S102" s="8">
        <v>281.70513925365401</v>
      </c>
      <c r="T102" s="8">
        <v>281.77038043980201</v>
      </c>
      <c r="U102" s="9">
        <v>5.4751684031613998E-4</v>
      </c>
      <c r="V102" s="9">
        <v>-2.3021688842501001E-4</v>
      </c>
      <c r="W102" s="9">
        <v>1.35017761060686E-6</v>
      </c>
      <c r="X102" s="10">
        <v>3.8708811893386601</v>
      </c>
      <c r="Y102" s="10">
        <v>3.8719668777701699</v>
      </c>
      <c r="Z102" s="10">
        <v>3.8701454598907499</v>
      </c>
      <c r="AA102" s="10">
        <v>3.8708988717586998</v>
      </c>
      <c r="AB102" s="8">
        <v>282.84330845423301</v>
      </c>
      <c r="AC102" s="8">
        <v>282.70176278832002</v>
      </c>
      <c r="AD102" s="8">
        <v>282.767880118672</v>
      </c>
      <c r="AE102" s="9">
        <v>2.8043645677138499E-4</v>
      </c>
      <c r="AF102" s="9">
        <v>-2.2012725093741199E-4</v>
      </c>
      <c r="AG102" s="9">
        <v>9.1793478206157904E-4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-1.1621297816881095E-3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-7.3738570686712052E-4</v>
      </c>
      <c r="BX102" s="12">
        <f t="shared" si="38"/>
        <v>0</v>
      </c>
      <c r="BY102" s="12">
        <f t="shared" si="39"/>
        <v>-1.8995154885552302E-3</v>
      </c>
    </row>
    <row r="103" spans="1:77" x14ac:dyDescent="0.3">
      <c r="A103" s="1">
        <v>46171</v>
      </c>
      <c r="B103" s="8">
        <v>72.25</v>
      </c>
      <c r="C103" s="8">
        <v>279.61</v>
      </c>
      <c r="D103" s="9">
        <v>-7.8583157547457306E-3</v>
      </c>
      <c r="E103" s="9">
        <v>-7.6953602170788098E-3</v>
      </c>
      <c r="F103" s="8">
        <v>0</v>
      </c>
      <c r="G103" s="8">
        <v>0.22900000000000001</v>
      </c>
      <c r="H103" s="8">
        <v>0</v>
      </c>
      <c r="I103" s="8">
        <v>0.99399999999999999</v>
      </c>
      <c r="J103" s="8">
        <v>0.22900000000000001</v>
      </c>
      <c r="K103" s="8">
        <v>0.99399999999999999</v>
      </c>
      <c r="L103" s="8">
        <v>72.478999999999999</v>
      </c>
      <c r="M103" s="8">
        <v>280.60399999999998</v>
      </c>
      <c r="N103" s="10">
        <v>3.87003460207612</v>
      </c>
      <c r="O103" s="10">
        <v>3.8715231538253501</v>
      </c>
      <c r="P103" s="10">
        <v>3.86892739142493</v>
      </c>
      <c r="Q103" s="10">
        <v>3.86937104655411</v>
      </c>
      <c r="R103" s="8">
        <v>279.71754786388101</v>
      </c>
      <c r="S103" s="8">
        <v>279.50879663767398</v>
      </c>
      <c r="T103" s="8">
        <v>279.56254888057998</v>
      </c>
      <c r="U103" s="9">
        <v>3.8456130264926102E-4</v>
      </c>
      <c r="V103" s="9">
        <v>-3.6201023481600498E-4</v>
      </c>
      <c r="W103" s="9">
        <v>-1.6971905945164901E-4</v>
      </c>
      <c r="X103" s="10">
        <v>3.8715214062004102</v>
      </c>
      <c r="Y103" s="10">
        <v>3.8719668777701699</v>
      </c>
      <c r="Z103" s="10">
        <v>3.87043517803263</v>
      </c>
      <c r="AA103" s="10">
        <v>3.8708901539505298</v>
      </c>
      <c r="AB103" s="8">
        <v>280.63628733390402</v>
      </c>
      <c r="AC103" s="8">
        <v>280.504272787422</v>
      </c>
      <c r="AD103" s="8">
        <v>280.55887932619902</v>
      </c>
      <c r="AE103" s="9">
        <v>1.1505707864856E-4</v>
      </c>
      <c r="AF103" s="9">
        <v>-3.5546513378784198E-4</v>
      </c>
      <c r="AG103" s="9">
        <v>5.3415595727416599E-4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-1.1621297816881095E-3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-7.3738570686712052E-4</v>
      </c>
      <c r="BX103" s="12">
        <f t="shared" si="38"/>
        <v>0</v>
      </c>
      <c r="BY103" s="12">
        <f t="shared" si="39"/>
        <v>-1.8995154885552302E-3</v>
      </c>
    </row>
    <row r="104" spans="1:77" x14ac:dyDescent="0.3">
      <c r="A104" s="1">
        <v>46174</v>
      </c>
      <c r="B104" s="8">
        <v>71.459999999999994</v>
      </c>
      <c r="C104" s="8">
        <v>276.33</v>
      </c>
      <c r="D104" s="9">
        <v>-1.09944743972778E-2</v>
      </c>
      <c r="E104" s="9">
        <v>-1.17999714309484E-2</v>
      </c>
      <c r="F104" s="8">
        <v>0</v>
      </c>
      <c r="G104" s="8">
        <v>0.22900000000000001</v>
      </c>
      <c r="H104" s="8">
        <v>0</v>
      </c>
      <c r="I104" s="8">
        <v>0.99399999999999999</v>
      </c>
      <c r="J104" s="8">
        <v>0.22900000000000001</v>
      </c>
      <c r="K104" s="8">
        <v>0.99399999999999999</v>
      </c>
      <c r="L104" s="8">
        <v>71.688999999999993</v>
      </c>
      <c r="M104" s="8">
        <v>277.32400000000001</v>
      </c>
      <c r="N104" s="10">
        <v>3.8669185558354302</v>
      </c>
      <c r="O104" s="10">
        <v>3.8715231538253501</v>
      </c>
      <c r="P104" s="10">
        <v>3.86879820641385</v>
      </c>
      <c r="Q104" s="10">
        <v>3.8692281710367999</v>
      </c>
      <c r="R104" s="8">
        <v>276.65904457235899</v>
      </c>
      <c r="S104" s="8">
        <v>276.47355139122499</v>
      </c>
      <c r="T104" s="8">
        <v>276.505254986757</v>
      </c>
      <c r="U104" s="9">
        <v>1.19005833631992E-3</v>
      </c>
      <c r="V104" s="9">
        <v>5.1935771429518997E-4</v>
      </c>
      <c r="W104" s="9">
        <v>6.3402249059569898E-4</v>
      </c>
      <c r="X104" s="10">
        <v>3.8684316980289801</v>
      </c>
      <c r="Y104" s="10">
        <v>3.8719668777701699</v>
      </c>
      <c r="Z104" s="10">
        <v>3.8703031807865602</v>
      </c>
      <c r="AA104" s="10">
        <v>3.8707462915183499</v>
      </c>
      <c r="AB104" s="8">
        <v>277.57743350046599</v>
      </c>
      <c r="AC104" s="8">
        <v>277.46762747798101</v>
      </c>
      <c r="AD104" s="8">
        <v>277.50024424655902</v>
      </c>
      <c r="AE104" s="9">
        <v>9.1343616284745601E-4</v>
      </c>
      <c r="AF104" s="9">
        <v>5.1777090380014895E-4</v>
      </c>
      <c r="AG104" s="9">
        <v>-2.25778686760652E-3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-1.1621297816881095E-3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-7.3738570686712052E-4</v>
      </c>
      <c r="BX104" s="12">
        <f t="shared" si="38"/>
        <v>0</v>
      </c>
      <c r="BY104" s="12">
        <f t="shared" si="39"/>
        <v>-1.8995154885552302E-3</v>
      </c>
    </row>
    <row r="105" spans="1:77" x14ac:dyDescent="0.3">
      <c r="A105" s="1">
        <v>46175</v>
      </c>
      <c r="B105" s="8">
        <v>70.569999999999993</v>
      </c>
      <c r="C105" s="8">
        <v>272.98</v>
      </c>
      <c r="D105" s="9">
        <v>-1.25327275825248E-2</v>
      </c>
      <c r="E105" s="9">
        <v>-1.21972712402043E-2</v>
      </c>
      <c r="F105" s="8">
        <v>0</v>
      </c>
      <c r="G105" s="8">
        <v>0.22900000000000001</v>
      </c>
      <c r="H105" s="8">
        <v>0</v>
      </c>
      <c r="I105" s="8">
        <v>0.99399999999999999</v>
      </c>
      <c r="J105" s="8">
        <v>0.22900000000000001</v>
      </c>
      <c r="K105" s="8">
        <v>0.99399999999999999</v>
      </c>
      <c r="L105" s="8">
        <v>70.798999999999893</v>
      </c>
      <c r="M105" s="8">
        <v>273.97399999999999</v>
      </c>
      <c r="N105" s="10">
        <v>3.8682159557885698</v>
      </c>
      <c r="O105" s="10">
        <v>3.8715231538253501</v>
      </c>
      <c r="P105" s="10">
        <v>3.8688163247232099</v>
      </c>
      <c r="Q105" s="10">
        <v>3.8691011656878498</v>
      </c>
      <c r="R105" s="8">
        <v>273.21338896545501</v>
      </c>
      <c r="S105" s="8">
        <v>273.021089426625</v>
      </c>
      <c r="T105" s="8">
        <v>273.05143203006702</v>
      </c>
      <c r="U105" s="9">
        <v>8.5460199399933995E-4</v>
      </c>
      <c r="V105" s="9">
        <v>1.50510420212184E-4</v>
      </c>
      <c r="W105" s="9">
        <v>2.6164072719750701E-4</v>
      </c>
      <c r="X105" s="10">
        <v>3.8697439229367601</v>
      </c>
      <c r="Y105" s="10">
        <v>3.8719668777701699</v>
      </c>
      <c r="Z105" s="10">
        <v>3.8703203719836301</v>
      </c>
      <c r="AA105" s="10">
        <v>3.8706191891539001</v>
      </c>
      <c r="AB105" s="8">
        <v>274.13138297925002</v>
      </c>
      <c r="AC105" s="8">
        <v>274.01359489650702</v>
      </c>
      <c r="AD105" s="8">
        <v>274.04496669320702</v>
      </c>
      <c r="AE105" s="9">
        <v>5.7428001425818798E-4</v>
      </c>
      <c r="AF105" s="9">
        <v>1.44510193097041E-4</v>
      </c>
      <c r="AG105" s="9">
        <v>-6.9380162112006095E-4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-1.25327275825248E-2</v>
      </c>
      <c r="BH105" s="9">
        <f t="shared" si="27"/>
        <v>1.21972712402043E-2</v>
      </c>
      <c r="BI105" s="9">
        <f t="shared" si="28"/>
        <v>-3.3545634232049967E-4</v>
      </c>
      <c r="BJ105" s="12">
        <f t="shared" si="29"/>
        <v>-1.4975861240086091E-3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-7.3738570686712052E-4</v>
      </c>
      <c r="BX105" s="12">
        <f t="shared" si="38"/>
        <v>-3.3545634232049967E-4</v>
      </c>
      <c r="BY105" s="12">
        <f t="shared" si="39"/>
        <v>-2.2349718308757299E-3</v>
      </c>
    </row>
    <row r="106" spans="1:77" x14ac:dyDescent="0.3">
      <c r="A106" s="1">
        <v>46176</v>
      </c>
      <c r="B106" s="8">
        <v>71.150000000000006</v>
      </c>
      <c r="C106" s="8">
        <v>275.27</v>
      </c>
      <c r="D106" s="9">
        <v>8.18519952312265E-3</v>
      </c>
      <c r="E106" s="9">
        <v>8.35390175211689E-3</v>
      </c>
      <c r="F106" s="8">
        <v>0</v>
      </c>
      <c r="G106" s="8">
        <v>0.22900000000000001</v>
      </c>
      <c r="H106" s="8">
        <v>0</v>
      </c>
      <c r="I106" s="8">
        <v>0.99399999999999999</v>
      </c>
      <c r="J106" s="8">
        <v>0.22900000000000001</v>
      </c>
      <c r="K106" s="8">
        <v>0.99399999999999999</v>
      </c>
      <c r="L106" s="8">
        <v>71.379000000000005</v>
      </c>
      <c r="M106" s="8">
        <v>276.26400000000001</v>
      </c>
      <c r="N106" s="10">
        <v>3.8688685874912099</v>
      </c>
      <c r="O106" s="10">
        <v>3.8715231538253501</v>
      </c>
      <c r="P106" s="10">
        <v>3.86880497649789</v>
      </c>
      <c r="Q106" s="10">
        <v>3.8690496426949998</v>
      </c>
      <c r="R106" s="8">
        <v>275.45887239467299</v>
      </c>
      <c r="S106" s="8">
        <v>275.26628150405702</v>
      </c>
      <c r="T106" s="8">
        <v>275.286547938691</v>
      </c>
      <c r="U106" s="9">
        <v>6.8589976500511396E-4</v>
      </c>
      <c r="V106" s="9">
        <v>-1.3508631739240999E-5</v>
      </c>
      <c r="W106" s="9">
        <v>6.0113493365741299E-5</v>
      </c>
      <c r="X106" s="10">
        <v>3.87038204513932</v>
      </c>
      <c r="Y106" s="10">
        <v>3.8719668777701699</v>
      </c>
      <c r="Z106" s="10">
        <v>3.8703083787745398</v>
      </c>
      <c r="AA106" s="10">
        <v>3.8705669539485998</v>
      </c>
      <c r="AB106" s="8">
        <v>276.37712376835702</v>
      </c>
      <c r="AC106" s="8">
        <v>276.25959783181901</v>
      </c>
      <c r="AD106" s="8">
        <v>276.28092710261598</v>
      </c>
      <c r="AE106" s="9">
        <v>4.0939323938162599E-4</v>
      </c>
      <c r="AF106" s="9">
        <v>-1.5934769836738001E-5</v>
      </c>
      <c r="AG106" s="9">
        <v>-2.1937519235330299E-3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8.18519952312265E-3</v>
      </c>
      <c r="BH106" s="9">
        <f t="shared" si="27"/>
        <v>-8.35390175211689E-3</v>
      </c>
      <c r="BI106" s="9">
        <f t="shared" si="28"/>
        <v>-1.6870222899423998E-4</v>
      </c>
      <c r="BJ106" s="12">
        <f t="shared" si="29"/>
        <v>-1.6662883530028491E-3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-7.3738570686712052E-4</v>
      </c>
      <c r="BX106" s="12">
        <f t="shared" si="38"/>
        <v>-1.6870222899423998E-4</v>
      </c>
      <c r="BY106" s="12">
        <f t="shared" si="39"/>
        <v>-2.4036740598699698E-3</v>
      </c>
    </row>
    <row r="107" spans="1:77" x14ac:dyDescent="0.3">
      <c r="A107" s="1">
        <v>46177</v>
      </c>
      <c r="B107" s="8">
        <v>73.260000000000005</v>
      </c>
      <c r="C107" s="8">
        <v>283.38</v>
      </c>
      <c r="D107" s="9">
        <v>2.9224432814806901E-2</v>
      </c>
      <c r="E107" s="9">
        <v>2.9036318955914301E-2</v>
      </c>
      <c r="F107" s="8">
        <v>0</v>
      </c>
      <c r="G107" s="8">
        <v>0.22900000000000001</v>
      </c>
      <c r="H107" s="8">
        <v>0</v>
      </c>
      <c r="I107" s="8">
        <v>0.99399999999999999</v>
      </c>
      <c r="J107" s="8">
        <v>0.22900000000000001</v>
      </c>
      <c r="K107" s="8">
        <v>0.99399999999999999</v>
      </c>
      <c r="L107" s="8">
        <v>73.489000000000004</v>
      </c>
      <c r="M107" s="8">
        <v>284.37400000000002</v>
      </c>
      <c r="N107" s="10">
        <v>3.86814086814086</v>
      </c>
      <c r="O107" s="10">
        <v>3.8715231538253501</v>
      </c>
      <c r="P107" s="10">
        <v>3.8686735626782598</v>
      </c>
      <c r="Q107" s="10">
        <v>3.8689608663486101</v>
      </c>
      <c r="R107" s="8">
        <v>283.62778624924499</v>
      </c>
      <c r="S107" s="8">
        <v>283.42865257823502</v>
      </c>
      <c r="T107" s="8">
        <v>283.44657682383598</v>
      </c>
      <c r="U107" s="9">
        <v>8.7401362389766095E-4</v>
      </c>
      <c r="V107" s="9">
        <v>1.7167196772324001E-4</v>
      </c>
      <c r="W107" s="9">
        <v>2.34910735891654E-4</v>
      </c>
      <c r="X107" s="10">
        <v>3.8696131393813999</v>
      </c>
      <c r="Y107" s="10">
        <v>3.8719668777701699</v>
      </c>
      <c r="Z107" s="10">
        <v>3.87017273739326</v>
      </c>
      <c r="AA107" s="10">
        <v>3.8704756678111298</v>
      </c>
      <c r="AB107" s="8">
        <v>284.54697388045201</v>
      </c>
      <c r="AC107" s="8">
        <v>284.42509244776198</v>
      </c>
      <c r="AD107" s="8">
        <v>284.444094878729</v>
      </c>
      <c r="AE107" s="9">
        <v>6.0807702202538396E-4</v>
      </c>
      <c r="AF107" s="9">
        <v>1.7965024409632901E-4</v>
      </c>
      <c r="AG107" s="9">
        <v>-2.7168301871452402E-3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2.9224432814806901E-2</v>
      </c>
      <c r="BH107" s="9">
        <f t="shared" si="27"/>
        <v>-2.9036318955914301E-2</v>
      </c>
      <c r="BI107" s="9">
        <f t="shared" si="28"/>
        <v>1.8811385889259957E-4</v>
      </c>
      <c r="BJ107" s="12">
        <f t="shared" si="29"/>
        <v>-1.4781744941102495E-3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-7.3738570686712052E-4</v>
      </c>
      <c r="BX107" s="12">
        <f t="shared" si="38"/>
        <v>1.8811385889259957E-4</v>
      </c>
      <c r="BY107" s="12">
        <f t="shared" si="39"/>
        <v>-2.2155602009773703E-3</v>
      </c>
    </row>
    <row r="108" spans="1:77" x14ac:dyDescent="0.3">
      <c r="A108" s="1">
        <v>46178</v>
      </c>
      <c r="B108" s="8">
        <v>73.44</v>
      </c>
      <c r="C108" s="8">
        <v>284.13</v>
      </c>
      <c r="D108" s="9">
        <v>2.4539889615665601E-3</v>
      </c>
      <c r="E108" s="9">
        <v>2.6431267700389701E-3</v>
      </c>
      <c r="F108" s="8">
        <v>0</v>
      </c>
      <c r="G108" s="8">
        <v>0.22900000000000001</v>
      </c>
      <c r="H108" s="8">
        <v>0</v>
      </c>
      <c r="I108" s="8">
        <v>0.99399999999999999</v>
      </c>
      <c r="J108" s="8">
        <v>0.22900000000000001</v>
      </c>
      <c r="K108" s="8">
        <v>0.99399999999999999</v>
      </c>
      <c r="L108" s="8">
        <v>73.668999999999997</v>
      </c>
      <c r="M108" s="8">
        <v>285.12400000000002</v>
      </c>
      <c r="N108" s="10">
        <v>3.8688725490196001</v>
      </c>
      <c r="O108" s="10">
        <v>3.8715231538253501</v>
      </c>
      <c r="P108" s="10">
        <v>3.8686292378964402</v>
      </c>
      <c r="Q108" s="10">
        <v>3.8688240882011899</v>
      </c>
      <c r="R108" s="8">
        <v>284.324660416933</v>
      </c>
      <c r="S108" s="8">
        <v>284.11538644309201</v>
      </c>
      <c r="T108" s="8">
        <v>284.13648602464201</v>
      </c>
      <c r="U108" s="9">
        <v>6.8487581542555102E-4</v>
      </c>
      <c r="V108" s="9">
        <v>-5.14339658879365E-5</v>
      </c>
      <c r="W108" s="9">
        <v>2.28274051063408E-5</v>
      </c>
      <c r="X108" s="10">
        <v>3.8703389485400899</v>
      </c>
      <c r="Y108" s="10">
        <v>3.8719668777701699</v>
      </c>
      <c r="Z108" s="10">
        <v>3.8701245251049099</v>
      </c>
      <c r="AA108" s="10">
        <v>3.8703357660303199</v>
      </c>
      <c r="AB108" s="8">
        <v>285.24392791845099</v>
      </c>
      <c r="AC108" s="8">
        <v>285.11175539102402</v>
      </c>
      <c r="AD108" s="8">
        <v>285.13407197197802</v>
      </c>
      <c r="AE108" s="9">
        <v>4.2052827428861199E-4</v>
      </c>
      <c r="AF108" s="9">
        <v>-4.2945777641768501E-5</v>
      </c>
      <c r="AG108" s="9">
        <v>-1.53230683888111E-3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2.4539889615665601E-3</v>
      </c>
      <c r="BH108" s="9">
        <f t="shared" si="27"/>
        <v>-2.6431267700389701E-3</v>
      </c>
      <c r="BI108" s="9">
        <f t="shared" si="28"/>
        <v>-1.8913780847240992E-4</v>
      </c>
      <c r="BJ108" s="12">
        <f t="shared" si="29"/>
        <v>-1.6673123025826595E-3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-7.3738570686712052E-4</v>
      </c>
      <c r="BX108" s="12">
        <f t="shared" si="38"/>
        <v>-1.8913780847240992E-4</v>
      </c>
      <c r="BY108" s="12">
        <f t="shared" si="39"/>
        <v>-2.4046980094497802E-3</v>
      </c>
    </row>
    <row r="109" spans="1:77" x14ac:dyDescent="0.3">
      <c r="A109" s="1">
        <v>46181</v>
      </c>
      <c r="B109" s="8">
        <v>73.27</v>
      </c>
      <c r="C109" s="8">
        <v>283.32</v>
      </c>
      <c r="D109" s="9">
        <v>-2.3174981403625899E-3</v>
      </c>
      <c r="E109" s="9">
        <v>-2.8548790206977801E-3</v>
      </c>
      <c r="F109" s="8">
        <v>0</v>
      </c>
      <c r="G109" s="8">
        <v>0.22900000000000001</v>
      </c>
      <c r="H109" s="8">
        <v>0</v>
      </c>
      <c r="I109" s="8">
        <v>0.99399999999999999</v>
      </c>
      <c r="J109" s="8">
        <v>0.22900000000000001</v>
      </c>
      <c r="K109" s="8">
        <v>0.99399999999999999</v>
      </c>
      <c r="L109" s="8">
        <v>73.498999999999995</v>
      </c>
      <c r="M109" s="8">
        <v>284.31400000000002</v>
      </c>
      <c r="N109" s="10">
        <v>3.8667940494063</v>
      </c>
      <c r="O109" s="10">
        <v>3.8715231538253501</v>
      </c>
      <c r="P109" s="10">
        <v>3.8683473015595302</v>
      </c>
      <c r="Q109" s="10">
        <v>3.86859729671641</v>
      </c>
      <c r="R109" s="8">
        <v>283.66650148078298</v>
      </c>
      <c r="S109" s="8">
        <v>283.45446426067201</v>
      </c>
      <c r="T109" s="8">
        <v>283.46874094250097</v>
      </c>
      <c r="U109" s="9">
        <v>1.22225669576064E-3</v>
      </c>
      <c r="V109" s="9">
        <v>4.7448948982119199E-4</v>
      </c>
      <c r="W109" s="9">
        <v>5.2485497742471099E-4</v>
      </c>
      <c r="X109" s="10">
        <v>3.8682703166029402</v>
      </c>
      <c r="Y109" s="10">
        <v>3.8719668777701699</v>
      </c>
      <c r="Z109" s="10">
        <v>3.8698412375619098</v>
      </c>
      <c r="AA109" s="10">
        <v>3.8701057064254498</v>
      </c>
      <c r="AB109" s="8">
        <v>284.58569354922997</v>
      </c>
      <c r="AC109" s="8">
        <v>284.45028247068598</v>
      </c>
      <c r="AD109" s="8">
        <v>284.46580846746201</v>
      </c>
      <c r="AE109" s="9">
        <v>9.55154565794234E-4</v>
      </c>
      <c r="AF109" s="9">
        <v>4.7922303665971398E-4</v>
      </c>
      <c r="AG109" s="9">
        <v>-1.6945522307900099E-3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-2.3174981403625899E-3</v>
      </c>
      <c r="BH109" s="9">
        <f t="shared" si="27"/>
        <v>2.8548790206977801E-3</v>
      </c>
      <c r="BI109" s="9">
        <f t="shared" si="28"/>
        <v>5.3738088033519022E-4</v>
      </c>
      <c r="BJ109" s="12">
        <f t="shared" si="29"/>
        <v>-1.1299314222474692E-3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-7.3738570686712052E-4</v>
      </c>
      <c r="BX109" s="12">
        <f t="shared" si="38"/>
        <v>5.3738088033519022E-4</v>
      </c>
      <c r="BY109" s="12">
        <f t="shared" si="39"/>
        <v>-1.86731712911459E-3</v>
      </c>
    </row>
    <row r="110" spans="1:77" x14ac:dyDescent="0.3">
      <c r="A110" s="1">
        <v>46182</v>
      </c>
      <c r="B110" s="8">
        <v>74.33</v>
      </c>
      <c r="C110" s="8">
        <v>287.39</v>
      </c>
      <c r="D110" s="9">
        <v>1.43633905653295E-2</v>
      </c>
      <c r="E110" s="9">
        <v>1.42631774429487E-2</v>
      </c>
      <c r="F110" s="8">
        <v>0</v>
      </c>
      <c r="G110" s="8">
        <v>0.22900000000000001</v>
      </c>
      <c r="H110" s="8">
        <v>0</v>
      </c>
      <c r="I110" s="8">
        <v>0.99399999999999999</v>
      </c>
      <c r="J110" s="8">
        <v>0.22900000000000001</v>
      </c>
      <c r="K110" s="8">
        <v>0.99399999999999999</v>
      </c>
      <c r="L110" s="8">
        <v>74.558999999999997</v>
      </c>
      <c r="M110" s="8">
        <v>288.38400000000001</v>
      </c>
      <c r="N110" s="10">
        <v>3.8664065653168298</v>
      </c>
      <c r="O110" s="10">
        <v>3.8715231538253501</v>
      </c>
      <c r="P110" s="10">
        <v>3.8681157482697901</v>
      </c>
      <c r="Q110" s="10">
        <v>3.8684519210111299</v>
      </c>
      <c r="R110" s="8">
        <v>287.77031602383801</v>
      </c>
      <c r="S110" s="8">
        <v>287.53425492491999</v>
      </c>
      <c r="T110" s="8">
        <v>287.552837064931</v>
      </c>
      <c r="U110" s="9">
        <v>1.3224698181415399E-3</v>
      </c>
      <c r="V110" s="9">
        <v>5.0182237646760695E-4</v>
      </c>
      <c r="W110" s="9">
        <v>5.6644611876999304E-4</v>
      </c>
      <c r="X110" s="10">
        <v>3.8678630346437002</v>
      </c>
      <c r="Y110" s="10">
        <v>3.8719668777701699</v>
      </c>
      <c r="Z110" s="10">
        <v>3.86960505427218</v>
      </c>
      <c r="AA110" s="10">
        <v>3.8699554853399398</v>
      </c>
      <c r="AB110" s="8">
        <v>288.68997843966599</v>
      </c>
      <c r="AC110" s="8">
        <v>288.53149283137799</v>
      </c>
      <c r="AD110" s="8">
        <v>288.55121136537502</v>
      </c>
      <c r="AE110" s="9">
        <v>1.06044798335218E-3</v>
      </c>
      <c r="AF110" s="9">
        <v>5.1131521487828902E-4</v>
      </c>
      <c r="AG110" s="9">
        <v>-3.29209709127878E-3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1.43633905653295E-2</v>
      </c>
      <c r="BH110" s="9">
        <f t="shared" si="27"/>
        <v>-1.42631774429487E-2</v>
      </c>
      <c r="BI110" s="9">
        <f t="shared" si="28"/>
        <v>1.0021312238079998E-4</v>
      </c>
      <c r="BJ110" s="12">
        <f t="shared" si="29"/>
        <v>-1.0297182998666693E-3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-7.3738570686712052E-4</v>
      </c>
      <c r="BX110" s="12">
        <f t="shared" si="38"/>
        <v>1.0021312238079998E-4</v>
      </c>
      <c r="BY110" s="12">
        <f t="shared" si="39"/>
        <v>-1.76710400673379E-3</v>
      </c>
    </row>
    <row r="111" spans="1:77" x14ac:dyDescent="0.3">
      <c r="A111" s="1">
        <v>46183</v>
      </c>
      <c r="B111" s="8">
        <v>73.47</v>
      </c>
      <c r="C111" s="8">
        <v>284.14</v>
      </c>
      <c r="D111" s="9">
        <v>-1.1637479105016E-2</v>
      </c>
      <c r="E111" s="9">
        <v>-1.13731038844396E-2</v>
      </c>
      <c r="F111" s="8">
        <v>0</v>
      </c>
      <c r="G111" s="8">
        <v>0.22900000000000001</v>
      </c>
      <c r="H111" s="8">
        <v>0</v>
      </c>
      <c r="I111" s="8">
        <v>0.99399999999999999</v>
      </c>
      <c r="J111" s="8">
        <v>0.22900000000000001</v>
      </c>
      <c r="K111" s="8">
        <v>0.99399999999999999</v>
      </c>
      <c r="L111" s="8">
        <v>73.698999999999998</v>
      </c>
      <c r="M111" s="8">
        <v>285.13400000000001</v>
      </c>
      <c r="N111" s="10">
        <v>3.8674288825370899</v>
      </c>
      <c r="O111" s="10">
        <v>3.8715231538253501</v>
      </c>
      <c r="P111" s="10">
        <v>3.86810846254994</v>
      </c>
      <c r="Q111" s="10">
        <v>3.8683108864085498</v>
      </c>
      <c r="R111" s="8">
        <v>284.440806111548</v>
      </c>
      <c r="S111" s="8">
        <v>284.190464025381</v>
      </c>
      <c r="T111" s="8">
        <v>284.21516263668798</v>
      </c>
      <c r="U111" s="9">
        <v>1.05809459756498E-3</v>
      </c>
      <c r="V111" s="9">
        <v>1.77586910111526E-4</v>
      </c>
      <c r="W111" s="9">
        <v>2.6449178987880798E-4</v>
      </c>
      <c r="X111" s="10">
        <v>3.8688991709521101</v>
      </c>
      <c r="Y111" s="10">
        <v>3.8719668777701699</v>
      </c>
      <c r="Z111" s="10">
        <v>3.8695944871764398</v>
      </c>
      <c r="AA111" s="10">
        <v>3.8698118419285099</v>
      </c>
      <c r="AB111" s="8">
        <v>285.36008692478401</v>
      </c>
      <c r="AC111" s="8">
        <v>285.186022894806</v>
      </c>
      <c r="AD111" s="8">
        <v>285.21184931406799</v>
      </c>
      <c r="AE111" s="9">
        <v>7.9260045564717805E-4</v>
      </c>
      <c r="AF111" s="9">
        <v>1.8243404706777601E-4</v>
      </c>
      <c r="AG111" s="9">
        <v>-2.8034446859293502E-3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-1.1637479105016E-2</v>
      </c>
      <c r="BH111" s="9">
        <f t="shared" si="27"/>
        <v>1.13731038844396E-2</v>
      </c>
      <c r="BI111" s="9">
        <f t="shared" si="28"/>
        <v>-2.6437522057639988E-4</v>
      </c>
      <c r="BJ111" s="12">
        <f t="shared" si="29"/>
        <v>-1.2940935204430691E-3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-7.3738570686712052E-4</v>
      </c>
      <c r="BX111" s="12">
        <f t="shared" si="38"/>
        <v>-2.6437522057639988E-4</v>
      </c>
      <c r="BY111" s="12">
        <f t="shared" si="39"/>
        <v>-2.0314792273101899E-3</v>
      </c>
    </row>
    <row r="112" spans="1:77" x14ac:dyDescent="0.3">
      <c r="A112" s="1">
        <v>46184</v>
      </c>
      <c r="B112" s="8">
        <v>74.16</v>
      </c>
      <c r="C112" s="8">
        <v>286.8</v>
      </c>
      <c r="D112" s="9">
        <v>9.3477616254135799E-3</v>
      </c>
      <c r="E112" s="9">
        <v>9.3180342815344392E-3</v>
      </c>
      <c r="F112" s="8">
        <v>0</v>
      </c>
      <c r="G112" s="8">
        <v>0.22900000000000001</v>
      </c>
      <c r="H112" s="8">
        <v>0</v>
      </c>
      <c r="I112" s="8">
        <v>0.99399999999999999</v>
      </c>
      <c r="J112" s="8">
        <v>0.22900000000000001</v>
      </c>
      <c r="K112" s="8">
        <v>0.99399999999999999</v>
      </c>
      <c r="L112" s="8">
        <v>74.388999999999996</v>
      </c>
      <c r="M112" s="8">
        <v>287.79399999999998</v>
      </c>
      <c r="N112" s="10">
        <v>3.8673139158576002</v>
      </c>
      <c r="O112" s="10">
        <v>3.8715231538253501</v>
      </c>
      <c r="P112" s="10">
        <v>3.8678994531469599</v>
      </c>
      <c r="Q112" s="10">
        <v>3.8682666583220899</v>
      </c>
      <c r="R112" s="8">
        <v>287.11215708768799</v>
      </c>
      <c r="S112" s="8">
        <v>286.85892358270303</v>
      </c>
      <c r="T112" s="8">
        <v>286.87393533605803</v>
      </c>
      <c r="U112" s="9">
        <v>1.0878219414444999E-3</v>
      </c>
      <c r="V112" s="9">
        <v>2.0543072020266101E-4</v>
      </c>
      <c r="W112" s="9">
        <v>2.57760835601567E-4</v>
      </c>
      <c r="X112" s="10">
        <v>3.8687709204317802</v>
      </c>
      <c r="Y112" s="10">
        <v>3.8719668777701699</v>
      </c>
      <c r="Z112" s="10">
        <v>3.86938346028575</v>
      </c>
      <c r="AA112" s="10">
        <v>3.8697644600882501</v>
      </c>
      <c r="AB112" s="8">
        <v>288.03174407044497</v>
      </c>
      <c r="AC112" s="8">
        <v>287.85526430656802</v>
      </c>
      <c r="AD112" s="8">
        <v>287.87143310921999</v>
      </c>
      <c r="AE112" s="9">
        <v>8.2575010375263798E-4</v>
      </c>
      <c r="AF112" s="9">
        <v>2.1285289706187999E-4</v>
      </c>
      <c r="AG112" s="9">
        <v>6.1743992113024406E-5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9.3477616254135799E-3</v>
      </c>
      <c r="BH112" s="9">
        <f t="shared" si="27"/>
        <v>-9.3180342815344392E-3</v>
      </c>
      <c r="BI112" s="9">
        <f t="shared" si="28"/>
        <v>2.9727343879140666E-5</v>
      </c>
      <c r="BJ112" s="12">
        <f t="shared" si="29"/>
        <v>-1.2643661765639285E-3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-7.3738570686712052E-4</v>
      </c>
      <c r="BX112" s="12">
        <f t="shared" si="38"/>
        <v>2.9727343879140666E-5</v>
      </c>
      <c r="BY112" s="12">
        <f t="shared" si="39"/>
        <v>-2.0017518834310492E-3</v>
      </c>
    </row>
    <row r="113" spans="1:77" x14ac:dyDescent="0.3">
      <c r="A113" s="1">
        <v>46185</v>
      </c>
      <c r="B113" s="8">
        <v>74.06</v>
      </c>
      <c r="C113" s="8">
        <v>286.45999999999998</v>
      </c>
      <c r="D113" s="9">
        <v>-1.34934577213306E-3</v>
      </c>
      <c r="E113" s="9">
        <v>-1.18619837374632E-3</v>
      </c>
      <c r="F113" s="8">
        <v>0</v>
      </c>
      <c r="G113" s="8">
        <v>0.22900000000000001</v>
      </c>
      <c r="H113" s="8">
        <v>0</v>
      </c>
      <c r="I113" s="8">
        <v>0.99399999999999999</v>
      </c>
      <c r="J113" s="8">
        <v>0.22900000000000001</v>
      </c>
      <c r="K113" s="8">
        <v>0.99399999999999999</v>
      </c>
      <c r="L113" s="8">
        <v>74.289000000000001</v>
      </c>
      <c r="M113" s="8">
        <v>287.45400000000001</v>
      </c>
      <c r="N113" s="10">
        <v>3.86794490953281</v>
      </c>
      <c r="O113" s="10">
        <v>3.8715231538253501</v>
      </c>
      <c r="P113" s="10">
        <v>3.86769048389263</v>
      </c>
      <c r="Q113" s="10">
        <v>3.8683089376587798</v>
      </c>
      <c r="R113" s="8">
        <v>286.725004772305</v>
      </c>
      <c r="S113" s="8">
        <v>286.45663350006402</v>
      </c>
      <c r="T113" s="8">
        <v>286.48382871533403</v>
      </c>
      <c r="U113" s="9">
        <v>9.2467454305778798E-4</v>
      </c>
      <c r="V113" s="9">
        <v>-1.1752145910528401E-5</v>
      </c>
      <c r="W113" s="9">
        <v>8.3179935463369498E-5</v>
      </c>
      <c r="X113" s="10">
        <v>3.86940193029923</v>
      </c>
      <c r="Y113" s="10">
        <v>3.8719668777701699</v>
      </c>
      <c r="Z113" s="10">
        <v>3.8691715126956301</v>
      </c>
      <c r="AA113" s="10">
        <v>3.8698033453641298</v>
      </c>
      <c r="AB113" s="8">
        <v>287.64454738266801</v>
      </c>
      <c r="AC113" s="8">
        <v>287.45262788116798</v>
      </c>
      <c r="AD113" s="8">
        <v>287.48093197549599</v>
      </c>
      <c r="AE113" s="9">
        <v>6.6265995804963898E-4</v>
      </c>
      <c r="AF113" s="9">
        <v>-4.7733623688485701E-6</v>
      </c>
      <c r="AG113" s="9">
        <v>2.7070232068315798E-4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-1.2643661765639285E-3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-7.3738570686712052E-4</v>
      </c>
      <c r="BX113" s="12">
        <f t="shared" si="38"/>
        <v>0</v>
      </c>
      <c r="BY113" s="12">
        <f t="shared" si="39"/>
        <v>-2.0017518834310492E-3</v>
      </c>
    </row>
    <row r="114" spans="1:77" x14ac:dyDescent="0.3">
      <c r="A114" s="1">
        <v>46188</v>
      </c>
      <c r="B114" s="8">
        <v>73.819999999999993</v>
      </c>
      <c r="C114" s="8">
        <v>285.62</v>
      </c>
      <c r="D114" s="9">
        <v>-3.2458778836141899E-3</v>
      </c>
      <c r="E114" s="9">
        <v>-2.9366543269319098E-3</v>
      </c>
      <c r="F114" s="8">
        <v>0</v>
      </c>
      <c r="G114" s="8">
        <v>0.22900000000000001</v>
      </c>
      <c r="H114" s="8">
        <v>0</v>
      </c>
      <c r="I114" s="8">
        <v>0.99399999999999999</v>
      </c>
      <c r="J114" s="8">
        <v>0.22900000000000001</v>
      </c>
      <c r="K114" s="8">
        <v>0.99399999999999999</v>
      </c>
      <c r="L114" s="8">
        <v>74.048999999999893</v>
      </c>
      <c r="M114" s="8">
        <v>286.61399999999998</v>
      </c>
      <c r="N114" s="10">
        <v>3.8691411541587599</v>
      </c>
      <c r="O114" s="10">
        <v>3.8715231538253501</v>
      </c>
      <c r="P114" s="10">
        <v>3.8679127437249599</v>
      </c>
      <c r="Q114" s="10">
        <v>3.8683554750694</v>
      </c>
      <c r="R114" s="8">
        <v>285.79583921538699</v>
      </c>
      <c r="S114" s="8">
        <v>285.51291152095399</v>
      </c>
      <c r="T114" s="8">
        <v>285.55856577797101</v>
      </c>
      <c r="U114" s="9">
        <v>6.1545098637542396E-4</v>
      </c>
      <c r="V114" s="9">
        <v>-3.7500370978642999E-4</v>
      </c>
      <c r="W114" s="9">
        <v>-2.1511389238446999E-4</v>
      </c>
      <c r="X114" s="10">
        <v>3.8705991978284602</v>
      </c>
      <c r="Y114" s="10">
        <v>3.8719668777701699</v>
      </c>
      <c r="Z114" s="10">
        <v>3.8693882626755798</v>
      </c>
      <c r="AA114" s="10">
        <v>3.8698457217310702</v>
      </c>
      <c r="AB114" s="8">
        <v>286.71527533200299</v>
      </c>
      <c r="AC114" s="8">
        <v>286.50828134359898</v>
      </c>
      <c r="AD114" s="8">
        <v>286.555067920868</v>
      </c>
      <c r="AE114" s="9">
        <v>3.5328854609280899E-4</v>
      </c>
      <c r="AF114" s="9">
        <v>-3.6892182014668199E-4</v>
      </c>
      <c r="AG114" s="9">
        <v>8.3817268955812001E-4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-1.2643661765639285E-3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-7.3738570686712052E-4</v>
      </c>
      <c r="BX114" s="12">
        <f t="shared" si="38"/>
        <v>0</v>
      </c>
      <c r="BY114" s="12">
        <f t="shared" si="39"/>
        <v>-2.0017518834310492E-3</v>
      </c>
    </row>
    <row r="115" spans="1:77" x14ac:dyDescent="0.3">
      <c r="A115" s="1">
        <v>46189</v>
      </c>
      <c r="B115" s="8">
        <v>73.77</v>
      </c>
      <c r="C115" s="8">
        <v>285.22000000000003</v>
      </c>
      <c r="D115" s="9">
        <v>-6.7755270564157902E-4</v>
      </c>
      <c r="E115" s="9">
        <v>-1.4014437161660499E-3</v>
      </c>
      <c r="F115" s="8">
        <v>0</v>
      </c>
      <c r="G115" s="8">
        <v>0.22900000000000001</v>
      </c>
      <c r="H115" s="8">
        <v>0</v>
      </c>
      <c r="I115" s="8">
        <v>0.99399999999999999</v>
      </c>
      <c r="J115" s="8">
        <v>0.22900000000000001</v>
      </c>
      <c r="K115" s="8">
        <v>0.99399999999999999</v>
      </c>
      <c r="L115" s="8">
        <v>73.998999999999995</v>
      </c>
      <c r="M115" s="8">
        <v>286.214</v>
      </c>
      <c r="N115" s="10">
        <v>3.8663413311644299</v>
      </c>
      <c r="O115" s="10">
        <v>3.8715231538253501</v>
      </c>
      <c r="P115" s="10">
        <v>3.8677252812625502</v>
      </c>
      <c r="Q115" s="10">
        <v>3.8682708029928801</v>
      </c>
      <c r="R115" s="8">
        <v>285.60226305769601</v>
      </c>
      <c r="S115" s="8">
        <v>285.33592310458999</v>
      </c>
      <c r="T115" s="8">
        <v>285.36858339587002</v>
      </c>
      <c r="U115" s="9">
        <v>1.3393419968998599E-3</v>
      </c>
      <c r="V115" s="9">
        <v>4.0635142495824898E-4</v>
      </c>
      <c r="W115" s="9">
        <v>5.2080747337922501E-4</v>
      </c>
      <c r="X115" s="10">
        <v>3.8678090244462702</v>
      </c>
      <c r="Y115" s="10">
        <v>3.8719668777701699</v>
      </c>
      <c r="Z115" s="10">
        <v>3.8691947728265301</v>
      </c>
      <c r="AA115" s="10">
        <v>3.8697575724050801</v>
      </c>
      <c r="AB115" s="8">
        <v>286.52167698811502</v>
      </c>
      <c r="AC115" s="8">
        <v>286.33086204973</v>
      </c>
      <c r="AD115" s="8">
        <v>286.36471356237701</v>
      </c>
      <c r="AE115" s="9">
        <v>1.07441191486744E-3</v>
      </c>
      <c r="AF115" s="9">
        <v>4.08219719010497E-4</v>
      </c>
      <c r="AG115" s="9">
        <v>8.1140520839927002E-4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-1.2643661765639285E-3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-7.3738570686712052E-4</v>
      </c>
      <c r="BX115" s="12">
        <f t="shared" si="38"/>
        <v>0</v>
      </c>
      <c r="BY115" s="12">
        <f t="shared" si="39"/>
        <v>-2.0017518834310492E-3</v>
      </c>
    </row>
    <row r="116" spans="1:77" x14ac:dyDescent="0.3">
      <c r="A116" s="1">
        <v>46190</v>
      </c>
      <c r="B116" s="8">
        <v>72.87</v>
      </c>
      <c r="C116" s="8">
        <v>281.99</v>
      </c>
      <c r="D116" s="9">
        <v>-1.22751132140199E-2</v>
      </c>
      <c r="E116" s="9">
        <v>-1.1389202992170999E-2</v>
      </c>
      <c r="F116" s="8">
        <v>0</v>
      </c>
      <c r="G116" s="8">
        <v>0.22900000000000001</v>
      </c>
      <c r="H116" s="8">
        <v>0</v>
      </c>
      <c r="I116" s="8">
        <v>0.99399999999999999</v>
      </c>
      <c r="J116" s="8">
        <v>0.22900000000000001</v>
      </c>
      <c r="K116" s="8">
        <v>0.99399999999999999</v>
      </c>
      <c r="L116" s="8">
        <v>73.099000000000004</v>
      </c>
      <c r="M116" s="8">
        <v>282.98399999999998</v>
      </c>
      <c r="N116" s="10">
        <v>3.8697680801427099</v>
      </c>
      <c r="O116" s="10">
        <v>3.8715231538253501</v>
      </c>
      <c r="P116" s="10">
        <v>3.8678152305276998</v>
      </c>
      <c r="Q116" s="10">
        <v>3.8683101035127998</v>
      </c>
      <c r="R116" s="8">
        <v>282.11789221925301</v>
      </c>
      <c r="S116" s="8">
        <v>281.84114124560199</v>
      </c>
      <c r="T116" s="8">
        <v>281.88089341409102</v>
      </c>
      <c r="U116" s="9">
        <v>4.5343177505098299E-4</v>
      </c>
      <c r="V116" s="9">
        <v>-5.2802602398854001E-4</v>
      </c>
      <c r="W116" s="9">
        <v>-3.8699137885769798E-4</v>
      </c>
      <c r="X116" s="10">
        <v>3.8712431086608499</v>
      </c>
      <c r="Y116" s="10">
        <v>3.8719668777701699</v>
      </c>
      <c r="Z116" s="10">
        <v>3.8692808791786799</v>
      </c>
      <c r="AA116" s="10">
        <v>3.8697946289766101</v>
      </c>
      <c r="AB116" s="8">
        <v>283.036906798122</v>
      </c>
      <c r="AC116" s="8">
        <v>282.83426869884602</v>
      </c>
      <c r="AD116" s="8">
        <v>282.87540878523902</v>
      </c>
      <c r="AE116" s="9">
        <v>1.8694291196961601E-4</v>
      </c>
      <c r="AF116" s="9">
        <v>-5.2925581562634095E-4</v>
      </c>
      <c r="AG116" s="9">
        <v>-2.6601212014804298E-4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-1.2643661765639285E-3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-7.3738570686712052E-4</v>
      </c>
      <c r="BX116" s="12">
        <f t="shared" si="38"/>
        <v>0</v>
      </c>
      <c r="BY116" s="12">
        <f t="shared" si="39"/>
        <v>-2.0017518834310492E-3</v>
      </c>
    </row>
    <row r="117" spans="1:77" x14ac:dyDescent="0.3">
      <c r="A117" s="1">
        <v>46191</v>
      </c>
      <c r="B117" s="8">
        <v>72.22</v>
      </c>
      <c r="C117" s="8">
        <v>280.41000000000003</v>
      </c>
      <c r="D117" s="9">
        <v>-8.9600158328791493E-3</v>
      </c>
      <c r="E117" s="9">
        <v>-5.6187914538481498E-3</v>
      </c>
      <c r="F117" s="8">
        <v>0.26300000000000001</v>
      </c>
      <c r="G117" s="8">
        <v>0.49199999999999999</v>
      </c>
      <c r="H117" s="8">
        <v>0</v>
      </c>
      <c r="I117" s="8">
        <v>0.99399999999999999</v>
      </c>
      <c r="J117" s="8">
        <v>0.49199999999999999</v>
      </c>
      <c r="K117" s="8">
        <v>0.99399999999999999</v>
      </c>
      <c r="L117" s="8">
        <v>72.712000000000003</v>
      </c>
      <c r="M117" s="8">
        <v>281.404</v>
      </c>
      <c r="N117" s="10">
        <v>3.88271946829133</v>
      </c>
      <c r="O117" s="10">
        <v>3.8715231538253501</v>
      </c>
      <c r="P117" s="10">
        <v>3.8692730905427402</v>
      </c>
      <c r="Q117" s="10">
        <v>3.8689733266105</v>
      </c>
      <c r="R117" s="8">
        <v>279.60140216926601</v>
      </c>
      <c r="S117" s="8">
        <v>279.33361594871002</v>
      </c>
      <c r="T117" s="8">
        <v>279.36935567569401</v>
      </c>
      <c r="U117" s="9">
        <v>-2.8877926039800801E-3</v>
      </c>
      <c r="V117" s="9">
        <v>-3.8459942995793502E-3</v>
      </c>
      <c r="W117" s="9">
        <v>-3.7180560968218001E-3</v>
      </c>
      <c r="X117" s="10">
        <v>3.8701177247221898</v>
      </c>
      <c r="Y117" s="10">
        <v>3.8719668777701699</v>
      </c>
      <c r="Z117" s="10">
        <v>3.8693313377127598</v>
      </c>
      <c r="AA117" s="10">
        <v>3.8697520375530101</v>
      </c>
      <c r="AB117" s="8">
        <v>281.53845561642498</v>
      </c>
      <c r="AC117" s="8">
        <v>281.34315128684</v>
      </c>
      <c r="AD117" s="8">
        <v>281.38050706214699</v>
      </c>
      <c r="AE117" s="9">
        <v>4.77688678977588E-4</v>
      </c>
      <c r="AF117" s="9">
        <v>-2.1625596240588201E-4</v>
      </c>
      <c r="AG117" s="9">
        <v>3.75179984050135E-4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-1.2643661765639285E-3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-7.3738570686712052E-4</v>
      </c>
      <c r="BX117" s="12">
        <f t="shared" si="38"/>
        <v>0</v>
      </c>
      <c r="BY117" s="12">
        <f t="shared" si="39"/>
        <v>-2.0017518834310492E-3</v>
      </c>
    </row>
    <row r="118" spans="1:77" x14ac:dyDescent="0.3">
      <c r="A118" s="1">
        <v>46195</v>
      </c>
      <c r="B118" s="8">
        <v>72.87</v>
      </c>
      <c r="C118" s="8">
        <v>283.02</v>
      </c>
      <c r="D118" s="9">
        <v>8.9600158328792204E-3</v>
      </c>
      <c r="E118" s="9">
        <v>9.2647486616234901E-3</v>
      </c>
      <c r="F118" s="8">
        <v>0</v>
      </c>
      <c r="G118" s="8">
        <v>0.49199999999999999</v>
      </c>
      <c r="H118" s="8">
        <v>0</v>
      </c>
      <c r="I118" s="8">
        <v>0.99399999999999999</v>
      </c>
      <c r="J118" s="8">
        <v>0.49199999999999999</v>
      </c>
      <c r="K118" s="8">
        <v>0.99399999999999999</v>
      </c>
      <c r="L118" s="8">
        <v>73.361999999999995</v>
      </c>
      <c r="M118" s="8">
        <v>284.01400000000001</v>
      </c>
      <c r="N118" s="10">
        <v>3.8839028406751699</v>
      </c>
      <c r="O118" s="10">
        <v>3.8715231538253501</v>
      </c>
      <c r="P118" s="10">
        <v>3.8707761197082999</v>
      </c>
      <c r="Q118" s="10">
        <v>3.8697026788023701</v>
      </c>
      <c r="R118" s="8">
        <v>282.11789221925301</v>
      </c>
      <c r="S118" s="8">
        <v>281.95393010785</v>
      </c>
      <c r="T118" s="8">
        <v>281.93208631010702</v>
      </c>
      <c r="U118" s="9">
        <v>-3.1925254327243098E-3</v>
      </c>
      <c r="V118" s="9">
        <v>-3.7738773440630599E-3</v>
      </c>
      <c r="W118" s="9">
        <v>-3.8513532775576302E-3</v>
      </c>
      <c r="X118" s="10">
        <v>3.8714048144816098</v>
      </c>
      <c r="Y118" s="10">
        <v>3.8719668777701699</v>
      </c>
      <c r="Z118" s="10">
        <v>3.8694379243069101</v>
      </c>
      <c r="AA118" s="10">
        <v>3.86978122470591</v>
      </c>
      <c r="AB118" s="8">
        <v>284.05523408697502</v>
      </c>
      <c r="AC118" s="8">
        <v>283.86188559728402</v>
      </c>
      <c r="AD118" s="8">
        <v>283.89274897896399</v>
      </c>
      <c r="AE118" s="9">
        <v>1.45172752101182E-4</v>
      </c>
      <c r="AF118" s="9">
        <v>-5.3573117018028903E-4</v>
      </c>
      <c r="AG118" s="9">
        <v>7.9448820249703302E-4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-1.2643661765639285E-3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-7.3738570686712052E-4</v>
      </c>
      <c r="BX118" s="12">
        <f t="shared" si="38"/>
        <v>0</v>
      </c>
      <c r="BY118" s="12">
        <f t="shared" si="39"/>
        <v>-2.0017518834310492E-3</v>
      </c>
    </row>
    <row r="119" spans="1:77" x14ac:dyDescent="0.3">
      <c r="A119" s="1">
        <v>46196</v>
      </c>
      <c r="B119" s="8">
        <v>73.849999999999994</v>
      </c>
      <c r="C119" s="8">
        <v>286.69</v>
      </c>
      <c r="D119" s="9">
        <v>1.33589772951978E-2</v>
      </c>
      <c r="E119" s="9">
        <v>1.2883926091633901E-2</v>
      </c>
      <c r="F119" s="8">
        <v>0</v>
      </c>
      <c r="G119" s="8">
        <v>0.49199999999999999</v>
      </c>
      <c r="H119" s="8">
        <v>0</v>
      </c>
      <c r="I119" s="8">
        <v>0.99399999999999999</v>
      </c>
      <c r="J119" s="8">
        <v>0.49199999999999999</v>
      </c>
      <c r="K119" s="8">
        <v>0.99399999999999999</v>
      </c>
      <c r="L119" s="8">
        <v>74.341999999999999</v>
      </c>
      <c r="M119" s="8">
        <v>287.68400000000003</v>
      </c>
      <c r="N119" s="10">
        <v>3.8820582261340499</v>
      </c>
      <c r="O119" s="10">
        <v>3.8715231538253501</v>
      </c>
      <c r="P119" s="10">
        <v>3.87230253738108</v>
      </c>
      <c r="Q119" s="10">
        <v>3.8703249194703</v>
      </c>
      <c r="R119" s="8">
        <v>285.91198491000199</v>
      </c>
      <c r="S119" s="8">
        <v>285.85681644045798</v>
      </c>
      <c r="T119" s="8">
        <v>285.77754282955499</v>
      </c>
      <c r="U119" s="9">
        <v>-2.7174742291604299E-3</v>
      </c>
      <c r="V119" s="9">
        <v>-2.9104489755429098E-3</v>
      </c>
      <c r="W119" s="9">
        <v>-3.1878067309878402E-3</v>
      </c>
      <c r="X119" s="10">
        <v>3.8697371606897799</v>
      </c>
      <c r="Y119" s="10">
        <v>3.8719668777701699</v>
      </c>
      <c r="Z119" s="10">
        <v>3.8695846087155998</v>
      </c>
      <c r="AA119" s="10">
        <v>3.8697129231387501</v>
      </c>
      <c r="AB119" s="8">
        <v>287.84976162718999</v>
      </c>
      <c r="AC119" s="8">
        <v>287.66175416882498</v>
      </c>
      <c r="AD119" s="8">
        <v>287.68727580708702</v>
      </c>
      <c r="AE119" s="9">
        <v>5.76027482055156E-4</v>
      </c>
      <c r="AF119" s="9">
        <v>-7.7330304516673806E-5</v>
      </c>
      <c r="AG119" s="9">
        <v>7.9176915203459406E-5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-1.2643661765639285E-3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-7.3738570686712052E-4</v>
      </c>
      <c r="BX119" s="12">
        <f t="shared" si="38"/>
        <v>0</v>
      </c>
      <c r="BY119" s="12">
        <f t="shared" si="39"/>
        <v>-2.0017518834310492E-3</v>
      </c>
    </row>
    <row r="120" spans="1:77" x14ac:dyDescent="0.3">
      <c r="A120" s="1">
        <v>46197</v>
      </c>
      <c r="B120" s="8">
        <v>74.58</v>
      </c>
      <c r="C120" s="8">
        <v>288.73</v>
      </c>
      <c r="D120" s="9">
        <v>9.8363657732859593E-3</v>
      </c>
      <c r="E120" s="9">
        <v>7.0905027520135801E-3</v>
      </c>
      <c r="F120" s="8">
        <v>0</v>
      </c>
      <c r="G120" s="8">
        <v>0.49199999999999999</v>
      </c>
      <c r="H120" s="8">
        <v>0.98680000000000001</v>
      </c>
      <c r="I120" s="8">
        <v>1.9807999999999999</v>
      </c>
      <c r="J120" s="8">
        <v>0.49199999999999999</v>
      </c>
      <c r="K120" s="8">
        <v>1.9807999999999999</v>
      </c>
      <c r="L120" s="8">
        <v>75.072000000000003</v>
      </c>
      <c r="M120" s="8">
        <v>290.71080000000001</v>
      </c>
      <c r="N120" s="10">
        <v>3.87141324751944</v>
      </c>
      <c r="O120" s="10">
        <v>3.8715231538253501</v>
      </c>
      <c r="P120" s="10">
        <v>3.8728032056013402</v>
      </c>
      <c r="Q120" s="10">
        <v>3.8704594769355598</v>
      </c>
      <c r="R120" s="8">
        <v>288.73819681229401</v>
      </c>
      <c r="S120" s="8">
        <v>288.79632323788098</v>
      </c>
      <c r="T120" s="8">
        <v>288.64883249409502</v>
      </c>
      <c r="U120" s="9">
        <v>2.8388792111844199E-5</v>
      </c>
      <c r="V120" s="9">
        <v>2.2968039898417701E-4</v>
      </c>
      <c r="W120" s="9">
        <v>-2.81158580367282E-4</v>
      </c>
      <c r="X120" s="10">
        <v>3.8724264705882301</v>
      </c>
      <c r="Y120" s="10">
        <v>3.8719668777701699</v>
      </c>
      <c r="Z120" s="10">
        <v>3.8700409523100499</v>
      </c>
      <c r="AA120" s="10">
        <v>3.8698230032911201</v>
      </c>
      <c r="AB120" s="8">
        <v>290.67629744796199</v>
      </c>
      <c r="AC120" s="8">
        <v>290.49745574549701</v>
      </c>
      <c r="AD120" s="8">
        <v>290.50708856587198</v>
      </c>
      <c r="AE120" s="9">
        <v>-1.18690463648675E-4</v>
      </c>
      <c r="AF120" s="9">
        <v>-7.3414051495393105E-4</v>
      </c>
      <c r="AG120" s="9">
        <v>-9.0508916215530002E-4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-1.2643661765639285E-3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-7.3738570686712052E-4</v>
      </c>
      <c r="BX120" s="12">
        <f t="shared" si="38"/>
        <v>0</v>
      </c>
      <c r="BY120" s="12">
        <f t="shared" si="39"/>
        <v>-2.0017518834310492E-3</v>
      </c>
    </row>
    <row r="121" spans="1:77" x14ac:dyDescent="0.3">
      <c r="A121" s="1">
        <v>46198</v>
      </c>
      <c r="B121" s="8">
        <v>75.69</v>
      </c>
      <c r="C121" s="8">
        <v>293.02999999999997</v>
      </c>
      <c r="D121" s="9">
        <v>1.47736765704012E-2</v>
      </c>
      <c r="E121" s="9">
        <v>1.4782997486288601E-2</v>
      </c>
      <c r="F121" s="8">
        <v>0</v>
      </c>
      <c r="G121" s="8">
        <v>0.49199999999999999</v>
      </c>
      <c r="H121" s="8">
        <v>0</v>
      </c>
      <c r="I121" s="8">
        <v>1.9807999999999999</v>
      </c>
      <c r="J121" s="8">
        <v>0.49199999999999999</v>
      </c>
      <c r="K121" s="8">
        <v>1.9807999999999999</v>
      </c>
      <c r="L121" s="8">
        <v>76.182000000000002</v>
      </c>
      <c r="M121" s="8">
        <v>295.01079999999899</v>
      </c>
      <c r="N121" s="10">
        <v>3.8714493328048598</v>
      </c>
      <c r="O121" s="10">
        <v>3.8715231538253501</v>
      </c>
      <c r="P121" s="10">
        <v>3.8732052506281098</v>
      </c>
      <c r="Q121" s="10">
        <v>3.8706568565890298</v>
      </c>
      <c r="R121" s="8">
        <v>293.03558751304001</v>
      </c>
      <c r="S121" s="8">
        <v>293.13247463196501</v>
      </c>
      <c r="T121" s="8">
        <v>292.955077809253</v>
      </c>
      <c r="U121" s="9">
        <v>1.9067876224549802E-5</v>
      </c>
      <c r="V121" s="9">
        <v>3.4964583181113803E-4</v>
      </c>
      <c r="W121" s="9">
        <v>-2.5571364866564601E-4</v>
      </c>
      <c r="X121" s="10">
        <v>3.87244755979102</v>
      </c>
      <c r="Y121" s="10">
        <v>3.8719668777701699</v>
      </c>
      <c r="Z121" s="10">
        <v>3.8703957911939399</v>
      </c>
      <c r="AA121" s="10">
        <v>3.8699951391851899</v>
      </c>
      <c r="AB121" s="8">
        <v>294.974180682287</v>
      </c>
      <c r="AC121" s="8">
        <v>294.827459828884</v>
      </c>
      <c r="AD121" s="8">
        <v>294.81085603672398</v>
      </c>
      <c r="AE121" s="9">
        <v>-1.2413644061566801E-4</v>
      </c>
      <c r="AF121" s="9">
        <v>-6.2166254550187602E-4</v>
      </c>
      <c r="AG121" s="9">
        <v>4.4506336200082297E-5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-1.2643661765639285E-3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-7.3738570686712052E-4</v>
      </c>
      <c r="BX121" s="12">
        <f t="shared" si="38"/>
        <v>0</v>
      </c>
      <c r="BY121" s="12">
        <f t="shared" si="39"/>
        <v>-2.0017518834310492E-3</v>
      </c>
    </row>
    <row r="122" spans="1:77" x14ac:dyDescent="0.3">
      <c r="A122" s="1">
        <v>46199</v>
      </c>
      <c r="B122" s="8">
        <v>77.87</v>
      </c>
      <c r="C122" s="8">
        <v>301.43</v>
      </c>
      <c r="D122" s="9">
        <v>2.83947182678186E-2</v>
      </c>
      <c r="E122" s="9">
        <v>2.82628238858996E-2</v>
      </c>
      <c r="F122" s="8">
        <v>0</v>
      </c>
      <c r="G122" s="8">
        <v>0.49199999999999999</v>
      </c>
      <c r="H122" s="8">
        <v>0</v>
      </c>
      <c r="I122" s="8">
        <v>1.9807999999999999</v>
      </c>
      <c r="J122" s="8">
        <v>0.49199999999999999</v>
      </c>
      <c r="K122" s="8">
        <v>1.9807999999999999</v>
      </c>
      <c r="L122" s="8">
        <v>78.361999999999995</v>
      </c>
      <c r="M122" s="8">
        <v>303.41079999999999</v>
      </c>
      <c r="N122" s="10">
        <v>3.8709387440606098</v>
      </c>
      <c r="O122" s="10">
        <v>3.8715231538253501</v>
      </c>
      <c r="P122" s="10">
        <v>3.8735677334484202</v>
      </c>
      <c r="Q122" s="10">
        <v>3.8707335932976901</v>
      </c>
      <c r="R122" s="8">
        <v>301.47550798838</v>
      </c>
      <c r="S122" s="8">
        <v>301.60649286641097</v>
      </c>
      <c r="T122" s="8">
        <v>301.408049422587</v>
      </c>
      <c r="U122" s="9">
        <v>1.5096225814368401E-4</v>
      </c>
      <c r="V122" s="9">
        <v>5.8534723367083296E-4</v>
      </c>
      <c r="W122" s="9">
        <v>-7.2824127285169498E-5</v>
      </c>
      <c r="X122" s="10">
        <v>3.8719124065235602</v>
      </c>
      <c r="Y122" s="10">
        <v>3.8719668777701699</v>
      </c>
      <c r="Z122" s="10">
        <v>3.8707099398031199</v>
      </c>
      <c r="AA122" s="10">
        <v>3.8700467000444401</v>
      </c>
      <c r="AB122" s="8">
        <v>303.41506847582599</v>
      </c>
      <c r="AC122" s="8">
        <v>303.29195498953999</v>
      </c>
      <c r="AD122" s="8">
        <v>303.26055909682998</v>
      </c>
      <c r="AE122" s="9">
        <v>1.4068206543531899E-5</v>
      </c>
      <c r="AF122" s="9">
        <v>-3.9177343765992798E-4</v>
      </c>
      <c r="AG122" s="9">
        <v>2.1668189448789601E-4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-1.2643661765639285E-3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-7.3738570686712052E-4</v>
      </c>
      <c r="BX122" s="12">
        <f t="shared" si="38"/>
        <v>0</v>
      </c>
      <c r="BY122" s="12">
        <f t="shared" si="39"/>
        <v>-2.0017518834310492E-3</v>
      </c>
    </row>
    <row r="123" spans="1:77" x14ac:dyDescent="0.3">
      <c r="A123" s="1">
        <v>46202</v>
      </c>
      <c r="B123" s="8">
        <v>78.12</v>
      </c>
      <c r="C123" s="8">
        <v>302.43</v>
      </c>
      <c r="D123" s="9">
        <v>3.2053364195834201E-3</v>
      </c>
      <c r="E123" s="9">
        <v>3.3120289938986399E-3</v>
      </c>
      <c r="F123" s="8">
        <v>0</v>
      </c>
      <c r="G123" s="8">
        <v>0.49199999999999999</v>
      </c>
      <c r="H123" s="8">
        <v>0</v>
      </c>
      <c r="I123" s="8">
        <v>1.9807999999999999</v>
      </c>
      <c r="J123" s="8">
        <v>0.49199999999999999</v>
      </c>
      <c r="K123" s="8">
        <v>1.9807999999999999</v>
      </c>
      <c r="L123" s="8">
        <v>78.611999999999995</v>
      </c>
      <c r="M123" s="8">
        <v>304.41079999999999</v>
      </c>
      <c r="N123" s="10">
        <v>3.8713517665130501</v>
      </c>
      <c r="O123" s="10">
        <v>3.8715231538253501</v>
      </c>
      <c r="P123" s="10">
        <v>3.8739084191464399</v>
      </c>
      <c r="Q123" s="10">
        <v>3.8707994515195399</v>
      </c>
      <c r="R123" s="8">
        <v>302.443388776836</v>
      </c>
      <c r="S123" s="8">
        <v>302.60311133699003</v>
      </c>
      <c r="T123" s="8">
        <v>302.381708308415</v>
      </c>
      <c r="U123" s="9">
        <v>4.4269683828436001E-5</v>
      </c>
      <c r="V123" s="9">
        <v>5.7223757996309899E-4</v>
      </c>
      <c r="W123" s="9">
        <v>-1.5969165617481701E-4</v>
      </c>
      <c r="X123" s="10">
        <v>3.8723197476212201</v>
      </c>
      <c r="Y123" s="10">
        <v>3.8719668777701699</v>
      </c>
      <c r="Z123" s="10">
        <v>3.8710017215353201</v>
      </c>
      <c r="AA123" s="10">
        <v>3.8700866171154802</v>
      </c>
      <c r="AB123" s="8">
        <v>304.38306019526902</v>
      </c>
      <c r="AC123" s="8">
        <v>304.28424978780299</v>
      </c>
      <c r="AD123" s="8">
        <v>304.23211118389298</v>
      </c>
      <c r="AE123" s="9">
        <v>-9.1130369616507705E-5</v>
      </c>
      <c r="AF123" s="9">
        <v>-4.1580825756382301E-4</v>
      </c>
      <c r="AG123" s="9">
        <v>1.3105828534465799E-3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-1.2643661765639285E-3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-7.3738570686712052E-4</v>
      </c>
      <c r="BX123" s="12">
        <f t="shared" si="38"/>
        <v>0</v>
      </c>
      <c r="BY123" s="12">
        <f t="shared" si="39"/>
        <v>-2.0017518834310492E-3</v>
      </c>
    </row>
    <row r="124" spans="1:77" x14ac:dyDescent="0.3">
      <c r="A124" s="1">
        <v>46203</v>
      </c>
      <c r="B124" s="8">
        <v>77.25</v>
      </c>
      <c r="C124" s="8">
        <v>299.01</v>
      </c>
      <c r="D124" s="9">
        <v>-1.1199190230623299E-2</v>
      </c>
      <c r="E124" s="9">
        <v>-1.13728280864853E-2</v>
      </c>
      <c r="F124" s="8">
        <v>0</v>
      </c>
      <c r="G124" s="8">
        <v>0.49199999999999999</v>
      </c>
      <c r="H124" s="8">
        <v>0</v>
      </c>
      <c r="I124" s="8">
        <v>1.9807999999999999</v>
      </c>
      <c r="J124" s="8">
        <v>0.49199999999999999</v>
      </c>
      <c r="K124" s="8">
        <v>1.9807999999999999</v>
      </c>
      <c r="L124" s="8">
        <v>77.742000000000004</v>
      </c>
      <c r="M124" s="8">
        <v>300.99079999999998</v>
      </c>
      <c r="N124" s="10">
        <v>3.87067961165048</v>
      </c>
      <c r="O124" s="10">
        <v>3.8715231538253501</v>
      </c>
      <c r="P124" s="10">
        <v>3.8740622648956098</v>
      </c>
      <c r="Q124" s="10">
        <v>3.8709875043102899</v>
      </c>
      <c r="R124" s="8">
        <v>299.075163633008</v>
      </c>
      <c r="S124" s="8">
        <v>299.25942537906201</v>
      </c>
      <c r="T124" s="8">
        <v>299.01925762988401</v>
      </c>
      <c r="U124" s="9">
        <v>2.1790753969033199E-4</v>
      </c>
      <c r="V124" s="9">
        <v>8.3382296648763104E-4</v>
      </c>
      <c r="W124" s="9">
        <v>3.0960458095050698E-5</v>
      </c>
      <c r="X124" s="10">
        <v>3.8716626791181001</v>
      </c>
      <c r="Y124" s="10">
        <v>3.8719668777701699</v>
      </c>
      <c r="Z124" s="10">
        <v>3.8711080696642801</v>
      </c>
      <c r="AA124" s="10">
        <v>3.8702481661699299</v>
      </c>
      <c r="AB124" s="8">
        <v>301.01444901160897</v>
      </c>
      <c r="AC124" s="8">
        <v>300.93941583559899</v>
      </c>
      <c r="AD124" s="8">
        <v>300.868273787791</v>
      </c>
      <c r="AE124" s="9">
        <v>7.85674598691283E-5</v>
      </c>
      <c r="AF124" s="9">
        <v>-1.7073130131618801E-4</v>
      </c>
      <c r="AG124" s="9">
        <v>6.7586208964386595E-4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-1.2643661765639285E-3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-7.3738570686712052E-4</v>
      </c>
      <c r="BX124" s="12">
        <f t="shared" si="38"/>
        <v>0</v>
      </c>
      <c r="BY124" s="12">
        <f t="shared" si="39"/>
        <v>-2.0017518834310492E-3</v>
      </c>
    </row>
    <row r="125" spans="1:77" x14ac:dyDescent="0.3">
      <c r="A125" s="1">
        <v>46204</v>
      </c>
      <c r="B125" s="8">
        <v>77.7</v>
      </c>
      <c r="C125" s="8">
        <v>300.83999999999997</v>
      </c>
      <c r="D125" s="9">
        <v>5.8083415957469499E-3</v>
      </c>
      <c r="E125" s="9">
        <v>6.1015443107277504E-3</v>
      </c>
      <c r="F125" s="8">
        <v>0</v>
      </c>
      <c r="G125" s="8">
        <v>0.49199999999999999</v>
      </c>
      <c r="H125" s="8">
        <v>0</v>
      </c>
      <c r="I125" s="8">
        <v>1.9807999999999999</v>
      </c>
      <c r="J125" s="8">
        <v>0.49199999999999999</v>
      </c>
      <c r="K125" s="8">
        <v>1.9807999999999999</v>
      </c>
      <c r="L125" s="8">
        <v>78.191999999999993</v>
      </c>
      <c r="M125" s="8">
        <v>302.820799999999</v>
      </c>
      <c r="N125" s="10">
        <v>3.8718146718146702</v>
      </c>
      <c r="O125" s="10">
        <v>3.8715231538253501</v>
      </c>
      <c r="P125" s="10">
        <v>3.8746095989606402</v>
      </c>
      <c r="Q125" s="10">
        <v>3.8711674401115901</v>
      </c>
      <c r="R125" s="8">
        <v>300.81734905222902</v>
      </c>
      <c r="S125" s="8">
        <v>301.01463798238899</v>
      </c>
      <c r="T125" s="8">
        <v>300.77572908490902</v>
      </c>
      <c r="U125" s="9">
        <v>-7.5295175290388599E-5</v>
      </c>
      <c r="V125" s="9">
        <v>5.8033277894573997E-4</v>
      </c>
      <c r="W125" s="9">
        <v>-2.13661020573598E-4</v>
      </c>
      <c r="X125" s="10">
        <v>3.8727849396357601</v>
      </c>
      <c r="Y125" s="10">
        <v>3.8719668777701699</v>
      </c>
      <c r="Z125" s="10">
        <v>3.8716056611832301</v>
      </c>
      <c r="AA125" s="10">
        <v>3.8704002170048799</v>
      </c>
      <c r="AB125" s="8">
        <v>302.75683410660503</v>
      </c>
      <c r="AC125" s="8">
        <v>302.68968218318997</v>
      </c>
      <c r="AD125" s="8">
        <v>302.622444609159</v>
      </c>
      <c r="AE125" s="9">
        <v>-2.11255799519281E-4</v>
      </c>
      <c r="AF125" s="9">
        <v>-4.3308191259216702E-4</v>
      </c>
      <c r="AG125" s="9">
        <v>-6.2853053308822599E-4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-1.2643661765639285E-3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-7.3738570686712052E-4</v>
      </c>
      <c r="BX125" s="12">
        <f t="shared" si="38"/>
        <v>0</v>
      </c>
      <c r="BY125" s="12">
        <f t="shared" si="39"/>
        <v>-2.0017518834310492E-3</v>
      </c>
    </row>
    <row r="126" spans="1:77" x14ac:dyDescent="0.3">
      <c r="A126" s="1">
        <v>46205</v>
      </c>
      <c r="B126" s="8">
        <v>79.67</v>
      </c>
      <c r="C126" s="8">
        <v>308.41000000000003</v>
      </c>
      <c r="D126" s="9">
        <v>2.5037846018673E-2</v>
      </c>
      <c r="E126" s="9">
        <v>2.48515046268101E-2</v>
      </c>
      <c r="F126" s="8">
        <v>0</v>
      </c>
      <c r="G126" s="8">
        <v>0.49199999999999999</v>
      </c>
      <c r="H126" s="8">
        <v>0</v>
      </c>
      <c r="I126" s="8">
        <v>1.9807999999999999</v>
      </c>
      <c r="J126" s="8">
        <v>0.49199999999999999</v>
      </c>
      <c r="K126" s="8">
        <v>1.9807999999999999</v>
      </c>
      <c r="L126" s="8">
        <v>80.162000000000006</v>
      </c>
      <c r="M126" s="8">
        <v>310.39080000000001</v>
      </c>
      <c r="N126" s="10">
        <v>3.8710932596962402</v>
      </c>
      <c r="O126" s="10">
        <v>3.8715231538253501</v>
      </c>
      <c r="P126" s="10">
        <v>3.8747421169159901</v>
      </c>
      <c r="Q126" s="10">
        <v>3.8712786737218399</v>
      </c>
      <c r="R126" s="8">
        <v>308.44424966526498</v>
      </c>
      <c r="S126" s="8">
        <v>308.69014674919401</v>
      </c>
      <c r="T126" s="8">
        <v>308.41590995369</v>
      </c>
      <c r="U126" s="9">
        <v>1.1104621657236E-4</v>
      </c>
      <c r="V126" s="9">
        <v>9.0794588176770395E-4</v>
      </c>
      <c r="W126" s="9">
        <v>1.9162469006980199E-5</v>
      </c>
      <c r="X126" s="10">
        <v>3.8720441106758798</v>
      </c>
      <c r="Y126" s="10">
        <v>3.8719668777701699</v>
      </c>
      <c r="Z126" s="10">
        <v>3.87168576138474</v>
      </c>
      <c r="AA126" s="10">
        <v>3.8704833202817102</v>
      </c>
      <c r="AB126" s="8">
        <v>310.38460885581298</v>
      </c>
      <c r="AC126" s="8">
        <v>310.35565301177002</v>
      </c>
      <c r="AD126" s="8">
        <v>310.25902219554501</v>
      </c>
      <c r="AE126" s="9">
        <v>-1.9946486600055E-5</v>
      </c>
      <c r="AF126" s="9">
        <v>-1.1324104421777799E-4</v>
      </c>
      <c r="AG126" s="9">
        <v>9.4594405075714992E-6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-1.2643661765639285E-3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-7.3738570686712052E-4</v>
      </c>
      <c r="BX126" s="12">
        <f t="shared" si="38"/>
        <v>0</v>
      </c>
      <c r="BY126" s="12">
        <f t="shared" si="39"/>
        <v>-2.0017518834310492E-3</v>
      </c>
    </row>
    <row r="127" spans="1:77" x14ac:dyDescent="0.3">
      <c r="A127" s="1">
        <v>46209</v>
      </c>
      <c r="B127" s="8">
        <v>79.03</v>
      </c>
      <c r="C127" s="8">
        <v>305.8</v>
      </c>
      <c r="D127" s="9">
        <v>-8.0655761753906704E-3</v>
      </c>
      <c r="E127" s="9">
        <v>-8.4987730900503693E-3</v>
      </c>
      <c r="F127" s="8">
        <v>0</v>
      </c>
      <c r="G127" s="8">
        <v>0.49199999999999999</v>
      </c>
      <c r="H127" s="8">
        <v>0</v>
      </c>
      <c r="I127" s="8">
        <v>1.9807999999999999</v>
      </c>
      <c r="J127" s="8">
        <v>0.49199999999999999</v>
      </c>
      <c r="K127" s="8">
        <v>1.9807999999999999</v>
      </c>
      <c r="L127" s="8">
        <v>79.522000000000006</v>
      </c>
      <c r="M127" s="8">
        <v>307.7808</v>
      </c>
      <c r="N127" s="10">
        <v>3.8694166772111802</v>
      </c>
      <c r="O127" s="10">
        <v>3.8715231538253501</v>
      </c>
      <c r="P127" s="10">
        <v>3.87341183780797</v>
      </c>
      <c r="Q127" s="10">
        <v>3.8713424641753602</v>
      </c>
      <c r="R127" s="8">
        <v>305.96647484681699</v>
      </c>
      <c r="S127" s="8">
        <v>306.22086949987101</v>
      </c>
      <c r="T127" s="8">
        <v>305.94715358423701</v>
      </c>
      <c r="U127" s="9">
        <v>5.4424313123210095E-4</v>
      </c>
      <c r="V127" s="9">
        <v>1.3753438393594899E-3</v>
      </c>
      <c r="W127" s="9">
        <v>4.81092837829378E-4</v>
      </c>
      <c r="X127" s="10">
        <v>3.8703855536832501</v>
      </c>
      <c r="Y127" s="10">
        <v>3.8719668777701699</v>
      </c>
      <c r="Z127" s="10">
        <v>3.87171254428084</v>
      </c>
      <c r="AA127" s="10">
        <v>3.8705219409968001</v>
      </c>
      <c r="AB127" s="8">
        <v>307.90655005404</v>
      </c>
      <c r="AC127" s="8">
        <v>307.88419511683702</v>
      </c>
      <c r="AD127" s="8">
        <v>307.78857459544201</v>
      </c>
      <c r="AE127" s="9">
        <v>4.0848672878409601E-4</v>
      </c>
      <c r="AF127" s="9">
        <v>3.3588109971976099E-4</v>
      </c>
      <c r="AG127" s="9">
        <v>-1.4511446508487201E-3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-1.2643661765639285E-3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-7.3738570686712052E-4</v>
      </c>
      <c r="BX127" s="12">
        <f t="shared" si="38"/>
        <v>0</v>
      </c>
      <c r="BY127" s="12">
        <f t="shared" si="39"/>
        <v>-2.0017518834310492E-3</v>
      </c>
    </row>
    <row r="128" spans="1:77" x14ac:dyDescent="0.3">
      <c r="A128" s="1">
        <v>46210</v>
      </c>
      <c r="B128" s="8">
        <v>80.150000000000006</v>
      </c>
      <c r="C128" s="8">
        <v>310.29000000000002</v>
      </c>
      <c r="D128" s="9">
        <v>1.4072351838678001E-2</v>
      </c>
      <c r="E128" s="9">
        <v>1.4576050562859899E-2</v>
      </c>
      <c r="F128" s="8">
        <v>0</v>
      </c>
      <c r="G128" s="8">
        <v>0.49199999999999999</v>
      </c>
      <c r="H128" s="8">
        <v>0</v>
      </c>
      <c r="I128" s="8">
        <v>1.9807999999999999</v>
      </c>
      <c r="J128" s="8">
        <v>0.49199999999999999</v>
      </c>
      <c r="K128" s="8">
        <v>1.9807999999999999</v>
      </c>
      <c r="L128" s="8">
        <v>80.641999999999996</v>
      </c>
      <c r="M128" s="8">
        <v>312.27080000000001</v>
      </c>
      <c r="N128" s="10">
        <v>3.8713661883967498</v>
      </c>
      <c r="O128" s="10">
        <v>3.8715231538253501</v>
      </c>
      <c r="P128" s="10">
        <v>3.87215817258013</v>
      </c>
      <c r="Q128" s="10">
        <v>3.8714671461442198</v>
      </c>
      <c r="R128" s="8">
        <v>310.30258077910099</v>
      </c>
      <c r="S128" s="8">
        <v>310.45395880030901</v>
      </c>
      <c r="T128" s="8">
        <v>310.28809850365502</v>
      </c>
      <c r="U128" s="9">
        <v>4.0544407049975903E-5</v>
      </c>
      <c r="V128" s="9">
        <v>5.2826548465917703E-4</v>
      </c>
      <c r="W128" s="9">
        <v>-6.1281451895846096E-6</v>
      </c>
      <c r="X128" s="10">
        <v>3.8723097145407999</v>
      </c>
      <c r="Y128" s="10">
        <v>3.8719668777701699</v>
      </c>
      <c r="Z128" s="10">
        <v>3.87180303428676</v>
      </c>
      <c r="AA128" s="10">
        <v>3.8706204792968402</v>
      </c>
      <c r="AB128" s="8">
        <v>312.243152957142</v>
      </c>
      <c r="AC128" s="8">
        <v>312.22264299589602</v>
      </c>
      <c r="AD128" s="8">
        <v>312.126630365864</v>
      </c>
      <c r="AE128" s="9">
        <v>-8.8539392096536297E-5</v>
      </c>
      <c r="AF128" s="9">
        <v>-1.5422741340019699E-4</v>
      </c>
      <c r="AG128" s="9">
        <v>-3.2333328234306E-3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1.4072351838678001E-2</v>
      </c>
      <c r="BH128" s="9">
        <f t="shared" si="27"/>
        <v>-1.4576050562859899E-2</v>
      </c>
      <c r="BI128" s="9">
        <f t="shared" si="28"/>
        <v>-5.0369872418189882E-4</v>
      </c>
      <c r="BJ128" s="12">
        <f t="shared" si="29"/>
        <v>-1.7680649007458273E-3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-7.3738570686712052E-4</v>
      </c>
      <c r="BX128" s="12">
        <f t="shared" si="38"/>
        <v>-5.0369872418189882E-4</v>
      </c>
      <c r="BY128" s="12">
        <f t="shared" si="39"/>
        <v>-2.505450607612948E-3</v>
      </c>
    </row>
    <row r="129" spans="1:77" x14ac:dyDescent="0.3">
      <c r="A129" s="1">
        <v>46211</v>
      </c>
      <c r="B129" s="8">
        <v>79.17</v>
      </c>
      <c r="C129" s="8">
        <v>306.41000000000003</v>
      </c>
      <c r="D129" s="9">
        <v>-1.23024398722196E-2</v>
      </c>
      <c r="E129" s="9">
        <v>-1.25832696482455E-2</v>
      </c>
      <c r="F129" s="8">
        <v>0</v>
      </c>
      <c r="G129" s="8">
        <v>0.49199999999999999</v>
      </c>
      <c r="H129" s="8">
        <v>0</v>
      </c>
      <c r="I129" s="8">
        <v>1.9807999999999999</v>
      </c>
      <c r="J129" s="8">
        <v>0.49199999999999999</v>
      </c>
      <c r="K129" s="8">
        <v>1.9807999999999999</v>
      </c>
      <c r="L129" s="8">
        <v>79.662000000000006</v>
      </c>
      <c r="M129" s="8">
        <v>308.39080000000001</v>
      </c>
      <c r="N129" s="10">
        <v>3.8702791461412098</v>
      </c>
      <c r="O129" s="10">
        <v>3.8715231538253501</v>
      </c>
      <c r="P129" s="10">
        <v>3.87098026458085</v>
      </c>
      <c r="Q129" s="10">
        <v>3.8716414009809599</v>
      </c>
      <c r="R129" s="8">
        <v>306.50848808835298</v>
      </c>
      <c r="S129" s="8">
        <v>306.55876252316898</v>
      </c>
      <c r="T129" s="8">
        <v>306.50405396023802</v>
      </c>
      <c r="U129" s="9">
        <v>3.2137418307574302E-4</v>
      </c>
      <c r="V129" s="9">
        <v>4.85383710183598E-4</v>
      </c>
      <c r="W129" s="9">
        <v>3.0690750315975099E-4</v>
      </c>
      <c r="X129" s="10">
        <v>3.8712409931962499</v>
      </c>
      <c r="Y129" s="10">
        <v>3.8719668777701699</v>
      </c>
      <c r="Z129" s="10">
        <v>3.87195341753741</v>
      </c>
      <c r="AA129" s="10">
        <v>3.8707690131265</v>
      </c>
      <c r="AB129" s="8">
        <v>308.44862541692697</v>
      </c>
      <c r="AC129" s="8">
        <v>308.43557331735201</v>
      </c>
      <c r="AD129" s="8">
        <v>308.341368621745</v>
      </c>
      <c r="AE129" s="9">
        <v>1.87489368268745E-4</v>
      </c>
      <c r="AF129" s="9">
        <v>1.4517316174508999E-4</v>
      </c>
      <c r="AG129" s="9">
        <v>-2.8569454311224902E-3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-1.23024398722196E-2</v>
      </c>
      <c r="BH129" s="9">
        <f t="shared" si="27"/>
        <v>1.25832696482455E-2</v>
      </c>
      <c r="BI129" s="9">
        <f t="shared" si="28"/>
        <v>2.8082977602589959E-4</v>
      </c>
      <c r="BJ129" s="12">
        <f t="shared" si="29"/>
        <v>-1.4872351247199277E-3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-7.3738570686712052E-4</v>
      </c>
      <c r="BX129" s="12">
        <f t="shared" si="38"/>
        <v>2.8082977602589959E-4</v>
      </c>
      <c r="BY129" s="12">
        <f t="shared" si="39"/>
        <v>-2.2246208315870484E-3</v>
      </c>
    </row>
    <row r="130" spans="1:77" x14ac:dyDescent="0.3">
      <c r="A130" s="1">
        <v>46212</v>
      </c>
      <c r="B130" s="8">
        <v>79.209999999999994</v>
      </c>
      <c r="C130" s="8">
        <v>306.54000000000002</v>
      </c>
      <c r="D130" s="9">
        <v>5.0511429284583003E-4</v>
      </c>
      <c r="E130" s="9">
        <v>4.2417816118512502E-4</v>
      </c>
      <c r="F130" s="8">
        <v>0</v>
      </c>
      <c r="G130" s="8">
        <v>0.49199999999999999</v>
      </c>
      <c r="H130" s="8">
        <v>0</v>
      </c>
      <c r="I130" s="8">
        <v>1.9807999999999999</v>
      </c>
      <c r="J130" s="8">
        <v>0.49199999999999999</v>
      </c>
      <c r="K130" s="8">
        <v>1.9807999999999999</v>
      </c>
      <c r="L130" s="8">
        <v>79.701999999999998</v>
      </c>
      <c r="M130" s="8">
        <v>308.52080000000001</v>
      </c>
      <c r="N130" s="10">
        <v>3.8699659133947701</v>
      </c>
      <c r="O130" s="10">
        <v>3.8715231538253501</v>
      </c>
      <c r="P130" s="10">
        <v>3.87083553116838</v>
      </c>
      <c r="Q130" s="10">
        <v>3.8718193683848598</v>
      </c>
      <c r="R130" s="8">
        <v>306.66334901450603</v>
      </c>
      <c r="S130" s="8">
        <v>306.620346757449</v>
      </c>
      <c r="T130" s="8">
        <v>306.672715371702</v>
      </c>
      <c r="U130" s="9">
        <v>4.0231031473662301E-4</v>
      </c>
      <c r="V130" s="9">
        <v>2.62074213814281E-4</v>
      </c>
      <c r="W130" s="9">
        <v>4.3285264785830602E-4</v>
      </c>
      <c r="X130" s="10">
        <v>3.8709292113121299</v>
      </c>
      <c r="Y130" s="10">
        <v>3.8719668777701699</v>
      </c>
      <c r="Z130" s="10">
        <v>3.8718036916098</v>
      </c>
      <c r="AA130" s="10">
        <v>3.8709223219599198</v>
      </c>
      <c r="AB130" s="8">
        <v>308.60350409203801</v>
      </c>
      <c r="AC130" s="8">
        <v>308.60243128456602</v>
      </c>
      <c r="AD130" s="8">
        <v>308.508031884209</v>
      </c>
      <c r="AE130" s="9">
        <v>2.6803057985373598E-4</v>
      </c>
      <c r="AF130" s="9">
        <v>2.6455424428953003E-4</v>
      </c>
      <c r="AG130" s="9">
        <v>-3.03527888004389E-3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5.0511429284583003E-4</v>
      </c>
      <c r="BH130" s="9">
        <f t="shared" si="27"/>
        <v>-4.2417816118512502E-4</v>
      </c>
      <c r="BI130" s="9">
        <f t="shared" si="28"/>
        <v>8.0936131660705002E-5</v>
      </c>
      <c r="BJ130" s="12">
        <f t="shared" si="29"/>
        <v>-1.4062989930592228E-3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-7.3738570686712052E-4</v>
      </c>
      <c r="BX130" s="12">
        <f t="shared" si="38"/>
        <v>8.0936131660705002E-5</v>
      </c>
      <c r="BY130" s="12">
        <f t="shared" si="39"/>
        <v>-2.1436846999263433E-3</v>
      </c>
    </row>
    <row r="131" spans="1:77" x14ac:dyDescent="0.3">
      <c r="A131" s="1">
        <v>46213</v>
      </c>
      <c r="B131" s="8">
        <v>78.41</v>
      </c>
      <c r="C131" s="8">
        <v>303.45999999999998</v>
      </c>
      <c r="D131" s="9">
        <v>-1.0151083233357699E-2</v>
      </c>
      <c r="E131" s="9">
        <v>-1.0098446473666501E-2</v>
      </c>
      <c r="F131" s="8">
        <v>0</v>
      </c>
      <c r="G131" s="8">
        <v>0.49199999999999999</v>
      </c>
      <c r="H131" s="8">
        <v>0</v>
      </c>
      <c r="I131" s="8">
        <v>1.9807999999999999</v>
      </c>
      <c r="J131" s="8">
        <v>0.49199999999999999</v>
      </c>
      <c r="K131" s="8">
        <v>1.9807999999999999</v>
      </c>
      <c r="L131" s="8">
        <v>78.902000000000001</v>
      </c>
      <c r="M131" s="8">
        <v>305.440799999999</v>
      </c>
      <c r="N131" s="10">
        <v>3.87016962122178</v>
      </c>
      <c r="O131" s="10">
        <v>3.8715231538253501</v>
      </c>
      <c r="P131" s="10">
        <v>3.8707075600100702</v>
      </c>
      <c r="Q131" s="10">
        <v>3.8719564053190898</v>
      </c>
      <c r="R131" s="8">
        <v>303.56613049144499</v>
      </c>
      <c r="S131" s="8">
        <v>303.51221399891301</v>
      </c>
      <c r="T131" s="8">
        <v>303.58935667505699</v>
      </c>
      <c r="U131" s="9">
        <v>3.4967355504569799E-4</v>
      </c>
      <c r="V131" s="9">
        <v>1.72047411191904E-4</v>
      </c>
      <c r="W131" s="9">
        <v>4.2618174483757902E-4</v>
      </c>
      <c r="X131" s="10">
        <v>3.8711414159336801</v>
      </c>
      <c r="Y131" s="10">
        <v>3.8719668777701699</v>
      </c>
      <c r="Z131" s="10">
        <v>3.8716730772240702</v>
      </c>
      <c r="AA131" s="10">
        <v>3.8710344342090002</v>
      </c>
      <c r="AB131" s="8">
        <v>305.50593058982201</v>
      </c>
      <c r="AC131" s="8">
        <v>305.49305487539601</v>
      </c>
      <c r="AD131" s="8">
        <v>305.42351304728197</v>
      </c>
      <c r="AE131" s="9">
        <v>2.1321200951991299E-4</v>
      </c>
      <c r="AF131" s="9">
        <v>1.7106557479910101E-4</v>
      </c>
      <c r="AG131" s="9">
        <v>-2.5551510518867599E-3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-1.0151083233357699E-2</v>
      </c>
      <c r="BH131" s="9">
        <f t="shared" si="27"/>
        <v>1.0098446473666501E-2</v>
      </c>
      <c r="BI131" s="9">
        <f t="shared" si="28"/>
        <v>-5.2636759691198839E-5</v>
      </c>
      <c r="BJ131" s="12">
        <f t="shared" si="29"/>
        <v>-1.4589357527504216E-3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-7.3738570686712052E-4</v>
      </c>
      <c r="BX131" s="12">
        <f t="shared" si="38"/>
        <v>-5.2636759691198839E-5</v>
      </c>
      <c r="BY131" s="12">
        <f t="shared" si="39"/>
        <v>-2.1963214596175422E-3</v>
      </c>
    </row>
    <row r="132" spans="1:77" x14ac:dyDescent="0.3">
      <c r="A132" s="1">
        <v>46216</v>
      </c>
      <c r="B132" s="8">
        <v>78.45</v>
      </c>
      <c r="C132" s="8">
        <v>303.58999999999997</v>
      </c>
      <c r="D132" s="9">
        <v>5.1000893621100504E-4</v>
      </c>
      <c r="E132" s="9">
        <v>4.2830080549300498E-4</v>
      </c>
      <c r="F132" s="8">
        <v>0</v>
      </c>
      <c r="G132" s="8">
        <v>0.49199999999999999</v>
      </c>
      <c r="H132" s="8">
        <v>0</v>
      </c>
      <c r="I132" s="8">
        <v>1.9807999999999999</v>
      </c>
      <c r="J132" s="8">
        <v>0.49199999999999999</v>
      </c>
      <c r="K132" s="8">
        <v>1.9807999999999999</v>
      </c>
      <c r="L132" s="8">
        <v>78.941999999999993</v>
      </c>
      <c r="M132" s="8">
        <v>305.570799999999</v>
      </c>
      <c r="N132" s="10">
        <v>3.86985340981516</v>
      </c>
      <c r="O132" s="10">
        <v>3.8715231538253501</v>
      </c>
      <c r="P132" s="10">
        <v>3.8705990265855301</v>
      </c>
      <c r="Q132" s="10">
        <v>3.8720833800169698</v>
      </c>
      <c r="R132" s="8">
        <v>303.72099141759799</v>
      </c>
      <c r="S132" s="8">
        <v>303.65700808279001</v>
      </c>
      <c r="T132" s="8">
        <v>303.75497999728299</v>
      </c>
      <c r="U132" s="9">
        <v>4.3138168576339501E-4</v>
      </c>
      <c r="V132" s="9">
        <v>2.2069465035106099E-4</v>
      </c>
      <c r="W132" s="9">
        <v>5.4328267055722397E-4</v>
      </c>
      <c r="X132" s="10">
        <v>3.8708266828811002</v>
      </c>
      <c r="Y132" s="10">
        <v>3.8719668777701699</v>
      </c>
      <c r="Z132" s="10">
        <v>3.87156450485982</v>
      </c>
      <c r="AA132" s="10">
        <v>3.8711372223314702</v>
      </c>
      <c r="AB132" s="8">
        <v>305.66080926493299</v>
      </c>
      <c r="AC132" s="8">
        <v>305.63761606222198</v>
      </c>
      <c r="AD132" s="8">
        <v>305.58720030532697</v>
      </c>
      <c r="AE132" s="9">
        <v>2.9451770562807501E-4</v>
      </c>
      <c r="AF132" s="9">
        <v>2.18635937375326E-4</v>
      </c>
      <c r="AG132" s="9">
        <v>-3.1614215724494301E-3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5.1000893621100504E-4</v>
      </c>
      <c r="BH132" s="9">
        <f t="shared" si="27"/>
        <v>-4.2830080549300498E-4</v>
      </c>
      <c r="BI132" s="9">
        <f t="shared" si="28"/>
        <v>8.1708130718000061E-5</v>
      </c>
      <c r="BJ132" s="12">
        <f t="shared" si="29"/>
        <v>-1.3772276220324216E-3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-7.3738570686712052E-4</v>
      </c>
      <c r="BX132" s="12">
        <f t="shared" si="38"/>
        <v>8.1708130718000061E-5</v>
      </c>
      <c r="BY132" s="12">
        <f t="shared" si="39"/>
        <v>-2.1146133288995421E-3</v>
      </c>
    </row>
    <row r="133" spans="1:77" x14ac:dyDescent="0.3">
      <c r="A133" s="1">
        <v>46217</v>
      </c>
      <c r="B133" s="8">
        <v>77.16</v>
      </c>
      <c r="C133" s="8">
        <v>298.58999999999997</v>
      </c>
      <c r="D133" s="9">
        <v>-1.6580291141513302E-2</v>
      </c>
      <c r="E133" s="9">
        <v>-1.6606711976506299E-2</v>
      </c>
      <c r="F133" s="8">
        <v>0</v>
      </c>
      <c r="G133" s="8">
        <v>0.49199999999999999</v>
      </c>
      <c r="H133" s="8">
        <v>0</v>
      </c>
      <c r="I133" s="8">
        <v>1.9807999999999999</v>
      </c>
      <c r="J133" s="8">
        <v>0.49199999999999999</v>
      </c>
      <c r="K133" s="8">
        <v>1.9807999999999999</v>
      </c>
      <c r="L133" s="8">
        <v>77.652000000000001</v>
      </c>
      <c r="M133" s="8">
        <v>300.570799999999</v>
      </c>
      <c r="N133" s="10">
        <v>3.8697511664074602</v>
      </c>
      <c r="O133" s="10">
        <v>3.8715231538253501</v>
      </c>
      <c r="P133" s="10">
        <v>3.8704389665749699</v>
      </c>
      <c r="Q133" s="10">
        <v>3.8721736928607098</v>
      </c>
      <c r="R133" s="8">
        <v>298.72672654916403</v>
      </c>
      <c r="S133" s="8">
        <v>298.65542089133902</v>
      </c>
      <c r="T133" s="8">
        <v>298.76995360210998</v>
      </c>
      <c r="U133" s="9">
        <v>4.57802520756618E-4</v>
      </c>
      <c r="V133" s="9">
        <v>2.1907540623379701E-4</v>
      </c>
      <c r="W133" s="9">
        <v>6.0249638921549696E-4</v>
      </c>
      <c r="X133" s="10">
        <v>3.8707412558594698</v>
      </c>
      <c r="Y133" s="10">
        <v>3.8719668777701699</v>
      </c>
      <c r="Z133" s="10">
        <v>3.8714066556836402</v>
      </c>
      <c r="AA133" s="10">
        <v>3.8712041886094801</v>
      </c>
      <c r="AB133" s="8">
        <v>300.665971992609</v>
      </c>
      <c r="AC133" s="8">
        <v>300.63472693137498</v>
      </c>
      <c r="AD133" s="8">
        <v>300.60154758848302</v>
      </c>
      <c r="AE133" s="9">
        <v>3.1658740063211202E-4</v>
      </c>
      <c r="AF133" s="9">
        <v>2.1266248812539101E-4</v>
      </c>
      <c r="AG133" s="9">
        <v>-2.6761255796605501E-3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-1.6580291141513302E-2</v>
      </c>
      <c r="BH133" s="9">
        <f t="shared" si="27"/>
        <v>1.6606711976506299E-2</v>
      </c>
      <c r="BI133" s="9">
        <f t="shared" si="28"/>
        <v>2.6420834992997577E-5</v>
      </c>
      <c r="BJ133" s="12">
        <f t="shared" si="29"/>
        <v>-1.3508067870394241E-3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-7.3738570686712052E-4</v>
      </c>
      <c r="BX133" s="12">
        <f t="shared" si="38"/>
        <v>2.6420834992997577E-5</v>
      </c>
      <c r="BY133" s="12">
        <f t="shared" si="39"/>
        <v>-2.0881924939065446E-3</v>
      </c>
    </row>
    <row r="134" spans="1:77" x14ac:dyDescent="0.3">
      <c r="A134" s="1">
        <v>46218</v>
      </c>
      <c r="B134" s="8">
        <v>77.22</v>
      </c>
      <c r="C134" s="8">
        <v>299.01</v>
      </c>
      <c r="D134" s="9">
        <v>7.7730279856201199E-4</v>
      </c>
      <c r="E134" s="9">
        <v>1.4056227213926299E-3</v>
      </c>
      <c r="F134" s="8">
        <v>0</v>
      </c>
      <c r="G134" s="8">
        <v>0.49199999999999999</v>
      </c>
      <c r="H134" s="8">
        <v>0</v>
      </c>
      <c r="I134" s="8">
        <v>1.9807999999999999</v>
      </c>
      <c r="J134" s="8">
        <v>0.49199999999999999</v>
      </c>
      <c r="K134" s="8">
        <v>1.9807999999999999</v>
      </c>
      <c r="L134" s="8">
        <v>77.712000000000003</v>
      </c>
      <c r="M134" s="8">
        <v>300.99079999999998</v>
      </c>
      <c r="N134" s="10">
        <v>3.8721833721833701</v>
      </c>
      <c r="O134" s="10">
        <v>3.8715231538253501</v>
      </c>
      <c r="P134" s="10">
        <v>3.8705893426282598</v>
      </c>
      <c r="Q134" s="10">
        <v>3.8723258037619401</v>
      </c>
      <c r="R134" s="8">
        <v>298.959017938393</v>
      </c>
      <c r="S134" s="8">
        <v>298.875296998919</v>
      </c>
      <c r="T134" s="8">
        <v>299.00925256270398</v>
      </c>
      <c r="U134" s="9">
        <v>-1.7051740207414901E-4</v>
      </c>
      <c r="V134" s="9">
        <v>-4.5059814662016802E-4</v>
      </c>
      <c r="W134" s="9">
        <v>-2.4997098094714601E-6</v>
      </c>
      <c r="X134" s="10">
        <v>3.8731572987440801</v>
      </c>
      <c r="Y134" s="10">
        <v>3.8719668777701699</v>
      </c>
      <c r="Z134" s="10">
        <v>3.8715561176462399</v>
      </c>
      <c r="AA134" s="10">
        <v>3.8713320936552602</v>
      </c>
      <c r="AB134" s="8">
        <v>300.89829000527601</v>
      </c>
      <c r="AC134" s="8">
        <v>300.854754026487</v>
      </c>
      <c r="AD134" s="8">
        <v>300.83901990522003</v>
      </c>
      <c r="AE134" s="9">
        <v>-3.0739881147063598E-4</v>
      </c>
      <c r="AF134" s="9">
        <v>-4.5209597352433402E-4</v>
      </c>
      <c r="AG134" s="9">
        <v>-3.5595962480902401E-3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7.7730279856201199E-4</v>
      </c>
      <c r="BH134" s="9">
        <f t="shared" si="27"/>
        <v>-1.4056227213926299E-3</v>
      </c>
      <c r="BI134" s="9">
        <f t="shared" si="28"/>
        <v>-6.2831992283061792E-4</v>
      </c>
      <c r="BJ134" s="12">
        <f t="shared" si="29"/>
        <v>-1.979126709870042E-3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-7.3738570686712052E-4</v>
      </c>
      <c r="BX134" s="12">
        <f t="shared" si="38"/>
        <v>-6.2831992283061792E-4</v>
      </c>
      <c r="BY134" s="12">
        <f t="shared" si="39"/>
        <v>-2.7165124167371625E-3</v>
      </c>
    </row>
    <row r="135" spans="1:77" x14ac:dyDescent="0.3">
      <c r="A135" s="1">
        <v>46219</v>
      </c>
      <c r="B135" s="8">
        <v>78.61</v>
      </c>
      <c r="C135" s="8">
        <v>304.14999999999998</v>
      </c>
      <c r="D135" s="9">
        <v>1.7840426969574798E-2</v>
      </c>
      <c r="E135" s="9">
        <v>1.7043983119239801E-2</v>
      </c>
      <c r="F135" s="8">
        <v>0</v>
      </c>
      <c r="G135" s="8">
        <v>0.49199999999999999</v>
      </c>
      <c r="H135" s="8">
        <v>0</v>
      </c>
      <c r="I135" s="8">
        <v>1.9807999999999999</v>
      </c>
      <c r="J135" s="8">
        <v>0.49199999999999999</v>
      </c>
      <c r="K135" s="8">
        <v>1.9807999999999999</v>
      </c>
      <c r="L135" s="8">
        <v>79.102000000000004</v>
      </c>
      <c r="M135" s="8">
        <v>306.130799999999</v>
      </c>
      <c r="N135" s="10">
        <v>3.8691006233303602</v>
      </c>
      <c r="O135" s="10">
        <v>3.8715231538253501</v>
      </c>
      <c r="P135" s="10">
        <v>3.8703179377798298</v>
      </c>
      <c r="Q135" s="10">
        <v>3.8724637683702299</v>
      </c>
      <c r="R135" s="8">
        <v>304.34043512221001</v>
      </c>
      <c r="S135" s="8">
        <v>304.26702822400699</v>
      </c>
      <c r="T135" s="8">
        <v>304.40353143372602</v>
      </c>
      <c r="U135" s="9">
        <v>6.2592644826090502E-4</v>
      </c>
      <c r="V135" s="9">
        <v>3.8469740333460202E-4</v>
      </c>
      <c r="W135" s="9">
        <v>8.3322644697188697E-4</v>
      </c>
      <c r="X135" s="10">
        <v>3.8700766099466501</v>
      </c>
      <c r="Y135" s="10">
        <v>3.8719668777701699</v>
      </c>
      <c r="Z135" s="10">
        <v>3.87128528467733</v>
      </c>
      <c r="AA135" s="10">
        <v>3.8714454729302799</v>
      </c>
      <c r="AB135" s="8">
        <v>306.280323965376</v>
      </c>
      <c r="AC135" s="8">
        <v>306.24783201805297</v>
      </c>
      <c r="AD135" s="8">
        <v>306.23011127231899</v>
      </c>
      <c r="AE135" s="9">
        <v>4.8831238524748297E-4</v>
      </c>
      <c r="AF135" s="9">
        <v>3.8222110752786999E-4</v>
      </c>
      <c r="AG135" s="9">
        <v>-4.7220389149693299E-3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1.7840426969574798E-2</v>
      </c>
      <c r="BH135" s="9">
        <f t="shared" si="27"/>
        <v>-1.7043983119239801E-2</v>
      </c>
      <c r="BI135" s="9">
        <f t="shared" si="28"/>
        <v>7.964438503349977E-4</v>
      </c>
      <c r="BJ135" s="12">
        <f t="shared" si="29"/>
        <v>-1.1826828595350443E-3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-7.3738570686712052E-4</v>
      </c>
      <c r="BX135" s="12">
        <f t="shared" si="38"/>
        <v>7.964438503349977E-4</v>
      </c>
      <c r="BY135" s="12">
        <f t="shared" si="39"/>
        <v>-1.9200685664021648E-3</v>
      </c>
    </row>
    <row r="136" spans="1:77" x14ac:dyDescent="0.3">
      <c r="A136" s="1">
        <v>46220</v>
      </c>
      <c r="B136" s="8">
        <v>78.39</v>
      </c>
      <c r="C136" s="8">
        <v>303.25</v>
      </c>
      <c r="D136" s="9">
        <v>-2.8025496050342602E-3</v>
      </c>
      <c r="E136" s="9">
        <v>-2.9634529425547102E-3</v>
      </c>
      <c r="F136" s="8">
        <v>0</v>
      </c>
      <c r="G136" s="8">
        <v>0.49199999999999999</v>
      </c>
      <c r="H136" s="8">
        <v>0</v>
      </c>
      <c r="I136" s="8">
        <v>1.9807999999999999</v>
      </c>
      <c r="J136" s="8">
        <v>0.49199999999999999</v>
      </c>
      <c r="K136" s="8">
        <v>1.9807999999999999</v>
      </c>
      <c r="L136" s="8">
        <v>78.882000000000005</v>
      </c>
      <c r="M136" s="8">
        <v>305.23079999999999</v>
      </c>
      <c r="N136" s="10">
        <v>3.86847812220946</v>
      </c>
      <c r="O136" s="10">
        <v>3.8715231538253501</v>
      </c>
      <c r="P136" s="10">
        <v>3.8700564240311501</v>
      </c>
      <c r="Q136" s="10">
        <v>3.8723992704735699</v>
      </c>
      <c r="R136" s="8">
        <v>303.48870002836901</v>
      </c>
      <c r="S136" s="8">
        <v>303.39422314256097</v>
      </c>
      <c r="T136" s="8">
        <v>303.56243480254199</v>
      </c>
      <c r="U136" s="9">
        <v>7.8682978578142502E-4</v>
      </c>
      <c r="V136" s="9">
        <v>4.7547850874145298E-4</v>
      </c>
      <c r="W136" s="9">
        <v>1.0297575073701E-3</v>
      </c>
      <c r="X136" s="10">
        <v>3.8694607134707502</v>
      </c>
      <c r="Y136" s="10">
        <v>3.8719668777701699</v>
      </c>
      <c r="Z136" s="10">
        <v>3.87102694495682</v>
      </c>
      <c r="AA136" s="10">
        <v>3.8713563531707802</v>
      </c>
      <c r="AB136" s="8">
        <v>305.42849125226701</v>
      </c>
      <c r="AC136" s="8">
        <v>305.37472582591698</v>
      </c>
      <c r="AD136" s="8">
        <v>305.38736179568599</v>
      </c>
      <c r="AE136" s="9">
        <v>6.4746827569928198E-4</v>
      </c>
      <c r="AF136" s="9">
        <v>4.7142000029650101E-4</v>
      </c>
      <c r="AG136" s="9">
        <v>-3.8003836992136198E-3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-2.8025496050342602E-3</v>
      </c>
      <c r="BH136" s="9">
        <f t="shared" si="27"/>
        <v>2.9634529425547102E-3</v>
      </c>
      <c r="BI136" s="9">
        <f t="shared" si="28"/>
        <v>1.6090333752044996E-4</v>
      </c>
      <c r="BJ136" s="12">
        <f t="shared" si="29"/>
        <v>-1.0217795220145943E-3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-7.3738570686712052E-4</v>
      </c>
      <c r="BX136" s="12">
        <f t="shared" si="38"/>
        <v>1.6090333752044996E-4</v>
      </c>
      <c r="BY136" s="12">
        <f t="shared" si="39"/>
        <v>-1.7591652288817148E-3</v>
      </c>
    </row>
    <row r="137" spans="1:77" x14ac:dyDescent="0.3">
      <c r="A137" s="1">
        <v>46223</v>
      </c>
      <c r="B137" s="8">
        <v>77.430000000000007</v>
      </c>
      <c r="C137" s="8">
        <v>299.49</v>
      </c>
      <c r="D137" s="9">
        <v>-1.2322065801998501E-2</v>
      </c>
      <c r="E137" s="9">
        <v>-1.24765198077159E-2</v>
      </c>
      <c r="F137" s="8">
        <v>0</v>
      </c>
      <c r="G137" s="8">
        <v>0.49199999999999999</v>
      </c>
      <c r="H137" s="8">
        <v>0</v>
      </c>
      <c r="I137" s="8">
        <v>1.9807999999999999</v>
      </c>
      <c r="J137" s="8">
        <v>0.49199999999999999</v>
      </c>
      <c r="K137" s="8">
        <v>1.9807999999999999</v>
      </c>
      <c r="L137" s="8">
        <v>77.921999999999997</v>
      </c>
      <c r="M137" s="8">
        <v>301.4708</v>
      </c>
      <c r="N137" s="10">
        <v>3.86788066640836</v>
      </c>
      <c r="O137" s="10">
        <v>3.8715231538253501</v>
      </c>
      <c r="P137" s="10">
        <v>3.8699028229508698</v>
      </c>
      <c r="Q137" s="10">
        <v>3.8716573303794202</v>
      </c>
      <c r="R137" s="8">
        <v>299.77203780069698</v>
      </c>
      <c r="S137" s="8">
        <v>299.65846891273202</v>
      </c>
      <c r="T137" s="8">
        <v>299.839875512768</v>
      </c>
      <c r="U137" s="9">
        <v>9.4128379149882005E-4</v>
      </c>
      <c r="V137" s="9">
        <v>5.6236117060587604E-4</v>
      </c>
      <c r="W137" s="9">
        <v>1.1675558546619801E-3</v>
      </c>
      <c r="X137" s="10">
        <v>3.8688791355458001</v>
      </c>
      <c r="Y137" s="10">
        <v>3.8719668777701699</v>
      </c>
      <c r="Z137" s="10">
        <v>3.8708763031430702</v>
      </c>
      <c r="AA137" s="10">
        <v>3.87129442371196</v>
      </c>
      <c r="AB137" s="8">
        <v>301.71140304960699</v>
      </c>
      <c r="AC137" s="8">
        <v>301.63816160492502</v>
      </c>
      <c r="AD137" s="8">
        <v>301.66382975177299</v>
      </c>
      <c r="AE137" s="9">
        <v>7.9777904968812295E-4</v>
      </c>
      <c r="AF137" s="9">
        <v>5.5499626062920895E-4</v>
      </c>
      <c r="AG137" s="9">
        <v>-3.4034602295595598E-3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-1.2322065801998501E-2</v>
      </c>
      <c r="BH137" s="9">
        <f t="shared" si="27"/>
        <v>1.24765198077159E-2</v>
      </c>
      <c r="BI137" s="9">
        <f t="shared" si="28"/>
        <v>1.5445400571739883E-4</v>
      </c>
      <c r="BJ137" s="12">
        <f t="shared" si="29"/>
        <v>-8.6732551629719549E-4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-7.3738570686712052E-4</v>
      </c>
      <c r="BX137" s="12">
        <f t="shared" si="38"/>
        <v>1.5445400571739883E-4</v>
      </c>
      <c r="BY137" s="12">
        <f t="shared" si="39"/>
        <v>-1.604711223164316E-3</v>
      </c>
    </row>
    <row r="138" spans="1:77" x14ac:dyDescent="0.3">
      <c r="A138" s="1">
        <v>46224</v>
      </c>
      <c r="B138" s="8">
        <v>78.03</v>
      </c>
      <c r="C138" s="8">
        <v>301.92</v>
      </c>
      <c r="D138" s="9">
        <v>7.7190657300375397E-3</v>
      </c>
      <c r="E138" s="9">
        <v>8.0810536037965799E-3</v>
      </c>
      <c r="F138" s="8">
        <v>0</v>
      </c>
      <c r="G138" s="8">
        <v>0.49199999999999999</v>
      </c>
      <c r="H138" s="8">
        <v>0</v>
      </c>
      <c r="I138" s="8">
        <v>1.9807999999999999</v>
      </c>
      <c r="J138" s="8">
        <v>0.49199999999999999</v>
      </c>
      <c r="K138" s="8">
        <v>1.9807999999999999</v>
      </c>
      <c r="L138" s="8">
        <v>78.522000000000006</v>
      </c>
      <c r="M138" s="8">
        <v>303.9008</v>
      </c>
      <c r="N138" s="10">
        <v>3.86928104575163</v>
      </c>
      <c r="O138" s="10">
        <v>3.8715231538253501</v>
      </c>
      <c r="P138" s="10">
        <v>3.86969430868636</v>
      </c>
      <c r="Q138" s="10">
        <v>3.8709262406332399</v>
      </c>
      <c r="R138" s="8">
        <v>302.09495169299203</v>
      </c>
      <c r="S138" s="8">
        <v>301.96851727485603</v>
      </c>
      <c r="T138" s="8">
        <v>302.105421489506</v>
      </c>
      <c r="U138" s="9">
        <v>5.7929591773965604E-4</v>
      </c>
      <c r="V138" s="9">
        <v>1.6068288623864301E-4</v>
      </c>
      <c r="W138" s="9">
        <v>6.1395262097993096E-4</v>
      </c>
      <c r="X138" s="10">
        <v>3.8702631109752601</v>
      </c>
      <c r="Y138" s="10">
        <v>3.8719668777701699</v>
      </c>
      <c r="Z138" s="10">
        <v>3.8706716427865202</v>
      </c>
      <c r="AA138" s="10">
        <v>3.8712373385366399</v>
      </c>
      <c r="AB138" s="8">
        <v>304.034583176269</v>
      </c>
      <c r="AC138" s="8">
        <v>303.94894907539998</v>
      </c>
      <c r="AD138" s="8">
        <v>303.98178073870997</v>
      </c>
      <c r="AE138" s="9">
        <v>4.40123020083136E-4</v>
      </c>
      <c r="AF138" s="9">
        <v>1.58424267097175E-4</v>
      </c>
      <c r="AG138" s="9">
        <v>-1.54187881875662E-3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7.7190657300375397E-3</v>
      </c>
      <c r="BH138" s="9">
        <f t="shared" si="27"/>
        <v>-8.0810536037965799E-3</v>
      </c>
      <c r="BI138" s="9">
        <f t="shared" si="28"/>
        <v>-3.6198787375904019E-4</v>
      </c>
      <c r="BJ138" s="12">
        <f t="shared" si="29"/>
        <v>-1.2293133900562357E-3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-7.3738570686712052E-4</v>
      </c>
      <c r="BX138" s="12">
        <f t="shared" si="38"/>
        <v>-3.6198787375904019E-4</v>
      </c>
      <c r="BY138" s="12">
        <f t="shared" si="39"/>
        <v>-1.9666990969233562E-3</v>
      </c>
    </row>
    <row r="139" spans="1:77" x14ac:dyDescent="0.3">
      <c r="A139" s="1">
        <v>46225</v>
      </c>
      <c r="B139" s="8">
        <v>77.5</v>
      </c>
      <c r="C139" s="8">
        <v>299.8</v>
      </c>
      <c r="D139" s="9">
        <v>-6.8154317693685804E-3</v>
      </c>
      <c r="E139" s="9">
        <v>-7.04649595174274E-3</v>
      </c>
      <c r="F139" s="8">
        <v>0</v>
      </c>
      <c r="G139" s="8">
        <v>0.49199999999999999</v>
      </c>
      <c r="H139" s="8">
        <v>0</v>
      </c>
      <c r="I139" s="8">
        <v>1.9807999999999999</v>
      </c>
      <c r="J139" s="8">
        <v>0.49199999999999999</v>
      </c>
      <c r="K139" s="8">
        <v>1.9807999999999999</v>
      </c>
      <c r="L139" s="8">
        <v>77.992000000000004</v>
      </c>
      <c r="M139" s="8">
        <v>301.7808</v>
      </c>
      <c r="N139" s="10">
        <v>3.8683870967741898</v>
      </c>
      <c r="O139" s="10">
        <v>3.8715231538253501</v>
      </c>
      <c r="P139" s="10">
        <v>3.86950510374965</v>
      </c>
      <c r="Q139" s="10">
        <v>3.87024268416525</v>
      </c>
      <c r="R139" s="8">
        <v>300.043044421464</v>
      </c>
      <c r="S139" s="8">
        <v>299.90130892319303</v>
      </c>
      <c r="T139" s="8">
        <v>299.99678364907601</v>
      </c>
      <c r="U139" s="9">
        <v>8.1036010011384298E-4</v>
      </c>
      <c r="V139" s="9">
        <v>3.3786460909556099E-4</v>
      </c>
      <c r="W139" s="9">
        <v>6.5616776048745397E-4</v>
      </c>
      <c r="X139" s="10">
        <v>3.8693814750230699</v>
      </c>
      <c r="Y139" s="10">
        <v>3.8719668777701699</v>
      </c>
      <c r="Z139" s="10">
        <v>3.8704856909692</v>
      </c>
      <c r="AA139" s="10">
        <v>3.8712195542533001</v>
      </c>
      <c r="AB139" s="8">
        <v>301.98244073105099</v>
      </c>
      <c r="AC139" s="8">
        <v>301.88142276420598</v>
      </c>
      <c r="AD139" s="8">
        <v>301.92554250714898</v>
      </c>
      <c r="AE139" s="9">
        <v>6.67946390059916E-4</v>
      </c>
      <c r="AF139" s="9">
        <v>3.3337439827710303E-4</v>
      </c>
      <c r="AG139" s="9">
        <v>-1.6160452349794899E-4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-6.8154317693685804E-3</v>
      </c>
      <c r="BH139" s="9">
        <f t="shared" si="27"/>
        <v>7.04649595174274E-3</v>
      </c>
      <c r="BI139" s="9">
        <f t="shared" si="28"/>
        <v>2.3106418237415962E-4</v>
      </c>
      <c r="BJ139" s="12">
        <f t="shared" si="29"/>
        <v>-9.9824920768207606E-4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-7.3738570686712052E-4</v>
      </c>
      <c r="BX139" s="12">
        <f t="shared" si="38"/>
        <v>2.3106418237415962E-4</v>
      </c>
      <c r="BY139" s="12">
        <f t="shared" si="39"/>
        <v>-1.7356349145491966E-3</v>
      </c>
    </row>
    <row r="140" spans="1:77" x14ac:dyDescent="0.3">
      <c r="A140" s="1">
        <v>46226</v>
      </c>
      <c r="B140" s="8">
        <v>78.400000000000006</v>
      </c>
      <c r="C140" s="8">
        <v>303.31</v>
      </c>
      <c r="D140" s="9">
        <v>1.15459909970609E-2</v>
      </c>
      <c r="E140" s="9">
        <v>1.1639799138633901E-2</v>
      </c>
      <c r="F140" s="8">
        <v>0</v>
      </c>
      <c r="G140" s="8">
        <v>0.49199999999999999</v>
      </c>
      <c r="H140" s="8">
        <v>0</v>
      </c>
      <c r="I140" s="8">
        <v>1.9807999999999999</v>
      </c>
      <c r="J140" s="8">
        <v>0.49199999999999999</v>
      </c>
      <c r="K140" s="8">
        <v>1.9807999999999999</v>
      </c>
      <c r="L140" s="8">
        <v>78.891999999999996</v>
      </c>
      <c r="M140" s="8">
        <v>305.29079999999999</v>
      </c>
      <c r="N140" s="10">
        <v>3.8687499999999999</v>
      </c>
      <c r="O140" s="10">
        <v>3.8715231538253501</v>
      </c>
      <c r="P140" s="10">
        <v>3.8693835124101801</v>
      </c>
      <c r="Q140" s="10">
        <v>3.87010952178928</v>
      </c>
      <c r="R140" s="8">
        <v>303.527415259907</v>
      </c>
      <c r="S140" s="8">
        <v>303.36920013397298</v>
      </c>
      <c r="T140" s="8">
        <v>303.42702643855603</v>
      </c>
      <c r="U140" s="9">
        <v>7.1655195854104499E-4</v>
      </c>
      <c r="V140" s="9">
        <v>1.95161245508607E-4</v>
      </c>
      <c r="W140" s="9">
        <v>3.8575671141839502E-4</v>
      </c>
      <c r="X140" s="10">
        <v>3.86973077118085</v>
      </c>
      <c r="Y140" s="10">
        <v>3.8719668777701699</v>
      </c>
      <c r="Z140" s="10">
        <v>3.8703658469560702</v>
      </c>
      <c r="AA140" s="10">
        <v>3.87108476928293</v>
      </c>
      <c r="AB140" s="8">
        <v>305.467210921044</v>
      </c>
      <c r="AC140" s="8">
        <v>305.35035713194202</v>
      </c>
      <c r="AD140" s="8">
        <v>305.40825307415201</v>
      </c>
      <c r="AE140" s="9">
        <v>5.7767863145911295E-4</v>
      </c>
      <c r="AF140" s="9">
        <v>1.9506425806944299E-4</v>
      </c>
      <c r="AG140" s="9">
        <v>5.6896809248248997E-4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1.15459909970609E-2</v>
      </c>
      <c r="BH140" s="9">
        <f t="shared" si="27"/>
        <v>-1.1639799138633901E-2</v>
      </c>
      <c r="BI140" s="9">
        <f t="shared" si="28"/>
        <v>-9.3808141573000631E-5</v>
      </c>
      <c r="BJ140" s="12">
        <f t="shared" si="29"/>
        <v>-1.0920573492550767E-3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-7.3738570686712052E-4</v>
      </c>
      <c r="BX140" s="12">
        <f t="shared" si="38"/>
        <v>-9.3808141573000631E-5</v>
      </c>
      <c r="BY140" s="12">
        <f t="shared" si="39"/>
        <v>-1.8294430561221972E-3</v>
      </c>
    </row>
    <row r="141" spans="1:77" x14ac:dyDescent="0.3">
      <c r="A141" s="1">
        <v>46227</v>
      </c>
      <c r="B141" s="8">
        <v>78.84</v>
      </c>
      <c r="C141" s="8">
        <v>305.07</v>
      </c>
      <c r="D141" s="9">
        <v>5.5965549281573003E-3</v>
      </c>
      <c r="E141" s="9">
        <v>5.7858736640243403E-3</v>
      </c>
      <c r="F141" s="8">
        <v>0</v>
      </c>
      <c r="G141" s="8">
        <v>0.49199999999999999</v>
      </c>
      <c r="H141" s="8">
        <v>0</v>
      </c>
      <c r="I141" s="8">
        <v>1.9807999999999999</v>
      </c>
      <c r="J141" s="8">
        <v>0.49199999999999999</v>
      </c>
      <c r="K141" s="8">
        <v>1.9807999999999999</v>
      </c>
      <c r="L141" s="8">
        <v>79.331999999999994</v>
      </c>
      <c r="M141" s="8">
        <v>307.05079999999998</v>
      </c>
      <c r="N141" s="10">
        <v>3.86948249619482</v>
      </c>
      <c r="O141" s="10">
        <v>3.8715231538253501</v>
      </c>
      <c r="P141" s="10">
        <v>3.86931479990748</v>
      </c>
      <c r="Q141" s="10">
        <v>3.8700111799587802</v>
      </c>
      <c r="R141" s="8">
        <v>305.23088544759003</v>
      </c>
      <c r="S141" s="8">
        <v>305.062196118418</v>
      </c>
      <c r="T141" s="8">
        <v>305.11943469786701</v>
      </c>
      <c r="U141" s="9">
        <v>5.27233222673884E-4</v>
      </c>
      <c r="V141" s="9">
        <v>-2.55809532143287E-5</v>
      </c>
      <c r="W141" s="9">
        <v>1.62030658560456E-4</v>
      </c>
      <c r="X141" s="10">
        <v>3.87045328492915</v>
      </c>
      <c r="Y141" s="10">
        <v>3.8719668777701699</v>
      </c>
      <c r="Z141" s="10">
        <v>3.87029703385562</v>
      </c>
      <c r="AA141" s="10">
        <v>3.87098505553984</v>
      </c>
      <c r="AB141" s="8">
        <v>307.170876347263</v>
      </c>
      <c r="AC141" s="8">
        <v>307.04386337071901</v>
      </c>
      <c r="AD141" s="8">
        <v>307.10089691675398</v>
      </c>
      <c r="AE141" s="9">
        <v>3.9098701142422699E-4</v>
      </c>
      <c r="AF141" s="9">
        <v>-2.2591400624778199E-5</v>
      </c>
      <c r="AG141" s="9">
        <v>1.67903947077651E-3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-1.0920573492550767E-3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-7.3738570686712052E-4</v>
      </c>
      <c r="BX141" s="12">
        <f t="shared" si="38"/>
        <v>0</v>
      </c>
      <c r="BY141" s="12">
        <f t="shared" si="39"/>
        <v>-1.8294430561221972E-3</v>
      </c>
    </row>
    <row r="142" spans="1:77" x14ac:dyDescent="0.3">
      <c r="A142" s="1">
        <v>46230</v>
      </c>
      <c r="B142" s="8">
        <v>79.260000000000005</v>
      </c>
      <c r="C142" s="8">
        <v>306.67</v>
      </c>
      <c r="D142" s="9">
        <v>5.3131054777694597E-3</v>
      </c>
      <c r="E142" s="9">
        <v>5.2309924099646701E-3</v>
      </c>
      <c r="F142" s="8">
        <v>0</v>
      </c>
      <c r="G142" s="8">
        <v>0.49199999999999999</v>
      </c>
      <c r="H142" s="8">
        <v>0</v>
      </c>
      <c r="I142" s="8">
        <v>1.9807999999999999</v>
      </c>
      <c r="J142" s="8">
        <v>0.49199999999999999</v>
      </c>
      <c r="K142" s="8">
        <v>1.9807999999999999</v>
      </c>
      <c r="L142" s="8">
        <v>79.751999999999995</v>
      </c>
      <c r="M142" s="8">
        <v>308.6508</v>
      </c>
      <c r="N142" s="10">
        <v>3.8691647741609798</v>
      </c>
      <c r="O142" s="10">
        <v>3.8715231538253501</v>
      </c>
      <c r="P142" s="10">
        <v>3.8692459363420602</v>
      </c>
      <c r="Q142" s="10">
        <v>3.8699224814637998</v>
      </c>
      <c r="R142" s="8">
        <v>306.85692517219701</v>
      </c>
      <c r="S142" s="8">
        <v>306.68189104066698</v>
      </c>
      <c r="T142" s="8">
        <v>306.737086123533</v>
      </c>
      <c r="U142" s="9">
        <v>6.0934629047869403E-4</v>
      </c>
      <c r="V142" s="9">
        <v>3.8773959426869199E-5</v>
      </c>
      <c r="W142" s="9">
        <v>2.1873279692455401E-4</v>
      </c>
      <c r="X142" s="10">
        <v>3.8701324104724599</v>
      </c>
      <c r="Y142" s="10">
        <v>3.8719668777701699</v>
      </c>
      <c r="Z142" s="10">
        <v>3.8702276066147498</v>
      </c>
      <c r="AA142" s="10">
        <v>3.87089605573729</v>
      </c>
      <c r="AB142" s="8">
        <v>308.797102435927</v>
      </c>
      <c r="AC142" s="8">
        <v>308.66392904405302</v>
      </c>
      <c r="AD142" s="8">
        <v>308.71880014941303</v>
      </c>
      <c r="AE142" s="9">
        <v>4.73894034097759E-4</v>
      </c>
      <c r="AF142" s="9">
        <v>4.25359818514148E-5</v>
      </c>
      <c r="AG142" s="9">
        <v>1.0857202395779899E-3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-1.0920573492550767E-3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-7.3738570686712052E-4</v>
      </c>
      <c r="BX142" s="12">
        <f t="shared" si="38"/>
        <v>0</v>
      </c>
      <c r="BY142" s="12">
        <f t="shared" si="39"/>
        <v>-1.8294430561221972E-3</v>
      </c>
    </row>
    <row r="143" spans="1:77" x14ac:dyDescent="0.3">
      <c r="A143" s="1">
        <v>46231</v>
      </c>
      <c r="B143" s="8">
        <v>81</v>
      </c>
      <c r="C143" s="8">
        <v>313.23</v>
      </c>
      <c r="D143" s="9">
        <v>2.1715566910149701E-2</v>
      </c>
      <c r="E143" s="9">
        <v>2.1165494089008099E-2</v>
      </c>
      <c r="F143" s="8">
        <v>0</v>
      </c>
      <c r="G143" s="8">
        <v>0.49199999999999999</v>
      </c>
      <c r="H143" s="8">
        <v>0</v>
      </c>
      <c r="I143" s="8">
        <v>1.9807999999999999</v>
      </c>
      <c r="J143" s="8">
        <v>0.49199999999999999</v>
      </c>
      <c r="K143" s="8">
        <v>1.9807999999999999</v>
      </c>
      <c r="L143" s="8">
        <v>81.492000000000004</v>
      </c>
      <c r="M143" s="8">
        <v>315.21080000000001</v>
      </c>
      <c r="N143" s="10">
        <v>3.8670370370370302</v>
      </c>
      <c r="O143" s="10">
        <v>3.8715231538253501</v>
      </c>
      <c r="P143" s="10">
        <v>3.8689745234050199</v>
      </c>
      <c r="Q143" s="10">
        <v>3.8697067449899998</v>
      </c>
      <c r="R143" s="8">
        <v>313.59337545985301</v>
      </c>
      <c r="S143" s="8">
        <v>313.40892084370699</v>
      </c>
      <c r="T143" s="8">
        <v>313.463720998567</v>
      </c>
      <c r="U143" s="9">
        <v>1.1594191116200601E-3</v>
      </c>
      <c r="V143" s="9">
        <v>5.7104926814540303E-4</v>
      </c>
      <c r="W143" s="9">
        <v>7.4588591387583997E-4</v>
      </c>
      <c r="X143" s="10">
        <v>3.8679968585873401</v>
      </c>
      <c r="Y143" s="10">
        <v>3.8719668777701699</v>
      </c>
      <c r="Z143" s="10">
        <v>3.86995316688754</v>
      </c>
      <c r="AA143" s="10">
        <v>3.8706799112855901</v>
      </c>
      <c r="AB143" s="8">
        <v>315.53432480324699</v>
      </c>
      <c r="AC143" s="8">
        <v>315.39258811824902</v>
      </c>
      <c r="AD143" s="8">
        <v>315.447061374143</v>
      </c>
      <c r="AE143" s="9">
        <v>1.0258496463861201E-3</v>
      </c>
      <c r="AF143" s="9">
        <v>5.7655295455376397E-4</v>
      </c>
      <c r="AG143" s="9">
        <v>4.2659324334834301E-4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-1.0920573492550767E-3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-7.3738570686712052E-4</v>
      </c>
      <c r="BX143" s="12">
        <f t="shared" si="38"/>
        <v>0</v>
      </c>
      <c r="BY143" s="12">
        <f t="shared" si="39"/>
        <v>-1.8294430561221972E-3</v>
      </c>
    </row>
    <row r="144" spans="1:77" x14ac:dyDescent="0.3">
      <c r="A144" s="1">
        <v>46232</v>
      </c>
      <c r="B144" s="8">
        <v>80.5</v>
      </c>
      <c r="C144" s="8">
        <v>311.32</v>
      </c>
      <c r="D144" s="9">
        <v>-6.1919702479211001E-3</v>
      </c>
      <c r="E144" s="9">
        <v>-6.1164228789413102E-3</v>
      </c>
      <c r="F144" s="8">
        <v>0</v>
      </c>
      <c r="G144" s="8">
        <v>0.49199999999999999</v>
      </c>
      <c r="H144" s="8">
        <v>0</v>
      </c>
      <c r="I144" s="8">
        <v>1.9807999999999999</v>
      </c>
      <c r="J144" s="8">
        <v>0.49199999999999999</v>
      </c>
      <c r="K144" s="8">
        <v>1.9807999999999999</v>
      </c>
      <c r="L144" s="8">
        <v>80.992000000000004</v>
      </c>
      <c r="M144" s="8">
        <v>313.30079999999998</v>
      </c>
      <c r="N144" s="10">
        <v>3.8673291925465798</v>
      </c>
      <c r="O144" s="10">
        <v>3.8715231538253501</v>
      </c>
      <c r="P144" s="10">
        <v>3.8684891054413399</v>
      </c>
      <c r="Q144" s="10">
        <v>3.8695392240348001</v>
      </c>
      <c r="R144" s="8">
        <v>311.65761388293998</v>
      </c>
      <c r="S144" s="8">
        <v>311.45244913410397</v>
      </c>
      <c r="T144" s="8">
        <v>311.51139297169499</v>
      </c>
      <c r="U144" s="9">
        <v>1.0838717426403599E-3</v>
      </c>
      <c r="V144" s="9">
        <v>4.2535322905047201E-4</v>
      </c>
      <c r="W144" s="9">
        <v>6.14590015465514E-4</v>
      </c>
      <c r="X144" s="10">
        <v>3.8682931647570098</v>
      </c>
      <c r="Y144" s="10">
        <v>3.8719668777701699</v>
      </c>
      <c r="Z144" s="10">
        <v>3.8694667534888301</v>
      </c>
      <c r="AA144" s="10">
        <v>3.8705114355675398</v>
      </c>
      <c r="AB144" s="8">
        <v>313.598341364362</v>
      </c>
      <c r="AC144" s="8">
        <v>313.43524689255599</v>
      </c>
      <c r="AD144" s="8">
        <v>313.494107374843</v>
      </c>
      <c r="AE144" s="9">
        <v>9.4924802754360203E-4</v>
      </c>
      <c r="AF144" s="9">
        <v>4.2903833371353702E-4</v>
      </c>
      <c r="AG144" s="9">
        <v>-5.1419071606388601E-4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-1.0920573492550767E-3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-7.3738570686712052E-4</v>
      </c>
      <c r="BX144" s="12">
        <f t="shared" si="38"/>
        <v>0</v>
      </c>
      <c r="BY144" s="12">
        <f t="shared" si="39"/>
        <v>-1.8294430561221972E-3</v>
      </c>
    </row>
    <row r="145" spans="1:77" x14ac:dyDescent="0.3">
      <c r="A145" s="1">
        <v>46233</v>
      </c>
      <c r="B145" s="8">
        <v>79.44</v>
      </c>
      <c r="C145" s="8">
        <v>307.14999999999998</v>
      </c>
      <c r="D145" s="9">
        <v>-1.3255164687600501E-2</v>
      </c>
      <c r="E145" s="9">
        <v>-1.3485094481251E-2</v>
      </c>
      <c r="F145" s="8">
        <v>0</v>
      </c>
      <c r="G145" s="8">
        <v>0.49199999999999999</v>
      </c>
      <c r="H145" s="8">
        <v>0</v>
      </c>
      <c r="I145" s="8">
        <v>1.9807999999999999</v>
      </c>
      <c r="J145" s="8">
        <v>0.49199999999999999</v>
      </c>
      <c r="K145" s="8">
        <v>1.9807999999999999</v>
      </c>
      <c r="L145" s="8">
        <v>79.932000000000002</v>
      </c>
      <c r="M145" s="8">
        <v>309.130799999999</v>
      </c>
      <c r="N145" s="10">
        <v>3.8664400805639398</v>
      </c>
      <c r="O145" s="10">
        <v>3.8715231538253501</v>
      </c>
      <c r="P145" s="10">
        <v>3.8682230511647</v>
      </c>
      <c r="Q145" s="10">
        <v>3.8692704944722598</v>
      </c>
      <c r="R145" s="8">
        <v>307.55379933988502</v>
      </c>
      <c r="S145" s="8">
        <v>307.31277453626001</v>
      </c>
      <c r="T145" s="8">
        <v>307.39619595732398</v>
      </c>
      <c r="U145" s="9">
        <v>1.31380153629071E-3</v>
      </c>
      <c r="V145" s="9">
        <v>5.2981090739282399E-4</v>
      </c>
      <c r="W145" s="9">
        <v>8.0122852314531198E-4</v>
      </c>
      <c r="X145" s="10">
        <v>3.8674223089626101</v>
      </c>
      <c r="Y145" s="10">
        <v>3.8719668777701699</v>
      </c>
      <c r="Z145" s="10">
        <v>3.8692013233904299</v>
      </c>
      <c r="AA145" s="10">
        <v>3.8702433040338802</v>
      </c>
      <c r="AB145" s="8">
        <v>309.49405647392501</v>
      </c>
      <c r="AC145" s="8">
        <v>309.29421653986901</v>
      </c>
      <c r="AD145" s="8">
        <v>309.37772006778403</v>
      </c>
      <c r="AE145" s="9">
        <v>1.17439999985511E-3</v>
      </c>
      <c r="AF145" s="9">
        <v>5.2849266864332797E-4</v>
      </c>
      <c r="AG145" s="9">
        <v>1.5783607686435199E-3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-1.0920573492550767E-3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-7.3738570686712052E-4</v>
      </c>
      <c r="BX145" s="12">
        <f t="shared" si="38"/>
        <v>0</v>
      </c>
      <c r="BY145" s="12">
        <f t="shared" si="39"/>
        <v>-1.8294430561221972E-3</v>
      </c>
    </row>
    <row r="146" spans="1:77" x14ac:dyDescent="0.3">
      <c r="A146" s="1">
        <v>46234</v>
      </c>
      <c r="B146" s="8">
        <v>78.75</v>
      </c>
      <c r="C146" s="8">
        <v>304.81</v>
      </c>
      <c r="D146" s="9">
        <v>-8.7237420311747308E-3</v>
      </c>
      <c r="E146" s="9">
        <v>-7.6475959366787503E-3</v>
      </c>
      <c r="F146" s="8">
        <v>0</v>
      </c>
      <c r="G146" s="8">
        <v>0.49199999999999999</v>
      </c>
      <c r="H146" s="8">
        <v>0</v>
      </c>
      <c r="I146" s="8">
        <v>1.9807999999999999</v>
      </c>
      <c r="J146" s="8">
        <v>0.49199999999999999</v>
      </c>
      <c r="K146" s="8">
        <v>1.9807999999999999</v>
      </c>
      <c r="L146" s="8">
        <v>79.242000000000004</v>
      </c>
      <c r="M146" s="8">
        <v>306.79079999999999</v>
      </c>
      <c r="N146" s="10">
        <v>3.8706031746031702</v>
      </c>
      <c r="O146" s="10">
        <v>3.8715231538253501</v>
      </c>
      <c r="P146" s="10">
        <v>3.8684355564040702</v>
      </c>
      <c r="Q146" s="10">
        <v>3.86924599021761</v>
      </c>
      <c r="R146" s="8">
        <v>304.88244836374599</v>
      </c>
      <c r="S146" s="8">
        <v>304.62256527922</v>
      </c>
      <c r="T146" s="8">
        <v>304.70505143969098</v>
      </c>
      <c r="U146" s="9">
        <v>2.37655441794945E-4</v>
      </c>
      <c r="V146" s="9">
        <v>-6.1511227777424297E-4</v>
      </c>
      <c r="W146" s="9">
        <v>-3.4436741503933498E-4</v>
      </c>
      <c r="X146" s="10">
        <v>3.8715681078216</v>
      </c>
      <c r="Y146" s="10">
        <v>3.8719668777701699</v>
      </c>
      <c r="Z146" s="10">
        <v>3.86941206282552</v>
      </c>
      <c r="AA146" s="10">
        <v>3.8702195038911702</v>
      </c>
      <c r="AB146" s="8">
        <v>306.822399328264</v>
      </c>
      <c r="AC146" s="8">
        <v>306.60325126810397</v>
      </c>
      <c r="AD146" s="8">
        <v>306.68581989825299</v>
      </c>
      <c r="AE146" s="9">
        <v>1.0299429127996199E-4</v>
      </c>
      <c r="AF146" s="9">
        <v>-6.1151143331677398E-4</v>
      </c>
      <c r="AG146" s="9">
        <v>9.40432586550122E-4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-1.0920573492550767E-3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-7.3738570686712052E-4</v>
      </c>
      <c r="BX146" s="12">
        <f t="shared" si="38"/>
        <v>0</v>
      </c>
      <c r="BY146" s="12">
        <f t="shared" si="39"/>
        <v>-1.8294430561221972E-3</v>
      </c>
    </row>
    <row r="147" spans="1:77" x14ac:dyDescent="0.3">
      <c r="A147" s="1">
        <v>46237</v>
      </c>
      <c r="B147" s="8">
        <v>78.72</v>
      </c>
      <c r="C147" s="8">
        <v>304.52</v>
      </c>
      <c r="D147" s="9">
        <v>-3.8102496174444899E-4</v>
      </c>
      <c r="E147" s="9">
        <v>-9.5186523524582703E-4</v>
      </c>
      <c r="F147" s="8">
        <v>0</v>
      </c>
      <c r="G147" s="8">
        <v>0.49199999999999999</v>
      </c>
      <c r="H147" s="8">
        <v>0</v>
      </c>
      <c r="I147" s="8">
        <v>1.9807999999999999</v>
      </c>
      <c r="J147" s="8">
        <v>0.49199999999999999</v>
      </c>
      <c r="K147" s="8">
        <v>1.9807999999999999</v>
      </c>
      <c r="L147" s="8">
        <v>79.212000000000003</v>
      </c>
      <c r="M147" s="8">
        <v>306.500799999999</v>
      </c>
      <c r="N147" s="10">
        <v>3.8683943089430799</v>
      </c>
      <c r="O147" s="10">
        <v>3.8715231538253501</v>
      </c>
      <c r="P147" s="10">
        <v>3.8684869206575399</v>
      </c>
      <c r="Q147" s="10">
        <v>3.86919487180421</v>
      </c>
      <c r="R147" s="8">
        <v>304.76630266913099</v>
      </c>
      <c r="S147" s="8">
        <v>304.52324700012798</v>
      </c>
      <c r="T147" s="8">
        <v>304.58704434993001</v>
      </c>
      <c r="U147" s="9">
        <v>8.0849571529607097E-4</v>
      </c>
      <c r="V147" s="9">
        <v>1.06626258312458E-5</v>
      </c>
      <c r="W147" s="9">
        <v>2.2013979586462E-4</v>
      </c>
      <c r="X147" s="10">
        <v>3.8693733272736401</v>
      </c>
      <c r="Y147" s="10">
        <v>3.8719668777701699</v>
      </c>
      <c r="Z147" s="10">
        <v>3.8694614819983002</v>
      </c>
      <c r="AA147" s="10">
        <v>3.8701688925706899</v>
      </c>
      <c r="AB147" s="8">
        <v>306.70624032193098</v>
      </c>
      <c r="AC147" s="8">
        <v>306.50386832053499</v>
      </c>
      <c r="AD147" s="8">
        <v>306.56782734222702</v>
      </c>
      <c r="AE147" s="9">
        <v>6.7005209043215295E-4</v>
      </c>
      <c r="AF147" s="9">
        <v>1.00107574828658E-5</v>
      </c>
      <c r="AG147" s="9">
        <v>1.01688574664222E-4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-1.0920573492550767E-3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-7.3738570686712052E-4</v>
      </c>
      <c r="BX147" s="12">
        <f t="shared" si="38"/>
        <v>0</v>
      </c>
      <c r="BY147" s="12">
        <f t="shared" si="39"/>
        <v>-1.8294430561221972E-3</v>
      </c>
    </row>
    <row r="148" spans="1:77" x14ac:dyDescent="0.3">
      <c r="A148" s="1">
        <v>46238</v>
      </c>
      <c r="B148" s="8">
        <v>78.86</v>
      </c>
      <c r="C148" s="8">
        <v>304.99</v>
      </c>
      <c r="D148" s="9">
        <v>1.77687570548307E-3</v>
      </c>
      <c r="E148" s="9">
        <v>1.5422227466522201E-3</v>
      </c>
      <c r="F148" s="8">
        <v>0</v>
      </c>
      <c r="G148" s="8">
        <v>0.49199999999999999</v>
      </c>
      <c r="H148" s="8">
        <v>0</v>
      </c>
      <c r="I148" s="8">
        <v>1.9807999999999999</v>
      </c>
      <c r="J148" s="8">
        <v>0.49199999999999999</v>
      </c>
      <c r="K148" s="8">
        <v>1.9807999999999999</v>
      </c>
      <c r="L148" s="8">
        <v>79.352000000000004</v>
      </c>
      <c r="M148" s="8">
        <v>306.9708</v>
      </c>
      <c r="N148" s="10">
        <v>3.8674866852650198</v>
      </c>
      <c r="O148" s="10">
        <v>3.8715231538253501</v>
      </c>
      <c r="P148" s="10">
        <v>3.8683074846088799</v>
      </c>
      <c r="Q148" s="10">
        <v>3.8690008966476199</v>
      </c>
      <c r="R148" s="8">
        <v>305.30831591066698</v>
      </c>
      <c r="S148" s="8">
        <v>305.068878563054</v>
      </c>
      <c r="T148" s="8">
        <v>305.12470759048</v>
      </c>
      <c r="U148" s="9">
        <v>1.04314867412723E-3</v>
      </c>
      <c r="V148" s="9">
        <v>2.5859328096178698E-4</v>
      </c>
      <c r="W148" s="9">
        <v>4.4158120102004699E-4</v>
      </c>
      <c r="X148" s="10">
        <v>3.8684696037906998</v>
      </c>
      <c r="Y148" s="10">
        <v>3.8719668777701699</v>
      </c>
      <c r="Z148" s="10">
        <v>3.86928213127984</v>
      </c>
      <c r="AA148" s="10">
        <v>3.8699768870331801</v>
      </c>
      <c r="AB148" s="8">
        <v>307.24831568481898</v>
      </c>
      <c r="AC148" s="8">
        <v>307.04950751952902</v>
      </c>
      <c r="AD148" s="8">
        <v>307.10564196326902</v>
      </c>
      <c r="AE148" s="9">
        <v>9.0363746948427599E-4</v>
      </c>
      <c r="AF148" s="9">
        <v>2.56367807373171E-4</v>
      </c>
      <c r="AG148" s="9">
        <v>3.1068698516110402E-4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-1.0920573492550767E-3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-7.3738570686712052E-4</v>
      </c>
      <c r="BX148" s="12">
        <f t="shared" si="38"/>
        <v>0</v>
      </c>
      <c r="BY148" s="12">
        <f t="shared" si="39"/>
        <v>-1.8294430561221972E-3</v>
      </c>
    </row>
    <row r="149" spans="1:77" x14ac:dyDescent="0.3">
      <c r="A149" s="1">
        <v>46239</v>
      </c>
      <c r="B149" s="8">
        <v>79.72</v>
      </c>
      <c r="C149" s="8">
        <v>308.54000000000002</v>
      </c>
      <c r="D149" s="9">
        <v>1.0846366895112701E-2</v>
      </c>
      <c r="E149" s="9">
        <v>1.1572505399129299E-2</v>
      </c>
      <c r="F149" s="8">
        <v>0</v>
      </c>
      <c r="G149" s="8">
        <v>0.49199999999999999</v>
      </c>
      <c r="H149" s="8">
        <v>0</v>
      </c>
      <c r="I149" s="8">
        <v>1.9807999999999999</v>
      </c>
      <c r="J149" s="8">
        <v>0.49199999999999999</v>
      </c>
      <c r="K149" s="8">
        <v>1.9807999999999999</v>
      </c>
      <c r="L149" s="8">
        <v>80.212000000000003</v>
      </c>
      <c r="M149" s="8">
        <v>310.52080000000001</v>
      </c>
      <c r="N149" s="10">
        <v>3.8702960361264398</v>
      </c>
      <c r="O149" s="10">
        <v>3.8715231538253501</v>
      </c>
      <c r="P149" s="10">
        <v>3.8684983785441101</v>
      </c>
      <c r="Q149" s="10">
        <v>3.8690017411468798</v>
      </c>
      <c r="R149" s="8">
        <v>308.63782582295698</v>
      </c>
      <c r="S149" s="8">
        <v>308.38147267302003</v>
      </c>
      <c r="T149" s="8">
        <v>308.436751480748</v>
      </c>
      <c r="U149" s="9">
        <v>3.1701017011053298E-4</v>
      </c>
      <c r="V149" s="9">
        <v>-5.1393033794706205E-4</v>
      </c>
      <c r="W149" s="9">
        <v>-3.34691769073704E-4</v>
      </c>
      <c r="X149" s="10">
        <v>3.8712511843614399</v>
      </c>
      <c r="Y149" s="10">
        <v>3.8719668777701699</v>
      </c>
      <c r="Z149" s="10">
        <v>3.8694691022136798</v>
      </c>
      <c r="AA149" s="10">
        <v>3.8699773965914401</v>
      </c>
      <c r="AB149" s="8">
        <v>310.57820719970101</v>
      </c>
      <c r="AC149" s="8">
        <v>310.36285831421901</v>
      </c>
      <c r="AD149" s="8">
        <v>310.418586062705</v>
      </c>
      <c r="AE149" s="9">
        <v>1.84856839890477E-4</v>
      </c>
      <c r="AF149" s="9">
        <v>-5.0876420106283195E-4</v>
      </c>
      <c r="AG149" s="9">
        <v>1.7978208282074499E-4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-1.0920573492550767E-3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-7.3738570686712052E-4</v>
      </c>
      <c r="BX149" s="12">
        <f t="shared" si="38"/>
        <v>0</v>
      </c>
      <c r="BY149" s="12">
        <f t="shared" si="39"/>
        <v>-1.8294430561221972E-3</v>
      </c>
    </row>
    <row r="150" spans="1:77" x14ac:dyDescent="0.3">
      <c r="A150" s="1">
        <v>46240</v>
      </c>
      <c r="B150" s="8">
        <v>79.84</v>
      </c>
      <c r="C150" s="8">
        <v>309.02</v>
      </c>
      <c r="D150" s="9">
        <v>1.5041366586146399E-3</v>
      </c>
      <c r="E150" s="9">
        <v>1.5545051384785601E-3</v>
      </c>
      <c r="F150" s="8">
        <v>0</v>
      </c>
      <c r="G150" s="8">
        <v>0.49199999999999999</v>
      </c>
      <c r="H150" s="8">
        <v>0</v>
      </c>
      <c r="I150" s="8">
        <v>1.9807999999999999</v>
      </c>
      <c r="J150" s="8">
        <v>0.49199999999999999</v>
      </c>
      <c r="K150" s="8">
        <v>1.9807999999999999</v>
      </c>
      <c r="L150" s="8">
        <v>80.331999999999994</v>
      </c>
      <c r="M150" s="8">
        <v>311.000799999999</v>
      </c>
      <c r="N150" s="10">
        <v>3.8704909819639202</v>
      </c>
      <c r="O150" s="10">
        <v>3.8715231538253501</v>
      </c>
      <c r="P150" s="10">
        <v>3.8686724767405001</v>
      </c>
      <c r="Q150" s="10">
        <v>3.8690279945753399</v>
      </c>
      <c r="R150" s="8">
        <v>309.10240860141602</v>
      </c>
      <c r="S150" s="8">
        <v>308.86091054296099</v>
      </c>
      <c r="T150" s="8">
        <v>308.90109901316703</v>
      </c>
      <c r="U150" s="9">
        <v>2.6664169024658799E-4</v>
      </c>
      <c r="V150" s="9">
        <v>-5.1495185508755505E-4</v>
      </c>
      <c r="W150" s="9">
        <v>-3.84841975747447E-4</v>
      </c>
      <c r="X150" s="10">
        <v>3.8714435094358399</v>
      </c>
      <c r="Y150" s="10">
        <v>3.8719668777701699</v>
      </c>
      <c r="Z150" s="10">
        <v>3.8696403760391802</v>
      </c>
      <c r="AA150" s="10">
        <v>3.8700031114976299</v>
      </c>
      <c r="AB150" s="8">
        <v>311.04284322503298</v>
      </c>
      <c r="AC150" s="8">
        <v>310.84219191902901</v>
      </c>
      <c r="AD150" s="8">
        <v>310.88302422298398</v>
      </c>
      <c r="AE150" s="9">
        <v>1.3517773408951099E-4</v>
      </c>
      <c r="AF150" s="9">
        <v>-5.1012260802406296E-4</v>
      </c>
      <c r="AG150" s="9">
        <v>-2.19441788300073E-3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-1.0920573492550767E-3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-7.3738570686712052E-4</v>
      </c>
      <c r="BX150" s="12">
        <f t="shared" si="38"/>
        <v>0</v>
      </c>
      <c r="BY150" s="12">
        <f t="shared" si="39"/>
        <v>-1.8294430561221972E-3</v>
      </c>
    </row>
    <row r="151" spans="1:77" x14ac:dyDescent="0.3">
      <c r="A151" s="1">
        <v>46241</v>
      </c>
      <c r="B151" s="8">
        <v>80.67</v>
      </c>
      <c r="C151" s="8">
        <v>312.12</v>
      </c>
      <c r="D151" s="9">
        <v>1.03421269456744E-2</v>
      </c>
      <c r="E151" s="9">
        <v>9.9817295262885006E-3</v>
      </c>
      <c r="F151" s="8">
        <v>0</v>
      </c>
      <c r="G151" s="8">
        <v>0.49199999999999999</v>
      </c>
      <c r="H151" s="8">
        <v>0</v>
      </c>
      <c r="I151" s="8">
        <v>1.9807999999999999</v>
      </c>
      <c r="J151" s="8">
        <v>0.49199999999999999</v>
      </c>
      <c r="K151" s="8">
        <v>1.9807999999999999</v>
      </c>
      <c r="L151" s="8">
        <v>81.162000000000006</v>
      </c>
      <c r="M151" s="8">
        <v>314.10079999999999</v>
      </c>
      <c r="N151" s="10">
        <v>3.8690963183339502</v>
      </c>
      <c r="O151" s="10">
        <v>3.8715231538253501</v>
      </c>
      <c r="P151" s="10">
        <v>3.8686338589544098</v>
      </c>
      <c r="Q151" s="10">
        <v>3.8689743294309502</v>
      </c>
      <c r="R151" s="8">
        <v>312.31577281909102</v>
      </c>
      <c r="S151" s="8">
        <v>312.08580869865602</v>
      </c>
      <c r="T151" s="8">
        <v>312.11448832239199</v>
      </c>
      <c r="U151" s="9">
        <v>6.2703910963259296E-4</v>
      </c>
      <c r="V151" s="9">
        <v>-1.0955137200343899E-4</v>
      </c>
      <c r="W151" s="9">
        <v>-1.7658997413138599E-5</v>
      </c>
      <c r="X151" s="10">
        <v>3.8700475592025798</v>
      </c>
      <c r="Y151" s="10">
        <v>3.8719668777701699</v>
      </c>
      <c r="Z151" s="10">
        <v>3.86959980346652</v>
      </c>
      <c r="AA151" s="10">
        <v>3.8699484186610702</v>
      </c>
      <c r="AB151" s="8">
        <v>314.25657573358302</v>
      </c>
      <c r="AC151" s="8">
        <v>314.067752200092</v>
      </c>
      <c r="AD151" s="8">
        <v>314.09719253537003</v>
      </c>
      <c r="AE151" s="9">
        <v>4.9581891703774997E-4</v>
      </c>
      <c r="AF151" s="9">
        <v>-1.0521953008469999E-4</v>
      </c>
      <c r="AG151" s="9">
        <v>-2.78145902881035E-3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1.03421269456744E-2</v>
      </c>
      <c r="BH151" s="9">
        <f t="shared" ref="BH151:BH167" si="47">-BF151*$E151</f>
        <v>-9.9817295262885006E-3</v>
      </c>
      <c r="BI151" s="9">
        <f t="shared" ref="BI151:BI167" si="48">BG151+BH151</f>
        <v>3.6039741938589942E-4</v>
      </c>
      <c r="BJ151" s="12">
        <f t="shared" ref="BJ151:BJ167" si="49">BJ150+BI151</f>
        <v>-7.3165992986917727E-4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-7.3738570686712052E-4</v>
      </c>
      <c r="BX151" s="12">
        <f t="shared" ref="BX151:BX167" si="58">BI151+BU151</f>
        <v>3.6039741938589942E-4</v>
      </c>
      <c r="BY151" s="12">
        <f t="shared" ref="BY151:BY167" si="59">BY150+BX151</f>
        <v>-1.4690456367362978E-3</v>
      </c>
    </row>
    <row r="152" spans="1:77" x14ac:dyDescent="0.3">
      <c r="A152" s="1">
        <v>46244</v>
      </c>
      <c r="B152" s="8">
        <v>81.900000000000006</v>
      </c>
      <c r="C152" s="8">
        <v>316.72000000000003</v>
      </c>
      <c r="D152" s="9">
        <v>1.51322319101409E-2</v>
      </c>
      <c r="E152" s="9">
        <v>1.4630373549314599E-2</v>
      </c>
      <c r="F152" s="8">
        <v>0</v>
      </c>
      <c r="G152" s="8">
        <v>0.49199999999999999</v>
      </c>
      <c r="H152" s="8">
        <v>0</v>
      </c>
      <c r="I152" s="8">
        <v>1.9807999999999999</v>
      </c>
      <c r="J152" s="8">
        <v>0.49199999999999999</v>
      </c>
      <c r="K152" s="8">
        <v>1.9807999999999999</v>
      </c>
      <c r="L152" s="8">
        <v>82.391999999999996</v>
      </c>
      <c r="M152" s="8">
        <v>318.70080000000002</v>
      </c>
      <c r="N152" s="10">
        <v>3.8671550671550601</v>
      </c>
      <c r="O152" s="10">
        <v>3.8715231538253501</v>
      </c>
      <c r="P152" s="10">
        <v>3.8684328882538201</v>
      </c>
      <c r="Q152" s="10">
        <v>3.8688394122979402</v>
      </c>
      <c r="R152" s="8">
        <v>317.07774629829601</v>
      </c>
      <c r="S152" s="8">
        <v>316.84111304836603</v>
      </c>
      <c r="T152" s="8">
        <v>316.86899758039402</v>
      </c>
      <c r="U152" s="9">
        <v>1.1288974704585901E-3</v>
      </c>
      <c r="V152" s="9">
        <v>3.82324758725394E-4</v>
      </c>
      <c r="W152" s="9">
        <v>4.70328821082863E-4</v>
      </c>
      <c r="X152" s="10">
        <v>3.86810369938829</v>
      </c>
      <c r="Y152" s="10">
        <v>3.8719668777701699</v>
      </c>
      <c r="Z152" s="10">
        <v>3.8693969323581001</v>
      </c>
      <c r="AA152" s="10">
        <v>3.8698122694864301</v>
      </c>
      <c r="AB152" s="8">
        <v>319.01909499324</v>
      </c>
      <c r="AC152" s="8">
        <v>318.82406700721401</v>
      </c>
      <c r="AD152" s="8">
        <v>318.85279011032299</v>
      </c>
      <c r="AE152" s="9">
        <v>9.9822828853263906E-4</v>
      </c>
      <c r="AF152" s="9">
        <v>3.8670494322447598E-4</v>
      </c>
      <c r="AG152" s="9">
        <v>-3.2826991431648199E-3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1.51322319101409E-2</v>
      </c>
      <c r="BH152" s="9">
        <f t="shared" si="47"/>
        <v>-1.4630373549314599E-2</v>
      </c>
      <c r="BI152" s="9">
        <f t="shared" si="48"/>
        <v>5.0185836082630025E-4</v>
      </c>
      <c r="BJ152" s="12">
        <f t="shared" si="49"/>
        <v>-2.2980156904287702E-4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-7.3738570686712052E-4</v>
      </c>
      <c r="BX152" s="12">
        <f t="shared" si="58"/>
        <v>5.0185836082630025E-4</v>
      </c>
      <c r="BY152" s="12">
        <f t="shared" si="59"/>
        <v>-9.6718727590999753E-4</v>
      </c>
    </row>
    <row r="153" spans="1:77" x14ac:dyDescent="0.3">
      <c r="A153" s="1">
        <v>46245</v>
      </c>
      <c r="B153" s="8">
        <v>81.61</v>
      </c>
      <c r="C153" s="8">
        <v>315.70999999999998</v>
      </c>
      <c r="D153" s="9">
        <v>-3.54718737787233E-3</v>
      </c>
      <c r="E153" s="9">
        <v>-3.1940320941601899E-3</v>
      </c>
      <c r="F153" s="8">
        <v>0</v>
      </c>
      <c r="G153" s="8">
        <v>0.49199999999999999</v>
      </c>
      <c r="H153" s="8">
        <v>0</v>
      </c>
      <c r="I153" s="8">
        <v>1.9807999999999999</v>
      </c>
      <c r="J153" s="8">
        <v>0.49199999999999999</v>
      </c>
      <c r="K153" s="8">
        <v>1.9807999999999999</v>
      </c>
      <c r="L153" s="8">
        <v>82.102000000000004</v>
      </c>
      <c r="M153" s="8">
        <v>317.690799999999</v>
      </c>
      <c r="N153" s="10">
        <v>3.8685210145815399</v>
      </c>
      <c r="O153" s="10">
        <v>3.8715231538253501</v>
      </c>
      <c r="P153" s="10">
        <v>3.8685812860082698</v>
      </c>
      <c r="Q153" s="10">
        <v>3.8687779047066502</v>
      </c>
      <c r="R153" s="8">
        <v>315.95500458368599</v>
      </c>
      <c r="S153" s="8">
        <v>315.70280801039399</v>
      </c>
      <c r="T153" s="8">
        <v>315.73598443763501</v>
      </c>
      <c r="U153" s="9">
        <v>7.7574218674636105E-4</v>
      </c>
      <c r="V153" s="9">
        <v>-2.27806262857462E-5</v>
      </c>
      <c r="W153" s="9">
        <v>8.2301379026596794E-5</v>
      </c>
      <c r="X153" s="10">
        <v>3.8694648120630402</v>
      </c>
      <c r="Y153" s="10">
        <v>3.8719668777701699</v>
      </c>
      <c r="Z153" s="10">
        <v>3.8695437277056701</v>
      </c>
      <c r="AA153" s="10">
        <v>3.8697484472966099</v>
      </c>
      <c r="AB153" s="8">
        <v>317.89622459868701</v>
      </c>
      <c r="AC153" s="8">
        <v>317.68522694046499</v>
      </c>
      <c r="AD153" s="8">
        <v>317.71932694937499</v>
      </c>
      <c r="AE153" s="9">
        <v>6.4640906088313699E-4</v>
      </c>
      <c r="AF153" s="9">
        <v>-1.75425552690071E-5</v>
      </c>
      <c r="AG153" s="9">
        <v>-2.2979211864092301E-3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-3.54718737787233E-3</v>
      </c>
      <c r="BH153" s="9">
        <f t="shared" si="47"/>
        <v>3.1940320941601899E-3</v>
      </c>
      <c r="BI153" s="9">
        <f t="shared" si="48"/>
        <v>-3.5315528371214011E-4</v>
      </c>
      <c r="BJ153" s="12">
        <f t="shared" si="49"/>
        <v>-5.8295685275501713E-4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-7.3738570686712052E-4</v>
      </c>
      <c r="BX153" s="12">
        <f t="shared" si="58"/>
        <v>-3.5315528371214011E-4</v>
      </c>
      <c r="BY153" s="12">
        <f t="shared" si="59"/>
        <v>-1.3203425596221376E-3</v>
      </c>
    </row>
    <row r="154" spans="1:77" x14ac:dyDescent="0.3">
      <c r="A154" s="1">
        <v>46246</v>
      </c>
      <c r="B154" s="8">
        <v>81.89</v>
      </c>
      <c r="C154" s="8">
        <v>316.68</v>
      </c>
      <c r="D154" s="9">
        <v>3.4250798009454698E-3</v>
      </c>
      <c r="E154" s="9">
        <v>3.06772959951793E-3</v>
      </c>
      <c r="F154" s="8">
        <v>0</v>
      </c>
      <c r="G154" s="8">
        <v>0.49199999999999999</v>
      </c>
      <c r="H154" s="8">
        <v>0</v>
      </c>
      <c r="I154" s="8">
        <v>1.9807999999999999</v>
      </c>
      <c r="J154" s="8">
        <v>0.49199999999999999</v>
      </c>
      <c r="K154" s="8">
        <v>1.9807999999999999</v>
      </c>
      <c r="L154" s="8">
        <v>82.382000000000005</v>
      </c>
      <c r="M154" s="8">
        <v>318.66079999999999</v>
      </c>
      <c r="N154" s="10">
        <v>3.86713884479179</v>
      </c>
      <c r="O154" s="10">
        <v>3.8715231538253501</v>
      </c>
      <c r="P154" s="10">
        <v>3.86856225123279</v>
      </c>
      <c r="Q154" s="10">
        <v>3.8685256783370701</v>
      </c>
      <c r="R154" s="8">
        <v>317.03903106675801</v>
      </c>
      <c r="S154" s="8">
        <v>316.798121511217</v>
      </c>
      <c r="T154" s="8">
        <v>316.814222616427</v>
      </c>
      <c r="U154" s="9">
        <v>1.1330923881738399E-3</v>
      </c>
      <c r="V154" s="9">
        <v>3.7293004628130599E-4</v>
      </c>
      <c r="W154" s="9">
        <v>4.2375325186625698E-4</v>
      </c>
      <c r="X154" s="10">
        <v>3.8680876890582798</v>
      </c>
      <c r="Y154" s="10">
        <v>3.8719668777701699</v>
      </c>
      <c r="Z154" s="10">
        <v>3.8695231801358001</v>
      </c>
      <c r="AA154" s="10">
        <v>3.86949496681232</v>
      </c>
      <c r="AB154" s="8">
        <v>318.98037532446199</v>
      </c>
      <c r="AC154" s="8">
        <v>318.78075137584898</v>
      </c>
      <c r="AD154" s="8">
        <v>318.79761658518902</v>
      </c>
      <c r="AE154" s="9">
        <v>1.00236736141689E-3</v>
      </c>
      <c r="AF154" s="9">
        <v>3.7635255187311398E-4</v>
      </c>
      <c r="AG154" s="9">
        <v>-1.96045418919511E-3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3.4250798009454698E-3</v>
      </c>
      <c r="BH154" s="9">
        <f t="shared" si="47"/>
        <v>-3.06772959951793E-3</v>
      </c>
      <c r="BI154" s="9">
        <f t="shared" si="48"/>
        <v>3.5735020142753978E-4</v>
      </c>
      <c r="BJ154" s="12">
        <f t="shared" si="49"/>
        <v>-2.2560665132747735E-4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-7.3738570686712052E-4</v>
      </c>
      <c r="BX154" s="12">
        <f t="shared" si="58"/>
        <v>3.5735020142753978E-4</v>
      </c>
      <c r="BY154" s="12">
        <f t="shared" si="59"/>
        <v>-9.6299235819459787E-4</v>
      </c>
    </row>
    <row r="155" spans="1:77" x14ac:dyDescent="0.3">
      <c r="A155" s="1">
        <v>46247</v>
      </c>
      <c r="B155" s="8">
        <v>81.73</v>
      </c>
      <c r="C155" s="8">
        <v>316.22000000000003</v>
      </c>
      <c r="D155" s="9">
        <v>-1.9557517540585E-3</v>
      </c>
      <c r="E155" s="9">
        <v>-1.4536264212338E-3</v>
      </c>
      <c r="F155" s="8">
        <v>0</v>
      </c>
      <c r="G155" s="8">
        <v>0.49199999999999999</v>
      </c>
      <c r="H155" s="8">
        <v>0</v>
      </c>
      <c r="I155" s="8">
        <v>1.9807999999999999</v>
      </c>
      <c r="J155" s="8">
        <v>0.49199999999999999</v>
      </c>
      <c r="K155" s="8">
        <v>1.9807999999999999</v>
      </c>
      <c r="L155" s="8">
        <v>82.221999999999994</v>
      </c>
      <c r="M155" s="8">
        <v>318.20080000000002</v>
      </c>
      <c r="N155" s="10">
        <v>3.8690811207634899</v>
      </c>
      <c r="O155" s="10">
        <v>3.8715231538253501</v>
      </c>
      <c r="P155" s="10">
        <v>3.8688263552527502</v>
      </c>
      <c r="Q155" s="10">
        <v>3.86852470320872</v>
      </c>
      <c r="R155" s="8">
        <v>316.41958736214599</v>
      </c>
      <c r="S155" s="8">
        <v>316.177592793256</v>
      </c>
      <c r="T155" s="8">
        <v>316.17460369048803</v>
      </c>
      <c r="U155" s="9">
        <v>6.3096705534936796E-4</v>
      </c>
      <c r="V155" s="9">
        <v>-1.3411564904843601E-4</v>
      </c>
      <c r="W155" s="9">
        <v>-1.4356956660988501E-4</v>
      </c>
      <c r="X155" s="10">
        <v>3.8700201892437498</v>
      </c>
      <c r="Y155" s="10">
        <v>3.8719668777701699</v>
      </c>
      <c r="Z155" s="10">
        <v>3.86978296816392</v>
      </c>
      <c r="AA155" s="10">
        <v>3.86949214577717</v>
      </c>
      <c r="AB155" s="8">
        <v>318.36086062401898</v>
      </c>
      <c r="AC155" s="8">
        <v>318.15993491712601</v>
      </c>
      <c r="AD155" s="8">
        <v>318.15761516124201</v>
      </c>
      <c r="AE155" s="9">
        <v>5.0289119591646696E-4</v>
      </c>
      <c r="AF155" s="9">
        <v>-1.2843370336236199E-4</v>
      </c>
      <c r="AG155" s="9">
        <v>-6.6556287530304995E-4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-1.9557517540585E-3</v>
      </c>
      <c r="BH155" s="9">
        <f t="shared" si="47"/>
        <v>1.4536264212338E-3</v>
      </c>
      <c r="BI155" s="9">
        <f t="shared" si="48"/>
        <v>-5.0212533282470006E-4</v>
      </c>
      <c r="BJ155" s="12">
        <f t="shared" si="49"/>
        <v>-7.2773198415217741E-4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-7.3738570686712052E-4</v>
      </c>
      <c r="BX155" s="12">
        <f t="shared" si="58"/>
        <v>-5.0212533282470006E-4</v>
      </c>
      <c r="BY155" s="12">
        <f t="shared" si="59"/>
        <v>-1.4651176910192979E-3</v>
      </c>
    </row>
    <row r="156" spans="1:77" x14ac:dyDescent="0.3">
      <c r="A156" s="1">
        <v>46248</v>
      </c>
      <c r="B156" s="8">
        <v>81.34</v>
      </c>
      <c r="C156" s="8">
        <v>314.7</v>
      </c>
      <c r="D156" s="9">
        <v>-4.7832310489598897E-3</v>
      </c>
      <c r="E156" s="9">
        <v>-4.81836981163808E-3</v>
      </c>
      <c r="F156" s="8">
        <v>0</v>
      </c>
      <c r="G156" s="8">
        <v>0.49199999999999999</v>
      </c>
      <c r="H156" s="8">
        <v>0</v>
      </c>
      <c r="I156" s="8">
        <v>1.9807999999999999</v>
      </c>
      <c r="J156" s="8">
        <v>0.49199999999999999</v>
      </c>
      <c r="K156" s="8">
        <v>1.9807999999999999</v>
      </c>
      <c r="L156" s="8">
        <v>81.831999999999994</v>
      </c>
      <c r="M156" s="8">
        <v>316.68079999999998</v>
      </c>
      <c r="N156" s="10">
        <v>3.8689451684288101</v>
      </c>
      <c r="O156" s="10">
        <v>3.8715231538253501</v>
      </c>
      <c r="P156" s="10">
        <v>3.8686605546353099</v>
      </c>
      <c r="Q156" s="10">
        <v>3.8685480555196898</v>
      </c>
      <c r="R156" s="8">
        <v>314.90969333215401</v>
      </c>
      <c r="S156" s="8">
        <v>314.69033573625802</v>
      </c>
      <c r="T156" s="8">
        <v>314.66579935899699</v>
      </c>
      <c r="U156" s="9">
        <v>6.6610581802733202E-4</v>
      </c>
      <c r="V156" s="9">
        <v>-3.0709920992626503E-5</v>
      </c>
      <c r="W156" s="9">
        <v>-1.0868287113971E-4</v>
      </c>
      <c r="X156" s="10">
        <v>3.8698895297683</v>
      </c>
      <c r="Y156" s="10">
        <v>3.8719668777701699</v>
      </c>
      <c r="Z156" s="10">
        <v>3.8696151103585898</v>
      </c>
      <c r="AA156" s="10">
        <v>3.86951358659205</v>
      </c>
      <c r="AB156" s="8">
        <v>316.85079354168897</v>
      </c>
      <c r="AC156" s="8">
        <v>316.67207985078898</v>
      </c>
      <c r="AD156" s="8">
        <v>316.64828127323801</v>
      </c>
      <c r="AE156" s="9">
        <v>5.3665372809165305E-4</v>
      </c>
      <c r="AF156" s="9">
        <v>-2.75364634408672E-5</v>
      </c>
      <c r="AG156" s="9">
        <v>-6.0230454073985395E-4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-4.7832310489598897E-3</v>
      </c>
      <c r="BH156" s="9">
        <f t="shared" si="47"/>
        <v>4.81836981163808E-3</v>
      </c>
      <c r="BI156" s="9">
        <f t="shared" si="48"/>
        <v>3.513876267819023E-5</v>
      </c>
      <c r="BJ156" s="12">
        <f t="shared" si="49"/>
        <v>-6.9259322147398718E-4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-7.3738570686712052E-4</v>
      </c>
      <c r="BX156" s="12">
        <f t="shared" si="58"/>
        <v>3.513876267819023E-5</v>
      </c>
      <c r="BY156" s="12">
        <f t="shared" si="59"/>
        <v>-1.4299789283411077E-3</v>
      </c>
    </row>
    <row r="157" spans="1:77" x14ac:dyDescent="0.3">
      <c r="A157" s="1">
        <v>46251</v>
      </c>
      <c r="B157" s="8">
        <v>81.290000000000006</v>
      </c>
      <c r="C157" s="8">
        <v>314.33999999999997</v>
      </c>
      <c r="D157" s="9">
        <v>-6.14892720597459E-4</v>
      </c>
      <c r="E157" s="9">
        <v>-1.1446014221778501E-3</v>
      </c>
      <c r="F157" s="8">
        <v>0</v>
      </c>
      <c r="G157" s="8">
        <v>0.49199999999999999</v>
      </c>
      <c r="H157" s="8">
        <v>0</v>
      </c>
      <c r="I157" s="8">
        <v>1.9807999999999999</v>
      </c>
      <c r="J157" s="8">
        <v>0.49199999999999999</v>
      </c>
      <c r="K157" s="8">
        <v>1.9807999999999999</v>
      </c>
      <c r="L157" s="8">
        <v>81.781999999999996</v>
      </c>
      <c r="M157" s="8">
        <v>316.320799999999</v>
      </c>
      <c r="N157" s="10">
        <v>3.86689629720752</v>
      </c>
      <c r="O157" s="10">
        <v>3.8715231538253501</v>
      </c>
      <c r="P157" s="10">
        <v>3.86851075346175</v>
      </c>
      <c r="Q157" s="10">
        <v>3.8684988370596498</v>
      </c>
      <c r="R157" s="8">
        <v>314.716117174462</v>
      </c>
      <c r="S157" s="8">
        <v>314.48341648630401</v>
      </c>
      <c r="T157" s="8">
        <v>314.47427143319601</v>
      </c>
      <c r="U157" s="9">
        <v>1.19581451960765E-3</v>
      </c>
      <c r="V157" s="9">
        <v>4.5614232877306198E-4</v>
      </c>
      <c r="W157" s="9">
        <v>4.27062302294171E-4</v>
      </c>
      <c r="X157" s="10">
        <v>3.86785356190848</v>
      </c>
      <c r="Y157" s="10">
        <v>3.8719668777701699</v>
      </c>
      <c r="Z157" s="10">
        <v>3.86946313382207</v>
      </c>
      <c r="AA157" s="10">
        <v>3.86946230791018</v>
      </c>
      <c r="AB157" s="8">
        <v>316.65719519779998</v>
      </c>
      <c r="AC157" s="8">
        <v>316.46486295534601</v>
      </c>
      <c r="AD157" s="8">
        <v>316.45656013867102</v>
      </c>
      <c r="AE157" s="9">
        <v>1.06289707390487E-3</v>
      </c>
      <c r="AF157" s="9">
        <v>4.5532939909688399E-4</v>
      </c>
      <c r="AG157" s="9">
        <v>-3.0198887573076801E-4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-6.14892720597459E-4</v>
      </c>
      <c r="BH157" s="9">
        <f t="shared" si="47"/>
        <v>1.1446014221778501E-3</v>
      </c>
      <c r="BI157" s="9">
        <f t="shared" si="48"/>
        <v>5.2970870158039105E-4</v>
      </c>
      <c r="BJ157" s="12">
        <f t="shared" si="49"/>
        <v>-1.6288451989359613E-4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-7.3738570686712052E-4</v>
      </c>
      <c r="BX157" s="12">
        <f t="shared" si="58"/>
        <v>5.2970870158039105E-4</v>
      </c>
      <c r="BY157" s="12">
        <f t="shared" si="59"/>
        <v>-9.0027022676071665E-4</v>
      </c>
    </row>
    <row r="158" spans="1:77" x14ac:dyDescent="0.3">
      <c r="A158" s="1">
        <v>46252</v>
      </c>
      <c r="B158" s="8">
        <v>82.37</v>
      </c>
      <c r="C158" s="8">
        <v>318.83999999999997</v>
      </c>
      <c r="D158" s="9">
        <v>1.31982851946763E-2</v>
      </c>
      <c r="E158" s="9">
        <v>1.4214206911539001E-2</v>
      </c>
      <c r="F158" s="8">
        <v>0</v>
      </c>
      <c r="G158" s="8">
        <v>0.49199999999999999</v>
      </c>
      <c r="H158" s="8">
        <v>0</v>
      </c>
      <c r="I158" s="8">
        <v>1.9807999999999999</v>
      </c>
      <c r="J158" s="8">
        <v>0.49199999999999999</v>
      </c>
      <c r="K158" s="8">
        <v>1.9807999999999999</v>
      </c>
      <c r="L158" s="8">
        <v>82.861999999999995</v>
      </c>
      <c r="M158" s="8">
        <v>320.820799999999</v>
      </c>
      <c r="N158" s="10">
        <v>3.8708267573145498</v>
      </c>
      <c r="O158" s="10">
        <v>3.8715231538253501</v>
      </c>
      <c r="P158" s="10">
        <v>3.8688447606667098</v>
      </c>
      <c r="Q158" s="10">
        <v>3.8685761226377902</v>
      </c>
      <c r="R158" s="8">
        <v>318.89736218059397</v>
      </c>
      <c r="S158" s="8">
        <v>318.649230762645</v>
      </c>
      <c r="T158" s="8">
        <v>318.64824920860298</v>
      </c>
      <c r="U158" s="9">
        <v>1.7989280274511001E-4</v>
      </c>
      <c r="V158" s="9">
        <v>-5.9850185334481504E-4</v>
      </c>
      <c r="W158" s="9">
        <v>-6.0158221713815102E-4</v>
      </c>
      <c r="X158" s="10">
        <v>3.87174820786367</v>
      </c>
      <c r="Y158" s="10">
        <v>3.8719668777701699</v>
      </c>
      <c r="Z158" s="10">
        <v>3.86979099422937</v>
      </c>
      <c r="AA158" s="10">
        <v>3.8695365627546101</v>
      </c>
      <c r="AB158" s="8">
        <v>320.83891942579203</v>
      </c>
      <c r="AC158" s="8">
        <v>320.63145419476399</v>
      </c>
      <c r="AD158" s="8">
        <v>320.63138575805402</v>
      </c>
      <c r="AE158" s="9">
        <v>5.6476743821859398E-5</v>
      </c>
      <c r="AF158" s="9">
        <v>-5.9036603113151603E-4</v>
      </c>
      <c r="AG158" s="9">
        <v>4.7175668268405597E-4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1.31982851946763E-2</v>
      </c>
      <c r="BH158" s="9">
        <f t="shared" si="47"/>
        <v>-1.4214206911539001E-2</v>
      </c>
      <c r="BI158" s="9">
        <f t="shared" si="48"/>
        <v>-1.0159217168627006E-3</v>
      </c>
      <c r="BJ158" s="12">
        <f t="shared" si="49"/>
        <v>-1.1788062367562968E-3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-7.3738570686712052E-4</v>
      </c>
      <c r="BX158" s="12">
        <f t="shared" si="58"/>
        <v>-1.0159217168627006E-3</v>
      </c>
      <c r="BY158" s="12">
        <f t="shared" si="59"/>
        <v>-1.9161919436234173E-3</v>
      </c>
    </row>
    <row r="159" spans="1:77" x14ac:dyDescent="0.3">
      <c r="A159" s="1">
        <v>46253</v>
      </c>
      <c r="B159" s="8">
        <v>85.19</v>
      </c>
      <c r="C159" s="8">
        <v>329.48</v>
      </c>
      <c r="D159" s="9">
        <v>3.3662763101591699E-2</v>
      </c>
      <c r="E159" s="9">
        <v>3.2826244513325602E-2</v>
      </c>
      <c r="F159" s="8">
        <v>0</v>
      </c>
      <c r="G159" s="8">
        <v>0.49199999999999999</v>
      </c>
      <c r="H159" s="8">
        <v>0</v>
      </c>
      <c r="I159" s="8">
        <v>1.9807999999999999</v>
      </c>
      <c r="J159" s="8">
        <v>0.49199999999999999</v>
      </c>
      <c r="K159" s="8">
        <v>1.9807999999999999</v>
      </c>
      <c r="L159" s="8">
        <v>85.682000000000002</v>
      </c>
      <c r="M159" s="8">
        <v>331.46080000000001</v>
      </c>
      <c r="N159" s="10">
        <v>3.86759009273388</v>
      </c>
      <c r="O159" s="10">
        <v>3.8715231538253501</v>
      </c>
      <c r="P159" s="10">
        <v>3.8685741663274502</v>
      </c>
      <c r="Q159" s="10">
        <v>3.8685362724357799</v>
      </c>
      <c r="R159" s="8">
        <v>329.81505747438098</v>
      </c>
      <c r="S159" s="8">
        <v>329.58688516119702</v>
      </c>
      <c r="T159" s="8">
        <v>329.563999887514</v>
      </c>
      <c r="U159" s="9">
        <v>1.0164113910111499E-3</v>
      </c>
      <c r="V159" s="9">
        <v>3.2435300434839398E-4</v>
      </c>
      <c r="W159" s="9">
        <v>2.5491435468127401E-4</v>
      </c>
      <c r="X159" s="10">
        <v>3.8684998015919301</v>
      </c>
      <c r="Y159" s="10">
        <v>3.8719668777701699</v>
      </c>
      <c r="Z159" s="10">
        <v>3.8695158559524101</v>
      </c>
      <c r="AA159" s="10">
        <v>3.8694924790830498</v>
      </c>
      <c r="AB159" s="8">
        <v>331.75786602110401</v>
      </c>
      <c r="AC159" s="8">
        <v>331.57143196756101</v>
      </c>
      <c r="AD159" s="8">
        <v>331.54963176993999</v>
      </c>
      <c r="AE159" s="9">
        <v>8.9583136359309198E-4</v>
      </c>
      <c r="AF159" s="9">
        <v>3.33715204943793E-4</v>
      </c>
      <c r="AG159" s="9">
        <v>-1.34721654915505E-3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-1.1788062367562968E-3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-7.3738570686712052E-4</v>
      </c>
      <c r="BX159" s="12">
        <f t="shared" si="58"/>
        <v>0</v>
      </c>
      <c r="BY159" s="12">
        <f t="shared" si="59"/>
        <v>-1.9161919436234173E-3</v>
      </c>
    </row>
    <row r="160" spans="1:77" x14ac:dyDescent="0.3">
      <c r="A160" s="1">
        <v>46254</v>
      </c>
      <c r="B160" s="8">
        <v>83.64</v>
      </c>
      <c r="C160" s="8">
        <v>323.69</v>
      </c>
      <c r="D160" s="9">
        <v>-1.8362181494316201E-2</v>
      </c>
      <c r="E160" s="9">
        <v>-1.7729386420018901E-2</v>
      </c>
      <c r="F160" s="8">
        <v>0</v>
      </c>
      <c r="G160" s="8">
        <v>0.49199999999999999</v>
      </c>
      <c r="H160" s="8">
        <v>0</v>
      </c>
      <c r="I160" s="8">
        <v>1.9807999999999999</v>
      </c>
      <c r="J160" s="8">
        <v>0.49199999999999999</v>
      </c>
      <c r="K160" s="8">
        <v>1.9807999999999999</v>
      </c>
      <c r="L160" s="8">
        <v>84.132000000000005</v>
      </c>
      <c r="M160" s="8">
        <v>325.67079999999999</v>
      </c>
      <c r="N160" s="10">
        <v>3.8700382592061202</v>
      </c>
      <c r="O160" s="10">
        <v>3.8715231538253501</v>
      </c>
      <c r="P160" s="10">
        <v>3.86852889405167</v>
      </c>
      <c r="Q160" s="10">
        <v>3.8686006853960899</v>
      </c>
      <c r="R160" s="8">
        <v>323.814196585952</v>
      </c>
      <c r="S160" s="8">
        <v>323.56754327162798</v>
      </c>
      <c r="T160" s="8">
        <v>323.56437382652899</v>
      </c>
      <c r="U160" s="9">
        <v>3.8361631671372001E-4</v>
      </c>
      <c r="V160" s="9">
        <v>-3.7838641235018701E-4</v>
      </c>
      <c r="W160" s="9">
        <v>-3.8818177251031898E-4</v>
      </c>
      <c r="X160" s="10">
        <v>3.87095041125849</v>
      </c>
      <c r="Y160" s="10">
        <v>3.8719668777701699</v>
      </c>
      <c r="Z160" s="10">
        <v>3.8694665461346802</v>
      </c>
      <c r="AA160" s="10">
        <v>3.8695534610869302</v>
      </c>
      <c r="AB160" s="8">
        <v>325.75631736055999</v>
      </c>
      <c r="AC160" s="8">
        <v>325.55010799298799</v>
      </c>
      <c r="AD160" s="8">
        <v>325.548141250215</v>
      </c>
      <c r="AE160" s="9">
        <v>2.62553887527375E-4</v>
      </c>
      <c r="AF160" s="9">
        <v>-3.7066380059829098E-4</v>
      </c>
      <c r="AG160" s="9">
        <v>-1.1874406120039301E-3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-1.8362181494316201E-2</v>
      </c>
      <c r="BH160" s="9">
        <f t="shared" si="47"/>
        <v>1.7729386420018901E-2</v>
      </c>
      <c r="BI160" s="9">
        <f t="shared" si="48"/>
        <v>-6.3279507429729945E-4</v>
      </c>
      <c r="BJ160" s="12">
        <f t="shared" si="49"/>
        <v>-1.8116013110535962E-3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-7.3738570686712052E-4</v>
      </c>
      <c r="BX160" s="12">
        <f t="shared" si="58"/>
        <v>-6.3279507429729945E-4</v>
      </c>
      <c r="BY160" s="12">
        <f t="shared" si="59"/>
        <v>-2.5489870179207169E-3</v>
      </c>
    </row>
    <row r="161" spans="1:77" x14ac:dyDescent="0.3">
      <c r="A161" s="1">
        <v>46255</v>
      </c>
      <c r="B161" s="8">
        <v>84.66</v>
      </c>
      <c r="C161" s="8">
        <v>327.7</v>
      </c>
      <c r="D161" s="9">
        <v>1.21213605323448E-2</v>
      </c>
      <c r="E161" s="9">
        <v>1.2312288051739799E-2</v>
      </c>
      <c r="F161" s="8">
        <v>0</v>
      </c>
      <c r="G161" s="8">
        <v>0.49199999999999999</v>
      </c>
      <c r="H161" s="8">
        <v>0</v>
      </c>
      <c r="I161" s="8">
        <v>1.9807999999999999</v>
      </c>
      <c r="J161" s="8">
        <v>0.49199999999999999</v>
      </c>
      <c r="K161" s="8">
        <v>1.9807999999999999</v>
      </c>
      <c r="L161" s="8">
        <v>85.152000000000001</v>
      </c>
      <c r="M161" s="8">
        <v>329.68079999999998</v>
      </c>
      <c r="N161" s="10">
        <v>3.8707772265532698</v>
      </c>
      <c r="O161" s="10">
        <v>3.8715231538253501</v>
      </c>
      <c r="P161" s="10">
        <v>3.8686969848735999</v>
      </c>
      <c r="Q161" s="10">
        <v>3.86866542191401</v>
      </c>
      <c r="R161" s="8">
        <v>327.76315020285398</v>
      </c>
      <c r="S161" s="8">
        <v>327.50965617041402</v>
      </c>
      <c r="T161" s="8">
        <v>327.51573402563298</v>
      </c>
      <c r="U161" s="9">
        <v>1.9268879731872601E-4</v>
      </c>
      <c r="V161" s="9">
        <v>-5.8101657430489895E-4</v>
      </c>
      <c r="W161" s="9">
        <v>-5.6245895712160501E-4</v>
      </c>
      <c r="X161" s="10">
        <v>3.8716741826380998</v>
      </c>
      <c r="Y161" s="10">
        <v>3.8719668777701699</v>
      </c>
      <c r="Z161" s="10">
        <v>3.86962920847823</v>
      </c>
      <c r="AA161" s="10">
        <v>3.8696145059723799</v>
      </c>
      <c r="AB161" s="8">
        <v>329.705723575886</v>
      </c>
      <c r="AC161" s="8">
        <v>329.49281533646001</v>
      </c>
      <c r="AD161" s="8">
        <v>329.50021631847397</v>
      </c>
      <c r="AE161" s="9">
        <v>7.5596255024771699E-5</v>
      </c>
      <c r="AF161" s="9">
        <v>-5.70364663456374E-4</v>
      </c>
      <c r="AG161" s="9">
        <v>-3.7168816841461698E-3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1.21213605323448E-2</v>
      </c>
      <c r="BH161" s="9">
        <f t="shared" si="47"/>
        <v>-1.2312288051739799E-2</v>
      </c>
      <c r="BI161" s="9">
        <f t="shared" si="48"/>
        <v>-1.9092751939499969E-4</v>
      </c>
      <c r="BJ161" s="12">
        <f t="shared" si="49"/>
        <v>-2.0025288304485961E-3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-7.3738570686712052E-4</v>
      </c>
      <c r="BX161" s="12">
        <f t="shared" si="58"/>
        <v>-1.9092751939499969E-4</v>
      </c>
      <c r="BY161" s="12">
        <f t="shared" si="59"/>
        <v>-2.7399145373157166E-3</v>
      </c>
    </row>
    <row r="162" spans="1:77" x14ac:dyDescent="0.3">
      <c r="A162" s="1">
        <v>46258</v>
      </c>
      <c r="B162" s="8">
        <v>84.61</v>
      </c>
      <c r="C162" s="8">
        <v>327.49</v>
      </c>
      <c r="D162" s="9">
        <v>-5.9077215636807196E-4</v>
      </c>
      <c r="E162" s="9">
        <v>-6.4103544679005296E-4</v>
      </c>
      <c r="F162" s="8">
        <v>0</v>
      </c>
      <c r="G162" s="8">
        <v>0.49199999999999999</v>
      </c>
      <c r="H162" s="8">
        <v>0</v>
      </c>
      <c r="I162" s="8">
        <v>1.9807999999999999</v>
      </c>
      <c r="J162" s="8">
        <v>0.49199999999999999</v>
      </c>
      <c r="K162" s="8">
        <v>1.9807999999999999</v>
      </c>
      <c r="L162" s="8">
        <v>85.102000000000004</v>
      </c>
      <c r="M162" s="8">
        <v>329.4708</v>
      </c>
      <c r="N162" s="10">
        <v>3.8705826734428501</v>
      </c>
      <c r="O162" s="10">
        <v>3.8715231538253501</v>
      </c>
      <c r="P162" s="10">
        <v>3.8690397455023802</v>
      </c>
      <c r="Q162" s="10">
        <v>3.8687363168780999</v>
      </c>
      <c r="R162" s="8">
        <v>327.56957404516299</v>
      </c>
      <c r="S162" s="8">
        <v>327.33045189015598</v>
      </c>
      <c r="T162" s="8">
        <v>327.32778134814401</v>
      </c>
      <c r="U162" s="9">
        <v>2.4295208774072701E-4</v>
      </c>
      <c r="V162" s="9">
        <v>-4.8730338993149098E-4</v>
      </c>
      <c r="W162" s="9">
        <v>-4.9546197368051804E-4</v>
      </c>
      <c r="X162" s="10">
        <v>3.87148128128598</v>
      </c>
      <c r="Y162" s="10">
        <v>3.8719668777701699</v>
      </c>
      <c r="Z162" s="10">
        <v>3.8699669666680001</v>
      </c>
      <c r="AA162" s="10">
        <v>3.8696819495130499</v>
      </c>
      <c r="AB162" s="8">
        <v>329.512125231997</v>
      </c>
      <c r="AC162" s="8">
        <v>329.31318489991497</v>
      </c>
      <c r="AD162" s="8">
        <v>329.31193368726099</v>
      </c>
      <c r="AE162" s="9">
        <v>1.25421252871871E-4</v>
      </c>
      <c r="AF162" s="9">
        <v>-4.7850314125716799E-4</v>
      </c>
      <c r="AG162" s="9">
        <v>-2.5997571306653399E-3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-5.9077215636807196E-4</v>
      </c>
      <c r="BH162" s="9">
        <f t="shared" si="47"/>
        <v>6.4103544679005296E-4</v>
      </c>
      <c r="BI162" s="9">
        <f t="shared" si="48"/>
        <v>5.0263290421980996E-5</v>
      </c>
      <c r="BJ162" s="12">
        <f t="shared" si="49"/>
        <v>-1.9522655400266151E-3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-7.3738570686712052E-4</v>
      </c>
      <c r="BX162" s="12">
        <f t="shared" si="58"/>
        <v>5.0263290421980996E-5</v>
      </c>
      <c r="BY162" s="12">
        <f t="shared" si="59"/>
        <v>-2.6896512468937359E-3</v>
      </c>
    </row>
    <row r="163" spans="1:77" x14ac:dyDescent="0.3">
      <c r="A163" s="1">
        <v>46259</v>
      </c>
      <c r="B163" s="8">
        <v>85.01</v>
      </c>
      <c r="C163" s="8">
        <v>329.01</v>
      </c>
      <c r="D163" s="9">
        <v>4.7164336928580304E-3</v>
      </c>
      <c r="E163" s="9">
        <v>4.6306251822484396E-3</v>
      </c>
      <c r="F163" s="8">
        <v>0</v>
      </c>
      <c r="G163" s="8">
        <v>0.49199999999999999</v>
      </c>
      <c r="H163" s="8">
        <v>0</v>
      </c>
      <c r="I163" s="8">
        <v>1.9807999999999999</v>
      </c>
      <c r="J163" s="8">
        <v>0.49199999999999999</v>
      </c>
      <c r="K163" s="8">
        <v>1.9807999999999999</v>
      </c>
      <c r="L163" s="8">
        <v>85.501999999999995</v>
      </c>
      <c r="M163" s="8">
        <v>330.99079999999998</v>
      </c>
      <c r="N163" s="10">
        <v>3.8702505587577898</v>
      </c>
      <c r="O163" s="10">
        <v>3.8715231538253501</v>
      </c>
      <c r="P163" s="10">
        <v>3.86921269992001</v>
      </c>
      <c r="Q163" s="10">
        <v>3.8688969929641401</v>
      </c>
      <c r="R163" s="8">
        <v>329.11818330669303</v>
      </c>
      <c r="S163" s="8">
        <v>328.90706876515702</v>
      </c>
      <c r="T163" s="8">
        <v>328.88127429780701</v>
      </c>
      <c r="U163" s="9">
        <v>3.28760598350464E-4</v>
      </c>
      <c r="V163" s="9">
        <v>-3.1290033522020898E-4</v>
      </c>
      <c r="W163" s="9">
        <v>-3.9132819924480401E-4</v>
      </c>
      <c r="X163" s="10">
        <v>3.87114687375733</v>
      </c>
      <c r="Y163" s="10">
        <v>3.8719668777701699</v>
      </c>
      <c r="Z163" s="10">
        <v>3.87013517283743</v>
      </c>
      <c r="AA163" s="10">
        <v>3.8698394502715501</v>
      </c>
      <c r="AB163" s="8">
        <v>331.06091198310497</v>
      </c>
      <c r="AC163" s="8">
        <v>330.88991558404803</v>
      </c>
      <c r="AD163" s="8">
        <v>330.86554604726501</v>
      </c>
      <c r="AE163" s="9">
        <v>2.11802135992941E-4</v>
      </c>
      <c r="AF163" s="9">
        <v>-3.0484168629729902E-4</v>
      </c>
      <c r="AG163" s="9">
        <v>-4.41534571623822E-4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4.7164336928580304E-3</v>
      </c>
      <c r="BH163" s="9">
        <f t="shared" si="47"/>
        <v>-4.6306251822484396E-3</v>
      </c>
      <c r="BI163" s="9">
        <f t="shared" si="48"/>
        <v>8.5808510609590785E-5</v>
      </c>
      <c r="BJ163" s="12">
        <f t="shared" si="49"/>
        <v>-1.8664570294170243E-3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-7.3738570686712052E-4</v>
      </c>
      <c r="BX163" s="12">
        <f t="shared" si="58"/>
        <v>8.5808510609590785E-5</v>
      </c>
      <c r="BY163" s="12">
        <f t="shared" si="59"/>
        <v>-2.6038427362841451E-3</v>
      </c>
    </row>
    <row r="164" spans="1:77" x14ac:dyDescent="0.3">
      <c r="A164" s="1">
        <v>46260</v>
      </c>
      <c r="B164" s="8">
        <v>84.32</v>
      </c>
      <c r="C164" s="8">
        <v>326.27</v>
      </c>
      <c r="D164" s="9">
        <v>-8.1498118362153902E-3</v>
      </c>
      <c r="E164" s="9">
        <v>-8.3628860002643596E-3</v>
      </c>
      <c r="F164" s="8">
        <v>0</v>
      </c>
      <c r="G164" s="8">
        <v>0.49199999999999999</v>
      </c>
      <c r="H164" s="8">
        <v>0</v>
      </c>
      <c r="I164" s="8">
        <v>1.9807999999999999</v>
      </c>
      <c r="J164" s="8">
        <v>0.49199999999999999</v>
      </c>
      <c r="K164" s="8">
        <v>1.9807999999999999</v>
      </c>
      <c r="L164" s="8">
        <v>84.811999999999998</v>
      </c>
      <c r="M164" s="8">
        <v>328.250799999999</v>
      </c>
      <c r="N164" s="10">
        <v>3.8694259962049302</v>
      </c>
      <c r="O164" s="10">
        <v>3.8715231538253501</v>
      </c>
      <c r="P164" s="10">
        <v>3.8694414150613201</v>
      </c>
      <c r="Q164" s="10">
        <v>3.8690018331470601</v>
      </c>
      <c r="R164" s="8">
        <v>326.44683233055298</v>
      </c>
      <c r="S164" s="8">
        <v>326.25201485725501</v>
      </c>
      <c r="T164" s="8">
        <v>326.225394446736</v>
      </c>
      <c r="U164" s="9">
        <v>5.4183476239942705E-4</v>
      </c>
      <c r="V164" s="9">
        <v>-5.5125014450646E-5</v>
      </c>
      <c r="W164" s="9">
        <v>-1.3672296758729101E-4</v>
      </c>
      <c r="X164" s="10">
        <v>3.8703343866433899</v>
      </c>
      <c r="Y164" s="10">
        <v>3.8719668777701699</v>
      </c>
      <c r="Z164" s="10">
        <v>3.8703598425959398</v>
      </c>
      <c r="AA164" s="10">
        <v>3.8699415113658699</v>
      </c>
      <c r="AB164" s="8">
        <v>328.38925483744401</v>
      </c>
      <c r="AC164" s="8">
        <v>328.23390427868799</v>
      </c>
      <c r="AD164" s="8">
        <v>328.20882345643099</v>
      </c>
      <c r="AE164" s="9">
        <v>4.2170695642525501E-4</v>
      </c>
      <c r="AF164" s="9">
        <v>-5.1473312949551202E-5</v>
      </c>
      <c r="AG164" s="9">
        <v>3.0331488899726198E-4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-8.1498118362153902E-3</v>
      </c>
      <c r="BH164" s="9">
        <f t="shared" si="47"/>
        <v>8.3628860002643596E-3</v>
      </c>
      <c r="BI164" s="9">
        <f t="shared" si="48"/>
        <v>2.1307416404896945E-4</v>
      </c>
      <c r="BJ164" s="12">
        <f t="shared" si="49"/>
        <v>-1.6533828653680549E-3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-7.3738570686712052E-4</v>
      </c>
      <c r="BX164" s="12">
        <f t="shared" si="58"/>
        <v>2.1307416404896945E-4</v>
      </c>
      <c r="BY164" s="12">
        <f t="shared" si="59"/>
        <v>-2.3907685722351756E-3</v>
      </c>
    </row>
    <row r="165" spans="1:77" x14ac:dyDescent="0.3">
      <c r="A165" s="1">
        <v>46261</v>
      </c>
      <c r="B165" s="8">
        <v>83.48</v>
      </c>
      <c r="C165" s="8">
        <v>322.93</v>
      </c>
      <c r="D165" s="9">
        <v>-1.0012002584052E-2</v>
      </c>
      <c r="E165" s="9">
        <v>-1.0289677970357E-2</v>
      </c>
      <c r="F165" s="8">
        <v>0</v>
      </c>
      <c r="G165" s="8">
        <v>0.49199999999999999</v>
      </c>
      <c r="H165" s="8">
        <v>0</v>
      </c>
      <c r="I165" s="8">
        <v>1.9807999999999999</v>
      </c>
      <c r="J165" s="8">
        <v>0.49199999999999999</v>
      </c>
      <c r="K165" s="8">
        <v>1.9807999999999999</v>
      </c>
      <c r="L165" s="8">
        <v>83.971999999999994</v>
      </c>
      <c r="M165" s="8">
        <v>324.91079999999999</v>
      </c>
      <c r="N165" s="10">
        <v>3.8683517010062198</v>
      </c>
      <c r="O165" s="10">
        <v>3.8715231538253501</v>
      </c>
      <c r="P165" s="10">
        <v>3.86936847308559</v>
      </c>
      <c r="Q165" s="10">
        <v>3.8690974141691701</v>
      </c>
      <c r="R165" s="8">
        <v>323.19475288133998</v>
      </c>
      <c r="S165" s="8">
        <v>323.02096932931897</v>
      </c>
      <c r="T165" s="8">
        <v>322.984273031116</v>
      </c>
      <c r="U165" s="9">
        <v>8.1951014870427802E-4</v>
      </c>
      <c r="V165" s="9">
        <v>2.8166017001365299E-4</v>
      </c>
      <c r="W165" s="9">
        <v>1.6805026149910101E-4</v>
      </c>
      <c r="X165" s="10">
        <v>3.8692754727766299</v>
      </c>
      <c r="Y165" s="10">
        <v>3.8719668777701699</v>
      </c>
      <c r="Z165" s="10">
        <v>3.87028537094923</v>
      </c>
      <c r="AA165" s="10">
        <v>3.8700341695565701</v>
      </c>
      <c r="AB165" s="8">
        <v>325.13680266011698</v>
      </c>
      <c r="AC165" s="8">
        <v>325.00185670246702</v>
      </c>
      <c r="AD165" s="8">
        <v>324.966728592415</v>
      </c>
      <c r="AE165" s="9">
        <v>6.9534190511145598E-4</v>
      </c>
      <c r="AF165" s="9">
        <v>2.8021212427178297E-4</v>
      </c>
      <c r="AG165" s="9">
        <v>4.5440767409752703E-4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-1.6533828653680549E-3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-7.3738570686712052E-4</v>
      </c>
      <c r="BX165" s="12">
        <f t="shared" si="58"/>
        <v>0</v>
      </c>
      <c r="BY165" s="12">
        <f t="shared" si="59"/>
        <v>-2.3907685722351756E-3</v>
      </c>
    </row>
    <row r="166" spans="1:77" x14ac:dyDescent="0.3">
      <c r="A166" s="1">
        <v>46262</v>
      </c>
      <c r="B166" s="8">
        <v>83</v>
      </c>
      <c r="C166" s="8">
        <v>320.95999999999998</v>
      </c>
      <c r="D166" s="9">
        <v>-5.7664744124021399E-3</v>
      </c>
      <c r="E166" s="9">
        <v>-6.1190766960352097E-3</v>
      </c>
      <c r="F166" s="8">
        <v>0</v>
      </c>
      <c r="G166" s="8">
        <v>0.49199999999999999</v>
      </c>
      <c r="H166" s="8">
        <v>0</v>
      </c>
      <c r="I166" s="8">
        <v>1.9807999999999999</v>
      </c>
      <c r="J166" s="8">
        <v>0.49199999999999999</v>
      </c>
      <c r="K166" s="8">
        <v>1.9807999999999999</v>
      </c>
      <c r="L166" s="8">
        <v>83.492000000000004</v>
      </c>
      <c r="M166" s="8">
        <v>322.940799999999</v>
      </c>
      <c r="N166" s="10">
        <v>3.8669879518072201</v>
      </c>
      <c r="O166" s="10">
        <v>3.8715231538253501</v>
      </c>
      <c r="P166" s="10">
        <v>3.8691727514234402</v>
      </c>
      <c r="Q166" s="10">
        <v>3.8689166530293702</v>
      </c>
      <c r="R166" s="8">
        <v>321.33642176750402</v>
      </c>
      <c r="S166" s="8">
        <v>321.15758326610398</v>
      </c>
      <c r="T166" s="8">
        <v>321.13508537604099</v>
      </c>
      <c r="U166" s="9">
        <v>1.17211243233729E-3</v>
      </c>
      <c r="V166" s="9">
        <v>6.15411499357127E-4</v>
      </c>
      <c r="W166" s="9">
        <v>5.4535655035715101E-4</v>
      </c>
      <c r="X166" s="10">
        <v>3.86792507066545</v>
      </c>
      <c r="Y166" s="10">
        <v>3.8719668777701699</v>
      </c>
      <c r="Z166" s="10">
        <v>3.8700889250389499</v>
      </c>
      <c r="AA166" s="10">
        <v>3.8698520176987699</v>
      </c>
      <c r="AB166" s="8">
        <v>323.278258558787</v>
      </c>
      <c r="AC166" s="8">
        <v>323.13786619129303</v>
      </c>
      <c r="AD166" s="8">
        <v>323.11689288461702</v>
      </c>
      <c r="AE166" s="9">
        <v>1.0444092757495101E-3</v>
      </c>
      <c r="AF166" s="9">
        <v>6.10037779352593E-4</v>
      </c>
      <c r="AG166" s="9">
        <v>-1.0039690772219599E-3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-1.6533828653680549E-3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-7.3738570686712052E-4</v>
      </c>
      <c r="BX166" s="12">
        <f t="shared" si="58"/>
        <v>0</v>
      </c>
      <c r="BY166" s="12">
        <f t="shared" si="59"/>
        <v>-2.3907685722351756E-3</v>
      </c>
    </row>
    <row r="167" spans="1:77" x14ac:dyDescent="0.3">
      <c r="A167" s="1">
        <v>46265</v>
      </c>
      <c r="B167" s="8">
        <v>82.73</v>
      </c>
      <c r="C167" s="8">
        <v>319.95999999999998</v>
      </c>
      <c r="D167" s="9">
        <v>-3.25831459450635E-3</v>
      </c>
      <c r="E167" s="9">
        <v>-3.12051679294956E-3</v>
      </c>
      <c r="F167" s="8">
        <v>0</v>
      </c>
      <c r="G167" s="8">
        <v>0.49199999999999999</v>
      </c>
      <c r="H167" s="8">
        <v>0</v>
      </c>
      <c r="I167" s="8">
        <v>1.9807999999999999</v>
      </c>
      <c r="J167" s="8">
        <v>0.49199999999999999</v>
      </c>
      <c r="K167" s="8">
        <v>1.9807999999999999</v>
      </c>
      <c r="L167" s="8">
        <v>83.221999999999994</v>
      </c>
      <c r="M167" s="8">
        <v>321.940799999999</v>
      </c>
      <c r="N167" s="10">
        <v>3.86752085096095</v>
      </c>
      <c r="O167" s="10">
        <v>3.8715231538253501</v>
      </c>
      <c r="P167" s="10">
        <v>3.8692352067987801</v>
      </c>
      <c r="Q167" s="10">
        <v>3.8688729801302699</v>
      </c>
      <c r="R167" s="8">
        <v>320.29111051597101</v>
      </c>
      <c r="S167" s="8">
        <v>320.09666172526101</v>
      </c>
      <c r="T167" s="8">
        <v>320.07547470511997</v>
      </c>
      <c r="U167" s="9">
        <v>1.0343146307805499E-3</v>
      </c>
      <c r="V167" s="9">
        <v>4.2703009127230298E-4</v>
      </c>
      <c r="W167" s="9">
        <v>3.6083845642015399E-4</v>
      </c>
      <c r="X167" s="10">
        <v>3.8684578597005501</v>
      </c>
      <c r="Y167" s="10">
        <v>3.8719668777701699</v>
      </c>
      <c r="Z167" s="10">
        <v>3.87014935481815</v>
      </c>
      <c r="AA167" s="10">
        <v>3.86980624432011</v>
      </c>
      <c r="AB167" s="8">
        <v>322.23282750178902</v>
      </c>
      <c r="AC167" s="8">
        <v>322.07654051959099</v>
      </c>
      <c r="AD167" s="8">
        <v>322.05682461692697</v>
      </c>
      <c r="AE167" s="9">
        <v>9.0667332323923603E-4</v>
      </c>
      <c r="AF167" s="9">
        <v>4.2154306432889001E-4</v>
      </c>
      <c r="AG167" s="9">
        <v>-2.60882903280895E-3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-1.6533828653680549E-3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-7.3738570686712052E-4</v>
      </c>
      <c r="BX167" s="12">
        <f t="shared" si="58"/>
        <v>0</v>
      </c>
      <c r="BY167" s="12">
        <f t="shared" si="59"/>
        <v>-2.3907685722351756E-3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2026-09-04T02:10:58Z</dcterms:modified>
</cp:coreProperties>
</file>