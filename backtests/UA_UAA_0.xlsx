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40212DDB-A0BE-469C-9E8F-006D878A1C72}" xr6:coauthVersionLast="47" xr6:coauthVersionMax="47" xr10:uidLastSave="{00000000-0000-0000-0000-000000000000}"/>
  <bookViews>
    <workbookView xWindow="1995" yWindow="1875" windowWidth="27210" windowHeight="10515" xr2:uid="{453A103B-FC84-4286-952A-2B400B64895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N141" i="1" s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M131" i="1"/>
  <c r="AK131" i="1"/>
  <c r="AJ131" i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M123" i="1"/>
  <c r="AK123" i="1"/>
  <c r="AJ123" i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X94" i="1"/>
  <c r="AV94" i="1"/>
  <c r="AU94" i="1"/>
  <c r="AM94" i="1"/>
  <c r="AK94" i="1"/>
  <c r="AJ94" i="1"/>
  <c r="AN95" i="1" s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N74" i="1" s="1"/>
  <c r="AX72" i="1"/>
  <c r="AV72" i="1"/>
  <c r="AU72" i="1"/>
  <c r="AM72" i="1"/>
  <c r="AK72" i="1"/>
  <c r="AJ72" i="1"/>
  <c r="AX71" i="1"/>
  <c r="AV71" i="1"/>
  <c r="AU71" i="1"/>
  <c r="AY72" i="1" s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Y70" i="1" s="1"/>
  <c r="AM69" i="1"/>
  <c r="AK69" i="1"/>
  <c r="AJ69" i="1"/>
  <c r="AN70" i="1" s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X65" i="1"/>
  <c r="AV65" i="1"/>
  <c r="AU65" i="1"/>
  <c r="AY66" i="1" s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Y63" i="1" s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N51" i="1" s="1"/>
  <c r="AX49" i="1"/>
  <c r="AV49" i="1"/>
  <c r="AU49" i="1"/>
  <c r="AY50" i="1" s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Y36" i="1" s="1"/>
  <c r="AM35" i="1"/>
  <c r="AK35" i="1"/>
  <c r="AJ35" i="1"/>
  <c r="AN36" i="1" s="1"/>
  <c r="AX34" i="1"/>
  <c r="AV34" i="1"/>
  <c r="AU34" i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X31" i="1"/>
  <c r="AV31" i="1"/>
  <c r="AU31" i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Y28" i="1" s="1"/>
  <c r="AM27" i="1"/>
  <c r="AK27" i="1"/>
  <c r="AJ27" i="1"/>
  <c r="AX26" i="1"/>
  <c r="AV26" i="1"/>
  <c r="AU26" i="1"/>
  <c r="AY27" i="1" s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N138" i="1" l="1"/>
  <c r="AN44" i="1"/>
  <c r="AY118" i="1"/>
  <c r="AN92" i="1"/>
  <c r="AN90" i="1"/>
  <c r="AY171" i="1"/>
  <c r="AY32" i="1"/>
  <c r="AY121" i="1"/>
  <c r="AY110" i="1"/>
  <c r="AY87" i="1"/>
  <c r="AY84" i="1"/>
  <c r="AY82" i="1"/>
  <c r="AY80" i="1"/>
  <c r="AY73" i="1"/>
  <c r="AY124" i="1"/>
  <c r="AY113" i="1"/>
  <c r="AY88" i="1"/>
  <c r="AY85" i="1"/>
  <c r="AY77" i="1"/>
  <c r="AY39" i="1"/>
  <c r="AY29" i="1"/>
  <c r="AY79" i="1"/>
  <c r="AY106" i="1"/>
  <c r="AY76" i="1"/>
  <c r="AY74" i="1"/>
  <c r="AY35" i="1"/>
  <c r="AY83" i="1"/>
  <c r="AY75" i="1"/>
  <c r="AY54" i="1"/>
  <c r="AY108" i="1"/>
  <c r="AY81" i="1"/>
  <c r="AY78" i="1"/>
  <c r="AY115" i="1"/>
  <c r="AY111" i="1"/>
  <c r="AY47" i="1"/>
  <c r="AY40" i="1"/>
  <c r="AY38" i="1"/>
  <c r="AY105" i="1"/>
  <c r="AY71" i="1"/>
  <c r="AN100" i="1"/>
  <c r="AN157" i="1"/>
  <c r="AN144" i="1"/>
  <c r="AN143" i="1"/>
  <c r="AN140" i="1"/>
  <c r="AN137" i="1"/>
  <c r="AN134" i="1"/>
  <c r="AN64" i="1"/>
  <c r="AN62" i="1"/>
  <c r="AN46" i="1"/>
  <c r="AN71" i="1"/>
  <c r="AN67" i="1"/>
  <c r="AN59" i="1"/>
  <c r="AN56" i="1"/>
  <c r="AN52" i="1"/>
  <c r="AN23" i="1"/>
  <c r="AN61" i="1"/>
  <c r="AN43" i="1"/>
  <c r="AN41" i="1"/>
  <c r="AN25" i="1"/>
  <c r="AN99" i="1"/>
  <c r="AN93" i="1"/>
  <c r="AN66" i="1"/>
  <c r="AN58" i="1"/>
  <c r="AN37" i="1"/>
  <c r="AN104" i="1"/>
  <c r="AN86" i="1"/>
  <c r="AN96" i="1"/>
  <c r="AN145" i="1"/>
  <c r="AN65" i="1"/>
  <c r="AN63" i="1"/>
  <c r="AN60" i="1"/>
  <c r="AN172" i="1"/>
  <c r="AY51" i="1"/>
  <c r="AY48" i="1"/>
  <c r="AN168" i="1"/>
  <c r="AN55" i="1"/>
  <c r="AN158" i="1"/>
  <c r="AN146" i="1"/>
  <c r="AN142" i="1"/>
  <c r="AN69" i="1"/>
  <c r="AN156" i="1"/>
  <c r="AN135" i="1"/>
  <c r="AN132" i="1"/>
  <c r="AY46" i="1"/>
  <c r="BA176" i="1"/>
  <c r="AZ176" i="1"/>
  <c r="BB176" i="1" s="1"/>
  <c r="AW176" i="1"/>
  <c r="AP176" i="1"/>
  <c r="AL176" i="1"/>
  <c r="AO176" i="1"/>
  <c r="BA175" i="1"/>
  <c r="AW175" i="1"/>
  <c r="AZ175" i="1"/>
  <c r="BB175" i="1" s="1"/>
  <c r="AL174" i="1"/>
  <c r="AN175" i="1" s="1"/>
  <c r="AO174" i="1"/>
  <c r="AP174" i="1"/>
  <c r="AO173" i="1"/>
  <c r="AL173" i="1"/>
  <c r="AP173" i="1"/>
  <c r="AW172" i="1"/>
  <c r="AY173" i="1" s="1"/>
  <c r="AZ172" i="1"/>
  <c r="BA172" i="1"/>
  <c r="AP172" i="1"/>
  <c r="AL172" i="1"/>
  <c r="AO172" i="1"/>
  <c r="AQ172" i="1" s="1"/>
  <c r="AW171" i="1"/>
  <c r="AZ171" i="1"/>
  <c r="BA171" i="1"/>
  <c r="AL171" i="1"/>
  <c r="AP171" i="1"/>
  <c r="AO171" i="1"/>
  <c r="AQ171" i="1" s="1"/>
  <c r="AP170" i="1"/>
  <c r="AL170" i="1"/>
  <c r="AO170" i="1"/>
  <c r="AQ170" i="1" s="1"/>
  <c r="AL169" i="1"/>
  <c r="AP169" i="1"/>
  <c r="AO169" i="1"/>
  <c r="AO168" i="1"/>
  <c r="AL168" i="1"/>
  <c r="AP168" i="1"/>
  <c r="AW167" i="1"/>
  <c r="AY168" i="1" s="1"/>
  <c r="AZ167" i="1"/>
  <c r="BA167" i="1"/>
  <c r="AP166" i="1"/>
  <c r="AL166" i="1"/>
  <c r="AN167" i="1" s="1"/>
  <c r="AO166" i="1"/>
  <c r="AZ165" i="1"/>
  <c r="BA165" i="1"/>
  <c r="AW165" i="1"/>
  <c r="AY166" i="1" s="1"/>
  <c r="AL164" i="1"/>
  <c r="AN165" i="1" s="1"/>
  <c r="AO164" i="1"/>
  <c r="AP164" i="1"/>
  <c r="AZ163" i="1"/>
  <c r="BA163" i="1"/>
  <c r="AW163" i="1"/>
  <c r="AY164" i="1" s="1"/>
  <c r="AZ162" i="1"/>
  <c r="BA162" i="1"/>
  <c r="AW162" i="1"/>
  <c r="BA161" i="1"/>
  <c r="AZ161" i="1"/>
  <c r="BB161" i="1" s="1"/>
  <c r="AW161" i="1"/>
  <c r="AL161" i="1"/>
  <c r="AN162" i="1" s="1"/>
  <c r="AO161" i="1"/>
  <c r="AP161" i="1"/>
  <c r="AO160" i="1"/>
  <c r="AL160" i="1"/>
  <c r="AP160" i="1"/>
  <c r="AZ159" i="1"/>
  <c r="AW159" i="1"/>
  <c r="AY160" i="1" s="1"/>
  <c r="BA159" i="1"/>
  <c r="AP158" i="1"/>
  <c r="AO158" i="1"/>
  <c r="AQ158" i="1" s="1"/>
  <c r="AL158" i="1"/>
  <c r="AN159" i="1" s="1"/>
  <c r="AL157" i="1"/>
  <c r="AO157" i="1"/>
  <c r="AP157" i="1"/>
  <c r="AL156" i="1"/>
  <c r="AO156" i="1"/>
  <c r="AP156" i="1"/>
  <c r="BA155" i="1"/>
  <c r="AW155" i="1"/>
  <c r="AY156" i="1" s="1"/>
  <c r="AZ155" i="1"/>
  <c r="BB155" i="1" s="1"/>
  <c r="BA154" i="1"/>
  <c r="AZ154" i="1"/>
  <c r="AW154" i="1"/>
  <c r="AW153" i="1"/>
  <c r="AZ153" i="1"/>
  <c r="BA153" i="1"/>
  <c r="AL153" i="1"/>
  <c r="AN154" i="1" s="1"/>
  <c r="AP153" i="1"/>
  <c r="AO153" i="1"/>
  <c r="AW152" i="1"/>
  <c r="AZ152" i="1"/>
  <c r="BA152" i="1"/>
  <c r="AP152" i="1"/>
  <c r="AO152" i="1"/>
  <c r="AQ152" i="1" s="1"/>
  <c r="AL152" i="1"/>
  <c r="AO151" i="1"/>
  <c r="AL151" i="1"/>
  <c r="AP151" i="1"/>
  <c r="AO150" i="1"/>
  <c r="AL150" i="1"/>
  <c r="AP150" i="1"/>
  <c r="AP149" i="1"/>
  <c r="AL149" i="1"/>
  <c r="AO149" i="1"/>
  <c r="AQ149" i="1" s="1"/>
  <c r="AL148" i="1"/>
  <c r="AP148" i="1"/>
  <c r="AO148" i="1"/>
  <c r="AQ148" i="1" s="1"/>
  <c r="AW147" i="1"/>
  <c r="AY148" i="1" s="1"/>
  <c r="AZ147" i="1"/>
  <c r="BA147" i="1"/>
  <c r="AO146" i="1"/>
  <c r="AL146" i="1"/>
  <c r="AN147" i="1" s="1"/>
  <c r="AP146" i="1"/>
  <c r="AP145" i="1"/>
  <c r="AL145" i="1"/>
  <c r="AO145" i="1"/>
  <c r="AQ145" i="1" s="1"/>
  <c r="AZ144" i="1"/>
  <c r="AW144" i="1"/>
  <c r="AY145" i="1" s="1"/>
  <c r="BA144" i="1"/>
  <c r="AO144" i="1"/>
  <c r="AL144" i="1"/>
  <c r="AP144" i="1"/>
  <c r="AP143" i="1"/>
  <c r="AL143" i="1"/>
  <c r="AO143" i="1"/>
  <c r="AQ143" i="1" s="1"/>
  <c r="AO142" i="1"/>
  <c r="AL142" i="1"/>
  <c r="AP142" i="1"/>
  <c r="AP141" i="1"/>
  <c r="AL141" i="1"/>
  <c r="AO141" i="1"/>
  <c r="AO140" i="1"/>
  <c r="AL140" i="1"/>
  <c r="AP140" i="1"/>
  <c r="AO139" i="1"/>
  <c r="AL139" i="1"/>
  <c r="AP139" i="1"/>
  <c r="AW138" i="1"/>
  <c r="AY139" i="1" s="1"/>
  <c r="BA138" i="1"/>
  <c r="AZ138" i="1"/>
  <c r="BB138" i="1" s="1"/>
  <c r="AO138" i="1"/>
  <c r="AL138" i="1"/>
  <c r="AP138" i="1"/>
  <c r="AW137" i="1"/>
  <c r="BA137" i="1"/>
  <c r="AZ137" i="1"/>
  <c r="BB137" i="1" s="1"/>
  <c r="AL137" i="1"/>
  <c r="AO137" i="1"/>
  <c r="AP137" i="1"/>
  <c r="BA136" i="1"/>
  <c r="AW136" i="1"/>
  <c r="AZ136" i="1"/>
  <c r="BB136" i="1" s="1"/>
  <c r="AO136" i="1"/>
  <c r="AL136" i="1"/>
  <c r="AP136" i="1"/>
  <c r="AW135" i="1"/>
  <c r="BA135" i="1"/>
  <c r="AZ135" i="1"/>
  <c r="BB135" i="1" s="1"/>
  <c r="AO135" i="1"/>
  <c r="AP135" i="1"/>
  <c r="AL135" i="1"/>
  <c r="BA134" i="1"/>
  <c r="AZ134" i="1"/>
  <c r="AW134" i="1"/>
  <c r="AP134" i="1"/>
  <c r="AO134" i="1"/>
  <c r="AL134" i="1"/>
  <c r="BA133" i="1"/>
  <c r="AW133" i="1"/>
  <c r="AZ133" i="1"/>
  <c r="AL133" i="1"/>
  <c r="AO133" i="1"/>
  <c r="AP133" i="1"/>
  <c r="AP132" i="1"/>
  <c r="AL132" i="1"/>
  <c r="AO132" i="1"/>
  <c r="AW131" i="1"/>
  <c r="AY132" i="1" s="1"/>
  <c r="BA131" i="1"/>
  <c r="AZ131" i="1"/>
  <c r="BB131" i="1" s="1"/>
  <c r="AL131" i="1"/>
  <c r="AP131" i="1"/>
  <c r="AO131" i="1"/>
  <c r="AZ130" i="1"/>
  <c r="BA130" i="1"/>
  <c r="AW130" i="1"/>
  <c r="AL130" i="1"/>
  <c r="AP130" i="1"/>
  <c r="AO130" i="1"/>
  <c r="AP129" i="1"/>
  <c r="AO129" i="1"/>
  <c r="AQ129" i="1" s="1"/>
  <c r="AL129" i="1"/>
  <c r="AW128" i="1"/>
  <c r="AY129" i="1" s="1"/>
  <c r="BA128" i="1"/>
  <c r="AZ128" i="1"/>
  <c r="BB128" i="1" s="1"/>
  <c r="AL128" i="1"/>
  <c r="AO128" i="1"/>
  <c r="AP128" i="1"/>
  <c r="AZ127" i="1"/>
  <c r="AW127" i="1"/>
  <c r="BA127" i="1"/>
  <c r="AP127" i="1"/>
  <c r="AL127" i="1"/>
  <c r="AO127" i="1"/>
  <c r="AO126" i="1"/>
  <c r="AL126" i="1"/>
  <c r="AP126" i="1"/>
  <c r="AO125" i="1"/>
  <c r="AL125" i="1"/>
  <c r="AP125" i="1"/>
  <c r="AZ124" i="1"/>
  <c r="AW124" i="1"/>
  <c r="AY125" i="1" s="1"/>
  <c r="BA124" i="1"/>
  <c r="AZ123" i="1"/>
  <c r="AW123" i="1"/>
  <c r="BA123" i="1"/>
  <c r="AP123" i="1"/>
  <c r="AL123" i="1"/>
  <c r="AN124" i="1" s="1"/>
  <c r="AO123" i="1"/>
  <c r="AQ123" i="1" s="1"/>
  <c r="BA122" i="1"/>
  <c r="AW122" i="1"/>
  <c r="AZ122" i="1"/>
  <c r="BA121" i="1"/>
  <c r="AW121" i="1"/>
  <c r="AZ121" i="1"/>
  <c r="BB121" i="1" s="1"/>
  <c r="AW120" i="1"/>
  <c r="BA120" i="1"/>
  <c r="AZ120" i="1"/>
  <c r="BB120" i="1" s="1"/>
  <c r="AZ119" i="1"/>
  <c r="AW119" i="1"/>
  <c r="BA119" i="1"/>
  <c r="AZ118" i="1"/>
  <c r="BA118" i="1"/>
  <c r="AW118" i="1"/>
  <c r="AZ117" i="1"/>
  <c r="AW117" i="1"/>
  <c r="BA117" i="1"/>
  <c r="BA116" i="1"/>
  <c r="AW116" i="1"/>
  <c r="AZ116" i="1"/>
  <c r="BB116" i="1" s="1"/>
  <c r="AW115" i="1"/>
  <c r="AW114" i="1"/>
  <c r="AZ114" i="1"/>
  <c r="BA114" i="1"/>
  <c r="BA112" i="1"/>
  <c r="AZ112" i="1"/>
  <c r="BB112" i="1" s="1"/>
  <c r="AW112" i="1"/>
  <c r="AZ109" i="1"/>
  <c r="BA109" i="1"/>
  <c r="AW109" i="1"/>
  <c r="AP109" i="1"/>
  <c r="AO109" i="1"/>
  <c r="AL109" i="1"/>
  <c r="AN110" i="1" s="1"/>
  <c r="AP108" i="1"/>
  <c r="AL108" i="1"/>
  <c r="AO108" i="1"/>
  <c r="AZ107" i="1"/>
  <c r="BA107" i="1"/>
  <c r="AW107" i="1"/>
  <c r="AP105" i="1"/>
  <c r="AL105" i="1"/>
  <c r="AN106" i="1" s="1"/>
  <c r="AO105" i="1"/>
  <c r="AQ105" i="1" s="1"/>
  <c r="AO103" i="1"/>
  <c r="AL103" i="1"/>
  <c r="AP103" i="1"/>
  <c r="AO102" i="1"/>
  <c r="AP102" i="1"/>
  <c r="AL102" i="1"/>
  <c r="AP101" i="1"/>
  <c r="AL101" i="1"/>
  <c r="AO101" i="1"/>
  <c r="AQ101" i="1" s="1"/>
  <c r="AZ100" i="1"/>
  <c r="BA100" i="1"/>
  <c r="AW100" i="1"/>
  <c r="AY101" i="1" s="1"/>
  <c r="AW99" i="1"/>
  <c r="BA99" i="1"/>
  <c r="AZ99" i="1"/>
  <c r="BB99" i="1" s="1"/>
  <c r="BA98" i="1"/>
  <c r="AW98" i="1"/>
  <c r="AZ98" i="1"/>
  <c r="BB98" i="1" s="1"/>
  <c r="AL98" i="1"/>
  <c r="AO98" i="1"/>
  <c r="AP98" i="1"/>
  <c r="AZ97" i="1"/>
  <c r="AW97" i="1"/>
  <c r="BA97" i="1"/>
  <c r="AL97" i="1"/>
  <c r="AO97" i="1"/>
  <c r="AP97" i="1"/>
  <c r="AZ96" i="1"/>
  <c r="AW96" i="1"/>
  <c r="BA96" i="1"/>
  <c r="AO95" i="1"/>
  <c r="AL95" i="1"/>
  <c r="AP95" i="1"/>
  <c r="AO94" i="1"/>
  <c r="AL94" i="1"/>
  <c r="AP94" i="1"/>
  <c r="AW93" i="1"/>
  <c r="AY94" i="1" s="1"/>
  <c r="AZ93" i="1"/>
  <c r="BA93" i="1"/>
  <c r="AO91" i="1"/>
  <c r="AL91" i="1"/>
  <c r="AP91" i="1"/>
  <c r="AO89" i="1"/>
  <c r="AL89" i="1"/>
  <c r="AP89" i="1"/>
  <c r="AL84" i="1"/>
  <c r="AN85" i="1" s="1"/>
  <c r="AP84" i="1"/>
  <c r="AO84" i="1"/>
  <c r="AQ84" i="1" s="1"/>
  <c r="AP83" i="1"/>
  <c r="AL83" i="1"/>
  <c r="AO83" i="1"/>
  <c r="AL82" i="1"/>
  <c r="AO82" i="1"/>
  <c r="AP82" i="1"/>
  <c r="AL81" i="1"/>
  <c r="AO81" i="1"/>
  <c r="AP81" i="1"/>
  <c r="AL80" i="1"/>
  <c r="AO80" i="1"/>
  <c r="AP80" i="1"/>
  <c r="AL79" i="1"/>
  <c r="AO79" i="1"/>
  <c r="AP79" i="1"/>
  <c r="AP78" i="1"/>
  <c r="AO78" i="1"/>
  <c r="AQ78" i="1" s="1"/>
  <c r="AL78" i="1"/>
  <c r="AL77" i="1"/>
  <c r="AP77" i="1"/>
  <c r="AO77" i="1"/>
  <c r="AQ77" i="1" s="1"/>
  <c r="AP76" i="1"/>
  <c r="AL76" i="1"/>
  <c r="AO76" i="1"/>
  <c r="AQ76" i="1" s="1"/>
  <c r="AL75" i="1"/>
  <c r="AP75" i="1"/>
  <c r="AO75" i="1"/>
  <c r="AQ75" i="1" s="1"/>
  <c r="AP74" i="1"/>
  <c r="AO74" i="1"/>
  <c r="AQ74" i="1" s="1"/>
  <c r="AL74" i="1"/>
  <c r="AW72" i="1"/>
  <c r="BA72" i="1"/>
  <c r="AZ72" i="1"/>
  <c r="BB72" i="1" s="1"/>
  <c r="AW70" i="1"/>
  <c r="AZ70" i="1"/>
  <c r="BA70" i="1"/>
  <c r="AO70" i="1"/>
  <c r="AP70" i="1"/>
  <c r="AL70" i="1"/>
  <c r="AW68" i="1"/>
  <c r="AY69" i="1" s="1"/>
  <c r="BA68" i="1"/>
  <c r="AZ68" i="1"/>
  <c r="BB68" i="1" s="1"/>
  <c r="AL68" i="1"/>
  <c r="AO68" i="1"/>
  <c r="AP68" i="1"/>
  <c r="AZ67" i="1"/>
  <c r="AW67" i="1"/>
  <c r="BA67" i="1"/>
  <c r="AW66" i="1"/>
  <c r="BA66" i="1"/>
  <c r="AZ66" i="1"/>
  <c r="BB66" i="1" s="1"/>
  <c r="AZ65" i="1"/>
  <c r="AW65" i="1"/>
  <c r="BA65" i="1"/>
  <c r="AL64" i="1"/>
  <c r="AP64" i="1"/>
  <c r="AO64" i="1"/>
  <c r="AW63" i="1"/>
  <c r="AY64" i="1" s="1"/>
  <c r="AZ63" i="1"/>
  <c r="BA63" i="1"/>
  <c r="AO62" i="1"/>
  <c r="AL62" i="1"/>
  <c r="AP62" i="1"/>
  <c r="AZ61" i="1"/>
  <c r="BA61" i="1"/>
  <c r="AW61" i="1"/>
  <c r="AY62" i="1" s="1"/>
  <c r="AP61" i="1"/>
  <c r="AL61" i="1"/>
  <c r="AO61" i="1"/>
  <c r="AQ61" i="1" s="1"/>
  <c r="AW60" i="1"/>
  <c r="AZ60" i="1"/>
  <c r="BA60" i="1"/>
  <c r="BA59" i="1"/>
  <c r="AZ59" i="1"/>
  <c r="BB59" i="1" s="1"/>
  <c r="AW59" i="1"/>
  <c r="AL59" i="1"/>
  <c r="AO59" i="1"/>
  <c r="AP59" i="1"/>
  <c r="AW58" i="1"/>
  <c r="AZ58" i="1"/>
  <c r="BA58" i="1"/>
  <c r="AL58" i="1"/>
  <c r="AO58" i="1"/>
  <c r="AP58" i="1"/>
  <c r="AW57" i="1"/>
  <c r="AZ57" i="1"/>
  <c r="BA57" i="1"/>
  <c r="AL53" i="1"/>
  <c r="AN54" i="1" s="1"/>
  <c r="AO53" i="1"/>
  <c r="AP53" i="1"/>
  <c r="AL51" i="1"/>
  <c r="AO51" i="1"/>
  <c r="AP51" i="1"/>
  <c r="AZ50" i="1"/>
  <c r="BA50" i="1"/>
  <c r="AW50" i="1"/>
  <c r="AL50" i="1"/>
  <c r="AO50" i="1"/>
  <c r="AP50" i="1"/>
  <c r="AW49" i="1"/>
  <c r="BA49" i="1"/>
  <c r="AZ49" i="1"/>
  <c r="BB49" i="1" s="1"/>
  <c r="AL49" i="1"/>
  <c r="AO49" i="1"/>
  <c r="AP49" i="1"/>
  <c r="AP47" i="1"/>
  <c r="AO47" i="1"/>
  <c r="AQ47" i="1" s="1"/>
  <c r="AL47" i="1"/>
  <c r="AN48" i="1" s="1"/>
  <c r="AP45" i="1"/>
  <c r="AO45" i="1"/>
  <c r="AL45" i="1"/>
  <c r="BA44" i="1"/>
  <c r="AW44" i="1"/>
  <c r="AY45" i="1" s="1"/>
  <c r="AZ44" i="1"/>
  <c r="BB44" i="1" s="1"/>
  <c r="AP44" i="1"/>
  <c r="AL44" i="1"/>
  <c r="AO44" i="1"/>
  <c r="AQ44" i="1" s="1"/>
  <c r="AZ43" i="1"/>
  <c r="AW43" i="1"/>
  <c r="BA43" i="1"/>
  <c r="AL42" i="1"/>
  <c r="AP42" i="1"/>
  <c r="AO42" i="1"/>
  <c r="AQ42" i="1" s="1"/>
  <c r="AL40" i="1"/>
  <c r="AP40" i="1"/>
  <c r="AO40" i="1"/>
  <c r="AQ40" i="1" s="1"/>
  <c r="AL39" i="1"/>
  <c r="AO39" i="1"/>
  <c r="AP39" i="1"/>
  <c r="BA36" i="1"/>
  <c r="AW36" i="1"/>
  <c r="AY37" i="1" s="1"/>
  <c r="AZ36" i="1"/>
  <c r="BB36" i="1" s="1"/>
  <c r="AP36" i="1"/>
  <c r="AL36" i="1"/>
  <c r="AO36" i="1"/>
  <c r="AQ36" i="1" s="1"/>
  <c r="AL35" i="1"/>
  <c r="AO35" i="1"/>
  <c r="AP35" i="1"/>
  <c r="AW34" i="1"/>
  <c r="BA34" i="1"/>
  <c r="AZ34" i="1"/>
  <c r="BB34" i="1" s="1"/>
  <c r="AL34" i="1"/>
  <c r="AO34" i="1"/>
  <c r="AP34" i="1"/>
  <c r="AZ33" i="1"/>
  <c r="AW33" i="1"/>
  <c r="BA33" i="1"/>
  <c r="BA32" i="1"/>
  <c r="AZ32" i="1"/>
  <c r="AW32" i="1"/>
  <c r="AL32" i="1"/>
  <c r="AN33" i="1" s="1"/>
  <c r="AO32" i="1"/>
  <c r="AP32" i="1"/>
  <c r="BA31" i="1"/>
  <c r="AW31" i="1"/>
  <c r="AZ31" i="1"/>
  <c r="AP31" i="1"/>
  <c r="AL31" i="1"/>
  <c r="AO31" i="1"/>
  <c r="AQ31" i="1" s="1"/>
  <c r="AW30" i="1"/>
  <c r="BA30" i="1"/>
  <c r="AZ30" i="1"/>
  <c r="BB30" i="1" s="1"/>
  <c r="AP30" i="1"/>
  <c r="AO30" i="1"/>
  <c r="AQ30" i="1" s="1"/>
  <c r="BE30" i="1" s="1"/>
  <c r="AL30" i="1"/>
  <c r="BA29" i="1"/>
  <c r="AW29" i="1"/>
  <c r="AZ29" i="1"/>
  <c r="BB29" i="1" s="1"/>
  <c r="AP29" i="1"/>
  <c r="AL29" i="1"/>
  <c r="AO29" i="1"/>
  <c r="AQ29" i="1" s="1"/>
  <c r="BA28" i="1"/>
  <c r="AZ28" i="1"/>
  <c r="AW28" i="1"/>
  <c r="BA27" i="1"/>
  <c r="AZ27" i="1"/>
  <c r="BB27" i="1" s="1"/>
  <c r="AW27" i="1"/>
  <c r="AP27" i="1"/>
  <c r="AL27" i="1"/>
  <c r="AN28" i="1" s="1"/>
  <c r="AO27" i="1"/>
  <c r="AQ27" i="1" s="1"/>
  <c r="BE27" i="1" s="1"/>
  <c r="AO26" i="1"/>
  <c r="AL26" i="1"/>
  <c r="AP26" i="1"/>
  <c r="AZ25" i="1"/>
  <c r="AW25" i="1"/>
  <c r="AY26" i="1" s="1"/>
  <c r="BA25" i="1"/>
  <c r="AZ24" i="1"/>
  <c r="AW24" i="1"/>
  <c r="BA24" i="1"/>
  <c r="AO24" i="1"/>
  <c r="AL24" i="1"/>
  <c r="AP24" i="1"/>
  <c r="AZ23" i="1"/>
  <c r="AW23" i="1"/>
  <c r="BA23" i="1"/>
  <c r="BA22" i="1"/>
  <c r="AZ22" i="1"/>
  <c r="BB22" i="1" s="1"/>
  <c r="AO22" i="1"/>
  <c r="AP22" i="1"/>
  <c r="AL92" i="1" l="1"/>
  <c r="AO92" i="1"/>
  <c r="AP92" i="1"/>
  <c r="AP90" i="1"/>
  <c r="AL90" i="1"/>
  <c r="AO90" i="1"/>
  <c r="AL71" i="1"/>
  <c r="AN72" i="1" s="1"/>
  <c r="AO71" i="1"/>
  <c r="AP71" i="1"/>
  <c r="AL67" i="1"/>
  <c r="AO67" i="1"/>
  <c r="AP67" i="1"/>
  <c r="AP66" i="1"/>
  <c r="AO66" i="1"/>
  <c r="AQ66" i="1" s="1"/>
  <c r="AL66" i="1"/>
  <c r="AO65" i="1"/>
  <c r="AP65" i="1"/>
  <c r="AL65" i="1"/>
  <c r="AO63" i="1"/>
  <c r="AP63" i="1"/>
  <c r="AL63" i="1"/>
  <c r="AL60" i="1"/>
  <c r="AO60" i="1"/>
  <c r="AP60" i="1"/>
  <c r="AO69" i="1"/>
  <c r="AP69" i="1"/>
  <c r="AL69" i="1"/>
  <c r="BE44" i="1"/>
  <c r="BB133" i="1"/>
  <c r="AQ153" i="1"/>
  <c r="AO100" i="1"/>
  <c r="AL100" i="1"/>
  <c r="AP100" i="1"/>
  <c r="AL99" i="1"/>
  <c r="AP99" i="1"/>
  <c r="AO99" i="1"/>
  <c r="AQ99" i="1" s="1"/>
  <c r="BE99" i="1" s="1"/>
  <c r="AP93" i="1"/>
  <c r="AO93" i="1"/>
  <c r="AQ93" i="1" s="1"/>
  <c r="AL93" i="1"/>
  <c r="AO104" i="1"/>
  <c r="AL104" i="1"/>
  <c r="AP104" i="1"/>
  <c r="AP86" i="1"/>
  <c r="AL86" i="1"/>
  <c r="AN87" i="1" s="1"/>
  <c r="AO86" i="1"/>
  <c r="AQ86" i="1" s="1"/>
  <c r="AP96" i="1"/>
  <c r="AL96" i="1"/>
  <c r="AO96" i="1"/>
  <c r="AQ96" i="1" s="1"/>
  <c r="BB31" i="1"/>
  <c r="BE29" i="1"/>
  <c r="BB28" i="1"/>
  <c r="AZ110" i="1"/>
  <c r="BA110" i="1"/>
  <c r="AW110" i="1"/>
  <c r="AW87" i="1"/>
  <c r="BA87" i="1"/>
  <c r="AZ87" i="1"/>
  <c r="BB87" i="1" s="1"/>
  <c r="AW84" i="1"/>
  <c r="BA84" i="1"/>
  <c r="AZ84" i="1"/>
  <c r="AZ82" i="1"/>
  <c r="BA82" i="1"/>
  <c r="AW82" i="1"/>
  <c r="BA80" i="1"/>
  <c r="AW80" i="1"/>
  <c r="AZ80" i="1"/>
  <c r="BB80" i="1" s="1"/>
  <c r="AZ73" i="1"/>
  <c r="BA73" i="1"/>
  <c r="AW73" i="1"/>
  <c r="AW113" i="1"/>
  <c r="AZ113" i="1"/>
  <c r="BA113" i="1"/>
  <c r="BA88" i="1"/>
  <c r="AZ88" i="1"/>
  <c r="BB88" i="1" s="1"/>
  <c r="AW88" i="1"/>
  <c r="AY89" i="1" s="1"/>
  <c r="BA85" i="1"/>
  <c r="AW85" i="1"/>
  <c r="AY86" i="1" s="1"/>
  <c r="AZ85" i="1"/>
  <c r="BB85" i="1" s="1"/>
  <c r="AZ77" i="1"/>
  <c r="BA77" i="1"/>
  <c r="AW77" i="1"/>
  <c r="AW39" i="1"/>
  <c r="AZ39" i="1"/>
  <c r="BA39" i="1"/>
  <c r="BA79" i="1"/>
  <c r="AW79" i="1"/>
  <c r="AZ79" i="1"/>
  <c r="BA106" i="1"/>
  <c r="AW106" i="1"/>
  <c r="AZ106" i="1"/>
  <c r="BA76" i="1"/>
  <c r="AZ76" i="1"/>
  <c r="AW76" i="1"/>
  <c r="AW74" i="1"/>
  <c r="AZ74" i="1"/>
  <c r="BA74" i="1"/>
  <c r="BA35" i="1"/>
  <c r="AW35" i="1"/>
  <c r="AZ35" i="1"/>
  <c r="BA83" i="1"/>
  <c r="AZ83" i="1"/>
  <c r="AW83" i="1"/>
  <c r="AW75" i="1"/>
  <c r="AZ75" i="1"/>
  <c r="BA75" i="1"/>
  <c r="AW54" i="1"/>
  <c r="AY55" i="1" s="1"/>
  <c r="AZ54" i="1"/>
  <c r="BA54" i="1"/>
  <c r="BA108" i="1"/>
  <c r="AZ108" i="1"/>
  <c r="AW108" i="1"/>
  <c r="AW81" i="1"/>
  <c r="BA81" i="1"/>
  <c r="AZ81" i="1"/>
  <c r="AW78" i="1"/>
  <c r="AZ78" i="1"/>
  <c r="BA78" i="1"/>
  <c r="BA115" i="1"/>
  <c r="AZ115" i="1"/>
  <c r="AW111" i="1"/>
  <c r="AZ111" i="1"/>
  <c r="BA111" i="1"/>
  <c r="AW47" i="1"/>
  <c r="BA47" i="1"/>
  <c r="AZ47" i="1"/>
  <c r="AZ40" i="1"/>
  <c r="BA40" i="1"/>
  <c r="AW40" i="1"/>
  <c r="AY41" i="1" s="1"/>
  <c r="BA38" i="1"/>
  <c r="AW38" i="1"/>
  <c r="AZ38" i="1"/>
  <c r="BB38" i="1" s="1"/>
  <c r="AW105" i="1"/>
  <c r="BA105" i="1"/>
  <c r="AZ105" i="1"/>
  <c r="BB105" i="1" s="1"/>
  <c r="BE105" i="1" s="1"/>
  <c r="BA71" i="1"/>
  <c r="AZ71" i="1"/>
  <c r="BB71" i="1" s="1"/>
  <c r="AW71" i="1"/>
  <c r="BE31" i="1"/>
  <c r="BB35" i="1"/>
  <c r="BB154" i="1"/>
  <c r="BB134" i="1"/>
  <c r="BE66" i="1"/>
  <c r="BB32" i="1"/>
  <c r="BE36" i="1"/>
  <c r="BB122" i="1"/>
  <c r="BA173" i="1"/>
  <c r="AW173" i="1"/>
  <c r="AY174" i="1" s="1"/>
  <c r="AZ173" i="1"/>
  <c r="BB173" i="1" s="1"/>
  <c r="BA168" i="1"/>
  <c r="AZ168" i="1"/>
  <c r="AW168" i="1"/>
  <c r="AY169" i="1" s="1"/>
  <c r="BA166" i="1"/>
  <c r="AW166" i="1"/>
  <c r="AZ166" i="1"/>
  <c r="BA156" i="1"/>
  <c r="AW156" i="1"/>
  <c r="AY157" i="1" s="1"/>
  <c r="AZ156" i="1"/>
  <c r="BB156" i="1" s="1"/>
  <c r="AW145" i="1"/>
  <c r="AY146" i="1" s="1"/>
  <c r="BA145" i="1"/>
  <c r="AZ145" i="1"/>
  <c r="BB145" i="1" s="1"/>
  <c r="BE145" i="1" s="1"/>
  <c r="AW139" i="1"/>
  <c r="AY140" i="1" s="1"/>
  <c r="BA139" i="1"/>
  <c r="AZ139" i="1"/>
  <c r="BA132" i="1"/>
  <c r="AW132" i="1"/>
  <c r="AZ132" i="1"/>
  <c r="BA129" i="1"/>
  <c r="AW129" i="1"/>
  <c r="AZ129" i="1"/>
  <c r="BB129" i="1" s="1"/>
  <c r="BE129" i="1" s="1"/>
  <c r="AW125" i="1"/>
  <c r="AY126" i="1" s="1"/>
  <c r="AZ125" i="1"/>
  <c r="BA125" i="1"/>
  <c r="BA101" i="1"/>
  <c r="AW101" i="1"/>
  <c r="AY102" i="1" s="1"/>
  <c r="AZ101" i="1"/>
  <c r="AZ94" i="1"/>
  <c r="AW94" i="1"/>
  <c r="AY95" i="1" s="1"/>
  <c r="BA94" i="1"/>
  <c r="AW89" i="1"/>
  <c r="AY90" i="1" s="1"/>
  <c r="AZ89" i="1"/>
  <c r="BA89" i="1"/>
  <c r="AZ69" i="1"/>
  <c r="AW69" i="1"/>
  <c r="BA69" i="1"/>
  <c r="BA62" i="1"/>
  <c r="AZ62" i="1"/>
  <c r="AW62" i="1"/>
  <c r="AW45" i="1"/>
  <c r="AZ45" i="1"/>
  <c r="BA45" i="1"/>
  <c r="AW37" i="1"/>
  <c r="BA37" i="1"/>
  <c r="AZ37" i="1"/>
  <c r="AZ26" i="1"/>
  <c r="AW26" i="1"/>
  <c r="BA26" i="1"/>
  <c r="AQ132" i="1"/>
  <c r="AQ83" i="1"/>
  <c r="AL46" i="1"/>
  <c r="AO46" i="1"/>
  <c r="AP46" i="1"/>
  <c r="AO56" i="1"/>
  <c r="AL56" i="1"/>
  <c r="AN57" i="1" s="1"/>
  <c r="AP56" i="1"/>
  <c r="AL52" i="1"/>
  <c r="AO52" i="1"/>
  <c r="AP52" i="1"/>
  <c r="AO23" i="1"/>
  <c r="AL23" i="1"/>
  <c r="AP23" i="1"/>
  <c r="AO43" i="1"/>
  <c r="AP43" i="1"/>
  <c r="AL43" i="1"/>
  <c r="AP41" i="1"/>
  <c r="AL41" i="1"/>
  <c r="AO41" i="1"/>
  <c r="AQ41" i="1" s="1"/>
  <c r="AL25" i="1"/>
  <c r="AP25" i="1"/>
  <c r="AO25" i="1"/>
  <c r="AQ25" i="1" s="1"/>
  <c r="AL37" i="1"/>
  <c r="AN38" i="1" s="1"/>
  <c r="AP37" i="1"/>
  <c r="AO37" i="1"/>
  <c r="AQ37" i="1" s="1"/>
  <c r="AO55" i="1"/>
  <c r="AL55" i="1"/>
  <c r="AP55" i="1"/>
  <c r="AQ176" i="1"/>
  <c r="BE176" i="1" s="1"/>
  <c r="AQ130" i="1"/>
  <c r="AQ90" i="1"/>
  <c r="AQ169" i="1"/>
  <c r="AQ131" i="1"/>
  <c r="AQ108" i="1"/>
  <c r="AQ64" i="1"/>
  <c r="AQ109" i="1"/>
  <c r="AO167" i="1"/>
  <c r="AL167" i="1"/>
  <c r="AP167" i="1"/>
  <c r="AL162" i="1"/>
  <c r="AN163" i="1" s="1"/>
  <c r="AP162" i="1"/>
  <c r="AO162" i="1"/>
  <c r="AQ162" i="1" s="1"/>
  <c r="AL154" i="1"/>
  <c r="AN155" i="1" s="1"/>
  <c r="AO154" i="1"/>
  <c r="AP154" i="1"/>
  <c r="AO124" i="1"/>
  <c r="AL124" i="1"/>
  <c r="AP124" i="1"/>
  <c r="AL110" i="1"/>
  <c r="AN111" i="1" s="1"/>
  <c r="AP110" i="1"/>
  <c r="AO110" i="1"/>
  <c r="AP85" i="1"/>
  <c r="AL85" i="1"/>
  <c r="AO85" i="1"/>
  <c r="AL72" i="1"/>
  <c r="AN73" i="1" s="1"/>
  <c r="AP72" i="1"/>
  <c r="AO72" i="1"/>
  <c r="AO57" i="1"/>
  <c r="AL57" i="1"/>
  <c r="AP57" i="1"/>
  <c r="AO48" i="1"/>
  <c r="AL48" i="1"/>
  <c r="AP48" i="1"/>
  <c r="AO38" i="1"/>
  <c r="AP38" i="1"/>
  <c r="AL38" i="1"/>
  <c r="AP28" i="1"/>
  <c r="AL28" i="1"/>
  <c r="AO28" i="1"/>
  <c r="BB153" i="1"/>
  <c r="BE153" i="1" s="1"/>
  <c r="BB70" i="1"/>
  <c r="BB67" i="1"/>
  <c r="BB63" i="1"/>
  <c r="BB62" i="1"/>
  <c r="BB61" i="1"/>
  <c r="BE61" i="1" s="1"/>
  <c r="BB60" i="1"/>
  <c r="BE131" i="1"/>
  <c r="BB118" i="1"/>
  <c r="AZ51" i="1"/>
  <c r="BA51" i="1"/>
  <c r="AW51" i="1"/>
  <c r="AY52" i="1" s="1"/>
  <c r="AW48" i="1"/>
  <c r="BA48" i="1"/>
  <c r="AZ48" i="1"/>
  <c r="BB48" i="1" s="1"/>
  <c r="BA46" i="1"/>
  <c r="AZ46" i="1"/>
  <c r="AW46" i="1"/>
  <c r="AQ67" i="1"/>
  <c r="BE67" i="1" s="1"/>
  <c r="AQ60" i="1"/>
  <c r="BE60" i="1" s="1"/>
  <c r="AQ55" i="1"/>
  <c r="AQ53" i="1"/>
  <c r="BB114" i="1"/>
  <c r="BB74" i="1"/>
  <c r="BE74" i="1" s="1"/>
  <c r="AQ85" i="1"/>
  <c r="BE85" i="1" s="1"/>
  <c r="BB84" i="1"/>
  <c r="BE84" i="1" s="1"/>
  <c r="AQ82" i="1"/>
  <c r="BB47" i="1"/>
  <c r="BE47" i="1" s="1"/>
  <c r="AQ59" i="1"/>
  <c r="BE59" i="1" s="1"/>
  <c r="AQ151" i="1"/>
  <c r="BB147" i="1"/>
  <c r="BB132" i="1"/>
  <c r="BE132" i="1" s="1"/>
  <c r="BB130" i="1"/>
  <c r="BE130" i="1" s="1"/>
  <c r="BB78" i="1"/>
  <c r="BE78" i="1" s="1"/>
  <c r="AQ69" i="1"/>
  <c r="AQ45" i="1"/>
  <c r="BB172" i="1"/>
  <c r="BE172" i="1" s="1"/>
  <c r="BB167" i="1"/>
  <c r="BB166" i="1"/>
  <c r="BB165" i="1"/>
  <c r="BB163" i="1"/>
  <c r="BB162" i="1"/>
  <c r="BE162" i="1" s="1"/>
  <c r="AQ160" i="1"/>
  <c r="AQ141" i="1"/>
  <c r="AQ135" i="1"/>
  <c r="BE135" i="1" s="1"/>
  <c r="AQ133" i="1"/>
  <c r="BE133" i="1" s="1"/>
  <c r="BB125" i="1"/>
  <c r="BB124" i="1"/>
  <c r="AQ127" i="1"/>
  <c r="BB58" i="1"/>
  <c r="BB57" i="1"/>
  <c r="AO175" i="1"/>
  <c r="AP175" i="1"/>
  <c r="AL175" i="1"/>
  <c r="AZ169" i="1"/>
  <c r="BA169" i="1"/>
  <c r="AW169" i="1"/>
  <c r="AY170" i="1" s="1"/>
  <c r="AP165" i="1"/>
  <c r="AL165" i="1"/>
  <c r="AO165" i="1"/>
  <c r="AQ165" i="1" s="1"/>
  <c r="BE165" i="1" s="1"/>
  <c r="AZ164" i="1"/>
  <c r="AW164" i="1"/>
  <c r="BA164" i="1"/>
  <c r="AP163" i="1"/>
  <c r="AO163" i="1"/>
  <c r="AQ163" i="1" s="1"/>
  <c r="BE163" i="1" s="1"/>
  <c r="AL163" i="1"/>
  <c r="BA160" i="1"/>
  <c r="AW160" i="1"/>
  <c r="AZ160" i="1"/>
  <c r="BB160" i="1" s="1"/>
  <c r="BE160" i="1" s="1"/>
  <c r="AL159" i="1"/>
  <c r="AP159" i="1"/>
  <c r="AO159" i="1"/>
  <c r="AQ159" i="1" s="1"/>
  <c r="AZ148" i="1"/>
  <c r="AW148" i="1"/>
  <c r="AY149" i="1" s="1"/>
  <c r="BA148" i="1"/>
  <c r="AO147" i="1"/>
  <c r="AP147" i="1"/>
  <c r="AL147" i="1"/>
  <c r="AZ146" i="1"/>
  <c r="BA146" i="1"/>
  <c r="AW146" i="1"/>
  <c r="AW140" i="1"/>
  <c r="AY141" i="1" s="1"/>
  <c r="AZ140" i="1"/>
  <c r="BA140" i="1"/>
  <c r="AP106" i="1"/>
  <c r="AL106" i="1"/>
  <c r="AN107" i="1" s="1"/>
  <c r="AO106" i="1"/>
  <c r="AQ106" i="1" s="1"/>
  <c r="AP87" i="1"/>
  <c r="AO87" i="1"/>
  <c r="AL87" i="1"/>
  <c r="AN88" i="1" s="1"/>
  <c r="BA86" i="1"/>
  <c r="AZ86" i="1"/>
  <c r="AW86" i="1"/>
  <c r="AZ64" i="1"/>
  <c r="BA64" i="1"/>
  <c r="AW64" i="1"/>
  <c r="BA55" i="1"/>
  <c r="AW55" i="1"/>
  <c r="AY56" i="1" s="1"/>
  <c r="AZ55" i="1"/>
  <c r="AP54" i="1"/>
  <c r="AL54" i="1"/>
  <c r="AO54" i="1"/>
  <c r="AQ54" i="1" s="1"/>
  <c r="AW41" i="1"/>
  <c r="AY42" i="1" s="1"/>
  <c r="AZ41" i="1"/>
  <c r="BA41" i="1"/>
  <c r="AL33" i="1"/>
  <c r="AP33" i="1"/>
  <c r="AO33" i="1"/>
  <c r="AQ33" i="1" s="1"/>
  <c r="BC22" i="1"/>
  <c r="AQ150" i="1"/>
  <c r="AQ140" i="1"/>
  <c r="AQ126" i="1"/>
  <c r="AQ125" i="1"/>
  <c r="BE125" i="1" s="1"/>
  <c r="AQ92" i="1"/>
  <c r="BB81" i="1"/>
  <c r="BB75" i="1"/>
  <c r="BE75" i="1" s="1"/>
  <c r="AQ65" i="1"/>
  <c r="AQ58" i="1"/>
  <c r="BE58" i="1" s="1"/>
  <c r="AQ110" i="1"/>
  <c r="BB109" i="1"/>
  <c r="BE109" i="1" s="1"/>
  <c r="BB108" i="1"/>
  <c r="BE108" i="1" s="1"/>
  <c r="BB107" i="1"/>
  <c r="BB106" i="1"/>
  <c r="AQ104" i="1"/>
  <c r="AQ103" i="1"/>
  <c r="AQ102" i="1"/>
  <c r="BB101" i="1"/>
  <c r="BE101" i="1" s="1"/>
  <c r="BB100" i="1"/>
  <c r="AQ100" i="1"/>
  <c r="BE100" i="1" s="1"/>
  <c r="AQ98" i="1"/>
  <c r="BE98" i="1" s="1"/>
  <c r="BB97" i="1"/>
  <c r="AQ97" i="1"/>
  <c r="BB96" i="1"/>
  <c r="BE96" i="1" s="1"/>
  <c r="AQ95" i="1"/>
  <c r="AQ94" i="1"/>
  <c r="BB93" i="1"/>
  <c r="BE93" i="1" s="1"/>
  <c r="AQ89" i="1"/>
  <c r="BB83" i="1"/>
  <c r="BE83" i="1" s="1"/>
  <c r="AQ70" i="1"/>
  <c r="BE70" i="1" s="1"/>
  <c r="AQ68" i="1"/>
  <c r="BE68" i="1" s="1"/>
  <c r="BB65" i="1"/>
  <c r="AQ62" i="1"/>
  <c r="BE62" i="1" s="1"/>
  <c r="AQ52" i="1"/>
  <c r="BB51" i="1"/>
  <c r="AQ51" i="1"/>
  <c r="BB50" i="1"/>
  <c r="AQ50" i="1"/>
  <c r="BE50" i="1" s="1"/>
  <c r="AQ49" i="1"/>
  <c r="BE49" i="1" s="1"/>
  <c r="AQ46" i="1"/>
  <c r="BB43" i="1"/>
  <c r="AQ43" i="1"/>
  <c r="BE43" i="1" s="1"/>
  <c r="BB40" i="1"/>
  <c r="BE40" i="1" s="1"/>
  <c r="BB39" i="1"/>
  <c r="AQ39" i="1"/>
  <c r="BE39" i="1" s="1"/>
  <c r="BB37" i="1"/>
  <c r="BE37" i="1" s="1"/>
  <c r="AQ35" i="1"/>
  <c r="BE35" i="1" s="1"/>
  <c r="AQ34" i="1"/>
  <c r="BE34" i="1" s="1"/>
  <c r="BB33" i="1"/>
  <c r="AQ32" i="1"/>
  <c r="BE32" i="1" s="1"/>
  <c r="AQ28" i="1"/>
  <c r="BE28" i="1" s="1"/>
  <c r="AQ26" i="1"/>
  <c r="BB25" i="1"/>
  <c r="BE25" i="1" s="1"/>
  <c r="BB24" i="1"/>
  <c r="AQ24" i="1"/>
  <c r="BE24" i="1" s="1"/>
  <c r="BB23" i="1"/>
  <c r="AQ22" i="1"/>
  <c r="AQ174" i="1"/>
  <c r="AQ173" i="1"/>
  <c r="BE173" i="1" s="1"/>
  <c r="BB171" i="1"/>
  <c r="BE171" i="1" s="1"/>
  <c r="AQ166" i="1"/>
  <c r="AQ157" i="1"/>
  <c r="AQ156" i="1"/>
  <c r="BE156" i="1" s="1"/>
  <c r="BB152" i="1"/>
  <c r="BE152" i="1" s="1"/>
  <c r="AQ146" i="1"/>
  <c r="BB144" i="1"/>
  <c r="AQ138" i="1"/>
  <c r="BE138" i="1" s="1"/>
  <c r="AQ137" i="1"/>
  <c r="BE137" i="1" s="1"/>
  <c r="AQ136" i="1"/>
  <c r="BE136" i="1" s="1"/>
  <c r="AQ134" i="1"/>
  <c r="BE134" i="1" s="1"/>
  <c r="AQ128" i="1"/>
  <c r="BE128" i="1" s="1"/>
  <c r="BB119" i="1"/>
  <c r="BB117" i="1"/>
  <c r="BB115" i="1"/>
  <c r="AQ91" i="1"/>
  <c r="AQ81" i="1"/>
  <c r="AQ79" i="1"/>
  <c r="BB76" i="1"/>
  <c r="BE76" i="1" s="1"/>
  <c r="BB73" i="1"/>
  <c r="AQ71" i="1"/>
  <c r="BE71" i="1" s="1"/>
  <c r="AQ63" i="1"/>
  <c r="AQ56" i="1"/>
  <c r="BB168" i="1"/>
  <c r="AQ168" i="1"/>
  <c r="BE168" i="1" s="1"/>
  <c r="AQ164" i="1"/>
  <c r="AQ161" i="1"/>
  <c r="BE161" i="1" s="1"/>
  <c r="BB159" i="1"/>
  <c r="AQ144" i="1"/>
  <c r="BE144" i="1" s="1"/>
  <c r="AQ142" i="1"/>
  <c r="AQ139" i="1"/>
  <c r="BB127" i="1"/>
  <c r="BB123" i="1"/>
  <c r="BE123" i="1" s="1"/>
  <c r="AQ80" i="1"/>
  <c r="BE80" i="1" s="1"/>
  <c r="AQ167" i="1" l="1"/>
  <c r="AQ23" i="1"/>
  <c r="BE167" i="1"/>
  <c r="AQ72" i="1"/>
  <c r="BE72" i="1" s="1"/>
  <c r="BE166" i="1"/>
  <c r="BE81" i="1"/>
  <c r="BE63" i="1"/>
  <c r="BE127" i="1"/>
  <c r="BB79" i="1"/>
  <c r="BE79" i="1" s="1"/>
  <c r="BE51" i="1"/>
  <c r="BB110" i="1"/>
  <c r="BE110" i="1" s="1"/>
  <c r="BB82" i="1"/>
  <c r="BE82" i="1" s="1"/>
  <c r="BB113" i="1"/>
  <c r="BB77" i="1"/>
  <c r="BE77" i="1" s="1"/>
  <c r="BB54" i="1"/>
  <c r="BE54" i="1" s="1"/>
  <c r="BB111" i="1"/>
  <c r="BB45" i="1"/>
  <c r="BE45" i="1" s="1"/>
  <c r="BB89" i="1"/>
  <c r="BE89" i="1" s="1"/>
  <c r="BB86" i="1"/>
  <c r="BE86" i="1" s="1"/>
  <c r="AW174" i="1"/>
  <c r="BA174" i="1"/>
  <c r="AZ174" i="1"/>
  <c r="BB174" i="1" s="1"/>
  <c r="BE174" i="1" s="1"/>
  <c r="BA157" i="1"/>
  <c r="AZ157" i="1"/>
  <c r="BB157" i="1" s="1"/>
  <c r="BE157" i="1" s="1"/>
  <c r="AW157" i="1"/>
  <c r="AY158" i="1" s="1"/>
  <c r="AZ126" i="1"/>
  <c r="BA126" i="1"/>
  <c r="AW126" i="1"/>
  <c r="AZ102" i="1"/>
  <c r="AW102" i="1"/>
  <c r="AY103" i="1" s="1"/>
  <c r="BA102" i="1"/>
  <c r="AZ95" i="1"/>
  <c r="BA95" i="1"/>
  <c r="AW95" i="1"/>
  <c r="BA90" i="1"/>
  <c r="AW90" i="1"/>
  <c r="AY91" i="1" s="1"/>
  <c r="AZ90" i="1"/>
  <c r="BB90" i="1" s="1"/>
  <c r="BE90" i="1" s="1"/>
  <c r="BB94" i="1"/>
  <c r="BE94" i="1" s="1"/>
  <c r="BB139" i="1"/>
  <c r="BE139" i="1" s="1"/>
  <c r="BB69" i="1"/>
  <c r="BE69" i="1" s="1"/>
  <c r="BB26" i="1"/>
  <c r="BE23" i="1"/>
  <c r="AZ52" i="1"/>
  <c r="BA52" i="1"/>
  <c r="AW52" i="1"/>
  <c r="AY53" i="1" s="1"/>
  <c r="BA170" i="1"/>
  <c r="AW170" i="1"/>
  <c r="AZ170" i="1"/>
  <c r="BB170" i="1" s="1"/>
  <c r="BE170" i="1" s="1"/>
  <c r="AZ149" i="1"/>
  <c r="AW149" i="1"/>
  <c r="AY150" i="1" s="1"/>
  <c r="BA149" i="1"/>
  <c r="AW141" i="1"/>
  <c r="AY142" i="1" s="1"/>
  <c r="AZ141" i="1"/>
  <c r="BA141" i="1"/>
  <c r="AW56" i="1"/>
  <c r="AZ56" i="1"/>
  <c r="BA56" i="1"/>
  <c r="AZ42" i="1"/>
  <c r="BA42" i="1"/>
  <c r="AW42" i="1"/>
  <c r="AQ87" i="1"/>
  <c r="BE87" i="1" s="1"/>
  <c r="AQ154" i="1"/>
  <c r="BE154" i="1" s="1"/>
  <c r="AQ38" i="1"/>
  <c r="BE38" i="1" s="1"/>
  <c r="AP155" i="1"/>
  <c r="AL155" i="1"/>
  <c r="AO155" i="1"/>
  <c r="AQ155" i="1" s="1"/>
  <c r="BE155" i="1" s="1"/>
  <c r="AO111" i="1"/>
  <c r="AP111" i="1"/>
  <c r="AL111" i="1"/>
  <c r="AN112" i="1" s="1"/>
  <c r="AP73" i="1"/>
  <c r="AO73" i="1"/>
  <c r="AL73" i="1"/>
  <c r="AQ48" i="1"/>
  <c r="BE48" i="1" s="1"/>
  <c r="AQ124" i="1"/>
  <c r="BE124" i="1" s="1"/>
  <c r="AQ57" i="1"/>
  <c r="BE57" i="1" s="1"/>
  <c r="AL88" i="1"/>
  <c r="AP88" i="1"/>
  <c r="AO88" i="1"/>
  <c r="BB46" i="1"/>
  <c r="BE46" i="1" s="1"/>
  <c r="BB169" i="1"/>
  <c r="BE169" i="1" s="1"/>
  <c r="AQ147" i="1"/>
  <c r="BE147" i="1" s="1"/>
  <c r="BB140" i="1"/>
  <c r="BE140" i="1" s="1"/>
  <c r="BB64" i="1"/>
  <c r="BE64" i="1" s="1"/>
  <c r="BB55" i="1"/>
  <c r="BE55" i="1" s="1"/>
  <c r="BB41" i="1"/>
  <c r="BE41" i="1" s="1"/>
  <c r="BE97" i="1"/>
  <c r="AP107" i="1"/>
  <c r="AL107" i="1"/>
  <c r="AO107" i="1"/>
  <c r="AQ107" i="1" s="1"/>
  <c r="BE107" i="1" s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BE33" i="1"/>
  <c r="AQ175" i="1"/>
  <c r="BE175" i="1" s="1"/>
  <c r="BB164" i="1"/>
  <c r="BE164" i="1" s="1"/>
  <c r="BB148" i="1"/>
  <c r="BE148" i="1" s="1"/>
  <c r="BB146" i="1"/>
  <c r="BE146" i="1" s="1"/>
  <c r="BE106" i="1"/>
  <c r="BE65" i="1"/>
  <c r="BE159" i="1"/>
  <c r="BC23" i="1"/>
  <c r="BC24" i="1" s="1"/>
  <c r="BC25" i="1" s="1"/>
  <c r="AQ73" i="1" l="1"/>
  <c r="AQ88" i="1"/>
  <c r="BE88" i="1" s="1"/>
  <c r="BB52" i="1"/>
  <c r="BE52" i="1" s="1"/>
  <c r="BB42" i="1"/>
  <c r="BE42" i="1" s="1"/>
  <c r="AZ158" i="1"/>
  <c r="BA158" i="1"/>
  <c r="AW158" i="1"/>
  <c r="AZ103" i="1"/>
  <c r="AW103" i="1"/>
  <c r="AY104" i="1" s="1"/>
  <c r="BA103" i="1"/>
  <c r="AZ91" i="1"/>
  <c r="AW91" i="1"/>
  <c r="AY92" i="1" s="1"/>
  <c r="BA91" i="1"/>
  <c r="AZ53" i="1"/>
  <c r="AW53" i="1"/>
  <c r="BA53" i="1"/>
  <c r="AZ150" i="1"/>
  <c r="BA150" i="1"/>
  <c r="AW150" i="1"/>
  <c r="AY151" i="1" s="1"/>
  <c r="BA142" i="1"/>
  <c r="AW142" i="1"/>
  <c r="AY143" i="1" s="1"/>
  <c r="AZ142" i="1"/>
  <c r="BB142" i="1" s="1"/>
  <c r="BE142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B126" i="1"/>
  <c r="BE126" i="1" s="1"/>
  <c r="BB141" i="1"/>
  <c r="BE141" i="1" s="1"/>
  <c r="BB102" i="1"/>
  <c r="BE102" i="1" s="1"/>
  <c r="BB95" i="1"/>
  <c r="BE95" i="1" s="1"/>
  <c r="BB56" i="1"/>
  <c r="BE56" i="1" s="1"/>
  <c r="BB149" i="1"/>
  <c r="BE149" i="1" s="1"/>
  <c r="BE26" i="1"/>
  <c r="AO112" i="1"/>
  <c r="AL112" i="1"/>
  <c r="AN113" i="1" s="1"/>
  <c r="AP112" i="1"/>
  <c r="AQ111" i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AR73" i="1" l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BE73" i="1"/>
  <c r="AZ104" i="1"/>
  <c r="BA104" i="1"/>
  <c r="AW104" i="1"/>
  <c r="BA92" i="1"/>
  <c r="AZ92" i="1"/>
  <c r="BB92" i="1" s="1"/>
  <c r="BE92" i="1" s="1"/>
  <c r="AW92" i="1"/>
  <c r="AW151" i="1"/>
  <c r="AZ151" i="1"/>
  <c r="BA151" i="1"/>
  <c r="AZ143" i="1"/>
  <c r="AW143" i="1"/>
  <c r="BA143" i="1"/>
  <c r="BB158" i="1"/>
  <c r="BE158" i="1" s="1"/>
  <c r="BB103" i="1"/>
  <c r="BE103" i="1" s="1"/>
  <c r="BB91" i="1"/>
  <c r="BE91" i="1" s="1"/>
  <c r="BB53" i="1"/>
  <c r="BB150" i="1"/>
  <c r="BE150" i="1" s="1"/>
  <c r="AP113" i="1"/>
  <c r="AL113" i="1"/>
  <c r="AN114" i="1" s="1"/>
  <c r="AO113" i="1"/>
  <c r="BE111" i="1"/>
  <c r="AQ112" i="1"/>
  <c r="BE112" i="1" s="1"/>
  <c r="AQ113" i="1" l="1"/>
  <c r="BE113" i="1" s="1"/>
  <c r="BC53" i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E53" i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B104" i="1"/>
  <c r="BB151" i="1"/>
  <c r="BE151" i="1" s="1"/>
  <c r="BB143" i="1"/>
  <c r="BE143" i="1" s="1"/>
  <c r="AP114" i="1"/>
  <c r="AL114" i="1"/>
  <c r="AN115" i="1" s="1"/>
  <c r="AO114" i="1"/>
  <c r="AQ114" i="1" s="1"/>
  <c r="BE114" i="1" s="1"/>
  <c r="AR112" i="1"/>
  <c r="AR113" i="1" s="1"/>
  <c r="BC104" i="1" l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04" i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B15" i="1"/>
  <c r="BB14" i="1"/>
  <c r="BB19" i="1"/>
  <c r="AL115" i="1"/>
  <c r="AN116" i="1" s="1"/>
  <c r="AO115" i="1"/>
  <c r="AP115" i="1"/>
  <c r="AR114" i="1"/>
  <c r="BB16" i="1" l="1"/>
  <c r="AT1" i="1" s="1"/>
  <c r="AQ115" i="1"/>
  <c r="AO116" i="1"/>
  <c r="AL116" i="1"/>
  <c r="AN117" i="1" s="1"/>
  <c r="AP116" i="1"/>
  <c r="BE115" i="1"/>
  <c r="AR115" i="1"/>
  <c r="AP117" i="1" l="1"/>
  <c r="AL117" i="1"/>
  <c r="AN118" i="1" s="1"/>
  <c r="AO117" i="1"/>
  <c r="AQ117" i="1" s="1"/>
  <c r="BE117" i="1" s="1"/>
  <c r="BF115" i="1"/>
  <c r="AQ116" i="1"/>
  <c r="AO118" i="1" l="1"/>
  <c r="AP118" i="1"/>
  <c r="AL118" i="1"/>
  <c r="AN119" i="1" s="1"/>
  <c r="BE116" i="1"/>
  <c r="AR116" i="1"/>
  <c r="AR117" i="1" s="1"/>
  <c r="AL119" i="1" l="1"/>
  <c r="AN120" i="1" s="1"/>
  <c r="AO119" i="1"/>
  <c r="AP119" i="1"/>
  <c r="BF116" i="1"/>
  <c r="BF117" i="1" s="1"/>
  <c r="AQ118" i="1"/>
  <c r="AO120" i="1" l="1"/>
  <c r="AP120" i="1"/>
  <c r="AL120" i="1"/>
  <c r="AN121" i="1" s="1"/>
  <c r="AR118" i="1"/>
  <c r="BE118" i="1"/>
  <c r="AQ119" i="1"/>
  <c r="AR119" i="1" l="1"/>
  <c r="AL121" i="1"/>
  <c r="AN122" i="1" s="1"/>
  <c r="AP121" i="1"/>
  <c r="AO121" i="1"/>
  <c r="AQ121" i="1" s="1"/>
  <c r="BF118" i="1"/>
  <c r="AQ120" i="1"/>
  <c r="BE119" i="1"/>
  <c r="BF119" i="1" l="1"/>
  <c r="AL122" i="1"/>
  <c r="AP122" i="1"/>
  <c r="AO122" i="1"/>
  <c r="AQ122" i="1" s="1"/>
  <c r="AQ14" i="1"/>
  <c r="AR120" i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20" i="1"/>
  <c r="BE121" i="1"/>
  <c r="AQ19" i="1"/>
  <c r="AQ15" i="1" l="1"/>
  <c r="AQ16" i="1" s="1"/>
  <c r="AI1" i="1" s="1"/>
  <c r="BE122" i="1"/>
  <c r="BF120" i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8" i="1" l="1"/>
  <c r="BE14" i="1"/>
  <c r="BE16" i="1" s="1"/>
</calcChain>
</file>

<file path=xl/sharedStrings.xml><?xml version="1.0" encoding="utf-8"?>
<sst xmlns="http://schemas.openxmlformats.org/spreadsheetml/2006/main" count="74" uniqueCount="53">
  <si>
    <t>date</t>
  </si>
  <si>
    <t>UA</t>
  </si>
  <si>
    <t>UAA</t>
  </si>
  <si>
    <t>UA log rtn</t>
  </si>
  <si>
    <t>UAA log rtn</t>
  </si>
  <si>
    <t>UA div</t>
  </si>
  <si>
    <t>UA div cumsum</t>
  </si>
  <si>
    <t>UAA div</t>
  </si>
  <si>
    <t>UAA div cumsum</t>
  </si>
  <si>
    <t>UA div adjustment</t>
  </si>
  <si>
    <t>UAA div adjustment</t>
  </si>
  <si>
    <t>UA*</t>
  </si>
  <si>
    <t>UAA*</t>
  </si>
  <si>
    <t>UAA/UA</t>
  </si>
  <si>
    <t>UAA/UA avg</t>
  </si>
  <si>
    <t>UAA/UA 10 dma</t>
  </si>
  <si>
    <t>UAA/UA 20 dma</t>
  </si>
  <si>
    <t>UA x avg</t>
  </si>
  <si>
    <t>UA x 10 dma</t>
  </si>
  <si>
    <t>UA x 20 dma</t>
  </si>
  <si>
    <t>log diff UA x avg / UAA</t>
  </si>
  <si>
    <t>log diff UA x 10 dma / UAA</t>
  </si>
  <si>
    <t>log diff UA x 20 dma / UAA</t>
  </si>
  <si>
    <t>UAA*/UA*</t>
  </si>
  <si>
    <t>UAA*/UA* avg</t>
  </si>
  <si>
    <t>UAA*/UA* 10 dma</t>
  </si>
  <si>
    <t>UAA*/UA* 20 dma</t>
  </si>
  <si>
    <t>UA* x avg</t>
  </si>
  <si>
    <t>UA* x 10 dma</t>
  </si>
  <si>
    <t>UA* x 20 dma</t>
  </si>
  <si>
    <t>log diff UA* x avg / UAA*</t>
  </si>
  <si>
    <t>log diff UA* x 10 dma / UAA*</t>
  </si>
  <si>
    <t>log diff UA* x 20 dma / UAA*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</si>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</sst>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UAA/UA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1.0269470164915</c:v>
                </c:pt>
                <c:pt idx="1">
                  <c:v>1.0269470164915</c:v>
                </c:pt>
                <c:pt idx="2">
                  <c:v>1.0269470164915</c:v>
                </c:pt>
                <c:pt idx="3">
                  <c:v>1.0269470164915</c:v>
                </c:pt>
                <c:pt idx="4">
                  <c:v>1.0269470164915</c:v>
                </c:pt>
                <c:pt idx="5">
                  <c:v>1.0269470164915</c:v>
                </c:pt>
                <c:pt idx="6">
                  <c:v>1.0269470164915</c:v>
                </c:pt>
                <c:pt idx="7">
                  <c:v>1.0269470164915</c:v>
                </c:pt>
                <c:pt idx="8">
                  <c:v>1.0269470164915</c:v>
                </c:pt>
                <c:pt idx="9">
                  <c:v>1.0269470164915</c:v>
                </c:pt>
                <c:pt idx="10">
                  <c:v>1.0269470164915</c:v>
                </c:pt>
                <c:pt idx="11">
                  <c:v>1.0269470164915</c:v>
                </c:pt>
                <c:pt idx="12">
                  <c:v>1.0269470164915</c:v>
                </c:pt>
                <c:pt idx="13">
                  <c:v>1.0269470164915</c:v>
                </c:pt>
                <c:pt idx="14">
                  <c:v>1.0269470164915</c:v>
                </c:pt>
                <c:pt idx="15">
                  <c:v>1.0269470164915</c:v>
                </c:pt>
                <c:pt idx="16">
                  <c:v>1.0269470164915</c:v>
                </c:pt>
                <c:pt idx="17">
                  <c:v>1.0269470164915</c:v>
                </c:pt>
                <c:pt idx="18">
                  <c:v>1.0269470164915</c:v>
                </c:pt>
                <c:pt idx="19">
                  <c:v>1.0269470164915</c:v>
                </c:pt>
                <c:pt idx="20">
                  <c:v>1.0269470164915</c:v>
                </c:pt>
                <c:pt idx="21">
                  <c:v>1.0269470164915</c:v>
                </c:pt>
                <c:pt idx="22">
                  <c:v>1.0269470164915</c:v>
                </c:pt>
                <c:pt idx="23">
                  <c:v>1.0269470164915</c:v>
                </c:pt>
                <c:pt idx="24">
                  <c:v>1.0269470164915</c:v>
                </c:pt>
                <c:pt idx="25">
                  <c:v>1.0269470164915</c:v>
                </c:pt>
                <c:pt idx="26">
                  <c:v>1.0269470164915</c:v>
                </c:pt>
                <c:pt idx="27">
                  <c:v>1.0269470164915</c:v>
                </c:pt>
                <c:pt idx="28">
                  <c:v>1.0269470164915</c:v>
                </c:pt>
                <c:pt idx="29">
                  <c:v>1.0269470164915</c:v>
                </c:pt>
                <c:pt idx="30">
                  <c:v>1.0269470164915</c:v>
                </c:pt>
                <c:pt idx="31">
                  <c:v>1.0269470164915</c:v>
                </c:pt>
                <c:pt idx="32">
                  <c:v>1.0269470164915</c:v>
                </c:pt>
                <c:pt idx="33">
                  <c:v>1.0269470164915</c:v>
                </c:pt>
                <c:pt idx="34">
                  <c:v>1.0269470164915</c:v>
                </c:pt>
                <c:pt idx="35">
                  <c:v>1.0269470164915</c:v>
                </c:pt>
                <c:pt idx="36">
                  <c:v>1.0269470164915</c:v>
                </c:pt>
                <c:pt idx="37">
                  <c:v>1.0269470164915</c:v>
                </c:pt>
                <c:pt idx="38">
                  <c:v>1.0269470164915</c:v>
                </c:pt>
                <c:pt idx="39">
                  <c:v>1.0269470164915</c:v>
                </c:pt>
                <c:pt idx="40">
                  <c:v>1.0269470164915</c:v>
                </c:pt>
                <c:pt idx="41">
                  <c:v>1.0269470164915</c:v>
                </c:pt>
                <c:pt idx="42">
                  <c:v>1.0269470164915</c:v>
                </c:pt>
                <c:pt idx="43">
                  <c:v>1.0269470164915</c:v>
                </c:pt>
                <c:pt idx="44">
                  <c:v>1.0269470164915</c:v>
                </c:pt>
                <c:pt idx="45">
                  <c:v>1.0269470164915</c:v>
                </c:pt>
                <c:pt idx="46">
                  <c:v>1.0269470164915</c:v>
                </c:pt>
                <c:pt idx="47">
                  <c:v>1.0269470164915</c:v>
                </c:pt>
                <c:pt idx="48">
                  <c:v>1.0269470164915</c:v>
                </c:pt>
                <c:pt idx="49">
                  <c:v>1.0269470164915</c:v>
                </c:pt>
                <c:pt idx="50">
                  <c:v>1.0269470164915</c:v>
                </c:pt>
                <c:pt idx="51">
                  <c:v>1.0269470164915</c:v>
                </c:pt>
                <c:pt idx="52">
                  <c:v>1.0269470164915</c:v>
                </c:pt>
                <c:pt idx="53">
                  <c:v>1.0269470164915</c:v>
                </c:pt>
                <c:pt idx="54">
                  <c:v>1.0269470164915</c:v>
                </c:pt>
                <c:pt idx="55">
                  <c:v>1.0269470164915</c:v>
                </c:pt>
                <c:pt idx="56">
                  <c:v>1.0269470164915</c:v>
                </c:pt>
                <c:pt idx="57">
                  <c:v>1.0269470164915</c:v>
                </c:pt>
                <c:pt idx="58">
                  <c:v>1.0269470164915</c:v>
                </c:pt>
                <c:pt idx="59">
                  <c:v>1.0269470164915</c:v>
                </c:pt>
                <c:pt idx="60">
                  <c:v>1.0269470164915</c:v>
                </c:pt>
                <c:pt idx="61">
                  <c:v>1.0269470164915</c:v>
                </c:pt>
                <c:pt idx="62">
                  <c:v>1.0269470164915</c:v>
                </c:pt>
                <c:pt idx="63">
                  <c:v>1.0269470164915</c:v>
                </c:pt>
                <c:pt idx="64">
                  <c:v>1.0269470164915</c:v>
                </c:pt>
                <c:pt idx="65">
                  <c:v>1.0269470164915</c:v>
                </c:pt>
                <c:pt idx="66">
                  <c:v>1.0269470164915</c:v>
                </c:pt>
                <c:pt idx="67">
                  <c:v>1.0269470164915</c:v>
                </c:pt>
                <c:pt idx="68">
                  <c:v>1.0269470164915</c:v>
                </c:pt>
                <c:pt idx="69">
                  <c:v>1.0269470164915</c:v>
                </c:pt>
                <c:pt idx="70">
                  <c:v>1.0269470164915</c:v>
                </c:pt>
                <c:pt idx="71">
                  <c:v>1.0269470164915</c:v>
                </c:pt>
                <c:pt idx="72">
                  <c:v>1.0269470164915</c:v>
                </c:pt>
                <c:pt idx="73">
                  <c:v>1.0269470164915</c:v>
                </c:pt>
                <c:pt idx="74">
                  <c:v>1.0269470164915</c:v>
                </c:pt>
                <c:pt idx="75">
                  <c:v>1.0269470164915</c:v>
                </c:pt>
                <c:pt idx="76">
                  <c:v>1.0269470164915</c:v>
                </c:pt>
                <c:pt idx="77">
                  <c:v>1.0269470164915</c:v>
                </c:pt>
                <c:pt idx="78">
                  <c:v>1.0269470164915</c:v>
                </c:pt>
                <c:pt idx="79">
                  <c:v>1.0269470164915</c:v>
                </c:pt>
                <c:pt idx="80">
                  <c:v>1.0269470164915</c:v>
                </c:pt>
                <c:pt idx="81">
                  <c:v>1.0269470164915</c:v>
                </c:pt>
                <c:pt idx="82">
                  <c:v>1.0269470164915</c:v>
                </c:pt>
                <c:pt idx="83">
                  <c:v>1.0269470164915</c:v>
                </c:pt>
                <c:pt idx="84">
                  <c:v>1.0269470164915</c:v>
                </c:pt>
                <c:pt idx="85">
                  <c:v>1.0269470164915</c:v>
                </c:pt>
                <c:pt idx="86">
                  <c:v>1.0269470164915</c:v>
                </c:pt>
                <c:pt idx="87">
                  <c:v>1.0269470164915</c:v>
                </c:pt>
                <c:pt idx="88">
                  <c:v>1.0269470164915</c:v>
                </c:pt>
                <c:pt idx="89">
                  <c:v>1.0269470164915</c:v>
                </c:pt>
                <c:pt idx="90">
                  <c:v>1.0269470164915</c:v>
                </c:pt>
                <c:pt idx="91">
                  <c:v>1.0269470164915</c:v>
                </c:pt>
                <c:pt idx="92">
                  <c:v>1.0269470164915</c:v>
                </c:pt>
                <c:pt idx="93">
                  <c:v>1.0269470164915</c:v>
                </c:pt>
                <c:pt idx="94">
                  <c:v>1.0269470164915</c:v>
                </c:pt>
                <c:pt idx="95">
                  <c:v>1.0269470164915</c:v>
                </c:pt>
                <c:pt idx="96">
                  <c:v>1.0269470164915</c:v>
                </c:pt>
                <c:pt idx="97">
                  <c:v>1.0269470164915</c:v>
                </c:pt>
                <c:pt idx="98">
                  <c:v>1.0269470164915</c:v>
                </c:pt>
                <c:pt idx="99">
                  <c:v>1.0269470164915</c:v>
                </c:pt>
                <c:pt idx="100">
                  <c:v>1.0269470164915</c:v>
                </c:pt>
                <c:pt idx="101">
                  <c:v>1.0269470164915</c:v>
                </c:pt>
                <c:pt idx="102">
                  <c:v>1.0269470164915</c:v>
                </c:pt>
                <c:pt idx="103">
                  <c:v>1.0269470164915</c:v>
                </c:pt>
                <c:pt idx="104">
                  <c:v>1.0269470164915</c:v>
                </c:pt>
                <c:pt idx="105">
                  <c:v>1.0269470164915</c:v>
                </c:pt>
                <c:pt idx="106">
                  <c:v>1.0269470164915</c:v>
                </c:pt>
                <c:pt idx="107">
                  <c:v>1.0269470164915</c:v>
                </c:pt>
                <c:pt idx="108">
                  <c:v>1.0269470164915</c:v>
                </c:pt>
                <c:pt idx="109">
                  <c:v>1.0269470164915</c:v>
                </c:pt>
                <c:pt idx="110">
                  <c:v>1.0269470164915</c:v>
                </c:pt>
                <c:pt idx="111">
                  <c:v>1.0269470164915</c:v>
                </c:pt>
                <c:pt idx="112">
                  <c:v>1.0269470164915</c:v>
                </c:pt>
                <c:pt idx="113">
                  <c:v>1.0269470164915</c:v>
                </c:pt>
                <c:pt idx="114">
                  <c:v>1.0269470164915</c:v>
                </c:pt>
                <c:pt idx="115">
                  <c:v>1.0269470164915</c:v>
                </c:pt>
                <c:pt idx="116">
                  <c:v>1.0269470164915</c:v>
                </c:pt>
                <c:pt idx="117">
                  <c:v>1.0269470164915</c:v>
                </c:pt>
                <c:pt idx="118">
                  <c:v>1.0269470164915</c:v>
                </c:pt>
                <c:pt idx="119">
                  <c:v>1.0269470164915</c:v>
                </c:pt>
                <c:pt idx="120">
                  <c:v>1.0269470164915</c:v>
                </c:pt>
                <c:pt idx="121">
                  <c:v>1.0269470164915</c:v>
                </c:pt>
                <c:pt idx="122">
                  <c:v>1.0269470164915</c:v>
                </c:pt>
                <c:pt idx="123">
                  <c:v>1.0269470164915</c:v>
                </c:pt>
                <c:pt idx="124">
                  <c:v>1.0269470164915</c:v>
                </c:pt>
                <c:pt idx="125">
                  <c:v>1.0269470164915</c:v>
                </c:pt>
                <c:pt idx="126">
                  <c:v>1.0269470164915</c:v>
                </c:pt>
                <c:pt idx="127">
                  <c:v>1.0269470164915</c:v>
                </c:pt>
                <c:pt idx="128">
                  <c:v>1.0269470164915</c:v>
                </c:pt>
                <c:pt idx="129">
                  <c:v>1.0269470164915</c:v>
                </c:pt>
                <c:pt idx="130">
                  <c:v>1.0269470164915</c:v>
                </c:pt>
                <c:pt idx="131">
                  <c:v>1.0269470164915</c:v>
                </c:pt>
                <c:pt idx="132">
                  <c:v>1.0269470164915</c:v>
                </c:pt>
                <c:pt idx="133">
                  <c:v>1.0269470164915</c:v>
                </c:pt>
                <c:pt idx="134">
                  <c:v>1.0269470164915</c:v>
                </c:pt>
                <c:pt idx="135">
                  <c:v>1.0269470164915</c:v>
                </c:pt>
                <c:pt idx="136">
                  <c:v>1.0269470164915</c:v>
                </c:pt>
                <c:pt idx="137">
                  <c:v>1.0269470164915</c:v>
                </c:pt>
                <c:pt idx="138">
                  <c:v>1.0269470164915</c:v>
                </c:pt>
                <c:pt idx="139">
                  <c:v>1.0269470164915</c:v>
                </c:pt>
                <c:pt idx="140">
                  <c:v>1.0269470164915</c:v>
                </c:pt>
                <c:pt idx="141">
                  <c:v>1.0269470164915</c:v>
                </c:pt>
                <c:pt idx="142">
                  <c:v>1.0269470164915</c:v>
                </c:pt>
                <c:pt idx="143">
                  <c:v>1.0269470164915</c:v>
                </c:pt>
                <c:pt idx="144">
                  <c:v>1.0269470164915</c:v>
                </c:pt>
                <c:pt idx="145">
                  <c:v>1.0269470164915</c:v>
                </c:pt>
                <c:pt idx="146">
                  <c:v>1.0269470164915</c:v>
                </c:pt>
                <c:pt idx="147">
                  <c:v>1.0269470164915</c:v>
                </c:pt>
                <c:pt idx="148">
                  <c:v>1.0269470164915</c:v>
                </c:pt>
                <c:pt idx="149">
                  <c:v>1.0269470164915</c:v>
                </c:pt>
                <c:pt idx="150">
                  <c:v>1.0269470164915</c:v>
                </c:pt>
                <c:pt idx="151">
                  <c:v>1.0269470164915</c:v>
                </c:pt>
                <c:pt idx="152">
                  <c:v>1.0269470164915</c:v>
                </c:pt>
                <c:pt idx="153">
                  <c:v>1.0269470164915</c:v>
                </c:pt>
                <c:pt idx="154">
                  <c:v>1.0269470164915</c:v>
                </c:pt>
                <c:pt idx="155">
                  <c:v>1.0269470164915</c:v>
                </c:pt>
                <c:pt idx="156">
                  <c:v>1.0269470164915</c:v>
                </c:pt>
                <c:pt idx="157">
                  <c:v>1.0269470164915</c:v>
                </c:pt>
                <c:pt idx="158">
                  <c:v>1.0269470164915</c:v>
                </c:pt>
                <c:pt idx="159">
                  <c:v>1.0269470164915</c:v>
                </c:pt>
                <c:pt idx="160">
                  <c:v>1.0269470164915</c:v>
                </c:pt>
                <c:pt idx="161">
                  <c:v>1.0269470164915</c:v>
                </c:pt>
                <c:pt idx="162">
                  <c:v>1.0269470164915</c:v>
                </c:pt>
                <c:pt idx="163">
                  <c:v>1.0269470164915</c:v>
                </c:pt>
                <c:pt idx="164">
                  <c:v>1.0269470164915</c:v>
                </c:pt>
                <c:pt idx="165">
                  <c:v>1.0269470164915</c:v>
                </c:pt>
                <c:pt idx="166">
                  <c:v>1.0269470164915</c:v>
                </c:pt>
                <c:pt idx="167">
                  <c:v>1.0269470164915</c:v>
                </c:pt>
                <c:pt idx="168">
                  <c:v>1.0269470164915</c:v>
                </c:pt>
                <c:pt idx="169">
                  <c:v>1.0269470164915</c:v>
                </c:pt>
                <c:pt idx="170">
                  <c:v>1.0269470164915</c:v>
                </c:pt>
                <c:pt idx="171">
                  <c:v>1.0269470164915</c:v>
                </c:pt>
                <c:pt idx="172">
                  <c:v>1.0269470164915</c:v>
                </c:pt>
                <c:pt idx="173">
                  <c:v>1.0269470164915</c:v>
                </c:pt>
                <c:pt idx="174">
                  <c:v>1.0269470164915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D-4F9C-A94A-7B78F98D322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UAA/UA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1.0383521716648301</c:v>
                </c:pt>
                <c:pt idx="10">
                  <c:v>1.0355946434915899</c:v>
                </c:pt>
                <c:pt idx="11">
                  <c:v>1.0325097026293799</c:v>
                </c:pt>
                <c:pt idx="12">
                  <c:v>1.0291993215137001</c:v>
                </c:pt>
                <c:pt idx="13">
                  <c:v>1.02809931707103</c:v>
                </c:pt>
                <c:pt idx="14">
                  <c:v>1.0269054695503499</c:v>
                </c:pt>
                <c:pt idx="15">
                  <c:v>1.02538010280759</c:v>
                </c:pt>
                <c:pt idx="16">
                  <c:v>1.0237939514388299</c:v>
                </c:pt>
                <c:pt idx="17">
                  <c:v>1.0223631883447299</c:v>
                </c:pt>
                <c:pt idx="18">
                  <c:v>1.0208153685422701</c:v>
                </c:pt>
                <c:pt idx="19">
                  <c:v>1.01923700854865</c:v>
                </c:pt>
                <c:pt idx="20">
                  <c:v>1.0194704677469399</c:v>
                </c:pt>
                <c:pt idx="21">
                  <c:v>1.01931110242657</c:v>
                </c:pt>
                <c:pt idx="22">
                  <c:v>1.0193693682245499</c:v>
                </c:pt>
                <c:pt idx="23">
                  <c:v>1.0183937584684499</c:v>
                </c:pt>
                <c:pt idx="24">
                  <c:v>1.0191366053314199</c:v>
                </c:pt>
                <c:pt idx="25">
                  <c:v>1.0199762348349199</c:v>
                </c:pt>
                <c:pt idx="26">
                  <c:v>1.0216988384454</c:v>
                </c:pt>
                <c:pt idx="27">
                  <c:v>1.02360122913039</c:v>
                </c:pt>
                <c:pt idx="28">
                  <c:v>1.0245058780481</c:v>
                </c:pt>
                <c:pt idx="29">
                  <c:v>1.0260148160951299</c:v>
                </c:pt>
                <c:pt idx="30">
                  <c:v>1.02658690248149</c:v>
                </c:pt>
                <c:pt idx="31">
                  <c:v>1.0278068657500301</c:v>
                </c:pt>
                <c:pt idx="32">
                  <c:v>1.0292080171059601</c:v>
                </c:pt>
                <c:pt idx="33">
                  <c:v>1.0303936883535401</c:v>
                </c:pt>
                <c:pt idx="34">
                  <c:v>1.0296782923438099</c:v>
                </c:pt>
                <c:pt idx="35">
                  <c:v>1.02985247217496</c:v>
                </c:pt>
                <c:pt idx="36">
                  <c:v>1.02932250141473</c:v>
                </c:pt>
                <c:pt idx="37">
                  <c:v>1.0291671265276501</c:v>
                </c:pt>
                <c:pt idx="38">
                  <c:v>1.02886680798343</c:v>
                </c:pt>
                <c:pt idx="39">
                  <c:v>1.0279735069296101</c:v>
                </c:pt>
                <c:pt idx="40">
                  <c:v>1.02773831936944</c:v>
                </c:pt>
                <c:pt idx="41">
                  <c:v>1.02651494736967</c:v>
                </c:pt>
                <c:pt idx="42">
                  <c:v>1.02617311755078</c:v>
                </c:pt>
                <c:pt idx="43">
                  <c:v>1.02568173748948</c:v>
                </c:pt>
                <c:pt idx="44">
                  <c:v>1.02691423529166</c:v>
                </c:pt>
                <c:pt idx="45">
                  <c:v>1.0273748390166599</c:v>
                </c:pt>
                <c:pt idx="46">
                  <c:v>1.02774190250873</c:v>
                </c:pt>
                <c:pt idx="47">
                  <c:v>1.02846443278649</c:v>
                </c:pt>
                <c:pt idx="48">
                  <c:v>1.02934526557386</c:v>
                </c:pt>
                <c:pt idx="49">
                  <c:v>1.0296669963391301</c:v>
                </c:pt>
                <c:pt idx="50">
                  <c:v>1.0303109686263801</c:v>
                </c:pt>
                <c:pt idx="51">
                  <c:v>1.0315502268805601</c:v>
                </c:pt>
                <c:pt idx="52">
                  <c:v>1.0318167598951899</c:v>
                </c:pt>
                <c:pt idx="53">
                  <c:v>1.03146048644985</c:v>
                </c:pt>
                <c:pt idx="54">
                  <c:v>1.0311340289161399</c:v>
                </c:pt>
                <c:pt idx="55">
                  <c:v>1.03026116065847</c:v>
                </c:pt>
                <c:pt idx="56">
                  <c:v>1.02899131938863</c:v>
                </c:pt>
                <c:pt idx="57">
                  <c:v>1.0272737010349799</c:v>
                </c:pt>
                <c:pt idx="58">
                  <c:v>1.02571874793286</c:v>
                </c:pt>
                <c:pt idx="59">
                  <c:v>1.0254847474596001</c:v>
                </c:pt>
                <c:pt idx="60">
                  <c:v>1.02476123368813</c:v>
                </c:pt>
                <c:pt idx="61">
                  <c:v>1.0244095020863999</c:v>
                </c:pt>
                <c:pt idx="62">
                  <c:v>1.02372936740626</c:v>
                </c:pt>
                <c:pt idx="63">
                  <c:v>1.0235305614560399</c:v>
                </c:pt>
                <c:pt idx="64">
                  <c:v>1.0224259753262901</c:v>
                </c:pt>
                <c:pt idx="65">
                  <c:v>1.02209738698569</c:v>
                </c:pt>
                <c:pt idx="66">
                  <c:v>1.02232614515563</c:v>
                </c:pt>
                <c:pt idx="67">
                  <c:v>1.02206920071118</c:v>
                </c:pt>
                <c:pt idx="68">
                  <c:v>1.0226195555061799</c:v>
                </c:pt>
                <c:pt idx="69">
                  <c:v>1.02303747140465</c:v>
                </c:pt>
                <c:pt idx="70">
                  <c:v>1.02389176181284</c:v>
                </c:pt>
                <c:pt idx="71">
                  <c:v>1.02417371670006</c:v>
                </c:pt>
                <c:pt idx="72">
                  <c:v>1.0250077715341099</c:v>
                </c:pt>
                <c:pt idx="73">
                  <c:v>1.0252353587602101</c:v>
                </c:pt>
                <c:pt idx="74">
                  <c:v>1.0265314417095199</c:v>
                </c:pt>
                <c:pt idx="75">
                  <c:v>1.02792413723756</c:v>
                </c:pt>
                <c:pt idx="76">
                  <c:v>1.02854262372747</c:v>
                </c:pt>
                <c:pt idx="77">
                  <c:v>1.03004846679926</c:v>
                </c:pt>
                <c:pt idx="78">
                  <c:v>1.03109268027332</c:v>
                </c:pt>
                <c:pt idx="79">
                  <c:v>1.03171651929076</c:v>
                </c:pt>
                <c:pt idx="80">
                  <c:v>1.03231317995535</c:v>
                </c:pt>
                <c:pt idx="81">
                  <c:v>1.03297703584714</c:v>
                </c:pt>
                <c:pt idx="82">
                  <c:v>1.0332452350808601</c:v>
                </c:pt>
                <c:pt idx="83">
                  <c:v>1.0336410954672699</c:v>
                </c:pt>
                <c:pt idx="84">
                  <c:v>1.03338667918463</c:v>
                </c:pt>
                <c:pt idx="85">
                  <c:v>1.03330969064126</c:v>
                </c:pt>
                <c:pt idx="86">
                  <c:v>1.0329733427302501</c:v>
                </c:pt>
                <c:pt idx="87">
                  <c:v>1.0323474996584701</c:v>
                </c:pt>
                <c:pt idx="88">
                  <c:v>1.0318603370514901</c:v>
                </c:pt>
                <c:pt idx="89">
                  <c:v>1.0311208296168499</c:v>
                </c:pt>
                <c:pt idx="90">
                  <c:v>1.0300021493032001</c:v>
                </c:pt>
                <c:pt idx="91">
                  <c:v>1.0292003477407901</c:v>
                </c:pt>
                <c:pt idx="92">
                  <c:v>1.02852148591204</c:v>
                </c:pt>
                <c:pt idx="93">
                  <c:v>1.0274705631799099</c:v>
                </c:pt>
                <c:pt idx="94">
                  <c:v>1.02673600142693</c:v>
                </c:pt>
                <c:pt idx="95">
                  <c:v>1.02576168731162</c:v>
                </c:pt>
                <c:pt idx="96">
                  <c:v>1.0251398927167601</c:v>
                </c:pt>
                <c:pt idx="97">
                  <c:v>1.0241117445686101</c:v>
                </c:pt>
                <c:pt idx="98">
                  <c:v>1.02340133382203</c:v>
                </c:pt>
                <c:pt idx="99">
                  <c:v>1.0232305421010901</c:v>
                </c:pt>
                <c:pt idx="100">
                  <c:v>1.0233942256325299</c:v>
                </c:pt>
                <c:pt idx="101">
                  <c:v>1.0230149259646899</c:v>
                </c:pt>
                <c:pt idx="102">
                  <c:v>1.0237679244990701</c:v>
                </c:pt>
                <c:pt idx="103">
                  <c:v>1.0247832757806501</c:v>
                </c:pt>
                <c:pt idx="104">
                  <c:v>1.0252230262128801</c:v>
                </c:pt>
                <c:pt idx="105">
                  <c:v>1.0259796693485199</c:v>
                </c:pt>
                <c:pt idx="106">
                  <c:v>1.0270223338405899</c:v>
                </c:pt>
                <c:pt idx="107">
                  <c:v>1.0282613910796501</c:v>
                </c:pt>
                <c:pt idx="108">
                  <c:v>1.0289408803667399</c:v>
                </c:pt>
                <c:pt idx="109">
                  <c:v>1.0295327519120101</c:v>
                </c:pt>
                <c:pt idx="110">
                  <c:v>1.03005173732051</c:v>
                </c:pt>
                <c:pt idx="111">
                  <c:v>1.03049961280578</c:v>
                </c:pt>
                <c:pt idx="112">
                  <c:v>1.0300473867565401</c:v>
                </c:pt>
                <c:pt idx="113">
                  <c:v>1.03038668967976</c:v>
                </c:pt>
                <c:pt idx="114">
                  <c:v>1.0306306420493401</c:v>
                </c:pt>
                <c:pt idx="115">
                  <c:v>1.0307251103032899</c:v>
                </c:pt>
                <c:pt idx="116">
                  <c:v>1.0307124826915599</c:v>
                </c:pt>
                <c:pt idx="117">
                  <c:v>1.03065187663095</c:v>
                </c:pt>
                <c:pt idx="118">
                  <c:v>1.0306827980904401</c:v>
                </c:pt>
                <c:pt idx="119">
                  <c:v>1.03083446349323</c:v>
                </c:pt>
                <c:pt idx="120">
                  <c:v>1.03187921633901</c:v>
                </c:pt>
                <c:pt idx="121">
                  <c:v>1.03249976556205</c:v>
                </c:pt>
                <c:pt idx="122">
                  <c:v>1.0323269016271199</c:v>
                </c:pt>
                <c:pt idx="123">
                  <c:v>1.0321200855441299</c:v>
                </c:pt>
                <c:pt idx="124">
                  <c:v>1.0313607593101199</c:v>
                </c:pt>
                <c:pt idx="125">
                  <c:v>1.0306842029997001</c:v>
                </c:pt>
                <c:pt idx="126">
                  <c:v>1.03013036076903</c:v>
                </c:pt>
                <c:pt idx="127">
                  <c:v>1.0294734754602499</c:v>
                </c:pt>
                <c:pt idx="128">
                  <c:v>1.02858279360611</c:v>
                </c:pt>
                <c:pt idx="129">
                  <c:v>1.0280801339018499</c:v>
                </c:pt>
                <c:pt idx="130">
                  <c:v>1.02606590552261</c:v>
                </c:pt>
                <c:pt idx="131">
                  <c:v>1.0247180329127299</c:v>
                </c:pt>
                <c:pt idx="132">
                  <c:v>1.02422371991182</c:v>
                </c:pt>
                <c:pt idx="133">
                  <c:v>1.0235070235575401</c:v>
                </c:pt>
                <c:pt idx="134">
                  <c:v>1.0232526483031701</c:v>
                </c:pt>
                <c:pt idx="135">
                  <c:v>1.0227961941555801</c:v>
                </c:pt>
                <c:pt idx="136">
                  <c:v>1.02242781521292</c:v>
                </c:pt>
                <c:pt idx="137">
                  <c:v>1.0225967703727601</c:v>
                </c:pt>
                <c:pt idx="138">
                  <c:v>1.0227024037613801</c:v>
                </c:pt>
                <c:pt idx="139">
                  <c:v>1.02245739112481</c:v>
                </c:pt>
                <c:pt idx="140">
                  <c:v>1.0225038902635999</c:v>
                </c:pt>
                <c:pt idx="141">
                  <c:v>1.0227790815781099</c:v>
                </c:pt>
                <c:pt idx="142">
                  <c:v>1.0227110426123001</c:v>
                </c:pt>
                <c:pt idx="143">
                  <c:v>1.0226998520174699</c:v>
                </c:pt>
                <c:pt idx="144">
                  <c:v>1.02310474373592</c:v>
                </c:pt>
                <c:pt idx="145">
                  <c:v>1.0232634003585599</c:v>
                </c:pt>
                <c:pt idx="146">
                  <c:v>1.02313381251415</c:v>
                </c:pt>
                <c:pt idx="147">
                  <c:v>1.02286072858892</c:v>
                </c:pt>
                <c:pt idx="148">
                  <c:v>1.0226579177959001</c:v>
                </c:pt>
                <c:pt idx="149">
                  <c:v>1.0232151968385701</c:v>
                </c:pt>
                <c:pt idx="150">
                  <c:v>1.02439576509661</c:v>
                </c:pt>
                <c:pt idx="151">
                  <c:v>1.0246490483986701</c:v>
                </c:pt>
                <c:pt idx="152">
                  <c:v>1.02521265639433</c:v>
                </c:pt>
                <c:pt idx="153">
                  <c:v>1.0250663840535099</c:v>
                </c:pt>
                <c:pt idx="154">
                  <c:v>1.02469629086986</c:v>
                </c:pt>
                <c:pt idx="155">
                  <c:v>1.02436062970455</c:v>
                </c:pt>
                <c:pt idx="156">
                  <c:v>1.0249026564131101</c:v>
                </c:pt>
                <c:pt idx="157">
                  <c:v>1.0249725487435399</c:v>
                </c:pt>
                <c:pt idx="158">
                  <c:v>1.0258118048714999</c:v>
                </c:pt>
                <c:pt idx="159">
                  <c:v>1.0256389871378899</c:v>
                </c:pt>
                <c:pt idx="160">
                  <c:v>1.0249707809601001</c:v>
                </c:pt>
                <c:pt idx="161">
                  <c:v>1.02467847326779</c:v>
                </c:pt>
                <c:pt idx="162">
                  <c:v>1.02453373970205</c:v>
                </c:pt>
                <c:pt idx="163">
                  <c:v>1.02465224499631</c:v>
                </c:pt>
                <c:pt idx="164">
                  <c:v>1.0253910149982399</c:v>
                </c:pt>
                <c:pt idx="165">
                  <c:v>1.0256954700471499</c:v>
                </c:pt>
                <c:pt idx="166">
                  <c:v>1.02556389109979</c:v>
                </c:pt>
                <c:pt idx="167">
                  <c:v>1.0256103956979301</c:v>
                </c:pt>
                <c:pt idx="168">
                  <c:v>1.02446248022106</c:v>
                </c:pt>
                <c:pt idx="169">
                  <c:v>1.0241389473012099</c:v>
                </c:pt>
                <c:pt idx="170">
                  <c:v>1.0236843052786899</c:v>
                </c:pt>
                <c:pt idx="171">
                  <c:v>1.0233676386120201</c:v>
                </c:pt>
                <c:pt idx="172">
                  <c:v>1.0234639475909799</c:v>
                </c:pt>
                <c:pt idx="173">
                  <c:v>1.02365101527474</c:v>
                </c:pt>
                <c:pt idx="174">
                  <c:v>1.02326099903093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D-4F9C-A94A-7B78F98D322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UAA/UA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1.0287945901067399</c:v>
                </c:pt>
                <c:pt idx="20">
                  <c:v>1.02753255561926</c:v>
                </c:pt>
                <c:pt idx="21">
                  <c:v>1.0259104025279699</c:v>
                </c:pt>
                <c:pt idx="22">
                  <c:v>1.0242843448691199</c:v>
                </c:pt>
                <c:pt idx="23">
                  <c:v>1.02324653776974</c:v>
                </c:pt>
                <c:pt idx="24">
                  <c:v>1.0230210374408899</c:v>
                </c:pt>
                <c:pt idx="25">
                  <c:v>1.0226781688212601</c:v>
                </c:pt>
                <c:pt idx="26">
                  <c:v>1.0227463949421101</c:v>
                </c:pt>
                <c:pt idx="27">
                  <c:v>1.02298220873756</c:v>
                </c:pt>
                <c:pt idx="28">
                  <c:v>1.02266062329518</c:v>
                </c:pt>
                <c:pt idx="29">
                  <c:v>1.0226259123218899</c:v>
                </c:pt>
                <c:pt idx="30">
                  <c:v>1.0230286851142101</c:v>
                </c:pt>
                <c:pt idx="31">
                  <c:v>1.0235589840882999</c:v>
                </c:pt>
                <c:pt idx="32">
                  <c:v>1.0242886926652499</c:v>
                </c:pt>
                <c:pt idx="33">
                  <c:v>1.0243937234109901</c:v>
                </c:pt>
                <c:pt idx="34">
                  <c:v>1.02440744883762</c:v>
                </c:pt>
                <c:pt idx="35">
                  <c:v>1.0249143535049401</c:v>
                </c:pt>
                <c:pt idx="36">
                  <c:v>1.02551066993006</c:v>
                </c:pt>
                <c:pt idx="37">
                  <c:v>1.0263841778290199</c:v>
                </c:pt>
                <c:pt idx="38">
                  <c:v>1.02668634301577</c:v>
                </c:pt>
                <c:pt idx="39">
                  <c:v>1.0269941615123701</c:v>
                </c:pt>
                <c:pt idx="40">
                  <c:v>1.0271626109254599</c:v>
                </c:pt>
                <c:pt idx="41">
                  <c:v>1.0271609065598499</c:v>
                </c:pt>
                <c:pt idx="42">
                  <c:v>1.0276905673283701</c:v>
                </c:pt>
                <c:pt idx="43">
                  <c:v>1.0280377129215099</c:v>
                </c:pt>
                <c:pt idx="44">
                  <c:v>1.02829626381773</c:v>
                </c:pt>
                <c:pt idx="45">
                  <c:v>1.0286136555958101</c:v>
                </c:pt>
                <c:pt idx="46">
                  <c:v>1.02853220196173</c:v>
                </c:pt>
                <c:pt idx="47">
                  <c:v>1.0288157796570701</c:v>
                </c:pt>
                <c:pt idx="48">
                  <c:v>1.02910603677864</c:v>
                </c:pt>
                <c:pt idx="49">
                  <c:v>1.0288202516343701</c:v>
                </c:pt>
                <c:pt idx="50">
                  <c:v>1.02902464399791</c:v>
                </c:pt>
                <c:pt idx="51">
                  <c:v>1.02903258712512</c:v>
                </c:pt>
                <c:pt idx="52">
                  <c:v>1.02899493872298</c:v>
                </c:pt>
                <c:pt idx="53">
                  <c:v>1.0285711119696701</c:v>
                </c:pt>
                <c:pt idx="54">
                  <c:v>1.0290241321039</c:v>
                </c:pt>
                <c:pt idx="55">
                  <c:v>1.0288179998375699</c:v>
                </c:pt>
                <c:pt idx="56">
                  <c:v>1.02836661094868</c:v>
                </c:pt>
                <c:pt idx="57">
                  <c:v>1.02786906691074</c:v>
                </c:pt>
                <c:pt idx="58">
                  <c:v>1.02753200675336</c:v>
                </c:pt>
                <c:pt idx="59">
                  <c:v>1.0275758718993699</c:v>
                </c:pt>
                <c:pt idx="60">
                  <c:v>1.0275361011572499</c:v>
                </c:pt>
                <c:pt idx="61">
                  <c:v>1.0279798644834801</c:v>
                </c:pt>
                <c:pt idx="62">
                  <c:v>1.0277730636507201</c:v>
                </c:pt>
                <c:pt idx="63">
                  <c:v>1.02749552395295</c:v>
                </c:pt>
                <c:pt idx="64">
                  <c:v>1.0267800021212099</c:v>
                </c:pt>
                <c:pt idx="65">
                  <c:v>1.0261792738220801</c:v>
                </c:pt>
                <c:pt idx="66">
                  <c:v>1.02565873227213</c:v>
                </c:pt>
                <c:pt idx="67">
                  <c:v>1.0246714508730801</c:v>
                </c:pt>
                <c:pt idx="68">
                  <c:v>1.0241691517195199</c:v>
                </c:pt>
                <c:pt idx="69">
                  <c:v>1.0242611094321299</c:v>
                </c:pt>
                <c:pt idx="70">
                  <c:v>1.02432649775048</c:v>
                </c:pt>
                <c:pt idx="71">
                  <c:v>1.0242916093932299</c:v>
                </c:pt>
                <c:pt idx="72">
                  <c:v>1.0243685694701901</c:v>
                </c:pt>
                <c:pt idx="73">
                  <c:v>1.02438296010813</c:v>
                </c:pt>
                <c:pt idx="74">
                  <c:v>1.0244787085178999</c:v>
                </c:pt>
                <c:pt idx="75">
                  <c:v>1.02501076211162</c:v>
                </c:pt>
                <c:pt idx="76">
                  <c:v>1.0254343844415501</c:v>
                </c:pt>
                <c:pt idx="77">
                  <c:v>1.0260588337552199</c:v>
                </c:pt>
                <c:pt idx="78">
                  <c:v>1.02685611788975</c:v>
                </c:pt>
                <c:pt idx="79">
                  <c:v>1.0273769953477101</c:v>
                </c:pt>
                <c:pt idx="80">
                  <c:v>1.0281024708841</c:v>
                </c:pt>
                <c:pt idx="81">
                  <c:v>1.0285753762736001</c:v>
                </c:pt>
                <c:pt idx="82">
                  <c:v>1.0291265033074899</c:v>
                </c:pt>
                <c:pt idx="83">
                  <c:v>1.0294382271137399</c:v>
                </c:pt>
                <c:pt idx="84">
                  <c:v>1.0299590604470701</c:v>
                </c:pt>
                <c:pt idx="85">
                  <c:v>1.0306169139394099</c:v>
                </c:pt>
                <c:pt idx="86">
                  <c:v>1.03075798322886</c:v>
                </c:pt>
                <c:pt idx="87">
                  <c:v>1.03119798322886</c:v>
                </c:pt>
                <c:pt idx="88">
                  <c:v>1.03147650866241</c:v>
                </c:pt>
                <c:pt idx="89">
                  <c:v>1.0314186744538001</c:v>
                </c:pt>
                <c:pt idx="90">
                  <c:v>1.0311576646292799</c:v>
                </c:pt>
                <c:pt idx="91">
                  <c:v>1.0310886917939599</c:v>
                </c:pt>
                <c:pt idx="92">
                  <c:v>1.03088336049645</c:v>
                </c:pt>
                <c:pt idx="93">
                  <c:v>1.0305558293235899</c:v>
                </c:pt>
                <c:pt idx="94">
                  <c:v>1.0300613403057799</c:v>
                </c:pt>
                <c:pt idx="95">
                  <c:v>1.02953568897644</c:v>
                </c:pt>
                <c:pt idx="96">
                  <c:v>1.0290566177235001</c:v>
                </c:pt>
                <c:pt idx="97">
                  <c:v>1.0282296221135401</c:v>
                </c:pt>
                <c:pt idx="98">
                  <c:v>1.02763083543676</c:v>
                </c:pt>
                <c:pt idx="99">
                  <c:v>1.02717568585897</c:v>
                </c:pt>
                <c:pt idx="100">
                  <c:v>1.02669818746787</c:v>
                </c:pt>
                <c:pt idx="101">
                  <c:v>1.02610763685274</c:v>
                </c:pt>
                <c:pt idx="102">
                  <c:v>1.0261447052055499</c:v>
                </c:pt>
                <c:pt idx="103">
                  <c:v>1.02612691948028</c:v>
                </c:pt>
                <c:pt idx="104">
                  <c:v>1.0259795138198999</c:v>
                </c:pt>
                <c:pt idx="105">
                  <c:v>1.02587067833007</c:v>
                </c:pt>
                <c:pt idx="106">
                  <c:v>1.02608111327868</c:v>
                </c:pt>
                <c:pt idx="107">
                  <c:v>1.02618656782413</c:v>
                </c:pt>
                <c:pt idx="108">
                  <c:v>1.02617110709438</c:v>
                </c:pt>
                <c:pt idx="109">
                  <c:v>1.0263816470065501</c:v>
                </c:pt>
                <c:pt idx="110">
                  <c:v>1.02672298147652</c:v>
                </c:pt>
                <c:pt idx="111">
                  <c:v>1.02675726938523</c:v>
                </c:pt>
                <c:pt idx="112">
                  <c:v>1.0269076556278001</c:v>
                </c:pt>
                <c:pt idx="113">
                  <c:v>1.0275849827301999</c:v>
                </c:pt>
                <c:pt idx="114">
                  <c:v>1.0279268341311101</c:v>
                </c:pt>
                <c:pt idx="115">
                  <c:v>1.0283523898258999</c:v>
                </c:pt>
                <c:pt idx="116">
                  <c:v>1.02886740826608</c:v>
                </c:pt>
                <c:pt idx="117">
                  <c:v>1.0294566338553</c:v>
                </c:pt>
                <c:pt idx="118">
                  <c:v>1.02981183922859</c:v>
                </c:pt>
                <c:pt idx="119">
                  <c:v>1.0301836077026201</c:v>
                </c:pt>
                <c:pt idx="120">
                  <c:v>1.03096547682976</c:v>
                </c:pt>
                <c:pt idx="121">
                  <c:v>1.0314996891839101</c:v>
                </c:pt>
                <c:pt idx="122">
                  <c:v>1.0311871441918301</c:v>
                </c:pt>
                <c:pt idx="123">
                  <c:v>1.0312533876119501</c:v>
                </c:pt>
                <c:pt idx="124">
                  <c:v>1.0309957006797299</c:v>
                </c:pt>
                <c:pt idx="125">
                  <c:v>1.0307046566514899</c:v>
                </c:pt>
                <c:pt idx="126">
                  <c:v>1.0304214217302901</c:v>
                </c:pt>
                <c:pt idx="127">
                  <c:v>1.0300626760456</c:v>
                </c:pt>
                <c:pt idx="128">
                  <c:v>1.02963279584828</c:v>
                </c:pt>
                <c:pt idx="129">
                  <c:v>1.0294572986975401</c:v>
                </c:pt>
                <c:pt idx="130">
                  <c:v>1.02897256093081</c:v>
                </c:pt>
                <c:pt idx="131">
                  <c:v>1.0286088992373901</c:v>
                </c:pt>
                <c:pt idx="132">
                  <c:v>1.02827531076947</c:v>
                </c:pt>
                <c:pt idx="133">
                  <c:v>1.02781355455084</c:v>
                </c:pt>
                <c:pt idx="134">
                  <c:v>1.0273067038066399</c:v>
                </c:pt>
                <c:pt idx="135">
                  <c:v>1.0267401985776401</c:v>
                </c:pt>
                <c:pt idx="136">
                  <c:v>1.02627908799098</c:v>
                </c:pt>
                <c:pt idx="137">
                  <c:v>1.0260351229164999</c:v>
                </c:pt>
                <c:pt idx="138">
                  <c:v>1.0256425986837501</c:v>
                </c:pt>
                <c:pt idx="139">
                  <c:v>1.0252687625133301</c:v>
                </c:pt>
                <c:pt idx="140">
                  <c:v>1.0242848978931101</c:v>
                </c:pt>
                <c:pt idx="141">
                  <c:v>1.0237485572454199</c:v>
                </c:pt>
                <c:pt idx="142">
                  <c:v>1.02346738126206</c:v>
                </c:pt>
                <c:pt idx="143">
                  <c:v>1.0231034377874999</c:v>
                </c:pt>
                <c:pt idx="144">
                  <c:v>1.0231786960195399</c:v>
                </c:pt>
                <c:pt idx="145">
                  <c:v>1.0230297972570701</c:v>
                </c:pt>
                <c:pt idx="146">
                  <c:v>1.0227808138635399</c:v>
                </c:pt>
                <c:pt idx="147">
                  <c:v>1.0227287494808399</c:v>
                </c:pt>
                <c:pt idx="148">
                  <c:v>1.02268016077864</c:v>
                </c:pt>
                <c:pt idx="149">
                  <c:v>1.02283629398169</c:v>
                </c:pt>
                <c:pt idx="150">
                  <c:v>1.0234498276801001</c:v>
                </c:pt>
                <c:pt idx="151">
                  <c:v>1.02371406498839</c:v>
                </c:pt>
                <c:pt idx="152">
                  <c:v>1.02396184950331</c:v>
                </c:pt>
                <c:pt idx="153">
                  <c:v>1.0238831180354899</c:v>
                </c:pt>
                <c:pt idx="154">
                  <c:v>1.0239005173028899</c:v>
                </c:pt>
                <c:pt idx="155">
                  <c:v>1.0238120150315599</c:v>
                </c:pt>
                <c:pt idx="156">
                  <c:v>1.0240182344636299</c:v>
                </c:pt>
                <c:pt idx="157">
                  <c:v>1.02391663866623</c:v>
                </c:pt>
                <c:pt idx="158">
                  <c:v>1.0242348613337</c:v>
                </c:pt>
                <c:pt idx="159">
                  <c:v>1.0244270919882299</c:v>
                </c:pt>
                <c:pt idx="160">
                  <c:v>1.0246832730283499</c:v>
                </c:pt>
                <c:pt idx="161">
                  <c:v>1.0246637608332301</c:v>
                </c:pt>
                <c:pt idx="162">
                  <c:v>1.02487319804819</c:v>
                </c:pt>
                <c:pt idx="163">
                  <c:v>1.0248593145249101</c:v>
                </c:pt>
                <c:pt idx="164">
                  <c:v>1.0250436529340501</c:v>
                </c:pt>
                <c:pt idx="165">
                  <c:v>1.0250280498758499</c:v>
                </c:pt>
                <c:pt idx="166">
                  <c:v>1.02523327375645</c:v>
                </c:pt>
                <c:pt idx="167">
                  <c:v>1.02529147222073</c:v>
                </c:pt>
                <c:pt idx="168">
                  <c:v>1.0251371425462801</c:v>
                </c:pt>
                <c:pt idx="169">
                  <c:v>1.02488896721955</c:v>
                </c:pt>
                <c:pt idx="170">
                  <c:v>1.0243275431193899</c:v>
                </c:pt>
                <c:pt idx="171">
                  <c:v>1.0240230559399099</c:v>
                </c:pt>
                <c:pt idx="172">
                  <c:v>1.0239988436465199</c:v>
                </c:pt>
                <c:pt idx="173">
                  <c:v>1.02415163013553</c:v>
                </c:pt>
                <c:pt idx="174">
                  <c:v>1.0243260070145901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3D-4F9C-A94A-7B78F98D3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UA* x 10 dma / UAA*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2.1941571716058501E-2</c:v>
                </c:pt>
                <c:pt idx="11">
                  <c:v>1.5626028330031301E-2</c:v>
                </c:pt>
                <c:pt idx="12">
                  <c:v>1.7322253280844802E-2</c:v>
                </c:pt>
                <c:pt idx="13">
                  <c:v>-1.6455444420590899E-3</c:v>
                </c:pt>
                <c:pt idx="14">
                  <c:v>5.4178573439355397E-3</c:v>
                </c:pt>
                <c:pt idx="15">
                  <c:v>8.9915692681434203E-3</c:v>
                </c:pt>
                <c:pt idx="16">
                  <c:v>5.9240356458898696E-3</c:v>
                </c:pt>
                <c:pt idx="17">
                  <c:v>8.5772499631187396E-3</c:v>
                </c:pt>
                <c:pt idx="18">
                  <c:v>2.0827398196860002E-3</c:v>
                </c:pt>
                <c:pt idx="19">
                  <c:v>4.2614560393257599E-3</c:v>
                </c:pt>
                <c:pt idx="20">
                  <c:v>1.0652787107865E-3</c:v>
                </c:pt>
                <c:pt idx="21">
                  <c:v>1.4979107906214499E-3</c:v>
                </c:pt>
                <c:pt idx="22">
                  <c:v>3.8828116967736799E-3</c:v>
                </c:pt>
                <c:pt idx="23">
                  <c:v>-1.7337290175331E-3</c:v>
                </c:pt>
                <c:pt idx="24">
                  <c:v>-1.1305708085058E-2</c:v>
                </c:pt>
                <c:pt idx="25">
                  <c:v>-6.81881920787724E-3</c:v>
                </c:pt>
                <c:pt idx="26">
                  <c:v>-1.61182810662737E-2</c:v>
                </c:pt>
                <c:pt idx="27">
                  <c:v>-1.20396421594602E-2</c:v>
                </c:pt>
                <c:pt idx="28">
                  <c:v>-5.5350061453839404E-3</c:v>
                </c:pt>
                <c:pt idx="29">
                  <c:v>-6.8655208003163496E-3</c:v>
                </c:pt>
                <c:pt idx="30">
                  <c:v>2.0900052660270101E-3</c:v>
                </c:pt>
                <c:pt idx="31">
                  <c:v>-3.4591482337417898E-3</c:v>
                </c:pt>
                <c:pt idx="32">
                  <c:v>-1.52211444763699E-3</c:v>
                </c:pt>
                <c:pt idx="33">
                  <c:v>-3.6726851013098101E-3</c:v>
                </c:pt>
                <c:pt idx="34">
                  <c:v>7.3786136088193899E-3</c:v>
                </c:pt>
                <c:pt idx="35">
                  <c:v>1.77575457835037E-3</c:v>
                </c:pt>
                <c:pt idx="36">
                  <c:v>-1.3560975818242599E-3</c:v>
                </c:pt>
                <c:pt idx="37">
                  <c:v>-3.1019108841056999E-3</c:v>
                </c:pt>
                <c:pt idx="38">
                  <c:v>2.8098391057566801E-3</c:v>
                </c:pt>
                <c:pt idx="39">
                  <c:v>6.0794539061613598E-3</c:v>
                </c:pt>
                <c:pt idx="40">
                  <c:v>6.2968945801870997E-3</c:v>
                </c:pt>
                <c:pt idx="41">
                  <c:v>9.6086360278049496E-3</c:v>
                </c:pt>
                <c:pt idx="42">
                  <c:v>5.4641397312155495E-4</c:v>
                </c:pt>
                <c:pt idx="43">
                  <c:v>-1.85761451034081E-3</c:v>
                </c:pt>
                <c:pt idx="44">
                  <c:v>-9.1828240034236997E-3</c:v>
                </c:pt>
                <c:pt idx="45">
                  <c:v>-5.3834615164319302E-3</c:v>
                </c:pt>
                <c:pt idx="46">
                  <c:v>-7.3178937483969501E-3</c:v>
                </c:pt>
                <c:pt idx="47">
                  <c:v>-1.1612026845039701E-2</c:v>
                </c:pt>
                <c:pt idx="48">
                  <c:v>-6.41932819510313E-3</c:v>
                </c:pt>
                <c:pt idx="49">
                  <c:v>3.4032094217219598E-3</c:v>
                </c:pt>
                <c:pt idx="50">
                  <c:v>1.65867767202618E-3</c:v>
                </c:pt>
                <c:pt idx="51">
                  <c:v>7.7048135732548802E-6</c:v>
                </c:pt>
                <c:pt idx="52">
                  <c:v>2.8451055842596299E-3</c:v>
                </c:pt>
                <c:pt idx="53">
                  <c:v>7.0984554771017601E-3</c:v>
                </c:pt>
                <c:pt idx="54">
                  <c:v>-4.0585482904260402E-4</c:v>
                </c:pt>
                <c:pt idx="55">
                  <c:v>7.2075344993724902E-3</c:v>
                </c:pt>
                <c:pt idx="56">
                  <c:v>7.8334174207282097E-3</c:v>
                </c:pt>
                <c:pt idx="57">
                  <c:v>6.2604978923450601E-3</c:v>
                </c:pt>
                <c:pt idx="58">
                  <c:v>7.5586326497594E-3</c:v>
                </c:pt>
                <c:pt idx="59">
                  <c:v>2.1575076668861599E-3</c:v>
                </c:pt>
                <c:pt idx="60">
                  <c:v>4.6518853146297803E-3</c:v>
                </c:pt>
                <c:pt idx="61">
                  <c:v>-1.9736143564443301E-3</c:v>
                </c:pt>
                <c:pt idx="62">
                  <c:v>2.5327793909468901E-3</c:v>
                </c:pt>
                <c:pt idx="63">
                  <c:v>1.1719316526700499E-3</c:v>
                </c:pt>
                <c:pt idx="64">
                  <c:v>2.6386982225583299E-3</c:v>
                </c:pt>
                <c:pt idx="65">
                  <c:v>1.9414322578629199E-3</c:v>
                </c:pt>
                <c:pt idx="66">
                  <c:v>-2.3574802862845099E-3</c:v>
                </c:pt>
                <c:pt idx="67">
                  <c:v>2.2779379943915399E-3</c:v>
                </c:pt>
                <c:pt idx="68">
                  <c:v>-2.9041294747744598E-3</c:v>
                </c:pt>
                <c:pt idx="69">
                  <c:v>-4.9434075939887596E-3</c:v>
                </c:pt>
                <c:pt idx="70">
                  <c:v>-6.07203909993362E-3</c:v>
                </c:pt>
                <c:pt idx="71">
                  <c:v>-5.5646694580399302E-3</c:v>
                </c:pt>
                <c:pt idx="72">
                  <c:v>-5.8267398744118798E-3</c:v>
                </c:pt>
                <c:pt idx="73">
                  <c:v>1.96671490220547E-4</c:v>
                </c:pt>
                <c:pt idx="74">
                  <c:v>-8.3134829013862196E-3</c:v>
                </c:pt>
                <c:pt idx="75">
                  <c:v>-7.60684795335188E-3</c:v>
                </c:pt>
                <c:pt idx="76">
                  <c:v>-2.6916428118281001E-3</c:v>
                </c:pt>
                <c:pt idx="77">
                  <c:v>-6.3150080585313304E-3</c:v>
                </c:pt>
                <c:pt idx="78">
                  <c:v>-5.2629693714254903E-3</c:v>
                </c:pt>
                <c:pt idx="79">
                  <c:v>-2.74380910190376E-3</c:v>
                </c:pt>
                <c:pt idx="80">
                  <c:v>-3.4044181247683499E-3</c:v>
                </c:pt>
                <c:pt idx="81">
                  <c:v>-3.8003756699699401E-3</c:v>
                </c:pt>
                <c:pt idx="82">
                  <c:v>1.31970354982034E-4</c:v>
                </c:pt>
                <c:pt idx="83">
                  <c:v>4.3456982550313999E-3</c:v>
                </c:pt>
                <c:pt idx="84">
                  <c:v>2.3159541355722902E-3</c:v>
                </c:pt>
                <c:pt idx="85">
                  <c:v>-2.06407538344854E-4</c:v>
                </c:pt>
                <c:pt idx="86">
                  <c:v>5.8025808983013499E-3</c:v>
                </c:pt>
                <c:pt idx="87">
                  <c:v>4.0483096210830504E-3</c:v>
                </c:pt>
                <c:pt idx="88">
                  <c:v>1.68229668498388E-3</c:v>
                </c:pt>
                <c:pt idx="89">
                  <c:v>5.1785465916160496E-3</c:v>
                </c:pt>
                <c:pt idx="90">
                  <c:v>6.8829002402541898E-3</c:v>
                </c:pt>
                <c:pt idx="91">
                  <c:v>1.7260899480671301E-3</c:v>
                </c:pt>
                <c:pt idx="92">
                  <c:v>3.0636100122516702E-3</c:v>
                </c:pt>
                <c:pt idx="93">
                  <c:v>1.00313747755161E-2</c:v>
                </c:pt>
                <c:pt idx="94">
                  <c:v>3.4768722411121799E-3</c:v>
                </c:pt>
                <c:pt idx="95">
                  <c:v>2.8081093304684599E-3</c:v>
                </c:pt>
                <c:pt idx="96">
                  <c:v>4.5419986051986501E-3</c:v>
                </c:pt>
                <c:pt idx="97">
                  <c:v>6.4799453088110297E-3</c:v>
                </c:pt>
                <c:pt idx="98">
                  <c:v>5.8956953799370999E-4</c:v>
                </c:pt>
                <c:pt idx="99">
                  <c:v>-1.3878964620652201E-3</c:v>
                </c:pt>
                <c:pt idx="100">
                  <c:v>-2.3957948596260701E-3</c:v>
                </c:pt>
                <c:pt idx="101">
                  <c:v>-1.01432807720127E-3</c:v>
                </c:pt>
                <c:pt idx="102">
                  <c:v>-1.0276448427614699E-2</c:v>
                </c:pt>
                <c:pt idx="103">
                  <c:v>-4.5231715276046096E-3</c:v>
                </c:pt>
                <c:pt idx="104">
                  <c:v>-3.4276361457060201E-3</c:v>
                </c:pt>
                <c:pt idx="105">
                  <c:v>-6.0295080638231397E-3</c:v>
                </c:pt>
                <c:pt idx="106">
                  <c:v>-5.4047922391168698E-3</c:v>
                </c:pt>
                <c:pt idx="107">
                  <c:v>-3.7773481110365201E-3</c:v>
                </c:pt>
                <c:pt idx="108">
                  <c:v>-1.9835569599557699E-3</c:v>
                </c:pt>
                <c:pt idx="109">
                  <c:v>-1.7483575871357899E-3</c:v>
                </c:pt>
                <c:pt idx="110">
                  <c:v>-1.3026877888035299E-3</c:v>
                </c:pt>
                <c:pt idx="111">
                  <c:v>1.1075212560886199E-3</c:v>
                </c:pt>
                <c:pt idx="112">
                  <c:v>1.3981475370225299E-3</c:v>
                </c:pt>
                <c:pt idx="113">
                  <c:v>-1.7020968820185701E-3</c:v>
                </c:pt>
                <c:pt idx="114">
                  <c:v>-3.4420064619093699E-4</c:v>
                </c:pt>
                <c:pt idx="115">
                  <c:v>-1.6842775285049901E-3</c:v>
                </c:pt>
                <c:pt idx="116">
                  <c:v>-6.6775554922873098E-4</c:v>
                </c:pt>
                <c:pt idx="117">
                  <c:v>3.9733072491241801E-4</c:v>
                </c:pt>
                <c:pt idx="118">
                  <c:v>3.84538134502371E-5</c:v>
                </c:pt>
                <c:pt idx="119">
                  <c:v>-1.5272049338967101E-3</c:v>
                </c:pt>
                <c:pt idx="120">
                  <c:v>-1.01227283833369E-2</c:v>
                </c:pt>
                <c:pt idx="121">
                  <c:v>-3.1328969553092098E-3</c:v>
                </c:pt>
                <c:pt idx="122">
                  <c:v>5.01845715612369E-3</c:v>
                </c:pt>
                <c:pt idx="123">
                  <c:v>2.5149050946705501E-3</c:v>
                </c:pt>
                <c:pt idx="124">
                  <c:v>8.7307284176294103E-3</c:v>
                </c:pt>
                <c:pt idx="125">
                  <c:v>5.5988991937864904E-3</c:v>
                </c:pt>
                <c:pt idx="126">
                  <c:v>4.67676403802662E-3</c:v>
                </c:pt>
                <c:pt idx="127">
                  <c:v>6.2284577324076299E-3</c:v>
                </c:pt>
                <c:pt idx="128">
                  <c:v>7.5742649596937496E-3</c:v>
                </c:pt>
                <c:pt idx="129">
                  <c:v>1.3146385379234299E-3</c:v>
                </c:pt>
                <c:pt idx="130">
                  <c:v>6.7342642404854703E-3</c:v>
                </c:pt>
                <c:pt idx="131">
                  <c:v>4.3244347369473402E-3</c:v>
                </c:pt>
                <c:pt idx="132">
                  <c:v>2.2763590277701099E-3</c:v>
                </c:pt>
                <c:pt idx="133">
                  <c:v>1.6188509086459901E-3</c:v>
                </c:pt>
                <c:pt idx="134">
                  <c:v>2.83999186823465E-3</c:v>
                </c:pt>
                <c:pt idx="135">
                  <c:v>2.1667967338041402E-3</c:v>
                </c:pt>
                <c:pt idx="136">
                  <c:v>5.9148851809433798E-4</c:v>
                </c:pt>
                <c:pt idx="137">
                  <c:v>-2.9259110570722001E-3</c:v>
                </c:pt>
                <c:pt idx="138">
                  <c:v>-1.6133100179318801E-4</c:v>
                </c:pt>
                <c:pt idx="139">
                  <c:v>-2.0307248505690399E-3</c:v>
                </c:pt>
                <c:pt idx="140">
                  <c:v>7.9484229116157405E-4</c:v>
                </c:pt>
                <c:pt idx="141">
                  <c:v>-1.84313799269779E-3</c:v>
                </c:pt>
                <c:pt idx="142">
                  <c:v>1.04809838648034E-3</c:v>
                </c:pt>
                <c:pt idx="143">
                  <c:v>2.5030024624733899E-4</c:v>
                </c:pt>
                <c:pt idx="144">
                  <c:v>-1.9082798198301501E-3</c:v>
                </c:pt>
                <c:pt idx="145">
                  <c:v>4.6957276725054101E-4</c:v>
                </c:pt>
                <c:pt idx="146">
                  <c:v>2.3167269464590798E-3</c:v>
                </c:pt>
                <c:pt idx="147">
                  <c:v>4.3104624576983301E-4</c:v>
                </c:pt>
                <c:pt idx="148">
                  <c:v>2.08170179399961E-3</c:v>
                </c:pt>
                <c:pt idx="149">
                  <c:v>-7.4975203319323997E-3</c:v>
                </c:pt>
                <c:pt idx="150">
                  <c:v>-9.9535776687360803E-3</c:v>
                </c:pt>
                <c:pt idx="151">
                  <c:v>-2.46408608301762E-3</c:v>
                </c:pt>
                <c:pt idx="152">
                  <c:v>-2.6264255434589301E-3</c:v>
                </c:pt>
                <c:pt idx="153">
                  <c:v>4.1249981495634297E-3</c:v>
                </c:pt>
                <c:pt idx="154">
                  <c:v>4.0214769442980802E-3</c:v>
                </c:pt>
                <c:pt idx="155">
                  <c:v>5.3117184015973803E-3</c:v>
                </c:pt>
                <c:pt idx="156">
                  <c:v>-1.9068443400099E-3</c:v>
                </c:pt>
                <c:pt idx="157">
                  <c:v>1.4752213065871299E-3</c:v>
                </c:pt>
                <c:pt idx="158">
                  <c:v>-4.0442753643151596E-3</c:v>
                </c:pt>
                <c:pt idx="159">
                  <c:v>-2.73958271515821E-3</c:v>
                </c:pt>
                <c:pt idx="160">
                  <c:v>-1.10081000218007E-3</c:v>
                </c:pt>
                <c:pt idx="161">
                  <c:v>9.47579186351519E-4</c:v>
                </c:pt>
                <c:pt idx="162">
                  <c:v>-1.1879022077332399E-3</c:v>
                </c:pt>
                <c:pt idx="163">
                  <c:v>2.3025441355846799E-3</c:v>
                </c:pt>
                <c:pt idx="164">
                  <c:v>-3.5926485406752701E-3</c:v>
                </c:pt>
                <c:pt idx="165">
                  <c:v>3.0069238645121401E-3</c:v>
                </c:pt>
                <c:pt idx="166">
                  <c:v>6.78277281029654E-4</c:v>
                </c:pt>
                <c:pt idx="167">
                  <c:v>1.6658684144618199E-3</c:v>
                </c:pt>
                <c:pt idx="168">
                  <c:v>7.7947858963126199E-3</c:v>
                </c:pt>
                <c:pt idx="169">
                  <c:v>-9.0557205294517797E-4</c:v>
                </c:pt>
                <c:pt idx="170">
                  <c:v>1.8733014172296399E-3</c:v>
                </c:pt>
                <c:pt idx="171">
                  <c:v>2.7888962554396299E-3</c:v>
                </c:pt>
                <c:pt idx="172">
                  <c:v>-3.4063239372429601E-3</c:v>
                </c:pt>
                <c:pt idx="173">
                  <c:v>-5.7059358358212901E-4</c:v>
                </c:pt>
                <c:pt idx="174">
                  <c:v>-7.7037917101813701E-4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4-4B98-9023-1A855B6B7E12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UA* x 20 dma / UAA*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1.0398778201417901E-2</c:v>
                </c:pt>
                <c:pt idx="21">
                  <c:v>9.3749187540920192E-3</c:v>
                </c:pt>
                <c:pt idx="22">
                  <c:v>1.0336218321458099E-2</c:v>
                </c:pt>
                <c:pt idx="23">
                  <c:v>3.0762699457890599E-3</c:v>
                </c:pt>
                <c:pt idx="24">
                  <c:v>-6.55189474279377E-3</c:v>
                </c:pt>
                <c:pt idx="25">
                  <c:v>-3.0145714722220399E-3</c:v>
                </c:pt>
                <c:pt idx="26">
                  <c:v>-1.3472766918266099E-2</c:v>
                </c:pt>
                <c:pt idx="27">
                  <c:v>-1.1014858935838199E-2</c:v>
                </c:pt>
                <c:pt idx="28">
                  <c:v>-6.1399366849924997E-3</c:v>
                </c:pt>
                <c:pt idx="29">
                  <c:v>-8.6682615656053091E-3</c:v>
                </c:pt>
                <c:pt idx="30">
                  <c:v>-1.21843902820548E-3</c:v>
                </c:pt>
                <c:pt idx="31">
                  <c:v>-6.9312343785271797E-3</c:v>
                </c:pt>
                <c:pt idx="32">
                  <c:v>-5.6636357991538197E-3</c:v>
                </c:pt>
                <c:pt idx="33">
                  <c:v>-8.4638628302161206E-3</c:v>
                </c:pt>
                <c:pt idx="34">
                  <c:v>1.53861092932258E-3</c:v>
                </c:pt>
                <c:pt idx="35">
                  <c:v>-3.3563146135013001E-3</c:v>
                </c:pt>
                <c:pt idx="36">
                  <c:v>-6.1626071236595302E-3</c:v>
                </c:pt>
                <c:pt idx="37">
                  <c:v>-6.8120279975538997E-3</c:v>
                </c:pt>
                <c:pt idx="38">
                  <c:v>1.02097982412753E-4</c:v>
                </c:pt>
                <c:pt idx="39">
                  <c:v>3.9579171466310702E-3</c:v>
                </c:pt>
                <c:pt idx="40">
                  <c:v>5.3437452859921297E-3</c:v>
                </c:pt>
                <c:pt idx="41">
                  <c:v>9.0483088114913599E-3</c:v>
                </c:pt>
                <c:pt idx="42">
                  <c:v>1.17549008583673E-3</c:v>
                </c:pt>
                <c:pt idx="43">
                  <c:v>-3.7996040420729599E-4</c:v>
                </c:pt>
                <c:pt idx="44">
                  <c:v>-6.88847317078923E-3</c:v>
                </c:pt>
                <c:pt idx="45">
                  <c:v>-4.0385591475622703E-3</c:v>
                </c:pt>
                <c:pt idx="46">
                  <c:v>-6.1128123655828301E-3</c:v>
                </c:pt>
                <c:pt idx="47">
                  <c:v>-1.08433554989438E-2</c:v>
                </c:pt>
                <c:pt idx="48">
                  <c:v>-6.0777637627364104E-3</c:v>
                </c:pt>
                <c:pt idx="49">
                  <c:v>3.1707737104502299E-3</c:v>
                </c:pt>
                <c:pt idx="50">
                  <c:v>8.3599125183895704E-4</c:v>
                </c:pt>
                <c:pt idx="51">
                  <c:v>-1.24155712108054E-3</c:v>
                </c:pt>
                <c:pt idx="52">
                  <c:v>4.0148527341491401E-4</c:v>
                </c:pt>
                <c:pt idx="53">
                  <c:v>4.3599006274168102E-3</c:v>
                </c:pt>
                <c:pt idx="54">
                  <c:v>-3.21103158178123E-3</c:v>
                </c:pt>
                <c:pt idx="55">
                  <c:v>5.1592475378860296E-3</c:v>
                </c:pt>
                <c:pt idx="56">
                  <c:v>6.4316635834827203E-3</c:v>
                </c:pt>
                <c:pt idx="57">
                  <c:v>5.6532059380026102E-3</c:v>
                </c:pt>
                <c:pt idx="58">
                  <c:v>8.1380239229101505E-3</c:v>
                </c:pt>
                <c:pt idx="59">
                  <c:v>3.92374034717872E-3</c:v>
                </c:pt>
                <c:pt idx="60">
                  <c:v>6.6889660936144601E-3</c:v>
                </c:pt>
                <c:pt idx="61">
                  <c:v>7.3054464911617603E-4</c:v>
                </c:pt>
                <c:pt idx="62">
                  <c:v>6.0120080956471596E-3</c:v>
                </c:pt>
                <c:pt idx="63">
                  <c:v>5.1141170677203697E-3</c:v>
                </c:pt>
                <c:pt idx="64">
                  <c:v>6.5050239258623299E-3</c:v>
                </c:pt>
                <c:pt idx="65">
                  <c:v>6.1909156138193703E-3</c:v>
                </c:pt>
                <c:pt idx="66">
                  <c:v>1.6282041850758701E-3</c:v>
                </c:pt>
                <c:pt idx="67">
                  <c:v>5.53244450441684E-3</c:v>
                </c:pt>
                <c:pt idx="68">
                  <c:v>-3.6130455745605398E-4</c:v>
                </c:pt>
                <c:pt idx="69">
                  <c:v>-3.42923419256387E-3</c:v>
                </c:pt>
                <c:pt idx="70">
                  <c:v>-4.8766705448685397E-3</c:v>
                </c:pt>
                <c:pt idx="71">
                  <c:v>-5.1401678775646296E-3</c:v>
                </c:pt>
                <c:pt idx="72">
                  <c:v>-5.7116364437634201E-3</c:v>
                </c:pt>
                <c:pt idx="73">
                  <c:v>-4.2713007503085302E-4</c:v>
                </c:pt>
                <c:pt idx="74">
                  <c:v>-9.1452462530096802E-3</c:v>
                </c:pt>
                <c:pt idx="75">
                  <c:v>-9.6085288097639207E-3</c:v>
                </c:pt>
                <c:pt idx="76">
                  <c:v>-5.5298985038410098E-3</c:v>
                </c:pt>
                <c:pt idx="77">
                  <c:v>-9.3415674077333907E-3</c:v>
                </c:pt>
                <c:pt idx="78">
                  <c:v>-9.1437377049359697E-3</c:v>
                </c:pt>
                <c:pt idx="79">
                  <c:v>-6.8610819632905296E-3</c:v>
                </c:pt>
                <c:pt idx="80">
                  <c:v>-7.6194091748785697E-3</c:v>
                </c:pt>
                <c:pt idx="81">
                  <c:v>-7.8876237273271897E-3</c:v>
                </c:pt>
                <c:pt idx="82">
                  <c:v>-4.1382739874300497E-3</c:v>
                </c:pt>
                <c:pt idx="83">
                  <c:v>3.5152283809181302E-4</c:v>
                </c:pt>
                <c:pt idx="84">
                  <c:v>-1.7584157848354999E-3</c:v>
                </c:pt>
                <c:pt idx="85">
                  <c:v>-3.5287997333520601E-3</c:v>
                </c:pt>
                <c:pt idx="86">
                  <c:v>3.1932068791250901E-3</c:v>
                </c:pt>
                <c:pt idx="87">
                  <c:v>1.9013631416856999E-3</c:v>
                </c:pt>
                <c:pt idx="88">
                  <c:v>5.6817871855890803E-4</c:v>
                </c:pt>
                <c:pt idx="89">
                  <c:v>4.8065003168578499E-3</c:v>
                </c:pt>
                <c:pt idx="90">
                  <c:v>7.1717139463059101E-3</c:v>
                </c:pt>
                <c:pt idx="91">
                  <c:v>2.84731833542313E-3</c:v>
                </c:pt>
                <c:pt idx="92">
                  <c:v>4.8966970652919301E-3</c:v>
                </c:pt>
                <c:pt idx="93">
                  <c:v>1.23251205866583E-2</c:v>
                </c:pt>
                <c:pt idx="94">
                  <c:v>6.4751510447395898E-3</c:v>
                </c:pt>
                <c:pt idx="95">
                  <c:v>6.0416235992318598E-3</c:v>
                </c:pt>
                <c:pt idx="96">
                  <c:v>8.2144656165699798E-3</c:v>
                </c:pt>
                <c:pt idx="97">
                  <c:v>1.02933387531566E-2</c:v>
                </c:pt>
                <c:pt idx="98">
                  <c:v>4.6024332239790796E-3</c:v>
                </c:pt>
                <c:pt idx="99">
                  <c:v>2.7363758660874601E-3</c:v>
                </c:pt>
                <c:pt idx="100">
                  <c:v>1.45236807755983E-3</c:v>
                </c:pt>
                <c:pt idx="101">
                  <c:v>2.20890681181475E-3</c:v>
                </c:pt>
                <c:pt idx="102">
                  <c:v>-7.25787521729334E-3</c:v>
                </c:pt>
                <c:pt idx="103">
                  <c:v>-2.2042612120050202E-3</c:v>
                </c:pt>
                <c:pt idx="104">
                  <c:v>-2.1173458219499301E-3</c:v>
                </c:pt>
                <c:pt idx="105">
                  <c:v>-5.2919040227227404E-3</c:v>
                </c:pt>
                <c:pt idx="106">
                  <c:v>-5.5110290498831902E-3</c:v>
                </c:pt>
                <c:pt idx="107">
                  <c:v>-4.6942241010673397E-3</c:v>
                </c:pt>
                <c:pt idx="108">
                  <c:v>-4.0033929474524096E-3</c:v>
                </c:pt>
                <c:pt idx="109">
                  <c:v>-4.4438554152660204E-3</c:v>
                </c:pt>
                <c:pt idx="110">
                  <c:v>-4.3680949620062597E-3</c:v>
                </c:pt>
                <c:pt idx="111">
                  <c:v>-2.1293512316376498E-3</c:v>
                </c:pt>
                <c:pt idx="112">
                  <c:v>-2.2400442521356401E-3</c:v>
                </c:pt>
                <c:pt idx="113">
                  <c:v>-4.7548943447266803E-3</c:v>
                </c:pt>
                <c:pt idx="114">
                  <c:v>-3.0669870849024E-3</c:v>
                </c:pt>
                <c:pt idx="115">
                  <c:v>-4.3111747653709499E-3</c:v>
                </c:pt>
                <c:pt idx="116">
                  <c:v>-2.9724007385794398E-3</c:v>
                </c:pt>
                <c:pt idx="117">
                  <c:v>-1.39436954092088E-3</c:v>
                </c:pt>
                <c:pt idx="118">
                  <c:v>-1.1219150736028599E-3</c:v>
                </c:pt>
                <c:pt idx="119">
                  <c:v>-2.3725931217136102E-3</c:v>
                </c:pt>
                <c:pt idx="120">
                  <c:v>-1.07543150941377E-2</c:v>
                </c:pt>
                <c:pt idx="121">
                  <c:v>-4.0187993909503198E-3</c:v>
                </c:pt>
                <c:pt idx="122">
                  <c:v>4.0493905664037997E-3</c:v>
                </c:pt>
                <c:pt idx="123">
                  <c:v>1.4102287746741899E-3</c:v>
                </c:pt>
                <c:pt idx="124">
                  <c:v>7.8906497848159306E-3</c:v>
                </c:pt>
                <c:pt idx="125">
                  <c:v>5.24487830429875E-3</c:v>
                </c:pt>
                <c:pt idx="126">
                  <c:v>4.69660857312869E-3</c:v>
                </c:pt>
                <c:pt idx="127">
                  <c:v>6.5109655205344199E-3</c:v>
                </c:pt>
                <c:pt idx="128">
                  <c:v>8.1464332132044799E-3</c:v>
                </c:pt>
                <c:pt idx="129">
                  <c:v>2.3349420849712301E-3</c:v>
                </c:pt>
                <c:pt idx="130">
                  <c:v>8.07291789463121E-3</c:v>
                </c:pt>
                <c:pt idx="131">
                  <c:v>7.1532453835066899E-3</c:v>
                </c:pt>
                <c:pt idx="132">
                  <c:v>6.06618024006432E-3</c:v>
                </c:pt>
                <c:pt idx="133">
                  <c:v>5.5668148877485299E-3</c:v>
                </c:pt>
                <c:pt idx="134">
                  <c:v>7.0387868944450501E-3</c:v>
                </c:pt>
                <c:pt idx="135">
                  <c:v>6.1208990926332396E-3</c:v>
                </c:pt>
                <c:pt idx="136">
                  <c:v>4.4401728394677202E-3</c:v>
                </c:pt>
                <c:pt idx="137">
                  <c:v>8.3380421372296701E-4</c:v>
                </c:pt>
                <c:pt idx="138">
                  <c:v>3.1954026149419801E-3</c:v>
                </c:pt>
                <c:pt idx="139">
                  <c:v>8.4007761499130902E-4</c:v>
                </c:pt>
                <c:pt idx="140">
                  <c:v>3.5406910463069E-3</c:v>
                </c:pt>
                <c:pt idx="141">
                  <c:v>-1.02843059177735E-4</c:v>
                </c:pt>
                <c:pt idx="142">
                  <c:v>1.9955331744965E-3</c:v>
                </c:pt>
                <c:pt idx="143">
                  <c:v>9.8956977951835008E-4</c:v>
                </c:pt>
                <c:pt idx="144">
                  <c:v>-1.5137298870150299E-3</c:v>
                </c:pt>
                <c:pt idx="145">
                  <c:v>5.4185237643804502E-4</c:v>
                </c:pt>
                <c:pt idx="146">
                  <c:v>2.0884086362794201E-3</c:v>
                </c:pt>
                <c:pt idx="147">
                  <c:v>8.5969623738877107E-5</c:v>
                </c:pt>
                <c:pt idx="148">
                  <c:v>1.9526640670463401E-3</c:v>
                </c:pt>
                <c:pt idx="149">
                  <c:v>-7.4757703992708998E-3</c:v>
                </c:pt>
                <c:pt idx="150">
                  <c:v>-1.03239523762259E-2</c:v>
                </c:pt>
                <c:pt idx="151">
                  <c:v>-3.3879228089097801E-3</c:v>
                </c:pt>
                <c:pt idx="152">
                  <c:v>-3.5393334835649398E-3</c:v>
                </c:pt>
                <c:pt idx="153">
                  <c:v>2.9042070039022E-3</c:v>
                </c:pt>
                <c:pt idx="154">
                  <c:v>2.8664790799206399E-3</c:v>
                </c:pt>
                <c:pt idx="155">
                  <c:v>4.5348221340428601E-3</c:v>
                </c:pt>
                <c:pt idx="156">
                  <c:v>-2.4425557093853498E-3</c:v>
                </c:pt>
                <c:pt idx="157">
                  <c:v>6.11916131313187E-4</c:v>
                </c:pt>
                <c:pt idx="158">
                  <c:v>-5.0749901313957299E-3</c:v>
                </c:pt>
                <c:pt idx="159">
                  <c:v>-4.2780294976847901E-3</c:v>
                </c:pt>
                <c:pt idx="160">
                  <c:v>-2.2831087613918799E-3</c:v>
                </c:pt>
                <c:pt idx="161">
                  <c:v>6.67036298569045E-4</c:v>
                </c:pt>
                <c:pt idx="162">
                  <c:v>-1.2022604094179201E-3</c:v>
                </c:pt>
                <c:pt idx="163">
                  <c:v>2.6338188502255402E-3</c:v>
                </c:pt>
                <c:pt idx="164">
                  <c:v>-3.3905813424273301E-3</c:v>
                </c:pt>
                <c:pt idx="165">
                  <c:v>2.6681058831880102E-3</c:v>
                </c:pt>
                <c:pt idx="166">
                  <c:v>2.7365358108533E-5</c:v>
                </c:pt>
                <c:pt idx="167">
                  <c:v>1.3434402856679099E-3</c:v>
                </c:pt>
                <c:pt idx="168">
                  <c:v>7.4837778615008798E-3</c:v>
                </c:pt>
                <c:pt idx="169">
                  <c:v>-2.4723630571604202E-4</c:v>
                </c:pt>
                <c:pt idx="170">
                  <c:v>2.6053753402068901E-3</c:v>
                </c:pt>
                <c:pt idx="171">
                  <c:v>3.4170545957900198E-3</c:v>
                </c:pt>
                <c:pt idx="172">
                  <c:v>-2.7660774498333902E-3</c:v>
                </c:pt>
                <c:pt idx="173">
                  <c:v>-4.8097086950091398E-5</c:v>
                </c:pt>
                <c:pt idx="174">
                  <c:v>-2.8145034588707E-4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4-4B98-9023-1A855B6B7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UAA*/UA*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1.0269470164915</c:v>
                </c:pt>
                <c:pt idx="1">
                  <c:v>1.0269470164915</c:v>
                </c:pt>
                <c:pt idx="2">
                  <c:v>1.0269470164915</c:v>
                </c:pt>
                <c:pt idx="3">
                  <c:v>1.0269470164915</c:v>
                </c:pt>
                <c:pt idx="4">
                  <c:v>1.0269470164915</c:v>
                </c:pt>
                <c:pt idx="5">
                  <c:v>1.0269470164915</c:v>
                </c:pt>
                <c:pt idx="6">
                  <c:v>1.0269470164915</c:v>
                </c:pt>
                <c:pt idx="7">
                  <c:v>1.0269470164915</c:v>
                </c:pt>
                <c:pt idx="8">
                  <c:v>1.0269470164915</c:v>
                </c:pt>
                <c:pt idx="9">
                  <c:v>1.0269470164915</c:v>
                </c:pt>
                <c:pt idx="10">
                  <c:v>1.0269470164915</c:v>
                </c:pt>
                <c:pt idx="11">
                  <c:v>1.0269470164915</c:v>
                </c:pt>
                <c:pt idx="12">
                  <c:v>1.0269470164915</c:v>
                </c:pt>
                <c:pt idx="13">
                  <c:v>1.0269470164915</c:v>
                </c:pt>
                <c:pt idx="14">
                  <c:v>1.0269470164915</c:v>
                </c:pt>
                <c:pt idx="15">
                  <c:v>1.0269470164915</c:v>
                </c:pt>
                <c:pt idx="16">
                  <c:v>1.0269470164915</c:v>
                </c:pt>
                <c:pt idx="17">
                  <c:v>1.0269470164915</c:v>
                </c:pt>
                <c:pt idx="18">
                  <c:v>1.0269470164915</c:v>
                </c:pt>
                <c:pt idx="19">
                  <c:v>1.0269470164915</c:v>
                </c:pt>
                <c:pt idx="20">
                  <c:v>1.0269470164915</c:v>
                </c:pt>
                <c:pt idx="21">
                  <c:v>1.0269470164915</c:v>
                </c:pt>
                <c:pt idx="22">
                  <c:v>1.0269470164915</c:v>
                </c:pt>
                <c:pt idx="23">
                  <c:v>1.0269470164915</c:v>
                </c:pt>
                <c:pt idx="24">
                  <c:v>1.0269470164915</c:v>
                </c:pt>
                <c:pt idx="25">
                  <c:v>1.0269470164915</c:v>
                </c:pt>
                <c:pt idx="26">
                  <c:v>1.0269470164915</c:v>
                </c:pt>
                <c:pt idx="27">
                  <c:v>1.0269470164915</c:v>
                </c:pt>
                <c:pt idx="28">
                  <c:v>1.0269470164915</c:v>
                </c:pt>
                <c:pt idx="29">
                  <c:v>1.0269470164915</c:v>
                </c:pt>
                <c:pt idx="30">
                  <c:v>1.0269470164915</c:v>
                </c:pt>
                <c:pt idx="31">
                  <c:v>1.0269470164915</c:v>
                </c:pt>
                <c:pt idx="32">
                  <c:v>1.0269470164915</c:v>
                </c:pt>
                <c:pt idx="33">
                  <c:v>1.0269470164915</c:v>
                </c:pt>
                <c:pt idx="34">
                  <c:v>1.0269470164915</c:v>
                </c:pt>
                <c:pt idx="35">
                  <c:v>1.0269470164915</c:v>
                </c:pt>
                <c:pt idx="36">
                  <c:v>1.0269470164915</c:v>
                </c:pt>
                <c:pt idx="37">
                  <c:v>1.0269470164915</c:v>
                </c:pt>
                <c:pt idx="38">
                  <c:v>1.0269470164915</c:v>
                </c:pt>
                <c:pt idx="39">
                  <c:v>1.0269470164915</c:v>
                </c:pt>
                <c:pt idx="40">
                  <c:v>1.0269470164915</c:v>
                </c:pt>
                <c:pt idx="41">
                  <c:v>1.0269470164915</c:v>
                </c:pt>
                <c:pt idx="42">
                  <c:v>1.0269470164915</c:v>
                </c:pt>
                <c:pt idx="43">
                  <c:v>1.0269470164915</c:v>
                </c:pt>
                <c:pt idx="44">
                  <c:v>1.0269470164915</c:v>
                </c:pt>
                <c:pt idx="45">
                  <c:v>1.0269470164915</c:v>
                </c:pt>
                <c:pt idx="46">
                  <c:v>1.0269470164915</c:v>
                </c:pt>
                <c:pt idx="47">
                  <c:v>1.0269470164915</c:v>
                </c:pt>
                <c:pt idx="48">
                  <c:v>1.0269470164915</c:v>
                </c:pt>
                <c:pt idx="49">
                  <c:v>1.0269470164915</c:v>
                </c:pt>
                <c:pt idx="50">
                  <c:v>1.0269470164915</c:v>
                </c:pt>
                <c:pt idx="51">
                  <c:v>1.0269470164915</c:v>
                </c:pt>
                <c:pt idx="52">
                  <c:v>1.0269470164915</c:v>
                </c:pt>
                <c:pt idx="53">
                  <c:v>1.0269470164915</c:v>
                </c:pt>
                <c:pt idx="54">
                  <c:v>1.0269470164915</c:v>
                </c:pt>
                <c:pt idx="55">
                  <c:v>1.0269470164915</c:v>
                </c:pt>
                <c:pt idx="56">
                  <c:v>1.0269470164915</c:v>
                </c:pt>
                <c:pt idx="57">
                  <c:v>1.0269470164915</c:v>
                </c:pt>
                <c:pt idx="58">
                  <c:v>1.0269470164915</c:v>
                </c:pt>
                <c:pt idx="59">
                  <c:v>1.0269470164915</c:v>
                </c:pt>
                <c:pt idx="60">
                  <c:v>1.0269470164915</c:v>
                </c:pt>
                <c:pt idx="61">
                  <c:v>1.0269470164915</c:v>
                </c:pt>
                <c:pt idx="62">
                  <c:v>1.0269470164915</c:v>
                </c:pt>
                <c:pt idx="63">
                  <c:v>1.0269470164915</c:v>
                </c:pt>
                <c:pt idx="64">
                  <c:v>1.0269470164915</c:v>
                </c:pt>
                <c:pt idx="65">
                  <c:v>1.0269470164915</c:v>
                </c:pt>
                <c:pt idx="66">
                  <c:v>1.0269470164915</c:v>
                </c:pt>
                <c:pt idx="67">
                  <c:v>1.0269470164915</c:v>
                </c:pt>
                <c:pt idx="68">
                  <c:v>1.0269470164915</c:v>
                </c:pt>
                <c:pt idx="69">
                  <c:v>1.0269470164915</c:v>
                </c:pt>
                <c:pt idx="70">
                  <c:v>1.0269470164915</c:v>
                </c:pt>
                <c:pt idx="71">
                  <c:v>1.0269470164915</c:v>
                </c:pt>
                <c:pt idx="72">
                  <c:v>1.0269470164915</c:v>
                </c:pt>
                <c:pt idx="73">
                  <c:v>1.0269470164915</c:v>
                </c:pt>
                <c:pt idx="74">
                  <c:v>1.0269470164915</c:v>
                </c:pt>
                <c:pt idx="75">
                  <c:v>1.0269470164915</c:v>
                </c:pt>
                <c:pt idx="76">
                  <c:v>1.0269470164915</c:v>
                </c:pt>
                <c:pt idx="77">
                  <c:v>1.0269470164915</c:v>
                </c:pt>
                <c:pt idx="78">
                  <c:v>1.0269470164915</c:v>
                </c:pt>
                <c:pt idx="79">
                  <c:v>1.0269470164915</c:v>
                </c:pt>
                <c:pt idx="80">
                  <c:v>1.0269470164915</c:v>
                </c:pt>
                <c:pt idx="81">
                  <c:v>1.0269470164915</c:v>
                </c:pt>
                <c:pt idx="82">
                  <c:v>1.0269470164915</c:v>
                </c:pt>
                <c:pt idx="83">
                  <c:v>1.0269470164915</c:v>
                </c:pt>
                <c:pt idx="84">
                  <c:v>1.0269470164915</c:v>
                </c:pt>
                <c:pt idx="85">
                  <c:v>1.0269470164915</c:v>
                </c:pt>
                <c:pt idx="86">
                  <c:v>1.0269470164915</c:v>
                </c:pt>
                <c:pt idx="87">
                  <c:v>1.0269470164915</c:v>
                </c:pt>
                <c:pt idx="88">
                  <c:v>1.0269470164915</c:v>
                </c:pt>
                <c:pt idx="89">
                  <c:v>1.0269470164915</c:v>
                </c:pt>
                <c:pt idx="90">
                  <c:v>1.0269470164915</c:v>
                </c:pt>
                <c:pt idx="91">
                  <c:v>1.0269470164915</c:v>
                </c:pt>
                <c:pt idx="92">
                  <c:v>1.0269470164915</c:v>
                </c:pt>
                <c:pt idx="93">
                  <c:v>1.0269470164915</c:v>
                </c:pt>
                <c:pt idx="94">
                  <c:v>1.0269470164915</c:v>
                </c:pt>
                <c:pt idx="95">
                  <c:v>1.0269470164915</c:v>
                </c:pt>
                <c:pt idx="96">
                  <c:v>1.0269470164915</c:v>
                </c:pt>
                <c:pt idx="97">
                  <c:v>1.0269470164915</c:v>
                </c:pt>
                <c:pt idx="98">
                  <c:v>1.0269470164915</c:v>
                </c:pt>
                <c:pt idx="99">
                  <c:v>1.0269470164915</c:v>
                </c:pt>
                <c:pt idx="100">
                  <c:v>1.0269470164915</c:v>
                </c:pt>
                <c:pt idx="101">
                  <c:v>1.0269470164915</c:v>
                </c:pt>
                <c:pt idx="102">
                  <c:v>1.0269470164915</c:v>
                </c:pt>
                <c:pt idx="103">
                  <c:v>1.0269470164915</c:v>
                </c:pt>
                <c:pt idx="104">
                  <c:v>1.0269470164915</c:v>
                </c:pt>
                <c:pt idx="105">
                  <c:v>1.0269470164915</c:v>
                </c:pt>
                <c:pt idx="106">
                  <c:v>1.0269470164915</c:v>
                </c:pt>
                <c:pt idx="107">
                  <c:v>1.0269470164915</c:v>
                </c:pt>
                <c:pt idx="108">
                  <c:v>1.0269470164915</c:v>
                </c:pt>
                <c:pt idx="109">
                  <c:v>1.0269470164915</c:v>
                </c:pt>
                <c:pt idx="110">
                  <c:v>1.0269470164915</c:v>
                </c:pt>
                <c:pt idx="111">
                  <c:v>1.0269470164915</c:v>
                </c:pt>
                <c:pt idx="112">
                  <c:v>1.0269470164915</c:v>
                </c:pt>
                <c:pt idx="113">
                  <c:v>1.0269470164915</c:v>
                </c:pt>
                <c:pt idx="114">
                  <c:v>1.0269470164915</c:v>
                </c:pt>
                <c:pt idx="115">
                  <c:v>1.0269470164915</c:v>
                </c:pt>
                <c:pt idx="116">
                  <c:v>1.0269470164915</c:v>
                </c:pt>
                <c:pt idx="117">
                  <c:v>1.0269470164915</c:v>
                </c:pt>
                <c:pt idx="118">
                  <c:v>1.0269470164915</c:v>
                </c:pt>
                <c:pt idx="119">
                  <c:v>1.0269470164915</c:v>
                </c:pt>
                <c:pt idx="120">
                  <c:v>1.0269470164915</c:v>
                </c:pt>
                <c:pt idx="121">
                  <c:v>1.0269470164915</c:v>
                </c:pt>
                <c:pt idx="122">
                  <c:v>1.0269470164915</c:v>
                </c:pt>
                <c:pt idx="123">
                  <c:v>1.0269470164915</c:v>
                </c:pt>
                <c:pt idx="124">
                  <c:v>1.0269470164915</c:v>
                </c:pt>
                <c:pt idx="125">
                  <c:v>1.0269470164915</c:v>
                </c:pt>
                <c:pt idx="126">
                  <c:v>1.0269470164915</c:v>
                </c:pt>
                <c:pt idx="127">
                  <c:v>1.0269470164915</c:v>
                </c:pt>
                <c:pt idx="128">
                  <c:v>1.0269470164915</c:v>
                </c:pt>
                <c:pt idx="129">
                  <c:v>1.0269470164915</c:v>
                </c:pt>
                <c:pt idx="130">
                  <c:v>1.0269470164915</c:v>
                </c:pt>
                <c:pt idx="131">
                  <c:v>1.0269470164915</c:v>
                </c:pt>
                <c:pt idx="132">
                  <c:v>1.0269470164915</c:v>
                </c:pt>
                <c:pt idx="133">
                  <c:v>1.0269470164915</c:v>
                </c:pt>
                <c:pt idx="134">
                  <c:v>1.0269470164915</c:v>
                </c:pt>
                <c:pt idx="135">
                  <c:v>1.0269470164915</c:v>
                </c:pt>
                <c:pt idx="136">
                  <c:v>1.0269470164915</c:v>
                </c:pt>
                <c:pt idx="137">
                  <c:v>1.0269470164915</c:v>
                </c:pt>
                <c:pt idx="138">
                  <c:v>1.0269470164915</c:v>
                </c:pt>
                <c:pt idx="139">
                  <c:v>1.0269470164915</c:v>
                </c:pt>
                <c:pt idx="140">
                  <c:v>1.0269470164915</c:v>
                </c:pt>
                <c:pt idx="141">
                  <c:v>1.0269470164915</c:v>
                </c:pt>
                <c:pt idx="142">
                  <c:v>1.0269470164915</c:v>
                </c:pt>
                <c:pt idx="143">
                  <c:v>1.0269470164915</c:v>
                </c:pt>
                <c:pt idx="144">
                  <c:v>1.0269470164915</c:v>
                </c:pt>
                <c:pt idx="145">
                  <c:v>1.0269470164915</c:v>
                </c:pt>
                <c:pt idx="146">
                  <c:v>1.0269470164915</c:v>
                </c:pt>
                <c:pt idx="147">
                  <c:v>1.0269470164915</c:v>
                </c:pt>
                <c:pt idx="148">
                  <c:v>1.0269470164915</c:v>
                </c:pt>
                <c:pt idx="149">
                  <c:v>1.0269470164915</c:v>
                </c:pt>
                <c:pt idx="150">
                  <c:v>1.0269470164915</c:v>
                </c:pt>
                <c:pt idx="151">
                  <c:v>1.0269470164915</c:v>
                </c:pt>
                <c:pt idx="152">
                  <c:v>1.0269470164915</c:v>
                </c:pt>
                <c:pt idx="153">
                  <c:v>1.0269470164915</c:v>
                </c:pt>
                <c:pt idx="154">
                  <c:v>1.0269470164915</c:v>
                </c:pt>
                <c:pt idx="155">
                  <c:v>1.0269470164915</c:v>
                </c:pt>
                <c:pt idx="156">
                  <c:v>1.0269470164915</c:v>
                </c:pt>
                <c:pt idx="157">
                  <c:v>1.0269470164915</c:v>
                </c:pt>
                <c:pt idx="158">
                  <c:v>1.0269470164915</c:v>
                </c:pt>
                <c:pt idx="159">
                  <c:v>1.0269470164915</c:v>
                </c:pt>
                <c:pt idx="160">
                  <c:v>1.0269470164915</c:v>
                </c:pt>
                <c:pt idx="161">
                  <c:v>1.0269470164915</c:v>
                </c:pt>
                <c:pt idx="162">
                  <c:v>1.0269470164915</c:v>
                </c:pt>
                <c:pt idx="163">
                  <c:v>1.0269470164915</c:v>
                </c:pt>
                <c:pt idx="164">
                  <c:v>1.0269470164915</c:v>
                </c:pt>
                <c:pt idx="165">
                  <c:v>1.0269470164915</c:v>
                </c:pt>
                <c:pt idx="166">
                  <c:v>1.0269470164915</c:v>
                </c:pt>
                <c:pt idx="167">
                  <c:v>1.0269470164915</c:v>
                </c:pt>
                <c:pt idx="168">
                  <c:v>1.0269470164915</c:v>
                </c:pt>
                <c:pt idx="169">
                  <c:v>1.0269470164915</c:v>
                </c:pt>
                <c:pt idx="170">
                  <c:v>1.0269470164915</c:v>
                </c:pt>
                <c:pt idx="171">
                  <c:v>1.0269470164915</c:v>
                </c:pt>
                <c:pt idx="172">
                  <c:v>1.0269470164915</c:v>
                </c:pt>
                <c:pt idx="173">
                  <c:v>1.0269470164915</c:v>
                </c:pt>
                <c:pt idx="174">
                  <c:v>1.0269470164915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7-4427-AEC8-779E43094F67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UAA*/UA*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1.0383521716648301</c:v>
                </c:pt>
                <c:pt idx="10">
                  <c:v>1.0355946434915899</c:v>
                </c:pt>
                <c:pt idx="11">
                  <c:v>1.0325097026293799</c:v>
                </c:pt>
                <c:pt idx="12">
                  <c:v>1.0291993215137001</c:v>
                </c:pt>
                <c:pt idx="13">
                  <c:v>1.02809931707103</c:v>
                </c:pt>
                <c:pt idx="14">
                  <c:v>1.0269054695503499</c:v>
                </c:pt>
                <c:pt idx="15">
                  <c:v>1.02538010280759</c:v>
                </c:pt>
                <c:pt idx="16">
                  <c:v>1.0237939514388299</c:v>
                </c:pt>
                <c:pt idx="17">
                  <c:v>1.0223631883447299</c:v>
                </c:pt>
                <c:pt idx="18">
                  <c:v>1.0208153685422701</c:v>
                </c:pt>
                <c:pt idx="19">
                  <c:v>1.01923700854865</c:v>
                </c:pt>
                <c:pt idx="20">
                  <c:v>1.0194704677469399</c:v>
                </c:pt>
                <c:pt idx="21">
                  <c:v>1.01931110242657</c:v>
                </c:pt>
                <c:pt idx="22">
                  <c:v>1.0193693682245499</c:v>
                </c:pt>
                <c:pt idx="23">
                  <c:v>1.0183937584684499</c:v>
                </c:pt>
                <c:pt idx="24">
                  <c:v>1.0191366053314199</c:v>
                </c:pt>
                <c:pt idx="25">
                  <c:v>1.0199762348349199</c:v>
                </c:pt>
                <c:pt idx="26">
                  <c:v>1.0216988384454</c:v>
                </c:pt>
                <c:pt idx="27">
                  <c:v>1.02360122913039</c:v>
                </c:pt>
                <c:pt idx="28">
                  <c:v>1.0245058780481</c:v>
                </c:pt>
                <c:pt idx="29">
                  <c:v>1.0260148160951299</c:v>
                </c:pt>
                <c:pt idx="30">
                  <c:v>1.02658690248149</c:v>
                </c:pt>
                <c:pt idx="31">
                  <c:v>1.0278068657500301</c:v>
                </c:pt>
                <c:pt idx="32">
                  <c:v>1.0292080171059601</c:v>
                </c:pt>
                <c:pt idx="33">
                  <c:v>1.0303936883535401</c:v>
                </c:pt>
                <c:pt idx="34">
                  <c:v>1.0296782923438099</c:v>
                </c:pt>
                <c:pt idx="35">
                  <c:v>1.02985247217496</c:v>
                </c:pt>
                <c:pt idx="36">
                  <c:v>1.02932250141473</c:v>
                </c:pt>
                <c:pt idx="37">
                  <c:v>1.0291671265276501</c:v>
                </c:pt>
                <c:pt idx="38">
                  <c:v>1.02886680798343</c:v>
                </c:pt>
                <c:pt idx="39">
                  <c:v>1.0279735069296101</c:v>
                </c:pt>
                <c:pt idx="40">
                  <c:v>1.02773831936944</c:v>
                </c:pt>
                <c:pt idx="41">
                  <c:v>1.02651494736967</c:v>
                </c:pt>
                <c:pt idx="42">
                  <c:v>1.02617311755078</c:v>
                </c:pt>
                <c:pt idx="43">
                  <c:v>1.02568173748948</c:v>
                </c:pt>
                <c:pt idx="44">
                  <c:v>1.02691423529166</c:v>
                </c:pt>
                <c:pt idx="45">
                  <c:v>1.0273748390166599</c:v>
                </c:pt>
                <c:pt idx="46">
                  <c:v>1.02774190250873</c:v>
                </c:pt>
                <c:pt idx="47">
                  <c:v>1.02846443278649</c:v>
                </c:pt>
                <c:pt idx="48">
                  <c:v>1.02934526557386</c:v>
                </c:pt>
                <c:pt idx="49">
                  <c:v>1.0296669963391301</c:v>
                </c:pt>
                <c:pt idx="50">
                  <c:v>1.0303109686263801</c:v>
                </c:pt>
                <c:pt idx="51">
                  <c:v>1.0315502268805601</c:v>
                </c:pt>
                <c:pt idx="52">
                  <c:v>1.0318167598951899</c:v>
                </c:pt>
                <c:pt idx="53">
                  <c:v>1.03146048644985</c:v>
                </c:pt>
                <c:pt idx="54">
                  <c:v>1.0311340289161399</c:v>
                </c:pt>
                <c:pt idx="55">
                  <c:v>1.03026116065847</c:v>
                </c:pt>
                <c:pt idx="56">
                  <c:v>1.02899131938863</c:v>
                </c:pt>
                <c:pt idx="57">
                  <c:v>1.0272737010349799</c:v>
                </c:pt>
                <c:pt idx="58">
                  <c:v>1.02571874793286</c:v>
                </c:pt>
                <c:pt idx="59">
                  <c:v>1.0254847474596001</c:v>
                </c:pt>
                <c:pt idx="60">
                  <c:v>1.02476123368813</c:v>
                </c:pt>
                <c:pt idx="61">
                  <c:v>1.0244095020863999</c:v>
                </c:pt>
                <c:pt idx="62">
                  <c:v>1.02372936740626</c:v>
                </c:pt>
                <c:pt idx="63">
                  <c:v>1.0235305614560399</c:v>
                </c:pt>
                <c:pt idx="64">
                  <c:v>1.0224259753262901</c:v>
                </c:pt>
                <c:pt idx="65">
                  <c:v>1.02209738698569</c:v>
                </c:pt>
                <c:pt idx="66">
                  <c:v>1.02232614515563</c:v>
                </c:pt>
                <c:pt idx="67">
                  <c:v>1.02206920071118</c:v>
                </c:pt>
                <c:pt idx="68">
                  <c:v>1.0226195555061799</c:v>
                </c:pt>
                <c:pt idx="69">
                  <c:v>1.02303747140465</c:v>
                </c:pt>
                <c:pt idx="70">
                  <c:v>1.02389176181284</c:v>
                </c:pt>
                <c:pt idx="71">
                  <c:v>1.02417371670006</c:v>
                </c:pt>
                <c:pt idx="72">
                  <c:v>1.0250077715341099</c:v>
                </c:pt>
                <c:pt idx="73">
                  <c:v>1.0252353587602101</c:v>
                </c:pt>
                <c:pt idx="74">
                  <c:v>1.0265314417095199</c:v>
                </c:pt>
                <c:pt idx="75">
                  <c:v>1.02792413723756</c:v>
                </c:pt>
                <c:pt idx="76">
                  <c:v>1.02854262372747</c:v>
                </c:pt>
                <c:pt idx="77">
                  <c:v>1.03004846679926</c:v>
                </c:pt>
                <c:pt idx="78">
                  <c:v>1.03109268027332</c:v>
                </c:pt>
                <c:pt idx="79">
                  <c:v>1.03171651929076</c:v>
                </c:pt>
                <c:pt idx="80">
                  <c:v>1.03231317995535</c:v>
                </c:pt>
                <c:pt idx="81">
                  <c:v>1.03297703584714</c:v>
                </c:pt>
                <c:pt idx="82">
                  <c:v>1.0332452350808601</c:v>
                </c:pt>
                <c:pt idx="83">
                  <c:v>1.0336410954672699</c:v>
                </c:pt>
                <c:pt idx="84">
                  <c:v>1.03338667918463</c:v>
                </c:pt>
                <c:pt idx="85">
                  <c:v>1.03330969064126</c:v>
                </c:pt>
                <c:pt idx="86">
                  <c:v>1.0329733427302501</c:v>
                </c:pt>
                <c:pt idx="87">
                  <c:v>1.0323474996584701</c:v>
                </c:pt>
                <c:pt idx="88">
                  <c:v>1.0318603370514901</c:v>
                </c:pt>
                <c:pt idx="89">
                  <c:v>1.0311208296168499</c:v>
                </c:pt>
                <c:pt idx="90">
                  <c:v>1.0300021493032001</c:v>
                </c:pt>
                <c:pt idx="91">
                  <c:v>1.0292003477407901</c:v>
                </c:pt>
                <c:pt idx="92">
                  <c:v>1.02852148591204</c:v>
                </c:pt>
                <c:pt idx="93">
                  <c:v>1.0274705631799099</c:v>
                </c:pt>
                <c:pt idx="94">
                  <c:v>1.02673600142693</c:v>
                </c:pt>
                <c:pt idx="95">
                  <c:v>1.02576168731162</c:v>
                </c:pt>
                <c:pt idx="96">
                  <c:v>1.0251398927167601</c:v>
                </c:pt>
                <c:pt idx="97">
                  <c:v>1.0241117445686101</c:v>
                </c:pt>
                <c:pt idx="98">
                  <c:v>1.02340133382203</c:v>
                </c:pt>
                <c:pt idx="99">
                  <c:v>1.0232305421010901</c:v>
                </c:pt>
                <c:pt idx="100">
                  <c:v>1.0233942256325299</c:v>
                </c:pt>
                <c:pt idx="101">
                  <c:v>1.0230149259646899</c:v>
                </c:pt>
                <c:pt idx="102">
                  <c:v>1.0237679244990701</c:v>
                </c:pt>
                <c:pt idx="103">
                  <c:v>1.0247832757806501</c:v>
                </c:pt>
                <c:pt idx="104">
                  <c:v>1.0252230262128801</c:v>
                </c:pt>
                <c:pt idx="105">
                  <c:v>1.0259796693485199</c:v>
                </c:pt>
                <c:pt idx="106">
                  <c:v>1.0270223338405899</c:v>
                </c:pt>
                <c:pt idx="107">
                  <c:v>1.0282613910796501</c:v>
                </c:pt>
                <c:pt idx="108">
                  <c:v>1.0289408803667399</c:v>
                </c:pt>
                <c:pt idx="109">
                  <c:v>1.0295327519120101</c:v>
                </c:pt>
                <c:pt idx="110">
                  <c:v>1.03005173732051</c:v>
                </c:pt>
                <c:pt idx="111">
                  <c:v>1.03049961280578</c:v>
                </c:pt>
                <c:pt idx="112">
                  <c:v>1.0300473867565401</c:v>
                </c:pt>
                <c:pt idx="113">
                  <c:v>1.03038668967976</c:v>
                </c:pt>
                <c:pt idx="114">
                  <c:v>1.0306306420493401</c:v>
                </c:pt>
                <c:pt idx="115">
                  <c:v>1.0307251103032899</c:v>
                </c:pt>
                <c:pt idx="116">
                  <c:v>1.0307124826915599</c:v>
                </c:pt>
                <c:pt idx="117">
                  <c:v>1.03065187663095</c:v>
                </c:pt>
                <c:pt idx="118">
                  <c:v>1.0306827980904401</c:v>
                </c:pt>
                <c:pt idx="119">
                  <c:v>1.03083446349323</c:v>
                </c:pt>
                <c:pt idx="120">
                  <c:v>1.03187921633901</c:v>
                </c:pt>
                <c:pt idx="121">
                  <c:v>1.03249976556205</c:v>
                </c:pt>
                <c:pt idx="122">
                  <c:v>1.0323269016271199</c:v>
                </c:pt>
                <c:pt idx="123">
                  <c:v>1.0321200855441299</c:v>
                </c:pt>
                <c:pt idx="124">
                  <c:v>1.0313607593101199</c:v>
                </c:pt>
                <c:pt idx="125">
                  <c:v>1.0306842029997001</c:v>
                </c:pt>
                <c:pt idx="126">
                  <c:v>1.03013036076903</c:v>
                </c:pt>
                <c:pt idx="127">
                  <c:v>1.0294734754602499</c:v>
                </c:pt>
                <c:pt idx="128">
                  <c:v>1.02858279360611</c:v>
                </c:pt>
                <c:pt idx="129">
                  <c:v>1.0280801339018499</c:v>
                </c:pt>
                <c:pt idx="130">
                  <c:v>1.02606590552261</c:v>
                </c:pt>
                <c:pt idx="131">
                  <c:v>1.0247180329127299</c:v>
                </c:pt>
                <c:pt idx="132">
                  <c:v>1.02422371991182</c:v>
                </c:pt>
                <c:pt idx="133">
                  <c:v>1.0235070235575401</c:v>
                </c:pt>
                <c:pt idx="134">
                  <c:v>1.0232526483031701</c:v>
                </c:pt>
                <c:pt idx="135">
                  <c:v>1.0227961941555801</c:v>
                </c:pt>
                <c:pt idx="136">
                  <c:v>1.02242781521292</c:v>
                </c:pt>
                <c:pt idx="137">
                  <c:v>1.0225967703727601</c:v>
                </c:pt>
                <c:pt idx="138">
                  <c:v>1.0227024037613801</c:v>
                </c:pt>
                <c:pt idx="139">
                  <c:v>1.02245739112481</c:v>
                </c:pt>
                <c:pt idx="140">
                  <c:v>1.0225038902635999</c:v>
                </c:pt>
                <c:pt idx="141">
                  <c:v>1.0227790815781099</c:v>
                </c:pt>
                <c:pt idx="142">
                  <c:v>1.0227110426123001</c:v>
                </c:pt>
                <c:pt idx="143">
                  <c:v>1.0226998520174699</c:v>
                </c:pt>
                <c:pt idx="144">
                  <c:v>1.02310474373592</c:v>
                </c:pt>
                <c:pt idx="145">
                  <c:v>1.0232634003585599</c:v>
                </c:pt>
                <c:pt idx="146">
                  <c:v>1.02313381251415</c:v>
                </c:pt>
                <c:pt idx="147">
                  <c:v>1.02286072858892</c:v>
                </c:pt>
                <c:pt idx="148">
                  <c:v>1.0226579177959001</c:v>
                </c:pt>
                <c:pt idx="149">
                  <c:v>1.0232151968385701</c:v>
                </c:pt>
                <c:pt idx="150">
                  <c:v>1.02439576509661</c:v>
                </c:pt>
                <c:pt idx="151">
                  <c:v>1.0246490483986701</c:v>
                </c:pt>
                <c:pt idx="152">
                  <c:v>1.02521265639433</c:v>
                </c:pt>
                <c:pt idx="153">
                  <c:v>1.0250663840535099</c:v>
                </c:pt>
                <c:pt idx="154">
                  <c:v>1.02469629086986</c:v>
                </c:pt>
                <c:pt idx="155">
                  <c:v>1.02436062970455</c:v>
                </c:pt>
                <c:pt idx="156">
                  <c:v>1.0249026564131101</c:v>
                </c:pt>
                <c:pt idx="157">
                  <c:v>1.0249725487435399</c:v>
                </c:pt>
                <c:pt idx="158">
                  <c:v>1.0258118048714999</c:v>
                </c:pt>
                <c:pt idx="159">
                  <c:v>1.0256389871378899</c:v>
                </c:pt>
                <c:pt idx="160">
                  <c:v>1.0249707809601001</c:v>
                </c:pt>
                <c:pt idx="161">
                  <c:v>1.02467847326779</c:v>
                </c:pt>
                <c:pt idx="162">
                  <c:v>1.02453373970205</c:v>
                </c:pt>
                <c:pt idx="163">
                  <c:v>1.02465224499631</c:v>
                </c:pt>
                <c:pt idx="164">
                  <c:v>1.0253910149982399</c:v>
                </c:pt>
                <c:pt idx="165">
                  <c:v>1.0256954700471499</c:v>
                </c:pt>
                <c:pt idx="166">
                  <c:v>1.02556389109979</c:v>
                </c:pt>
                <c:pt idx="167">
                  <c:v>1.0256103956979301</c:v>
                </c:pt>
                <c:pt idx="168">
                  <c:v>1.02446248022106</c:v>
                </c:pt>
                <c:pt idx="169">
                  <c:v>1.0241389473012099</c:v>
                </c:pt>
                <c:pt idx="170">
                  <c:v>1.0236843052786899</c:v>
                </c:pt>
                <c:pt idx="171">
                  <c:v>1.0233676386120201</c:v>
                </c:pt>
                <c:pt idx="172">
                  <c:v>1.0234639475909799</c:v>
                </c:pt>
                <c:pt idx="173">
                  <c:v>1.02365101527474</c:v>
                </c:pt>
                <c:pt idx="174">
                  <c:v>1.02326099903093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97-4427-AEC8-779E43094F67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UAA*/UA*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1.0287945901067399</c:v>
                </c:pt>
                <c:pt idx="20">
                  <c:v>1.02753255561926</c:v>
                </c:pt>
                <c:pt idx="21">
                  <c:v>1.0259104025279699</c:v>
                </c:pt>
                <c:pt idx="22">
                  <c:v>1.0242843448691199</c:v>
                </c:pt>
                <c:pt idx="23">
                  <c:v>1.02324653776974</c:v>
                </c:pt>
                <c:pt idx="24">
                  <c:v>1.0230210374408899</c:v>
                </c:pt>
                <c:pt idx="25">
                  <c:v>1.0226781688212601</c:v>
                </c:pt>
                <c:pt idx="26">
                  <c:v>1.0227463949421101</c:v>
                </c:pt>
                <c:pt idx="27">
                  <c:v>1.02298220873756</c:v>
                </c:pt>
                <c:pt idx="28">
                  <c:v>1.02266062329518</c:v>
                </c:pt>
                <c:pt idx="29">
                  <c:v>1.0226259123218899</c:v>
                </c:pt>
                <c:pt idx="30">
                  <c:v>1.0230286851142101</c:v>
                </c:pt>
                <c:pt idx="31">
                  <c:v>1.0235589840882999</c:v>
                </c:pt>
                <c:pt idx="32">
                  <c:v>1.0242886926652499</c:v>
                </c:pt>
                <c:pt idx="33">
                  <c:v>1.0243937234109901</c:v>
                </c:pt>
                <c:pt idx="34">
                  <c:v>1.02440744883762</c:v>
                </c:pt>
                <c:pt idx="35">
                  <c:v>1.0249143535049401</c:v>
                </c:pt>
                <c:pt idx="36">
                  <c:v>1.02551066993006</c:v>
                </c:pt>
                <c:pt idx="37">
                  <c:v>1.0263841778290199</c:v>
                </c:pt>
                <c:pt idx="38">
                  <c:v>1.02668634301577</c:v>
                </c:pt>
                <c:pt idx="39">
                  <c:v>1.0269941615123701</c:v>
                </c:pt>
                <c:pt idx="40">
                  <c:v>1.0271626109254599</c:v>
                </c:pt>
                <c:pt idx="41">
                  <c:v>1.0271609065598499</c:v>
                </c:pt>
                <c:pt idx="42">
                  <c:v>1.0276905673283701</c:v>
                </c:pt>
                <c:pt idx="43">
                  <c:v>1.0280377129215099</c:v>
                </c:pt>
                <c:pt idx="44">
                  <c:v>1.02829626381773</c:v>
                </c:pt>
                <c:pt idx="45">
                  <c:v>1.0286136555958101</c:v>
                </c:pt>
                <c:pt idx="46">
                  <c:v>1.02853220196173</c:v>
                </c:pt>
                <c:pt idx="47">
                  <c:v>1.0288157796570701</c:v>
                </c:pt>
                <c:pt idx="48">
                  <c:v>1.02910603677864</c:v>
                </c:pt>
                <c:pt idx="49">
                  <c:v>1.0288202516343701</c:v>
                </c:pt>
                <c:pt idx="50">
                  <c:v>1.02902464399791</c:v>
                </c:pt>
                <c:pt idx="51">
                  <c:v>1.02903258712512</c:v>
                </c:pt>
                <c:pt idx="52">
                  <c:v>1.02899493872298</c:v>
                </c:pt>
                <c:pt idx="53">
                  <c:v>1.0285711119696701</c:v>
                </c:pt>
                <c:pt idx="54">
                  <c:v>1.0290241321039</c:v>
                </c:pt>
                <c:pt idx="55">
                  <c:v>1.0288179998375699</c:v>
                </c:pt>
                <c:pt idx="56">
                  <c:v>1.02836661094868</c:v>
                </c:pt>
                <c:pt idx="57">
                  <c:v>1.02786906691074</c:v>
                </c:pt>
                <c:pt idx="58">
                  <c:v>1.02753200675336</c:v>
                </c:pt>
                <c:pt idx="59">
                  <c:v>1.0275758718993699</c:v>
                </c:pt>
                <c:pt idx="60">
                  <c:v>1.0275361011572499</c:v>
                </c:pt>
                <c:pt idx="61">
                  <c:v>1.0279798644834801</c:v>
                </c:pt>
                <c:pt idx="62">
                  <c:v>1.0277730636507201</c:v>
                </c:pt>
                <c:pt idx="63">
                  <c:v>1.02749552395295</c:v>
                </c:pt>
                <c:pt idx="64">
                  <c:v>1.0267800021212099</c:v>
                </c:pt>
                <c:pt idx="65">
                  <c:v>1.0261792738220801</c:v>
                </c:pt>
                <c:pt idx="66">
                  <c:v>1.02565873227213</c:v>
                </c:pt>
                <c:pt idx="67">
                  <c:v>1.0246714508730801</c:v>
                </c:pt>
                <c:pt idx="68">
                  <c:v>1.0241691517195199</c:v>
                </c:pt>
                <c:pt idx="69">
                  <c:v>1.0242611094321299</c:v>
                </c:pt>
                <c:pt idx="70">
                  <c:v>1.02432649775048</c:v>
                </c:pt>
                <c:pt idx="71">
                  <c:v>1.0242916093932299</c:v>
                </c:pt>
                <c:pt idx="72">
                  <c:v>1.0243685694701901</c:v>
                </c:pt>
                <c:pt idx="73">
                  <c:v>1.02438296010813</c:v>
                </c:pt>
                <c:pt idx="74">
                  <c:v>1.0244787085178999</c:v>
                </c:pt>
                <c:pt idx="75">
                  <c:v>1.02501076211162</c:v>
                </c:pt>
                <c:pt idx="76">
                  <c:v>1.0254343844415501</c:v>
                </c:pt>
                <c:pt idx="77">
                  <c:v>1.0260588337552199</c:v>
                </c:pt>
                <c:pt idx="78">
                  <c:v>1.02685611788975</c:v>
                </c:pt>
                <c:pt idx="79">
                  <c:v>1.0273769953477101</c:v>
                </c:pt>
                <c:pt idx="80">
                  <c:v>1.0281024708841</c:v>
                </c:pt>
                <c:pt idx="81">
                  <c:v>1.0285753762736001</c:v>
                </c:pt>
                <c:pt idx="82">
                  <c:v>1.0291265033074899</c:v>
                </c:pt>
                <c:pt idx="83">
                  <c:v>1.0294382271137399</c:v>
                </c:pt>
                <c:pt idx="84">
                  <c:v>1.0299590604470701</c:v>
                </c:pt>
                <c:pt idx="85">
                  <c:v>1.0306169139394099</c:v>
                </c:pt>
                <c:pt idx="86">
                  <c:v>1.03075798322886</c:v>
                </c:pt>
                <c:pt idx="87">
                  <c:v>1.03119798322886</c:v>
                </c:pt>
                <c:pt idx="88">
                  <c:v>1.03147650866241</c:v>
                </c:pt>
                <c:pt idx="89">
                  <c:v>1.0314186744538001</c:v>
                </c:pt>
                <c:pt idx="90">
                  <c:v>1.0311576646292799</c:v>
                </c:pt>
                <c:pt idx="91">
                  <c:v>1.0310886917939599</c:v>
                </c:pt>
                <c:pt idx="92">
                  <c:v>1.03088336049645</c:v>
                </c:pt>
                <c:pt idx="93">
                  <c:v>1.0305558293235899</c:v>
                </c:pt>
                <c:pt idx="94">
                  <c:v>1.0300613403057799</c:v>
                </c:pt>
                <c:pt idx="95">
                  <c:v>1.02953568897644</c:v>
                </c:pt>
                <c:pt idx="96">
                  <c:v>1.0290566177235001</c:v>
                </c:pt>
                <c:pt idx="97">
                  <c:v>1.0282296221135401</c:v>
                </c:pt>
                <c:pt idx="98">
                  <c:v>1.02763083543676</c:v>
                </c:pt>
                <c:pt idx="99">
                  <c:v>1.02717568585897</c:v>
                </c:pt>
                <c:pt idx="100">
                  <c:v>1.02669818746787</c:v>
                </c:pt>
                <c:pt idx="101">
                  <c:v>1.02610763685274</c:v>
                </c:pt>
                <c:pt idx="102">
                  <c:v>1.0261447052055499</c:v>
                </c:pt>
                <c:pt idx="103">
                  <c:v>1.02612691948028</c:v>
                </c:pt>
                <c:pt idx="104">
                  <c:v>1.0259795138198999</c:v>
                </c:pt>
                <c:pt idx="105">
                  <c:v>1.02587067833007</c:v>
                </c:pt>
                <c:pt idx="106">
                  <c:v>1.02608111327868</c:v>
                </c:pt>
                <c:pt idx="107">
                  <c:v>1.02618656782413</c:v>
                </c:pt>
                <c:pt idx="108">
                  <c:v>1.02617110709438</c:v>
                </c:pt>
                <c:pt idx="109">
                  <c:v>1.0263816470065501</c:v>
                </c:pt>
                <c:pt idx="110">
                  <c:v>1.02672298147652</c:v>
                </c:pt>
                <c:pt idx="111">
                  <c:v>1.02675726938523</c:v>
                </c:pt>
                <c:pt idx="112">
                  <c:v>1.0269076556278001</c:v>
                </c:pt>
                <c:pt idx="113">
                  <c:v>1.0275849827301999</c:v>
                </c:pt>
                <c:pt idx="114">
                  <c:v>1.0279268341311101</c:v>
                </c:pt>
                <c:pt idx="115">
                  <c:v>1.0283523898258999</c:v>
                </c:pt>
                <c:pt idx="116">
                  <c:v>1.02886740826608</c:v>
                </c:pt>
                <c:pt idx="117">
                  <c:v>1.0294566338553</c:v>
                </c:pt>
                <c:pt idx="118">
                  <c:v>1.02981183922859</c:v>
                </c:pt>
                <c:pt idx="119">
                  <c:v>1.0301836077026201</c:v>
                </c:pt>
                <c:pt idx="120">
                  <c:v>1.03096547682976</c:v>
                </c:pt>
                <c:pt idx="121">
                  <c:v>1.0314996891839101</c:v>
                </c:pt>
                <c:pt idx="122">
                  <c:v>1.0311871441918301</c:v>
                </c:pt>
                <c:pt idx="123">
                  <c:v>1.0312533876119501</c:v>
                </c:pt>
                <c:pt idx="124">
                  <c:v>1.0309957006797299</c:v>
                </c:pt>
                <c:pt idx="125">
                  <c:v>1.0307046566514899</c:v>
                </c:pt>
                <c:pt idx="126">
                  <c:v>1.0304214217302901</c:v>
                </c:pt>
                <c:pt idx="127">
                  <c:v>1.0300626760456</c:v>
                </c:pt>
                <c:pt idx="128">
                  <c:v>1.02963279584828</c:v>
                </c:pt>
                <c:pt idx="129">
                  <c:v>1.0294572986975401</c:v>
                </c:pt>
                <c:pt idx="130">
                  <c:v>1.02897256093081</c:v>
                </c:pt>
                <c:pt idx="131">
                  <c:v>1.0286088992373901</c:v>
                </c:pt>
                <c:pt idx="132">
                  <c:v>1.02827531076947</c:v>
                </c:pt>
                <c:pt idx="133">
                  <c:v>1.02781355455084</c:v>
                </c:pt>
                <c:pt idx="134">
                  <c:v>1.0273067038066399</c:v>
                </c:pt>
                <c:pt idx="135">
                  <c:v>1.0267401985776401</c:v>
                </c:pt>
                <c:pt idx="136">
                  <c:v>1.02627908799098</c:v>
                </c:pt>
                <c:pt idx="137">
                  <c:v>1.0260351229164999</c:v>
                </c:pt>
                <c:pt idx="138">
                  <c:v>1.0256425986837501</c:v>
                </c:pt>
                <c:pt idx="139">
                  <c:v>1.0252687625133301</c:v>
                </c:pt>
                <c:pt idx="140">
                  <c:v>1.0242848978931101</c:v>
                </c:pt>
                <c:pt idx="141">
                  <c:v>1.0237485572454199</c:v>
                </c:pt>
                <c:pt idx="142">
                  <c:v>1.02346738126206</c:v>
                </c:pt>
                <c:pt idx="143">
                  <c:v>1.0231034377874999</c:v>
                </c:pt>
                <c:pt idx="144">
                  <c:v>1.0231786960195399</c:v>
                </c:pt>
                <c:pt idx="145">
                  <c:v>1.0230297972570701</c:v>
                </c:pt>
                <c:pt idx="146">
                  <c:v>1.0227808138635399</c:v>
                </c:pt>
                <c:pt idx="147">
                  <c:v>1.0227287494808399</c:v>
                </c:pt>
                <c:pt idx="148">
                  <c:v>1.02268016077864</c:v>
                </c:pt>
                <c:pt idx="149">
                  <c:v>1.02283629398169</c:v>
                </c:pt>
                <c:pt idx="150">
                  <c:v>1.0234498276801001</c:v>
                </c:pt>
                <c:pt idx="151">
                  <c:v>1.02371406498839</c:v>
                </c:pt>
                <c:pt idx="152">
                  <c:v>1.02396184950331</c:v>
                </c:pt>
                <c:pt idx="153">
                  <c:v>1.0238831180354899</c:v>
                </c:pt>
                <c:pt idx="154">
                  <c:v>1.0239005173028899</c:v>
                </c:pt>
                <c:pt idx="155">
                  <c:v>1.0238120150315599</c:v>
                </c:pt>
                <c:pt idx="156">
                  <c:v>1.0240182344636299</c:v>
                </c:pt>
                <c:pt idx="157">
                  <c:v>1.02391663866623</c:v>
                </c:pt>
                <c:pt idx="158">
                  <c:v>1.0242348613337</c:v>
                </c:pt>
                <c:pt idx="159">
                  <c:v>1.0244270919882299</c:v>
                </c:pt>
                <c:pt idx="160">
                  <c:v>1.0246832730283499</c:v>
                </c:pt>
                <c:pt idx="161">
                  <c:v>1.0246637608332301</c:v>
                </c:pt>
                <c:pt idx="162">
                  <c:v>1.02487319804819</c:v>
                </c:pt>
                <c:pt idx="163">
                  <c:v>1.0248593145249101</c:v>
                </c:pt>
                <c:pt idx="164">
                  <c:v>1.0250436529340501</c:v>
                </c:pt>
                <c:pt idx="165">
                  <c:v>1.0250280498758499</c:v>
                </c:pt>
                <c:pt idx="166">
                  <c:v>1.02523327375645</c:v>
                </c:pt>
                <c:pt idx="167">
                  <c:v>1.02529147222073</c:v>
                </c:pt>
                <c:pt idx="168">
                  <c:v>1.0251371425462801</c:v>
                </c:pt>
                <c:pt idx="169">
                  <c:v>1.02488896721955</c:v>
                </c:pt>
                <c:pt idx="170">
                  <c:v>1.0243275431193899</c:v>
                </c:pt>
                <c:pt idx="171">
                  <c:v>1.0240230559399099</c:v>
                </c:pt>
                <c:pt idx="172">
                  <c:v>1.0239988436465199</c:v>
                </c:pt>
                <c:pt idx="173">
                  <c:v>1.02415163013553</c:v>
                </c:pt>
                <c:pt idx="174">
                  <c:v>1.0243260070145901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7-4427-AEC8-779E43094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UA x avg / UAA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-2.25688969057866E-2</c:v>
                </c:pt>
                <c:pt idx="2">
                  <c:v>-2.0180775140098899E-2</c:v>
                </c:pt>
                <c:pt idx="3">
                  <c:v>-1.44502108179704E-2</c:v>
                </c:pt>
                <c:pt idx="4">
                  <c:v>-7.3112126233846999E-3</c:v>
                </c:pt>
                <c:pt idx="5">
                  <c:v>-5.8449367008569604E-3</c:v>
                </c:pt>
                <c:pt idx="6">
                  <c:v>-7.9899945444822998E-3</c:v>
                </c:pt>
                <c:pt idx="7">
                  <c:v>-2.3447718071554998E-3</c:v>
                </c:pt>
                <c:pt idx="8">
                  <c:v>-8.5009807589733494E-3</c:v>
                </c:pt>
                <c:pt idx="9">
                  <c:v>-5.1583592622834896E-3</c:v>
                </c:pt>
                <c:pt idx="10">
                  <c:v>1.08969045062502E-2</c:v>
                </c:pt>
                <c:pt idx="11">
                  <c:v>7.2405708724207199E-3</c:v>
                </c:pt>
                <c:pt idx="12">
                  <c:v>1.1920149304503001E-2</c:v>
                </c:pt>
                <c:pt idx="13">
                  <c:v>-3.8363475784111401E-3</c:v>
                </c:pt>
                <c:pt idx="14">
                  <c:v>4.2964220930839002E-3</c:v>
                </c:pt>
                <c:pt idx="15">
                  <c:v>9.0320268389179406E-3</c:v>
                </c:pt>
                <c:pt idx="16">
                  <c:v>7.45099884159936E-3</c:v>
                </c:pt>
                <c:pt idx="17">
                  <c:v>1.1652301943430299E-2</c:v>
                </c:pt>
                <c:pt idx="18">
                  <c:v>6.5562800191807597E-3</c:v>
                </c:pt>
                <c:pt idx="19">
                  <c:v>1.0250106206407299E-2</c:v>
                </c:pt>
                <c:pt idx="20">
                  <c:v>8.60130121622334E-3</c:v>
                </c:pt>
                <c:pt idx="21">
                  <c:v>8.8049066190804496E-3</c:v>
                </c:pt>
                <c:pt idx="22">
                  <c:v>1.1346141409179699E-2</c:v>
                </c:pt>
                <c:pt idx="23">
                  <c:v>5.6724403906159501E-3</c:v>
                </c:pt>
                <c:pt idx="24">
                  <c:v>-2.9420085127205499E-3</c:v>
                </c:pt>
                <c:pt idx="25">
                  <c:v>8.1571636368149103E-4</c:v>
                </c:pt>
                <c:pt idx="26">
                  <c:v>-9.3072698572803092E-3</c:v>
                </c:pt>
                <c:pt idx="27">
                  <c:v>-6.9160728375459403E-3</c:v>
                </c:pt>
                <c:pt idx="28">
                  <c:v>-2.2716931875780598E-3</c:v>
                </c:pt>
                <c:pt idx="29">
                  <c:v>-4.4856079082260698E-3</c:v>
                </c:pt>
                <c:pt idx="30">
                  <c:v>2.9981570354766199E-3</c:v>
                </c:pt>
                <c:pt idx="31">
                  <c:v>-3.1084220924528301E-3</c:v>
                </c:pt>
                <c:pt idx="32">
                  <c:v>-2.3590509938131899E-3</c:v>
                </c:pt>
                <c:pt idx="33">
                  <c:v>-5.8719370923645499E-3</c:v>
                </c:pt>
                <c:pt idx="34">
                  <c:v>4.0280017452101E-3</c:v>
                </c:pt>
                <c:pt idx="35">
                  <c:v>-8.8032229309416201E-4</c:v>
                </c:pt>
                <c:pt idx="36">
                  <c:v>-4.1813196144568701E-3</c:v>
                </c:pt>
                <c:pt idx="37">
                  <c:v>-5.4123920338769596E-3</c:v>
                </c:pt>
                <c:pt idx="38">
                  <c:v>6.5031804368103599E-4</c:v>
                </c:pt>
                <c:pt idx="39">
                  <c:v>4.2117827901047697E-3</c:v>
                </c:pt>
                <c:pt idx="40">
                  <c:v>5.2978384008447897E-3</c:v>
                </c:pt>
                <c:pt idx="41">
                  <c:v>8.8383935938463505E-3</c:v>
                </c:pt>
                <c:pt idx="42">
                  <c:v>9.6723416439910899E-4</c:v>
                </c:pt>
                <c:pt idx="43">
                  <c:v>-1.1037385295403299E-3</c:v>
                </c:pt>
                <c:pt idx="44">
                  <c:v>-7.9499861998794299E-3</c:v>
                </c:pt>
                <c:pt idx="45">
                  <c:v>-5.3515399834483902E-3</c:v>
                </c:pt>
                <c:pt idx="46">
                  <c:v>-7.7344034887777899E-3</c:v>
                </c:pt>
                <c:pt idx="47">
                  <c:v>-1.23857557044613E-2</c:v>
                </c:pt>
                <c:pt idx="48">
                  <c:v>-7.89583701887254E-3</c:v>
                </c:pt>
                <c:pt idx="49">
                  <c:v>1.07061284420143E-3</c:v>
                </c:pt>
                <c:pt idx="50">
                  <c:v>-9.8642871793770399E-4</c:v>
                </c:pt>
                <c:pt idx="51">
                  <c:v>-3.2626240973842599E-3</c:v>
                </c:pt>
                <c:pt idx="52">
                  <c:v>-1.62730075665358E-3</c:v>
                </c:pt>
                <c:pt idx="53">
                  <c:v>2.36770147645048E-3</c:v>
                </c:pt>
                <c:pt idx="54">
                  <c:v>-4.7912616888713903E-3</c:v>
                </c:pt>
                <c:pt idx="55">
                  <c:v>3.1386780172471202E-3</c:v>
                </c:pt>
                <c:pt idx="56">
                  <c:v>4.6114323335213403E-3</c:v>
                </c:pt>
                <c:pt idx="57">
                  <c:v>4.2718160966013297E-3</c:v>
                </c:pt>
                <c:pt idx="58">
                  <c:v>7.2405708724207199E-3</c:v>
                </c:pt>
                <c:pt idx="59">
                  <c:v>3.3542623714487201E-3</c:v>
                </c:pt>
                <c:pt idx="60">
                  <c:v>6.0767992191939103E-3</c:v>
                </c:pt>
                <c:pt idx="61">
                  <c:v>1.5708198414115401E-4</c:v>
                </c:pt>
                <c:pt idx="62">
                  <c:v>5.0067673851223599E-3</c:v>
                </c:pt>
                <c:pt idx="63">
                  <c:v>4.3100686606310796E-3</c:v>
                </c:pt>
                <c:pt idx="64">
                  <c:v>5.9710518495610402E-3</c:v>
                </c:pt>
                <c:pt idx="65">
                  <c:v>6.3535607649438299E-3</c:v>
                </c:pt>
                <c:pt idx="66">
                  <c:v>2.3760809317021798E-3</c:v>
                </c:pt>
                <c:pt idx="67">
                  <c:v>6.7877117561169799E-3</c:v>
                </c:pt>
                <c:pt idx="68">
                  <c:v>1.8570090206036999E-3</c:v>
                </c:pt>
                <c:pt idx="69">
                  <c:v>-7.2059534177392403E-4</c:v>
                </c:pt>
                <c:pt idx="70">
                  <c:v>-2.2578152853615298E-3</c:v>
                </c:pt>
                <c:pt idx="71">
                  <c:v>-2.58515008163467E-3</c:v>
                </c:pt>
                <c:pt idx="72">
                  <c:v>-3.12255826621492E-3</c:v>
                </c:pt>
                <c:pt idx="73">
                  <c:v>2.0868159963829099E-3</c:v>
                </c:pt>
                <c:pt idx="74">
                  <c:v>-6.6453483838618899E-3</c:v>
                </c:pt>
                <c:pt idx="75">
                  <c:v>-7.2020959229653304E-3</c:v>
                </c:pt>
                <c:pt idx="76">
                  <c:v>-3.6426716078968601E-3</c:v>
                </c:pt>
                <c:pt idx="77">
                  <c:v>-7.8675408713911304E-3</c:v>
                </c:pt>
                <c:pt idx="78">
                  <c:v>-8.2784865985270507E-3</c:v>
                </c:pt>
                <c:pt idx="79">
                  <c:v>-6.7725646168246096E-3</c:v>
                </c:pt>
                <c:pt idx="80">
                  <c:v>-8.0380177877413302E-3</c:v>
                </c:pt>
                <c:pt idx="81">
                  <c:v>-9.0121265886454194E-3</c:v>
                </c:pt>
                <c:pt idx="82">
                  <c:v>-5.7226499382466902E-3</c:v>
                </c:pt>
                <c:pt idx="83">
                  <c:v>-1.7685255077721201E-3</c:v>
                </c:pt>
                <c:pt idx="84">
                  <c:v>-4.18131961445676E-3</c:v>
                </c:pt>
                <c:pt idx="85">
                  <c:v>-6.4575149939036401E-3</c:v>
                </c:pt>
                <c:pt idx="86">
                  <c:v>-3.7402258605858302E-4</c:v>
                </c:pt>
                <c:pt idx="87">
                  <c:v>-1.80273544892108E-3</c:v>
                </c:pt>
                <c:pt idx="88">
                  <c:v>-3.5626991183907802E-3</c:v>
                </c:pt>
                <c:pt idx="89">
                  <c:v>4.0556005722987E-4</c:v>
                </c:pt>
                <c:pt idx="90">
                  <c:v>2.8268446001108302E-3</c:v>
                </c:pt>
                <c:pt idx="91">
                  <c:v>-1.24445994114718E-3</c:v>
                </c:pt>
                <c:pt idx="92">
                  <c:v>8.7180976430773296E-4</c:v>
                </c:pt>
                <c:pt idx="93">
                  <c:v>8.4993934032577302E-3</c:v>
                </c:pt>
                <c:pt idx="94">
                  <c:v>2.9671932888608102E-3</c:v>
                </c:pt>
                <c:pt idx="95">
                  <c:v>3.0136084882996998E-3</c:v>
                </c:pt>
                <c:pt idx="96">
                  <c:v>5.6968914640191702E-3</c:v>
                </c:pt>
                <c:pt idx="97">
                  <c:v>8.2412003841003702E-3</c:v>
                </c:pt>
                <c:pt idx="98">
                  <c:v>3.3542623714487201E-3</c:v>
                </c:pt>
                <c:pt idx="99">
                  <c:v>2.0707218779780498E-3</c:v>
                </c:pt>
                <c:pt idx="100">
                  <c:v>1.2297237650743199E-3</c:v>
                </c:pt>
                <c:pt idx="101">
                  <c:v>2.45123593893981E-3</c:v>
                </c:pt>
                <c:pt idx="102">
                  <c:v>-6.4401866241850696E-3</c:v>
                </c:pt>
                <c:pt idx="103">
                  <c:v>-1.4226971753771699E-3</c:v>
                </c:pt>
                <c:pt idx="104">
                  <c:v>-1.3184490647798199E-3</c:v>
                </c:pt>
                <c:pt idx="105">
                  <c:v>-4.34934448253263E-3</c:v>
                </c:pt>
                <c:pt idx="106">
                  <c:v>-4.4623842892884498E-3</c:v>
                </c:pt>
                <c:pt idx="107">
                  <c:v>-3.8506864489385902E-3</c:v>
                </c:pt>
                <c:pt idx="108">
                  <c:v>-3.2626240973842599E-3</c:v>
                </c:pt>
                <c:pt idx="109">
                  <c:v>-3.68802025396423E-3</c:v>
                </c:pt>
                <c:pt idx="110">
                  <c:v>-3.8174091324183002E-3</c:v>
                </c:pt>
                <c:pt idx="111">
                  <c:v>-1.9111710799177401E-3</c:v>
                </c:pt>
                <c:pt idx="112">
                  <c:v>-2.0552590246677598E-3</c:v>
                </c:pt>
                <c:pt idx="113">
                  <c:v>-4.7165655727472696E-3</c:v>
                </c:pt>
                <c:pt idx="114">
                  <c:v>-3.68802025396423E-3</c:v>
                </c:pt>
                <c:pt idx="115">
                  <c:v>-5.2648271889210998E-3</c:v>
                </c:pt>
                <c:pt idx="116">
                  <c:v>-4.3399616390618198E-3</c:v>
                </c:pt>
                <c:pt idx="117">
                  <c:v>-3.2626240973842599E-3</c:v>
                </c:pt>
                <c:pt idx="118">
                  <c:v>-3.5626991183907802E-3</c:v>
                </c:pt>
                <c:pt idx="119">
                  <c:v>-5.1583592622835997E-3</c:v>
                </c:pt>
                <c:pt idx="120">
                  <c:v>-1.3901022302440001E-2</c:v>
                </c:pt>
                <c:pt idx="121">
                  <c:v>-7.9241796816675002E-3</c:v>
                </c:pt>
                <c:pt idx="122">
                  <c:v>-3.7402258605858302E-4</c:v>
                </c:pt>
                <c:pt idx="123">
                  <c:v>-2.7101378954857199E-3</c:v>
                </c:pt>
                <c:pt idx="124">
                  <c:v>3.7060452187090902E-3</c:v>
                </c:pt>
                <c:pt idx="125">
                  <c:v>1.3101823792184E-3</c:v>
                </c:pt>
                <c:pt idx="126">
                  <c:v>1.04424662460033E-3</c:v>
                </c:pt>
                <c:pt idx="127">
                  <c:v>3.1334386982536698E-3</c:v>
                </c:pt>
                <c:pt idx="128">
                  <c:v>5.1171213455621202E-3</c:v>
                </c:pt>
                <c:pt idx="129">
                  <c:v>-2.7694865471295302E-4</c:v>
                </c:pt>
                <c:pt idx="130">
                  <c:v>5.6314880314533699E-3</c:v>
                </c:pt>
                <c:pt idx="131">
                  <c:v>5.1827937015108596E-3</c:v>
                </c:pt>
                <c:pt idx="132">
                  <c:v>4.4492131750832904E-3</c:v>
                </c:pt>
                <c:pt idx="133">
                  <c:v>4.2742107297495998E-3</c:v>
                </c:pt>
                <c:pt idx="134">
                  <c:v>6.1953425312235603E-3</c:v>
                </c:pt>
                <c:pt idx="135">
                  <c:v>5.7707112699067198E-3</c:v>
                </c:pt>
                <c:pt idx="136">
                  <c:v>4.6415841479092003E-3</c:v>
                </c:pt>
                <c:pt idx="137">
                  <c:v>1.4844179212205001E-3</c:v>
                </c:pt>
                <c:pt idx="138">
                  <c:v>4.0837626424969596E-3</c:v>
                </c:pt>
                <c:pt idx="139">
                  <c:v>2.1110749675171199E-3</c:v>
                </c:pt>
                <c:pt idx="140">
                  <c:v>5.1762445484803002E-3</c:v>
                </c:pt>
                <c:pt idx="141">
                  <c:v>2.4927874732363201E-3</c:v>
                </c:pt>
                <c:pt idx="142">
                  <c:v>5.1149253267245599E-3</c:v>
                </c:pt>
                <c:pt idx="143">
                  <c:v>4.3836530181524096E-3</c:v>
                </c:pt>
                <c:pt idx="144">
                  <c:v>2.2360151005325298E-3</c:v>
                </c:pt>
                <c:pt idx="145">
                  <c:v>4.2180412977637404E-3</c:v>
                </c:pt>
                <c:pt idx="146">
                  <c:v>5.9101338147580802E-3</c:v>
                </c:pt>
                <c:pt idx="147">
                  <c:v>4.1511028610191E-3</c:v>
                </c:pt>
                <c:pt idx="148">
                  <c:v>6.0687033314999004E-3</c:v>
                </c:pt>
                <c:pt idx="149">
                  <c:v>-3.3122211215732E-3</c:v>
                </c:pt>
                <c:pt idx="150">
                  <c:v>-6.3130620546483496E-3</c:v>
                </c:pt>
                <c:pt idx="151">
                  <c:v>2.3311667575023301E-5</c:v>
                </c:pt>
                <c:pt idx="152">
                  <c:v>-3.86248645905202E-4</c:v>
                </c:pt>
                <c:pt idx="153">
                  <c:v>5.8152764773324898E-3</c:v>
                </c:pt>
                <c:pt idx="154">
                  <c:v>5.8544405731183902E-3</c:v>
                </c:pt>
                <c:pt idx="155">
                  <c:v>7.5057903598862103E-3</c:v>
                </c:pt>
                <c:pt idx="156">
                  <c:v>6.14852649036242E-4</c:v>
                </c:pt>
                <c:pt idx="157">
                  <c:v>3.4679216314425299E-3</c:v>
                </c:pt>
                <c:pt idx="158">
                  <c:v>-2.1197668301345001E-3</c:v>
                </c:pt>
                <c:pt idx="159">
                  <c:v>-1.63354753565806E-3</c:v>
                </c:pt>
                <c:pt idx="160">
                  <c:v>1.7370860835514801E-4</c:v>
                </c:pt>
                <c:pt idx="161">
                  <c:v>2.8738124349807501E-3</c:v>
                </c:pt>
                <c:pt idx="162">
                  <c:v>1.0235580802895701E-3</c:v>
                </c:pt>
                <c:pt idx="163">
                  <c:v>4.6552621860409399E-3</c:v>
                </c:pt>
                <c:pt idx="164">
                  <c:v>-1.3555913382625299E-3</c:v>
                </c:pt>
                <c:pt idx="165">
                  <c:v>4.5232450236182197E-3</c:v>
                </c:pt>
                <c:pt idx="166">
                  <c:v>1.8977264619252699E-3</c:v>
                </c:pt>
                <c:pt idx="167">
                  <c:v>3.0136084882996998E-3</c:v>
                </c:pt>
                <c:pt idx="168">
                  <c:v>9.0971816047794897E-3</c:v>
                </c:pt>
                <c:pt idx="169">
                  <c:v>1.5167015001809399E-3</c:v>
                </c:pt>
                <c:pt idx="170">
                  <c:v>4.6114323335215597E-3</c:v>
                </c:pt>
                <c:pt idx="171">
                  <c:v>5.9710518495608199E-3</c:v>
                </c:pt>
                <c:pt idx="172">
                  <c:v>8.5219672299632494E-5</c:v>
                </c:pt>
                <c:pt idx="173">
                  <c:v>2.8268446001108302E-3</c:v>
                </c:pt>
                <c:pt idx="174">
                  <c:v>2.4442967470781301E-3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2B-4E92-90B8-C3C1E921971B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UA x 10 dma / UAA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2.1941571716058501E-2</c:v>
                </c:pt>
                <c:pt idx="11">
                  <c:v>1.5626028330031301E-2</c:v>
                </c:pt>
                <c:pt idx="12">
                  <c:v>1.7322253280844802E-2</c:v>
                </c:pt>
                <c:pt idx="13">
                  <c:v>-1.6455444420590899E-3</c:v>
                </c:pt>
                <c:pt idx="14">
                  <c:v>5.4178573439355397E-3</c:v>
                </c:pt>
                <c:pt idx="15">
                  <c:v>8.9915692681434203E-3</c:v>
                </c:pt>
                <c:pt idx="16">
                  <c:v>5.9240356458898696E-3</c:v>
                </c:pt>
                <c:pt idx="17">
                  <c:v>8.5772499631187396E-3</c:v>
                </c:pt>
                <c:pt idx="18">
                  <c:v>2.0827398196860002E-3</c:v>
                </c:pt>
                <c:pt idx="19">
                  <c:v>4.2614560393257599E-3</c:v>
                </c:pt>
                <c:pt idx="20">
                  <c:v>1.0652787107865E-3</c:v>
                </c:pt>
                <c:pt idx="21">
                  <c:v>1.4979107906214499E-3</c:v>
                </c:pt>
                <c:pt idx="22">
                  <c:v>3.8828116967736799E-3</c:v>
                </c:pt>
                <c:pt idx="23">
                  <c:v>-1.7337290175331E-3</c:v>
                </c:pt>
                <c:pt idx="24">
                  <c:v>-1.1305708085058E-2</c:v>
                </c:pt>
                <c:pt idx="25">
                  <c:v>-6.81881920787724E-3</c:v>
                </c:pt>
                <c:pt idx="26">
                  <c:v>-1.61182810662737E-2</c:v>
                </c:pt>
                <c:pt idx="27">
                  <c:v>-1.20396421594602E-2</c:v>
                </c:pt>
                <c:pt idx="28">
                  <c:v>-5.5350061453839404E-3</c:v>
                </c:pt>
                <c:pt idx="29">
                  <c:v>-6.8655208003163496E-3</c:v>
                </c:pt>
                <c:pt idx="30">
                  <c:v>2.0900052660270101E-3</c:v>
                </c:pt>
                <c:pt idx="31">
                  <c:v>-3.4591482337417898E-3</c:v>
                </c:pt>
                <c:pt idx="32">
                  <c:v>-1.52211444763699E-3</c:v>
                </c:pt>
                <c:pt idx="33">
                  <c:v>-3.6726851013098101E-3</c:v>
                </c:pt>
                <c:pt idx="34">
                  <c:v>7.3786136088193899E-3</c:v>
                </c:pt>
                <c:pt idx="35">
                  <c:v>1.77575457835037E-3</c:v>
                </c:pt>
                <c:pt idx="36">
                  <c:v>-1.3560975818242599E-3</c:v>
                </c:pt>
                <c:pt idx="37">
                  <c:v>-3.1019108841056999E-3</c:v>
                </c:pt>
                <c:pt idx="38">
                  <c:v>2.8098391057566801E-3</c:v>
                </c:pt>
                <c:pt idx="39">
                  <c:v>6.0794539061613598E-3</c:v>
                </c:pt>
                <c:pt idx="40">
                  <c:v>6.2968945801870997E-3</c:v>
                </c:pt>
                <c:pt idx="41">
                  <c:v>9.6086360278049496E-3</c:v>
                </c:pt>
                <c:pt idx="42">
                  <c:v>5.4641397312155495E-4</c:v>
                </c:pt>
                <c:pt idx="43">
                  <c:v>-1.85761451034081E-3</c:v>
                </c:pt>
                <c:pt idx="44">
                  <c:v>-9.1828240034236997E-3</c:v>
                </c:pt>
                <c:pt idx="45">
                  <c:v>-5.3834615164319302E-3</c:v>
                </c:pt>
                <c:pt idx="46">
                  <c:v>-7.3178937483969501E-3</c:v>
                </c:pt>
                <c:pt idx="47">
                  <c:v>-1.1612026845039701E-2</c:v>
                </c:pt>
                <c:pt idx="48">
                  <c:v>-6.41932819510313E-3</c:v>
                </c:pt>
                <c:pt idx="49">
                  <c:v>3.4032094217219598E-3</c:v>
                </c:pt>
                <c:pt idx="50">
                  <c:v>1.65867767202618E-3</c:v>
                </c:pt>
                <c:pt idx="51">
                  <c:v>7.7048135732548802E-6</c:v>
                </c:pt>
                <c:pt idx="52">
                  <c:v>2.8451055842596299E-3</c:v>
                </c:pt>
                <c:pt idx="53">
                  <c:v>7.0984554771017601E-3</c:v>
                </c:pt>
                <c:pt idx="54">
                  <c:v>-4.0585482904260402E-4</c:v>
                </c:pt>
                <c:pt idx="55">
                  <c:v>7.2075344993724902E-3</c:v>
                </c:pt>
                <c:pt idx="56">
                  <c:v>7.8334174207282097E-3</c:v>
                </c:pt>
                <c:pt idx="57">
                  <c:v>6.2604978923450601E-3</c:v>
                </c:pt>
                <c:pt idx="58">
                  <c:v>7.5586326497594E-3</c:v>
                </c:pt>
                <c:pt idx="59">
                  <c:v>2.1575076668861599E-3</c:v>
                </c:pt>
                <c:pt idx="60">
                  <c:v>4.6518853146297803E-3</c:v>
                </c:pt>
                <c:pt idx="61">
                  <c:v>-1.9736143564443301E-3</c:v>
                </c:pt>
                <c:pt idx="62">
                  <c:v>2.5327793909468901E-3</c:v>
                </c:pt>
                <c:pt idx="63">
                  <c:v>1.1719316526700499E-3</c:v>
                </c:pt>
                <c:pt idx="64">
                  <c:v>2.6386982225583299E-3</c:v>
                </c:pt>
                <c:pt idx="65">
                  <c:v>1.9414322578629199E-3</c:v>
                </c:pt>
                <c:pt idx="66">
                  <c:v>-2.3574802862845099E-3</c:v>
                </c:pt>
                <c:pt idx="67">
                  <c:v>2.2779379943915399E-3</c:v>
                </c:pt>
                <c:pt idx="68">
                  <c:v>-2.9041294747744598E-3</c:v>
                </c:pt>
                <c:pt idx="69">
                  <c:v>-4.9434075939887596E-3</c:v>
                </c:pt>
                <c:pt idx="70">
                  <c:v>-6.07203909993362E-3</c:v>
                </c:pt>
                <c:pt idx="71">
                  <c:v>-5.5646694580399302E-3</c:v>
                </c:pt>
                <c:pt idx="72">
                  <c:v>-5.8267398744118798E-3</c:v>
                </c:pt>
                <c:pt idx="73">
                  <c:v>1.96671490220547E-4</c:v>
                </c:pt>
                <c:pt idx="74">
                  <c:v>-8.3134829013862196E-3</c:v>
                </c:pt>
                <c:pt idx="75">
                  <c:v>-7.60684795335188E-3</c:v>
                </c:pt>
                <c:pt idx="76">
                  <c:v>-2.6916428118281001E-3</c:v>
                </c:pt>
                <c:pt idx="77">
                  <c:v>-6.3150080585313304E-3</c:v>
                </c:pt>
                <c:pt idx="78">
                  <c:v>-5.2629693714254903E-3</c:v>
                </c:pt>
                <c:pt idx="79">
                  <c:v>-2.74380910190376E-3</c:v>
                </c:pt>
                <c:pt idx="80">
                  <c:v>-3.4044181247683499E-3</c:v>
                </c:pt>
                <c:pt idx="81">
                  <c:v>-3.8003756699699401E-3</c:v>
                </c:pt>
                <c:pt idx="82">
                  <c:v>1.31970354982034E-4</c:v>
                </c:pt>
                <c:pt idx="83">
                  <c:v>4.3456982550313999E-3</c:v>
                </c:pt>
                <c:pt idx="84">
                  <c:v>2.3159541355722902E-3</c:v>
                </c:pt>
                <c:pt idx="85">
                  <c:v>-2.06407538344854E-4</c:v>
                </c:pt>
                <c:pt idx="86">
                  <c:v>5.8025808983013499E-3</c:v>
                </c:pt>
                <c:pt idx="87">
                  <c:v>4.0483096210830504E-3</c:v>
                </c:pt>
                <c:pt idx="88">
                  <c:v>1.68229668498388E-3</c:v>
                </c:pt>
                <c:pt idx="89">
                  <c:v>5.1785465916160496E-3</c:v>
                </c:pt>
                <c:pt idx="90">
                  <c:v>6.8829002402541898E-3</c:v>
                </c:pt>
                <c:pt idx="91">
                  <c:v>1.7260899480671301E-3</c:v>
                </c:pt>
                <c:pt idx="92">
                  <c:v>3.0636100122516702E-3</c:v>
                </c:pt>
                <c:pt idx="93">
                  <c:v>1.00313747755161E-2</c:v>
                </c:pt>
                <c:pt idx="94">
                  <c:v>3.4768722411121799E-3</c:v>
                </c:pt>
                <c:pt idx="95">
                  <c:v>2.8081093304684599E-3</c:v>
                </c:pt>
                <c:pt idx="96">
                  <c:v>4.5419986051986501E-3</c:v>
                </c:pt>
                <c:pt idx="97">
                  <c:v>6.4799453088110297E-3</c:v>
                </c:pt>
                <c:pt idx="98">
                  <c:v>5.8956953799370999E-4</c:v>
                </c:pt>
                <c:pt idx="99">
                  <c:v>-1.3878964620652201E-3</c:v>
                </c:pt>
                <c:pt idx="100">
                  <c:v>-2.3957948596260701E-3</c:v>
                </c:pt>
                <c:pt idx="101">
                  <c:v>-1.01432807720127E-3</c:v>
                </c:pt>
                <c:pt idx="102">
                  <c:v>-1.0276448427614699E-2</c:v>
                </c:pt>
                <c:pt idx="103">
                  <c:v>-4.5231715276046096E-3</c:v>
                </c:pt>
                <c:pt idx="104">
                  <c:v>-3.4276361457060201E-3</c:v>
                </c:pt>
                <c:pt idx="105">
                  <c:v>-6.0295080638231397E-3</c:v>
                </c:pt>
                <c:pt idx="106">
                  <c:v>-5.4047922391168698E-3</c:v>
                </c:pt>
                <c:pt idx="107">
                  <c:v>-3.7773481110365201E-3</c:v>
                </c:pt>
                <c:pt idx="108">
                  <c:v>-1.9835569599557699E-3</c:v>
                </c:pt>
                <c:pt idx="109">
                  <c:v>-1.7483575871357899E-3</c:v>
                </c:pt>
                <c:pt idx="110">
                  <c:v>-1.3026877888035299E-3</c:v>
                </c:pt>
                <c:pt idx="111">
                  <c:v>1.1075212560886199E-3</c:v>
                </c:pt>
                <c:pt idx="112">
                  <c:v>1.3981475370225299E-3</c:v>
                </c:pt>
                <c:pt idx="113">
                  <c:v>-1.7020968820185701E-3</c:v>
                </c:pt>
                <c:pt idx="114">
                  <c:v>-3.4420064619093699E-4</c:v>
                </c:pt>
                <c:pt idx="115">
                  <c:v>-1.6842775285049901E-3</c:v>
                </c:pt>
                <c:pt idx="116">
                  <c:v>-6.6775554922873098E-4</c:v>
                </c:pt>
                <c:pt idx="117">
                  <c:v>3.9733072491241801E-4</c:v>
                </c:pt>
                <c:pt idx="118">
                  <c:v>3.84538134502371E-5</c:v>
                </c:pt>
                <c:pt idx="119">
                  <c:v>-1.5272049338967101E-3</c:v>
                </c:pt>
                <c:pt idx="120">
                  <c:v>-1.01227283833369E-2</c:v>
                </c:pt>
                <c:pt idx="121">
                  <c:v>-3.1328969553092098E-3</c:v>
                </c:pt>
                <c:pt idx="122">
                  <c:v>5.01845715612369E-3</c:v>
                </c:pt>
                <c:pt idx="123">
                  <c:v>2.5149050946705501E-3</c:v>
                </c:pt>
                <c:pt idx="124">
                  <c:v>8.7307284176294103E-3</c:v>
                </c:pt>
                <c:pt idx="125">
                  <c:v>5.5988991937864904E-3</c:v>
                </c:pt>
                <c:pt idx="126">
                  <c:v>4.67676403802662E-3</c:v>
                </c:pt>
                <c:pt idx="127">
                  <c:v>6.2284577324076299E-3</c:v>
                </c:pt>
                <c:pt idx="128">
                  <c:v>7.5742649596937496E-3</c:v>
                </c:pt>
                <c:pt idx="129">
                  <c:v>1.3146385379234299E-3</c:v>
                </c:pt>
                <c:pt idx="130">
                  <c:v>6.7342642404854703E-3</c:v>
                </c:pt>
                <c:pt idx="131">
                  <c:v>4.3244347369473402E-3</c:v>
                </c:pt>
                <c:pt idx="132">
                  <c:v>2.2763590277701099E-3</c:v>
                </c:pt>
                <c:pt idx="133">
                  <c:v>1.6188509086459901E-3</c:v>
                </c:pt>
                <c:pt idx="134">
                  <c:v>2.83999186823465E-3</c:v>
                </c:pt>
                <c:pt idx="135">
                  <c:v>2.1667967338041402E-3</c:v>
                </c:pt>
                <c:pt idx="136">
                  <c:v>5.9148851809433798E-4</c:v>
                </c:pt>
                <c:pt idx="137">
                  <c:v>-2.9259110570722001E-3</c:v>
                </c:pt>
                <c:pt idx="138">
                  <c:v>-1.6133100179318801E-4</c:v>
                </c:pt>
                <c:pt idx="139">
                  <c:v>-2.0307248505690399E-3</c:v>
                </c:pt>
                <c:pt idx="140">
                  <c:v>7.9484229116157405E-4</c:v>
                </c:pt>
                <c:pt idx="141">
                  <c:v>-1.84313799269779E-3</c:v>
                </c:pt>
                <c:pt idx="142">
                  <c:v>1.04809838648034E-3</c:v>
                </c:pt>
                <c:pt idx="143">
                  <c:v>2.5030024624733899E-4</c:v>
                </c:pt>
                <c:pt idx="144">
                  <c:v>-1.9082798198301501E-3</c:v>
                </c:pt>
                <c:pt idx="145">
                  <c:v>4.6957276725054101E-4</c:v>
                </c:pt>
                <c:pt idx="146">
                  <c:v>2.3167269464590798E-3</c:v>
                </c:pt>
                <c:pt idx="147">
                  <c:v>4.3104624576983301E-4</c:v>
                </c:pt>
                <c:pt idx="148">
                  <c:v>2.08170179399961E-3</c:v>
                </c:pt>
                <c:pt idx="149">
                  <c:v>-7.4975203319323997E-3</c:v>
                </c:pt>
                <c:pt idx="150">
                  <c:v>-9.9535776687360803E-3</c:v>
                </c:pt>
                <c:pt idx="151">
                  <c:v>-2.46408608301762E-3</c:v>
                </c:pt>
                <c:pt idx="152">
                  <c:v>-2.6264255434589301E-3</c:v>
                </c:pt>
                <c:pt idx="153">
                  <c:v>4.1249981495634297E-3</c:v>
                </c:pt>
                <c:pt idx="154">
                  <c:v>4.0214769442980802E-3</c:v>
                </c:pt>
                <c:pt idx="155">
                  <c:v>5.3117184015973803E-3</c:v>
                </c:pt>
                <c:pt idx="156">
                  <c:v>-1.9068443400099E-3</c:v>
                </c:pt>
                <c:pt idx="157">
                  <c:v>1.4752213065871299E-3</c:v>
                </c:pt>
                <c:pt idx="158">
                  <c:v>-4.0442753643151596E-3</c:v>
                </c:pt>
                <c:pt idx="159">
                  <c:v>-2.73958271515821E-3</c:v>
                </c:pt>
                <c:pt idx="160">
                  <c:v>-1.10081000218007E-3</c:v>
                </c:pt>
                <c:pt idx="161">
                  <c:v>9.47579186351519E-4</c:v>
                </c:pt>
                <c:pt idx="162">
                  <c:v>-1.1879022077332399E-3</c:v>
                </c:pt>
                <c:pt idx="163">
                  <c:v>2.3025441355846799E-3</c:v>
                </c:pt>
                <c:pt idx="164">
                  <c:v>-3.5926485406752701E-3</c:v>
                </c:pt>
                <c:pt idx="165">
                  <c:v>3.0069238645121401E-3</c:v>
                </c:pt>
                <c:pt idx="166">
                  <c:v>6.78277281029654E-4</c:v>
                </c:pt>
                <c:pt idx="167">
                  <c:v>1.6658684144618199E-3</c:v>
                </c:pt>
                <c:pt idx="168">
                  <c:v>7.7947858963126199E-3</c:v>
                </c:pt>
                <c:pt idx="169">
                  <c:v>-9.0557205294517797E-4</c:v>
                </c:pt>
                <c:pt idx="170">
                  <c:v>1.8733014172296399E-3</c:v>
                </c:pt>
                <c:pt idx="171">
                  <c:v>2.7888962554396299E-3</c:v>
                </c:pt>
                <c:pt idx="172">
                  <c:v>-3.4063239372429601E-3</c:v>
                </c:pt>
                <c:pt idx="173">
                  <c:v>-5.7059358358212901E-4</c:v>
                </c:pt>
                <c:pt idx="174">
                  <c:v>-7.7037917101813701E-4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B-4E92-90B8-C3C1E921971B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UA x 20 dma / UAA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1.0398778201417901E-2</c:v>
                </c:pt>
                <c:pt idx="21">
                  <c:v>9.3749187540920192E-3</c:v>
                </c:pt>
                <c:pt idx="22">
                  <c:v>1.0336218321458099E-2</c:v>
                </c:pt>
                <c:pt idx="23">
                  <c:v>3.0762699457890599E-3</c:v>
                </c:pt>
                <c:pt idx="24">
                  <c:v>-6.55189474279377E-3</c:v>
                </c:pt>
                <c:pt idx="25">
                  <c:v>-3.0145714722220399E-3</c:v>
                </c:pt>
                <c:pt idx="26">
                  <c:v>-1.3472766918266099E-2</c:v>
                </c:pt>
                <c:pt idx="27">
                  <c:v>-1.1014858935838199E-2</c:v>
                </c:pt>
                <c:pt idx="28">
                  <c:v>-6.1399366849924997E-3</c:v>
                </c:pt>
                <c:pt idx="29">
                  <c:v>-8.6682615656053091E-3</c:v>
                </c:pt>
                <c:pt idx="30">
                  <c:v>-1.21843902820548E-3</c:v>
                </c:pt>
                <c:pt idx="31">
                  <c:v>-6.9312343785271797E-3</c:v>
                </c:pt>
                <c:pt idx="32">
                  <c:v>-5.6636357991538197E-3</c:v>
                </c:pt>
                <c:pt idx="33">
                  <c:v>-8.4638628302161206E-3</c:v>
                </c:pt>
                <c:pt idx="34">
                  <c:v>1.53861092932258E-3</c:v>
                </c:pt>
                <c:pt idx="35">
                  <c:v>-3.3563146135013001E-3</c:v>
                </c:pt>
                <c:pt idx="36">
                  <c:v>-6.1626071236595302E-3</c:v>
                </c:pt>
                <c:pt idx="37">
                  <c:v>-6.8120279975538997E-3</c:v>
                </c:pt>
                <c:pt idx="38">
                  <c:v>1.02097982412753E-4</c:v>
                </c:pt>
                <c:pt idx="39">
                  <c:v>3.9579171466310702E-3</c:v>
                </c:pt>
                <c:pt idx="40">
                  <c:v>5.3437452859921297E-3</c:v>
                </c:pt>
                <c:pt idx="41">
                  <c:v>9.0483088114913599E-3</c:v>
                </c:pt>
                <c:pt idx="42">
                  <c:v>1.17549008583673E-3</c:v>
                </c:pt>
                <c:pt idx="43">
                  <c:v>-3.7996040420729599E-4</c:v>
                </c:pt>
                <c:pt idx="44">
                  <c:v>-6.88847317078923E-3</c:v>
                </c:pt>
                <c:pt idx="45">
                  <c:v>-4.0385591475622703E-3</c:v>
                </c:pt>
                <c:pt idx="46">
                  <c:v>-6.1128123655828301E-3</c:v>
                </c:pt>
                <c:pt idx="47">
                  <c:v>-1.08433554989438E-2</c:v>
                </c:pt>
                <c:pt idx="48">
                  <c:v>-6.0777637627364104E-3</c:v>
                </c:pt>
                <c:pt idx="49">
                  <c:v>3.1707737104502299E-3</c:v>
                </c:pt>
                <c:pt idx="50">
                  <c:v>8.3599125183895704E-4</c:v>
                </c:pt>
                <c:pt idx="51">
                  <c:v>-1.24155712108054E-3</c:v>
                </c:pt>
                <c:pt idx="52">
                  <c:v>4.0148527341491401E-4</c:v>
                </c:pt>
                <c:pt idx="53">
                  <c:v>4.3599006274168102E-3</c:v>
                </c:pt>
                <c:pt idx="54">
                  <c:v>-3.21103158178123E-3</c:v>
                </c:pt>
                <c:pt idx="55">
                  <c:v>5.1592475378860296E-3</c:v>
                </c:pt>
                <c:pt idx="56">
                  <c:v>6.4316635834827203E-3</c:v>
                </c:pt>
                <c:pt idx="57">
                  <c:v>5.6532059380026102E-3</c:v>
                </c:pt>
                <c:pt idx="58">
                  <c:v>8.1380239229101505E-3</c:v>
                </c:pt>
                <c:pt idx="59">
                  <c:v>3.92374034717872E-3</c:v>
                </c:pt>
                <c:pt idx="60">
                  <c:v>6.6889660936144601E-3</c:v>
                </c:pt>
                <c:pt idx="61">
                  <c:v>7.3054464911617603E-4</c:v>
                </c:pt>
                <c:pt idx="62">
                  <c:v>6.0120080956471596E-3</c:v>
                </c:pt>
                <c:pt idx="63">
                  <c:v>5.1141170677203697E-3</c:v>
                </c:pt>
                <c:pt idx="64">
                  <c:v>6.5050239258623299E-3</c:v>
                </c:pt>
                <c:pt idx="65">
                  <c:v>6.1909156138193703E-3</c:v>
                </c:pt>
                <c:pt idx="66">
                  <c:v>1.6282041850758701E-3</c:v>
                </c:pt>
                <c:pt idx="67">
                  <c:v>5.53244450441684E-3</c:v>
                </c:pt>
                <c:pt idx="68">
                  <c:v>-3.6130455745605398E-4</c:v>
                </c:pt>
                <c:pt idx="69">
                  <c:v>-3.42923419256387E-3</c:v>
                </c:pt>
                <c:pt idx="70">
                  <c:v>-4.8766705448685397E-3</c:v>
                </c:pt>
                <c:pt idx="71">
                  <c:v>-5.1401678775646296E-3</c:v>
                </c:pt>
                <c:pt idx="72">
                  <c:v>-5.7116364437634201E-3</c:v>
                </c:pt>
                <c:pt idx="73">
                  <c:v>-4.2713007503085302E-4</c:v>
                </c:pt>
                <c:pt idx="74">
                  <c:v>-9.1452462530096802E-3</c:v>
                </c:pt>
                <c:pt idx="75">
                  <c:v>-9.6085288097639207E-3</c:v>
                </c:pt>
                <c:pt idx="76">
                  <c:v>-5.5298985038410098E-3</c:v>
                </c:pt>
                <c:pt idx="77">
                  <c:v>-9.3415674077333907E-3</c:v>
                </c:pt>
                <c:pt idx="78">
                  <c:v>-9.1437377049359697E-3</c:v>
                </c:pt>
                <c:pt idx="79">
                  <c:v>-6.8610819632905296E-3</c:v>
                </c:pt>
                <c:pt idx="80">
                  <c:v>-7.6194091748785697E-3</c:v>
                </c:pt>
                <c:pt idx="81">
                  <c:v>-7.8876237273271897E-3</c:v>
                </c:pt>
                <c:pt idx="82">
                  <c:v>-4.1382739874300497E-3</c:v>
                </c:pt>
                <c:pt idx="83">
                  <c:v>3.5152283809181302E-4</c:v>
                </c:pt>
                <c:pt idx="84">
                  <c:v>-1.7584157848354999E-3</c:v>
                </c:pt>
                <c:pt idx="85">
                  <c:v>-3.5287997333520601E-3</c:v>
                </c:pt>
                <c:pt idx="86">
                  <c:v>3.1932068791250901E-3</c:v>
                </c:pt>
                <c:pt idx="87">
                  <c:v>1.9013631416856999E-3</c:v>
                </c:pt>
                <c:pt idx="88">
                  <c:v>5.6817871855890803E-4</c:v>
                </c:pt>
                <c:pt idx="89">
                  <c:v>4.8065003168578499E-3</c:v>
                </c:pt>
                <c:pt idx="90">
                  <c:v>7.1717139463059101E-3</c:v>
                </c:pt>
                <c:pt idx="91">
                  <c:v>2.84731833542313E-3</c:v>
                </c:pt>
                <c:pt idx="92">
                  <c:v>4.8966970652919301E-3</c:v>
                </c:pt>
                <c:pt idx="93">
                  <c:v>1.23251205866583E-2</c:v>
                </c:pt>
                <c:pt idx="94">
                  <c:v>6.4751510447395898E-3</c:v>
                </c:pt>
                <c:pt idx="95">
                  <c:v>6.0416235992318598E-3</c:v>
                </c:pt>
                <c:pt idx="96">
                  <c:v>8.2144656165699798E-3</c:v>
                </c:pt>
                <c:pt idx="97">
                  <c:v>1.02933387531566E-2</c:v>
                </c:pt>
                <c:pt idx="98">
                  <c:v>4.6024332239790796E-3</c:v>
                </c:pt>
                <c:pt idx="99">
                  <c:v>2.7363758660874601E-3</c:v>
                </c:pt>
                <c:pt idx="100">
                  <c:v>1.45236807755983E-3</c:v>
                </c:pt>
                <c:pt idx="101">
                  <c:v>2.20890681181475E-3</c:v>
                </c:pt>
                <c:pt idx="102">
                  <c:v>-7.25787521729334E-3</c:v>
                </c:pt>
                <c:pt idx="103">
                  <c:v>-2.2042612120050202E-3</c:v>
                </c:pt>
                <c:pt idx="104">
                  <c:v>-2.1173458219499301E-3</c:v>
                </c:pt>
                <c:pt idx="105">
                  <c:v>-5.2919040227227404E-3</c:v>
                </c:pt>
                <c:pt idx="106">
                  <c:v>-5.5110290498831902E-3</c:v>
                </c:pt>
                <c:pt idx="107">
                  <c:v>-4.6942241010673397E-3</c:v>
                </c:pt>
                <c:pt idx="108">
                  <c:v>-4.0033929474524096E-3</c:v>
                </c:pt>
                <c:pt idx="109">
                  <c:v>-4.4438554152660204E-3</c:v>
                </c:pt>
                <c:pt idx="110">
                  <c:v>-4.3680949620062597E-3</c:v>
                </c:pt>
                <c:pt idx="111">
                  <c:v>-2.1293512316376498E-3</c:v>
                </c:pt>
                <c:pt idx="112">
                  <c:v>-2.2400442521356401E-3</c:v>
                </c:pt>
                <c:pt idx="113">
                  <c:v>-4.7548943447266803E-3</c:v>
                </c:pt>
                <c:pt idx="114">
                  <c:v>-3.0669870849024E-3</c:v>
                </c:pt>
                <c:pt idx="115">
                  <c:v>-4.3111747653709499E-3</c:v>
                </c:pt>
                <c:pt idx="116">
                  <c:v>-2.9724007385794398E-3</c:v>
                </c:pt>
                <c:pt idx="117">
                  <c:v>-1.39436954092088E-3</c:v>
                </c:pt>
                <c:pt idx="118">
                  <c:v>-1.1219150736028599E-3</c:v>
                </c:pt>
                <c:pt idx="119">
                  <c:v>-2.3725931217136102E-3</c:v>
                </c:pt>
                <c:pt idx="120">
                  <c:v>-1.07543150941377E-2</c:v>
                </c:pt>
                <c:pt idx="121">
                  <c:v>-4.0187993909503198E-3</c:v>
                </c:pt>
                <c:pt idx="122">
                  <c:v>4.0493905664037997E-3</c:v>
                </c:pt>
                <c:pt idx="123">
                  <c:v>1.4102287746741899E-3</c:v>
                </c:pt>
                <c:pt idx="124">
                  <c:v>7.8906497848159306E-3</c:v>
                </c:pt>
                <c:pt idx="125">
                  <c:v>5.24487830429875E-3</c:v>
                </c:pt>
                <c:pt idx="126">
                  <c:v>4.69660857312869E-3</c:v>
                </c:pt>
                <c:pt idx="127">
                  <c:v>6.5109655205344199E-3</c:v>
                </c:pt>
                <c:pt idx="128">
                  <c:v>8.1464332132044799E-3</c:v>
                </c:pt>
                <c:pt idx="129">
                  <c:v>2.3349420849712301E-3</c:v>
                </c:pt>
                <c:pt idx="130">
                  <c:v>8.07291789463121E-3</c:v>
                </c:pt>
                <c:pt idx="131">
                  <c:v>7.1532453835066899E-3</c:v>
                </c:pt>
                <c:pt idx="132">
                  <c:v>6.06618024006432E-3</c:v>
                </c:pt>
                <c:pt idx="133">
                  <c:v>5.5668148877485299E-3</c:v>
                </c:pt>
                <c:pt idx="134">
                  <c:v>7.0387868944450501E-3</c:v>
                </c:pt>
                <c:pt idx="135">
                  <c:v>6.1208990926332396E-3</c:v>
                </c:pt>
                <c:pt idx="136">
                  <c:v>4.4401728394677202E-3</c:v>
                </c:pt>
                <c:pt idx="137">
                  <c:v>8.3380421372296701E-4</c:v>
                </c:pt>
                <c:pt idx="138">
                  <c:v>3.1954026149419801E-3</c:v>
                </c:pt>
                <c:pt idx="139">
                  <c:v>8.4007761499130902E-4</c:v>
                </c:pt>
                <c:pt idx="140">
                  <c:v>3.5406910463069E-3</c:v>
                </c:pt>
                <c:pt idx="141">
                  <c:v>-1.02843059177735E-4</c:v>
                </c:pt>
                <c:pt idx="142">
                  <c:v>1.9955331744965E-3</c:v>
                </c:pt>
                <c:pt idx="143">
                  <c:v>9.8956977951835008E-4</c:v>
                </c:pt>
                <c:pt idx="144">
                  <c:v>-1.5137298870150299E-3</c:v>
                </c:pt>
                <c:pt idx="145">
                  <c:v>5.4185237643804502E-4</c:v>
                </c:pt>
                <c:pt idx="146">
                  <c:v>2.0884086362794201E-3</c:v>
                </c:pt>
                <c:pt idx="147">
                  <c:v>8.5969623738877107E-5</c:v>
                </c:pt>
                <c:pt idx="148">
                  <c:v>1.9526640670463401E-3</c:v>
                </c:pt>
                <c:pt idx="149">
                  <c:v>-7.4757703992708998E-3</c:v>
                </c:pt>
                <c:pt idx="150">
                  <c:v>-1.03239523762259E-2</c:v>
                </c:pt>
                <c:pt idx="151">
                  <c:v>-3.3879228089097801E-3</c:v>
                </c:pt>
                <c:pt idx="152">
                  <c:v>-3.5393334835649398E-3</c:v>
                </c:pt>
                <c:pt idx="153">
                  <c:v>2.9042070039022E-3</c:v>
                </c:pt>
                <c:pt idx="154">
                  <c:v>2.8664790799206399E-3</c:v>
                </c:pt>
                <c:pt idx="155">
                  <c:v>4.5348221340428601E-3</c:v>
                </c:pt>
                <c:pt idx="156">
                  <c:v>-2.4425557093853498E-3</c:v>
                </c:pt>
                <c:pt idx="157">
                  <c:v>6.11916131313187E-4</c:v>
                </c:pt>
                <c:pt idx="158">
                  <c:v>-5.0749901313957299E-3</c:v>
                </c:pt>
                <c:pt idx="159">
                  <c:v>-4.2780294976847901E-3</c:v>
                </c:pt>
                <c:pt idx="160">
                  <c:v>-2.2831087613918799E-3</c:v>
                </c:pt>
                <c:pt idx="161">
                  <c:v>6.67036298569045E-4</c:v>
                </c:pt>
                <c:pt idx="162">
                  <c:v>-1.2022604094179201E-3</c:v>
                </c:pt>
                <c:pt idx="163">
                  <c:v>2.6338188502255402E-3</c:v>
                </c:pt>
                <c:pt idx="164">
                  <c:v>-3.3905813424273301E-3</c:v>
                </c:pt>
                <c:pt idx="165">
                  <c:v>2.6681058831880102E-3</c:v>
                </c:pt>
                <c:pt idx="166">
                  <c:v>2.7365358108533E-5</c:v>
                </c:pt>
                <c:pt idx="167">
                  <c:v>1.3434402856679099E-3</c:v>
                </c:pt>
                <c:pt idx="168">
                  <c:v>7.4837778615008798E-3</c:v>
                </c:pt>
                <c:pt idx="169">
                  <c:v>-2.4723630571604202E-4</c:v>
                </c:pt>
                <c:pt idx="170">
                  <c:v>2.6053753402068901E-3</c:v>
                </c:pt>
                <c:pt idx="171">
                  <c:v>3.4170545957900198E-3</c:v>
                </c:pt>
                <c:pt idx="172">
                  <c:v>-2.7660774498333902E-3</c:v>
                </c:pt>
                <c:pt idx="173">
                  <c:v>-4.8097086950091398E-5</c:v>
                </c:pt>
                <c:pt idx="174">
                  <c:v>-2.8145034588707E-4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2B-4E92-90B8-C3C1E9219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3.7577248764019966E-3</c:v>
                </c:pt>
                <c:pt idx="6">
                  <c:v>-6.3652613445590034E-3</c:v>
                </c:pt>
                <c:pt idx="7">
                  <c:v>-3.9740643248247012E-3</c:v>
                </c:pt>
                <c:pt idx="8">
                  <c:v>6.7031532514309853E-4</c:v>
                </c:pt>
                <c:pt idx="9">
                  <c:v>-1.5435993955049991E-3</c:v>
                </c:pt>
                <c:pt idx="10">
                  <c:v>5.9401655481976902E-3</c:v>
                </c:pt>
                <c:pt idx="11">
                  <c:v>5.9401655481976902E-3</c:v>
                </c:pt>
                <c:pt idx="12">
                  <c:v>6.6895366468372923E-3</c:v>
                </c:pt>
                <c:pt idx="13">
                  <c:v>3.1766505482860976E-3</c:v>
                </c:pt>
                <c:pt idx="14">
                  <c:v>1.3076589385860694E-2</c:v>
                </c:pt>
                <c:pt idx="15">
                  <c:v>1.3076589385860694E-2</c:v>
                </c:pt>
                <c:pt idx="16">
                  <c:v>1.3076589385860694E-2</c:v>
                </c:pt>
                <c:pt idx="17">
                  <c:v>1.1845516966440473E-2</c:v>
                </c:pt>
                <c:pt idx="18">
                  <c:v>1.7908227043998571E-2</c:v>
                </c:pt>
                <c:pt idx="19">
                  <c:v>1.7908227043998571E-2</c:v>
                </c:pt>
                <c:pt idx="20">
                  <c:v>1.7908227043998571E-2</c:v>
                </c:pt>
                <c:pt idx="21">
                  <c:v>1.7908227043998571E-2</c:v>
                </c:pt>
                <c:pt idx="22">
                  <c:v>1.7908227043998571E-2</c:v>
                </c:pt>
                <c:pt idx="23">
                  <c:v>1.7908227043998571E-2</c:v>
                </c:pt>
                <c:pt idx="24">
                  <c:v>1.7908227043998571E-2</c:v>
                </c:pt>
                <c:pt idx="25">
                  <c:v>2.0506673260429573E-2</c:v>
                </c:pt>
                <c:pt idx="26">
                  <c:v>1.8123809755100275E-2</c:v>
                </c:pt>
                <c:pt idx="27">
                  <c:v>1.3472457539416706E-2</c:v>
                </c:pt>
                <c:pt idx="28">
                  <c:v>1.7962376225005454E-2</c:v>
                </c:pt>
                <c:pt idx="29">
                  <c:v>2.6928826088079352E-2</c:v>
                </c:pt>
                <c:pt idx="30">
                  <c:v>2.6928826088079352E-2</c:v>
                </c:pt>
                <c:pt idx="31">
                  <c:v>2.6928826088079352E-2</c:v>
                </c:pt>
                <c:pt idx="32">
                  <c:v>2.6928826088079352E-2</c:v>
                </c:pt>
                <c:pt idx="33">
                  <c:v>2.6928826088079352E-2</c:v>
                </c:pt>
                <c:pt idx="34">
                  <c:v>2.6928826088079352E-2</c:v>
                </c:pt>
                <c:pt idx="35">
                  <c:v>2.6928826088079352E-2</c:v>
                </c:pt>
                <c:pt idx="36">
                  <c:v>2.6928826088079352E-2</c:v>
                </c:pt>
                <c:pt idx="37">
                  <c:v>2.6928826088079352E-2</c:v>
                </c:pt>
                <c:pt idx="38">
                  <c:v>2.6928826088079352E-2</c:v>
                </c:pt>
                <c:pt idx="39">
                  <c:v>2.6928826088079352E-2</c:v>
                </c:pt>
                <c:pt idx="40">
                  <c:v>2.6928826088079352E-2</c:v>
                </c:pt>
                <c:pt idx="41">
                  <c:v>2.6928826088079352E-2</c:v>
                </c:pt>
                <c:pt idx="42">
                  <c:v>2.6928826088079352E-2</c:v>
                </c:pt>
                <c:pt idx="43">
                  <c:v>2.6928826088079352E-2</c:v>
                </c:pt>
                <c:pt idx="44">
                  <c:v>2.6928826088079352E-2</c:v>
                </c:pt>
                <c:pt idx="45">
                  <c:v>2.6928826088079352E-2</c:v>
                </c:pt>
                <c:pt idx="46">
                  <c:v>2.6928826088079352E-2</c:v>
                </c:pt>
                <c:pt idx="47">
                  <c:v>2.6928826088079352E-2</c:v>
                </c:pt>
                <c:pt idx="48">
                  <c:v>2.6928826088079352E-2</c:v>
                </c:pt>
                <c:pt idx="49">
                  <c:v>2.6928826088079352E-2</c:v>
                </c:pt>
                <c:pt idx="50">
                  <c:v>2.6928826088079352E-2</c:v>
                </c:pt>
                <c:pt idx="51">
                  <c:v>2.6928826088079352E-2</c:v>
                </c:pt>
                <c:pt idx="52">
                  <c:v>2.6391417903499054E-2</c:v>
                </c:pt>
                <c:pt idx="53">
                  <c:v>3.1600792166097055E-2</c:v>
                </c:pt>
                <c:pt idx="54">
                  <c:v>3.1600792166097055E-2</c:v>
                </c:pt>
                <c:pt idx="55">
                  <c:v>3.1044044626993561E-2</c:v>
                </c:pt>
                <c:pt idx="56">
                  <c:v>3.4603468942061982E-2</c:v>
                </c:pt>
                <c:pt idx="57">
                  <c:v>3.037859967856768E-2</c:v>
                </c:pt>
                <c:pt idx="58">
                  <c:v>2.9967653951431784E-2</c:v>
                </c:pt>
                <c:pt idx="59">
                  <c:v>3.1473575933134192E-2</c:v>
                </c:pt>
                <c:pt idx="60">
                  <c:v>3.0208122762217592E-2</c:v>
                </c:pt>
                <c:pt idx="61">
                  <c:v>2.923401396131339E-2</c:v>
                </c:pt>
                <c:pt idx="62">
                  <c:v>3.2523490611712093E-2</c:v>
                </c:pt>
                <c:pt idx="63">
                  <c:v>3.6477615042186787E-2</c:v>
                </c:pt>
                <c:pt idx="64">
                  <c:v>3.6477615042186787E-2</c:v>
                </c:pt>
                <c:pt idx="65">
                  <c:v>3.6477615042186787E-2</c:v>
                </c:pt>
                <c:pt idx="66">
                  <c:v>3.6477615042186787E-2</c:v>
                </c:pt>
                <c:pt idx="67">
                  <c:v>3.6477615042186787E-2</c:v>
                </c:pt>
                <c:pt idx="68">
                  <c:v>3.6477615042186787E-2</c:v>
                </c:pt>
                <c:pt idx="69">
                  <c:v>3.6477615042186787E-2</c:v>
                </c:pt>
                <c:pt idx="70">
                  <c:v>3.6477615042186787E-2</c:v>
                </c:pt>
                <c:pt idx="71">
                  <c:v>3.6477615042186787E-2</c:v>
                </c:pt>
                <c:pt idx="72">
                  <c:v>3.6477615042186787E-2</c:v>
                </c:pt>
                <c:pt idx="73">
                  <c:v>3.6477615042186787E-2</c:v>
                </c:pt>
                <c:pt idx="74">
                  <c:v>3.6477615042186787E-2</c:v>
                </c:pt>
                <c:pt idx="75">
                  <c:v>3.6477615042186787E-2</c:v>
                </c:pt>
                <c:pt idx="76">
                  <c:v>3.6477615042186787E-2</c:v>
                </c:pt>
                <c:pt idx="77">
                  <c:v>3.6477615042186787E-2</c:v>
                </c:pt>
                <c:pt idx="78">
                  <c:v>3.6477615042186787E-2</c:v>
                </c:pt>
                <c:pt idx="79">
                  <c:v>3.6477615042186787E-2</c:v>
                </c:pt>
                <c:pt idx="80">
                  <c:v>3.6477615042186787E-2</c:v>
                </c:pt>
                <c:pt idx="81">
                  <c:v>3.6477615042186787E-2</c:v>
                </c:pt>
                <c:pt idx="82">
                  <c:v>3.6477615042186787E-2</c:v>
                </c:pt>
                <c:pt idx="83">
                  <c:v>4.1495104490994687E-2</c:v>
                </c:pt>
                <c:pt idx="84">
                  <c:v>4.1495104490994687E-2</c:v>
                </c:pt>
                <c:pt idx="85">
                  <c:v>4.1495104490994687E-2</c:v>
                </c:pt>
                <c:pt idx="86">
                  <c:v>4.138206468423887E-2</c:v>
                </c:pt>
                <c:pt idx="87">
                  <c:v>4.1993762524588571E-2</c:v>
                </c:pt>
                <c:pt idx="88">
                  <c:v>4.2581824876142871E-2</c:v>
                </c:pt>
                <c:pt idx="89">
                  <c:v>4.2156428719562974E-2</c:v>
                </c:pt>
                <c:pt idx="90">
                  <c:v>4.2027039841108775E-2</c:v>
                </c:pt>
                <c:pt idx="91">
                  <c:v>4.3933277893609485E-2</c:v>
                </c:pt>
                <c:pt idx="92">
                  <c:v>4.3933277893609485E-2</c:v>
                </c:pt>
                <c:pt idx="93">
                  <c:v>4.3933277893609485E-2</c:v>
                </c:pt>
                <c:pt idx="94">
                  <c:v>4.3933277893609485E-2</c:v>
                </c:pt>
                <c:pt idx="95">
                  <c:v>4.3933277893609485E-2</c:v>
                </c:pt>
                <c:pt idx="96">
                  <c:v>4.3933277893609485E-2</c:v>
                </c:pt>
                <c:pt idx="97">
                  <c:v>4.3933277893609485E-2</c:v>
                </c:pt>
                <c:pt idx="98">
                  <c:v>4.3933277893609485E-2</c:v>
                </c:pt>
                <c:pt idx="99">
                  <c:v>4.3933277893609485E-2</c:v>
                </c:pt>
                <c:pt idx="100">
                  <c:v>4.3933277893609485E-2</c:v>
                </c:pt>
                <c:pt idx="101">
                  <c:v>4.9910120514382185E-2</c:v>
                </c:pt>
                <c:pt idx="102">
                  <c:v>5.7460277609991187E-2</c:v>
                </c:pt>
                <c:pt idx="103">
                  <c:v>5.7460277609991187E-2</c:v>
                </c:pt>
                <c:pt idx="104">
                  <c:v>5.7460277609991187E-2</c:v>
                </c:pt>
                <c:pt idx="105">
                  <c:v>5.7460277609991187E-2</c:v>
                </c:pt>
                <c:pt idx="106">
                  <c:v>5.7460277609991187E-2</c:v>
                </c:pt>
                <c:pt idx="107">
                  <c:v>5.7460277609991187E-2</c:v>
                </c:pt>
                <c:pt idx="108">
                  <c:v>5.7460277609991187E-2</c:v>
                </c:pt>
                <c:pt idx="109">
                  <c:v>5.7460277609991187E-2</c:v>
                </c:pt>
                <c:pt idx="110">
                  <c:v>5.7460277609991187E-2</c:v>
                </c:pt>
                <c:pt idx="111">
                  <c:v>5.7460277609991187E-2</c:v>
                </c:pt>
                <c:pt idx="112">
                  <c:v>5.7460277609991187E-2</c:v>
                </c:pt>
                <c:pt idx="113">
                  <c:v>5.7460277609991187E-2</c:v>
                </c:pt>
                <c:pt idx="114">
                  <c:v>5.7460277609991187E-2</c:v>
                </c:pt>
                <c:pt idx="115">
                  <c:v>5.7460277609991187E-2</c:v>
                </c:pt>
                <c:pt idx="116">
                  <c:v>5.7460277609991187E-2</c:v>
                </c:pt>
                <c:pt idx="117">
                  <c:v>5.7460277609991187E-2</c:v>
                </c:pt>
                <c:pt idx="118">
                  <c:v>5.7460277609991187E-2</c:v>
                </c:pt>
                <c:pt idx="119">
                  <c:v>5.7460277609991187E-2</c:v>
                </c:pt>
                <c:pt idx="120">
                  <c:v>5.7460277609991187E-2</c:v>
                </c:pt>
                <c:pt idx="121">
                  <c:v>5.7460277609991187E-2</c:v>
                </c:pt>
                <c:pt idx="122">
                  <c:v>5.7460277609991187E-2</c:v>
                </c:pt>
                <c:pt idx="123">
                  <c:v>5.7460277609991187E-2</c:v>
                </c:pt>
                <c:pt idx="124">
                  <c:v>5.7460277609991187E-2</c:v>
                </c:pt>
                <c:pt idx="125">
                  <c:v>5.7460277609991187E-2</c:v>
                </c:pt>
                <c:pt idx="126">
                  <c:v>5.7460277609991187E-2</c:v>
                </c:pt>
                <c:pt idx="127">
                  <c:v>5.7460277609991187E-2</c:v>
                </c:pt>
                <c:pt idx="128">
                  <c:v>5.7460277609991187E-2</c:v>
                </c:pt>
                <c:pt idx="129">
                  <c:v>5.7460277609991187E-2</c:v>
                </c:pt>
                <c:pt idx="130">
                  <c:v>5.4459436676915884E-2</c:v>
                </c:pt>
                <c:pt idx="131">
                  <c:v>6.079581039913938E-2</c:v>
                </c:pt>
                <c:pt idx="132">
                  <c:v>6.0386250085659079E-2</c:v>
                </c:pt>
                <c:pt idx="133">
                  <c:v>6.6587775208896777E-2</c:v>
                </c:pt>
                <c:pt idx="134">
                  <c:v>6.6587775208896777E-2</c:v>
                </c:pt>
                <c:pt idx="135">
                  <c:v>6.6587775208896777E-2</c:v>
                </c:pt>
                <c:pt idx="136">
                  <c:v>6.6587775208896777E-2</c:v>
                </c:pt>
                <c:pt idx="137">
                  <c:v>6.6587775208896777E-2</c:v>
                </c:pt>
                <c:pt idx="138">
                  <c:v>6.6587775208896777E-2</c:v>
                </c:pt>
                <c:pt idx="139">
                  <c:v>6.7073994503373174E-2</c:v>
                </c:pt>
                <c:pt idx="140">
                  <c:v>6.8881250647386358E-2</c:v>
                </c:pt>
                <c:pt idx="141">
                  <c:v>6.8881250647386358E-2</c:v>
                </c:pt>
                <c:pt idx="142">
                  <c:v>6.8881250647386358E-2</c:v>
                </c:pt>
                <c:pt idx="143">
                  <c:v>6.8881250647386358E-2</c:v>
                </c:pt>
                <c:pt idx="144">
                  <c:v>6.8881250647386358E-2</c:v>
                </c:pt>
                <c:pt idx="145">
                  <c:v>6.8881250647386358E-2</c:v>
                </c:pt>
                <c:pt idx="146">
                  <c:v>6.8881250647386358E-2</c:v>
                </c:pt>
                <c:pt idx="147">
                  <c:v>6.8881250647386358E-2</c:v>
                </c:pt>
                <c:pt idx="148">
                  <c:v>6.8881250647386358E-2</c:v>
                </c:pt>
                <c:pt idx="149">
                  <c:v>6.8881250647386358E-2</c:v>
                </c:pt>
                <c:pt idx="150">
                  <c:v>6.8881250647386358E-2</c:v>
                </c:pt>
                <c:pt idx="151">
                  <c:v>6.8881250647386358E-2</c:v>
                </c:pt>
                <c:pt idx="152">
                  <c:v>6.8881250647386358E-2</c:v>
                </c:pt>
                <c:pt idx="153">
                  <c:v>6.8881250647386358E-2</c:v>
                </c:pt>
                <c:pt idx="154">
                  <c:v>6.8881250647386358E-2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2-4EE2-B551-1FB0E8FB0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-2.0360540285709917E-4</c:v>
                </c:pt>
                <c:pt idx="2">
                  <c:v>-2.7448401929563038E-3</c:v>
                </c:pt>
                <c:pt idx="3">
                  <c:v>2.9288608256073014E-3</c:v>
                </c:pt>
                <c:pt idx="4">
                  <c:v>1.1543309728944287E-2</c:v>
                </c:pt>
                <c:pt idx="5">
                  <c:v>1.1543309728944287E-2</c:v>
                </c:pt>
                <c:pt idx="6">
                  <c:v>1.1543309728944287E-2</c:v>
                </c:pt>
                <c:pt idx="7">
                  <c:v>1.1543309728944287E-2</c:v>
                </c:pt>
                <c:pt idx="8">
                  <c:v>1.1543309728944287E-2</c:v>
                </c:pt>
                <c:pt idx="9">
                  <c:v>1.1543309728944287E-2</c:v>
                </c:pt>
                <c:pt idx="10">
                  <c:v>1.1543309728944287E-2</c:v>
                </c:pt>
                <c:pt idx="11">
                  <c:v>1.1543309728944287E-2</c:v>
                </c:pt>
                <c:pt idx="12">
                  <c:v>1.1543309728944287E-2</c:v>
                </c:pt>
                <c:pt idx="13">
                  <c:v>1.1543309728944287E-2</c:v>
                </c:pt>
                <c:pt idx="14">
                  <c:v>1.1543309728944287E-2</c:v>
                </c:pt>
                <c:pt idx="15">
                  <c:v>1.1543309728944287E-2</c:v>
                </c:pt>
                <c:pt idx="16">
                  <c:v>1.1543309728944287E-2</c:v>
                </c:pt>
                <c:pt idx="17">
                  <c:v>1.1543309728944287E-2</c:v>
                </c:pt>
                <c:pt idx="18">
                  <c:v>1.1543309728944287E-2</c:v>
                </c:pt>
                <c:pt idx="19">
                  <c:v>1.1543309728944287E-2</c:v>
                </c:pt>
                <c:pt idx="20">
                  <c:v>1.1543309728944287E-2</c:v>
                </c:pt>
                <c:pt idx="21">
                  <c:v>8.0027545359427892E-3</c:v>
                </c:pt>
                <c:pt idx="22">
                  <c:v>1.587391396538999E-2</c:v>
                </c:pt>
                <c:pt idx="23">
                  <c:v>1.587391396538999E-2</c:v>
                </c:pt>
                <c:pt idx="24">
                  <c:v>1.587391396538999E-2</c:v>
                </c:pt>
                <c:pt idx="25">
                  <c:v>1.587391396538999E-2</c:v>
                </c:pt>
                <c:pt idx="26">
                  <c:v>1.587391396538999E-2</c:v>
                </c:pt>
                <c:pt idx="27">
                  <c:v>1.587391396538999E-2</c:v>
                </c:pt>
                <c:pt idx="28">
                  <c:v>1.587391396538999E-2</c:v>
                </c:pt>
                <c:pt idx="29">
                  <c:v>1.587391396538999E-2</c:v>
                </c:pt>
                <c:pt idx="30">
                  <c:v>1.587391396538999E-2</c:v>
                </c:pt>
                <c:pt idx="31">
                  <c:v>1.587391396538999E-2</c:v>
                </c:pt>
                <c:pt idx="32">
                  <c:v>1.587391396538999E-2</c:v>
                </c:pt>
                <c:pt idx="33">
                  <c:v>1.587391396538999E-2</c:v>
                </c:pt>
                <c:pt idx="34">
                  <c:v>1.587391396538999E-2</c:v>
                </c:pt>
                <c:pt idx="35">
                  <c:v>1.587391396538999E-2</c:v>
                </c:pt>
                <c:pt idx="36">
                  <c:v>1.4401159649115571E-2</c:v>
                </c:pt>
                <c:pt idx="37">
                  <c:v>1.4740775886035571E-2</c:v>
                </c:pt>
                <c:pt idx="38">
                  <c:v>1.1772021110216269E-2</c:v>
                </c:pt>
                <c:pt idx="39">
                  <c:v>1.5658329611188369E-2</c:v>
                </c:pt>
                <c:pt idx="40">
                  <c:v>1.2935792763443268E-2</c:v>
                </c:pt>
                <c:pt idx="41">
                  <c:v>1.8855509998495869E-2</c:v>
                </c:pt>
                <c:pt idx="42">
                  <c:v>1.8855509998495869E-2</c:v>
                </c:pt>
                <c:pt idx="43">
                  <c:v>1.9552208722987074E-2</c:v>
                </c:pt>
                <c:pt idx="44">
                  <c:v>1.7891225534057104E-2</c:v>
                </c:pt>
                <c:pt idx="45">
                  <c:v>1.7508716618674102E-2</c:v>
                </c:pt>
                <c:pt idx="46">
                  <c:v>2.1486196451915702E-2</c:v>
                </c:pt>
                <c:pt idx="47">
                  <c:v>2.1486196451915702E-2</c:v>
                </c:pt>
                <c:pt idx="48">
                  <c:v>2.6416899187429004E-2</c:v>
                </c:pt>
                <c:pt idx="49">
                  <c:v>2.6416899187429004E-2</c:v>
                </c:pt>
                <c:pt idx="50">
                  <c:v>2.6416899187429004E-2</c:v>
                </c:pt>
                <c:pt idx="51">
                  <c:v>2.6416899187429004E-2</c:v>
                </c:pt>
                <c:pt idx="52">
                  <c:v>2.6416899187429004E-2</c:v>
                </c:pt>
                <c:pt idx="53">
                  <c:v>2.6416899187429004E-2</c:v>
                </c:pt>
                <c:pt idx="54">
                  <c:v>2.6416899187429004E-2</c:v>
                </c:pt>
                <c:pt idx="55">
                  <c:v>2.6416899187429004E-2</c:v>
                </c:pt>
                <c:pt idx="56">
                  <c:v>2.6416899187429004E-2</c:v>
                </c:pt>
                <c:pt idx="57">
                  <c:v>2.6416899187429004E-2</c:v>
                </c:pt>
                <c:pt idx="58">
                  <c:v>2.6416899187429004E-2</c:v>
                </c:pt>
                <c:pt idx="59">
                  <c:v>2.6416899187429004E-2</c:v>
                </c:pt>
                <c:pt idx="60">
                  <c:v>2.6416899187429004E-2</c:v>
                </c:pt>
                <c:pt idx="61">
                  <c:v>2.6416899187429004E-2</c:v>
                </c:pt>
                <c:pt idx="62">
                  <c:v>2.6416899187429004E-2</c:v>
                </c:pt>
                <c:pt idx="63">
                  <c:v>2.6416899187429004E-2</c:v>
                </c:pt>
                <c:pt idx="64">
                  <c:v>2.6416899187429004E-2</c:v>
                </c:pt>
                <c:pt idx="65">
                  <c:v>2.6416899187429004E-2</c:v>
                </c:pt>
                <c:pt idx="66">
                  <c:v>2.6416899187429004E-2</c:v>
                </c:pt>
                <c:pt idx="67">
                  <c:v>2.6416899187429004E-2</c:v>
                </c:pt>
                <c:pt idx="68">
                  <c:v>2.6416899187429004E-2</c:v>
                </c:pt>
                <c:pt idx="69">
                  <c:v>2.6416899187429004E-2</c:v>
                </c:pt>
                <c:pt idx="70">
                  <c:v>2.6416899187429004E-2</c:v>
                </c:pt>
                <c:pt idx="71">
                  <c:v>3.0488203728687043E-2</c:v>
                </c:pt>
                <c:pt idx="72">
                  <c:v>3.0488203728687043E-2</c:v>
                </c:pt>
                <c:pt idx="73">
                  <c:v>3.0488203728687043E-2</c:v>
                </c:pt>
                <c:pt idx="74">
                  <c:v>3.6020403843083845E-2</c:v>
                </c:pt>
                <c:pt idx="75">
                  <c:v>3.5973988643644865E-2</c:v>
                </c:pt>
                <c:pt idx="76">
                  <c:v>3.3290705667925261E-2</c:v>
                </c:pt>
                <c:pt idx="77">
                  <c:v>3.0746396747844157E-2</c:v>
                </c:pt>
                <c:pt idx="78">
                  <c:v>3.5633334760495655E-2</c:v>
                </c:pt>
                <c:pt idx="79">
                  <c:v>3.6916875253966253E-2</c:v>
                </c:pt>
                <c:pt idx="80">
                  <c:v>3.6916875253966253E-2</c:v>
                </c:pt>
                <c:pt idx="81">
                  <c:v>3.6916875253966253E-2</c:v>
                </c:pt>
                <c:pt idx="82">
                  <c:v>3.6916875253966253E-2</c:v>
                </c:pt>
                <c:pt idx="83">
                  <c:v>3.6916875253966253E-2</c:v>
                </c:pt>
                <c:pt idx="84">
                  <c:v>3.6916875253966253E-2</c:v>
                </c:pt>
                <c:pt idx="85">
                  <c:v>3.6916875253966253E-2</c:v>
                </c:pt>
                <c:pt idx="86">
                  <c:v>3.6916875253966253E-2</c:v>
                </c:pt>
                <c:pt idx="87">
                  <c:v>3.6916875253966253E-2</c:v>
                </c:pt>
                <c:pt idx="88">
                  <c:v>3.6916875253966253E-2</c:v>
                </c:pt>
                <c:pt idx="89">
                  <c:v>3.6916875253966253E-2</c:v>
                </c:pt>
                <c:pt idx="90">
                  <c:v>3.6916875253966253E-2</c:v>
                </c:pt>
                <c:pt idx="91">
                  <c:v>3.6916875253966253E-2</c:v>
                </c:pt>
                <c:pt idx="92">
                  <c:v>3.6916875253966253E-2</c:v>
                </c:pt>
                <c:pt idx="93">
                  <c:v>3.6916875253966253E-2</c:v>
                </c:pt>
                <c:pt idx="94">
                  <c:v>3.6916875253966253E-2</c:v>
                </c:pt>
                <c:pt idx="95">
                  <c:v>3.6916875253966253E-2</c:v>
                </c:pt>
                <c:pt idx="96">
                  <c:v>3.6916875253966253E-2</c:v>
                </c:pt>
                <c:pt idx="97">
                  <c:v>3.6916875253966253E-2</c:v>
                </c:pt>
                <c:pt idx="98">
                  <c:v>3.6916875253966253E-2</c:v>
                </c:pt>
                <c:pt idx="99">
                  <c:v>3.6916875253966253E-2</c:v>
                </c:pt>
                <c:pt idx="100">
                  <c:v>3.6916875253966253E-2</c:v>
                </c:pt>
                <c:pt idx="101">
                  <c:v>3.6916875253966253E-2</c:v>
                </c:pt>
                <c:pt idx="102">
                  <c:v>3.6916875253966253E-2</c:v>
                </c:pt>
                <c:pt idx="103">
                  <c:v>3.6916875253966253E-2</c:v>
                </c:pt>
                <c:pt idx="104">
                  <c:v>3.6916875253966253E-2</c:v>
                </c:pt>
                <c:pt idx="105">
                  <c:v>3.931273809345695E-2</c:v>
                </c:pt>
                <c:pt idx="106">
                  <c:v>3.9578673848075049E-2</c:v>
                </c:pt>
                <c:pt idx="107">
                  <c:v>3.748948177442165E-2</c:v>
                </c:pt>
                <c:pt idx="108">
                  <c:v>3.5505799127113449E-2</c:v>
                </c:pt>
                <c:pt idx="109">
                  <c:v>4.089986912738855E-2</c:v>
                </c:pt>
                <c:pt idx="110">
                  <c:v>4.089986912738855E-2</c:v>
                </c:pt>
                <c:pt idx="111">
                  <c:v>4.1348563457330845E-2</c:v>
                </c:pt>
                <c:pt idx="112">
                  <c:v>4.2082143983758542E-2</c:v>
                </c:pt>
                <c:pt idx="113">
                  <c:v>4.2257146429092542E-2</c:v>
                </c:pt>
                <c:pt idx="114">
                  <c:v>4.033601462761844E-2</c:v>
                </c:pt>
                <c:pt idx="115">
                  <c:v>4.0760645888935437E-2</c:v>
                </c:pt>
                <c:pt idx="116">
                  <c:v>4.1889773010932836E-2</c:v>
                </c:pt>
                <c:pt idx="117">
                  <c:v>4.5046939237621639E-2</c:v>
                </c:pt>
                <c:pt idx="118">
                  <c:v>4.5046939237621639E-2</c:v>
                </c:pt>
                <c:pt idx="119">
                  <c:v>4.5046939237621639E-2</c:v>
                </c:pt>
                <c:pt idx="120">
                  <c:v>4.5046939237621639E-2</c:v>
                </c:pt>
                <c:pt idx="121">
                  <c:v>4.5046939237621639E-2</c:v>
                </c:pt>
                <c:pt idx="122">
                  <c:v>4.5046939237621639E-2</c:v>
                </c:pt>
                <c:pt idx="123">
                  <c:v>4.5046939237621639E-2</c:v>
                </c:pt>
                <c:pt idx="124">
                  <c:v>4.5046939237621639E-2</c:v>
                </c:pt>
                <c:pt idx="125">
                  <c:v>4.5046939237621639E-2</c:v>
                </c:pt>
                <c:pt idx="126">
                  <c:v>4.5046939237621639E-2</c:v>
                </c:pt>
                <c:pt idx="127">
                  <c:v>4.5046939237621639E-2</c:v>
                </c:pt>
                <c:pt idx="128">
                  <c:v>4.5046939237621639E-2</c:v>
                </c:pt>
                <c:pt idx="129">
                  <c:v>4.5046939237621639E-2</c:v>
                </c:pt>
                <c:pt idx="130">
                  <c:v>4.5046939237621639E-2</c:v>
                </c:pt>
                <c:pt idx="131">
                  <c:v>4.5046939237621639E-2</c:v>
                </c:pt>
                <c:pt idx="132">
                  <c:v>4.5046939237621639E-2</c:v>
                </c:pt>
                <c:pt idx="133">
                  <c:v>4.5046939237621639E-2</c:v>
                </c:pt>
                <c:pt idx="134">
                  <c:v>4.5046939237621639E-2</c:v>
                </c:pt>
                <c:pt idx="135">
                  <c:v>4.5046939237621639E-2</c:v>
                </c:pt>
                <c:pt idx="136">
                  <c:v>4.5046939237621639E-2</c:v>
                </c:pt>
                <c:pt idx="137">
                  <c:v>4.5046939237621639E-2</c:v>
                </c:pt>
                <c:pt idx="138">
                  <c:v>4.5046939237621639E-2</c:v>
                </c:pt>
                <c:pt idx="139">
                  <c:v>4.5046939237621639E-2</c:v>
                </c:pt>
                <c:pt idx="140">
                  <c:v>4.5046939237621639E-2</c:v>
                </c:pt>
                <c:pt idx="141">
                  <c:v>4.5046939237621639E-2</c:v>
                </c:pt>
                <c:pt idx="142">
                  <c:v>4.5046939237621639E-2</c:v>
                </c:pt>
                <c:pt idx="143">
                  <c:v>4.5046939237621639E-2</c:v>
                </c:pt>
                <c:pt idx="144">
                  <c:v>4.5046939237621639E-2</c:v>
                </c:pt>
                <c:pt idx="145">
                  <c:v>4.5046939237621639E-2</c:v>
                </c:pt>
                <c:pt idx="146">
                  <c:v>4.5046939237621639E-2</c:v>
                </c:pt>
                <c:pt idx="147">
                  <c:v>4.5046939237621639E-2</c:v>
                </c:pt>
                <c:pt idx="148">
                  <c:v>4.5046939237621639E-2</c:v>
                </c:pt>
                <c:pt idx="149">
                  <c:v>5.2627419342220226E-2</c:v>
                </c:pt>
                <c:pt idx="150">
                  <c:v>5.2627419342220226E-2</c:v>
                </c:pt>
                <c:pt idx="151">
                  <c:v>5.2627419342220226E-2</c:v>
                </c:pt>
                <c:pt idx="152">
                  <c:v>5.2627419342220226E-2</c:v>
                </c:pt>
                <c:pt idx="153">
                  <c:v>5.2627419342220226E-2</c:v>
                </c:pt>
                <c:pt idx="154">
                  <c:v>5.2627419342220226E-2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F-44BD-BABE-18D938F5F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-2.0360540285709917E-4</c:v>
                </c:pt>
                <c:pt idx="2">
                  <c:v>-2.7448401929563038E-3</c:v>
                </c:pt>
                <c:pt idx="3">
                  <c:v>2.9288608256073014E-3</c:v>
                </c:pt>
                <c:pt idx="4">
                  <c:v>1.1543309728944287E-2</c:v>
                </c:pt>
                <c:pt idx="5">
                  <c:v>1.5301034605346283E-2</c:v>
                </c:pt>
                <c:pt idx="6">
                  <c:v>5.1780483843852834E-3</c:v>
                </c:pt>
                <c:pt idx="7">
                  <c:v>7.5692454041195855E-3</c:v>
                </c:pt>
                <c:pt idx="8">
                  <c:v>1.2213625054087386E-2</c:v>
                </c:pt>
                <c:pt idx="9">
                  <c:v>9.9997103334392885E-3</c:v>
                </c:pt>
                <c:pt idx="10">
                  <c:v>1.7483475277141978E-2</c:v>
                </c:pt>
                <c:pt idx="11">
                  <c:v>1.7483475277141978E-2</c:v>
                </c:pt>
                <c:pt idx="12">
                  <c:v>1.823284637578158E-2</c:v>
                </c:pt>
                <c:pt idx="13">
                  <c:v>1.4719960277230385E-2</c:v>
                </c:pt>
                <c:pt idx="14">
                  <c:v>2.4619899114804982E-2</c:v>
                </c:pt>
                <c:pt idx="15">
                  <c:v>2.4619899114804982E-2</c:v>
                </c:pt>
                <c:pt idx="16">
                  <c:v>2.4619899114804982E-2</c:v>
                </c:pt>
                <c:pt idx="17">
                  <c:v>2.3388826695384762E-2</c:v>
                </c:pt>
                <c:pt idx="18">
                  <c:v>2.9451536772942859E-2</c:v>
                </c:pt>
                <c:pt idx="19">
                  <c:v>2.9451536772942859E-2</c:v>
                </c:pt>
                <c:pt idx="20">
                  <c:v>2.9451536772942859E-2</c:v>
                </c:pt>
                <c:pt idx="21">
                  <c:v>2.5910981579941362E-2</c:v>
                </c:pt>
                <c:pt idx="22">
                  <c:v>3.3782141009388561E-2</c:v>
                </c:pt>
                <c:pt idx="23">
                  <c:v>3.3782141009388561E-2</c:v>
                </c:pt>
                <c:pt idx="24">
                  <c:v>3.3782141009388561E-2</c:v>
                </c:pt>
                <c:pt idx="25">
                  <c:v>3.6380587225819563E-2</c:v>
                </c:pt>
                <c:pt idx="26">
                  <c:v>3.3997723720490265E-2</c:v>
                </c:pt>
                <c:pt idx="27">
                  <c:v>2.9346371504806696E-2</c:v>
                </c:pt>
                <c:pt idx="28">
                  <c:v>3.3836290190395447E-2</c:v>
                </c:pt>
                <c:pt idx="29">
                  <c:v>4.2802740053469346E-2</c:v>
                </c:pt>
                <c:pt idx="30">
                  <c:v>4.2802740053469346E-2</c:v>
                </c:pt>
                <c:pt idx="31">
                  <c:v>4.2802740053469346E-2</c:v>
                </c:pt>
                <c:pt idx="32">
                  <c:v>4.2802740053469346E-2</c:v>
                </c:pt>
                <c:pt idx="33">
                  <c:v>4.2802740053469346E-2</c:v>
                </c:pt>
                <c:pt idx="34">
                  <c:v>4.2802740053469346E-2</c:v>
                </c:pt>
                <c:pt idx="35">
                  <c:v>4.2802740053469346E-2</c:v>
                </c:pt>
                <c:pt idx="36">
                  <c:v>4.132998573719493E-2</c:v>
                </c:pt>
                <c:pt idx="37">
                  <c:v>4.1669601974114928E-2</c:v>
                </c:pt>
                <c:pt idx="38">
                  <c:v>3.8700847198295626E-2</c:v>
                </c:pt>
                <c:pt idx="39">
                  <c:v>4.2587155699267729E-2</c:v>
                </c:pt>
                <c:pt idx="40">
                  <c:v>3.9864618851522628E-2</c:v>
                </c:pt>
                <c:pt idx="41">
                  <c:v>4.5784336086575228E-2</c:v>
                </c:pt>
                <c:pt idx="42">
                  <c:v>4.5784336086575228E-2</c:v>
                </c:pt>
                <c:pt idx="43">
                  <c:v>4.6481034811066434E-2</c:v>
                </c:pt>
                <c:pt idx="44">
                  <c:v>4.4820051622136467E-2</c:v>
                </c:pt>
                <c:pt idx="45">
                  <c:v>4.4437542706753465E-2</c:v>
                </c:pt>
                <c:pt idx="46">
                  <c:v>4.8415022539995065E-2</c:v>
                </c:pt>
                <c:pt idx="47">
                  <c:v>4.8415022539995065E-2</c:v>
                </c:pt>
                <c:pt idx="48">
                  <c:v>5.3345725275508363E-2</c:v>
                </c:pt>
                <c:pt idx="49">
                  <c:v>5.3345725275508363E-2</c:v>
                </c:pt>
                <c:pt idx="50">
                  <c:v>5.3345725275508363E-2</c:v>
                </c:pt>
                <c:pt idx="51">
                  <c:v>5.3345725275508363E-2</c:v>
                </c:pt>
                <c:pt idx="52">
                  <c:v>5.2808317090928064E-2</c:v>
                </c:pt>
                <c:pt idx="53">
                  <c:v>5.8017691353526066E-2</c:v>
                </c:pt>
                <c:pt idx="54">
                  <c:v>5.8017691353526066E-2</c:v>
                </c:pt>
                <c:pt idx="55">
                  <c:v>5.7460943814422571E-2</c:v>
                </c:pt>
                <c:pt idx="56">
                  <c:v>6.1020368129490993E-2</c:v>
                </c:pt>
                <c:pt idx="57">
                  <c:v>5.6795498865996691E-2</c:v>
                </c:pt>
                <c:pt idx="58">
                  <c:v>5.6384553138860795E-2</c:v>
                </c:pt>
                <c:pt idx="59">
                  <c:v>5.7890475120563202E-2</c:v>
                </c:pt>
                <c:pt idx="60">
                  <c:v>5.6625021949646602E-2</c:v>
                </c:pt>
                <c:pt idx="61">
                  <c:v>5.5650913148742404E-2</c:v>
                </c:pt>
                <c:pt idx="62">
                  <c:v>5.8940389799141103E-2</c:v>
                </c:pt>
                <c:pt idx="63">
                  <c:v>6.2894514229615797E-2</c:v>
                </c:pt>
                <c:pt idx="64">
                  <c:v>6.2894514229615797E-2</c:v>
                </c:pt>
                <c:pt idx="65">
                  <c:v>6.2894514229615797E-2</c:v>
                </c:pt>
                <c:pt idx="66">
                  <c:v>6.2894514229615797E-2</c:v>
                </c:pt>
                <c:pt idx="67">
                  <c:v>6.2894514229615797E-2</c:v>
                </c:pt>
                <c:pt idx="68">
                  <c:v>6.2894514229615797E-2</c:v>
                </c:pt>
                <c:pt idx="69">
                  <c:v>6.2894514229615797E-2</c:v>
                </c:pt>
                <c:pt idx="70">
                  <c:v>6.2894514229615797E-2</c:v>
                </c:pt>
                <c:pt idx="71">
                  <c:v>6.6965818770873833E-2</c:v>
                </c:pt>
                <c:pt idx="72">
                  <c:v>6.6965818770873833E-2</c:v>
                </c:pt>
                <c:pt idx="73">
                  <c:v>6.6965818770873833E-2</c:v>
                </c:pt>
                <c:pt idx="74">
                  <c:v>7.2498018885270632E-2</c:v>
                </c:pt>
                <c:pt idx="75">
                  <c:v>7.2451603685831659E-2</c:v>
                </c:pt>
                <c:pt idx="76">
                  <c:v>6.9768320710112047E-2</c:v>
                </c:pt>
                <c:pt idx="77">
                  <c:v>6.7224011790030944E-2</c:v>
                </c:pt>
                <c:pt idx="78">
                  <c:v>7.2110949802682442E-2</c:v>
                </c:pt>
                <c:pt idx="79">
                  <c:v>7.3394490296153039E-2</c:v>
                </c:pt>
                <c:pt idx="80">
                  <c:v>7.3394490296153039E-2</c:v>
                </c:pt>
                <c:pt idx="81">
                  <c:v>7.3394490296153039E-2</c:v>
                </c:pt>
                <c:pt idx="82">
                  <c:v>7.3394490296153039E-2</c:v>
                </c:pt>
                <c:pt idx="83">
                  <c:v>7.8411979744960947E-2</c:v>
                </c:pt>
                <c:pt idx="84">
                  <c:v>7.8411979744960947E-2</c:v>
                </c:pt>
                <c:pt idx="85">
                  <c:v>7.8411979744960947E-2</c:v>
                </c:pt>
                <c:pt idx="86">
                  <c:v>7.8298939938205123E-2</c:v>
                </c:pt>
                <c:pt idx="87">
                  <c:v>7.8910637778554824E-2</c:v>
                </c:pt>
                <c:pt idx="88">
                  <c:v>7.9498700130109123E-2</c:v>
                </c:pt>
                <c:pt idx="89">
                  <c:v>7.9073303973529227E-2</c:v>
                </c:pt>
                <c:pt idx="90">
                  <c:v>7.8943915095075035E-2</c:v>
                </c:pt>
                <c:pt idx="91">
                  <c:v>8.0850153147575737E-2</c:v>
                </c:pt>
                <c:pt idx="92">
                  <c:v>8.0850153147575737E-2</c:v>
                </c:pt>
                <c:pt idx="93">
                  <c:v>8.0850153147575737E-2</c:v>
                </c:pt>
                <c:pt idx="94">
                  <c:v>8.0850153147575737E-2</c:v>
                </c:pt>
                <c:pt idx="95">
                  <c:v>8.0850153147575737E-2</c:v>
                </c:pt>
                <c:pt idx="96">
                  <c:v>8.0850153147575737E-2</c:v>
                </c:pt>
                <c:pt idx="97">
                  <c:v>8.0850153147575737E-2</c:v>
                </c:pt>
                <c:pt idx="98">
                  <c:v>8.0850153147575737E-2</c:v>
                </c:pt>
                <c:pt idx="99">
                  <c:v>8.0850153147575737E-2</c:v>
                </c:pt>
                <c:pt idx="100">
                  <c:v>8.0850153147575737E-2</c:v>
                </c:pt>
                <c:pt idx="101">
                  <c:v>8.6826995768348444E-2</c:v>
                </c:pt>
                <c:pt idx="102">
                  <c:v>9.4377152863957453E-2</c:v>
                </c:pt>
                <c:pt idx="103">
                  <c:v>9.4377152863957453E-2</c:v>
                </c:pt>
                <c:pt idx="104">
                  <c:v>9.4377152863957453E-2</c:v>
                </c:pt>
                <c:pt idx="105">
                  <c:v>9.6773015703448151E-2</c:v>
                </c:pt>
                <c:pt idx="106">
                  <c:v>9.703895145806625E-2</c:v>
                </c:pt>
                <c:pt idx="107">
                  <c:v>9.4949759384412857E-2</c:v>
                </c:pt>
                <c:pt idx="108">
                  <c:v>9.2966076737104664E-2</c:v>
                </c:pt>
                <c:pt idx="109">
                  <c:v>9.8360146737379764E-2</c:v>
                </c:pt>
                <c:pt idx="110">
                  <c:v>9.8360146737379764E-2</c:v>
                </c:pt>
                <c:pt idx="111">
                  <c:v>9.8808841067322059E-2</c:v>
                </c:pt>
                <c:pt idx="112">
                  <c:v>9.9542421593749764E-2</c:v>
                </c:pt>
                <c:pt idx="113">
                  <c:v>9.9717424039083763E-2</c:v>
                </c:pt>
                <c:pt idx="114">
                  <c:v>9.7796292237609661E-2</c:v>
                </c:pt>
                <c:pt idx="115">
                  <c:v>9.8220923498926666E-2</c:v>
                </c:pt>
                <c:pt idx="116">
                  <c:v>9.9350050620924071E-2</c:v>
                </c:pt>
                <c:pt idx="117">
                  <c:v>0.10250721684761287</c:v>
                </c:pt>
                <c:pt idx="118">
                  <c:v>0.10250721684761287</c:v>
                </c:pt>
                <c:pt idx="119">
                  <c:v>0.10250721684761287</c:v>
                </c:pt>
                <c:pt idx="120">
                  <c:v>0.10250721684761287</c:v>
                </c:pt>
                <c:pt idx="121">
                  <c:v>0.10250721684761287</c:v>
                </c:pt>
                <c:pt idx="122">
                  <c:v>0.10250721684761287</c:v>
                </c:pt>
                <c:pt idx="123">
                  <c:v>0.10250721684761287</c:v>
                </c:pt>
                <c:pt idx="124">
                  <c:v>0.10250721684761287</c:v>
                </c:pt>
                <c:pt idx="125">
                  <c:v>0.10250721684761287</c:v>
                </c:pt>
                <c:pt idx="126">
                  <c:v>0.10250721684761287</c:v>
                </c:pt>
                <c:pt idx="127">
                  <c:v>0.10250721684761287</c:v>
                </c:pt>
                <c:pt idx="128">
                  <c:v>0.10250721684761287</c:v>
                </c:pt>
                <c:pt idx="129">
                  <c:v>0.10250721684761287</c:v>
                </c:pt>
                <c:pt idx="130">
                  <c:v>9.9506375914537565E-2</c:v>
                </c:pt>
                <c:pt idx="131">
                  <c:v>0.10584274963676106</c:v>
                </c:pt>
                <c:pt idx="132">
                  <c:v>0.10543318932328076</c:v>
                </c:pt>
                <c:pt idx="133">
                  <c:v>0.11163471444651846</c:v>
                </c:pt>
                <c:pt idx="134">
                  <c:v>0.11163471444651846</c:v>
                </c:pt>
                <c:pt idx="135">
                  <c:v>0.11163471444651846</c:v>
                </c:pt>
                <c:pt idx="136">
                  <c:v>0.11163471444651846</c:v>
                </c:pt>
                <c:pt idx="137">
                  <c:v>0.11163471444651846</c:v>
                </c:pt>
                <c:pt idx="138">
                  <c:v>0.11163471444651846</c:v>
                </c:pt>
                <c:pt idx="139">
                  <c:v>0.11212093374099485</c:v>
                </c:pt>
                <c:pt idx="140">
                  <c:v>0.11392818988500804</c:v>
                </c:pt>
                <c:pt idx="141">
                  <c:v>0.11392818988500804</c:v>
                </c:pt>
                <c:pt idx="142">
                  <c:v>0.11392818988500804</c:v>
                </c:pt>
                <c:pt idx="143">
                  <c:v>0.11392818988500804</c:v>
                </c:pt>
                <c:pt idx="144">
                  <c:v>0.11392818988500804</c:v>
                </c:pt>
                <c:pt idx="145">
                  <c:v>0.11392818988500804</c:v>
                </c:pt>
                <c:pt idx="146">
                  <c:v>0.11392818988500804</c:v>
                </c:pt>
                <c:pt idx="147">
                  <c:v>0.11392818988500804</c:v>
                </c:pt>
                <c:pt idx="148">
                  <c:v>0.11392818988500804</c:v>
                </c:pt>
                <c:pt idx="149">
                  <c:v>0.12150866998960663</c:v>
                </c:pt>
                <c:pt idx="150">
                  <c:v>0.12150866998960663</c:v>
                </c:pt>
                <c:pt idx="151">
                  <c:v>0.12150866998960663</c:v>
                </c:pt>
                <c:pt idx="152">
                  <c:v>0.12150866998960663</c:v>
                </c:pt>
                <c:pt idx="153">
                  <c:v>0.12150866998960663</c:v>
                </c:pt>
                <c:pt idx="154">
                  <c:v>0.12150866998960663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A-4CA5-9503-A6E770FAE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021E5-D420-4BB4-8A6F-14BDD735C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7CE424-3CB3-4FA7-9B42-16EF17115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BC75E-32EB-42E2-A7C7-2C3BC3C27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6F5655-1D70-48D3-9F76-E7960D85B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6DD9FD-45C1-45B5-A1F4-921CCFDA30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8BCD55-96E1-414C-960F-68A73302C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5AF2DB-6061-4CAF-A506-A31115BD1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A594-59B2-43FC-ABC2-1266850EFD0D}">
  <dimension ref="A1:DZ179"/>
  <sheetViews>
    <sheetView tabSelected="1" topLeftCell="AF1" workbookViewId="0">
      <selection activeCell="AO5" sqref="AO5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4" width="12.28515625" style="15" bestFit="1" customWidth="1"/>
    <col min="5" max="5" width="11.7109375" style="15" bestFit="1" customWidth="1"/>
    <col min="6" max="6" width="10.7109375" style="33" bestFit="1" customWidth="1"/>
    <col min="7" max="7" width="19.140625" style="33" bestFit="1" customWidth="1"/>
    <col min="8" max="8" width="10.140625" style="33" bestFit="1" customWidth="1"/>
    <col min="9" max="9" width="18.5703125" style="33" bestFit="1" customWidth="1"/>
    <col min="10" max="10" width="21.85546875" style="33" bestFit="1" customWidth="1"/>
    <col min="11" max="11" width="21.140625" style="33" bestFit="1" customWidth="1"/>
    <col min="12" max="13" width="10" style="33" bestFit="1" customWidth="1"/>
    <col min="14" max="14" width="12.85546875" style="34" bestFit="1" customWidth="1"/>
    <col min="15" max="15" width="16.42578125" style="34" bestFit="1" customWidth="1"/>
    <col min="16" max="17" width="19.85546875" style="34" bestFit="1" customWidth="1"/>
    <col min="18" max="18" width="12.42578125" style="33" bestFit="1" customWidth="1"/>
    <col min="19" max="20" width="15.85546875" style="33" bestFit="1" customWidth="1"/>
    <col min="21" max="21" width="24.28515625" style="15" bestFit="1" customWidth="1"/>
    <col min="22" max="23" width="27.7109375" style="15" bestFit="1" customWidth="1"/>
    <col min="24" max="24" width="15" style="34" bestFit="1" customWidth="1"/>
    <col min="25" max="25" width="18.5703125" style="34" bestFit="1" customWidth="1"/>
    <col min="26" max="27" width="22" style="34" bestFit="1" customWidth="1"/>
    <col min="28" max="28" width="13.5703125" style="33" bestFit="1" customWidth="1"/>
    <col min="29" max="30" width="16.85546875" style="33" bestFit="1" customWidth="1"/>
    <col min="31" max="31" width="26.42578125" style="15" bestFit="1" customWidth="1"/>
    <col min="32" max="33" width="29.855468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2.28515625" style="15" bestFit="1" customWidth="1"/>
    <col min="42" max="42" width="11.7109375" style="15" bestFit="1" customWidth="1"/>
    <col min="43" max="43" width="7.5703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2.28515625" style="15" bestFit="1" customWidth="1"/>
    <col min="53" max="53" width="11.7109375" style="15" bestFit="1" customWidth="1"/>
    <col min="54" max="54" width="7.5703125" style="15" bestFit="1" customWidth="1"/>
    <col min="55" max="55" width="8.7109375" style="15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3.1725883295772914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3.0383041111262434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5.07</v>
      </c>
      <c r="C2" s="33">
        <v>5.29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5.07</v>
      </c>
      <c r="M2" s="33">
        <v>5.29</v>
      </c>
      <c r="N2" s="34">
        <v>1.04339250493096</v>
      </c>
      <c r="O2" s="34">
        <v>1.0269470164915</v>
      </c>
      <c r="X2" s="34">
        <v>1.04339250493096</v>
      </c>
      <c r="Y2" s="34">
        <v>1.0269470164915</v>
      </c>
      <c r="AI2" s="4">
        <v>0</v>
      </c>
      <c r="AJ2" s="10">
        <f t="dataTable" ref="AJ2:AQ9" dt2D="1" dtr="1" r1="AI21" r2="AI22"/>
        <v>2.2687889244519388</v>
      </c>
      <c r="AK2" s="10">
        <v>2.4758725381500706</v>
      </c>
      <c r="AL2" s="10">
        <v>2.3120156097146527</v>
      </c>
      <c r="AM2" s="10">
        <v>2.1278526951372769</v>
      </c>
      <c r="AN2" s="10">
        <v>1.6655443540951005</v>
      </c>
      <c r="AO2" s="10">
        <v>1.6789188816219154</v>
      </c>
      <c r="AP2" s="10">
        <v>1.7435500186903914</v>
      </c>
      <c r="AQ2" s="10">
        <v>2.2572123817526455</v>
      </c>
      <c r="AR2"/>
      <c r="AT2" s="4">
        <v>0</v>
      </c>
      <c r="AU2" s="10">
        <f t="dataTable" ref="AU2:BB9" dt2D="1" dtr="1" r1="AT21" r2="AT22"/>
        <v>2.5132816170582601</v>
      </c>
      <c r="AV2" s="11">
        <v>2.5674491662467882</v>
      </c>
      <c r="AW2" s="11">
        <v>2.2987256852095848</v>
      </c>
      <c r="AX2" s="11">
        <v>2.1875852596152296</v>
      </c>
      <c r="AY2" s="11">
        <v>1.9057274397212038</v>
      </c>
      <c r="AZ2" s="11">
        <v>1.7340634141860987</v>
      </c>
      <c r="BA2" s="11">
        <v>1.9903674358302625</v>
      </c>
      <c r="BB2" s="11">
        <v>2.1293189890425728</v>
      </c>
      <c r="BC2"/>
    </row>
    <row r="3" spans="1:130" x14ac:dyDescent="0.25">
      <c r="A3" s="1">
        <v>46027</v>
      </c>
      <c r="B3" s="33">
        <v>5.16</v>
      </c>
      <c r="C3" s="33">
        <v>5.42</v>
      </c>
      <c r="D3" s="15">
        <v>1.75957618903794E-2</v>
      </c>
      <c r="E3" s="15">
        <v>2.4277569581346799E-2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5.16</v>
      </c>
      <c r="M3" s="33">
        <v>5.42</v>
      </c>
      <c r="N3" s="34">
        <v>1.05038759689922</v>
      </c>
      <c r="O3" s="34">
        <v>1.0269470164915</v>
      </c>
      <c r="R3" s="33">
        <v>5.2990466050961702</v>
      </c>
      <c r="U3" s="15">
        <v>-2.25688969057866E-2</v>
      </c>
      <c r="X3" s="34">
        <v>1.05038759689922</v>
      </c>
      <c r="Y3" s="34">
        <v>1.0269470164915</v>
      </c>
      <c r="AB3" s="33">
        <v>5.2990466050961702</v>
      </c>
      <c r="AE3" s="15">
        <v>-2.25688969057866E-2</v>
      </c>
      <c r="AI3" s="4">
        <f t="shared" ref="AI3:AI9" si="2">AI2-AK$12</f>
        <v>-1E-3</v>
      </c>
      <c r="AJ3" s="10">
        <v>2.2687889244519388</v>
      </c>
      <c r="AK3" s="10">
        <v>2.9215125536402518</v>
      </c>
      <c r="AL3" s="10">
        <v>2.7557437602293255</v>
      </c>
      <c r="AM3" s="10">
        <v>2.5510806633985625</v>
      </c>
      <c r="AN3" s="10">
        <v>2.1031950261343137</v>
      </c>
      <c r="AO3" s="11">
        <v>2.1172683971919835</v>
      </c>
      <c r="AP3" s="10">
        <v>1.7435500186903914</v>
      </c>
      <c r="AQ3" s="10">
        <v>2.2572123817526455</v>
      </c>
      <c r="AR3"/>
      <c r="AT3" s="4">
        <f>AT2+AV$12</f>
        <v>1E-3</v>
      </c>
      <c r="AU3" s="10">
        <v>2.5132816170582601</v>
      </c>
      <c r="AV3" s="11">
        <v>3.1736868167594268</v>
      </c>
      <c r="AW3" s="11">
        <v>3.032940620923549</v>
      </c>
      <c r="AX3" s="11">
        <v>2.7938616653764536</v>
      </c>
      <c r="AY3" s="11">
        <v>2.2233884673415401</v>
      </c>
      <c r="AZ3" s="11">
        <v>2.0829216139014886</v>
      </c>
      <c r="BA3" s="11">
        <v>2.3551431027318603</v>
      </c>
      <c r="BB3" s="11">
        <v>2.4639240686112056</v>
      </c>
      <c r="BC3"/>
    </row>
    <row r="4" spans="1:130" x14ac:dyDescent="0.25">
      <c r="A4" s="1">
        <v>46028</v>
      </c>
      <c r="B4" s="33">
        <v>5.43</v>
      </c>
      <c r="C4" s="33">
        <v>5.69</v>
      </c>
      <c r="D4" s="15">
        <v>5.1002554452372499E-2</v>
      </c>
      <c r="E4" s="15">
        <v>4.8614432686684798E-2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5.43</v>
      </c>
      <c r="M4" s="33">
        <v>5.69</v>
      </c>
      <c r="N4" s="34">
        <v>1.04788213627992</v>
      </c>
      <c r="O4" s="34">
        <v>1.0269470164915</v>
      </c>
      <c r="R4" s="33">
        <v>5.5763222995488704</v>
      </c>
      <c r="U4" s="15">
        <v>-2.0180775140098899E-2</v>
      </c>
      <c r="X4" s="34">
        <v>1.04788213627992</v>
      </c>
      <c r="Y4" s="34">
        <v>1.0269470164915</v>
      </c>
      <c r="AB4" s="33">
        <v>5.5763222995488704</v>
      </c>
      <c r="AE4" s="15">
        <v>-2.0180775140098899E-2</v>
      </c>
      <c r="AG4"/>
      <c r="AI4" s="4">
        <f t="shared" si="2"/>
        <v>-2E-3</v>
      </c>
      <c r="AJ4" s="10">
        <v>2.2687889244519388</v>
      </c>
      <c r="AK4" s="11">
        <v>2.9215125536402518</v>
      </c>
      <c r="AL4" s="11">
        <v>3.1376311395648799</v>
      </c>
      <c r="AM4" s="11">
        <v>3.4268006902016666</v>
      </c>
      <c r="AN4" s="10">
        <v>3.0240262981649253</v>
      </c>
      <c r="AO4" s="11">
        <v>3.0395552881798116</v>
      </c>
      <c r="AP4" s="11">
        <v>2.654533584984879</v>
      </c>
      <c r="AQ4" s="11">
        <v>3.5879895810225197</v>
      </c>
      <c r="AR4"/>
      <c r="AT4" s="4">
        <f t="shared" ref="AT4:AT9" si="3">AT3+AV$12</f>
        <v>2E-3</v>
      </c>
      <c r="AU4" s="10">
        <v>2.5132816170582601</v>
      </c>
      <c r="AV4" s="11">
        <v>3.1736868167594268</v>
      </c>
      <c r="AW4" s="11">
        <v>3.526180336550683</v>
      </c>
      <c r="AX4" s="11">
        <v>3.0300520105621618</v>
      </c>
      <c r="AY4" s="11">
        <v>2.4989745194026503</v>
      </c>
      <c r="AZ4" s="11">
        <v>1.9760921778716261</v>
      </c>
      <c r="BA4" s="11">
        <v>2.0492118740191172</v>
      </c>
      <c r="BB4" s="11">
        <v>2.1033911442395827</v>
      </c>
      <c r="BC4"/>
      <c r="BE4" s="8"/>
      <c r="BF4" s="8"/>
    </row>
    <row r="5" spans="1:130" x14ac:dyDescent="0.25">
      <c r="A5" s="1">
        <v>46029</v>
      </c>
      <c r="B5" s="33">
        <v>5.49</v>
      </c>
      <c r="C5" s="33">
        <v>5.72</v>
      </c>
      <c r="D5" s="15">
        <v>1.09891215755953E-2</v>
      </c>
      <c r="E5" s="15">
        <v>5.2585572534668296E-3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5.49</v>
      </c>
      <c r="M5" s="33">
        <v>5.72</v>
      </c>
      <c r="N5" s="34">
        <v>1.04189435336976</v>
      </c>
      <c r="O5" s="34">
        <v>1.0269470164915</v>
      </c>
      <c r="R5" s="33">
        <v>5.63793912053836</v>
      </c>
      <c r="U5" s="15">
        <v>-1.44502108179704E-2</v>
      </c>
      <c r="X5" s="34">
        <v>1.04189435336976</v>
      </c>
      <c r="Y5" s="34">
        <v>1.0269470164915</v>
      </c>
      <c r="AB5" s="33">
        <v>5.63793912053836</v>
      </c>
      <c r="AE5" s="15">
        <v>-1.44502108179704E-2</v>
      </c>
      <c r="AG5" s="29"/>
      <c r="AI5" s="4">
        <f t="shared" si="2"/>
        <v>-3.0000000000000001E-3</v>
      </c>
      <c r="AJ5" s="10">
        <v>2.2687889244519388</v>
      </c>
      <c r="AK5" s="11">
        <v>2.9215125536402518</v>
      </c>
      <c r="AL5" s="11">
        <v>3.1376311395648799</v>
      </c>
      <c r="AM5" s="11">
        <v>3.5604659451097374</v>
      </c>
      <c r="AN5" s="11">
        <v>3.1655940191036978</v>
      </c>
      <c r="AO5" s="11">
        <v>3.1725883295772914</v>
      </c>
      <c r="AP5" s="10">
        <v>2.7907114428063529</v>
      </c>
      <c r="AQ5" s="11">
        <v>3.7846426592839491</v>
      </c>
      <c r="AR5"/>
      <c r="AT5" s="4">
        <f t="shared" si="3"/>
        <v>3.0000000000000001E-3</v>
      </c>
      <c r="AU5" s="10">
        <v>2.5132816170582601</v>
      </c>
      <c r="AV5" s="11">
        <v>3.1736868167594268</v>
      </c>
      <c r="AW5" s="11">
        <v>3.526180336550683</v>
      </c>
      <c r="AX5" s="11">
        <v>3.4776855408470597</v>
      </c>
      <c r="AY5" s="11">
        <v>2.9432518963328129</v>
      </c>
      <c r="AZ5" s="11">
        <v>3.0383041111262434</v>
      </c>
      <c r="BA5" s="11">
        <v>3.1736955577333279</v>
      </c>
      <c r="BB5" s="11">
        <v>3.278823586278524</v>
      </c>
      <c r="BC5"/>
    </row>
    <row r="6" spans="1:130" x14ac:dyDescent="0.25">
      <c r="A6" s="1">
        <v>46030</v>
      </c>
      <c r="B6" s="33">
        <v>5.8</v>
      </c>
      <c r="C6" s="33">
        <v>6</v>
      </c>
      <c r="D6" s="15">
        <v>5.4929662030934301E-2</v>
      </c>
      <c r="E6" s="15">
        <v>4.7790663836348397E-2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5.8</v>
      </c>
      <c r="M6" s="33">
        <v>6</v>
      </c>
      <c r="N6" s="34">
        <v>1.03448275862068</v>
      </c>
      <c r="O6" s="34">
        <v>1.0269470164915</v>
      </c>
      <c r="R6" s="33">
        <v>5.9562926956507303</v>
      </c>
      <c r="U6" s="15">
        <v>-7.3112126233846999E-3</v>
      </c>
      <c r="X6" s="34">
        <v>1.03448275862068</v>
      </c>
      <c r="Y6" s="34">
        <v>1.0269470164915</v>
      </c>
      <c r="AB6" s="33">
        <v>5.9562926956507303</v>
      </c>
      <c r="AE6" s="15">
        <v>-7.3112126233846999E-3</v>
      </c>
      <c r="AG6" s="29"/>
      <c r="AI6" s="4">
        <f t="shared" si="2"/>
        <v>-4.0000000000000001E-3</v>
      </c>
      <c r="AJ6" s="10">
        <v>2.2687889244519388</v>
      </c>
      <c r="AK6" s="11">
        <v>2.9215125536402518</v>
      </c>
      <c r="AL6" s="11">
        <v>3.1376311395648799</v>
      </c>
      <c r="AM6" s="11">
        <v>3.5604659451097374</v>
      </c>
      <c r="AN6" s="11">
        <v>3.8297504795304644</v>
      </c>
      <c r="AO6" s="11">
        <v>3.7479580905644267</v>
      </c>
      <c r="AP6" s="11">
        <v>3.3410560009682442</v>
      </c>
      <c r="AQ6" s="11">
        <v>3.5803220622044822</v>
      </c>
      <c r="AR6"/>
      <c r="AT6" s="4">
        <f t="shared" si="3"/>
        <v>4.0000000000000001E-3</v>
      </c>
      <c r="AU6" s="10">
        <v>2.5132816170582601</v>
      </c>
      <c r="AV6" s="11">
        <v>3.1736868167594268</v>
      </c>
      <c r="AW6" s="11">
        <v>3.526180336550683</v>
      </c>
      <c r="AX6" s="11">
        <v>3.4776855408470597</v>
      </c>
      <c r="AY6" s="11">
        <v>2.8229299287136134</v>
      </c>
      <c r="AZ6" s="11">
        <v>2.9450139069554155</v>
      </c>
      <c r="BA6" s="11">
        <v>3.1029746040037476</v>
      </c>
      <c r="BB6" s="11">
        <v>2.9622055705351085</v>
      </c>
      <c r="BC6"/>
    </row>
    <row r="7" spans="1:130" x14ac:dyDescent="0.25">
      <c r="A7" s="1">
        <v>46031</v>
      </c>
      <c r="B7" s="33">
        <v>5.46</v>
      </c>
      <c r="C7" s="33">
        <v>5.64</v>
      </c>
      <c r="D7" s="15">
        <v>-6.0409127795559903E-2</v>
      </c>
      <c r="E7" s="15">
        <v>-6.1875403718087502E-2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5.46</v>
      </c>
      <c r="M7" s="33">
        <v>5.64</v>
      </c>
      <c r="N7" s="34">
        <v>1.03296703296703</v>
      </c>
      <c r="O7" s="34">
        <v>1.0269470164915</v>
      </c>
      <c r="R7" s="33">
        <v>5.6071307100436201</v>
      </c>
      <c r="U7" s="15">
        <v>-5.8449367008569604E-3</v>
      </c>
      <c r="X7" s="34">
        <v>1.03296703296703</v>
      </c>
      <c r="Y7" s="34">
        <v>1.0269470164915</v>
      </c>
      <c r="AB7" s="33">
        <v>5.6071307100436201</v>
      </c>
      <c r="AE7" s="15">
        <v>-5.8449367008569604E-3</v>
      </c>
      <c r="AG7"/>
      <c r="AI7" s="4">
        <f t="shared" si="2"/>
        <v>-5.0000000000000001E-3</v>
      </c>
      <c r="AJ7" s="10">
        <v>2.2687889244519388</v>
      </c>
      <c r="AK7" s="11">
        <v>2.9215125536402518</v>
      </c>
      <c r="AL7" s="11">
        <v>3.1376311395648799</v>
      </c>
      <c r="AM7" s="11">
        <v>3.5604659451097374</v>
      </c>
      <c r="AN7" s="11">
        <v>3.8297504795304644</v>
      </c>
      <c r="AO7" s="11">
        <v>3.2952520342041329</v>
      </c>
      <c r="AP7" s="11">
        <v>3.0543460959707542</v>
      </c>
      <c r="AQ7" s="11">
        <v>3.1325204418818702</v>
      </c>
      <c r="AR7"/>
      <c r="AT7" s="4">
        <f t="shared" si="3"/>
        <v>5.0000000000000001E-3</v>
      </c>
      <c r="AU7" s="10">
        <v>2.5132816170582601</v>
      </c>
      <c r="AV7" s="11">
        <v>3.1736868167594268</v>
      </c>
      <c r="AW7" s="11">
        <v>3.526180336550683</v>
      </c>
      <c r="AX7" s="11">
        <v>3.4776855408470597</v>
      </c>
      <c r="AY7" s="11">
        <v>2.8229299287136134</v>
      </c>
      <c r="AZ7" s="11">
        <v>2.8484075726539739</v>
      </c>
      <c r="BA7" s="11">
        <v>3.0074081787027169</v>
      </c>
      <c r="BB7" s="11">
        <v>3.0343500572007325</v>
      </c>
      <c r="BC7"/>
    </row>
    <row r="8" spans="1:130" x14ac:dyDescent="0.25">
      <c r="A8" s="1">
        <v>46034</v>
      </c>
      <c r="B8" s="33">
        <v>5.4</v>
      </c>
      <c r="C8" s="33">
        <v>5.59</v>
      </c>
      <c r="D8" s="15">
        <v>-1.1049836186584901E-2</v>
      </c>
      <c r="E8" s="15">
        <v>-8.90477834295972E-3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5.4</v>
      </c>
      <c r="M8" s="33">
        <v>5.59</v>
      </c>
      <c r="N8" s="34">
        <v>1.0351851851851801</v>
      </c>
      <c r="O8" s="34">
        <v>1.0269470164915</v>
      </c>
      <c r="R8" s="33">
        <v>5.5455138890541296</v>
      </c>
      <c r="U8" s="15">
        <v>-7.9899945444822998E-3</v>
      </c>
      <c r="X8" s="34">
        <v>1.0351851851851801</v>
      </c>
      <c r="Y8" s="34">
        <v>1.0269470164915</v>
      </c>
      <c r="AB8" s="33">
        <v>5.5455138890541296</v>
      </c>
      <c r="AE8" s="15">
        <v>-7.9899945444822998E-3</v>
      </c>
      <c r="AG8"/>
      <c r="AI8" s="4">
        <f t="shared" si="2"/>
        <v>-6.0000000000000001E-3</v>
      </c>
      <c r="AJ8" s="10">
        <v>2.2687889244519388</v>
      </c>
      <c r="AK8" s="11">
        <v>2.9215125536402518</v>
      </c>
      <c r="AL8" s="11">
        <v>3.1376311395648799</v>
      </c>
      <c r="AM8" s="11">
        <v>3.5604659451097374</v>
      </c>
      <c r="AN8" s="11">
        <v>3.8297504795304644</v>
      </c>
      <c r="AO8" s="11">
        <v>3.2952520342041329</v>
      </c>
      <c r="AP8" s="11">
        <v>3.6145443048952872</v>
      </c>
      <c r="AQ8" s="11">
        <v>3.4780314032999029</v>
      </c>
      <c r="AR8"/>
      <c r="AT8" s="4">
        <f t="shared" si="3"/>
        <v>6.0000000000000001E-3</v>
      </c>
      <c r="AU8" s="10">
        <v>2.5132816170582601</v>
      </c>
      <c r="AV8" s="11">
        <v>3.1736868167594268</v>
      </c>
      <c r="AW8" s="11">
        <v>3.526180336550683</v>
      </c>
      <c r="AX8" s="11">
        <v>3.4776855408470597</v>
      </c>
      <c r="AY8" s="11">
        <v>2.8229299287136134</v>
      </c>
      <c r="AZ8" s="11">
        <v>2.8484075726539739</v>
      </c>
      <c r="BA8" s="11">
        <v>3.5297472900321178</v>
      </c>
      <c r="BB8" s="11">
        <v>3.1840361135024153</v>
      </c>
      <c r="BC8"/>
    </row>
    <row r="9" spans="1:130" x14ac:dyDescent="0.25">
      <c r="A9" s="1">
        <v>46035</v>
      </c>
      <c r="B9" s="33">
        <v>5.45</v>
      </c>
      <c r="C9" s="33">
        <v>5.61</v>
      </c>
      <c r="D9" s="15">
        <v>9.2166551049240406E-3</v>
      </c>
      <c r="E9" s="15">
        <v>3.57143236759717E-3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5.45</v>
      </c>
      <c r="M9" s="33">
        <v>5.61</v>
      </c>
      <c r="N9" s="34">
        <v>1.0293577981651301</v>
      </c>
      <c r="O9" s="34">
        <v>1.0269470164915</v>
      </c>
      <c r="R9" s="33">
        <v>5.5968612398786997</v>
      </c>
      <c r="U9" s="15">
        <v>-2.3447718071554998E-3</v>
      </c>
      <c r="X9" s="34">
        <v>1.0293577981651301</v>
      </c>
      <c r="Y9" s="34">
        <v>1.0269470164915</v>
      </c>
      <c r="AB9" s="33">
        <v>5.5968612398786997</v>
      </c>
      <c r="AE9" s="15">
        <v>-2.3447718071554998E-3</v>
      </c>
      <c r="AF9"/>
      <c r="AI9" s="4">
        <f t="shared" si="2"/>
        <v>-7.0000000000000001E-3</v>
      </c>
      <c r="AJ9" s="10">
        <v>2.2687889244519388</v>
      </c>
      <c r="AK9" s="11">
        <v>2.9215125536402518</v>
      </c>
      <c r="AL9" s="11">
        <v>3.1376311395648799</v>
      </c>
      <c r="AM9" s="11">
        <v>3.5604659451097374</v>
      </c>
      <c r="AN9" s="11">
        <v>3.8297504795304644</v>
      </c>
      <c r="AO9" s="11">
        <v>3.2952520342041329</v>
      </c>
      <c r="AP9" s="11">
        <v>3.6145443048952872</v>
      </c>
      <c r="AQ9" s="11">
        <v>3.5123877344765808</v>
      </c>
      <c r="AR9"/>
      <c r="AT9" s="4">
        <f t="shared" si="3"/>
        <v>7.0000000000000001E-3</v>
      </c>
      <c r="AU9" s="10">
        <v>2.5132816170582601</v>
      </c>
      <c r="AV9" s="10">
        <v>3.1736868167594268</v>
      </c>
      <c r="AW9" s="10">
        <v>3.526180336550683</v>
      </c>
      <c r="AX9" s="10">
        <v>3.4776855408470597</v>
      </c>
      <c r="AY9" s="10">
        <v>2.8229299287136134</v>
      </c>
      <c r="AZ9" s="10">
        <v>2.8484075726539739</v>
      </c>
      <c r="BA9" s="10">
        <v>3.5297472900321178</v>
      </c>
      <c r="BB9" s="10">
        <v>3.3469665899872343</v>
      </c>
      <c r="BC9"/>
    </row>
    <row r="10" spans="1:130" x14ac:dyDescent="0.25">
      <c r="A10" s="1">
        <v>46036</v>
      </c>
      <c r="B10" s="33">
        <v>5.6</v>
      </c>
      <c r="C10" s="33">
        <v>5.8</v>
      </c>
      <c r="D10" s="15">
        <v>2.71509890659506E-2</v>
      </c>
      <c r="E10" s="15">
        <v>3.3307198017768498E-2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5.6</v>
      </c>
      <c r="M10" s="33">
        <v>5.8</v>
      </c>
      <c r="N10" s="34">
        <v>1.03571428571428</v>
      </c>
      <c r="O10" s="34">
        <v>1.0269470164915</v>
      </c>
      <c r="R10" s="33">
        <v>5.7509032923524304</v>
      </c>
      <c r="U10" s="15">
        <v>-8.5009807589733494E-3</v>
      </c>
      <c r="X10" s="34">
        <v>1.03571428571428</v>
      </c>
      <c r="Y10" s="34">
        <v>1.0269470164915</v>
      </c>
      <c r="AB10" s="33">
        <v>5.7509032923524304</v>
      </c>
      <c r="AE10" s="15">
        <v>-8.5009807589733494E-3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5.58</v>
      </c>
      <c r="C11" s="33">
        <v>5.76</v>
      </c>
      <c r="D11" s="15">
        <v>-3.5778213478838499E-3</v>
      </c>
      <c r="E11" s="15">
        <v>-6.92044284457379E-3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5.58</v>
      </c>
      <c r="M11" s="33">
        <v>5.76</v>
      </c>
      <c r="N11" s="34">
        <v>1.0322580645161199</v>
      </c>
      <c r="O11" s="34">
        <v>1.0269470164915</v>
      </c>
      <c r="P11" s="34">
        <v>1.0383521716648301</v>
      </c>
      <c r="R11" s="33">
        <v>5.7303643520226002</v>
      </c>
      <c r="U11" s="15">
        <v>-5.1583592622834896E-3</v>
      </c>
      <c r="X11" s="34">
        <v>1.0322580645161199</v>
      </c>
      <c r="Y11" s="34">
        <v>1.0269470164915</v>
      </c>
      <c r="Z11" s="34">
        <v>1.0383521716648301</v>
      </c>
      <c r="AB11" s="33">
        <v>5.7303643520226002</v>
      </c>
      <c r="AE11" s="15">
        <v>-5.1583592622834896E-3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5.69</v>
      </c>
      <c r="C12" s="33">
        <v>5.78</v>
      </c>
      <c r="D12" s="15">
        <v>1.95214717450201E-2</v>
      </c>
      <c r="E12" s="15">
        <v>3.46620797648632E-3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5.69</v>
      </c>
      <c r="M12" s="33">
        <v>5.78</v>
      </c>
      <c r="N12" s="34">
        <v>1.01581722319859</v>
      </c>
      <c r="O12" s="34">
        <v>1.0269470164915</v>
      </c>
      <c r="P12" s="34">
        <v>1.0355946434915899</v>
      </c>
      <c r="R12" s="33">
        <v>5.8433285238366599</v>
      </c>
      <c r="S12" s="33">
        <v>5.9082238567729002</v>
      </c>
      <c r="U12" s="15">
        <v>1.08969045062502E-2</v>
      </c>
      <c r="V12" s="15">
        <v>2.1941571716058501E-2</v>
      </c>
      <c r="X12" s="34">
        <v>1.01581722319859</v>
      </c>
      <c r="Y12" s="34">
        <v>1.0269470164915</v>
      </c>
      <c r="Z12" s="34">
        <v>1.0355946434915899</v>
      </c>
      <c r="AB12" s="33">
        <v>5.8433285238366599</v>
      </c>
      <c r="AC12" s="33">
        <v>5.9082238567729002</v>
      </c>
      <c r="AE12" s="15">
        <v>1.08969045062502E-2</v>
      </c>
      <c r="AF12" s="15">
        <v>2.1941571716058501E-2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5.63</v>
      </c>
      <c r="C13" s="33">
        <v>5.74</v>
      </c>
      <c r="D13" s="15">
        <v>-1.06008059866405E-2</v>
      </c>
      <c r="E13" s="15">
        <v>-6.9444723528110401E-3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5.63</v>
      </c>
      <c r="M13" s="33">
        <v>5.74</v>
      </c>
      <c r="N13" s="34">
        <v>1.01953818827708</v>
      </c>
      <c r="O13" s="34">
        <v>1.0269470164915</v>
      </c>
      <c r="P13" s="34">
        <v>1.0325097026293799</v>
      </c>
      <c r="R13" s="33">
        <v>5.7817117028471703</v>
      </c>
      <c r="S13" s="33">
        <v>5.8303978428576899</v>
      </c>
      <c r="U13" s="15">
        <v>7.2405708724207199E-3</v>
      </c>
      <c r="V13" s="15">
        <v>1.5626028330031301E-2</v>
      </c>
      <c r="X13" s="34">
        <v>1.01953818827708</v>
      </c>
      <c r="Y13" s="34">
        <v>1.0269470164915</v>
      </c>
      <c r="Z13" s="34">
        <v>1.0325097026293799</v>
      </c>
      <c r="AB13" s="33">
        <v>5.7817117028471703</v>
      </c>
      <c r="AC13" s="33">
        <v>5.8303978428576899</v>
      </c>
      <c r="AE13" s="15">
        <v>7.2405708724207199E-3</v>
      </c>
      <c r="AF13" s="15">
        <v>1.5626028330031301E-2</v>
      </c>
    </row>
    <row r="14" spans="1:130" x14ac:dyDescent="0.25">
      <c r="A14" s="1">
        <v>46043</v>
      </c>
      <c r="B14" s="33">
        <v>6.09</v>
      </c>
      <c r="C14" s="33">
        <v>6.18</v>
      </c>
      <c r="D14" s="15">
        <v>7.85386395702065E-2</v>
      </c>
      <c r="E14" s="15">
        <v>7.3859061138124099E-2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6.09</v>
      </c>
      <c r="M14" s="33">
        <v>6.18</v>
      </c>
      <c r="N14" s="34">
        <v>1.0147783251231499</v>
      </c>
      <c r="O14" s="34">
        <v>1.0269470164915</v>
      </c>
      <c r="P14" s="34">
        <v>1.0291993215137001</v>
      </c>
      <c r="R14" s="33">
        <v>6.2541073304332704</v>
      </c>
      <c r="S14" s="33">
        <v>6.2879840890129399</v>
      </c>
      <c r="U14" s="15">
        <v>1.1920149304503001E-2</v>
      </c>
      <c r="V14" s="15">
        <v>1.7322253280844802E-2</v>
      </c>
      <c r="X14" s="34">
        <v>1.0147783251231499</v>
      </c>
      <c r="Y14" s="34">
        <v>1.0269470164915</v>
      </c>
      <c r="Z14" s="34">
        <v>1.0291993215137001</v>
      </c>
      <c r="AB14" s="33">
        <v>6.2541073304332704</v>
      </c>
      <c r="AC14" s="33">
        <v>6.2879840890129399</v>
      </c>
      <c r="AE14" s="15">
        <v>1.1920149304503001E-2</v>
      </c>
      <c r="AF14" s="15">
        <v>1.7322253280844802E-2</v>
      </c>
      <c r="AQ14" s="20">
        <f>AVERAGE(AQ22:AQ176)</f>
        <v>4.4439516546700874E-4</v>
      </c>
      <c r="AR14" s="21" t="s">
        <v>41</v>
      </c>
      <c r="BB14" s="20">
        <f>AVERAGE(BB22:BB176)</f>
        <v>3.3953173769174337E-4</v>
      </c>
      <c r="BC14" s="21" t="s">
        <v>41</v>
      </c>
      <c r="BD14" s="22"/>
      <c r="BE14" s="20">
        <f>AVERAGE(BE22:BE176)</f>
        <v>7.8392690315875243E-4</v>
      </c>
      <c r="BF14" s="21" t="s">
        <v>41</v>
      </c>
    </row>
    <row r="15" spans="1:130" x14ac:dyDescent="0.25">
      <c r="A15" s="1">
        <v>46044</v>
      </c>
      <c r="B15" s="33">
        <v>6.15</v>
      </c>
      <c r="C15" s="33">
        <v>6.34</v>
      </c>
      <c r="D15" s="15">
        <v>9.8040000966208296E-3</v>
      </c>
      <c r="E15" s="15">
        <v>2.5560496979535E-2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6.15</v>
      </c>
      <c r="M15" s="33">
        <v>6.34</v>
      </c>
      <c r="N15" s="34">
        <v>1.03089430894308</v>
      </c>
      <c r="O15" s="34">
        <v>1.0269470164915</v>
      </c>
      <c r="P15" s="34">
        <v>1.02809931707103</v>
      </c>
      <c r="R15" s="33">
        <v>6.31572415142276</v>
      </c>
      <c r="S15" s="33">
        <v>6.3295758273092897</v>
      </c>
      <c r="U15" s="15">
        <v>-3.8363475784111401E-3</v>
      </c>
      <c r="V15" s="15">
        <v>-1.6455444420590899E-3</v>
      </c>
      <c r="X15" s="34">
        <v>1.03089430894308</v>
      </c>
      <c r="Y15" s="34">
        <v>1.0269470164915</v>
      </c>
      <c r="Z15" s="34">
        <v>1.02809931707103</v>
      </c>
      <c r="AB15" s="33">
        <v>6.31572415142276</v>
      </c>
      <c r="AC15" s="33">
        <v>6.3295758273092897</v>
      </c>
      <c r="AE15" s="15">
        <v>-3.8363475784111401E-3</v>
      </c>
      <c r="AF15" s="15">
        <v>-1.6455444420590899E-3</v>
      </c>
      <c r="AQ15" s="20">
        <f>STDEV(AQ22:AQ176)</f>
        <v>2.2235959466353323E-3</v>
      </c>
      <c r="AR15" s="21" t="s">
        <v>42</v>
      </c>
      <c r="BB15" s="20">
        <f>STDEV(BB22:BB176)</f>
        <v>1.7739828021619193E-3</v>
      </c>
      <c r="BC15" s="21" t="s">
        <v>42</v>
      </c>
      <c r="BD15" s="22"/>
      <c r="BE15" s="20">
        <f>STDEV(BE22:BE176)</f>
        <v>2.790638247587773E-3</v>
      </c>
      <c r="BF15" s="21" t="s">
        <v>42</v>
      </c>
    </row>
    <row r="16" spans="1:130" x14ac:dyDescent="0.25">
      <c r="A16" s="1">
        <v>46045</v>
      </c>
      <c r="B16" s="33">
        <v>6.21</v>
      </c>
      <c r="C16" s="33">
        <v>6.35</v>
      </c>
      <c r="D16" s="15">
        <v>9.7088141269608998E-3</v>
      </c>
      <c r="E16" s="15">
        <v>1.57604445546571E-3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6.21</v>
      </c>
      <c r="M16" s="33">
        <v>6.35</v>
      </c>
      <c r="N16" s="34">
        <v>1.0225442834138401</v>
      </c>
      <c r="O16" s="34">
        <v>1.0269470164915</v>
      </c>
      <c r="P16" s="34">
        <v>1.0269054695503499</v>
      </c>
      <c r="R16" s="33">
        <v>6.3773409724122496</v>
      </c>
      <c r="S16" s="33">
        <v>6.3844967590111397</v>
      </c>
      <c r="U16" s="15">
        <v>4.2964220930839002E-3</v>
      </c>
      <c r="V16" s="15">
        <v>5.4178573439355397E-3</v>
      </c>
      <c r="X16" s="34">
        <v>1.0225442834138401</v>
      </c>
      <c r="Y16" s="34">
        <v>1.0269470164915</v>
      </c>
      <c r="Z16" s="34">
        <v>1.0269054695503499</v>
      </c>
      <c r="AB16" s="33">
        <v>6.3773409724122496</v>
      </c>
      <c r="AC16" s="33">
        <v>6.3844967590111397</v>
      </c>
      <c r="AE16" s="15">
        <v>4.2964220930839002E-3</v>
      </c>
      <c r="AF16" s="15">
        <v>5.4178573439355397E-3</v>
      </c>
      <c r="AQ16" s="23">
        <f>SQRT(252)*AQ14/AQ15</f>
        <v>3.1725883295772914</v>
      </c>
      <c r="AR16" s="21" t="s">
        <v>43</v>
      </c>
      <c r="BB16" s="23">
        <f>SQRT(252)*BB14/BB15</f>
        <v>3.0383041111262434</v>
      </c>
      <c r="BC16" s="21" t="s">
        <v>43</v>
      </c>
      <c r="BD16" s="22"/>
      <c r="BE16" s="23">
        <f>SQRT(252)*BE14/BE15</f>
        <v>4.4593575686936227</v>
      </c>
      <c r="BF16" s="21" t="s">
        <v>43</v>
      </c>
    </row>
    <row r="17" spans="1:124" x14ac:dyDescent="0.25">
      <c r="A17" s="1">
        <v>46048</v>
      </c>
      <c r="B17" s="33">
        <v>6.21</v>
      </c>
      <c r="C17" s="33">
        <v>6.32</v>
      </c>
      <c r="D17" s="15">
        <v>0</v>
      </c>
      <c r="E17" s="15">
        <v>-4.7356047458341202E-3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6.21</v>
      </c>
      <c r="M17" s="33">
        <v>6.32</v>
      </c>
      <c r="N17" s="34">
        <v>1.0177133655394499</v>
      </c>
      <c r="O17" s="34">
        <v>1.0269470164915</v>
      </c>
      <c r="P17" s="34">
        <v>1.02538010280759</v>
      </c>
      <c r="R17" s="33">
        <v>6.3773409724122496</v>
      </c>
      <c r="S17" s="33">
        <v>6.3770829659076904</v>
      </c>
      <c r="U17" s="15">
        <v>9.0320268389179406E-3</v>
      </c>
      <c r="V17" s="15">
        <v>8.9915692681434203E-3</v>
      </c>
      <c r="X17" s="34">
        <v>1.0177133655394499</v>
      </c>
      <c r="Y17" s="34">
        <v>1.0269470164915</v>
      </c>
      <c r="Z17" s="34">
        <v>1.02538010280759</v>
      </c>
      <c r="AB17" s="33">
        <v>6.3773409724122496</v>
      </c>
      <c r="AC17" s="33">
        <v>6.3770829659076904</v>
      </c>
      <c r="AE17" s="15">
        <v>9.0320268389179406E-3</v>
      </c>
      <c r="AF17" s="15">
        <v>8.9915692681434203E-3</v>
      </c>
    </row>
    <row r="18" spans="1:124" x14ac:dyDescent="0.25">
      <c r="A18" s="1">
        <v>46049</v>
      </c>
      <c r="B18" s="33">
        <v>6.21</v>
      </c>
      <c r="C18" s="33">
        <v>6.33</v>
      </c>
      <c r="D18" s="15">
        <v>0</v>
      </c>
      <c r="E18" s="15">
        <v>1.5810279973187699E-3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6.21</v>
      </c>
      <c r="M18" s="33">
        <v>6.33</v>
      </c>
      <c r="N18" s="34">
        <v>1.01932367149758</v>
      </c>
      <c r="O18" s="34">
        <v>1.0269470164915</v>
      </c>
      <c r="P18" s="34">
        <v>1.0237939514388299</v>
      </c>
      <c r="R18" s="33">
        <v>6.3773409724122496</v>
      </c>
      <c r="S18" s="33">
        <v>6.3676104384351699</v>
      </c>
      <c r="U18" s="15">
        <v>7.45099884159936E-3</v>
      </c>
      <c r="V18" s="15">
        <v>5.9240356458898696E-3</v>
      </c>
      <c r="X18" s="34">
        <v>1.01932367149758</v>
      </c>
      <c r="Y18" s="34">
        <v>1.0269470164915</v>
      </c>
      <c r="Z18" s="34">
        <v>1.0237939514388299</v>
      </c>
      <c r="AB18" s="33">
        <v>6.3773409724122496</v>
      </c>
      <c r="AC18" s="33">
        <v>6.3676104384351699</v>
      </c>
      <c r="AE18" s="15">
        <v>7.45099884159936E-3</v>
      </c>
      <c r="AF18" s="15">
        <v>5.9240356458898696E-3</v>
      </c>
      <c r="BE18" s="24">
        <f>SUM(BE22:BE176)</f>
        <v>0.12150866998960663</v>
      </c>
      <c r="BF18" s="20">
        <f>BF176</f>
        <v>0.12150866998960663</v>
      </c>
    </row>
    <row r="19" spans="1:124" x14ac:dyDescent="0.25">
      <c r="A19" s="1">
        <v>46050</v>
      </c>
      <c r="B19" s="33">
        <v>5.98</v>
      </c>
      <c r="C19" s="33">
        <v>6.07</v>
      </c>
      <c r="D19" s="15">
        <v>-3.7740327982846898E-2</v>
      </c>
      <c r="E19" s="15">
        <v>-4.19416310846778E-2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5.98</v>
      </c>
      <c r="M19" s="33">
        <v>6.07</v>
      </c>
      <c r="N19" s="34">
        <v>1.0150501672240799</v>
      </c>
      <c r="O19" s="34">
        <v>1.0269470164915</v>
      </c>
      <c r="P19" s="34">
        <v>1.0223631883447299</v>
      </c>
      <c r="R19" s="33">
        <v>6.1411431586192</v>
      </c>
      <c r="S19" s="33">
        <v>6.1222878296042396</v>
      </c>
      <c r="U19" s="15">
        <v>1.1652301943430299E-2</v>
      </c>
      <c r="V19" s="15">
        <v>8.5772499631187396E-3</v>
      </c>
      <c r="X19" s="34">
        <v>1.0150501672240799</v>
      </c>
      <c r="Y19" s="34">
        <v>1.0269470164915</v>
      </c>
      <c r="Z19" s="34">
        <v>1.0223631883447299</v>
      </c>
      <c r="AB19" s="33">
        <v>6.1411431586192</v>
      </c>
      <c r="AC19" s="33">
        <v>6.1222878296042396</v>
      </c>
      <c r="AE19" s="15">
        <v>1.1652301943430299E-2</v>
      </c>
      <c r="AF19" s="15">
        <v>8.5772499631187396E-3</v>
      </c>
      <c r="AI19" s="12"/>
      <c r="AJ19"/>
      <c r="AK19"/>
      <c r="AL19"/>
      <c r="AM19"/>
      <c r="AN19"/>
      <c r="AO19"/>
      <c r="AP19"/>
      <c r="AQ19" s="24">
        <f>SUM(AQ22:AQ176)</f>
        <v>6.8881250647386358E-2</v>
      </c>
      <c r="AR19" s="24">
        <f>AR176</f>
        <v>6.8881250647386358E-2</v>
      </c>
      <c r="AU19"/>
      <c r="AV19"/>
      <c r="AW19"/>
      <c r="AX19"/>
      <c r="AY19"/>
      <c r="AZ19"/>
      <c r="BA19"/>
      <c r="BB19" s="24">
        <f>SUM(BB22:BB176)</f>
        <v>5.2627419342220226E-2</v>
      </c>
      <c r="BC19" s="24">
        <f>BC176</f>
        <v>5.2627419342220226E-2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5.93</v>
      </c>
      <c r="C20" s="33">
        <v>6.05</v>
      </c>
      <c r="D20" s="15">
        <v>-8.3963549529063892E-3</v>
      </c>
      <c r="E20" s="15">
        <v>-3.3003330286568498E-3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5.93</v>
      </c>
      <c r="M20" s="33">
        <v>6.05</v>
      </c>
      <c r="N20" s="34">
        <v>1.0202360876897101</v>
      </c>
      <c r="O20" s="34">
        <v>1.0269470164915</v>
      </c>
      <c r="P20" s="34">
        <v>1.0208153685422701</v>
      </c>
      <c r="R20" s="33">
        <v>6.0897958077946202</v>
      </c>
      <c r="S20" s="33">
        <v>6.0626137068842496</v>
      </c>
      <c r="U20" s="15">
        <v>6.5562800191807597E-3</v>
      </c>
      <c r="V20" s="15">
        <v>2.0827398196860002E-3</v>
      </c>
      <c r="X20" s="34">
        <v>1.0202360876897101</v>
      </c>
      <c r="Y20" s="34">
        <v>1.0269470164915</v>
      </c>
      <c r="Z20" s="34">
        <v>1.0208153685422701</v>
      </c>
      <c r="AB20" s="33">
        <v>6.0897958077946202</v>
      </c>
      <c r="AC20" s="33">
        <v>6.0626137068842496</v>
      </c>
      <c r="AE20" s="15">
        <v>6.5562800191807597E-3</v>
      </c>
      <c r="AF20" s="15">
        <v>2.0827398196860002E-3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UA log rtn</v>
      </c>
      <c r="AP20" s="7" t="str">
        <f>E1</f>
        <v>UAA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UA log rtn</v>
      </c>
      <c r="BA20" s="24" t="str">
        <f>E1</f>
        <v>UAA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6.07</v>
      </c>
      <c r="C21" s="33">
        <v>6.17</v>
      </c>
      <c r="D21" s="15">
        <v>2.3334392061772801E-2</v>
      </c>
      <c r="E21" s="15">
        <v>1.9640565874546399E-2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6.07</v>
      </c>
      <c r="M21" s="33">
        <v>6.17</v>
      </c>
      <c r="N21" s="34">
        <v>1.0164744645799</v>
      </c>
      <c r="O21" s="34">
        <v>1.0269470164915</v>
      </c>
      <c r="P21" s="34">
        <v>1.01923700854865</v>
      </c>
      <c r="Q21" s="34">
        <v>1.0287945901067399</v>
      </c>
      <c r="R21" s="33">
        <v>6.2335683901034402</v>
      </c>
      <c r="S21" s="33">
        <v>6.1963492870515999</v>
      </c>
      <c r="U21" s="15">
        <v>1.0250106206407299E-2</v>
      </c>
      <c r="V21" s="15">
        <v>4.2614560393257599E-3</v>
      </c>
      <c r="X21" s="34">
        <v>1.0164744645799</v>
      </c>
      <c r="Y21" s="34">
        <v>1.0269470164915</v>
      </c>
      <c r="Z21" s="34">
        <v>1.01923700854865</v>
      </c>
      <c r="AA21" s="34">
        <v>1.0287945901067399</v>
      </c>
      <c r="AB21" s="33">
        <v>6.2335683901034402</v>
      </c>
      <c r="AC21" s="33">
        <v>6.1963492870515999</v>
      </c>
      <c r="AE21" s="15">
        <v>1.0250106206407299E-2</v>
      </c>
      <c r="AF21" s="15">
        <v>4.2614560393257599E-3</v>
      </c>
      <c r="AI21" s="26">
        <v>-5.0000000000000001E-3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5.0000000000000001E-3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6.06</v>
      </c>
      <c r="C22" s="33">
        <v>6.17</v>
      </c>
      <c r="D22" s="15">
        <v>-1.64880499018389E-3</v>
      </c>
      <c r="E22" s="15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6.06</v>
      </c>
      <c r="M22" s="33">
        <v>6.17</v>
      </c>
      <c r="N22" s="34">
        <v>1.0181518151815101</v>
      </c>
      <c r="O22" s="34">
        <v>1.0269470164915</v>
      </c>
      <c r="P22" s="34">
        <v>1.0194704677469399</v>
      </c>
      <c r="Q22" s="34">
        <v>1.02753255561926</v>
      </c>
      <c r="R22" s="33">
        <v>6.2232989199385198</v>
      </c>
      <c r="S22" s="33">
        <v>6.1765762718048203</v>
      </c>
      <c r="T22" s="33">
        <v>6.2344952160468496</v>
      </c>
      <c r="U22" s="15">
        <v>8.60130121622334E-3</v>
      </c>
      <c r="V22" s="15">
        <v>1.0652787107865E-3</v>
      </c>
      <c r="W22" s="15">
        <v>1.0398778201417901E-2</v>
      </c>
      <c r="X22" s="34">
        <v>1.0181518151815101</v>
      </c>
      <c r="Y22" s="34">
        <v>1.0269470164915</v>
      </c>
      <c r="Z22" s="34">
        <v>1.0194704677469399</v>
      </c>
      <c r="AA22" s="34">
        <v>1.02753255561926</v>
      </c>
      <c r="AB22" s="33">
        <v>6.2232989199385198</v>
      </c>
      <c r="AC22" s="33">
        <v>6.1765762718048203</v>
      </c>
      <c r="AD22" s="33">
        <v>6.2344952160468496</v>
      </c>
      <c r="AE22" s="15">
        <v>8.60130121622334E-3</v>
      </c>
      <c r="AF22" s="15">
        <v>1.0652787107865E-3</v>
      </c>
      <c r="AG22" s="15">
        <v>1.0398778201417901E-2</v>
      </c>
      <c r="AI22" s="26">
        <v>-3.0000000000000001E-3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3.0000000000000001E-3</v>
      </c>
      <c r="AU22">
        <f t="shared" ref="AU22:AU85" si="10">IF($AG22&gt;AT$21,1,0)</f>
        <v>1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6.13</v>
      </c>
      <c r="C23" s="33">
        <v>6.24</v>
      </c>
      <c r="D23" s="15">
        <v>1.1484949866897E-2</v>
      </c>
      <c r="E23" s="15">
        <v>1.1281344464039901E-2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6.13</v>
      </c>
      <c r="M23" s="33">
        <v>6.24</v>
      </c>
      <c r="N23" s="34">
        <v>1.0179445350734</v>
      </c>
      <c r="O23" s="34">
        <v>1.0269470164915</v>
      </c>
      <c r="P23" s="34">
        <v>1.01931110242657</v>
      </c>
      <c r="Q23" s="34">
        <v>1.0259104025279699</v>
      </c>
      <c r="R23" s="33">
        <v>6.2951852110929298</v>
      </c>
      <c r="S23" s="33">
        <v>6.2493539672887497</v>
      </c>
      <c r="T23" s="33">
        <v>6.2987745659461201</v>
      </c>
      <c r="U23" s="15">
        <v>8.8049066190804496E-3</v>
      </c>
      <c r="V23" s="15">
        <v>1.4979107906214499E-3</v>
      </c>
      <c r="W23" s="15">
        <v>9.3749187540920192E-3</v>
      </c>
      <c r="X23" s="34">
        <v>1.0179445350734</v>
      </c>
      <c r="Y23" s="34">
        <v>1.0269470164915</v>
      </c>
      <c r="Z23" s="34">
        <v>1.01931110242657</v>
      </c>
      <c r="AA23" s="34">
        <v>1.0259104025279699</v>
      </c>
      <c r="AB23" s="33">
        <v>6.2951852110929298</v>
      </c>
      <c r="AC23" s="33">
        <v>6.2493539672887497</v>
      </c>
      <c r="AD23" s="33">
        <v>6.2987745659461201</v>
      </c>
      <c r="AE23" s="15">
        <v>8.8049066190804496E-3</v>
      </c>
      <c r="AF23" s="15">
        <v>1.4979107906214499E-3</v>
      </c>
      <c r="AG23" s="15">
        <v>9.3749187540920192E-3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1</v>
      </c>
      <c r="AV23">
        <f t="shared" si="11"/>
        <v>0</v>
      </c>
      <c r="AW23">
        <f t="shared" ref="AW23:AW86" si="18">AY23</f>
        <v>1</v>
      </c>
      <c r="AX23">
        <f t="shared" si="5"/>
        <v>1</v>
      </c>
      <c r="AY23">
        <f t="shared" ref="AY23:AY86" si="19">IF(AU22,1,IF(AV22,0,AW22))*AX22</f>
        <v>1</v>
      </c>
      <c r="AZ23" s="28">
        <f t="shared" si="12"/>
        <v>-1.1484949866897E-2</v>
      </c>
      <c r="BA23" s="28">
        <f t="shared" si="13"/>
        <v>1.1281344464039901E-2</v>
      </c>
      <c r="BB23" s="28">
        <f t="shared" ref="BB23:BB86" si="20">AZ23+BA23</f>
        <v>-2.0360540285709917E-4</v>
      </c>
      <c r="BC23" s="29">
        <f t="shared" ref="BC23:BC86" si="21">BC22+BB23</f>
        <v>-2.0360540285709917E-4</v>
      </c>
      <c r="BE23" s="29">
        <f t="shared" ref="BE23:BE86" si="22">AQ23+BB23</f>
        <v>-2.0360540285709917E-4</v>
      </c>
      <c r="BF23" s="29">
        <f t="shared" ref="BF23:BF86" si="23">BF22+BE23</f>
        <v>-2.0360540285709917E-4</v>
      </c>
      <c r="BH23" s="29"/>
    </row>
    <row r="24" spans="1:124" x14ac:dyDescent="0.25">
      <c r="A24" s="1">
        <v>46057</v>
      </c>
      <c r="B24" s="33">
        <v>6.51</v>
      </c>
      <c r="C24" s="33">
        <v>6.61</v>
      </c>
      <c r="D24" s="15">
        <v>6.0144706272357802E-2</v>
      </c>
      <c r="E24" s="15">
        <v>5.7603471482258597E-2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6.51</v>
      </c>
      <c r="M24" s="33">
        <v>6.61</v>
      </c>
      <c r="N24" s="34">
        <v>1.01536098310291</v>
      </c>
      <c r="O24" s="34">
        <v>1.0269470164915</v>
      </c>
      <c r="P24" s="34">
        <v>1.0193693682245499</v>
      </c>
      <c r="Q24" s="34">
        <v>1.0242843448691199</v>
      </c>
      <c r="R24" s="33">
        <v>6.6854250773597004</v>
      </c>
      <c r="S24" s="33">
        <v>6.6357152767969998</v>
      </c>
      <c r="T24" s="33">
        <v>6.6786767204571396</v>
      </c>
      <c r="U24" s="15">
        <v>1.1346141409179699E-2</v>
      </c>
      <c r="V24" s="15">
        <v>3.8828116967736799E-3</v>
      </c>
      <c r="W24" s="15">
        <v>1.0336218321458099E-2</v>
      </c>
      <c r="X24" s="34">
        <v>1.01536098310291</v>
      </c>
      <c r="Y24" s="34">
        <v>1.0269470164915</v>
      </c>
      <c r="Z24" s="34">
        <v>1.0193693682245499</v>
      </c>
      <c r="AA24" s="34">
        <v>1.0242843448691199</v>
      </c>
      <c r="AB24" s="33">
        <v>6.6854250773597004</v>
      </c>
      <c r="AC24" s="33">
        <v>6.6357152767969998</v>
      </c>
      <c r="AD24" s="33">
        <v>6.6786767204571396</v>
      </c>
      <c r="AE24" s="15">
        <v>1.1346141409179699E-2</v>
      </c>
      <c r="AF24" s="15">
        <v>3.8828116967736799E-3</v>
      </c>
      <c r="AG24" s="15">
        <v>1.0336218321458099E-2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1</v>
      </c>
      <c r="AV24">
        <f t="shared" si="11"/>
        <v>0</v>
      </c>
      <c r="AW24">
        <f t="shared" si="18"/>
        <v>1</v>
      </c>
      <c r="AX24">
        <f t="shared" si="5"/>
        <v>1</v>
      </c>
      <c r="AY24">
        <f t="shared" si="19"/>
        <v>1</v>
      </c>
      <c r="AZ24" s="28">
        <f t="shared" si="12"/>
        <v>-6.0144706272357802E-2</v>
      </c>
      <c r="BA24" s="28">
        <f t="shared" si="13"/>
        <v>5.7603471482258597E-2</v>
      </c>
      <c r="BB24" s="28">
        <f t="shared" si="20"/>
        <v>-2.5412347900992047E-3</v>
      </c>
      <c r="BC24" s="29">
        <f t="shared" si="21"/>
        <v>-2.7448401929563038E-3</v>
      </c>
      <c r="BE24" s="29">
        <f t="shared" si="22"/>
        <v>-2.5412347900992047E-3</v>
      </c>
      <c r="BF24" s="29">
        <f t="shared" si="23"/>
        <v>-2.7448401929563038E-3</v>
      </c>
      <c r="BH24" s="29"/>
    </row>
    <row r="25" spans="1:124" x14ac:dyDescent="0.25">
      <c r="A25" s="1">
        <v>46058</v>
      </c>
      <c r="B25" s="33">
        <v>6.15</v>
      </c>
      <c r="C25" s="33">
        <v>6.28</v>
      </c>
      <c r="D25" s="15">
        <v>-5.6887374402051202E-2</v>
      </c>
      <c r="E25" s="15">
        <v>-5.1213673383487597E-2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6.15</v>
      </c>
      <c r="M25" s="33">
        <v>6.28</v>
      </c>
      <c r="N25" s="34">
        <v>1.0211382113821099</v>
      </c>
      <c r="O25" s="34">
        <v>1.0269470164915</v>
      </c>
      <c r="P25" s="34">
        <v>1.0183937584684499</v>
      </c>
      <c r="Q25" s="34">
        <v>1.02324653776974</v>
      </c>
      <c r="R25" s="33">
        <v>6.31572415142276</v>
      </c>
      <c r="S25" s="33">
        <v>6.2691216145809898</v>
      </c>
      <c r="T25" s="33">
        <v>6.2993487209451402</v>
      </c>
      <c r="U25" s="15">
        <v>5.6724403906159501E-3</v>
      </c>
      <c r="V25" s="15">
        <v>-1.7337290175331E-3</v>
      </c>
      <c r="W25" s="15">
        <v>3.0762699457890599E-3</v>
      </c>
      <c r="X25" s="34">
        <v>1.0211382113821099</v>
      </c>
      <c r="Y25" s="34">
        <v>1.0269470164915</v>
      </c>
      <c r="Z25" s="34">
        <v>1.0183937584684499</v>
      </c>
      <c r="AA25" s="34">
        <v>1.02324653776974</v>
      </c>
      <c r="AB25" s="33">
        <v>6.31572415142276</v>
      </c>
      <c r="AC25" s="33">
        <v>6.2691216145809898</v>
      </c>
      <c r="AD25" s="33">
        <v>6.2993487209451402</v>
      </c>
      <c r="AE25" s="15">
        <v>5.6724403906159501E-3</v>
      </c>
      <c r="AF25" s="15">
        <v>-1.7337290175331E-3</v>
      </c>
      <c r="AG25" s="15">
        <v>3.0762699457890599E-3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1</v>
      </c>
      <c r="AX25">
        <f t="shared" si="5"/>
        <v>1</v>
      </c>
      <c r="AY25">
        <f t="shared" si="19"/>
        <v>1</v>
      </c>
      <c r="AZ25" s="28">
        <f t="shared" si="12"/>
        <v>5.6887374402051202E-2</v>
      </c>
      <c r="BA25" s="28">
        <f t="shared" si="13"/>
        <v>-5.1213673383487597E-2</v>
      </c>
      <c r="BB25" s="28">
        <f t="shared" si="20"/>
        <v>5.6737010185636053E-3</v>
      </c>
      <c r="BC25" s="29">
        <f t="shared" si="21"/>
        <v>2.9288608256073014E-3</v>
      </c>
      <c r="BE25" s="29">
        <f t="shared" si="22"/>
        <v>5.6737010185636053E-3</v>
      </c>
      <c r="BF25" s="29">
        <f t="shared" si="23"/>
        <v>2.9288608256073014E-3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7.34</v>
      </c>
      <c r="C26" s="33">
        <v>7.56</v>
      </c>
      <c r="D26" s="15">
        <v>0.17688676080799701</v>
      </c>
      <c r="E26" s="15">
        <v>0.18550120971133399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7.34</v>
      </c>
      <c r="M26" s="33">
        <v>7.56</v>
      </c>
      <c r="N26" s="34">
        <v>1.02997275204359</v>
      </c>
      <c r="O26" s="34">
        <v>1.0269470164915</v>
      </c>
      <c r="P26" s="34">
        <v>1.0191366053314199</v>
      </c>
      <c r="Q26" s="34">
        <v>1.0230210374408899</v>
      </c>
      <c r="R26" s="33">
        <v>7.5377911010476497</v>
      </c>
      <c r="S26" s="33">
        <v>7.4750101871584498</v>
      </c>
      <c r="T26" s="33">
        <v>7.5106295872299302</v>
      </c>
      <c r="U26" s="15">
        <v>-2.9420085127205499E-3</v>
      </c>
      <c r="V26" s="15">
        <v>-1.1305708085058E-2</v>
      </c>
      <c r="W26" s="15">
        <v>-6.55189474279377E-3</v>
      </c>
      <c r="X26" s="34">
        <v>1.02997275204359</v>
      </c>
      <c r="Y26" s="34">
        <v>1.0269470164915</v>
      </c>
      <c r="Z26" s="34">
        <v>1.0191366053314199</v>
      </c>
      <c r="AA26" s="34">
        <v>1.0230210374408899</v>
      </c>
      <c r="AB26" s="33">
        <v>7.5377911010476497</v>
      </c>
      <c r="AC26" s="33">
        <v>7.4750101871584498</v>
      </c>
      <c r="AD26" s="33">
        <v>7.5106295872299302</v>
      </c>
      <c r="AE26" s="15">
        <v>-2.9420085127205499E-3</v>
      </c>
      <c r="AF26" s="15">
        <v>-1.1305708085058E-2</v>
      </c>
      <c r="AG26" s="15">
        <v>-6.55189474279377E-3</v>
      </c>
      <c r="AI26" s="12"/>
      <c r="AJ26">
        <f t="shared" si="6"/>
        <v>1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1</v>
      </c>
      <c r="AX26">
        <f t="shared" si="5"/>
        <v>1</v>
      </c>
      <c r="AY26">
        <f t="shared" si="19"/>
        <v>1</v>
      </c>
      <c r="AZ26" s="28">
        <f t="shared" si="12"/>
        <v>-0.17688676080799701</v>
      </c>
      <c r="BA26" s="28">
        <f t="shared" si="13"/>
        <v>0.18550120971133399</v>
      </c>
      <c r="BB26" s="28">
        <f t="shared" si="20"/>
        <v>8.6144489033369853E-3</v>
      </c>
      <c r="BC26" s="29">
        <f t="shared" si="21"/>
        <v>1.1543309728944287E-2</v>
      </c>
      <c r="BE26" s="29">
        <f t="shared" si="22"/>
        <v>8.6144489033369853E-3</v>
      </c>
      <c r="BF26" s="29">
        <f t="shared" si="23"/>
        <v>1.1543309728944287E-2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7.66</v>
      </c>
      <c r="C27" s="33">
        <v>7.86</v>
      </c>
      <c r="D27" s="15">
        <v>4.2673141126075599E-2</v>
      </c>
      <c r="E27" s="15">
        <v>3.8915416249673603E-2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7.66</v>
      </c>
      <c r="M27" s="33">
        <v>7.86</v>
      </c>
      <c r="N27" s="34">
        <v>1.02610966057441</v>
      </c>
      <c r="O27" s="34">
        <v>1.0269470164915</v>
      </c>
      <c r="P27" s="34">
        <v>1.0199762348349199</v>
      </c>
      <c r="Q27" s="34">
        <v>1.0226781688212601</v>
      </c>
      <c r="R27" s="33">
        <v>7.8664141463249297</v>
      </c>
      <c r="S27" s="33">
        <v>7.8065863968387399</v>
      </c>
      <c r="T27" s="33">
        <v>7.8363411467972197</v>
      </c>
      <c r="U27" s="15">
        <v>8.1571636368149103E-4</v>
      </c>
      <c r="V27" s="15">
        <v>-6.81881920787724E-3</v>
      </c>
      <c r="W27" s="15">
        <v>-3.0145714722220399E-3</v>
      </c>
      <c r="X27" s="34">
        <v>1.02610966057441</v>
      </c>
      <c r="Y27" s="34">
        <v>1.0269470164915</v>
      </c>
      <c r="Z27" s="34">
        <v>1.0199762348349199</v>
      </c>
      <c r="AA27" s="34">
        <v>1.0226781688212601</v>
      </c>
      <c r="AB27" s="33">
        <v>7.8664141463249297</v>
      </c>
      <c r="AC27" s="33">
        <v>7.8065863968387399</v>
      </c>
      <c r="AD27" s="33">
        <v>7.8363411467972197</v>
      </c>
      <c r="AE27" s="15">
        <v>8.1571636368149103E-4</v>
      </c>
      <c r="AF27" s="15">
        <v>-6.81881920787724E-3</v>
      </c>
      <c r="AG27" s="15">
        <v>-3.0145714722220399E-3</v>
      </c>
      <c r="AI27" s="12"/>
      <c r="AJ27">
        <f t="shared" si="6"/>
        <v>0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4.2673141126075599E-2</v>
      </c>
      <c r="AP27" s="28">
        <f t="shared" si="9"/>
        <v>-3.8915416249673603E-2</v>
      </c>
      <c r="AQ27" s="28">
        <f t="shared" si="16"/>
        <v>3.7577248764019966E-3</v>
      </c>
      <c r="AR27" s="29">
        <f t="shared" si="17"/>
        <v>3.7577248764019966E-3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1.1543309728944287E-2</v>
      </c>
      <c r="BE27" s="29">
        <f t="shared" si="22"/>
        <v>3.7577248764019966E-3</v>
      </c>
      <c r="BF27" s="29">
        <f t="shared" si="23"/>
        <v>1.5301034605346283E-2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6.84</v>
      </c>
      <c r="C28" s="33">
        <v>7.09</v>
      </c>
      <c r="D28" s="15">
        <v>-0.11322425211804001</v>
      </c>
      <c r="E28" s="15">
        <v>-0.10310126589707901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6.84</v>
      </c>
      <c r="M28" s="33">
        <v>7.09</v>
      </c>
      <c r="N28" s="34">
        <v>1.03654970760233</v>
      </c>
      <c r="O28" s="34">
        <v>1.0269470164915</v>
      </c>
      <c r="P28" s="34">
        <v>1.0216988384454</v>
      </c>
      <c r="Q28" s="34">
        <v>1.0227463949421101</v>
      </c>
      <c r="R28" s="33">
        <v>7.0243175928018902</v>
      </c>
      <c r="S28" s="33">
        <v>6.97663744627088</v>
      </c>
      <c r="T28" s="33">
        <v>6.9951186747374203</v>
      </c>
      <c r="U28" s="15">
        <v>-9.3072698572803092E-3</v>
      </c>
      <c r="V28" s="15">
        <v>-1.61182810662737E-2</v>
      </c>
      <c r="W28" s="15">
        <v>-1.3472766918266099E-2</v>
      </c>
      <c r="X28" s="34">
        <v>1.03654970760233</v>
      </c>
      <c r="Y28" s="34">
        <v>1.0269470164915</v>
      </c>
      <c r="Z28" s="34">
        <v>1.0216988384454</v>
      </c>
      <c r="AA28" s="34">
        <v>1.0227463949421101</v>
      </c>
      <c r="AB28" s="33">
        <v>7.0243175928018902</v>
      </c>
      <c r="AC28" s="33">
        <v>6.97663744627088</v>
      </c>
      <c r="AD28" s="33">
        <v>6.9951186747374203</v>
      </c>
      <c r="AE28" s="15">
        <v>-9.3072698572803092E-3</v>
      </c>
      <c r="AF28" s="15">
        <v>-1.61182810662737E-2</v>
      </c>
      <c r="AG28" s="15">
        <v>-1.3472766918266099E-2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-0.11322425211804001</v>
      </c>
      <c r="AP28" s="28">
        <f t="shared" si="9"/>
        <v>0.10310126589707901</v>
      </c>
      <c r="AQ28" s="28">
        <f t="shared" si="16"/>
        <v>-1.0122986220961E-2</v>
      </c>
      <c r="AR28" s="29">
        <f t="shared" si="17"/>
        <v>-6.3652613445590034E-3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1.1543309728944287E-2</v>
      </c>
      <c r="BE28" s="29">
        <f t="shared" si="22"/>
        <v>-1.0122986220961E-2</v>
      </c>
      <c r="BF28" s="29">
        <f t="shared" si="23"/>
        <v>5.1780483843852834E-3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6.75</v>
      </c>
      <c r="C29" s="33">
        <v>6.98</v>
      </c>
      <c r="D29" s="15">
        <v>-1.3245226750020499E-2</v>
      </c>
      <c r="E29" s="15">
        <v>-1.5636423769754802E-2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6.75</v>
      </c>
      <c r="M29" s="33">
        <v>6.98</v>
      </c>
      <c r="N29" s="34">
        <v>1.0340740740740699</v>
      </c>
      <c r="O29" s="34">
        <v>1.0269470164915</v>
      </c>
      <c r="P29" s="34">
        <v>1.02360122913039</v>
      </c>
      <c r="Q29" s="34">
        <v>1.02298220873756</v>
      </c>
      <c r="R29" s="33">
        <v>6.9318923613176597</v>
      </c>
      <c r="S29" s="33">
        <v>6.8964671595064502</v>
      </c>
      <c r="T29" s="33">
        <v>6.90353816585929</v>
      </c>
      <c r="U29" s="15">
        <v>-6.9160728375459403E-3</v>
      </c>
      <c r="V29" s="15">
        <v>-1.20396421594602E-2</v>
      </c>
      <c r="W29" s="15">
        <v>-1.1014858935838199E-2</v>
      </c>
      <c r="X29" s="34">
        <v>1.0340740740740699</v>
      </c>
      <c r="Y29" s="34">
        <v>1.0269470164915</v>
      </c>
      <c r="Z29" s="34">
        <v>1.02360122913039</v>
      </c>
      <c r="AA29" s="34">
        <v>1.02298220873756</v>
      </c>
      <c r="AB29" s="33">
        <v>6.9318923613176597</v>
      </c>
      <c r="AC29" s="33">
        <v>6.8964671595064502</v>
      </c>
      <c r="AD29" s="33">
        <v>6.90353816585929</v>
      </c>
      <c r="AE29" s="15">
        <v>-6.9160728375459403E-3</v>
      </c>
      <c r="AF29" s="15">
        <v>-1.20396421594602E-2</v>
      </c>
      <c r="AG29" s="15">
        <v>-1.1014858935838199E-2</v>
      </c>
      <c r="AI29" s="12"/>
      <c r="AJ29">
        <f t="shared" si="6"/>
        <v>1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-1.3245226750020499E-2</v>
      </c>
      <c r="AP29" s="28">
        <f t="shared" si="9"/>
        <v>1.5636423769754802E-2</v>
      </c>
      <c r="AQ29" s="28">
        <f t="shared" si="16"/>
        <v>2.3911970197343022E-3</v>
      </c>
      <c r="AR29" s="29">
        <f t="shared" si="17"/>
        <v>-3.9740643248247012E-3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1.1543309728944287E-2</v>
      </c>
      <c r="BE29" s="29">
        <f t="shared" si="22"/>
        <v>2.3911970197343022E-3</v>
      </c>
      <c r="BF29" s="29">
        <f t="shared" si="23"/>
        <v>7.5692454041195855E-3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6.83</v>
      </c>
      <c r="C30" s="33">
        <v>7.03</v>
      </c>
      <c r="D30" s="15">
        <v>1.17821686982601E-2</v>
      </c>
      <c r="E30" s="15">
        <v>7.1377890482923001E-3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6.83</v>
      </c>
      <c r="M30" s="33">
        <v>7.03</v>
      </c>
      <c r="N30" s="34">
        <v>1.0292825768667599</v>
      </c>
      <c r="O30" s="34">
        <v>1.0269470164915</v>
      </c>
      <c r="P30" s="34">
        <v>1.0245058780481</v>
      </c>
      <c r="Q30" s="34">
        <v>1.02266062329518</v>
      </c>
      <c r="R30" s="33">
        <v>7.0140481226369804</v>
      </c>
      <c r="S30" s="33">
        <v>6.9911963949606299</v>
      </c>
      <c r="T30" s="33">
        <v>6.9869684856775596</v>
      </c>
      <c r="U30" s="15">
        <v>-2.2716931875780598E-3</v>
      </c>
      <c r="V30" s="15">
        <v>-5.5350061453839404E-3</v>
      </c>
      <c r="W30" s="15">
        <v>-6.1399366849924997E-3</v>
      </c>
      <c r="X30" s="34">
        <v>1.0292825768667599</v>
      </c>
      <c r="Y30" s="34">
        <v>1.0269470164915</v>
      </c>
      <c r="Z30" s="34">
        <v>1.0245058780481</v>
      </c>
      <c r="AA30" s="34">
        <v>1.02266062329518</v>
      </c>
      <c r="AB30" s="33">
        <v>7.0140481226369804</v>
      </c>
      <c r="AC30" s="33">
        <v>6.9911963949606299</v>
      </c>
      <c r="AD30" s="33">
        <v>6.9869684856775596</v>
      </c>
      <c r="AE30" s="15">
        <v>-2.2716931875780598E-3</v>
      </c>
      <c r="AF30" s="15">
        <v>-5.5350061453839404E-3</v>
      </c>
      <c r="AG30" s="15">
        <v>-6.1399366849924997E-3</v>
      </c>
      <c r="AI30" s="12"/>
      <c r="AJ30">
        <f t="shared" si="6"/>
        <v>1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1.17821686982601E-2</v>
      </c>
      <c r="AP30" s="28">
        <f t="shared" si="9"/>
        <v>-7.1377890482923001E-3</v>
      </c>
      <c r="AQ30" s="28">
        <f t="shared" si="16"/>
        <v>4.6443796499677998E-3</v>
      </c>
      <c r="AR30" s="29">
        <f t="shared" si="17"/>
        <v>6.7031532514309853E-4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1.1543309728944287E-2</v>
      </c>
      <c r="BE30" s="29">
        <f t="shared" si="22"/>
        <v>4.6443796499677998E-3</v>
      </c>
      <c r="BF30" s="29">
        <f t="shared" si="23"/>
        <v>1.2213625054087386E-2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6.97</v>
      </c>
      <c r="C31" s="33">
        <v>7.19</v>
      </c>
      <c r="D31" s="15">
        <v>2.0290551189733701E-2</v>
      </c>
      <c r="E31" s="15">
        <v>2.2504465910381799E-2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6.97</v>
      </c>
      <c r="M31" s="33">
        <v>7.19</v>
      </c>
      <c r="N31" s="34">
        <v>1.03156384505021</v>
      </c>
      <c r="O31" s="34">
        <v>1.0269470164915</v>
      </c>
      <c r="P31" s="34">
        <v>1.0260148160951299</v>
      </c>
      <c r="Q31" s="34">
        <v>1.0226259123218899</v>
      </c>
      <c r="R31" s="33">
        <v>7.1578207049457898</v>
      </c>
      <c r="S31" s="33">
        <v>7.1408059699952897</v>
      </c>
      <c r="T31" s="33">
        <v>7.1279445443674598</v>
      </c>
      <c r="U31" s="15">
        <v>-4.4856079082260698E-3</v>
      </c>
      <c r="V31" s="15">
        <v>-6.8655208003163496E-3</v>
      </c>
      <c r="W31" s="15">
        <v>-8.6682615656053091E-3</v>
      </c>
      <c r="X31" s="34">
        <v>1.03156384505021</v>
      </c>
      <c r="Y31" s="34">
        <v>1.0269470164915</v>
      </c>
      <c r="Z31" s="34">
        <v>1.0260148160951299</v>
      </c>
      <c r="AA31" s="34">
        <v>1.0226259123218899</v>
      </c>
      <c r="AB31" s="33">
        <v>7.1578207049457898</v>
      </c>
      <c r="AC31" s="33">
        <v>7.1408059699952897</v>
      </c>
      <c r="AD31" s="33">
        <v>7.1279445443674598</v>
      </c>
      <c r="AE31" s="15">
        <v>-4.4856079082260698E-3</v>
      </c>
      <c r="AF31" s="15">
        <v>-6.8655208003163496E-3</v>
      </c>
      <c r="AG31" s="15">
        <v>-8.6682615656053091E-3</v>
      </c>
      <c r="AI31" s="12"/>
      <c r="AJ31">
        <f t="shared" si="6"/>
        <v>1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2.0290551189733701E-2</v>
      </c>
      <c r="AP31" s="28">
        <f t="shared" si="9"/>
        <v>-2.2504465910381799E-2</v>
      </c>
      <c r="AQ31" s="28">
        <f t="shared" si="16"/>
        <v>-2.2139147206480976E-3</v>
      </c>
      <c r="AR31" s="29">
        <f t="shared" si="17"/>
        <v>-1.5435993955049991E-3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1.1543309728944287E-2</v>
      </c>
      <c r="BE31" s="29">
        <f t="shared" si="22"/>
        <v>-2.2139147206480976E-3</v>
      </c>
      <c r="BF31" s="29">
        <f t="shared" si="23"/>
        <v>9.9997103334392885E-3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7.54</v>
      </c>
      <c r="C32" s="33">
        <v>7.72</v>
      </c>
      <c r="D32" s="15">
        <v>7.8606957247432094E-2</v>
      </c>
      <c r="E32" s="15">
        <v>7.1123192303729404E-2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7.54</v>
      </c>
      <c r="M32" s="33">
        <v>7.72</v>
      </c>
      <c r="N32" s="34">
        <v>1.0238726790450901</v>
      </c>
      <c r="O32" s="34">
        <v>1.0269470164915</v>
      </c>
      <c r="P32" s="34">
        <v>1.02658690248149</v>
      </c>
      <c r="Q32" s="34">
        <v>1.0230286851142101</v>
      </c>
      <c r="R32" s="33">
        <v>7.7431805043459496</v>
      </c>
      <c r="S32" s="33">
        <v>7.7361517133573203</v>
      </c>
      <c r="T32" s="33">
        <v>7.7105993789070704</v>
      </c>
      <c r="U32" s="15">
        <v>2.9981570354766199E-3</v>
      </c>
      <c r="V32" s="15">
        <v>2.0900052660270101E-3</v>
      </c>
      <c r="W32" s="15">
        <v>-1.21843902820548E-3</v>
      </c>
      <c r="X32" s="34">
        <v>1.0238726790450901</v>
      </c>
      <c r="Y32" s="34">
        <v>1.0269470164915</v>
      </c>
      <c r="Z32" s="34">
        <v>1.02658690248149</v>
      </c>
      <c r="AA32" s="34">
        <v>1.0230286851142101</v>
      </c>
      <c r="AB32" s="33">
        <v>7.7431805043459496</v>
      </c>
      <c r="AC32" s="33">
        <v>7.7361517133573203</v>
      </c>
      <c r="AD32" s="33">
        <v>7.7105993789070704</v>
      </c>
      <c r="AE32" s="15">
        <v>2.9981570354766199E-3</v>
      </c>
      <c r="AF32" s="15">
        <v>2.0900052660270101E-3</v>
      </c>
      <c r="AG32" s="15">
        <v>-1.21843902820548E-3</v>
      </c>
      <c r="AI32" s="12"/>
      <c r="AJ32">
        <f t="shared" si="6"/>
        <v>0</v>
      </c>
      <c r="AK32">
        <f t="shared" si="7"/>
        <v>1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7.8606957247432094E-2</v>
      </c>
      <c r="AP32" s="28">
        <f t="shared" si="9"/>
        <v>-7.1123192303729404E-2</v>
      </c>
      <c r="AQ32" s="28">
        <f t="shared" si="16"/>
        <v>7.4837649437026893E-3</v>
      </c>
      <c r="AR32" s="29">
        <f t="shared" si="17"/>
        <v>5.9401655481976902E-3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1.1543309728944287E-2</v>
      </c>
      <c r="BE32" s="29">
        <f t="shared" si="22"/>
        <v>7.4837649437026893E-3</v>
      </c>
      <c r="BF32" s="29">
        <f t="shared" si="23"/>
        <v>1.7483475277141978E-2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7.63</v>
      </c>
      <c r="C33" s="33">
        <v>7.86</v>
      </c>
      <c r="D33" s="15">
        <v>1.1865663276500901E-2</v>
      </c>
      <c r="E33" s="15">
        <v>1.7972242404430398E-2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7.63</v>
      </c>
      <c r="M33" s="33">
        <v>7.86</v>
      </c>
      <c r="N33" s="34">
        <v>1.0301441677588401</v>
      </c>
      <c r="O33" s="34">
        <v>1.0269470164915</v>
      </c>
      <c r="P33" s="34">
        <v>1.0278068657500301</v>
      </c>
      <c r="Q33" s="34">
        <v>1.0235589840882999</v>
      </c>
      <c r="R33" s="33">
        <v>7.8356057358301801</v>
      </c>
      <c r="S33" s="33">
        <v>7.8328580659337899</v>
      </c>
      <c r="T33" s="33">
        <v>7.8057088674214796</v>
      </c>
      <c r="U33" s="15">
        <v>-3.1084220924528301E-3</v>
      </c>
      <c r="V33" s="15">
        <v>-3.4591482337417898E-3</v>
      </c>
      <c r="W33" s="15">
        <v>-6.9312343785271797E-3</v>
      </c>
      <c r="X33" s="34">
        <v>1.0301441677588401</v>
      </c>
      <c r="Y33" s="34">
        <v>1.0269470164915</v>
      </c>
      <c r="Z33" s="34">
        <v>1.0278068657500301</v>
      </c>
      <c r="AA33" s="34">
        <v>1.0235589840882999</v>
      </c>
      <c r="AB33" s="33">
        <v>7.8356057358301801</v>
      </c>
      <c r="AC33" s="33">
        <v>7.8328580659337899</v>
      </c>
      <c r="AD33" s="33">
        <v>7.8057088674214796</v>
      </c>
      <c r="AE33" s="15">
        <v>-3.1084220924528301E-3</v>
      </c>
      <c r="AF33" s="15">
        <v>-3.4591482337417898E-3</v>
      </c>
      <c r="AG33" s="15">
        <v>-6.9312343785271797E-3</v>
      </c>
      <c r="AI33" s="12"/>
      <c r="AJ33">
        <f t="shared" si="6"/>
        <v>1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5.9401655481976902E-3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1.1543309728944287E-2</v>
      </c>
      <c r="BE33" s="29">
        <f t="shared" si="22"/>
        <v>0</v>
      </c>
      <c r="BF33" s="29">
        <f t="shared" si="23"/>
        <v>1.7483475277141978E-2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7.49</v>
      </c>
      <c r="C34" s="33">
        <v>7.71</v>
      </c>
      <c r="D34" s="15">
        <v>-1.85190477672375E-2</v>
      </c>
      <c r="E34" s="15">
        <v>-1.9268418865877102E-2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7.49</v>
      </c>
      <c r="M34" s="33">
        <v>7.71</v>
      </c>
      <c r="N34" s="34">
        <v>1.02937249666221</v>
      </c>
      <c r="O34" s="34">
        <v>1.0269470164915</v>
      </c>
      <c r="P34" s="34">
        <v>1.0292080171059601</v>
      </c>
      <c r="Q34" s="34">
        <v>1.0242886926652499</v>
      </c>
      <c r="R34" s="33">
        <v>7.6918331535213698</v>
      </c>
      <c r="S34" s="33">
        <v>7.6982734244677804</v>
      </c>
      <c r="T34" s="33">
        <v>7.6664567908214103</v>
      </c>
      <c r="U34" s="15">
        <v>-2.3590509938131899E-3</v>
      </c>
      <c r="V34" s="15">
        <v>-1.52211444763699E-3</v>
      </c>
      <c r="W34" s="15">
        <v>-5.6636357991538197E-3</v>
      </c>
      <c r="X34" s="34">
        <v>1.02937249666221</v>
      </c>
      <c r="Y34" s="34">
        <v>1.0269470164915</v>
      </c>
      <c r="Z34" s="34">
        <v>1.0292080171059601</v>
      </c>
      <c r="AA34" s="34">
        <v>1.0242886926652499</v>
      </c>
      <c r="AB34" s="33">
        <v>7.6918331535213698</v>
      </c>
      <c r="AC34" s="33">
        <v>7.6982734244677804</v>
      </c>
      <c r="AD34" s="33">
        <v>7.6664567908214103</v>
      </c>
      <c r="AE34" s="15">
        <v>-2.3590509938131899E-3</v>
      </c>
      <c r="AF34" s="15">
        <v>-1.52211444763699E-3</v>
      </c>
      <c r="AG34" s="15">
        <v>-5.6636357991538197E-3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-1.85190477672375E-2</v>
      </c>
      <c r="AP34" s="28">
        <f t="shared" si="9"/>
        <v>1.9268418865877102E-2</v>
      </c>
      <c r="AQ34" s="28">
        <f t="shared" si="16"/>
        <v>7.4937109863960211E-4</v>
      </c>
      <c r="AR34" s="29">
        <f t="shared" si="17"/>
        <v>6.6895366468372923E-3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1.1543309728944287E-2</v>
      </c>
      <c r="BE34" s="29">
        <f t="shared" si="22"/>
        <v>7.4937109863960211E-4</v>
      </c>
      <c r="BF34" s="29">
        <f t="shared" si="23"/>
        <v>1.823284637578158E-2</v>
      </c>
      <c r="BH34" s="29"/>
    </row>
    <row r="35" spans="1:124" x14ac:dyDescent="0.25">
      <c r="A35" s="1">
        <v>46073</v>
      </c>
      <c r="B35" s="33">
        <v>7.88</v>
      </c>
      <c r="C35" s="33">
        <v>8.14</v>
      </c>
      <c r="D35" s="15">
        <v>5.0759106340659603E-2</v>
      </c>
      <c r="E35" s="15">
        <v>5.4271992439210798E-2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7.88</v>
      </c>
      <c r="M35" s="33">
        <v>8.14</v>
      </c>
      <c r="N35" s="34">
        <v>1.03299492385786</v>
      </c>
      <c r="O35" s="34">
        <v>1.0269470164915</v>
      </c>
      <c r="P35" s="34">
        <v>1.0303936883535401</v>
      </c>
      <c r="Q35" s="34">
        <v>1.0243937234109901</v>
      </c>
      <c r="R35" s="33">
        <v>8.0923424899530598</v>
      </c>
      <c r="S35" s="33">
        <v>8.1101591747950206</v>
      </c>
      <c r="T35" s="33">
        <v>8.0713948982022394</v>
      </c>
      <c r="U35" s="15">
        <v>-5.8719370923645499E-3</v>
      </c>
      <c r="V35" s="15">
        <v>-3.6726851013098101E-3</v>
      </c>
      <c r="W35" s="15">
        <v>-8.4638628302161206E-3</v>
      </c>
      <c r="X35" s="34">
        <v>1.03299492385786</v>
      </c>
      <c r="Y35" s="34">
        <v>1.0269470164915</v>
      </c>
      <c r="Z35" s="34">
        <v>1.0303936883535401</v>
      </c>
      <c r="AA35" s="34">
        <v>1.0243937234109901</v>
      </c>
      <c r="AB35" s="33">
        <v>8.0923424899530598</v>
      </c>
      <c r="AC35" s="33">
        <v>8.1101591747950206</v>
      </c>
      <c r="AD35" s="33">
        <v>8.0713948982022394</v>
      </c>
      <c r="AE35" s="15">
        <v>-5.8719370923645499E-3</v>
      </c>
      <c r="AF35" s="15">
        <v>-3.6726851013098101E-3</v>
      </c>
      <c r="AG35" s="15">
        <v>-8.4638628302161206E-3</v>
      </c>
      <c r="AI35" s="12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5.0759106340659603E-2</v>
      </c>
      <c r="AP35" s="28">
        <f t="shared" si="9"/>
        <v>-5.4271992439210798E-2</v>
      </c>
      <c r="AQ35" s="28">
        <f t="shared" si="16"/>
        <v>-3.5128860985511948E-3</v>
      </c>
      <c r="AR35" s="29">
        <f t="shared" si="17"/>
        <v>3.1766505482860976E-3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1.1543309728944287E-2</v>
      </c>
      <c r="BE35" s="29">
        <f t="shared" si="22"/>
        <v>-3.5128860985511948E-3</v>
      </c>
      <c r="BF35" s="29">
        <f t="shared" si="23"/>
        <v>1.4719960277230385E-2</v>
      </c>
      <c r="BH35" s="29"/>
    </row>
    <row r="36" spans="1:124" x14ac:dyDescent="0.25">
      <c r="A36" s="1">
        <v>46076</v>
      </c>
      <c r="B36" s="33">
        <v>7.45</v>
      </c>
      <c r="C36" s="33">
        <v>7.62</v>
      </c>
      <c r="D36" s="15">
        <v>-5.6113871478319498E-2</v>
      </c>
      <c r="E36" s="15">
        <v>-6.6013810315894095E-2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7.45</v>
      </c>
      <c r="M36" s="33">
        <v>7.62</v>
      </c>
      <c r="N36" s="34">
        <v>1.0228187919463001</v>
      </c>
      <c r="O36" s="34">
        <v>1.0269470164915</v>
      </c>
      <c r="P36" s="34">
        <v>1.0296782923438099</v>
      </c>
      <c r="Q36" s="34">
        <v>1.02440744883762</v>
      </c>
      <c r="R36" s="33">
        <v>7.6507552728617103</v>
      </c>
      <c r="S36" s="33">
        <v>7.6764329782338896</v>
      </c>
      <c r="T36" s="33">
        <v>7.6317332394119299</v>
      </c>
      <c r="U36" s="15">
        <v>4.0280017452101E-3</v>
      </c>
      <c r="V36" s="15">
        <v>7.3786136088193899E-3</v>
      </c>
      <c r="W36" s="15">
        <v>1.53861092932258E-3</v>
      </c>
      <c r="X36" s="34">
        <v>1.0228187919463001</v>
      </c>
      <c r="Y36" s="34">
        <v>1.0269470164915</v>
      </c>
      <c r="Z36" s="34">
        <v>1.0296782923438099</v>
      </c>
      <c r="AA36" s="34">
        <v>1.02440744883762</v>
      </c>
      <c r="AB36" s="33">
        <v>7.6507552728617103</v>
      </c>
      <c r="AC36" s="33">
        <v>7.6764329782338896</v>
      </c>
      <c r="AD36" s="33">
        <v>7.6317332394119299</v>
      </c>
      <c r="AE36" s="15">
        <v>4.0280017452101E-3</v>
      </c>
      <c r="AF36" s="15">
        <v>7.3786136088193899E-3</v>
      </c>
      <c r="AG36" s="15">
        <v>1.53861092932258E-3</v>
      </c>
      <c r="AI36" s="12"/>
      <c r="AJ36">
        <f t="shared" si="6"/>
        <v>0</v>
      </c>
      <c r="AK36">
        <f t="shared" si="7"/>
        <v>1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-5.6113871478319498E-2</v>
      </c>
      <c r="AP36" s="28">
        <f t="shared" si="9"/>
        <v>6.6013810315894095E-2</v>
      </c>
      <c r="AQ36" s="28">
        <f t="shared" si="16"/>
        <v>9.899938837574597E-3</v>
      </c>
      <c r="AR36" s="29">
        <f t="shared" si="17"/>
        <v>1.3076589385860694E-2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1.1543309728944287E-2</v>
      </c>
      <c r="BE36" s="29">
        <f t="shared" si="22"/>
        <v>9.899938837574597E-3</v>
      </c>
      <c r="BF36" s="29">
        <f t="shared" si="23"/>
        <v>2.4619899114804982E-2</v>
      </c>
      <c r="BH36" s="29"/>
    </row>
    <row r="37" spans="1:124" x14ac:dyDescent="0.25">
      <c r="A37" s="1">
        <v>46077</v>
      </c>
      <c r="B37" s="33">
        <v>7.54</v>
      </c>
      <c r="C37" s="33">
        <v>7.75</v>
      </c>
      <c r="D37" s="15">
        <v>1.2008149628396501E-2</v>
      </c>
      <c r="E37" s="15">
        <v>1.6916473666700599E-2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7.54</v>
      </c>
      <c r="M37" s="33">
        <v>7.75</v>
      </c>
      <c r="N37" s="34">
        <v>1.02785145888594</v>
      </c>
      <c r="O37" s="34">
        <v>1.0269470164915</v>
      </c>
      <c r="P37" s="34">
        <v>1.02985247217496</v>
      </c>
      <c r="Q37" s="34">
        <v>1.0249143535049401</v>
      </c>
      <c r="R37" s="33">
        <v>7.7431805043459496</v>
      </c>
      <c r="S37" s="33">
        <v>7.76377432427235</v>
      </c>
      <c r="T37" s="33">
        <v>7.72403216423566</v>
      </c>
      <c r="U37" s="15">
        <v>-8.8032229309416201E-4</v>
      </c>
      <c r="V37" s="15">
        <v>1.77575457835037E-3</v>
      </c>
      <c r="W37" s="15">
        <v>-3.3563146135013001E-3</v>
      </c>
      <c r="X37" s="34">
        <v>1.02785145888594</v>
      </c>
      <c r="Y37" s="34">
        <v>1.0269470164915</v>
      </c>
      <c r="Z37" s="34">
        <v>1.02985247217496</v>
      </c>
      <c r="AA37" s="34">
        <v>1.0249143535049401</v>
      </c>
      <c r="AB37" s="33">
        <v>7.7431805043459496</v>
      </c>
      <c r="AC37" s="33">
        <v>7.76377432427235</v>
      </c>
      <c r="AD37" s="33">
        <v>7.72403216423566</v>
      </c>
      <c r="AE37" s="15">
        <v>-8.8032229309416201E-4</v>
      </c>
      <c r="AF37" s="15">
        <v>1.77575457835037E-3</v>
      </c>
      <c r="AG37" s="15">
        <v>-3.3563146135013001E-3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1.3076589385860694E-2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1.1543309728944287E-2</v>
      </c>
      <c r="BE37" s="29">
        <f t="shared" si="22"/>
        <v>0</v>
      </c>
      <c r="BF37" s="29">
        <f t="shared" si="23"/>
        <v>2.4619899114804982E-2</v>
      </c>
      <c r="BH37" s="29"/>
    </row>
    <row r="38" spans="1:124" x14ac:dyDescent="0.25">
      <c r="A38" s="1">
        <v>46078</v>
      </c>
      <c r="B38" s="33">
        <v>7.36</v>
      </c>
      <c r="C38" s="33">
        <v>7.59</v>
      </c>
      <c r="D38" s="15">
        <v>-2.4162249279079801E-2</v>
      </c>
      <c r="E38" s="15">
        <v>-2.0861251957717E-2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7.36</v>
      </c>
      <c r="M38" s="33">
        <v>7.59</v>
      </c>
      <c r="N38" s="34">
        <v>1.03125</v>
      </c>
      <c r="O38" s="34">
        <v>1.0269470164915</v>
      </c>
      <c r="P38" s="34">
        <v>1.02932250141473</v>
      </c>
      <c r="Q38" s="34">
        <v>1.02551066993006</v>
      </c>
      <c r="R38" s="33">
        <v>7.5583300413774799</v>
      </c>
      <c r="S38" s="33">
        <v>7.5797141952077496</v>
      </c>
      <c r="T38" s="33">
        <v>7.5433696417964002</v>
      </c>
      <c r="U38" s="15">
        <v>-4.1813196144568701E-3</v>
      </c>
      <c r="V38" s="15">
        <v>-1.3560975818242599E-3</v>
      </c>
      <c r="W38" s="15">
        <v>-6.1626071236595302E-3</v>
      </c>
      <c r="X38" s="34">
        <v>1.03125</v>
      </c>
      <c r="Y38" s="34">
        <v>1.0269470164915</v>
      </c>
      <c r="Z38" s="34">
        <v>1.02932250141473</v>
      </c>
      <c r="AA38" s="34">
        <v>1.02551066993006</v>
      </c>
      <c r="AB38" s="33">
        <v>7.5583300413774799</v>
      </c>
      <c r="AC38" s="33">
        <v>7.5797141952077496</v>
      </c>
      <c r="AD38" s="33">
        <v>7.5433696417964002</v>
      </c>
      <c r="AE38" s="15">
        <v>-4.1813196144568701E-3</v>
      </c>
      <c r="AF38" s="15">
        <v>-1.3560975818242599E-3</v>
      </c>
      <c r="AG38" s="15">
        <v>-6.1626071236595302E-3</v>
      </c>
      <c r="AI38" s="12"/>
      <c r="AJ38">
        <f t="shared" si="6"/>
        <v>1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1.3076589385860694E-2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1.1543309728944287E-2</v>
      </c>
      <c r="BE38" s="29">
        <f t="shared" si="22"/>
        <v>0</v>
      </c>
      <c r="BF38" s="29">
        <f t="shared" si="23"/>
        <v>2.4619899114804982E-2</v>
      </c>
      <c r="BH38" s="29"/>
    </row>
    <row r="39" spans="1:124" x14ac:dyDescent="0.25">
      <c r="A39" s="1">
        <v>46079</v>
      </c>
      <c r="B39" s="33">
        <v>7.38</v>
      </c>
      <c r="C39" s="33">
        <v>7.62</v>
      </c>
      <c r="D39" s="15">
        <v>2.7137058715960998E-3</v>
      </c>
      <c r="E39" s="15">
        <v>3.9447782910163199E-3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7.38</v>
      </c>
      <c r="M39" s="33">
        <v>7.62</v>
      </c>
      <c r="N39" s="34">
        <v>1.03252032520325</v>
      </c>
      <c r="O39" s="34">
        <v>1.0269470164915</v>
      </c>
      <c r="P39" s="34">
        <v>1.0291671265276501</v>
      </c>
      <c r="Q39" s="34">
        <v>1.0263841778290199</v>
      </c>
      <c r="R39" s="33">
        <v>7.57886898170731</v>
      </c>
      <c r="S39" s="33">
        <v>7.59640006044072</v>
      </c>
      <c r="T39" s="33">
        <v>7.5682687440838903</v>
      </c>
      <c r="U39" s="15">
        <v>-5.4123920338769596E-3</v>
      </c>
      <c r="V39" s="15">
        <v>-3.1019108841056999E-3</v>
      </c>
      <c r="W39" s="15">
        <v>-6.8120279975538997E-3</v>
      </c>
      <c r="X39" s="34">
        <v>1.03252032520325</v>
      </c>
      <c r="Y39" s="34">
        <v>1.0269470164915</v>
      </c>
      <c r="Z39" s="34">
        <v>1.0291671265276501</v>
      </c>
      <c r="AA39" s="34">
        <v>1.0263841778290199</v>
      </c>
      <c r="AB39" s="33">
        <v>7.57886898170731</v>
      </c>
      <c r="AC39" s="33">
        <v>7.59640006044072</v>
      </c>
      <c r="AD39" s="33">
        <v>7.5682687440838903</v>
      </c>
      <c r="AE39" s="15">
        <v>-5.4123920338769596E-3</v>
      </c>
      <c r="AF39" s="15">
        <v>-3.1019108841056999E-3</v>
      </c>
      <c r="AG39" s="15">
        <v>-6.8120279975538997E-3</v>
      </c>
      <c r="AI39" s="12"/>
      <c r="AJ39">
        <f t="shared" si="6"/>
        <v>1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2.7137058715960998E-3</v>
      </c>
      <c r="AP39" s="28">
        <f t="shared" si="9"/>
        <v>-3.9447782910163199E-3</v>
      </c>
      <c r="AQ39" s="28">
        <f t="shared" si="16"/>
        <v>-1.2310724194202201E-3</v>
      </c>
      <c r="AR39" s="29">
        <f t="shared" si="17"/>
        <v>1.1845516966440473E-2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1.1543309728944287E-2</v>
      </c>
      <c r="BE39" s="29">
        <f t="shared" si="22"/>
        <v>-1.2310724194202201E-3</v>
      </c>
      <c r="BF39" s="29">
        <f t="shared" si="23"/>
        <v>2.3388826695384762E-2</v>
      </c>
      <c r="BH39" s="29"/>
    </row>
    <row r="40" spans="1:124" x14ac:dyDescent="0.25">
      <c r="A40" s="1">
        <v>46080</v>
      </c>
      <c r="B40" s="33">
        <v>7.23</v>
      </c>
      <c r="C40" s="33">
        <v>7.42</v>
      </c>
      <c r="D40" s="15">
        <v>-2.0534602441707701E-2</v>
      </c>
      <c r="E40" s="15">
        <v>-2.6597312519265798E-2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7.23</v>
      </c>
      <c r="M40" s="33">
        <v>7.42</v>
      </c>
      <c r="N40" s="34">
        <v>1.02627939142461</v>
      </c>
      <c r="O40" s="34">
        <v>1.0269470164915</v>
      </c>
      <c r="P40" s="34">
        <v>1.02886680798343</v>
      </c>
      <c r="Q40" s="34">
        <v>1.02668634301577</v>
      </c>
      <c r="R40" s="33">
        <v>7.4248269292335802</v>
      </c>
      <c r="S40" s="33">
        <v>7.4408783247949097</v>
      </c>
      <c r="T40" s="33">
        <v>7.4207576057038498</v>
      </c>
      <c r="U40" s="15">
        <v>6.5031804368103599E-4</v>
      </c>
      <c r="V40" s="15">
        <v>2.8098391057566801E-3</v>
      </c>
      <c r="W40" s="15">
        <v>1.02097982412753E-4</v>
      </c>
      <c r="X40" s="34">
        <v>1.02627939142461</v>
      </c>
      <c r="Y40" s="34">
        <v>1.0269470164915</v>
      </c>
      <c r="Z40" s="34">
        <v>1.02886680798343</v>
      </c>
      <c r="AA40" s="34">
        <v>1.02668634301577</v>
      </c>
      <c r="AB40" s="33">
        <v>7.4248269292335802</v>
      </c>
      <c r="AC40" s="33">
        <v>7.4408783247949097</v>
      </c>
      <c r="AD40" s="33">
        <v>7.4207576057038498</v>
      </c>
      <c r="AE40" s="15">
        <v>6.5031804368103599E-4</v>
      </c>
      <c r="AF40" s="15">
        <v>2.8098391057566801E-3</v>
      </c>
      <c r="AG40" s="15">
        <v>1.02097982412753E-4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1</v>
      </c>
      <c r="AN40">
        <f t="shared" si="15"/>
        <v>1</v>
      </c>
      <c r="AO40" s="28">
        <f t="shared" si="8"/>
        <v>-2.0534602441707701E-2</v>
      </c>
      <c r="AP40" s="28">
        <f t="shared" si="9"/>
        <v>2.6597312519265798E-2</v>
      </c>
      <c r="AQ40" s="28">
        <f t="shared" si="16"/>
        <v>6.0627100775580978E-3</v>
      </c>
      <c r="AR40" s="29">
        <f t="shared" si="17"/>
        <v>1.7908227043998571E-2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1.1543309728944287E-2</v>
      </c>
      <c r="BE40" s="29">
        <f t="shared" si="22"/>
        <v>6.0627100775580978E-3</v>
      </c>
      <c r="BF40" s="29">
        <f t="shared" si="23"/>
        <v>2.9451536772942859E-2</v>
      </c>
      <c r="BH40" s="29"/>
    </row>
    <row r="41" spans="1:124" x14ac:dyDescent="0.25">
      <c r="A41" s="1">
        <v>46083</v>
      </c>
      <c r="B41" s="33">
        <v>7.07</v>
      </c>
      <c r="C41" s="33">
        <v>7.23</v>
      </c>
      <c r="D41" s="15">
        <v>-2.2378556262191901E-2</v>
      </c>
      <c r="E41" s="15">
        <v>-2.5940021008615699E-2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7.07</v>
      </c>
      <c r="M41" s="33">
        <v>7.23</v>
      </c>
      <c r="N41" s="34">
        <v>1.0226308345120201</v>
      </c>
      <c r="O41" s="34">
        <v>1.0269470164915</v>
      </c>
      <c r="P41" s="34">
        <v>1.0279735069296101</v>
      </c>
      <c r="Q41" s="34">
        <v>1.0269941615123701</v>
      </c>
      <c r="R41" s="33">
        <v>7.2605154065949398</v>
      </c>
      <c r="S41" s="33">
        <v>7.27408833244289</v>
      </c>
      <c r="T41" s="33">
        <v>7.2586724451214897</v>
      </c>
      <c r="U41" s="15">
        <v>4.2117827901047697E-3</v>
      </c>
      <c r="V41" s="15">
        <v>6.0794539061613598E-3</v>
      </c>
      <c r="W41" s="15">
        <v>3.9579171466310702E-3</v>
      </c>
      <c r="X41" s="34">
        <v>1.0226308345120201</v>
      </c>
      <c r="Y41" s="34">
        <v>1.0269470164915</v>
      </c>
      <c r="Z41" s="34">
        <v>1.0279735069296101</v>
      </c>
      <c r="AA41" s="34">
        <v>1.0269941615123701</v>
      </c>
      <c r="AB41" s="33">
        <v>7.2605154065949398</v>
      </c>
      <c r="AC41" s="33">
        <v>7.27408833244289</v>
      </c>
      <c r="AD41" s="33">
        <v>7.2586724451214897</v>
      </c>
      <c r="AE41" s="15">
        <v>4.2117827901047697E-3</v>
      </c>
      <c r="AF41" s="15">
        <v>6.0794539061613598E-3</v>
      </c>
      <c r="AG41" s="15">
        <v>3.9579171466310702E-3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1.7908227043998571E-2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1.1543309728944287E-2</v>
      </c>
      <c r="BE41" s="29">
        <f t="shared" si="22"/>
        <v>0</v>
      </c>
      <c r="BF41" s="29">
        <f t="shared" si="23"/>
        <v>2.9451536772942859E-2</v>
      </c>
      <c r="BH41" s="29"/>
    </row>
    <row r="42" spans="1:124" x14ac:dyDescent="0.25">
      <c r="A42" s="1">
        <v>46084</v>
      </c>
      <c r="B42" s="33">
        <v>6.97</v>
      </c>
      <c r="C42" s="33">
        <v>7.12</v>
      </c>
      <c r="D42" s="15">
        <v>-1.42452551360489E-2</v>
      </c>
      <c r="E42" s="15">
        <v>-1.5331310746788901E-2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6.97</v>
      </c>
      <c r="M42" s="33">
        <v>7.12</v>
      </c>
      <c r="N42" s="34">
        <v>1.0215208034433201</v>
      </c>
      <c r="O42" s="34">
        <v>1.0269470164915</v>
      </c>
      <c r="P42" s="34">
        <v>1.02773831936944</v>
      </c>
      <c r="Q42" s="34">
        <v>1.0271626109254599</v>
      </c>
      <c r="R42" s="33">
        <v>7.1578207049457898</v>
      </c>
      <c r="S42" s="33">
        <v>7.1649753432994299</v>
      </c>
      <c r="T42" s="33">
        <v>7.1581493057412597</v>
      </c>
      <c r="U42" s="15">
        <v>5.2978384008447897E-3</v>
      </c>
      <c r="V42" s="15">
        <v>6.2968945801870997E-3</v>
      </c>
      <c r="W42" s="15">
        <v>5.3437452859921297E-3</v>
      </c>
      <c r="X42" s="34">
        <v>1.0215208034433201</v>
      </c>
      <c r="Y42" s="34">
        <v>1.0269470164915</v>
      </c>
      <c r="Z42" s="34">
        <v>1.02773831936944</v>
      </c>
      <c r="AA42" s="34">
        <v>1.0271626109254599</v>
      </c>
      <c r="AB42" s="33">
        <v>7.1578207049457898</v>
      </c>
      <c r="AC42" s="33">
        <v>7.1649753432994299</v>
      </c>
      <c r="AD42" s="33">
        <v>7.1581493057412597</v>
      </c>
      <c r="AE42" s="15">
        <v>5.2978384008447897E-3</v>
      </c>
      <c r="AF42" s="15">
        <v>6.2968945801870997E-3</v>
      </c>
      <c r="AG42" s="15">
        <v>5.3437452859921297E-3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1.7908227043998571E-2</v>
      </c>
      <c r="AT42" s="12"/>
      <c r="AU42">
        <f t="shared" si="10"/>
        <v>1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1.1543309728944287E-2</v>
      </c>
      <c r="BE42" s="29">
        <f t="shared" si="22"/>
        <v>0</v>
      </c>
      <c r="BF42" s="29">
        <f t="shared" si="23"/>
        <v>2.9451536772942859E-2</v>
      </c>
      <c r="BH42" s="29"/>
    </row>
    <row r="43" spans="1:124" x14ac:dyDescent="0.25">
      <c r="A43" s="1">
        <v>46085</v>
      </c>
      <c r="B43" s="33">
        <v>6.7</v>
      </c>
      <c r="C43" s="33">
        <v>6.82</v>
      </c>
      <c r="D43" s="15">
        <v>-3.9507698375512101E-2</v>
      </c>
      <c r="E43" s="15">
        <v>-4.3048253568513599E-2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6.7</v>
      </c>
      <c r="M43" s="33">
        <v>6.82</v>
      </c>
      <c r="N43" s="34">
        <v>1.01791044776119</v>
      </c>
      <c r="O43" s="34">
        <v>1.0269470164915</v>
      </c>
      <c r="P43" s="34">
        <v>1.02651494736967</v>
      </c>
      <c r="Q43" s="34">
        <v>1.0271609065598499</v>
      </c>
      <c r="R43" s="33">
        <v>6.8805450104930799</v>
      </c>
      <c r="S43" s="33">
        <v>6.8858467397752499</v>
      </c>
      <c r="T43" s="33">
        <v>6.8819894932006296</v>
      </c>
      <c r="U43" s="15">
        <v>8.8383935938463505E-3</v>
      </c>
      <c r="V43" s="15">
        <v>9.6086360278049496E-3</v>
      </c>
      <c r="W43" s="15">
        <v>9.0483088114913599E-3</v>
      </c>
      <c r="X43" s="34">
        <v>1.01791044776119</v>
      </c>
      <c r="Y43" s="34">
        <v>1.0269470164915</v>
      </c>
      <c r="Z43" s="34">
        <v>1.02651494736967</v>
      </c>
      <c r="AA43" s="34">
        <v>1.0271609065598499</v>
      </c>
      <c r="AB43" s="33">
        <v>6.8805450104930799</v>
      </c>
      <c r="AC43" s="33">
        <v>6.8858467397752499</v>
      </c>
      <c r="AD43" s="33">
        <v>6.8819894932006296</v>
      </c>
      <c r="AE43" s="15">
        <v>8.8383935938463505E-3</v>
      </c>
      <c r="AF43" s="15">
        <v>9.6086360278049496E-3</v>
      </c>
      <c r="AG43" s="15">
        <v>9.0483088114913599E-3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1.7908227043998571E-2</v>
      </c>
      <c r="AT43" s="12"/>
      <c r="AU43">
        <f t="shared" si="10"/>
        <v>1</v>
      </c>
      <c r="AV43">
        <f t="shared" si="11"/>
        <v>0</v>
      </c>
      <c r="AW43">
        <f t="shared" si="18"/>
        <v>1</v>
      </c>
      <c r="AX43">
        <f t="shared" si="5"/>
        <v>1</v>
      </c>
      <c r="AY43">
        <f t="shared" si="19"/>
        <v>1</v>
      </c>
      <c r="AZ43" s="28">
        <f t="shared" si="12"/>
        <v>3.9507698375512101E-2</v>
      </c>
      <c r="BA43" s="28">
        <f t="shared" si="13"/>
        <v>-4.3048253568513599E-2</v>
      </c>
      <c r="BB43" s="28">
        <f t="shared" si="20"/>
        <v>-3.5405551930014975E-3</v>
      </c>
      <c r="BC43" s="29">
        <f t="shared" si="21"/>
        <v>8.0027545359427892E-3</v>
      </c>
      <c r="BE43" s="29">
        <f t="shared" si="22"/>
        <v>-3.5405551930014975E-3</v>
      </c>
      <c r="BF43" s="29">
        <f t="shared" si="23"/>
        <v>2.5910981579941362E-2</v>
      </c>
      <c r="BH43" s="29"/>
    </row>
    <row r="44" spans="1:124" x14ac:dyDescent="0.25">
      <c r="A44" s="1">
        <v>46086</v>
      </c>
      <c r="B44" s="33">
        <v>6.55</v>
      </c>
      <c r="C44" s="33">
        <v>6.72</v>
      </c>
      <c r="D44" s="15">
        <v>-2.2642476749759801E-2</v>
      </c>
      <c r="E44" s="15">
        <v>-1.47713173203126E-2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6.55</v>
      </c>
      <c r="M44" s="33">
        <v>6.72</v>
      </c>
      <c r="N44" s="34">
        <v>1.0259541984732801</v>
      </c>
      <c r="O44" s="34">
        <v>1.0269470164915</v>
      </c>
      <c r="P44" s="34">
        <v>1.02617311755078</v>
      </c>
      <c r="Q44" s="34">
        <v>1.0276905673283701</v>
      </c>
      <c r="R44" s="33">
        <v>6.7265029580193598</v>
      </c>
      <c r="S44" s="33">
        <v>6.7236729052713704</v>
      </c>
      <c r="T44" s="33">
        <v>6.7279039379670502</v>
      </c>
      <c r="U44" s="15">
        <v>9.6723416439910899E-4</v>
      </c>
      <c r="V44" s="15">
        <v>5.4641397312155495E-4</v>
      </c>
      <c r="W44" s="15">
        <v>1.17549008583673E-3</v>
      </c>
      <c r="X44" s="34">
        <v>1.0259541984732801</v>
      </c>
      <c r="Y44" s="34">
        <v>1.0269470164915</v>
      </c>
      <c r="Z44" s="34">
        <v>1.02617311755078</v>
      </c>
      <c r="AA44" s="34">
        <v>1.0276905673283701</v>
      </c>
      <c r="AB44" s="33">
        <v>6.7265029580193598</v>
      </c>
      <c r="AC44" s="33">
        <v>6.7236729052713704</v>
      </c>
      <c r="AD44" s="33">
        <v>6.7279039379670502</v>
      </c>
      <c r="AE44" s="15">
        <v>9.6723416439910899E-4</v>
      </c>
      <c r="AF44" s="15">
        <v>5.4641397312155495E-4</v>
      </c>
      <c r="AG44" s="15">
        <v>1.17549008583673E-3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1.7908227043998571E-2</v>
      </c>
      <c r="AT44" s="12"/>
      <c r="AU44">
        <f t="shared" si="10"/>
        <v>0</v>
      </c>
      <c r="AV44">
        <f t="shared" si="11"/>
        <v>1</v>
      </c>
      <c r="AW44">
        <f t="shared" si="18"/>
        <v>1</v>
      </c>
      <c r="AX44">
        <f t="shared" si="5"/>
        <v>1</v>
      </c>
      <c r="AY44">
        <f t="shared" si="19"/>
        <v>1</v>
      </c>
      <c r="AZ44" s="28">
        <f t="shared" si="12"/>
        <v>2.2642476749759801E-2</v>
      </c>
      <c r="BA44" s="28">
        <f t="shared" si="13"/>
        <v>-1.47713173203126E-2</v>
      </c>
      <c r="BB44" s="28">
        <f t="shared" si="20"/>
        <v>7.8711594294472009E-3</v>
      </c>
      <c r="BC44" s="29">
        <f t="shared" si="21"/>
        <v>1.587391396538999E-2</v>
      </c>
      <c r="BE44" s="29">
        <f t="shared" si="22"/>
        <v>7.8711594294472009E-3</v>
      </c>
      <c r="BF44" s="29">
        <f t="shared" si="23"/>
        <v>3.3782141009388561E-2</v>
      </c>
      <c r="BH44" s="29"/>
    </row>
    <row r="45" spans="1:124" x14ac:dyDescent="0.25">
      <c r="A45" s="1">
        <v>46087</v>
      </c>
      <c r="B45" s="33">
        <v>6.41</v>
      </c>
      <c r="C45" s="33">
        <v>6.59</v>
      </c>
      <c r="D45" s="15">
        <v>-2.1605778714581799E-2</v>
      </c>
      <c r="E45" s="15">
        <v>-1.9534806020642202E-2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6.41</v>
      </c>
      <c r="M45" s="33">
        <v>6.59</v>
      </c>
      <c r="N45" s="34">
        <v>1.0280811232449201</v>
      </c>
      <c r="O45" s="34">
        <v>1.0269470164915</v>
      </c>
      <c r="P45" s="34">
        <v>1.02568173748948</v>
      </c>
      <c r="Q45" s="34">
        <v>1.0280377129215099</v>
      </c>
      <c r="R45" s="33">
        <v>6.5827303757105504</v>
      </c>
      <c r="S45" s="33">
        <v>6.5777696835005104</v>
      </c>
      <c r="T45" s="33">
        <v>6.5874965365748803</v>
      </c>
      <c r="U45" s="15">
        <v>-1.1037385295403299E-3</v>
      </c>
      <c r="V45" s="15">
        <v>-1.85761451034081E-3</v>
      </c>
      <c r="W45" s="15">
        <v>-3.7996040420729599E-4</v>
      </c>
      <c r="X45" s="34">
        <v>1.0280811232449201</v>
      </c>
      <c r="Y45" s="34">
        <v>1.0269470164915</v>
      </c>
      <c r="Z45" s="34">
        <v>1.02568173748948</v>
      </c>
      <c r="AA45" s="34">
        <v>1.0280377129215099</v>
      </c>
      <c r="AB45" s="33">
        <v>6.5827303757105504</v>
      </c>
      <c r="AC45" s="33">
        <v>6.5777696835005104</v>
      </c>
      <c r="AD45" s="33">
        <v>6.5874965365748803</v>
      </c>
      <c r="AE45" s="15">
        <v>-1.1037385295403299E-3</v>
      </c>
      <c r="AF45" s="15">
        <v>-1.85761451034081E-3</v>
      </c>
      <c r="AG45" s="15">
        <v>-3.7996040420729599E-4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1.7908227043998571E-2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1.587391396538999E-2</v>
      </c>
      <c r="BE45" s="29">
        <f t="shared" si="22"/>
        <v>0</v>
      </c>
      <c r="BF45" s="29">
        <f t="shared" si="23"/>
        <v>3.3782141009388561E-2</v>
      </c>
      <c r="BH45" s="29"/>
    </row>
    <row r="46" spans="1:124" x14ac:dyDescent="0.25">
      <c r="A46" s="1">
        <v>46090</v>
      </c>
      <c r="B46" s="33">
        <v>6.26</v>
      </c>
      <c r="C46" s="33">
        <v>6.48</v>
      </c>
      <c r="D46" s="15">
        <v>-2.3679085820571499E-2</v>
      </c>
      <c r="E46" s="15">
        <v>-1.6832838150232302E-2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6.26</v>
      </c>
      <c r="M46" s="33">
        <v>6.48</v>
      </c>
      <c r="N46" s="34">
        <v>1.0351437699680499</v>
      </c>
      <c r="O46" s="34">
        <v>1.0269470164915</v>
      </c>
      <c r="P46" s="34">
        <v>1.02691423529166</v>
      </c>
      <c r="Q46" s="34">
        <v>1.02829626381773</v>
      </c>
      <c r="R46" s="33">
        <v>6.4286883232368197</v>
      </c>
      <c r="S46" s="33">
        <v>6.4207676766841901</v>
      </c>
      <c r="T46" s="33">
        <v>6.4355160828886797</v>
      </c>
      <c r="U46" s="15">
        <v>-7.9499861998794299E-3</v>
      </c>
      <c r="V46" s="15">
        <v>-9.1828240034236997E-3</v>
      </c>
      <c r="W46" s="15">
        <v>-6.88847317078923E-3</v>
      </c>
      <c r="X46" s="34">
        <v>1.0351437699680499</v>
      </c>
      <c r="Y46" s="34">
        <v>1.0269470164915</v>
      </c>
      <c r="Z46" s="34">
        <v>1.02691423529166</v>
      </c>
      <c r="AA46" s="34">
        <v>1.02829626381773</v>
      </c>
      <c r="AB46" s="33">
        <v>6.4286883232368197</v>
      </c>
      <c r="AC46" s="33">
        <v>6.4207676766841901</v>
      </c>
      <c r="AD46" s="33">
        <v>6.4355160828886797</v>
      </c>
      <c r="AE46" s="15">
        <v>-7.9499861998794299E-3</v>
      </c>
      <c r="AF46" s="15">
        <v>-9.1828240034236997E-3</v>
      </c>
      <c r="AG46" s="15">
        <v>-6.88847317078923E-3</v>
      </c>
      <c r="AI46" s="12"/>
      <c r="AJ46">
        <f t="shared" si="6"/>
        <v>1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1.7908227043998571E-2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1.587391396538999E-2</v>
      </c>
      <c r="BE46" s="29">
        <f t="shared" si="22"/>
        <v>0</v>
      </c>
      <c r="BF46" s="29">
        <f t="shared" si="23"/>
        <v>3.3782141009388561E-2</v>
      </c>
      <c r="BH46" s="29"/>
    </row>
    <row r="47" spans="1:124" x14ac:dyDescent="0.25">
      <c r="A47" s="1">
        <v>46091</v>
      </c>
      <c r="B47" s="33">
        <v>6.47</v>
      </c>
      <c r="C47" s="33">
        <v>6.68</v>
      </c>
      <c r="D47" s="15">
        <v>3.2995923400801902E-2</v>
      </c>
      <c r="E47" s="15">
        <v>3.03974771843709E-2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6.47</v>
      </c>
      <c r="M47" s="33">
        <v>6.68</v>
      </c>
      <c r="N47" s="34">
        <v>1.03245749613601</v>
      </c>
      <c r="O47" s="34">
        <v>1.0269470164915</v>
      </c>
      <c r="P47" s="34">
        <v>1.0273748390166599</v>
      </c>
      <c r="Q47" s="34">
        <v>1.0286136555958101</v>
      </c>
      <c r="R47" s="33">
        <v>6.64434719670004</v>
      </c>
      <c r="S47" s="33">
        <v>6.6441351023370503</v>
      </c>
      <c r="T47" s="33">
        <v>6.6530768269007599</v>
      </c>
      <c r="U47" s="15">
        <v>-5.3515399834483902E-3</v>
      </c>
      <c r="V47" s="15">
        <v>-5.3834615164319302E-3</v>
      </c>
      <c r="W47" s="15">
        <v>-4.0385591475622703E-3</v>
      </c>
      <c r="X47" s="34">
        <v>1.03245749613601</v>
      </c>
      <c r="Y47" s="34">
        <v>1.0269470164915</v>
      </c>
      <c r="Z47" s="34">
        <v>1.0273748390166599</v>
      </c>
      <c r="AA47" s="34">
        <v>1.0286136555958101</v>
      </c>
      <c r="AB47" s="33">
        <v>6.64434719670004</v>
      </c>
      <c r="AC47" s="33">
        <v>6.6441351023370503</v>
      </c>
      <c r="AD47" s="33">
        <v>6.6530768269007599</v>
      </c>
      <c r="AE47" s="15">
        <v>-5.3515399834483902E-3</v>
      </c>
      <c r="AF47" s="15">
        <v>-5.3834615164319302E-3</v>
      </c>
      <c r="AG47" s="15">
        <v>-4.0385591475622703E-3</v>
      </c>
      <c r="AI47" s="12"/>
      <c r="AJ47">
        <f t="shared" si="6"/>
        <v>0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3.2995923400801902E-2</v>
      </c>
      <c r="AP47" s="28">
        <f t="shared" si="9"/>
        <v>-3.03974771843709E-2</v>
      </c>
      <c r="AQ47" s="28">
        <f t="shared" si="16"/>
        <v>2.5984462164310024E-3</v>
      </c>
      <c r="AR47" s="29">
        <f t="shared" si="17"/>
        <v>2.0506673260429573E-2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1.587391396538999E-2</v>
      </c>
      <c r="BE47" s="29">
        <f t="shared" si="22"/>
        <v>2.5984462164310024E-3</v>
      </c>
      <c r="BF47" s="29">
        <f t="shared" si="23"/>
        <v>3.6380587225819563E-2</v>
      </c>
      <c r="BH47" s="29"/>
    </row>
    <row r="48" spans="1:124" x14ac:dyDescent="0.25">
      <c r="A48" s="1">
        <v>46092</v>
      </c>
      <c r="B48" s="33">
        <v>6.3</v>
      </c>
      <c r="C48" s="33">
        <v>6.52</v>
      </c>
      <c r="D48" s="15">
        <v>-2.6626475115322099E-2</v>
      </c>
      <c r="E48" s="15">
        <v>-2.4243611609992801E-2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6.3</v>
      </c>
      <c r="M48" s="33">
        <v>6.52</v>
      </c>
      <c r="N48" s="34">
        <v>1.0349206349206299</v>
      </c>
      <c r="O48" s="34">
        <v>1.0269470164915</v>
      </c>
      <c r="P48" s="34">
        <v>1.02774190250873</v>
      </c>
      <c r="Q48" s="34">
        <v>1.02853220196173</v>
      </c>
      <c r="R48" s="33">
        <v>6.4697662038964801</v>
      </c>
      <c r="S48" s="33">
        <v>6.4724614858050096</v>
      </c>
      <c r="T48" s="33">
        <v>6.4802660302536497</v>
      </c>
      <c r="U48" s="15">
        <v>-7.7344034887777899E-3</v>
      </c>
      <c r="V48" s="15">
        <v>-7.3178937483969501E-3</v>
      </c>
      <c r="W48" s="15">
        <v>-6.1128123655828301E-3</v>
      </c>
      <c r="X48" s="34">
        <v>1.0349206349206299</v>
      </c>
      <c r="Y48" s="34">
        <v>1.0269470164915</v>
      </c>
      <c r="Z48" s="34">
        <v>1.02774190250873</v>
      </c>
      <c r="AA48" s="34">
        <v>1.02853220196173</v>
      </c>
      <c r="AB48" s="33">
        <v>6.4697662038964801</v>
      </c>
      <c r="AC48" s="33">
        <v>6.4724614858050096</v>
      </c>
      <c r="AD48" s="33">
        <v>6.4802660302536497</v>
      </c>
      <c r="AE48" s="15">
        <v>-7.7344034887777899E-3</v>
      </c>
      <c r="AF48" s="15">
        <v>-7.3178937483969501E-3</v>
      </c>
      <c r="AG48" s="15">
        <v>-6.1128123655828301E-3</v>
      </c>
      <c r="AI48" s="12"/>
      <c r="AJ48">
        <f t="shared" si="6"/>
        <v>1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-2.6626475115322099E-2</v>
      </c>
      <c r="AP48" s="28">
        <f t="shared" si="9"/>
        <v>2.4243611609992801E-2</v>
      </c>
      <c r="AQ48" s="28">
        <f t="shared" si="16"/>
        <v>-2.3828635053292982E-3</v>
      </c>
      <c r="AR48" s="29">
        <f t="shared" si="17"/>
        <v>1.8123809755100275E-2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1.587391396538999E-2</v>
      </c>
      <c r="BE48" s="29">
        <f t="shared" si="22"/>
        <v>-2.3828635053292982E-3</v>
      </c>
      <c r="BF48" s="29">
        <f t="shared" si="23"/>
        <v>3.3997723720490265E-2</v>
      </c>
      <c r="BH48" s="29"/>
    </row>
    <row r="49" spans="1:60" x14ac:dyDescent="0.25">
      <c r="A49" s="1">
        <v>46093</v>
      </c>
      <c r="B49" s="33">
        <v>6.29</v>
      </c>
      <c r="C49" s="33">
        <v>6.54</v>
      </c>
      <c r="D49" s="15">
        <v>-1.5885626851378401E-3</v>
      </c>
      <c r="E49" s="15">
        <v>3.06278953054573E-3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6.29</v>
      </c>
      <c r="M49" s="33">
        <v>6.54</v>
      </c>
      <c r="N49" s="34">
        <v>1.0397456279809201</v>
      </c>
      <c r="O49" s="34">
        <v>1.0269470164915</v>
      </c>
      <c r="P49" s="34">
        <v>1.02846443278649</v>
      </c>
      <c r="Q49" s="34">
        <v>1.0288157796570701</v>
      </c>
      <c r="R49" s="33">
        <v>6.4594967337315703</v>
      </c>
      <c r="S49" s="33">
        <v>6.4644965667799204</v>
      </c>
      <c r="T49" s="33">
        <v>6.4694675503392904</v>
      </c>
      <c r="U49" s="15">
        <v>-1.23857557044613E-2</v>
      </c>
      <c r="V49" s="15">
        <v>-1.1612026845039701E-2</v>
      </c>
      <c r="W49" s="15">
        <v>-1.08433554989438E-2</v>
      </c>
      <c r="X49" s="34">
        <v>1.0397456279809201</v>
      </c>
      <c r="Y49" s="34">
        <v>1.0269470164915</v>
      </c>
      <c r="Z49" s="34">
        <v>1.02846443278649</v>
      </c>
      <c r="AA49" s="34">
        <v>1.0288157796570701</v>
      </c>
      <c r="AB49" s="33">
        <v>6.4594967337315703</v>
      </c>
      <c r="AC49" s="33">
        <v>6.4644965667799204</v>
      </c>
      <c r="AD49" s="33">
        <v>6.4694675503392904</v>
      </c>
      <c r="AE49" s="15">
        <v>-1.23857557044613E-2</v>
      </c>
      <c r="AF49" s="15">
        <v>-1.1612026845039701E-2</v>
      </c>
      <c r="AG49" s="15">
        <v>-1.08433554989438E-2</v>
      </c>
      <c r="AI49" s="12"/>
      <c r="AJ49">
        <f t="shared" si="6"/>
        <v>1</v>
      </c>
      <c r="AK49">
        <f t="shared" si="7"/>
        <v>0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-1.5885626851378401E-3</v>
      </c>
      <c r="AP49" s="28">
        <f t="shared" si="9"/>
        <v>-3.06278953054573E-3</v>
      </c>
      <c r="AQ49" s="28">
        <f t="shared" si="16"/>
        <v>-4.6513522156835701E-3</v>
      </c>
      <c r="AR49" s="29">
        <f t="shared" si="17"/>
        <v>1.3472457539416706E-2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1.587391396538999E-2</v>
      </c>
      <c r="BE49" s="29">
        <f t="shared" si="22"/>
        <v>-4.6513522156835701E-3</v>
      </c>
      <c r="BF49" s="29">
        <f t="shared" si="23"/>
        <v>2.9346371504806696E-2</v>
      </c>
      <c r="BH49" s="29"/>
    </row>
    <row r="50" spans="1:60" x14ac:dyDescent="0.25">
      <c r="A50" s="1">
        <v>46094</v>
      </c>
      <c r="B50" s="33">
        <v>6.27</v>
      </c>
      <c r="C50" s="33">
        <v>6.49</v>
      </c>
      <c r="D50" s="15">
        <v>-3.1847160675199399E-3</v>
      </c>
      <c r="E50" s="15">
        <v>-7.6746347531086896E-3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6.27</v>
      </c>
      <c r="M50" s="33">
        <v>6.49</v>
      </c>
      <c r="N50" s="34">
        <v>1.0350877192982399</v>
      </c>
      <c r="O50" s="34">
        <v>1.0269470164915</v>
      </c>
      <c r="P50" s="34">
        <v>1.02934526557386</v>
      </c>
      <c r="Q50" s="34">
        <v>1.02910603677864</v>
      </c>
      <c r="R50" s="33">
        <v>6.4389577934017401</v>
      </c>
      <c r="S50" s="33">
        <v>6.4484719935713501</v>
      </c>
      <c r="T50" s="33">
        <v>6.4506749384498603</v>
      </c>
      <c r="U50" s="15">
        <v>-7.89583701887254E-3</v>
      </c>
      <c r="V50" s="15">
        <v>-6.41932819510313E-3</v>
      </c>
      <c r="W50" s="15">
        <v>-6.0777637627364104E-3</v>
      </c>
      <c r="X50" s="34">
        <v>1.0350877192982399</v>
      </c>
      <c r="Y50" s="34">
        <v>1.0269470164915</v>
      </c>
      <c r="Z50" s="34">
        <v>1.02934526557386</v>
      </c>
      <c r="AA50" s="34">
        <v>1.02910603677864</v>
      </c>
      <c r="AB50" s="33">
        <v>6.4389577934017401</v>
      </c>
      <c r="AC50" s="33">
        <v>6.4484719935713501</v>
      </c>
      <c r="AD50" s="33">
        <v>6.4506749384498603</v>
      </c>
      <c r="AE50" s="15">
        <v>-7.89583701887254E-3</v>
      </c>
      <c r="AF50" s="15">
        <v>-6.41932819510313E-3</v>
      </c>
      <c r="AG50" s="15">
        <v>-6.0777637627364104E-3</v>
      </c>
      <c r="AI50" s="12"/>
      <c r="AJ50">
        <f t="shared" si="6"/>
        <v>1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-3.1847160675199399E-3</v>
      </c>
      <c r="AP50" s="28">
        <f t="shared" si="9"/>
        <v>7.6746347531086896E-3</v>
      </c>
      <c r="AQ50" s="28">
        <f t="shared" si="16"/>
        <v>4.4899186855887497E-3</v>
      </c>
      <c r="AR50" s="29">
        <f t="shared" si="17"/>
        <v>1.7962376225005454E-2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1.587391396538999E-2</v>
      </c>
      <c r="BE50" s="29">
        <f t="shared" si="22"/>
        <v>4.4899186855887497E-3</v>
      </c>
      <c r="BF50" s="29">
        <f t="shared" si="23"/>
        <v>3.3836290190395447E-2</v>
      </c>
      <c r="BH50" s="29"/>
    </row>
    <row r="51" spans="1:60" x14ac:dyDescent="0.25">
      <c r="A51" s="1">
        <v>46097</v>
      </c>
      <c r="B51" s="33">
        <v>6.19</v>
      </c>
      <c r="C51" s="33">
        <v>6.35</v>
      </c>
      <c r="D51" s="15">
        <v>-1.28412679483245E-2</v>
      </c>
      <c r="E51" s="15">
        <v>-2.1807717811398401E-2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6.19</v>
      </c>
      <c r="M51" s="33">
        <v>6.35</v>
      </c>
      <c r="N51" s="34">
        <v>1.02584814216478</v>
      </c>
      <c r="O51" s="34">
        <v>1.0269470164915</v>
      </c>
      <c r="P51" s="34">
        <v>1.0296669963391301</v>
      </c>
      <c r="Q51" s="34">
        <v>1.0288202516343701</v>
      </c>
      <c r="R51" s="33">
        <v>6.3568020320824203</v>
      </c>
      <c r="S51" s="33">
        <v>6.3716471939022004</v>
      </c>
      <c r="T51" s="33">
        <v>6.3701663676598299</v>
      </c>
      <c r="U51" s="15">
        <v>1.07061284420143E-3</v>
      </c>
      <c r="V51" s="15">
        <v>3.4032094217219598E-3</v>
      </c>
      <c r="W51" s="15">
        <v>3.1707737104502299E-3</v>
      </c>
      <c r="X51" s="34">
        <v>1.02584814216478</v>
      </c>
      <c r="Y51" s="34">
        <v>1.0269470164915</v>
      </c>
      <c r="Z51" s="34">
        <v>1.0296669963391301</v>
      </c>
      <c r="AA51" s="34">
        <v>1.0288202516343701</v>
      </c>
      <c r="AB51" s="33">
        <v>6.3568020320824203</v>
      </c>
      <c r="AC51" s="33">
        <v>6.3716471939022004</v>
      </c>
      <c r="AD51" s="33">
        <v>6.3701663676598299</v>
      </c>
      <c r="AE51" s="15">
        <v>1.07061284420143E-3</v>
      </c>
      <c r="AF51" s="15">
        <v>3.4032094217219598E-3</v>
      </c>
      <c r="AG51" s="15">
        <v>3.1707737104502299E-3</v>
      </c>
      <c r="AI51" s="12"/>
      <c r="AJ51">
        <f t="shared" si="6"/>
        <v>0</v>
      </c>
      <c r="AK51">
        <f t="shared" si="7"/>
        <v>1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-1.28412679483245E-2</v>
      </c>
      <c r="AP51" s="28">
        <f t="shared" si="9"/>
        <v>2.1807717811398401E-2</v>
      </c>
      <c r="AQ51" s="28">
        <f t="shared" si="16"/>
        <v>8.9664498630739001E-3</v>
      </c>
      <c r="AR51" s="29">
        <f t="shared" si="17"/>
        <v>2.6928826088079352E-2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1.587391396538999E-2</v>
      </c>
      <c r="BE51" s="29">
        <f t="shared" si="22"/>
        <v>8.9664498630739001E-3</v>
      </c>
      <c r="BF51" s="29">
        <f t="shared" si="23"/>
        <v>4.2802740053469346E-2</v>
      </c>
      <c r="BH51" s="29"/>
    </row>
    <row r="52" spans="1:60" x14ac:dyDescent="0.25">
      <c r="A52" s="1">
        <v>46098</v>
      </c>
      <c r="B52" s="33">
        <v>6.08</v>
      </c>
      <c r="C52" s="33">
        <v>6.25</v>
      </c>
      <c r="D52" s="15">
        <v>-1.7930390718429098E-2</v>
      </c>
      <c r="E52" s="15">
        <v>-1.5873349156290101E-2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6.08</v>
      </c>
      <c r="M52" s="33">
        <v>6.25</v>
      </c>
      <c r="N52" s="34">
        <v>1.0279605263157801</v>
      </c>
      <c r="O52" s="34">
        <v>1.0269470164915</v>
      </c>
      <c r="P52" s="34">
        <v>1.0303109686263801</v>
      </c>
      <c r="Q52" s="34">
        <v>1.02902464399791</v>
      </c>
      <c r="R52" s="33">
        <v>6.24383786026835</v>
      </c>
      <c r="S52" s="33">
        <v>6.2603753377419604</v>
      </c>
      <c r="T52" s="33">
        <v>6.2552271299370101</v>
      </c>
      <c r="U52" s="15">
        <v>-9.8642871793770399E-4</v>
      </c>
      <c r="V52" s="15">
        <v>1.65867767202618E-3</v>
      </c>
      <c r="W52" s="15">
        <v>8.3599125183895704E-4</v>
      </c>
      <c r="X52" s="34">
        <v>1.0279605263157801</v>
      </c>
      <c r="Y52" s="34">
        <v>1.0269470164915</v>
      </c>
      <c r="Z52" s="34">
        <v>1.0303109686263801</v>
      </c>
      <c r="AA52" s="34">
        <v>1.02902464399791</v>
      </c>
      <c r="AB52" s="33">
        <v>6.24383786026835</v>
      </c>
      <c r="AC52" s="33">
        <v>6.2603753377419604</v>
      </c>
      <c r="AD52" s="33">
        <v>6.2552271299370101</v>
      </c>
      <c r="AE52" s="15">
        <v>-9.8642871793770399E-4</v>
      </c>
      <c r="AF52" s="15">
        <v>1.65867767202618E-3</v>
      </c>
      <c r="AG52" s="15">
        <v>8.3599125183895704E-4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2.6928826088079352E-2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1.587391396538999E-2</v>
      </c>
      <c r="BE52" s="29">
        <f t="shared" si="22"/>
        <v>0</v>
      </c>
      <c r="BF52" s="29">
        <f t="shared" si="23"/>
        <v>4.2802740053469346E-2</v>
      </c>
      <c r="BH52" s="29"/>
    </row>
    <row r="53" spans="1:60" x14ac:dyDescent="0.25">
      <c r="A53" s="1">
        <v>46099</v>
      </c>
      <c r="B53" s="33">
        <v>5.94</v>
      </c>
      <c r="C53" s="33">
        <v>6.12</v>
      </c>
      <c r="D53" s="15">
        <v>-2.3295562603521999E-2</v>
      </c>
      <c r="E53" s="15">
        <v>-2.1019367224075301E-2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5.94</v>
      </c>
      <c r="M53" s="33">
        <v>6.12</v>
      </c>
      <c r="N53" s="34">
        <v>1.0303030303030301</v>
      </c>
      <c r="O53" s="34">
        <v>1.0269470164915</v>
      </c>
      <c r="P53" s="34">
        <v>1.0315502268805601</v>
      </c>
      <c r="Q53" s="34">
        <v>1.02903258712512</v>
      </c>
      <c r="R53" s="33">
        <v>6.1000652779595397</v>
      </c>
      <c r="S53" s="33">
        <v>6.1200471536407202</v>
      </c>
      <c r="T53" s="33">
        <v>6.1124063853476001</v>
      </c>
      <c r="U53" s="15">
        <v>-3.2626240973842599E-3</v>
      </c>
      <c r="V53" s="15">
        <v>7.7048135732548802E-6</v>
      </c>
      <c r="W53" s="15">
        <v>-1.24155712108054E-3</v>
      </c>
      <c r="X53" s="34">
        <v>1.0303030303030301</v>
      </c>
      <c r="Y53" s="34">
        <v>1.0269470164915</v>
      </c>
      <c r="Z53" s="34">
        <v>1.0315502268805601</v>
      </c>
      <c r="AA53" s="34">
        <v>1.02903258712512</v>
      </c>
      <c r="AB53" s="33">
        <v>6.1000652779595397</v>
      </c>
      <c r="AC53" s="33">
        <v>6.1200471536407202</v>
      </c>
      <c r="AD53" s="33">
        <v>6.1124063853476001</v>
      </c>
      <c r="AE53" s="15">
        <v>-3.2626240973842599E-3</v>
      </c>
      <c r="AF53" s="15">
        <v>7.7048135732548802E-6</v>
      </c>
      <c r="AG53" s="15">
        <v>-1.24155712108054E-3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2.6928826088079352E-2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1.587391396538999E-2</v>
      </c>
      <c r="BE53" s="29">
        <f t="shared" si="22"/>
        <v>0</v>
      </c>
      <c r="BF53" s="29">
        <f t="shared" si="23"/>
        <v>4.2802740053469346E-2</v>
      </c>
      <c r="BH53" s="29"/>
    </row>
    <row r="54" spans="1:60" x14ac:dyDescent="0.25">
      <c r="A54" s="1">
        <v>46100</v>
      </c>
      <c r="B54" s="33">
        <v>5.94</v>
      </c>
      <c r="C54" s="33">
        <v>6.11</v>
      </c>
      <c r="D54" s="15">
        <v>0</v>
      </c>
      <c r="E54" s="15">
        <v>-1.63532334073075E-3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5.94</v>
      </c>
      <c r="M54" s="33">
        <v>6.11</v>
      </c>
      <c r="N54" s="34">
        <v>1.0286195286195201</v>
      </c>
      <c r="O54" s="34">
        <v>1.0269470164915</v>
      </c>
      <c r="P54" s="34">
        <v>1.0318167598951899</v>
      </c>
      <c r="Q54" s="34">
        <v>1.02899493872298</v>
      </c>
      <c r="R54" s="33">
        <v>6.1000652779595397</v>
      </c>
      <c r="S54" s="33">
        <v>6.1274083476705696</v>
      </c>
      <c r="T54" s="33">
        <v>6.1124535675232199</v>
      </c>
      <c r="U54" s="15">
        <v>-1.62730075665358E-3</v>
      </c>
      <c r="V54" s="15">
        <v>2.8451055842596299E-3</v>
      </c>
      <c r="W54" s="15">
        <v>4.0148527341491401E-4</v>
      </c>
      <c r="X54" s="34">
        <v>1.0286195286195201</v>
      </c>
      <c r="Y54" s="34">
        <v>1.0269470164915</v>
      </c>
      <c r="Z54" s="34">
        <v>1.0318167598951899</v>
      </c>
      <c r="AA54" s="34">
        <v>1.02899493872298</v>
      </c>
      <c r="AB54" s="33">
        <v>6.1000652779595397</v>
      </c>
      <c r="AC54" s="33">
        <v>6.1274083476705696</v>
      </c>
      <c r="AD54" s="33">
        <v>6.1124535675232199</v>
      </c>
      <c r="AE54" s="15">
        <v>-1.62730075665358E-3</v>
      </c>
      <c r="AF54" s="15">
        <v>2.8451055842596299E-3</v>
      </c>
      <c r="AG54" s="15">
        <v>4.0148527341491401E-4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2.6928826088079352E-2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1.587391396538999E-2</v>
      </c>
      <c r="BE54" s="29">
        <f t="shared" si="22"/>
        <v>0</v>
      </c>
      <c r="BF54" s="29">
        <f t="shared" si="23"/>
        <v>4.2802740053469346E-2</v>
      </c>
      <c r="BH54" s="29"/>
    </row>
    <row r="55" spans="1:60" x14ac:dyDescent="0.25">
      <c r="A55" s="1">
        <v>46101</v>
      </c>
      <c r="B55" s="33">
        <v>5.71</v>
      </c>
      <c r="C55" s="33">
        <v>5.85</v>
      </c>
      <c r="D55" s="15">
        <v>-3.9490109706634802E-2</v>
      </c>
      <c r="E55" s="15">
        <v>-4.3485111939738801E-2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5.71</v>
      </c>
      <c r="M55" s="33">
        <v>5.85</v>
      </c>
      <c r="N55" s="34">
        <v>1.0245183887915901</v>
      </c>
      <c r="O55" s="34">
        <v>1.0269470164915</v>
      </c>
      <c r="P55" s="34">
        <v>1.03146048644985</v>
      </c>
      <c r="Q55" s="34">
        <v>1.0285711119696701</v>
      </c>
      <c r="R55" s="33">
        <v>5.8638674641664901</v>
      </c>
      <c r="S55" s="33">
        <v>5.8916736990015499</v>
      </c>
      <c r="T55" s="33">
        <v>5.8755611001082499</v>
      </c>
      <c r="U55" s="15">
        <v>2.36770147645048E-3</v>
      </c>
      <c r="V55" s="15">
        <v>7.0984554771017601E-3</v>
      </c>
      <c r="W55" s="15">
        <v>4.3599006274168102E-3</v>
      </c>
      <c r="X55" s="34">
        <v>1.0245183887915901</v>
      </c>
      <c r="Y55" s="34">
        <v>1.0269470164915</v>
      </c>
      <c r="Z55" s="34">
        <v>1.03146048644985</v>
      </c>
      <c r="AA55" s="34">
        <v>1.0285711119696701</v>
      </c>
      <c r="AB55" s="33">
        <v>5.8638674641664901</v>
      </c>
      <c r="AC55" s="33">
        <v>5.8916736990015499</v>
      </c>
      <c r="AD55" s="33">
        <v>5.8755611001082499</v>
      </c>
      <c r="AE55" s="15">
        <v>2.36770147645048E-3</v>
      </c>
      <c r="AF55" s="15">
        <v>7.0984554771017601E-3</v>
      </c>
      <c r="AG55" s="15">
        <v>4.3599006274168102E-3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2.6928826088079352E-2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1.587391396538999E-2</v>
      </c>
      <c r="BE55" s="29">
        <f t="shared" si="22"/>
        <v>0</v>
      </c>
      <c r="BF55" s="29">
        <f t="shared" si="23"/>
        <v>4.2802740053469346E-2</v>
      </c>
      <c r="BH55" s="29"/>
    </row>
    <row r="56" spans="1:60" x14ac:dyDescent="0.25">
      <c r="A56" s="1">
        <v>46104</v>
      </c>
      <c r="B56" s="33">
        <v>5.96</v>
      </c>
      <c r="C56" s="33">
        <v>6.15</v>
      </c>
      <c r="D56" s="15">
        <v>4.2851457409339502E-2</v>
      </c>
      <c r="E56" s="15">
        <v>5.0010420574661402E-2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5.96</v>
      </c>
      <c r="M56" s="33">
        <v>6.15</v>
      </c>
      <c r="N56" s="34">
        <v>1.0318791946308701</v>
      </c>
      <c r="O56" s="34">
        <v>1.0269470164915</v>
      </c>
      <c r="P56" s="34">
        <v>1.0311340289161399</v>
      </c>
      <c r="Q56" s="34">
        <v>1.0290241321039</v>
      </c>
      <c r="R56" s="33">
        <v>6.1206042182893698</v>
      </c>
      <c r="S56" s="33">
        <v>6.14750449924116</v>
      </c>
      <c r="T56" s="33">
        <v>6.1302838273392499</v>
      </c>
      <c r="U56" s="15">
        <v>-4.7912616888713903E-3</v>
      </c>
      <c r="V56" s="15">
        <v>-4.0585482904260402E-4</v>
      </c>
      <c r="W56" s="15">
        <v>-3.21103158178123E-3</v>
      </c>
      <c r="X56" s="34">
        <v>1.0318791946308701</v>
      </c>
      <c r="Y56" s="34">
        <v>1.0269470164915</v>
      </c>
      <c r="Z56" s="34">
        <v>1.0311340289161399</v>
      </c>
      <c r="AA56" s="34">
        <v>1.0290241321039</v>
      </c>
      <c r="AB56" s="33">
        <v>6.1206042182893698</v>
      </c>
      <c r="AC56" s="33">
        <v>6.14750449924116</v>
      </c>
      <c r="AD56" s="33">
        <v>6.1302838273392499</v>
      </c>
      <c r="AE56" s="15">
        <v>-4.7912616888713903E-3</v>
      </c>
      <c r="AF56" s="15">
        <v>-4.0585482904260402E-4</v>
      </c>
      <c r="AG56" s="15">
        <v>-3.21103158178123E-3</v>
      </c>
      <c r="AI56" s="12"/>
      <c r="AJ56">
        <f t="shared" si="6"/>
        <v>0</v>
      </c>
      <c r="AK56">
        <f t="shared" si="7"/>
        <v>0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2.6928826088079352E-2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1.587391396538999E-2</v>
      </c>
      <c r="BE56" s="29">
        <f t="shared" si="22"/>
        <v>0</v>
      </c>
      <c r="BF56" s="29">
        <f t="shared" si="23"/>
        <v>4.2802740053469346E-2</v>
      </c>
      <c r="BH56" s="29"/>
    </row>
    <row r="57" spans="1:60" x14ac:dyDescent="0.25">
      <c r="A57" s="1">
        <v>46105</v>
      </c>
      <c r="B57" s="33">
        <v>5.9</v>
      </c>
      <c r="C57" s="33">
        <v>6.04</v>
      </c>
      <c r="D57" s="15">
        <v>-1.01181301655845E-2</v>
      </c>
      <c r="E57" s="15">
        <v>-1.8048069871702901E-2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5.9</v>
      </c>
      <c r="M57" s="33">
        <v>6.04</v>
      </c>
      <c r="N57" s="34">
        <v>1.0237288135593201</v>
      </c>
      <c r="O57" s="34">
        <v>1.0269470164915</v>
      </c>
      <c r="P57" s="34">
        <v>1.03026116065847</v>
      </c>
      <c r="Q57" s="34">
        <v>1.0288179998375699</v>
      </c>
      <c r="R57" s="33">
        <v>6.0589873972998802</v>
      </c>
      <c r="S57" s="33">
        <v>6.0836907706052301</v>
      </c>
      <c r="T57" s="33">
        <v>6.0712423794130101</v>
      </c>
      <c r="U57" s="15">
        <v>3.1386780172471202E-3</v>
      </c>
      <c r="V57" s="15">
        <v>7.2075344993724902E-3</v>
      </c>
      <c r="W57" s="15">
        <v>5.1592475378860296E-3</v>
      </c>
      <c r="X57" s="34">
        <v>1.0237288135593201</v>
      </c>
      <c r="Y57" s="34">
        <v>1.0269470164915</v>
      </c>
      <c r="Z57" s="34">
        <v>1.03026116065847</v>
      </c>
      <c r="AA57" s="34">
        <v>1.0288179998375699</v>
      </c>
      <c r="AB57" s="33">
        <v>6.0589873972998802</v>
      </c>
      <c r="AC57" s="33">
        <v>6.0836907706052301</v>
      </c>
      <c r="AD57" s="33">
        <v>6.0712423794130101</v>
      </c>
      <c r="AE57" s="15">
        <v>3.1386780172471202E-3</v>
      </c>
      <c r="AF57" s="15">
        <v>7.2075344993724902E-3</v>
      </c>
      <c r="AG57" s="15">
        <v>5.1592475378860296E-3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2.6928826088079352E-2</v>
      </c>
      <c r="AT57" s="12"/>
      <c r="AU57">
        <f t="shared" si="10"/>
        <v>1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1.587391396538999E-2</v>
      </c>
      <c r="BE57" s="29">
        <f t="shared" si="22"/>
        <v>0</v>
      </c>
      <c r="BF57" s="29">
        <f t="shared" si="23"/>
        <v>4.2802740053469346E-2</v>
      </c>
      <c r="BH57" s="29"/>
    </row>
    <row r="58" spans="1:60" x14ac:dyDescent="0.25">
      <c r="A58" s="1">
        <v>46106</v>
      </c>
      <c r="B58" s="33">
        <v>5.85</v>
      </c>
      <c r="C58" s="33">
        <v>5.98</v>
      </c>
      <c r="D58" s="15">
        <v>-8.5106896679087302E-3</v>
      </c>
      <c r="E58" s="15">
        <v>-9.9834439841831497E-3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5.85</v>
      </c>
      <c r="M58" s="33">
        <v>5.98</v>
      </c>
      <c r="N58" s="34">
        <v>1.0222222222222199</v>
      </c>
      <c r="O58" s="34">
        <v>1.0269470164915</v>
      </c>
      <c r="P58" s="34">
        <v>1.02899131938863</v>
      </c>
      <c r="Q58" s="34">
        <v>1.02836661094868</v>
      </c>
      <c r="R58" s="33">
        <v>6.0076400464753004</v>
      </c>
      <c r="S58" s="33">
        <v>6.0270277898520597</v>
      </c>
      <c r="T58" s="33">
        <v>6.0185852990497803</v>
      </c>
      <c r="U58" s="15">
        <v>4.6114323335213403E-3</v>
      </c>
      <c r="V58" s="15">
        <v>7.8334174207282097E-3</v>
      </c>
      <c r="W58" s="15">
        <v>6.4316635834827203E-3</v>
      </c>
      <c r="X58" s="34">
        <v>1.0222222222222199</v>
      </c>
      <c r="Y58" s="34">
        <v>1.0269470164915</v>
      </c>
      <c r="Z58" s="34">
        <v>1.02899131938863</v>
      </c>
      <c r="AA58" s="34">
        <v>1.02836661094868</v>
      </c>
      <c r="AB58" s="33">
        <v>6.0076400464753004</v>
      </c>
      <c r="AC58" s="33">
        <v>6.0270277898520597</v>
      </c>
      <c r="AD58" s="33">
        <v>6.0185852990497803</v>
      </c>
      <c r="AE58" s="15">
        <v>4.6114323335213403E-3</v>
      </c>
      <c r="AF58" s="15">
        <v>7.8334174207282097E-3</v>
      </c>
      <c r="AG58" s="15">
        <v>6.4316635834827203E-3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2.6928826088079352E-2</v>
      </c>
      <c r="AT58" s="12"/>
      <c r="AU58">
        <f t="shared" si="10"/>
        <v>1</v>
      </c>
      <c r="AV58">
        <f t="shared" si="11"/>
        <v>0</v>
      </c>
      <c r="AW58">
        <f t="shared" si="18"/>
        <v>1</v>
      </c>
      <c r="AX58">
        <f t="shared" si="5"/>
        <v>1</v>
      </c>
      <c r="AY58">
        <f t="shared" si="19"/>
        <v>1</v>
      </c>
      <c r="AZ58" s="28">
        <f t="shared" si="12"/>
        <v>8.5106896679087302E-3</v>
      </c>
      <c r="BA58" s="28">
        <f t="shared" si="13"/>
        <v>-9.9834439841831497E-3</v>
      </c>
      <c r="BB58" s="28">
        <f t="shared" si="20"/>
        <v>-1.4727543162744196E-3</v>
      </c>
      <c r="BC58" s="29">
        <f t="shared" si="21"/>
        <v>1.4401159649115571E-2</v>
      </c>
      <c r="BE58" s="29">
        <f t="shared" si="22"/>
        <v>-1.4727543162744196E-3</v>
      </c>
      <c r="BF58" s="29">
        <f t="shared" si="23"/>
        <v>4.132998573719493E-2</v>
      </c>
      <c r="BH58" s="29"/>
    </row>
    <row r="59" spans="1:60" x14ac:dyDescent="0.25">
      <c r="A59" s="1">
        <v>46107</v>
      </c>
      <c r="B59" s="33">
        <v>5.76</v>
      </c>
      <c r="C59" s="33">
        <v>5.89</v>
      </c>
      <c r="D59" s="15">
        <v>-1.55041865359651E-2</v>
      </c>
      <c r="E59" s="15">
        <v>-1.51645702990451E-2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5.76</v>
      </c>
      <c r="M59" s="33">
        <v>5.89</v>
      </c>
      <c r="N59" s="34">
        <v>1.02256944444444</v>
      </c>
      <c r="O59" s="34">
        <v>1.0269470164915</v>
      </c>
      <c r="P59" s="34">
        <v>1.0272737010349799</v>
      </c>
      <c r="Q59" s="34">
        <v>1.02786906691074</v>
      </c>
      <c r="R59" s="33">
        <v>5.9152148149910699</v>
      </c>
      <c r="S59" s="33">
        <v>5.9269899996785096</v>
      </c>
      <c r="T59" s="33">
        <v>5.9233916790643999</v>
      </c>
      <c r="U59" s="15">
        <v>4.2718160966013297E-3</v>
      </c>
      <c r="V59" s="15">
        <v>6.2604978923450601E-3</v>
      </c>
      <c r="W59" s="15">
        <v>5.6532059380026102E-3</v>
      </c>
      <c r="X59" s="34">
        <v>1.02256944444444</v>
      </c>
      <c r="Y59" s="34">
        <v>1.0269470164915</v>
      </c>
      <c r="Z59" s="34">
        <v>1.0272737010349799</v>
      </c>
      <c r="AA59" s="34">
        <v>1.02786906691074</v>
      </c>
      <c r="AB59" s="33">
        <v>5.9152148149910699</v>
      </c>
      <c r="AC59" s="33">
        <v>5.9269899996785096</v>
      </c>
      <c r="AD59" s="33">
        <v>5.9233916790643999</v>
      </c>
      <c r="AE59" s="15">
        <v>4.2718160966013297E-3</v>
      </c>
      <c r="AF59" s="15">
        <v>6.2604978923450601E-3</v>
      </c>
      <c r="AG59" s="15">
        <v>5.6532059380026102E-3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2.6928826088079352E-2</v>
      </c>
      <c r="AT59" s="12"/>
      <c r="AU59">
        <f t="shared" si="10"/>
        <v>1</v>
      </c>
      <c r="AV59">
        <f t="shared" si="11"/>
        <v>0</v>
      </c>
      <c r="AW59">
        <f t="shared" si="18"/>
        <v>1</v>
      </c>
      <c r="AX59">
        <f t="shared" si="5"/>
        <v>1</v>
      </c>
      <c r="AY59">
        <f t="shared" si="19"/>
        <v>1</v>
      </c>
      <c r="AZ59" s="28">
        <f t="shared" si="12"/>
        <v>1.55041865359651E-2</v>
      </c>
      <c r="BA59" s="28">
        <f t="shared" si="13"/>
        <v>-1.51645702990451E-2</v>
      </c>
      <c r="BB59" s="28">
        <f t="shared" si="20"/>
        <v>3.3961623692000016E-4</v>
      </c>
      <c r="BC59" s="29">
        <f t="shared" si="21"/>
        <v>1.4740775886035571E-2</v>
      </c>
      <c r="BE59" s="29">
        <f t="shared" si="22"/>
        <v>3.3961623692000016E-4</v>
      </c>
      <c r="BF59" s="29">
        <f t="shared" si="23"/>
        <v>4.1669601974114928E-2</v>
      </c>
      <c r="BH59" s="29"/>
    </row>
    <row r="60" spans="1:60" x14ac:dyDescent="0.25">
      <c r="A60" s="1">
        <v>46108</v>
      </c>
      <c r="B60" s="33">
        <v>5.63</v>
      </c>
      <c r="C60" s="33">
        <v>5.74</v>
      </c>
      <c r="D60" s="15">
        <v>-2.2828032556200799E-2</v>
      </c>
      <c r="E60" s="15">
        <v>-2.57967873320201E-2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5.63</v>
      </c>
      <c r="M60" s="33">
        <v>5.74</v>
      </c>
      <c r="N60" s="34">
        <v>1.01953818827708</v>
      </c>
      <c r="O60" s="34">
        <v>1.0269470164915</v>
      </c>
      <c r="P60" s="34">
        <v>1.02571874793286</v>
      </c>
      <c r="Q60" s="34">
        <v>1.02753200675336</v>
      </c>
      <c r="R60" s="33">
        <v>5.7817117028471703</v>
      </c>
      <c r="S60" s="33">
        <v>5.7835509368269502</v>
      </c>
      <c r="T60" s="33">
        <v>5.7869028467074699</v>
      </c>
      <c r="U60" s="15">
        <v>7.2405708724207199E-3</v>
      </c>
      <c r="V60" s="15">
        <v>7.5586326497594E-3</v>
      </c>
      <c r="W60" s="15">
        <v>8.1380239229101505E-3</v>
      </c>
      <c r="X60" s="34">
        <v>1.01953818827708</v>
      </c>
      <c r="Y60" s="34">
        <v>1.0269470164915</v>
      </c>
      <c r="Z60" s="34">
        <v>1.02571874793286</v>
      </c>
      <c r="AA60" s="34">
        <v>1.02753200675336</v>
      </c>
      <c r="AB60" s="33">
        <v>5.7817117028471703</v>
      </c>
      <c r="AC60" s="33">
        <v>5.7835509368269502</v>
      </c>
      <c r="AD60" s="33">
        <v>5.7869028467074699</v>
      </c>
      <c r="AE60" s="15">
        <v>7.2405708724207199E-3</v>
      </c>
      <c r="AF60" s="15">
        <v>7.5586326497594E-3</v>
      </c>
      <c r="AG60" s="15">
        <v>8.1380239229101505E-3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2.6928826088079352E-2</v>
      </c>
      <c r="AT60" s="12"/>
      <c r="AU60">
        <f t="shared" si="10"/>
        <v>1</v>
      </c>
      <c r="AV60">
        <f t="shared" si="11"/>
        <v>0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2.2828032556200799E-2</v>
      </c>
      <c r="BA60" s="28">
        <f t="shared" si="13"/>
        <v>-2.57967873320201E-2</v>
      </c>
      <c r="BB60" s="28">
        <f t="shared" si="20"/>
        <v>-2.9687547758193017E-3</v>
      </c>
      <c r="BC60" s="29">
        <f t="shared" si="21"/>
        <v>1.1772021110216269E-2</v>
      </c>
      <c r="BE60" s="29">
        <f t="shared" si="22"/>
        <v>-2.9687547758193017E-3</v>
      </c>
      <c r="BF60" s="29">
        <f t="shared" si="23"/>
        <v>3.8700847198295626E-2</v>
      </c>
      <c r="BH60" s="29"/>
    </row>
    <row r="61" spans="1:60" x14ac:dyDescent="0.25">
      <c r="A61" s="1">
        <v>46111</v>
      </c>
      <c r="B61" s="33">
        <v>5.53</v>
      </c>
      <c r="C61" s="33">
        <v>5.66</v>
      </c>
      <c r="D61" s="15">
        <v>-1.79216266173555E-2</v>
      </c>
      <c r="E61" s="15">
        <v>-1.4035318116383399E-2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5.53</v>
      </c>
      <c r="M61" s="33">
        <v>5.66</v>
      </c>
      <c r="N61" s="34">
        <v>1.0235081374321799</v>
      </c>
      <c r="O61" s="34">
        <v>1.0269470164915</v>
      </c>
      <c r="P61" s="34">
        <v>1.0254847474596001</v>
      </c>
      <c r="Q61" s="34">
        <v>1.0275758718993699</v>
      </c>
      <c r="R61" s="33">
        <v>5.6790170011980203</v>
      </c>
      <c r="S61" s="33">
        <v>5.6722246760687502</v>
      </c>
      <c r="T61" s="33">
        <v>5.6822519973460999</v>
      </c>
      <c r="U61" s="15">
        <v>3.3542623714487201E-3</v>
      </c>
      <c r="V61" s="15">
        <v>2.1575076668861599E-3</v>
      </c>
      <c r="W61" s="15">
        <v>3.92374034717872E-3</v>
      </c>
      <c r="X61" s="34">
        <v>1.0235081374321799</v>
      </c>
      <c r="Y61" s="34">
        <v>1.0269470164915</v>
      </c>
      <c r="Z61" s="34">
        <v>1.0254847474596001</v>
      </c>
      <c r="AA61" s="34">
        <v>1.0275758718993699</v>
      </c>
      <c r="AB61" s="33">
        <v>5.6790170011980203</v>
      </c>
      <c r="AC61" s="33">
        <v>5.6722246760687502</v>
      </c>
      <c r="AD61" s="33">
        <v>5.6822519973460999</v>
      </c>
      <c r="AE61" s="15">
        <v>3.3542623714487201E-3</v>
      </c>
      <c r="AF61" s="15">
        <v>2.1575076668861599E-3</v>
      </c>
      <c r="AG61" s="15">
        <v>3.92374034717872E-3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2.6928826088079352E-2</v>
      </c>
      <c r="AT61" s="12"/>
      <c r="AU61">
        <f t="shared" si="10"/>
        <v>0</v>
      </c>
      <c r="AV61">
        <f t="shared" si="11"/>
        <v>0</v>
      </c>
      <c r="AW61">
        <f t="shared" si="18"/>
        <v>1</v>
      </c>
      <c r="AX61">
        <f t="shared" si="5"/>
        <v>1</v>
      </c>
      <c r="AY61">
        <f t="shared" si="19"/>
        <v>1</v>
      </c>
      <c r="AZ61" s="28">
        <f t="shared" si="12"/>
        <v>1.79216266173555E-2</v>
      </c>
      <c r="BA61" s="28">
        <f t="shared" si="13"/>
        <v>-1.4035318116383399E-2</v>
      </c>
      <c r="BB61" s="28">
        <f t="shared" si="20"/>
        <v>3.8863085009721004E-3</v>
      </c>
      <c r="BC61" s="29">
        <f t="shared" si="21"/>
        <v>1.5658329611188369E-2</v>
      </c>
      <c r="BE61" s="29">
        <f t="shared" si="22"/>
        <v>3.8863085009721004E-3</v>
      </c>
      <c r="BF61" s="29">
        <f t="shared" si="23"/>
        <v>4.2587155699267729E-2</v>
      </c>
      <c r="BH61" s="29"/>
    </row>
    <row r="62" spans="1:60" x14ac:dyDescent="0.25">
      <c r="A62" s="1">
        <v>46112</v>
      </c>
      <c r="B62" s="33">
        <v>5.79</v>
      </c>
      <c r="C62" s="33">
        <v>5.91</v>
      </c>
      <c r="D62" s="15">
        <v>4.5944476050660397E-2</v>
      </c>
      <c r="E62" s="15">
        <v>4.3221939202915297E-2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5.79</v>
      </c>
      <c r="M62" s="33">
        <v>5.91</v>
      </c>
      <c r="N62" s="34">
        <v>1.0207253886010299</v>
      </c>
      <c r="O62" s="34">
        <v>1.0269470164915</v>
      </c>
      <c r="P62" s="34">
        <v>1.02476123368813</v>
      </c>
      <c r="Q62" s="34">
        <v>1.0275361011572499</v>
      </c>
      <c r="R62" s="33">
        <v>5.9460232254858099</v>
      </c>
      <c r="S62" s="33">
        <v>5.9375566877911297</v>
      </c>
      <c r="T62" s="33">
        <v>5.9496642982973702</v>
      </c>
      <c r="U62" s="15">
        <v>6.0767992191939103E-3</v>
      </c>
      <c r="V62" s="15">
        <v>4.6518853146297803E-3</v>
      </c>
      <c r="W62" s="15">
        <v>6.6889660936144601E-3</v>
      </c>
      <c r="X62" s="34">
        <v>1.0207253886010299</v>
      </c>
      <c r="Y62" s="34">
        <v>1.0269470164915</v>
      </c>
      <c r="Z62" s="34">
        <v>1.02476123368813</v>
      </c>
      <c r="AA62" s="34">
        <v>1.0275361011572499</v>
      </c>
      <c r="AB62" s="33">
        <v>5.9460232254858099</v>
      </c>
      <c r="AC62" s="33">
        <v>5.9375566877911297</v>
      </c>
      <c r="AD62" s="33">
        <v>5.9496642982973702</v>
      </c>
      <c r="AE62" s="15">
        <v>6.0767992191939103E-3</v>
      </c>
      <c r="AF62" s="15">
        <v>4.6518853146297803E-3</v>
      </c>
      <c r="AG62" s="15">
        <v>6.6889660936144601E-3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2.6928826088079352E-2</v>
      </c>
      <c r="AT62" s="12"/>
      <c r="AU62">
        <f t="shared" si="10"/>
        <v>1</v>
      </c>
      <c r="AV62">
        <f t="shared" si="11"/>
        <v>0</v>
      </c>
      <c r="AW62">
        <f t="shared" si="18"/>
        <v>1</v>
      </c>
      <c r="AX62">
        <f t="shared" si="5"/>
        <v>1</v>
      </c>
      <c r="AY62">
        <f t="shared" si="19"/>
        <v>1</v>
      </c>
      <c r="AZ62" s="28">
        <f t="shared" si="12"/>
        <v>-4.5944476050660397E-2</v>
      </c>
      <c r="BA62" s="28">
        <f t="shared" si="13"/>
        <v>4.3221939202915297E-2</v>
      </c>
      <c r="BB62" s="28">
        <f t="shared" si="20"/>
        <v>-2.7225368477451009E-3</v>
      </c>
      <c r="BC62" s="29">
        <f t="shared" si="21"/>
        <v>1.2935792763443268E-2</v>
      </c>
      <c r="BE62" s="29">
        <f t="shared" si="22"/>
        <v>-2.7225368477451009E-3</v>
      </c>
      <c r="BF62" s="29">
        <f t="shared" si="23"/>
        <v>3.9864618851522628E-2</v>
      </c>
      <c r="BH62" s="29"/>
    </row>
    <row r="63" spans="1:60" x14ac:dyDescent="0.25">
      <c r="A63" s="1">
        <v>46113</v>
      </c>
      <c r="B63" s="33">
        <v>5.6</v>
      </c>
      <c r="C63" s="33">
        <v>5.75</v>
      </c>
      <c r="D63" s="15">
        <v>-3.3365693843800399E-2</v>
      </c>
      <c r="E63" s="15">
        <v>-2.7445976608747799E-2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5.6</v>
      </c>
      <c r="M63" s="33">
        <v>5.75</v>
      </c>
      <c r="N63" s="34">
        <v>1.02678571428571</v>
      </c>
      <c r="O63" s="34">
        <v>1.0269470164915</v>
      </c>
      <c r="P63" s="34">
        <v>1.0244095020863999</v>
      </c>
      <c r="Q63" s="34">
        <v>1.0279798644834801</v>
      </c>
      <c r="R63" s="33">
        <v>5.7509032923524304</v>
      </c>
      <c r="S63" s="33">
        <v>5.7386629086535397</v>
      </c>
      <c r="T63" s="33">
        <v>5.7542021664806402</v>
      </c>
      <c r="U63" s="15">
        <v>1.5708198414115401E-4</v>
      </c>
      <c r="V63" s="15">
        <v>-1.9736143564443301E-3</v>
      </c>
      <c r="W63" s="15">
        <v>7.3054464911617603E-4</v>
      </c>
      <c r="X63" s="34">
        <v>1.02678571428571</v>
      </c>
      <c r="Y63" s="34">
        <v>1.0269470164915</v>
      </c>
      <c r="Z63" s="34">
        <v>1.0244095020863999</v>
      </c>
      <c r="AA63" s="34">
        <v>1.0279798644834801</v>
      </c>
      <c r="AB63" s="33">
        <v>5.7509032923524304</v>
      </c>
      <c r="AC63" s="33">
        <v>5.7386629086535397</v>
      </c>
      <c r="AD63" s="33">
        <v>5.7542021664806402</v>
      </c>
      <c r="AE63" s="15">
        <v>1.5708198414115401E-4</v>
      </c>
      <c r="AF63" s="15">
        <v>-1.9736143564443301E-3</v>
      </c>
      <c r="AG63" s="15">
        <v>7.3054464911617603E-4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2.6928826088079352E-2</v>
      </c>
      <c r="AT63" s="12"/>
      <c r="AU63">
        <f t="shared" si="10"/>
        <v>0</v>
      </c>
      <c r="AV63">
        <f t="shared" si="11"/>
        <v>1</v>
      </c>
      <c r="AW63">
        <f t="shared" si="18"/>
        <v>1</v>
      </c>
      <c r="AX63">
        <f t="shared" si="5"/>
        <v>1</v>
      </c>
      <c r="AY63">
        <f t="shared" si="19"/>
        <v>1</v>
      </c>
      <c r="AZ63" s="28">
        <f t="shared" si="12"/>
        <v>3.3365693843800399E-2</v>
      </c>
      <c r="BA63" s="28">
        <f t="shared" si="13"/>
        <v>-2.7445976608747799E-2</v>
      </c>
      <c r="BB63" s="28">
        <f t="shared" si="20"/>
        <v>5.9197172350526003E-3</v>
      </c>
      <c r="BC63" s="29">
        <f t="shared" si="21"/>
        <v>1.8855509998495869E-2</v>
      </c>
      <c r="BE63" s="29">
        <f t="shared" si="22"/>
        <v>5.9197172350526003E-3</v>
      </c>
      <c r="BF63" s="29">
        <f t="shared" si="23"/>
        <v>4.5784336086575228E-2</v>
      </c>
      <c r="BH63" s="29"/>
    </row>
    <row r="64" spans="1:60" x14ac:dyDescent="0.25">
      <c r="A64" s="1">
        <v>46114</v>
      </c>
      <c r="B64" s="33">
        <v>5.5</v>
      </c>
      <c r="C64" s="33">
        <v>5.62</v>
      </c>
      <c r="D64" s="15">
        <v>-1.8018505502678198E-2</v>
      </c>
      <c r="E64" s="15">
        <v>-2.28681909036593E-2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5.5</v>
      </c>
      <c r="M64" s="33">
        <v>5.62</v>
      </c>
      <c r="N64" s="34">
        <v>1.02181818181818</v>
      </c>
      <c r="O64" s="34">
        <v>1.0269470164915</v>
      </c>
      <c r="P64" s="34">
        <v>1.02372936740626</v>
      </c>
      <c r="Q64" s="34">
        <v>1.0277730636507201</v>
      </c>
      <c r="R64" s="33">
        <v>5.6482085907032804</v>
      </c>
      <c r="S64" s="33">
        <v>5.6342522614751998</v>
      </c>
      <c r="T64" s="33">
        <v>5.6538892546591599</v>
      </c>
      <c r="U64" s="15">
        <v>5.0067673851223599E-3</v>
      </c>
      <c r="V64" s="15">
        <v>2.5327793909468901E-3</v>
      </c>
      <c r="W64" s="15">
        <v>6.0120080956471596E-3</v>
      </c>
      <c r="X64" s="34">
        <v>1.02181818181818</v>
      </c>
      <c r="Y64" s="34">
        <v>1.0269470164915</v>
      </c>
      <c r="Z64" s="34">
        <v>1.02372936740626</v>
      </c>
      <c r="AA64" s="34">
        <v>1.0277730636507201</v>
      </c>
      <c r="AB64" s="33">
        <v>5.6482085907032804</v>
      </c>
      <c r="AC64" s="33">
        <v>5.6342522614751998</v>
      </c>
      <c r="AD64" s="33">
        <v>5.6538892546591599</v>
      </c>
      <c r="AE64" s="15">
        <v>5.0067673851223599E-3</v>
      </c>
      <c r="AF64" s="15">
        <v>2.5327793909468901E-3</v>
      </c>
      <c r="AG64" s="15">
        <v>6.0120080956471596E-3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2.6928826088079352E-2</v>
      </c>
      <c r="AT64" s="12"/>
      <c r="AU64">
        <f t="shared" si="10"/>
        <v>1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1.8855509998495869E-2</v>
      </c>
      <c r="BE64" s="29">
        <f t="shared" si="22"/>
        <v>0</v>
      </c>
      <c r="BF64" s="29">
        <f t="shared" si="23"/>
        <v>4.5784336086575228E-2</v>
      </c>
      <c r="BH64" s="29"/>
    </row>
    <row r="65" spans="1:60" x14ac:dyDescent="0.25">
      <c r="A65" s="1">
        <v>46118</v>
      </c>
      <c r="B65" s="33">
        <v>5.77</v>
      </c>
      <c r="C65" s="33">
        <v>5.9</v>
      </c>
      <c r="D65" s="15">
        <v>4.7923988281582897E-2</v>
      </c>
      <c r="E65" s="15">
        <v>4.8620687006074102E-2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5.77</v>
      </c>
      <c r="M65" s="33">
        <v>5.9</v>
      </c>
      <c r="N65" s="34">
        <v>1.0225303292894199</v>
      </c>
      <c r="O65" s="34">
        <v>1.0269470164915</v>
      </c>
      <c r="P65" s="34">
        <v>1.0235305614560399</v>
      </c>
      <c r="Q65" s="34">
        <v>1.02749552395295</v>
      </c>
      <c r="R65" s="33">
        <v>5.9254842851559797</v>
      </c>
      <c r="S65" s="33">
        <v>5.9069184499341496</v>
      </c>
      <c r="T65" s="33">
        <v>5.9302505772647001</v>
      </c>
      <c r="U65" s="15">
        <v>4.3100686606310796E-3</v>
      </c>
      <c r="V65" s="15">
        <v>1.1719316526700499E-3</v>
      </c>
      <c r="W65" s="15">
        <v>5.1141170677203697E-3</v>
      </c>
      <c r="X65" s="34">
        <v>1.0225303292894199</v>
      </c>
      <c r="Y65" s="34">
        <v>1.0269470164915</v>
      </c>
      <c r="Z65" s="34">
        <v>1.0235305614560399</v>
      </c>
      <c r="AA65" s="34">
        <v>1.02749552395295</v>
      </c>
      <c r="AB65" s="33">
        <v>5.9254842851559797</v>
      </c>
      <c r="AC65" s="33">
        <v>5.9069184499341496</v>
      </c>
      <c r="AD65" s="33">
        <v>5.9302505772647001</v>
      </c>
      <c r="AE65" s="15">
        <v>4.3100686606310796E-3</v>
      </c>
      <c r="AF65" s="15">
        <v>1.1719316526700499E-3</v>
      </c>
      <c r="AG65" s="15">
        <v>5.1141170677203697E-3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2.6928826088079352E-2</v>
      </c>
      <c r="AT65" s="12"/>
      <c r="AU65">
        <f t="shared" si="10"/>
        <v>1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28">
        <f t="shared" si="12"/>
        <v>-4.7923988281582897E-2</v>
      </c>
      <c r="BA65" s="28">
        <f t="shared" si="13"/>
        <v>4.8620687006074102E-2</v>
      </c>
      <c r="BB65" s="28">
        <f t="shared" si="20"/>
        <v>6.9669872449120568E-4</v>
      </c>
      <c r="BC65" s="29">
        <f t="shared" si="21"/>
        <v>1.9552208722987074E-2</v>
      </c>
      <c r="BE65" s="29">
        <f t="shared" si="22"/>
        <v>6.9669872449120568E-4</v>
      </c>
      <c r="BF65" s="29">
        <f t="shared" si="23"/>
        <v>4.6481034811066434E-2</v>
      </c>
      <c r="BH65" s="29"/>
    </row>
    <row r="66" spans="1:60" x14ac:dyDescent="0.25">
      <c r="A66" s="1">
        <v>46119</v>
      </c>
      <c r="B66" s="33">
        <v>5.76</v>
      </c>
      <c r="C66" s="33">
        <v>5.88</v>
      </c>
      <c r="D66" s="15">
        <v>-1.7346058122082999E-3</v>
      </c>
      <c r="E66" s="15">
        <v>-3.3955890011382701E-3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5.76</v>
      </c>
      <c r="M66" s="33">
        <v>5.88</v>
      </c>
      <c r="N66" s="34">
        <v>1.0208333333333299</v>
      </c>
      <c r="O66" s="34">
        <v>1.0269470164915</v>
      </c>
      <c r="P66" s="34">
        <v>1.0224259753262901</v>
      </c>
      <c r="Q66" s="34">
        <v>1.0267800021212099</v>
      </c>
      <c r="R66" s="33">
        <v>5.9152148149910699</v>
      </c>
      <c r="S66" s="33">
        <v>5.8955360339868399</v>
      </c>
      <c r="T66" s="33">
        <v>5.91837421796901</v>
      </c>
      <c r="U66" s="15">
        <v>5.9710518495610402E-3</v>
      </c>
      <c r="V66" s="15">
        <v>2.6386982225583299E-3</v>
      </c>
      <c r="W66" s="15">
        <v>6.5050239258623299E-3</v>
      </c>
      <c r="X66" s="34">
        <v>1.0208333333333299</v>
      </c>
      <c r="Y66" s="34">
        <v>1.0269470164915</v>
      </c>
      <c r="Z66" s="34">
        <v>1.0224259753262901</v>
      </c>
      <c r="AA66" s="34">
        <v>1.0267800021212099</v>
      </c>
      <c r="AB66" s="33">
        <v>5.9152148149910699</v>
      </c>
      <c r="AC66" s="33">
        <v>5.8955360339868399</v>
      </c>
      <c r="AD66" s="33">
        <v>5.91837421796901</v>
      </c>
      <c r="AE66" s="15">
        <v>5.9710518495610402E-3</v>
      </c>
      <c r="AF66" s="15">
        <v>2.6386982225583299E-3</v>
      </c>
      <c r="AG66" s="15">
        <v>6.5050239258623299E-3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2.6928826088079352E-2</v>
      </c>
      <c r="AT66" s="12"/>
      <c r="AU66">
        <f t="shared" si="10"/>
        <v>1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28">
        <f t="shared" si="12"/>
        <v>1.7346058122082999E-3</v>
      </c>
      <c r="BA66" s="28">
        <f t="shared" si="13"/>
        <v>-3.3955890011382701E-3</v>
      </c>
      <c r="BB66" s="28">
        <f t="shared" si="20"/>
        <v>-1.6609831889299702E-3</v>
      </c>
      <c r="BC66" s="29">
        <f t="shared" si="21"/>
        <v>1.7891225534057104E-2</v>
      </c>
      <c r="BE66" s="29">
        <f t="shared" si="22"/>
        <v>-1.6609831889299702E-3</v>
      </c>
      <c r="BF66" s="29">
        <f t="shared" si="23"/>
        <v>4.4820051622136467E-2</v>
      </c>
      <c r="BH66" s="29"/>
    </row>
    <row r="67" spans="1:60" x14ac:dyDescent="0.25">
      <c r="A67" s="1">
        <v>46120</v>
      </c>
      <c r="B67" s="33">
        <v>5.87</v>
      </c>
      <c r="C67" s="33">
        <v>5.99</v>
      </c>
      <c r="D67" s="15">
        <v>1.8917159132205302E-2</v>
      </c>
      <c r="E67" s="15">
        <v>1.8534650216822299E-2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5.87</v>
      </c>
      <c r="M67" s="33">
        <v>5.99</v>
      </c>
      <c r="N67" s="34">
        <v>1.02044293015332</v>
      </c>
      <c r="O67" s="34">
        <v>1.0269470164915</v>
      </c>
      <c r="P67" s="34">
        <v>1.02209738698569</v>
      </c>
      <c r="Q67" s="34">
        <v>1.0261792738220801</v>
      </c>
      <c r="R67" s="33">
        <v>6.0281789868051296</v>
      </c>
      <c r="S67" s="33">
        <v>6.0016404751653498</v>
      </c>
      <c r="T67" s="33">
        <v>6.0271986124515502</v>
      </c>
      <c r="U67" s="15">
        <v>6.3535607649438299E-3</v>
      </c>
      <c r="V67" s="15">
        <v>1.9414322578629199E-3</v>
      </c>
      <c r="W67" s="15">
        <v>6.1909156138193703E-3</v>
      </c>
      <c r="X67" s="34">
        <v>1.02044293015332</v>
      </c>
      <c r="Y67" s="34">
        <v>1.0269470164915</v>
      </c>
      <c r="Z67" s="34">
        <v>1.02209738698569</v>
      </c>
      <c r="AA67" s="34">
        <v>1.0261792738220801</v>
      </c>
      <c r="AB67" s="33">
        <v>6.0281789868051296</v>
      </c>
      <c r="AC67" s="33">
        <v>6.0016404751653498</v>
      </c>
      <c r="AD67" s="33">
        <v>6.0271986124515502</v>
      </c>
      <c r="AE67" s="15">
        <v>6.3535607649438299E-3</v>
      </c>
      <c r="AF67" s="15">
        <v>1.9414322578629199E-3</v>
      </c>
      <c r="AG67" s="15">
        <v>6.1909156138193703E-3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2.6928826088079352E-2</v>
      </c>
      <c r="AT67" s="12"/>
      <c r="AU67">
        <f t="shared" si="10"/>
        <v>1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-1.8917159132205302E-2</v>
      </c>
      <c r="BA67" s="28">
        <f t="shared" si="13"/>
        <v>1.8534650216822299E-2</v>
      </c>
      <c r="BB67" s="28">
        <f t="shared" si="20"/>
        <v>-3.8250891538300219E-4</v>
      </c>
      <c r="BC67" s="29">
        <f t="shared" si="21"/>
        <v>1.7508716618674102E-2</v>
      </c>
      <c r="BE67" s="29">
        <f t="shared" si="22"/>
        <v>-3.8250891538300219E-4</v>
      </c>
      <c r="BF67" s="29">
        <f t="shared" si="23"/>
        <v>4.4437542706753465E-2</v>
      </c>
      <c r="BH67" s="29"/>
    </row>
    <row r="68" spans="1:60" x14ac:dyDescent="0.25">
      <c r="A68" s="1">
        <v>46121</v>
      </c>
      <c r="B68" s="33">
        <v>6.12</v>
      </c>
      <c r="C68" s="33">
        <v>6.27</v>
      </c>
      <c r="D68" s="15">
        <v>4.17074626842295E-2</v>
      </c>
      <c r="E68" s="15">
        <v>4.56849425174711E-2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6.12</v>
      </c>
      <c r="M68" s="33">
        <v>6.27</v>
      </c>
      <c r="N68" s="34">
        <v>1.0245098039215601</v>
      </c>
      <c r="O68" s="34">
        <v>1.0269470164915</v>
      </c>
      <c r="P68" s="34">
        <v>1.02232614515563</v>
      </c>
      <c r="Q68" s="34">
        <v>1.02565873227213</v>
      </c>
      <c r="R68" s="33">
        <v>6.2849157409280103</v>
      </c>
      <c r="S68" s="33">
        <v>6.2552360083524503</v>
      </c>
      <c r="T68" s="33">
        <v>6.2802171557911501</v>
      </c>
      <c r="U68" s="15">
        <v>2.3760809317021798E-3</v>
      </c>
      <c r="V68" s="15">
        <v>-2.3574802862845099E-3</v>
      </c>
      <c r="W68" s="15">
        <v>1.6282041850758701E-3</v>
      </c>
      <c r="X68" s="34">
        <v>1.0245098039215601</v>
      </c>
      <c r="Y68" s="34">
        <v>1.0269470164915</v>
      </c>
      <c r="Z68" s="34">
        <v>1.02232614515563</v>
      </c>
      <c r="AA68" s="34">
        <v>1.02565873227213</v>
      </c>
      <c r="AB68" s="33">
        <v>6.2849157409280103</v>
      </c>
      <c r="AC68" s="33">
        <v>6.2552360083524503</v>
      </c>
      <c r="AD68" s="33">
        <v>6.2802171557911501</v>
      </c>
      <c r="AE68" s="15">
        <v>2.3760809317021798E-3</v>
      </c>
      <c r="AF68" s="15">
        <v>-2.3574802862845099E-3</v>
      </c>
      <c r="AG68" s="15">
        <v>1.6282041850758701E-3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2.6928826088079352E-2</v>
      </c>
      <c r="AT68" s="12"/>
      <c r="AU68">
        <f t="shared" si="10"/>
        <v>0</v>
      </c>
      <c r="AV68">
        <f t="shared" si="11"/>
        <v>1</v>
      </c>
      <c r="AW68">
        <f t="shared" si="18"/>
        <v>1</v>
      </c>
      <c r="AX68">
        <f t="shared" si="5"/>
        <v>1</v>
      </c>
      <c r="AY68">
        <f t="shared" si="19"/>
        <v>1</v>
      </c>
      <c r="AZ68" s="28">
        <f t="shared" si="12"/>
        <v>-4.17074626842295E-2</v>
      </c>
      <c r="BA68" s="28">
        <f t="shared" si="13"/>
        <v>4.56849425174711E-2</v>
      </c>
      <c r="BB68" s="28">
        <f t="shared" si="20"/>
        <v>3.9774798332415998E-3</v>
      </c>
      <c r="BC68" s="29">
        <f t="shared" si="21"/>
        <v>2.1486196451915702E-2</v>
      </c>
      <c r="BE68" s="29">
        <f t="shared" si="22"/>
        <v>3.9774798332415998E-3</v>
      </c>
      <c r="BF68" s="29">
        <f t="shared" si="23"/>
        <v>4.8415022539995065E-2</v>
      </c>
      <c r="BH68" s="29"/>
    </row>
    <row r="69" spans="1:60" x14ac:dyDescent="0.25">
      <c r="A69" s="1">
        <v>46122</v>
      </c>
      <c r="B69" s="33">
        <v>6</v>
      </c>
      <c r="C69" s="33">
        <v>6.12</v>
      </c>
      <c r="D69" s="15">
        <v>-1.9802627296179699E-2</v>
      </c>
      <c r="E69" s="15">
        <v>-2.4214258120594499E-2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6</v>
      </c>
      <c r="M69" s="33">
        <v>6.12</v>
      </c>
      <c r="N69" s="34">
        <v>1.02</v>
      </c>
      <c r="O69" s="34">
        <v>1.0269470164915</v>
      </c>
      <c r="P69" s="34">
        <v>1.02206920071118</v>
      </c>
      <c r="Q69" s="34">
        <v>1.0246714508730801</v>
      </c>
      <c r="R69" s="33">
        <v>6.1616820989490302</v>
      </c>
      <c r="S69" s="33">
        <v>6.1339568709337797</v>
      </c>
      <c r="T69" s="33">
        <v>6.15395239363278</v>
      </c>
      <c r="U69" s="15">
        <v>6.7877117561169799E-3</v>
      </c>
      <c r="V69" s="15">
        <v>2.2779379943915399E-3</v>
      </c>
      <c r="W69" s="15">
        <v>5.53244450441684E-3</v>
      </c>
      <c r="X69" s="34">
        <v>1.02</v>
      </c>
      <c r="Y69" s="34">
        <v>1.0269470164915</v>
      </c>
      <c r="Z69" s="34">
        <v>1.02206920071118</v>
      </c>
      <c r="AA69" s="34">
        <v>1.0246714508730801</v>
      </c>
      <c r="AB69" s="33">
        <v>6.1616820989490302</v>
      </c>
      <c r="AC69" s="33">
        <v>6.1339568709337797</v>
      </c>
      <c r="AD69" s="33">
        <v>6.15395239363278</v>
      </c>
      <c r="AE69" s="15">
        <v>6.7877117561169799E-3</v>
      </c>
      <c r="AF69" s="15">
        <v>2.2779379943915399E-3</v>
      </c>
      <c r="AG69" s="15">
        <v>5.53244450441684E-3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2.6928826088079352E-2</v>
      </c>
      <c r="AT69" s="12"/>
      <c r="AU69">
        <f t="shared" si="10"/>
        <v>1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2.1486196451915702E-2</v>
      </c>
      <c r="BE69" s="29">
        <f t="shared" si="22"/>
        <v>0</v>
      </c>
      <c r="BF69" s="29">
        <f t="shared" si="23"/>
        <v>4.8415022539995065E-2</v>
      </c>
      <c r="BH69" s="29"/>
    </row>
    <row r="70" spans="1:60" x14ac:dyDescent="0.25">
      <c r="A70" s="1">
        <v>46125</v>
      </c>
      <c r="B70" s="33">
        <v>5.99</v>
      </c>
      <c r="C70" s="33">
        <v>6.14</v>
      </c>
      <c r="D70" s="15">
        <v>-1.6680571006969401E-3</v>
      </c>
      <c r="E70" s="15">
        <v>3.2626456348163599E-3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5.99</v>
      </c>
      <c r="M70" s="33">
        <v>6.14</v>
      </c>
      <c r="N70" s="34">
        <v>1.0250417362270401</v>
      </c>
      <c r="O70" s="34">
        <v>1.0269470164915</v>
      </c>
      <c r="P70" s="34">
        <v>1.0226195555061799</v>
      </c>
      <c r="Q70" s="34">
        <v>1.0241691517195199</v>
      </c>
      <c r="R70" s="33">
        <v>6.1514126287841098</v>
      </c>
      <c r="S70" s="33">
        <v>6.1221945122600001</v>
      </c>
      <c r="T70" s="33">
        <v>6.1377819907297697</v>
      </c>
      <c r="U70" s="15">
        <v>1.8570090206036999E-3</v>
      </c>
      <c r="V70" s="15">
        <v>-2.9041294747744598E-3</v>
      </c>
      <c r="W70" s="15">
        <v>-3.6130455745605398E-4</v>
      </c>
      <c r="X70" s="34">
        <v>1.0250417362270401</v>
      </c>
      <c r="Y70" s="34">
        <v>1.0269470164915</v>
      </c>
      <c r="Z70" s="34">
        <v>1.0226195555061799</v>
      </c>
      <c r="AA70" s="34">
        <v>1.0241691517195199</v>
      </c>
      <c r="AB70" s="33">
        <v>6.1514126287841098</v>
      </c>
      <c r="AC70" s="33">
        <v>6.1221945122600001</v>
      </c>
      <c r="AD70" s="33">
        <v>6.1377819907297697</v>
      </c>
      <c r="AE70" s="15">
        <v>1.8570090206036999E-3</v>
      </c>
      <c r="AF70" s="15">
        <v>-2.9041294747744598E-3</v>
      </c>
      <c r="AG70" s="15">
        <v>-3.6130455745605398E-4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2.6928826088079352E-2</v>
      </c>
      <c r="AT70" s="12"/>
      <c r="AU70">
        <f t="shared" si="10"/>
        <v>0</v>
      </c>
      <c r="AV70">
        <f t="shared" si="11"/>
        <v>1</v>
      </c>
      <c r="AW70">
        <f t="shared" si="18"/>
        <v>1</v>
      </c>
      <c r="AX70">
        <f t="shared" si="5"/>
        <v>1</v>
      </c>
      <c r="AY70">
        <f t="shared" si="19"/>
        <v>1</v>
      </c>
      <c r="AZ70" s="28">
        <f t="shared" si="12"/>
        <v>1.6680571006969401E-3</v>
      </c>
      <c r="BA70" s="28">
        <f t="shared" si="13"/>
        <v>3.2626456348163599E-3</v>
      </c>
      <c r="BB70" s="28">
        <f t="shared" si="20"/>
        <v>4.9307027355132999E-3</v>
      </c>
      <c r="BC70" s="29">
        <f t="shared" si="21"/>
        <v>2.6416899187429004E-2</v>
      </c>
      <c r="BE70" s="29">
        <f t="shared" si="22"/>
        <v>4.9307027355132999E-3</v>
      </c>
      <c r="BF70" s="29">
        <f t="shared" si="23"/>
        <v>5.3345725275508363E-2</v>
      </c>
      <c r="BH70" s="29"/>
    </row>
    <row r="71" spans="1:60" x14ac:dyDescent="0.25">
      <c r="A71" s="1">
        <v>46126</v>
      </c>
      <c r="B71" s="33">
        <v>6.14</v>
      </c>
      <c r="C71" s="33">
        <v>6.31</v>
      </c>
      <c r="D71" s="15">
        <v>2.4733330031693E-2</v>
      </c>
      <c r="E71" s="15">
        <v>2.7310934394070702E-2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6.14</v>
      </c>
      <c r="M71" s="33">
        <v>6.31</v>
      </c>
      <c r="N71" s="34">
        <v>1.0276872964169299</v>
      </c>
      <c r="O71" s="34">
        <v>1.0269470164915</v>
      </c>
      <c r="P71" s="34">
        <v>1.02303747140465</v>
      </c>
      <c r="Q71" s="34">
        <v>1.0242611094321299</v>
      </c>
      <c r="R71" s="33">
        <v>6.3054546812578396</v>
      </c>
      <c r="S71" s="33">
        <v>6.2788840708079503</v>
      </c>
      <c r="T71" s="33">
        <v>6.2883985915578799</v>
      </c>
      <c r="U71" s="15">
        <v>-7.2059534177392403E-4</v>
      </c>
      <c r="V71" s="15">
        <v>-4.9434075939887596E-3</v>
      </c>
      <c r="W71" s="15">
        <v>-3.42923419256387E-3</v>
      </c>
      <c r="X71" s="34">
        <v>1.0276872964169299</v>
      </c>
      <c r="Y71" s="34">
        <v>1.0269470164915</v>
      </c>
      <c r="Z71" s="34">
        <v>1.02303747140465</v>
      </c>
      <c r="AA71" s="34">
        <v>1.0242611094321299</v>
      </c>
      <c r="AB71" s="33">
        <v>6.3054546812578396</v>
      </c>
      <c r="AC71" s="33">
        <v>6.2788840708079503</v>
      </c>
      <c r="AD71" s="33">
        <v>6.2883985915578799</v>
      </c>
      <c r="AE71" s="15">
        <v>-7.2059534177392403E-4</v>
      </c>
      <c r="AF71" s="15">
        <v>-4.9434075939887596E-3</v>
      </c>
      <c r="AG71" s="15">
        <v>-3.42923419256387E-3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2.6928826088079352E-2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2.6416899187429004E-2</v>
      </c>
      <c r="BE71" s="29">
        <f t="shared" si="22"/>
        <v>0</v>
      </c>
      <c r="BF71" s="29">
        <f t="shared" si="23"/>
        <v>5.3345725275508363E-2</v>
      </c>
      <c r="BH71" s="29"/>
    </row>
    <row r="72" spans="1:60" x14ac:dyDescent="0.25">
      <c r="A72" s="1">
        <v>46127</v>
      </c>
      <c r="B72" s="33">
        <v>6.15</v>
      </c>
      <c r="C72" s="33">
        <v>6.33</v>
      </c>
      <c r="D72" s="15">
        <v>1.6273396593754E-3</v>
      </c>
      <c r="E72" s="15">
        <v>3.1645596029631598E-3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6.15</v>
      </c>
      <c r="M72" s="33">
        <v>6.33</v>
      </c>
      <c r="N72" s="34">
        <v>1.02926829268292</v>
      </c>
      <c r="O72" s="34">
        <v>1.0269470164915</v>
      </c>
      <c r="P72" s="34">
        <v>1.02389176181284</v>
      </c>
      <c r="Q72" s="34">
        <v>1.02432649775048</v>
      </c>
      <c r="R72" s="33">
        <v>6.31572415142276</v>
      </c>
      <c r="S72" s="33">
        <v>6.2916804491386298</v>
      </c>
      <c r="T72" s="33">
        <v>6.2992058230076102</v>
      </c>
      <c r="U72" s="15">
        <v>-2.2578152853615298E-3</v>
      </c>
      <c r="V72" s="15">
        <v>-6.07203909993362E-3</v>
      </c>
      <c r="W72" s="15">
        <v>-4.8766705448685397E-3</v>
      </c>
      <c r="X72" s="34">
        <v>1.02926829268292</v>
      </c>
      <c r="Y72" s="34">
        <v>1.0269470164915</v>
      </c>
      <c r="Z72" s="34">
        <v>1.02389176181284</v>
      </c>
      <c r="AA72" s="34">
        <v>1.02432649775048</v>
      </c>
      <c r="AB72" s="33">
        <v>6.31572415142276</v>
      </c>
      <c r="AC72" s="33">
        <v>6.2916804491386298</v>
      </c>
      <c r="AD72" s="33">
        <v>6.2992058230076102</v>
      </c>
      <c r="AE72" s="15">
        <v>-2.2578152853615298E-3</v>
      </c>
      <c r="AF72" s="15">
        <v>-6.07203909993362E-3</v>
      </c>
      <c r="AG72" s="15">
        <v>-4.8766705448685397E-3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2.6928826088079352E-2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2.6416899187429004E-2</v>
      </c>
      <c r="BE72" s="29">
        <f t="shared" si="22"/>
        <v>0</v>
      </c>
      <c r="BF72" s="29">
        <f t="shared" si="23"/>
        <v>5.3345725275508363E-2</v>
      </c>
      <c r="BH72" s="29"/>
    </row>
    <row r="73" spans="1:60" x14ac:dyDescent="0.25">
      <c r="A73" s="1">
        <v>46128</v>
      </c>
      <c r="B73" s="33">
        <v>6.08</v>
      </c>
      <c r="C73" s="33">
        <v>6.26</v>
      </c>
      <c r="D73" s="15">
        <v>-1.1447385840350899E-2</v>
      </c>
      <c r="E73" s="15">
        <v>-1.11200510440777E-2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6.08</v>
      </c>
      <c r="M73" s="33">
        <v>6.26</v>
      </c>
      <c r="N73" s="34">
        <v>1.02960526315789</v>
      </c>
      <c r="O73" s="34">
        <v>1.0269470164915</v>
      </c>
      <c r="P73" s="34">
        <v>1.02417371670006</v>
      </c>
      <c r="Q73" s="34">
        <v>1.0242916093932299</v>
      </c>
      <c r="R73" s="33">
        <v>6.24383786026835</v>
      </c>
      <c r="S73" s="33">
        <v>6.2252619118221002</v>
      </c>
      <c r="T73" s="33">
        <v>6.2279051063229698</v>
      </c>
      <c r="U73" s="15">
        <v>-2.58515008163467E-3</v>
      </c>
      <c r="V73" s="15">
        <v>-5.5646694580399302E-3</v>
      </c>
      <c r="W73" s="15">
        <v>-5.1401678775646296E-3</v>
      </c>
      <c r="X73" s="34">
        <v>1.02960526315789</v>
      </c>
      <c r="Y73" s="34">
        <v>1.0269470164915</v>
      </c>
      <c r="Z73" s="34">
        <v>1.02417371670006</v>
      </c>
      <c r="AA73" s="34">
        <v>1.0242916093932299</v>
      </c>
      <c r="AB73" s="33">
        <v>6.24383786026835</v>
      </c>
      <c r="AC73" s="33">
        <v>6.2252619118221002</v>
      </c>
      <c r="AD73" s="33">
        <v>6.2279051063229698</v>
      </c>
      <c r="AE73" s="15">
        <v>-2.58515008163467E-3</v>
      </c>
      <c r="AF73" s="15">
        <v>-5.5646694580399302E-3</v>
      </c>
      <c r="AG73" s="15">
        <v>-5.1401678775646296E-3</v>
      </c>
      <c r="AI73" s="12"/>
      <c r="AJ73">
        <f t="shared" si="6"/>
        <v>1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2.6928826088079352E-2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2.6416899187429004E-2</v>
      </c>
      <c r="BE73" s="29">
        <f t="shared" si="22"/>
        <v>0</v>
      </c>
      <c r="BF73" s="29">
        <f t="shared" si="23"/>
        <v>5.3345725275508363E-2</v>
      </c>
      <c r="BH73" s="29"/>
    </row>
    <row r="74" spans="1:60" x14ac:dyDescent="0.25">
      <c r="A74" s="1">
        <v>46129</v>
      </c>
      <c r="B74" s="33">
        <v>6.3</v>
      </c>
      <c r="C74" s="33">
        <v>6.49</v>
      </c>
      <c r="D74" s="15">
        <v>3.5544937419411199E-2</v>
      </c>
      <c r="E74" s="15">
        <v>3.6082345603991497E-2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6.3</v>
      </c>
      <c r="M74" s="33">
        <v>6.49</v>
      </c>
      <c r="N74" s="34">
        <v>1.0301587301587301</v>
      </c>
      <c r="O74" s="34">
        <v>1.0269470164915</v>
      </c>
      <c r="P74" s="34">
        <v>1.0250077715341099</v>
      </c>
      <c r="Q74" s="34">
        <v>1.0243685694701901</v>
      </c>
      <c r="R74" s="33">
        <v>6.4697662038964801</v>
      </c>
      <c r="S74" s="33">
        <v>6.4522944152103996</v>
      </c>
      <c r="T74" s="33">
        <v>6.4530371391773604</v>
      </c>
      <c r="U74" s="15">
        <v>-3.12255826621492E-3</v>
      </c>
      <c r="V74" s="15">
        <v>-5.8267398744118798E-3</v>
      </c>
      <c r="W74" s="15">
        <v>-5.7116364437634201E-3</v>
      </c>
      <c r="X74" s="34">
        <v>1.0301587301587301</v>
      </c>
      <c r="Y74" s="34">
        <v>1.0269470164915</v>
      </c>
      <c r="Z74" s="34">
        <v>1.0250077715341099</v>
      </c>
      <c r="AA74" s="34">
        <v>1.0243685694701901</v>
      </c>
      <c r="AB74" s="33">
        <v>6.4697662038964801</v>
      </c>
      <c r="AC74" s="33">
        <v>6.4522944152103996</v>
      </c>
      <c r="AD74" s="33">
        <v>6.4530371391773604</v>
      </c>
      <c r="AE74" s="15">
        <v>-3.12255826621492E-3</v>
      </c>
      <c r="AF74" s="15">
        <v>-5.8267398744118798E-3</v>
      </c>
      <c r="AG74" s="15">
        <v>-5.7116364437634201E-3</v>
      </c>
      <c r="AI74" s="12"/>
      <c r="AJ74">
        <f t="shared" si="6"/>
        <v>1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3.5544937419411199E-2</v>
      </c>
      <c r="AP74" s="28">
        <f t="shared" si="9"/>
        <v>-3.6082345603991497E-2</v>
      </c>
      <c r="AQ74" s="28">
        <f t="shared" si="16"/>
        <v>-5.374081845802986E-4</v>
      </c>
      <c r="AR74" s="29">
        <f t="shared" si="17"/>
        <v>2.6391417903499054E-2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2.6416899187429004E-2</v>
      </c>
      <c r="BE74" s="29">
        <f t="shared" si="22"/>
        <v>-5.374081845802986E-4</v>
      </c>
      <c r="BF74" s="29">
        <f t="shared" si="23"/>
        <v>5.2808317090928064E-2</v>
      </c>
      <c r="BH74" s="29"/>
    </row>
    <row r="75" spans="1:60" x14ac:dyDescent="0.25">
      <c r="A75" s="1">
        <v>46132</v>
      </c>
      <c r="B75" s="33">
        <v>6.45</v>
      </c>
      <c r="C75" s="33">
        <v>6.61</v>
      </c>
      <c r="D75" s="15">
        <v>2.3530497410194199E-2</v>
      </c>
      <c r="E75" s="15">
        <v>1.8321123147596201E-2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6.45</v>
      </c>
      <c r="M75" s="33">
        <v>6.61</v>
      </c>
      <c r="N75" s="34">
        <v>1.02480620155038</v>
      </c>
      <c r="O75" s="34">
        <v>1.0269470164915</v>
      </c>
      <c r="P75" s="34">
        <v>1.0252353587602101</v>
      </c>
      <c r="Q75" s="34">
        <v>1.02438296010813</v>
      </c>
      <c r="R75" s="33">
        <v>6.6238082563702099</v>
      </c>
      <c r="S75" s="33">
        <v>6.6113001263950597</v>
      </c>
      <c r="T75" s="33">
        <v>6.6071772730827396</v>
      </c>
      <c r="U75" s="15">
        <v>2.0868159963829099E-3</v>
      </c>
      <c r="V75" s="15">
        <v>1.96671490220547E-4</v>
      </c>
      <c r="W75" s="15">
        <v>-4.2713007503085302E-4</v>
      </c>
      <c r="X75" s="34">
        <v>1.02480620155038</v>
      </c>
      <c r="Y75" s="34">
        <v>1.0269470164915</v>
      </c>
      <c r="Z75" s="34">
        <v>1.0252353587602101</v>
      </c>
      <c r="AA75" s="34">
        <v>1.02438296010813</v>
      </c>
      <c r="AB75" s="33">
        <v>6.6238082563702099</v>
      </c>
      <c r="AC75" s="33">
        <v>6.6113001263950597</v>
      </c>
      <c r="AD75" s="33">
        <v>6.6071772730827396</v>
      </c>
      <c r="AE75" s="15">
        <v>2.0868159963829099E-3</v>
      </c>
      <c r="AF75" s="15">
        <v>1.96671490220547E-4</v>
      </c>
      <c r="AG75" s="15">
        <v>-4.2713007503085302E-4</v>
      </c>
      <c r="AI75" s="12"/>
      <c r="AJ75">
        <f t="shared" si="6"/>
        <v>0</v>
      </c>
      <c r="AK75">
        <f t="shared" si="7"/>
        <v>1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2.3530497410194199E-2</v>
      </c>
      <c r="AP75" s="28">
        <f t="shared" si="9"/>
        <v>-1.8321123147596201E-2</v>
      </c>
      <c r="AQ75" s="28">
        <f t="shared" si="16"/>
        <v>5.2093742625979982E-3</v>
      </c>
      <c r="AR75" s="29">
        <f t="shared" si="17"/>
        <v>3.1600792166097055E-2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2.6416899187429004E-2</v>
      </c>
      <c r="BE75" s="29">
        <f t="shared" si="22"/>
        <v>5.2093742625979982E-3</v>
      </c>
      <c r="BF75" s="29">
        <f t="shared" si="23"/>
        <v>5.8017691353526066E-2</v>
      </c>
      <c r="BH75" s="29"/>
    </row>
    <row r="76" spans="1:60" x14ac:dyDescent="0.25">
      <c r="A76" s="1">
        <v>46133</v>
      </c>
      <c r="B76" s="33">
        <v>6.51</v>
      </c>
      <c r="C76" s="33">
        <v>6.73</v>
      </c>
      <c r="D76" s="15">
        <v>9.2593254127967192E-3</v>
      </c>
      <c r="E76" s="15">
        <v>1.7991489793041399E-2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6.51</v>
      </c>
      <c r="M76" s="33">
        <v>6.73</v>
      </c>
      <c r="N76" s="34">
        <v>1.03379416282642</v>
      </c>
      <c r="O76" s="34">
        <v>1.0269470164915</v>
      </c>
      <c r="P76" s="34">
        <v>1.0265314417095199</v>
      </c>
      <c r="Q76" s="34">
        <v>1.0244787085178999</v>
      </c>
      <c r="R76" s="33">
        <v>6.6854250773597004</v>
      </c>
      <c r="S76" s="33">
        <v>6.6742821855289902</v>
      </c>
      <c r="T76" s="33">
        <v>6.66873307030394</v>
      </c>
      <c r="U76" s="15">
        <v>-6.6453483838618899E-3</v>
      </c>
      <c r="V76" s="15">
        <v>-8.3134829013862196E-3</v>
      </c>
      <c r="W76" s="15">
        <v>-9.1452462530096802E-3</v>
      </c>
      <c r="X76" s="34">
        <v>1.03379416282642</v>
      </c>
      <c r="Y76" s="34">
        <v>1.0269470164915</v>
      </c>
      <c r="Z76" s="34">
        <v>1.0265314417095199</v>
      </c>
      <c r="AA76" s="34">
        <v>1.0244787085178999</v>
      </c>
      <c r="AB76" s="33">
        <v>6.6854250773597004</v>
      </c>
      <c r="AC76" s="33">
        <v>6.6742821855289902</v>
      </c>
      <c r="AD76" s="33">
        <v>6.66873307030394</v>
      </c>
      <c r="AE76" s="15">
        <v>-6.6453483838618899E-3</v>
      </c>
      <c r="AF76" s="15">
        <v>-8.3134829013862196E-3</v>
      </c>
      <c r="AG76" s="15">
        <v>-9.1452462530096802E-3</v>
      </c>
      <c r="AI76" s="12"/>
      <c r="AJ76">
        <f t="shared" si="6"/>
        <v>1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3.1600792166097055E-2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2.6416899187429004E-2</v>
      </c>
      <c r="BE76" s="29">
        <f t="shared" si="22"/>
        <v>0</v>
      </c>
      <c r="BF76" s="29">
        <f t="shared" si="23"/>
        <v>5.8017691353526066E-2</v>
      </c>
      <c r="BH76" s="29"/>
    </row>
    <row r="77" spans="1:60" x14ac:dyDescent="0.25">
      <c r="A77" s="1">
        <v>46134</v>
      </c>
      <c r="B77" s="33">
        <v>6.11</v>
      </c>
      <c r="C77" s="33">
        <v>6.32</v>
      </c>
      <c r="D77" s="15">
        <v>-6.3412683036973796E-2</v>
      </c>
      <c r="E77" s="15">
        <v>-6.2855935497870302E-2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6.11</v>
      </c>
      <c r="M77" s="33">
        <v>6.32</v>
      </c>
      <c r="N77" s="34">
        <v>1.03436988543371</v>
      </c>
      <c r="O77" s="34">
        <v>1.0269470164915</v>
      </c>
      <c r="P77" s="34">
        <v>1.02792413723756</v>
      </c>
      <c r="Q77" s="34">
        <v>1.02501076211162</v>
      </c>
      <c r="R77" s="33">
        <v>6.2746462707630997</v>
      </c>
      <c r="S77" s="33">
        <v>6.2721071088451801</v>
      </c>
      <c r="T77" s="33">
        <v>6.2595649090444203</v>
      </c>
      <c r="U77" s="15">
        <v>-7.2020959229653304E-3</v>
      </c>
      <c r="V77" s="15">
        <v>-7.60684795335188E-3</v>
      </c>
      <c r="W77" s="15">
        <v>-9.6085288097639207E-3</v>
      </c>
      <c r="X77" s="34">
        <v>1.03436988543371</v>
      </c>
      <c r="Y77" s="34">
        <v>1.0269470164915</v>
      </c>
      <c r="Z77" s="34">
        <v>1.02792413723756</v>
      </c>
      <c r="AA77" s="34">
        <v>1.02501076211162</v>
      </c>
      <c r="AB77" s="33">
        <v>6.2746462707630997</v>
      </c>
      <c r="AC77" s="33">
        <v>6.2721071088451801</v>
      </c>
      <c r="AD77" s="33">
        <v>6.2595649090444203</v>
      </c>
      <c r="AE77" s="15">
        <v>-7.2020959229653304E-3</v>
      </c>
      <c r="AF77" s="15">
        <v>-7.60684795335188E-3</v>
      </c>
      <c r="AG77" s="15">
        <v>-9.6085288097639207E-3</v>
      </c>
      <c r="AI77" s="12"/>
      <c r="AJ77">
        <f t="shared" si="6"/>
        <v>1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-6.3412683036973796E-2</v>
      </c>
      <c r="AP77" s="28">
        <f t="shared" si="9"/>
        <v>6.2855935497870302E-2</v>
      </c>
      <c r="AQ77" s="28">
        <f t="shared" si="16"/>
        <v>-5.5674753910349428E-4</v>
      </c>
      <c r="AR77" s="29">
        <f t="shared" si="17"/>
        <v>3.1044044626993561E-2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2.6416899187429004E-2</v>
      </c>
      <c r="BE77" s="29">
        <f t="shared" si="22"/>
        <v>-5.5674753910349428E-4</v>
      </c>
      <c r="BF77" s="29">
        <f t="shared" si="23"/>
        <v>5.7460943814422571E-2</v>
      </c>
      <c r="BH77" s="29"/>
    </row>
    <row r="78" spans="1:60" x14ac:dyDescent="0.25">
      <c r="A78" s="1">
        <v>46135</v>
      </c>
      <c r="B78" s="33">
        <v>6.19</v>
      </c>
      <c r="C78" s="33">
        <v>6.38</v>
      </c>
      <c r="D78" s="15">
        <v>1.30083135130007E-2</v>
      </c>
      <c r="E78" s="15">
        <v>9.4488891979322802E-3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6.19</v>
      </c>
      <c r="M78" s="33">
        <v>6.38</v>
      </c>
      <c r="N78" s="34">
        <v>1.03069466882067</v>
      </c>
      <c r="O78" s="34">
        <v>1.0269470164915</v>
      </c>
      <c r="P78" s="34">
        <v>1.02854262372747</v>
      </c>
      <c r="Q78" s="34">
        <v>1.0254343844415501</v>
      </c>
      <c r="R78" s="33">
        <v>6.3568020320824203</v>
      </c>
      <c r="S78" s="33">
        <v>6.3628504095005098</v>
      </c>
      <c r="T78" s="33">
        <v>6.3448166174709799</v>
      </c>
      <c r="U78" s="15">
        <v>-3.6426716078968601E-3</v>
      </c>
      <c r="V78" s="15">
        <v>-2.6916428118281001E-3</v>
      </c>
      <c r="W78" s="15">
        <v>-5.5298985038410098E-3</v>
      </c>
      <c r="X78" s="34">
        <v>1.03069466882067</v>
      </c>
      <c r="Y78" s="34">
        <v>1.0269470164915</v>
      </c>
      <c r="Z78" s="34">
        <v>1.02854262372747</v>
      </c>
      <c r="AA78" s="34">
        <v>1.0254343844415501</v>
      </c>
      <c r="AB78" s="33">
        <v>6.3568020320824203</v>
      </c>
      <c r="AC78" s="33">
        <v>6.3628504095005098</v>
      </c>
      <c r="AD78" s="33">
        <v>6.3448166174709799</v>
      </c>
      <c r="AE78" s="15">
        <v>-3.6426716078968601E-3</v>
      </c>
      <c r="AF78" s="15">
        <v>-2.6916428118281001E-3</v>
      </c>
      <c r="AG78" s="15">
        <v>-5.5298985038410098E-3</v>
      </c>
      <c r="AI78" s="12"/>
      <c r="AJ78">
        <f t="shared" si="6"/>
        <v>1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1.30083135130007E-2</v>
      </c>
      <c r="AP78" s="28">
        <f t="shared" si="9"/>
        <v>-9.4488891979322802E-3</v>
      </c>
      <c r="AQ78" s="28">
        <f t="shared" si="16"/>
        <v>3.5594243150684195E-3</v>
      </c>
      <c r="AR78" s="29">
        <f t="shared" si="17"/>
        <v>3.4603468942061982E-2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2.6416899187429004E-2</v>
      </c>
      <c r="BE78" s="29">
        <f t="shared" si="22"/>
        <v>3.5594243150684195E-3</v>
      </c>
      <c r="BF78" s="29">
        <f t="shared" si="23"/>
        <v>6.1020368129490993E-2</v>
      </c>
      <c r="BH78" s="29"/>
    </row>
    <row r="79" spans="1:60" x14ac:dyDescent="0.25">
      <c r="A79" s="1">
        <v>46136</v>
      </c>
      <c r="B79" s="33">
        <v>5.99</v>
      </c>
      <c r="C79" s="33">
        <v>6.2</v>
      </c>
      <c r="D79" s="15">
        <v>-3.2843674569146802E-2</v>
      </c>
      <c r="E79" s="15">
        <v>-2.86188053056525E-2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5.99</v>
      </c>
      <c r="M79" s="33">
        <v>6.2</v>
      </c>
      <c r="N79" s="34">
        <v>1.0350584307178601</v>
      </c>
      <c r="O79" s="34">
        <v>1.0269470164915</v>
      </c>
      <c r="P79" s="34">
        <v>1.03004846679926</v>
      </c>
      <c r="Q79" s="34">
        <v>1.0260588337552199</v>
      </c>
      <c r="R79" s="33">
        <v>6.1514126287841098</v>
      </c>
      <c r="S79" s="33">
        <v>6.1609703161275604</v>
      </c>
      <c r="T79" s="33">
        <v>6.1423519628048897</v>
      </c>
      <c r="U79" s="15">
        <v>-7.8675408713911304E-3</v>
      </c>
      <c r="V79" s="15">
        <v>-6.3150080585313304E-3</v>
      </c>
      <c r="W79" s="15">
        <v>-9.3415674077333907E-3</v>
      </c>
      <c r="X79" s="34">
        <v>1.0350584307178601</v>
      </c>
      <c r="Y79" s="34">
        <v>1.0269470164915</v>
      </c>
      <c r="Z79" s="34">
        <v>1.03004846679926</v>
      </c>
      <c r="AA79" s="34">
        <v>1.0260588337552199</v>
      </c>
      <c r="AB79" s="33">
        <v>6.1514126287841098</v>
      </c>
      <c r="AC79" s="33">
        <v>6.1609703161275604</v>
      </c>
      <c r="AD79" s="33">
        <v>6.1423519628048897</v>
      </c>
      <c r="AE79" s="15">
        <v>-7.8675408713911304E-3</v>
      </c>
      <c r="AF79" s="15">
        <v>-6.3150080585313304E-3</v>
      </c>
      <c r="AG79" s="15">
        <v>-9.3415674077333907E-3</v>
      </c>
      <c r="AI79" s="12"/>
      <c r="AJ79">
        <f t="shared" si="6"/>
        <v>1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-3.2843674569146802E-2</v>
      </c>
      <c r="AP79" s="28">
        <f t="shared" si="9"/>
        <v>2.86188053056525E-2</v>
      </c>
      <c r="AQ79" s="28">
        <f t="shared" si="16"/>
        <v>-4.2248692634943019E-3</v>
      </c>
      <c r="AR79" s="29">
        <f t="shared" si="17"/>
        <v>3.037859967856768E-2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2.6416899187429004E-2</v>
      </c>
      <c r="BE79" s="29">
        <f t="shared" si="22"/>
        <v>-4.2248692634943019E-3</v>
      </c>
      <c r="BF79" s="29">
        <f t="shared" si="23"/>
        <v>5.6795498865996691E-2</v>
      </c>
      <c r="BH79" s="29"/>
    </row>
    <row r="80" spans="1:60" x14ac:dyDescent="0.25">
      <c r="A80" s="1">
        <v>46139</v>
      </c>
      <c r="B80" s="33">
        <v>6.2</v>
      </c>
      <c r="C80" s="33">
        <v>6.42</v>
      </c>
      <c r="D80" s="15">
        <v>3.4457879923687901E-2</v>
      </c>
      <c r="E80" s="15">
        <v>3.4868825650823797E-2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6.2</v>
      </c>
      <c r="M80" s="33">
        <v>6.42</v>
      </c>
      <c r="N80" s="34">
        <v>1.0354838709677401</v>
      </c>
      <c r="O80" s="34">
        <v>1.0269470164915</v>
      </c>
      <c r="P80" s="34">
        <v>1.03109268027332</v>
      </c>
      <c r="Q80" s="34">
        <v>1.02685611788975</v>
      </c>
      <c r="R80" s="33">
        <v>6.3670715022473301</v>
      </c>
      <c r="S80" s="33">
        <v>6.3863004941554102</v>
      </c>
      <c r="T80" s="33">
        <v>6.3615647692823796</v>
      </c>
      <c r="U80" s="15">
        <v>-8.2784865985270507E-3</v>
      </c>
      <c r="V80" s="15">
        <v>-5.2629693714254903E-3</v>
      </c>
      <c r="W80" s="15">
        <v>-9.1437377049359697E-3</v>
      </c>
      <c r="X80" s="34">
        <v>1.0354838709677401</v>
      </c>
      <c r="Y80" s="34">
        <v>1.0269470164915</v>
      </c>
      <c r="Z80" s="34">
        <v>1.03109268027332</v>
      </c>
      <c r="AA80" s="34">
        <v>1.02685611788975</v>
      </c>
      <c r="AB80" s="33">
        <v>6.3670715022473301</v>
      </c>
      <c r="AC80" s="33">
        <v>6.3863004941554102</v>
      </c>
      <c r="AD80" s="33">
        <v>6.3615647692823796</v>
      </c>
      <c r="AE80" s="15">
        <v>-8.2784865985270507E-3</v>
      </c>
      <c r="AF80" s="15">
        <v>-5.2629693714254903E-3</v>
      </c>
      <c r="AG80" s="15">
        <v>-9.1437377049359697E-3</v>
      </c>
      <c r="AI80" s="12"/>
      <c r="AJ80">
        <f t="shared" si="6"/>
        <v>1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3.4457879923687901E-2</v>
      </c>
      <c r="AP80" s="28">
        <f t="shared" si="9"/>
        <v>-3.4868825650823797E-2</v>
      </c>
      <c r="AQ80" s="28">
        <f t="shared" si="16"/>
        <v>-4.10945727135896E-4</v>
      </c>
      <c r="AR80" s="29">
        <f t="shared" si="17"/>
        <v>2.9967653951431784E-2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2.6416899187429004E-2</v>
      </c>
      <c r="BE80" s="29">
        <f t="shared" si="22"/>
        <v>-4.10945727135896E-4</v>
      </c>
      <c r="BF80" s="29">
        <f t="shared" si="23"/>
        <v>5.6384553138860795E-2</v>
      </c>
      <c r="BH80" s="29"/>
    </row>
    <row r="81" spans="1:60" x14ac:dyDescent="0.25">
      <c r="A81" s="1">
        <v>46140</v>
      </c>
      <c r="B81" s="33">
        <v>6.19</v>
      </c>
      <c r="C81" s="33">
        <v>6.4</v>
      </c>
      <c r="D81" s="15">
        <v>-1.6142053545411101E-3</v>
      </c>
      <c r="E81" s="15">
        <v>-3.1201273362435199E-3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6.19</v>
      </c>
      <c r="M81" s="33">
        <v>6.4</v>
      </c>
      <c r="N81" s="34">
        <v>1.03392568659127</v>
      </c>
      <c r="O81" s="34">
        <v>1.0269470164915</v>
      </c>
      <c r="P81" s="34">
        <v>1.03171651929076</v>
      </c>
      <c r="Q81" s="34">
        <v>1.0273769953477101</v>
      </c>
      <c r="R81" s="33">
        <v>6.3568020320824203</v>
      </c>
      <c r="S81" s="33">
        <v>6.3824636908919103</v>
      </c>
      <c r="T81" s="33">
        <v>6.3562393697375796</v>
      </c>
      <c r="U81" s="15">
        <v>-6.7725646168246096E-3</v>
      </c>
      <c r="V81" s="15">
        <v>-2.74380910190376E-3</v>
      </c>
      <c r="W81" s="15">
        <v>-6.8610819632905296E-3</v>
      </c>
      <c r="X81" s="34">
        <v>1.03392568659127</v>
      </c>
      <c r="Y81" s="34">
        <v>1.0269470164915</v>
      </c>
      <c r="Z81" s="34">
        <v>1.03171651929076</v>
      </c>
      <c r="AA81" s="34">
        <v>1.0273769953477101</v>
      </c>
      <c r="AB81" s="33">
        <v>6.3568020320824203</v>
      </c>
      <c r="AC81" s="33">
        <v>6.3824636908919103</v>
      </c>
      <c r="AD81" s="33">
        <v>6.3562393697375796</v>
      </c>
      <c r="AE81" s="15">
        <v>-6.7725646168246096E-3</v>
      </c>
      <c r="AF81" s="15">
        <v>-2.74380910190376E-3</v>
      </c>
      <c r="AG81" s="15">
        <v>-6.8610819632905296E-3</v>
      </c>
      <c r="AI81" s="12"/>
      <c r="AJ81">
        <f t="shared" si="6"/>
        <v>1</v>
      </c>
      <c r="AK81">
        <f t="shared" si="7"/>
        <v>0</v>
      </c>
      <c r="AL81">
        <f t="shared" si="14"/>
        <v>1</v>
      </c>
      <c r="AM81">
        <f t="shared" si="4"/>
        <v>1</v>
      </c>
      <c r="AN81">
        <f t="shared" si="15"/>
        <v>1</v>
      </c>
      <c r="AO81" s="28">
        <f t="shared" si="8"/>
        <v>-1.6142053545411101E-3</v>
      </c>
      <c r="AP81" s="28">
        <f t="shared" si="9"/>
        <v>3.1201273362435199E-3</v>
      </c>
      <c r="AQ81" s="28">
        <f t="shared" si="16"/>
        <v>1.5059219817024098E-3</v>
      </c>
      <c r="AR81" s="29">
        <f t="shared" si="17"/>
        <v>3.1473575933134192E-2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2.6416899187429004E-2</v>
      </c>
      <c r="BE81" s="29">
        <f t="shared" si="22"/>
        <v>1.5059219817024098E-3</v>
      </c>
      <c r="BF81" s="29">
        <f t="shared" si="23"/>
        <v>5.7890475120563202E-2</v>
      </c>
      <c r="BH81" s="29"/>
    </row>
    <row r="82" spans="1:60" x14ac:dyDescent="0.25">
      <c r="A82" s="1">
        <v>46141</v>
      </c>
      <c r="B82" s="33">
        <v>5.96</v>
      </c>
      <c r="C82" s="33">
        <v>6.17</v>
      </c>
      <c r="D82" s="15">
        <v>-3.7864605619246303E-2</v>
      </c>
      <c r="E82" s="15">
        <v>-3.6599152448329703E-2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5.96</v>
      </c>
      <c r="M82" s="33">
        <v>6.17</v>
      </c>
      <c r="N82" s="34">
        <v>1.03523489932885</v>
      </c>
      <c r="O82" s="34">
        <v>1.0269470164915</v>
      </c>
      <c r="P82" s="34">
        <v>1.03231317995535</v>
      </c>
      <c r="Q82" s="34">
        <v>1.0281024708841</v>
      </c>
      <c r="R82" s="33">
        <v>6.1206042182893698</v>
      </c>
      <c r="S82" s="33">
        <v>6.1490304549729498</v>
      </c>
      <c r="T82" s="33">
        <v>6.1231668922723497</v>
      </c>
      <c r="U82" s="15">
        <v>-8.0380177877413302E-3</v>
      </c>
      <c r="V82" s="15">
        <v>-3.4044181247683499E-3</v>
      </c>
      <c r="W82" s="15">
        <v>-7.6194091748785697E-3</v>
      </c>
      <c r="X82" s="34">
        <v>1.03523489932885</v>
      </c>
      <c r="Y82" s="34">
        <v>1.0269470164915</v>
      </c>
      <c r="Z82" s="34">
        <v>1.03231317995535</v>
      </c>
      <c r="AA82" s="34">
        <v>1.0281024708841</v>
      </c>
      <c r="AB82" s="33">
        <v>6.1206042182893698</v>
      </c>
      <c r="AC82" s="33">
        <v>6.1490304549729498</v>
      </c>
      <c r="AD82" s="33">
        <v>6.1231668922723497</v>
      </c>
      <c r="AE82" s="15">
        <v>-8.0380177877413302E-3</v>
      </c>
      <c r="AF82" s="15">
        <v>-3.4044181247683499E-3</v>
      </c>
      <c r="AG82" s="15">
        <v>-7.6194091748785697E-3</v>
      </c>
      <c r="AI82" s="12"/>
      <c r="AJ82">
        <f t="shared" si="6"/>
        <v>1</v>
      </c>
      <c r="AK82">
        <f t="shared" si="7"/>
        <v>0</v>
      </c>
      <c r="AL82">
        <f t="shared" si="14"/>
        <v>1</v>
      </c>
      <c r="AM82">
        <f t="shared" si="4"/>
        <v>1</v>
      </c>
      <c r="AN82">
        <f t="shared" si="15"/>
        <v>1</v>
      </c>
      <c r="AO82" s="28">
        <f t="shared" si="8"/>
        <v>-3.7864605619246303E-2</v>
      </c>
      <c r="AP82" s="28">
        <f t="shared" si="9"/>
        <v>3.6599152448329703E-2</v>
      </c>
      <c r="AQ82" s="28">
        <f t="shared" si="16"/>
        <v>-1.2654531709166E-3</v>
      </c>
      <c r="AR82" s="29">
        <f t="shared" si="17"/>
        <v>3.0208122762217592E-2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2.6416899187429004E-2</v>
      </c>
      <c r="BE82" s="29">
        <f t="shared" si="22"/>
        <v>-1.2654531709166E-3</v>
      </c>
      <c r="BF82" s="29">
        <f t="shared" si="23"/>
        <v>5.6625021949646602E-2</v>
      </c>
      <c r="BH82" s="29"/>
    </row>
    <row r="83" spans="1:60" x14ac:dyDescent="0.25">
      <c r="A83" s="1">
        <v>46142</v>
      </c>
      <c r="B83" s="33">
        <v>6.07</v>
      </c>
      <c r="C83" s="33">
        <v>6.29</v>
      </c>
      <c r="D83" s="15">
        <v>1.82881239941485E-2</v>
      </c>
      <c r="E83" s="15">
        <v>1.9262232795052701E-2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6.07</v>
      </c>
      <c r="M83" s="33">
        <v>6.29</v>
      </c>
      <c r="N83" s="34">
        <v>1.0362438220757799</v>
      </c>
      <c r="O83" s="34">
        <v>1.0269470164915</v>
      </c>
      <c r="P83" s="34">
        <v>1.03297703584714</v>
      </c>
      <c r="Q83" s="34">
        <v>1.0285753762736001</v>
      </c>
      <c r="R83" s="33">
        <v>6.2335683901034402</v>
      </c>
      <c r="S83" s="33">
        <v>6.2661410023290101</v>
      </c>
      <c r="T83" s="33">
        <v>6.2405819982664896</v>
      </c>
      <c r="U83" s="15">
        <v>-9.0121265886454194E-3</v>
      </c>
      <c r="V83" s="15">
        <v>-3.8003756699699401E-3</v>
      </c>
      <c r="W83" s="15">
        <v>-7.8876237273271897E-3</v>
      </c>
      <c r="X83" s="34">
        <v>1.0362438220757799</v>
      </c>
      <c r="Y83" s="34">
        <v>1.0269470164915</v>
      </c>
      <c r="Z83" s="34">
        <v>1.03297703584714</v>
      </c>
      <c r="AA83" s="34">
        <v>1.0285753762736001</v>
      </c>
      <c r="AB83" s="33">
        <v>6.2335683901034402</v>
      </c>
      <c r="AC83" s="33">
        <v>6.2661410023290101</v>
      </c>
      <c r="AD83" s="33">
        <v>6.2405819982664896</v>
      </c>
      <c r="AE83" s="15">
        <v>-9.0121265886454194E-3</v>
      </c>
      <c r="AF83" s="15">
        <v>-3.8003756699699401E-3</v>
      </c>
      <c r="AG83" s="15">
        <v>-7.8876237273271897E-3</v>
      </c>
      <c r="AI83" s="12"/>
      <c r="AJ83">
        <f t="shared" si="6"/>
        <v>1</v>
      </c>
      <c r="AK83">
        <f t="shared" si="7"/>
        <v>0</v>
      </c>
      <c r="AL83">
        <f t="shared" si="14"/>
        <v>1</v>
      </c>
      <c r="AM83">
        <f t="shared" si="4"/>
        <v>1</v>
      </c>
      <c r="AN83">
        <f t="shared" si="15"/>
        <v>1</v>
      </c>
      <c r="AO83" s="28">
        <f t="shared" si="8"/>
        <v>1.82881239941485E-2</v>
      </c>
      <c r="AP83" s="28">
        <f t="shared" si="9"/>
        <v>-1.9262232795052701E-2</v>
      </c>
      <c r="AQ83" s="28">
        <f t="shared" si="16"/>
        <v>-9.741088009042019E-4</v>
      </c>
      <c r="AR83" s="29">
        <f t="shared" si="17"/>
        <v>2.923401396131339E-2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2.6416899187429004E-2</v>
      </c>
      <c r="BE83" s="29">
        <f t="shared" si="22"/>
        <v>-9.741088009042019E-4</v>
      </c>
      <c r="BF83" s="29">
        <f t="shared" si="23"/>
        <v>5.5650913148742404E-2</v>
      </c>
      <c r="BH83" s="29"/>
    </row>
    <row r="84" spans="1:60" x14ac:dyDescent="0.25">
      <c r="A84" s="1">
        <v>46143</v>
      </c>
      <c r="B84" s="33">
        <v>6.09</v>
      </c>
      <c r="C84" s="33">
        <v>6.29</v>
      </c>
      <c r="D84" s="15">
        <v>3.2894766503987001E-3</v>
      </c>
      <c r="E84" s="15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6.09</v>
      </c>
      <c r="M84" s="33">
        <v>6.29</v>
      </c>
      <c r="N84" s="34">
        <v>1.03284072249589</v>
      </c>
      <c r="O84" s="34">
        <v>1.0269470164915</v>
      </c>
      <c r="P84" s="34">
        <v>1.0332452350808601</v>
      </c>
      <c r="Q84" s="34">
        <v>1.0291265033074899</v>
      </c>
      <c r="R84" s="33">
        <v>6.2541073304332704</v>
      </c>
      <c r="S84" s="33">
        <v>6.2908301483091096</v>
      </c>
      <c r="T84" s="33">
        <v>6.26402404150625</v>
      </c>
      <c r="U84" s="15">
        <v>-5.7226499382466902E-3</v>
      </c>
      <c r="V84" s="15">
        <v>1.31970354982034E-4</v>
      </c>
      <c r="W84" s="15">
        <v>-4.1382739874300497E-3</v>
      </c>
      <c r="X84" s="34">
        <v>1.03284072249589</v>
      </c>
      <c r="Y84" s="34">
        <v>1.0269470164915</v>
      </c>
      <c r="Z84" s="34">
        <v>1.0332452350808601</v>
      </c>
      <c r="AA84" s="34">
        <v>1.0291265033074899</v>
      </c>
      <c r="AB84" s="33">
        <v>6.2541073304332704</v>
      </c>
      <c r="AC84" s="33">
        <v>6.2908301483091096</v>
      </c>
      <c r="AD84" s="33">
        <v>6.26402404150625</v>
      </c>
      <c r="AE84" s="15">
        <v>-5.7226499382466902E-3</v>
      </c>
      <c r="AF84" s="15">
        <v>1.31970354982034E-4</v>
      </c>
      <c r="AG84" s="15">
        <v>-4.1382739874300497E-3</v>
      </c>
      <c r="AI84" s="12"/>
      <c r="AJ84">
        <f t="shared" si="6"/>
        <v>0</v>
      </c>
      <c r="AK84">
        <f t="shared" si="7"/>
        <v>0</v>
      </c>
      <c r="AL84">
        <f t="shared" si="14"/>
        <v>1</v>
      </c>
      <c r="AM84">
        <f t="shared" si="4"/>
        <v>1</v>
      </c>
      <c r="AN84">
        <f t="shared" si="15"/>
        <v>1</v>
      </c>
      <c r="AO84" s="28">
        <f t="shared" si="8"/>
        <v>3.2894766503987001E-3</v>
      </c>
      <c r="AP84" s="28">
        <f t="shared" si="9"/>
        <v>0</v>
      </c>
      <c r="AQ84" s="28">
        <f t="shared" si="16"/>
        <v>3.2894766503987001E-3</v>
      </c>
      <c r="AR84" s="29">
        <f t="shared" si="17"/>
        <v>3.2523490611712093E-2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2.6416899187429004E-2</v>
      </c>
      <c r="BE84" s="29">
        <f t="shared" si="22"/>
        <v>3.2894766503987001E-3</v>
      </c>
      <c r="BF84" s="29">
        <f t="shared" si="23"/>
        <v>5.8940389799141103E-2</v>
      </c>
      <c r="BH84" s="29"/>
    </row>
    <row r="85" spans="1:60" x14ac:dyDescent="0.25">
      <c r="A85" s="1">
        <v>46146</v>
      </c>
      <c r="B85" s="33">
        <v>5.91</v>
      </c>
      <c r="C85" s="33">
        <v>6.08</v>
      </c>
      <c r="D85" s="15">
        <v>-3.0002250303798699E-2</v>
      </c>
      <c r="E85" s="15">
        <v>-3.3956374734273397E-2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5.91</v>
      </c>
      <c r="M85" s="33">
        <v>6.08</v>
      </c>
      <c r="N85" s="34">
        <v>1.02876480541455</v>
      </c>
      <c r="O85" s="34">
        <v>1.0269470164915</v>
      </c>
      <c r="P85" s="34">
        <v>1.0336410954672699</v>
      </c>
      <c r="Q85" s="34">
        <v>1.0294382271137399</v>
      </c>
      <c r="R85" s="33">
        <v>6.06925686746479</v>
      </c>
      <c r="S85" s="33">
        <v>6.1064793393278904</v>
      </c>
      <c r="T85" s="33">
        <v>6.0821376345472604</v>
      </c>
      <c r="U85" s="15">
        <v>-1.7685255077721201E-3</v>
      </c>
      <c r="V85" s="15">
        <v>4.3456982550313999E-3</v>
      </c>
      <c r="W85" s="15">
        <v>3.5152283809181302E-4</v>
      </c>
      <c r="X85" s="34">
        <v>1.02876480541455</v>
      </c>
      <c r="Y85" s="34">
        <v>1.0269470164915</v>
      </c>
      <c r="Z85" s="34">
        <v>1.0336410954672699</v>
      </c>
      <c r="AA85" s="34">
        <v>1.0294382271137399</v>
      </c>
      <c r="AB85" s="33">
        <v>6.06925686746479</v>
      </c>
      <c r="AC85" s="33">
        <v>6.1064793393278904</v>
      </c>
      <c r="AD85" s="33">
        <v>6.0821376345472604</v>
      </c>
      <c r="AE85" s="15">
        <v>-1.7685255077721201E-3</v>
      </c>
      <c r="AF85" s="15">
        <v>4.3456982550313999E-3</v>
      </c>
      <c r="AG85" s="15">
        <v>3.5152283809181302E-4</v>
      </c>
      <c r="AI85" s="12"/>
      <c r="AJ85">
        <f t="shared" si="6"/>
        <v>0</v>
      </c>
      <c r="AK85">
        <f t="shared" si="7"/>
        <v>1</v>
      </c>
      <c r="AL85">
        <f t="shared" si="14"/>
        <v>1</v>
      </c>
      <c r="AM85">
        <f t="shared" ref="AM85:AM148" si="24">IF(F86+H86&gt;0,0,1)</f>
        <v>1</v>
      </c>
      <c r="AN85">
        <f t="shared" si="15"/>
        <v>1</v>
      </c>
      <c r="AO85" s="28">
        <f t="shared" si="8"/>
        <v>-3.0002250303798699E-2</v>
      </c>
      <c r="AP85" s="28">
        <f t="shared" si="9"/>
        <v>3.3956374734273397E-2</v>
      </c>
      <c r="AQ85" s="28">
        <f t="shared" si="16"/>
        <v>3.9541244304746974E-3</v>
      </c>
      <c r="AR85" s="29">
        <f t="shared" si="17"/>
        <v>3.6477615042186787E-2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2.6416899187429004E-2</v>
      </c>
      <c r="BE85" s="29">
        <f t="shared" si="22"/>
        <v>3.9541244304746974E-3</v>
      </c>
      <c r="BF85" s="29">
        <f t="shared" si="23"/>
        <v>6.2894514229615797E-2</v>
      </c>
      <c r="BH85" s="29"/>
    </row>
    <row r="86" spans="1:60" x14ac:dyDescent="0.25">
      <c r="A86" s="1">
        <v>46147</v>
      </c>
      <c r="B86" s="33">
        <v>6.08</v>
      </c>
      <c r="C86" s="33">
        <v>6.27</v>
      </c>
      <c r="D86" s="15">
        <v>2.8358864560068701E-2</v>
      </c>
      <c r="E86" s="15">
        <v>3.0771658666753601E-2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6.08</v>
      </c>
      <c r="M86" s="33">
        <v>6.27</v>
      </c>
      <c r="N86" s="34">
        <v>1.03125</v>
      </c>
      <c r="O86" s="34">
        <v>1.0269470164915</v>
      </c>
      <c r="P86" s="34">
        <v>1.03338667918463</v>
      </c>
      <c r="Q86" s="34">
        <v>1.0299590604470701</v>
      </c>
      <c r="R86" s="33">
        <v>6.24383786026835</v>
      </c>
      <c r="S86" s="33">
        <v>6.2845378604410502</v>
      </c>
      <c r="T86" s="33">
        <v>6.2589844208515704</v>
      </c>
      <c r="U86" s="15">
        <v>-4.18131961445676E-3</v>
      </c>
      <c r="V86" s="15">
        <v>2.3159541355722902E-3</v>
      </c>
      <c r="W86" s="15">
        <v>-1.7584157848354999E-3</v>
      </c>
      <c r="X86" s="34">
        <v>1.03125</v>
      </c>
      <c r="Y86" s="34">
        <v>1.0269470164915</v>
      </c>
      <c r="Z86" s="34">
        <v>1.03338667918463</v>
      </c>
      <c r="AA86" s="34">
        <v>1.0299590604470701</v>
      </c>
      <c r="AB86" s="33">
        <v>6.24383786026835</v>
      </c>
      <c r="AC86" s="33">
        <v>6.2845378604410502</v>
      </c>
      <c r="AD86" s="33">
        <v>6.2589844208515704</v>
      </c>
      <c r="AE86" s="15">
        <v>-4.18131961445676E-3</v>
      </c>
      <c r="AF86" s="15">
        <v>2.3159541355722902E-3</v>
      </c>
      <c r="AG86" s="15">
        <v>-1.7584157848354999E-3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3.6477615042186787E-2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2.6416899187429004E-2</v>
      </c>
      <c r="BE86" s="29">
        <f t="shared" si="22"/>
        <v>0</v>
      </c>
      <c r="BF86" s="29">
        <f t="shared" si="23"/>
        <v>6.2894514229615797E-2</v>
      </c>
      <c r="BH86" s="29"/>
    </row>
    <row r="87" spans="1:60" x14ac:dyDescent="0.25">
      <c r="A87" s="1">
        <v>46148</v>
      </c>
      <c r="B87" s="33">
        <v>6.25</v>
      </c>
      <c r="C87" s="33">
        <v>6.46</v>
      </c>
      <c r="D87" s="15">
        <v>2.7576767770234399E-2</v>
      </c>
      <c r="E87" s="15">
        <v>2.9852963149681101E-2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6.25</v>
      </c>
      <c r="M87" s="33">
        <v>6.46</v>
      </c>
      <c r="N87" s="34">
        <v>1.0336000000000001</v>
      </c>
      <c r="O87" s="34">
        <v>1.0269470164915</v>
      </c>
      <c r="P87" s="34">
        <v>1.03330969064126</v>
      </c>
      <c r="Q87" s="34">
        <v>1.0306169139394099</v>
      </c>
      <c r="R87" s="33">
        <v>6.41841885307191</v>
      </c>
      <c r="S87" s="33">
        <v>6.4586667449039696</v>
      </c>
      <c r="T87" s="33">
        <v>6.4372441277942398</v>
      </c>
      <c r="U87" s="15">
        <v>-6.4575149939036401E-3</v>
      </c>
      <c r="V87" s="15">
        <v>-2.06407538344854E-4</v>
      </c>
      <c r="W87" s="15">
        <v>-3.5287997333520601E-3</v>
      </c>
      <c r="X87" s="34">
        <v>1.0336000000000001</v>
      </c>
      <c r="Y87" s="34">
        <v>1.0269470164915</v>
      </c>
      <c r="Z87" s="34">
        <v>1.03330969064126</v>
      </c>
      <c r="AA87" s="34">
        <v>1.0306169139394099</v>
      </c>
      <c r="AB87" s="33">
        <v>6.41841885307191</v>
      </c>
      <c r="AC87" s="33">
        <v>6.4586667449039696</v>
      </c>
      <c r="AD87" s="33">
        <v>6.4372441277942398</v>
      </c>
      <c r="AE87" s="15">
        <v>-6.4575149939036401E-3</v>
      </c>
      <c r="AF87" s="15">
        <v>-2.06407538344854E-4</v>
      </c>
      <c r="AG87" s="15">
        <v>-3.5287997333520601E-3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3.6477615042186787E-2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2.6416899187429004E-2</v>
      </c>
      <c r="BE87" s="29">
        <f t="shared" ref="BE87:BE150" si="42">AQ87+BB87</f>
        <v>0</v>
      </c>
      <c r="BF87" s="29">
        <f t="shared" ref="BF87:BF150" si="43">BF86+BE87</f>
        <v>6.2894514229615797E-2</v>
      </c>
      <c r="BH87" s="29"/>
    </row>
    <row r="88" spans="1:60" x14ac:dyDescent="0.25">
      <c r="A88" s="1">
        <v>46149</v>
      </c>
      <c r="B88" s="33">
        <v>6.22</v>
      </c>
      <c r="C88" s="33">
        <v>6.39</v>
      </c>
      <c r="D88" s="15">
        <v>-4.8115569972220799E-3</v>
      </c>
      <c r="E88" s="15">
        <v>-1.0895049405066999E-2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6.22</v>
      </c>
      <c r="M88" s="33">
        <v>6.39</v>
      </c>
      <c r="N88" s="34">
        <v>1.0273311897106101</v>
      </c>
      <c r="O88" s="34">
        <v>1.0269470164915</v>
      </c>
      <c r="P88" s="34">
        <v>1.0329733427302501</v>
      </c>
      <c r="Q88" s="34">
        <v>1.03075798322886</v>
      </c>
      <c r="R88" s="33">
        <v>6.3876104425771603</v>
      </c>
      <c r="S88" s="33">
        <v>6.4271862757886602</v>
      </c>
      <c r="T88" s="33">
        <v>6.4104372047031504</v>
      </c>
      <c r="U88" s="15">
        <v>-3.7402258605858302E-4</v>
      </c>
      <c r="V88" s="15">
        <v>5.8025808983013499E-3</v>
      </c>
      <c r="W88" s="15">
        <v>3.1932068791250901E-3</v>
      </c>
      <c r="X88" s="34">
        <v>1.0273311897106101</v>
      </c>
      <c r="Y88" s="34">
        <v>1.0269470164915</v>
      </c>
      <c r="Z88" s="34">
        <v>1.0329733427302501</v>
      </c>
      <c r="AA88" s="34">
        <v>1.03075798322886</v>
      </c>
      <c r="AB88" s="33">
        <v>6.3876104425771603</v>
      </c>
      <c r="AC88" s="33">
        <v>6.4271862757886602</v>
      </c>
      <c r="AD88" s="33">
        <v>6.4104372047031504</v>
      </c>
      <c r="AE88" s="15">
        <v>-3.7402258605858302E-4</v>
      </c>
      <c r="AF88" s="15">
        <v>5.8025808983013499E-3</v>
      </c>
      <c r="AG88" s="15">
        <v>3.1932068791250901E-3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3.6477615042186787E-2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2.6416899187429004E-2</v>
      </c>
      <c r="BE88" s="29">
        <f t="shared" si="42"/>
        <v>0</v>
      </c>
      <c r="BF88" s="29">
        <f t="shared" si="43"/>
        <v>6.2894514229615797E-2</v>
      </c>
      <c r="BH88" s="29"/>
    </row>
    <row r="89" spans="1:60" x14ac:dyDescent="0.25">
      <c r="A89" s="1">
        <v>46150</v>
      </c>
      <c r="B89" s="33">
        <v>6.25</v>
      </c>
      <c r="C89" s="33">
        <v>6.43</v>
      </c>
      <c r="D89" s="15">
        <v>4.8115569972221103E-3</v>
      </c>
      <c r="E89" s="15">
        <v>6.2402698600846698E-3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6.25</v>
      </c>
      <c r="M89" s="33">
        <v>6.43</v>
      </c>
      <c r="N89" s="34">
        <v>1.0287999999999999</v>
      </c>
      <c r="O89" s="34">
        <v>1.0269470164915</v>
      </c>
      <c r="P89" s="34">
        <v>1.0323474996584701</v>
      </c>
      <c r="Q89" s="34">
        <v>1.03119798322886</v>
      </c>
      <c r="R89" s="33">
        <v>6.41841885307191</v>
      </c>
      <c r="S89" s="33">
        <v>6.4560833920641096</v>
      </c>
      <c r="T89" s="33">
        <v>6.4422373951804097</v>
      </c>
      <c r="U89" s="15">
        <v>-1.80273544892108E-3</v>
      </c>
      <c r="V89" s="15">
        <v>4.0483096210830504E-3</v>
      </c>
      <c r="W89" s="15">
        <v>1.9013631416856999E-3</v>
      </c>
      <c r="X89" s="34">
        <v>1.0287999999999999</v>
      </c>
      <c r="Y89" s="34">
        <v>1.0269470164915</v>
      </c>
      <c r="Z89" s="34">
        <v>1.0323474996584701</v>
      </c>
      <c r="AA89" s="34">
        <v>1.03119798322886</v>
      </c>
      <c r="AB89" s="33">
        <v>6.41841885307191</v>
      </c>
      <c r="AC89" s="33">
        <v>6.4560833920641096</v>
      </c>
      <c r="AD89" s="33">
        <v>6.4422373951804097</v>
      </c>
      <c r="AE89" s="15">
        <v>-1.80273544892108E-3</v>
      </c>
      <c r="AF89" s="15">
        <v>4.0483096210830504E-3</v>
      </c>
      <c r="AG89" s="15">
        <v>1.9013631416856999E-3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3.6477615042186787E-2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2.6416899187429004E-2</v>
      </c>
      <c r="BE89" s="29">
        <f t="shared" si="42"/>
        <v>0</v>
      </c>
      <c r="BF89" s="29">
        <f t="shared" si="43"/>
        <v>6.2894514229615797E-2</v>
      </c>
      <c r="BH89" s="29"/>
    </row>
    <row r="90" spans="1:60" x14ac:dyDescent="0.25">
      <c r="A90" s="1">
        <v>46153</v>
      </c>
      <c r="B90" s="33">
        <v>5.88</v>
      </c>
      <c r="C90" s="33">
        <v>6.06</v>
      </c>
      <c r="D90" s="15">
        <v>-6.10247018377746E-2</v>
      </c>
      <c r="E90" s="15">
        <v>-5.9264738168304902E-2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5.88</v>
      </c>
      <c r="M90" s="33">
        <v>6.06</v>
      </c>
      <c r="N90" s="34">
        <v>1.03061224489795</v>
      </c>
      <c r="O90" s="34">
        <v>1.0269470164915</v>
      </c>
      <c r="P90" s="34">
        <v>1.0318603370514901</v>
      </c>
      <c r="Q90" s="34">
        <v>1.03147650866241</v>
      </c>
      <c r="R90" s="33">
        <v>6.0384484569700501</v>
      </c>
      <c r="S90" s="33">
        <v>6.0702032979918101</v>
      </c>
      <c r="T90" s="33">
        <v>6.0634441413857303</v>
      </c>
      <c r="U90" s="15">
        <v>-3.5626991183907802E-3</v>
      </c>
      <c r="V90" s="15">
        <v>1.68229668498388E-3</v>
      </c>
      <c r="W90" s="15">
        <v>5.6817871855890803E-4</v>
      </c>
      <c r="X90" s="34">
        <v>1.03061224489795</v>
      </c>
      <c r="Y90" s="34">
        <v>1.0269470164915</v>
      </c>
      <c r="Z90" s="34">
        <v>1.0318603370514901</v>
      </c>
      <c r="AA90" s="34">
        <v>1.03147650866241</v>
      </c>
      <c r="AB90" s="33">
        <v>6.0384484569700501</v>
      </c>
      <c r="AC90" s="33">
        <v>6.0702032979918101</v>
      </c>
      <c r="AD90" s="33">
        <v>6.0634441413857303</v>
      </c>
      <c r="AE90" s="15">
        <v>-3.5626991183907802E-3</v>
      </c>
      <c r="AF90" s="15">
        <v>1.68229668498388E-3</v>
      </c>
      <c r="AG90" s="15">
        <v>5.6817871855890803E-4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3.6477615042186787E-2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2.6416899187429004E-2</v>
      </c>
      <c r="BE90" s="29">
        <f t="shared" si="42"/>
        <v>0</v>
      </c>
      <c r="BF90" s="29">
        <f t="shared" si="43"/>
        <v>6.2894514229615797E-2</v>
      </c>
      <c r="BH90" s="29"/>
    </row>
    <row r="91" spans="1:60" x14ac:dyDescent="0.25">
      <c r="A91" s="1">
        <v>46154</v>
      </c>
      <c r="B91" s="33">
        <v>4.9000000000000004</v>
      </c>
      <c r="C91" s="33">
        <v>5.03</v>
      </c>
      <c r="D91" s="15">
        <v>-0.18232155679395401</v>
      </c>
      <c r="E91" s="15">
        <v>-0.186289815969575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4.9000000000000004</v>
      </c>
      <c r="M91" s="33">
        <v>5.03</v>
      </c>
      <c r="N91" s="34">
        <v>1.0265306122448901</v>
      </c>
      <c r="O91" s="34">
        <v>1.0269470164915</v>
      </c>
      <c r="P91" s="34">
        <v>1.0311208296168499</v>
      </c>
      <c r="Q91" s="34">
        <v>1.0314186744538001</v>
      </c>
      <c r="R91" s="33">
        <v>5.03204038080837</v>
      </c>
      <c r="S91" s="33">
        <v>5.05611565155231</v>
      </c>
      <c r="T91" s="33">
        <v>5.0542348924458098</v>
      </c>
      <c r="U91" s="15">
        <v>4.0556005722987E-4</v>
      </c>
      <c r="V91" s="15">
        <v>5.1785465916160496E-3</v>
      </c>
      <c r="W91" s="15">
        <v>4.8065003168578499E-3</v>
      </c>
      <c r="X91" s="34">
        <v>1.0265306122448901</v>
      </c>
      <c r="Y91" s="34">
        <v>1.0269470164915</v>
      </c>
      <c r="Z91" s="34">
        <v>1.0311208296168499</v>
      </c>
      <c r="AA91" s="34">
        <v>1.0314186744538001</v>
      </c>
      <c r="AB91" s="33">
        <v>5.03204038080837</v>
      </c>
      <c r="AC91" s="33">
        <v>5.05611565155231</v>
      </c>
      <c r="AD91" s="33">
        <v>5.0542348924458098</v>
      </c>
      <c r="AE91" s="15">
        <v>4.0556005722987E-4</v>
      </c>
      <c r="AF91" s="15">
        <v>5.1785465916160496E-3</v>
      </c>
      <c r="AG91" s="15">
        <v>4.8065003168578499E-3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3.6477615042186787E-2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2.6416899187429004E-2</v>
      </c>
      <c r="BE91" s="29">
        <f t="shared" si="42"/>
        <v>0</v>
      </c>
      <c r="BF91" s="29">
        <f t="shared" si="43"/>
        <v>6.2894514229615797E-2</v>
      </c>
      <c r="BH91" s="29"/>
    </row>
    <row r="92" spans="1:60" x14ac:dyDescent="0.25">
      <c r="A92" s="1">
        <v>46155</v>
      </c>
      <c r="B92" s="33">
        <v>4.99</v>
      </c>
      <c r="C92" s="33">
        <v>5.1100000000000003</v>
      </c>
      <c r="D92" s="15">
        <v>1.82007046468463E-2</v>
      </c>
      <c r="E92" s="15">
        <v>1.57794201039652E-2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4.99</v>
      </c>
      <c r="M92" s="33">
        <v>5.1100000000000003</v>
      </c>
      <c r="N92" s="34">
        <v>1.0240480961923799</v>
      </c>
      <c r="O92" s="34">
        <v>1.0269470164915</v>
      </c>
      <c r="P92" s="34">
        <v>1.0300021493032001</v>
      </c>
      <c r="Q92" s="34">
        <v>1.0311576646292799</v>
      </c>
      <c r="R92" s="33">
        <v>5.1244656122926102</v>
      </c>
      <c r="S92" s="33">
        <v>5.14529293978811</v>
      </c>
      <c r="T92" s="33">
        <v>5.14677918552451</v>
      </c>
      <c r="U92" s="15">
        <v>2.8268446001108302E-3</v>
      </c>
      <c r="V92" s="15">
        <v>6.8829002402541898E-3</v>
      </c>
      <c r="W92" s="15">
        <v>7.1717139463059101E-3</v>
      </c>
      <c r="X92" s="34">
        <v>1.0240480961923799</v>
      </c>
      <c r="Y92" s="34">
        <v>1.0269470164915</v>
      </c>
      <c r="Z92" s="34">
        <v>1.0300021493032001</v>
      </c>
      <c r="AA92" s="34">
        <v>1.0311576646292799</v>
      </c>
      <c r="AB92" s="33">
        <v>5.1244656122926102</v>
      </c>
      <c r="AC92" s="33">
        <v>5.14529293978811</v>
      </c>
      <c r="AD92" s="33">
        <v>5.14677918552451</v>
      </c>
      <c r="AE92" s="15">
        <v>2.8268446001108302E-3</v>
      </c>
      <c r="AF92" s="15">
        <v>6.8829002402541898E-3</v>
      </c>
      <c r="AG92" s="15">
        <v>7.1717139463059101E-3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3.6477615042186787E-2</v>
      </c>
      <c r="AT92" s="12"/>
      <c r="AU92">
        <f t="shared" si="30"/>
        <v>1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2.6416899187429004E-2</v>
      </c>
      <c r="BE92" s="29">
        <f t="shared" si="42"/>
        <v>0</v>
      </c>
      <c r="BF92" s="29">
        <f t="shared" si="43"/>
        <v>6.2894514229615797E-2</v>
      </c>
      <c r="BH92" s="29"/>
    </row>
    <row r="93" spans="1:60" x14ac:dyDescent="0.25">
      <c r="A93" s="1">
        <v>46156</v>
      </c>
      <c r="B93" s="33">
        <v>4.96</v>
      </c>
      <c r="C93" s="33">
        <v>5.0999999999999996</v>
      </c>
      <c r="D93" s="15">
        <v>-6.0301690265911799E-3</v>
      </c>
      <c r="E93" s="15">
        <v>-1.9588644853331398E-3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4.96</v>
      </c>
      <c r="M93" s="33">
        <v>5.0999999999999996</v>
      </c>
      <c r="N93" s="34">
        <v>1.0282258064516101</v>
      </c>
      <c r="O93" s="34">
        <v>1.0269470164915</v>
      </c>
      <c r="P93" s="34">
        <v>1.0292003477407901</v>
      </c>
      <c r="Q93" s="34">
        <v>1.0310886917939599</v>
      </c>
      <c r="R93" s="33">
        <v>5.0936572017978596</v>
      </c>
      <c r="S93" s="33">
        <v>5.1088106605439103</v>
      </c>
      <c r="T93" s="33">
        <v>5.1145420165612396</v>
      </c>
      <c r="U93" s="15">
        <v>-1.24445994114718E-3</v>
      </c>
      <c r="V93" s="15">
        <v>1.7260899480671301E-3</v>
      </c>
      <c r="W93" s="15">
        <v>2.84731833542313E-3</v>
      </c>
      <c r="X93" s="34">
        <v>1.0282258064516101</v>
      </c>
      <c r="Y93" s="34">
        <v>1.0269470164915</v>
      </c>
      <c r="Z93" s="34">
        <v>1.0292003477407901</v>
      </c>
      <c r="AA93" s="34">
        <v>1.0310886917939599</v>
      </c>
      <c r="AB93" s="33">
        <v>5.0936572017978596</v>
      </c>
      <c r="AC93" s="33">
        <v>5.1088106605439103</v>
      </c>
      <c r="AD93" s="33">
        <v>5.1145420165612396</v>
      </c>
      <c r="AE93" s="15">
        <v>-1.24445994114718E-3</v>
      </c>
      <c r="AF93" s="15">
        <v>1.7260899480671301E-3</v>
      </c>
      <c r="AG93" s="15">
        <v>2.84731833542313E-3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3.6477615042186787E-2</v>
      </c>
      <c r="AT93" s="12"/>
      <c r="AU93">
        <f t="shared" si="30"/>
        <v>0</v>
      </c>
      <c r="AV93">
        <f t="shared" si="31"/>
        <v>1</v>
      </c>
      <c r="AW93">
        <f t="shared" si="38"/>
        <v>1</v>
      </c>
      <c r="AX93">
        <f t="shared" si="25"/>
        <v>1</v>
      </c>
      <c r="AY93">
        <f t="shared" si="39"/>
        <v>1</v>
      </c>
      <c r="AZ93" s="28">
        <f t="shared" si="32"/>
        <v>6.0301690265911799E-3</v>
      </c>
      <c r="BA93" s="28">
        <f t="shared" si="33"/>
        <v>-1.9588644853331398E-3</v>
      </c>
      <c r="BB93" s="28">
        <f t="shared" si="40"/>
        <v>4.0713045412580397E-3</v>
      </c>
      <c r="BC93" s="29">
        <f t="shared" si="41"/>
        <v>3.0488203728687043E-2</v>
      </c>
      <c r="BE93" s="29">
        <f t="shared" si="42"/>
        <v>4.0713045412580397E-3</v>
      </c>
      <c r="BF93" s="29">
        <f t="shared" si="43"/>
        <v>6.6965818770873833E-2</v>
      </c>
      <c r="BH93" s="29"/>
    </row>
    <row r="94" spans="1:60" x14ac:dyDescent="0.25">
      <c r="A94" s="1">
        <v>46157</v>
      </c>
      <c r="B94" s="33">
        <v>4.99</v>
      </c>
      <c r="C94" s="33">
        <v>5.12</v>
      </c>
      <c r="D94" s="15">
        <v>6.0301690265912302E-3</v>
      </c>
      <c r="E94" s="15">
        <v>3.9138993211363096E-3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4.99</v>
      </c>
      <c r="M94" s="33">
        <v>5.12</v>
      </c>
      <c r="N94" s="34">
        <v>1.0260521042084101</v>
      </c>
      <c r="O94" s="34">
        <v>1.0269470164915</v>
      </c>
      <c r="P94" s="34">
        <v>1.02852148591204</v>
      </c>
      <c r="Q94" s="34">
        <v>1.03088336049645</v>
      </c>
      <c r="R94" s="33">
        <v>5.1244656122926102</v>
      </c>
      <c r="S94" s="33">
        <v>5.1357097352265404</v>
      </c>
      <c r="T94" s="33">
        <v>5.1451325720519003</v>
      </c>
      <c r="U94" s="15">
        <v>8.7180976430773296E-4</v>
      </c>
      <c r="V94" s="15">
        <v>3.0636100122516702E-3</v>
      </c>
      <c r="W94" s="15">
        <v>4.8966970652919301E-3</v>
      </c>
      <c r="X94" s="34">
        <v>1.0260521042084101</v>
      </c>
      <c r="Y94" s="34">
        <v>1.0269470164915</v>
      </c>
      <c r="Z94" s="34">
        <v>1.02852148591204</v>
      </c>
      <c r="AA94" s="34">
        <v>1.03088336049645</v>
      </c>
      <c r="AB94" s="33">
        <v>5.1244656122926102</v>
      </c>
      <c r="AC94" s="33">
        <v>5.1357097352265404</v>
      </c>
      <c r="AD94" s="33">
        <v>5.1451325720519003</v>
      </c>
      <c r="AE94" s="15">
        <v>8.7180976430773296E-4</v>
      </c>
      <c r="AF94" s="15">
        <v>3.0636100122516702E-3</v>
      </c>
      <c r="AG94" s="15">
        <v>4.8966970652919301E-3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3.6477615042186787E-2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3.0488203728687043E-2</v>
      </c>
      <c r="BE94" s="29">
        <f t="shared" si="42"/>
        <v>0</v>
      </c>
      <c r="BF94" s="29">
        <f t="shared" si="43"/>
        <v>6.6965818770873833E-2</v>
      </c>
      <c r="BH94" s="29"/>
    </row>
    <row r="95" spans="1:60" x14ac:dyDescent="0.25">
      <c r="A95" s="1">
        <v>46160</v>
      </c>
      <c r="B95" s="33">
        <v>4.93</v>
      </c>
      <c r="C95" s="33">
        <v>5.0199999999999996</v>
      </c>
      <c r="D95" s="15">
        <v>-1.20969217088286E-2</v>
      </c>
      <c r="E95" s="15">
        <v>-1.9724505347778701E-2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4.93</v>
      </c>
      <c r="M95" s="33">
        <v>5.0199999999999996</v>
      </c>
      <c r="N95" s="34">
        <v>1.0182555780933</v>
      </c>
      <c r="O95" s="34">
        <v>1.0269470164915</v>
      </c>
      <c r="P95" s="34">
        <v>1.0274705631799099</v>
      </c>
      <c r="Q95" s="34">
        <v>1.0305558293235899</v>
      </c>
      <c r="R95" s="33">
        <v>5.0628487913031197</v>
      </c>
      <c r="S95" s="33">
        <v>5.0706109255463696</v>
      </c>
      <c r="T95" s="33">
        <v>5.0822549672475104</v>
      </c>
      <c r="U95" s="15">
        <v>8.4993934032577302E-3</v>
      </c>
      <c r="V95" s="15">
        <v>1.00313747755161E-2</v>
      </c>
      <c r="W95" s="15">
        <v>1.23251205866583E-2</v>
      </c>
      <c r="X95" s="34">
        <v>1.0182555780933</v>
      </c>
      <c r="Y95" s="34">
        <v>1.0269470164915</v>
      </c>
      <c r="Z95" s="34">
        <v>1.0274705631799099</v>
      </c>
      <c r="AA95" s="34">
        <v>1.0305558293235899</v>
      </c>
      <c r="AB95" s="33">
        <v>5.0628487913031197</v>
      </c>
      <c r="AC95" s="33">
        <v>5.0706109255463696</v>
      </c>
      <c r="AD95" s="33">
        <v>5.0822549672475104</v>
      </c>
      <c r="AE95" s="15">
        <v>8.4993934032577302E-3</v>
      </c>
      <c r="AF95" s="15">
        <v>1.00313747755161E-2</v>
      </c>
      <c r="AG95" s="15">
        <v>1.23251205866583E-2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3.6477615042186787E-2</v>
      </c>
      <c r="AT95" s="12"/>
      <c r="AU95">
        <f t="shared" si="30"/>
        <v>1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3.0488203728687043E-2</v>
      </c>
      <c r="BE95" s="29">
        <f t="shared" si="42"/>
        <v>0</v>
      </c>
      <c r="BF95" s="29">
        <f t="shared" si="43"/>
        <v>6.6965818770873833E-2</v>
      </c>
      <c r="BH95" s="29"/>
    </row>
    <row r="96" spans="1:60" x14ac:dyDescent="0.25">
      <c r="A96" s="1">
        <v>46161</v>
      </c>
      <c r="B96" s="33">
        <v>5.0199999999999996</v>
      </c>
      <c r="C96" s="33">
        <v>5.14</v>
      </c>
      <c r="D96" s="15">
        <v>1.8090945649039E-2</v>
      </c>
      <c r="E96" s="15">
        <v>2.3623145763435799E-2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5.0199999999999996</v>
      </c>
      <c r="M96" s="33">
        <v>5.14</v>
      </c>
      <c r="N96" s="34">
        <v>1.02390438247011</v>
      </c>
      <c r="O96" s="34">
        <v>1.0269470164915</v>
      </c>
      <c r="P96" s="34">
        <v>1.02673600142693</v>
      </c>
      <c r="Q96" s="34">
        <v>1.0300613403057799</v>
      </c>
      <c r="R96" s="33">
        <v>5.1552740227873501</v>
      </c>
      <c r="S96" s="33">
        <v>5.1579022271631896</v>
      </c>
      <c r="T96" s="33">
        <v>5.1733902632044604</v>
      </c>
      <c r="U96" s="15">
        <v>2.9671932888608102E-3</v>
      </c>
      <c r="V96" s="15">
        <v>3.4768722411121799E-3</v>
      </c>
      <c r="W96" s="15">
        <v>6.4751510447395898E-3</v>
      </c>
      <c r="X96" s="34">
        <v>1.02390438247011</v>
      </c>
      <c r="Y96" s="34">
        <v>1.0269470164915</v>
      </c>
      <c r="Z96" s="34">
        <v>1.02673600142693</v>
      </c>
      <c r="AA96" s="34">
        <v>1.0300613403057799</v>
      </c>
      <c r="AB96" s="33">
        <v>5.1552740227873501</v>
      </c>
      <c r="AC96" s="33">
        <v>5.1579022271631896</v>
      </c>
      <c r="AD96" s="33">
        <v>5.1733902632044604</v>
      </c>
      <c r="AE96" s="15">
        <v>2.9671932888608102E-3</v>
      </c>
      <c r="AF96" s="15">
        <v>3.4768722411121799E-3</v>
      </c>
      <c r="AG96" s="15">
        <v>6.4751510447395898E-3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3.6477615042186787E-2</v>
      </c>
      <c r="AT96" s="12"/>
      <c r="AU96">
        <f t="shared" si="30"/>
        <v>1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-1.8090945649039E-2</v>
      </c>
      <c r="BA96" s="28">
        <f t="shared" si="33"/>
        <v>2.3623145763435799E-2</v>
      </c>
      <c r="BB96" s="28">
        <f t="shared" si="40"/>
        <v>5.5322001143967986E-3</v>
      </c>
      <c r="BC96" s="29">
        <f t="shared" si="41"/>
        <v>3.6020403843083845E-2</v>
      </c>
      <c r="BE96" s="29">
        <f t="shared" si="42"/>
        <v>5.5322001143967986E-3</v>
      </c>
      <c r="BF96" s="29">
        <f t="shared" si="43"/>
        <v>7.2498018885270632E-2</v>
      </c>
      <c r="BH96" s="29"/>
    </row>
    <row r="97" spans="1:60" x14ac:dyDescent="0.25">
      <c r="A97" s="1">
        <v>46162</v>
      </c>
      <c r="B97" s="33">
        <v>5.03</v>
      </c>
      <c r="C97" s="33">
        <v>5.15</v>
      </c>
      <c r="D97" s="15">
        <v>1.9900504080102299E-3</v>
      </c>
      <c r="E97" s="15">
        <v>1.9436352085712501E-3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5.03</v>
      </c>
      <c r="M97" s="33">
        <v>5.15</v>
      </c>
      <c r="N97" s="34">
        <v>1.0238568588469099</v>
      </c>
      <c r="O97" s="34">
        <v>1.0269470164915</v>
      </c>
      <c r="P97" s="34">
        <v>1.02576168731162</v>
      </c>
      <c r="Q97" s="34">
        <v>1.02953568897644</v>
      </c>
      <c r="R97" s="33">
        <v>5.1655434929522697</v>
      </c>
      <c r="S97" s="33">
        <v>5.1644820871774604</v>
      </c>
      <c r="T97" s="33">
        <v>5.1812085417380898</v>
      </c>
      <c r="U97" s="15">
        <v>3.0136084882996998E-3</v>
      </c>
      <c r="V97" s="15">
        <v>2.8081093304684599E-3</v>
      </c>
      <c r="W97" s="15">
        <v>6.0416235992318598E-3</v>
      </c>
      <c r="X97" s="34">
        <v>1.0238568588469099</v>
      </c>
      <c r="Y97" s="34">
        <v>1.0269470164915</v>
      </c>
      <c r="Z97" s="34">
        <v>1.02576168731162</v>
      </c>
      <c r="AA97" s="34">
        <v>1.02953568897644</v>
      </c>
      <c r="AB97" s="33">
        <v>5.1655434929522697</v>
      </c>
      <c r="AC97" s="33">
        <v>5.1644820871774604</v>
      </c>
      <c r="AD97" s="33">
        <v>5.1812085417380898</v>
      </c>
      <c r="AE97" s="15">
        <v>3.0136084882996998E-3</v>
      </c>
      <c r="AF97" s="15">
        <v>2.8081093304684599E-3</v>
      </c>
      <c r="AG97" s="15">
        <v>6.0416235992318598E-3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3.6477615042186787E-2</v>
      </c>
      <c r="AT97" s="12"/>
      <c r="AU97">
        <f t="shared" si="30"/>
        <v>1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-1.9900504080102299E-3</v>
      </c>
      <c r="BA97" s="28">
        <f t="shared" si="33"/>
        <v>1.9436352085712501E-3</v>
      </c>
      <c r="BB97" s="28">
        <f t="shared" si="40"/>
        <v>-4.6415199438979825E-5</v>
      </c>
      <c r="BC97" s="29">
        <f t="shared" si="41"/>
        <v>3.5973988643644865E-2</v>
      </c>
      <c r="BE97" s="29">
        <f t="shared" si="42"/>
        <v>-4.6415199438979825E-5</v>
      </c>
      <c r="BF97" s="29">
        <f t="shared" si="43"/>
        <v>7.2451603685831659E-2</v>
      </c>
      <c r="BH97" s="29"/>
    </row>
    <row r="98" spans="1:60" x14ac:dyDescent="0.25">
      <c r="A98" s="1">
        <v>46163</v>
      </c>
      <c r="B98" s="33">
        <v>5.21</v>
      </c>
      <c r="C98" s="33">
        <v>5.32</v>
      </c>
      <c r="D98" s="15">
        <v>3.5159871653627703E-2</v>
      </c>
      <c r="E98" s="15">
        <v>3.2476588677908098E-2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5.21</v>
      </c>
      <c r="M98" s="33">
        <v>5.32</v>
      </c>
      <c r="N98" s="34">
        <v>1.0211132437619901</v>
      </c>
      <c r="O98" s="34">
        <v>1.0269470164915</v>
      </c>
      <c r="P98" s="34">
        <v>1.0251398927167601</v>
      </c>
      <c r="Q98" s="34">
        <v>1.0290566177235001</v>
      </c>
      <c r="R98" s="33">
        <v>5.3503939559207403</v>
      </c>
      <c r="S98" s="33">
        <v>5.3442183908935501</v>
      </c>
      <c r="T98" s="33">
        <v>5.3638809395672702</v>
      </c>
      <c r="U98" s="15">
        <v>5.6968914640191702E-3</v>
      </c>
      <c r="V98" s="15">
        <v>4.5419986051986501E-3</v>
      </c>
      <c r="W98" s="15">
        <v>8.2144656165699798E-3</v>
      </c>
      <c r="X98" s="34">
        <v>1.0211132437619901</v>
      </c>
      <c r="Y98" s="34">
        <v>1.0269470164915</v>
      </c>
      <c r="Z98" s="34">
        <v>1.0251398927167601</v>
      </c>
      <c r="AA98" s="34">
        <v>1.0290566177235001</v>
      </c>
      <c r="AB98" s="33">
        <v>5.3503939559207403</v>
      </c>
      <c r="AC98" s="33">
        <v>5.3442183908935501</v>
      </c>
      <c r="AD98" s="33">
        <v>5.3638809395672702</v>
      </c>
      <c r="AE98" s="15">
        <v>5.6968914640191702E-3</v>
      </c>
      <c r="AF98" s="15">
        <v>4.5419986051986501E-3</v>
      </c>
      <c r="AG98" s="15">
        <v>8.2144656165699798E-3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3.6477615042186787E-2</v>
      </c>
      <c r="AT98" s="12"/>
      <c r="AU98">
        <f t="shared" si="30"/>
        <v>1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-3.5159871653627703E-2</v>
      </c>
      <c r="BA98" s="28">
        <f t="shared" si="33"/>
        <v>3.2476588677908098E-2</v>
      </c>
      <c r="BB98" s="28">
        <f t="shared" si="40"/>
        <v>-2.6832829757196044E-3</v>
      </c>
      <c r="BC98" s="29">
        <f t="shared" si="41"/>
        <v>3.3290705667925261E-2</v>
      </c>
      <c r="BE98" s="29">
        <f t="shared" si="42"/>
        <v>-2.6832829757196044E-3</v>
      </c>
      <c r="BF98" s="29">
        <f t="shared" si="43"/>
        <v>6.9768320710112047E-2</v>
      </c>
      <c r="BH98" s="29"/>
    </row>
    <row r="99" spans="1:60" x14ac:dyDescent="0.25">
      <c r="A99" s="1">
        <v>46164</v>
      </c>
      <c r="B99" s="33">
        <v>5.4</v>
      </c>
      <c r="C99" s="33">
        <v>5.5</v>
      </c>
      <c r="D99" s="15">
        <v>3.5819097804953202E-2</v>
      </c>
      <c r="E99" s="15">
        <v>3.3274788884872099E-2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5.4</v>
      </c>
      <c r="M99" s="33">
        <v>5.5</v>
      </c>
      <c r="N99" s="34">
        <v>1.0185185185185099</v>
      </c>
      <c r="O99" s="34">
        <v>1.0269470164915</v>
      </c>
      <c r="P99" s="34">
        <v>1.0241117445686101</v>
      </c>
      <c r="Q99" s="34">
        <v>1.0282296221135401</v>
      </c>
      <c r="R99" s="33">
        <v>5.5455138890541296</v>
      </c>
      <c r="S99" s="33">
        <v>5.53575542067051</v>
      </c>
      <c r="T99" s="33">
        <v>5.55690573570695</v>
      </c>
      <c r="U99" s="15">
        <v>8.2412003841003702E-3</v>
      </c>
      <c r="V99" s="15">
        <v>6.4799453088110297E-3</v>
      </c>
      <c r="W99" s="15">
        <v>1.02933387531566E-2</v>
      </c>
      <c r="X99" s="34">
        <v>1.0185185185185099</v>
      </c>
      <c r="Y99" s="34">
        <v>1.0269470164915</v>
      </c>
      <c r="Z99" s="34">
        <v>1.0241117445686101</v>
      </c>
      <c r="AA99" s="34">
        <v>1.0282296221135401</v>
      </c>
      <c r="AB99" s="33">
        <v>5.5455138890541296</v>
      </c>
      <c r="AC99" s="33">
        <v>5.53575542067051</v>
      </c>
      <c r="AD99" s="33">
        <v>5.55690573570695</v>
      </c>
      <c r="AE99" s="15">
        <v>8.2412003841003702E-3</v>
      </c>
      <c r="AF99" s="15">
        <v>6.4799453088110297E-3</v>
      </c>
      <c r="AG99" s="15">
        <v>1.02933387531566E-2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3.6477615042186787E-2</v>
      </c>
      <c r="AT99" s="12"/>
      <c r="AU99">
        <f t="shared" si="30"/>
        <v>1</v>
      </c>
      <c r="AV99">
        <f t="shared" si="31"/>
        <v>0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-3.5819097804953202E-2</v>
      </c>
      <c r="BA99" s="28">
        <f t="shared" si="33"/>
        <v>3.3274788884872099E-2</v>
      </c>
      <c r="BB99" s="28">
        <f t="shared" si="40"/>
        <v>-2.5443089200811037E-3</v>
      </c>
      <c r="BC99" s="29">
        <f t="shared" si="41"/>
        <v>3.0746396747844157E-2</v>
      </c>
      <c r="BE99" s="29">
        <f t="shared" si="42"/>
        <v>-2.5443089200811037E-3</v>
      </c>
      <c r="BF99" s="29">
        <f t="shared" si="43"/>
        <v>6.7224011790030944E-2</v>
      </c>
      <c r="BH99" s="29"/>
    </row>
    <row r="100" spans="1:60" x14ac:dyDescent="0.25">
      <c r="A100" s="1">
        <v>46168</v>
      </c>
      <c r="B100" s="33">
        <v>5.53</v>
      </c>
      <c r="C100" s="33">
        <v>5.66</v>
      </c>
      <c r="D100" s="15">
        <v>2.3788861964014699E-2</v>
      </c>
      <c r="E100" s="15">
        <v>2.8675799976666201E-2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5.53</v>
      </c>
      <c r="M100" s="33">
        <v>5.66</v>
      </c>
      <c r="N100" s="34">
        <v>1.0235081374321799</v>
      </c>
      <c r="O100" s="34">
        <v>1.0269470164915</v>
      </c>
      <c r="P100" s="34">
        <v>1.02340133382203</v>
      </c>
      <c r="Q100" s="34">
        <v>1.02763083543676</v>
      </c>
      <c r="R100" s="33">
        <v>5.6790170011980203</v>
      </c>
      <c r="S100" s="33">
        <v>5.6633379474644299</v>
      </c>
      <c r="T100" s="33">
        <v>5.6861098102878804</v>
      </c>
      <c r="U100" s="15">
        <v>3.3542623714487201E-3</v>
      </c>
      <c r="V100" s="15">
        <v>5.8956953799370999E-4</v>
      </c>
      <c r="W100" s="15">
        <v>4.6024332239790796E-3</v>
      </c>
      <c r="X100" s="34">
        <v>1.0235081374321799</v>
      </c>
      <c r="Y100" s="34">
        <v>1.0269470164915</v>
      </c>
      <c r="Z100" s="34">
        <v>1.02340133382203</v>
      </c>
      <c r="AA100" s="34">
        <v>1.02763083543676</v>
      </c>
      <c r="AB100" s="33">
        <v>5.6790170011980203</v>
      </c>
      <c r="AC100" s="33">
        <v>5.6633379474644299</v>
      </c>
      <c r="AD100" s="33">
        <v>5.6861098102878804</v>
      </c>
      <c r="AE100" s="15">
        <v>3.3542623714487201E-3</v>
      </c>
      <c r="AF100" s="15">
        <v>5.8956953799370999E-4</v>
      </c>
      <c r="AG100" s="15">
        <v>4.6024332239790796E-3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3.6477615042186787E-2</v>
      </c>
      <c r="AT100" s="12"/>
      <c r="AU100">
        <f t="shared" si="30"/>
        <v>0</v>
      </c>
      <c r="AV100">
        <f t="shared" si="31"/>
        <v>0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-2.3788861964014699E-2</v>
      </c>
      <c r="BA100" s="28">
        <f t="shared" si="33"/>
        <v>2.8675799976666201E-2</v>
      </c>
      <c r="BB100" s="28">
        <f t="shared" si="40"/>
        <v>4.8869380126515018E-3</v>
      </c>
      <c r="BC100" s="29">
        <f t="shared" si="41"/>
        <v>3.5633334760495655E-2</v>
      </c>
      <c r="BE100" s="29">
        <f t="shared" si="42"/>
        <v>4.8869380126515018E-3</v>
      </c>
      <c r="BF100" s="29">
        <f t="shared" si="43"/>
        <v>7.2110949802682442E-2</v>
      </c>
      <c r="BH100" s="29"/>
    </row>
    <row r="101" spans="1:60" x14ac:dyDescent="0.25">
      <c r="A101" s="1">
        <v>46169</v>
      </c>
      <c r="B101" s="33">
        <v>5.64</v>
      </c>
      <c r="C101" s="33">
        <v>5.78</v>
      </c>
      <c r="D101" s="15">
        <v>1.9696249975723799E-2</v>
      </c>
      <c r="E101" s="15">
        <v>2.09797904691944E-2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5.64</v>
      </c>
      <c r="M101" s="33">
        <v>5.78</v>
      </c>
      <c r="N101" s="34">
        <v>1.02482269503546</v>
      </c>
      <c r="O101" s="34">
        <v>1.0269470164915</v>
      </c>
      <c r="P101" s="34">
        <v>1.0232305421010901</v>
      </c>
      <c r="Q101" s="34">
        <v>1.02717568585897</v>
      </c>
      <c r="R101" s="33">
        <v>5.7919811730120898</v>
      </c>
      <c r="S101" s="33">
        <v>5.7719835227562797</v>
      </c>
      <c r="T101" s="33">
        <v>5.7958379118633498</v>
      </c>
      <c r="U101" s="15">
        <v>2.0707218779780498E-3</v>
      </c>
      <c r="V101" s="15">
        <v>-1.3878964620652201E-3</v>
      </c>
      <c r="W101" s="15">
        <v>2.7363758660874601E-3</v>
      </c>
      <c r="X101" s="34">
        <v>1.02482269503546</v>
      </c>
      <c r="Y101" s="34">
        <v>1.0269470164915</v>
      </c>
      <c r="Z101" s="34">
        <v>1.0232305421010901</v>
      </c>
      <c r="AA101" s="34">
        <v>1.02717568585897</v>
      </c>
      <c r="AB101" s="33">
        <v>5.7919811730120898</v>
      </c>
      <c r="AC101" s="33">
        <v>5.7719835227562797</v>
      </c>
      <c r="AD101" s="33">
        <v>5.7958379118633498</v>
      </c>
      <c r="AE101" s="15">
        <v>2.0707218779780498E-3</v>
      </c>
      <c r="AF101" s="15">
        <v>-1.3878964620652201E-3</v>
      </c>
      <c r="AG101" s="15">
        <v>2.7363758660874601E-3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3.6477615042186787E-2</v>
      </c>
      <c r="AT101" s="12"/>
      <c r="AU101">
        <f t="shared" si="30"/>
        <v>0</v>
      </c>
      <c r="AV101">
        <f t="shared" si="31"/>
        <v>1</v>
      </c>
      <c r="AW101">
        <f t="shared" si="38"/>
        <v>1</v>
      </c>
      <c r="AX101">
        <f t="shared" si="25"/>
        <v>1</v>
      </c>
      <c r="AY101">
        <f t="shared" si="39"/>
        <v>1</v>
      </c>
      <c r="AZ101" s="28">
        <f t="shared" si="32"/>
        <v>-1.9696249975723799E-2</v>
      </c>
      <c r="BA101" s="28">
        <f t="shared" si="33"/>
        <v>2.09797904691944E-2</v>
      </c>
      <c r="BB101" s="28">
        <f t="shared" si="40"/>
        <v>1.2835404934706009E-3</v>
      </c>
      <c r="BC101" s="29">
        <f t="shared" si="41"/>
        <v>3.6916875253966253E-2</v>
      </c>
      <c r="BE101" s="29">
        <f t="shared" si="42"/>
        <v>1.2835404934706009E-3</v>
      </c>
      <c r="BF101" s="29">
        <f t="shared" si="43"/>
        <v>7.3394490296153039E-2</v>
      </c>
      <c r="BH101" s="29"/>
    </row>
    <row r="102" spans="1:60" x14ac:dyDescent="0.25">
      <c r="A102" s="1">
        <v>46170</v>
      </c>
      <c r="B102" s="33">
        <v>5.84</v>
      </c>
      <c r="C102" s="33">
        <v>5.99</v>
      </c>
      <c r="D102" s="15">
        <v>3.48467313301681E-2</v>
      </c>
      <c r="E102" s="15">
        <v>3.5687729443071803E-2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5.84</v>
      </c>
      <c r="M102" s="33">
        <v>5.99</v>
      </c>
      <c r="N102" s="34">
        <v>1.0256849315068399</v>
      </c>
      <c r="O102" s="34">
        <v>1.0269470164915</v>
      </c>
      <c r="P102" s="34">
        <v>1.0233942256325299</v>
      </c>
      <c r="Q102" s="34">
        <v>1.02669818746787</v>
      </c>
      <c r="R102" s="33">
        <v>5.9973705763103897</v>
      </c>
      <c r="S102" s="33">
        <v>5.9756663658703699</v>
      </c>
      <c r="T102" s="33">
        <v>5.9987060054164001</v>
      </c>
      <c r="U102" s="15">
        <v>1.2297237650743199E-3</v>
      </c>
      <c r="V102" s="15">
        <v>-2.3957948596260701E-3</v>
      </c>
      <c r="W102" s="15">
        <v>1.45236807755983E-3</v>
      </c>
      <c r="X102" s="34">
        <v>1.0256849315068399</v>
      </c>
      <c r="Y102" s="34">
        <v>1.0269470164915</v>
      </c>
      <c r="Z102" s="34">
        <v>1.0233942256325299</v>
      </c>
      <c r="AA102" s="34">
        <v>1.02669818746787</v>
      </c>
      <c r="AB102" s="33">
        <v>5.9973705763103897</v>
      </c>
      <c r="AC102" s="33">
        <v>5.9756663658703699</v>
      </c>
      <c r="AD102" s="33">
        <v>5.9987060054164001</v>
      </c>
      <c r="AE102" s="15">
        <v>1.2297237650743199E-3</v>
      </c>
      <c r="AF102" s="15">
        <v>-2.3957948596260701E-3</v>
      </c>
      <c r="AG102" s="15">
        <v>1.45236807755983E-3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3.6477615042186787E-2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3.6916875253966253E-2</v>
      </c>
      <c r="BE102" s="29">
        <f t="shared" si="42"/>
        <v>0</v>
      </c>
      <c r="BF102" s="29">
        <f t="shared" si="43"/>
        <v>7.3394490296153039E-2</v>
      </c>
      <c r="BH102" s="29"/>
    </row>
    <row r="103" spans="1:60" x14ac:dyDescent="0.25">
      <c r="A103" s="1">
        <v>46171</v>
      </c>
      <c r="B103" s="33">
        <v>5.73</v>
      </c>
      <c r="C103" s="33">
        <v>5.87</v>
      </c>
      <c r="D103" s="15">
        <v>-1.9015266113487399E-2</v>
      </c>
      <c r="E103" s="15">
        <v>-2.0236778287352899E-2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5.73</v>
      </c>
      <c r="M103" s="33">
        <v>5.87</v>
      </c>
      <c r="N103" s="34">
        <v>1.0244328097731199</v>
      </c>
      <c r="O103" s="34">
        <v>1.0269470164915</v>
      </c>
      <c r="P103" s="34">
        <v>1.0230149259646899</v>
      </c>
      <c r="Q103" s="34">
        <v>1.02610763685274</v>
      </c>
      <c r="R103" s="33">
        <v>5.8844064044963202</v>
      </c>
      <c r="S103" s="33">
        <v>5.8640489128744404</v>
      </c>
      <c r="T103" s="33">
        <v>5.8829806141909096</v>
      </c>
      <c r="U103" s="15">
        <v>2.45123593893981E-3</v>
      </c>
      <c r="V103" s="15">
        <v>-1.01432807720127E-3</v>
      </c>
      <c r="W103" s="15">
        <v>2.20890681181475E-3</v>
      </c>
      <c r="X103" s="34">
        <v>1.0244328097731199</v>
      </c>
      <c r="Y103" s="34">
        <v>1.0269470164915</v>
      </c>
      <c r="Z103" s="34">
        <v>1.0230149259646899</v>
      </c>
      <c r="AA103" s="34">
        <v>1.02610763685274</v>
      </c>
      <c r="AB103" s="33">
        <v>5.8844064044963202</v>
      </c>
      <c r="AC103" s="33">
        <v>5.8640489128744404</v>
      </c>
      <c r="AD103" s="33">
        <v>5.8829806141909096</v>
      </c>
      <c r="AE103" s="15">
        <v>2.45123593893981E-3</v>
      </c>
      <c r="AF103" s="15">
        <v>-1.01432807720127E-3</v>
      </c>
      <c r="AG103" s="15">
        <v>2.20890681181475E-3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3.6477615042186787E-2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3.6916875253966253E-2</v>
      </c>
      <c r="BE103" s="29">
        <f t="shared" si="42"/>
        <v>0</v>
      </c>
      <c r="BF103" s="29">
        <f t="shared" si="43"/>
        <v>7.3394490296153039E-2</v>
      </c>
      <c r="BH103" s="29"/>
    </row>
    <row r="104" spans="1:60" x14ac:dyDescent="0.25">
      <c r="A104" s="1">
        <v>46174</v>
      </c>
      <c r="B104" s="33">
        <v>5.36</v>
      </c>
      <c r="C104" s="33">
        <v>5.54</v>
      </c>
      <c r="D104" s="15">
        <v>-6.6751555643937602E-2</v>
      </c>
      <c r="E104" s="15">
        <v>-5.7860133080812601E-2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5.36</v>
      </c>
      <c r="M104" s="33">
        <v>5.54</v>
      </c>
      <c r="N104" s="34">
        <v>1.0335820895522301</v>
      </c>
      <c r="O104" s="34">
        <v>1.0269470164915</v>
      </c>
      <c r="P104" s="34">
        <v>1.0237679244990701</v>
      </c>
      <c r="Q104" s="34">
        <v>1.0261447052055499</v>
      </c>
      <c r="R104" s="33">
        <v>5.5044360083944701</v>
      </c>
      <c r="S104" s="33">
        <v>5.4833600031707297</v>
      </c>
      <c r="T104" s="33">
        <v>5.4999369335306802</v>
      </c>
      <c r="U104" s="15">
        <v>-6.4401866241850696E-3</v>
      </c>
      <c r="V104" s="15">
        <v>-1.0276448427614699E-2</v>
      </c>
      <c r="W104" s="15">
        <v>-7.25787521729334E-3</v>
      </c>
      <c r="X104" s="34">
        <v>1.0335820895522301</v>
      </c>
      <c r="Y104" s="34">
        <v>1.0269470164915</v>
      </c>
      <c r="Z104" s="34">
        <v>1.0237679244990701</v>
      </c>
      <c r="AA104" s="34">
        <v>1.0261447052055499</v>
      </c>
      <c r="AB104" s="33">
        <v>5.5044360083944701</v>
      </c>
      <c r="AC104" s="33">
        <v>5.4833600031707297</v>
      </c>
      <c r="AD104" s="33">
        <v>5.4999369335306802</v>
      </c>
      <c r="AE104" s="15">
        <v>-6.4401866241850696E-3</v>
      </c>
      <c r="AF104" s="15">
        <v>-1.0276448427614699E-2</v>
      </c>
      <c r="AG104" s="15">
        <v>-7.25787521729334E-3</v>
      </c>
      <c r="AI104" s="12"/>
      <c r="AJ104">
        <f t="shared" si="26"/>
        <v>1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3.6477615042186787E-2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3.6916875253966253E-2</v>
      </c>
      <c r="BE104" s="29">
        <f t="shared" si="42"/>
        <v>0</v>
      </c>
      <c r="BF104" s="29">
        <f t="shared" si="43"/>
        <v>7.3394490296153039E-2</v>
      </c>
      <c r="BH104" s="29"/>
    </row>
    <row r="105" spans="1:60" x14ac:dyDescent="0.25">
      <c r="A105" s="1">
        <v>46175</v>
      </c>
      <c r="B105" s="33">
        <v>5.28</v>
      </c>
      <c r="C105" s="33">
        <v>5.43</v>
      </c>
      <c r="D105" s="15">
        <v>-1.50378773645405E-2</v>
      </c>
      <c r="E105" s="15">
        <v>-2.0055366813348401E-2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5.28</v>
      </c>
      <c r="M105" s="33">
        <v>5.43</v>
      </c>
      <c r="N105" s="34">
        <v>1.0284090909090899</v>
      </c>
      <c r="O105" s="34">
        <v>1.0269470164915</v>
      </c>
      <c r="P105" s="34">
        <v>1.0247832757806501</v>
      </c>
      <c r="Q105" s="34">
        <v>1.02612691948028</v>
      </c>
      <c r="R105" s="33">
        <v>5.4222802470751503</v>
      </c>
      <c r="S105" s="33">
        <v>5.4054946413550997</v>
      </c>
      <c r="T105" s="33">
        <v>5.4180440434853399</v>
      </c>
      <c r="U105" s="15">
        <v>-1.4226971753771699E-3</v>
      </c>
      <c r="V105" s="15">
        <v>-4.5231715276046096E-3</v>
      </c>
      <c r="W105" s="15">
        <v>-2.2042612120050202E-3</v>
      </c>
      <c r="X105" s="34">
        <v>1.0284090909090899</v>
      </c>
      <c r="Y105" s="34">
        <v>1.0269470164915</v>
      </c>
      <c r="Z105" s="34">
        <v>1.0247832757806501</v>
      </c>
      <c r="AA105" s="34">
        <v>1.02612691948028</v>
      </c>
      <c r="AB105" s="33">
        <v>5.4222802470751503</v>
      </c>
      <c r="AC105" s="33">
        <v>5.4054946413550997</v>
      </c>
      <c r="AD105" s="33">
        <v>5.4180440434853399</v>
      </c>
      <c r="AE105" s="15">
        <v>-1.4226971753771699E-3</v>
      </c>
      <c r="AF105" s="15">
        <v>-4.5231715276046096E-3</v>
      </c>
      <c r="AG105" s="15">
        <v>-2.2042612120050202E-3</v>
      </c>
      <c r="AI105" s="12"/>
      <c r="AJ105">
        <f t="shared" si="26"/>
        <v>0</v>
      </c>
      <c r="AK105">
        <f t="shared" si="27"/>
        <v>1</v>
      </c>
      <c r="AL105">
        <f t="shared" si="34"/>
        <v>1</v>
      </c>
      <c r="AM105">
        <f t="shared" si="24"/>
        <v>1</v>
      </c>
      <c r="AN105">
        <f t="shared" si="35"/>
        <v>1</v>
      </c>
      <c r="AO105" s="28">
        <f t="shared" si="28"/>
        <v>-1.50378773645405E-2</v>
      </c>
      <c r="AP105" s="28">
        <f t="shared" si="29"/>
        <v>2.0055366813348401E-2</v>
      </c>
      <c r="AQ105" s="28">
        <f t="shared" si="36"/>
        <v>5.0174894488079005E-3</v>
      </c>
      <c r="AR105" s="29">
        <f t="shared" si="37"/>
        <v>4.1495104490994687E-2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3.6916875253966253E-2</v>
      </c>
      <c r="BE105" s="29">
        <f t="shared" si="42"/>
        <v>5.0174894488079005E-3</v>
      </c>
      <c r="BF105" s="29">
        <f t="shared" si="43"/>
        <v>7.8411979744960947E-2</v>
      </c>
      <c r="BH105" s="29"/>
    </row>
    <row r="106" spans="1:60" x14ac:dyDescent="0.25">
      <c r="A106" s="1">
        <v>46176</v>
      </c>
      <c r="B106" s="33">
        <v>5.3</v>
      </c>
      <c r="C106" s="33">
        <v>5.45</v>
      </c>
      <c r="D106" s="15">
        <v>3.7807228399059302E-3</v>
      </c>
      <c r="E106" s="15">
        <v>3.6764747293086199E-3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5.3</v>
      </c>
      <c r="M106" s="33">
        <v>5.45</v>
      </c>
      <c r="N106" s="34">
        <v>1.02830188679245</v>
      </c>
      <c r="O106" s="34">
        <v>1.0269470164915</v>
      </c>
      <c r="P106" s="34">
        <v>1.0252230262128801</v>
      </c>
      <c r="Q106" s="34">
        <v>1.0259795138198999</v>
      </c>
      <c r="R106" s="33">
        <v>5.4428191874049796</v>
      </c>
      <c r="S106" s="33">
        <v>5.4313513616374403</v>
      </c>
      <c r="T106" s="33">
        <v>5.4384726732455002</v>
      </c>
      <c r="U106" s="15">
        <v>-1.3184490647798199E-3</v>
      </c>
      <c r="V106" s="15">
        <v>-3.4276361457060201E-3</v>
      </c>
      <c r="W106" s="15">
        <v>-2.1173458219499301E-3</v>
      </c>
      <c r="X106" s="34">
        <v>1.02830188679245</v>
      </c>
      <c r="Y106" s="34">
        <v>1.0269470164915</v>
      </c>
      <c r="Z106" s="34">
        <v>1.0252230262128801</v>
      </c>
      <c r="AA106" s="34">
        <v>1.0259795138198999</v>
      </c>
      <c r="AB106" s="33">
        <v>5.4428191874049796</v>
      </c>
      <c r="AC106" s="33">
        <v>5.4313513616374403</v>
      </c>
      <c r="AD106" s="33">
        <v>5.4384726732455002</v>
      </c>
      <c r="AE106" s="15">
        <v>-1.3184490647798199E-3</v>
      </c>
      <c r="AF106" s="15">
        <v>-3.4276361457060201E-3</v>
      </c>
      <c r="AG106" s="15">
        <v>-2.1173458219499301E-3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4.1495104490994687E-2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3.6916875253966253E-2</v>
      </c>
      <c r="BE106" s="29">
        <f t="shared" si="42"/>
        <v>0</v>
      </c>
      <c r="BF106" s="29">
        <f t="shared" si="43"/>
        <v>7.8411979744960947E-2</v>
      </c>
      <c r="BH106" s="29"/>
    </row>
    <row r="107" spans="1:60" x14ac:dyDescent="0.25">
      <c r="A107" s="1">
        <v>46177</v>
      </c>
      <c r="B107" s="33">
        <v>5.41</v>
      </c>
      <c r="C107" s="33">
        <v>5.58</v>
      </c>
      <c r="D107" s="15">
        <v>2.05422723003141E-2</v>
      </c>
      <c r="E107" s="15">
        <v>2.35731677180668E-2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5.41</v>
      </c>
      <c r="M107" s="33">
        <v>5.58</v>
      </c>
      <c r="N107" s="34">
        <v>1.03142329020332</v>
      </c>
      <c r="O107" s="34">
        <v>1.0269470164915</v>
      </c>
      <c r="P107" s="34">
        <v>1.0259796693485199</v>
      </c>
      <c r="Q107" s="34">
        <v>1.02587067833007</v>
      </c>
      <c r="R107" s="33">
        <v>5.5557833592190402</v>
      </c>
      <c r="S107" s="33">
        <v>5.5464565718117003</v>
      </c>
      <c r="T107" s="33">
        <v>5.5505491697656897</v>
      </c>
      <c r="U107" s="15">
        <v>-4.34934448253263E-3</v>
      </c>
      <c r="V107" s="15">
        <v>-6.0295080638231397E-3</v>
      </c>
      <c r="W107" s="15">
        <v>-5.2919040227227404E-3</v>
      </c>
      <c r="X107" s="34">
        <v>1.03142329020332</v>
      </c>
      <c r="Y107" s="34">
        <v>1.0269470164915</v>
      </c>
      <c r="Z107" s="34">
        <v>1.0259796693485199</v>
      </c>
      <c r="AA107" s="34">
        <v>1.02587067833007</v>
      </c>
      <c r="AB107" s="33">
        <v>5.5557833592190402</v>
      </c>
      <c r="AC107" s="33">
        <v>5.5464565718117003</v>
      </c>
      <c r="AD107" s="33">
        <v>5.5505491697656897</v>
      </c>
      <c r="AE107" s="15">
        <v>-4.34934448253263E-3</v>
      </c>
      <c r="AF107" s="15">
        <v>-6.0295080638231397E-3</v>
      </c>
      <c r="AG107" s="15">
        <v>-5.2919040227227404E-3</v>
      </c>
      <c r="AI107" s="12"/>
      <c r="AJ107">
        <f t="shared" si="26"/>
        <v>1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4.1495104490994687E-2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3.6916875253966253E-2</v>
      </c>
      <c r="BE107" s="29">
        <f t="shared" si="42"/>
        <v>0</v>
      </c>
      <c r="BF107" s="29">
        <f t="shared" si="43"/>
        <v>7.8411979744960947E-2</v>
      </c>
      <c r="BH107" s="29"/>
    </row>
    <row r="108" spans="1:60" x14ac:dyDescent="0.25">
      <c r="A108" s="1">
        <v>46178</v>
      </c>
      <c r="B108" s="33">
        <v>5.39</v>
      </c>
      <c r="C108" s="33">
        <v>5.56</v>
      </c>
      <c r="D108" s="15">
        <v>-3.7037079374844101E-3</v>
      </c>
      <c r="E108" s="15">
        <v>-3.5906681307285898E-3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5.39</v>
      </c>
      <c r="M108" s="33">
        <v>5.56</v>
      </c>
      <c r="N108" s="34">
        <v>1.03153988868274</v>
      </c>
      <c r="O108" s="34">
        <v>1.0269470164915</v>
      </c>
      <c r="P108" s="34">
        <v>1.0270223338405899</v>
      </c>
      <c r="Q108" s="34">
        <v>1.02608111327868</v>
      </c>
      <c r="R108" s="33">
        <v>5.53524441888921</v>
      </c>
      <c r="S108" s="33">
        <v>5.5300304177885398</v>
      </c>
      <c r="T108" s="33">
        <v>5.5294429561990901</v>
      </c>
      <c r="U108" s="15">
        <v>-4.4623842892884498E-3</v>
      </c>
      <c r="V108" s="15">
        <v>-5.4047922391168698E-3</v>
      </c>
      <c r="W108" s="15">
        <v>-5.5110290498831902E-3</v>
      </c>
      <c r="X108" s="34">
        <v>1.03153988868274</v>
      </c>
      <c r="Y108" s="34">
        <v>1.0269470164915</v>
      </c>
      <c r="Z108" s="34">
        <v>1.0270223338405899</v>
      </c>
      <c r="AA108" s="34">
        <v>1.02608111327868</v>
      </c>
      <c r="AB108" s="33">
        <v>5.53524441888921</v>
      </c>
      <c r="AC108" s="33">
        <v>5.5300304177885398</v>
      </c>
      <c r="AD108" s="33">
        <v>5.5294429561990901</v>
      </c>
      <c r="AE108" s="15">
        <v>-4.4623842892884498E-3</v>
      </c>
      <c r="AF108" s="15">
        <v>-5.4047922391168698E-3</v>
      </c>
      <c r="AG108" s="15">
        <v>-5.5110290498831902E-3</v>
      </c>
      <c r="AI108" s="12"/>
      <c r="AJ108">
        <f t="shared" si="26"/>
        <v>1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8">
        <f t="shared" si="28"/>
        <v>-3.7037079374844101E-3</v>
      </c>
      <c r="AP108" s="28">
        <f t="shared" si="29"/>
        <v>3.5906681307285898E-3</v>
      </c>
      <c r="AQ108" s="28">
        <f t="shared" si="36"/>
        <v>-1.1303980675582024E-4</v>
      </c>
      <c r="AR108" s="29">
        <f t="shared" si="37"/>
        <v>4.138206468423887E-2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3.6916875253966253E-2</v>
      </c>
      <c r="BE108" s="29">
        <f t="shared" si="42"/>
        <v>-1.1303980675582024E-4</v>
      </c>
      <c r="BF108" s="29">
        <f t="shared" si="43"/>
        <v>7.8298939938205123E-2</v>
      </c>
      <c r="BH108" s="29"/>
    </row>
    <row r="109" spans="1:60" x14ac:dyDescent="0.25">
      <c r="A109" s="1">
        <v>46181</v>
      </c>
      <c r="B109" s="33">
        <v>5.5</v>
      </c>
      <c r="C109" s="33">
        <v>5.67</v>
      </c>
      <c r="D109" s="15">
        <v>2.02027073175194E-2</v>
      </c>
      <c r="E109" s="15">
        <v>1.9591009477169699E-2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5.5</v>
      </c>
      <c r="M109" s="33">
        <v>5.67</v>
      </c>
      <c r="N109" s="34">
        <v>1.0309090909090901</v>
      </c>
      <c r="O109" s="34">
        <v>1.0269470164915</v>
      </c>
      <c r="P109" s="34">
        <v>1.0282613910796501</v>
      </c>
      <c r="Q109" s="34">
        <v>1.02618656782413</v>
      </c>
      <c r="R109" s="33">
        <v>5.6482085907032804</v>
      </c>
      <c r="S109" s="33">
        <v>5.6486228361232902</v>
      </c>
      <c r="T109" s="33">
        <v>5.6434461230327404</v>
      </c>
      <c r="U109" s="15">
        <v>-3.8506864489385902E-3</v>
      </c>
      <c r="V109" s="15">
        <v>-3.7773481110365201E-3</v>
      </c>
      <c r="W109" s="15">
        <v>-4.6942241010673397E-3</v>
      </c>
      <c r="X109" s="34">
        <v>1.0309090909090901</v>
      </c>
      <c r="Y109" s="34">
        <v>1.0269470164915</v>
      </c>
      <c r="Z109" s="34">
        <v>1.0282613910796501</v>
      </c>
      <c r="AA109" s="34">
        <v>1.02618656782413</v>
      </c>
      <c r="AB109" s="33">
        <v>5.6482085907032804</v>
      </c>
      <c r="AC109" s="33">
        <v>5.6486228361232902</v>
      </c>
      <c r="AD109" s="33">
        <v>5.6434461230327404</v>
      </c>
      <c r="AE109" s="15">
        <v>-3.8506864489385902E-3</v>
      </c>
      <c r="AF109" s="15">
        <v>-3.7773481110365201E-3</v>
      </c>
      <c r="AG109" s="15">
        <v>-4.6942241010673397E-3</v>
      </c>
      <c r="AI109" s="12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8">
        <f t="shared" si="28"/>
        <v>2.02027073175194E-2</v>
      </c>
      <c r="AP109" s="28">
        <f t="shared" si="29"/>
        <v>-1.9591009477169699E-2</v>
      </c>
      <c r="AQ109" s="28">
        <f t="shared" si="36"/>
        <v>6.1169784034970087E-4</v>
      </c>
      <c r="AR109" s="29">
        <f t="shared" si="37"/>
        <v>4.1993762524588571E-2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3.6916875253966253E-2</v>
      </c>
      <c r="BE109" s="29">
        <f t="shared" si="42"/>
        <v>6.1169784034970087E-4</v>
      </c>
      <c r="BF109" s="29">
        <f t="shared" si="43"/>
        <v>7.8910637778554824E-2</v>
      </c>
      <c r="BH109" s="29"/>
    </row>
    <row r="110" spans="1:60" x14ac:dyDescent="0.25">
      <c r="A110" s="1">
        <v>46182</v>
      </c>
      <c r="B110" s="33">
        <v>5.61</v>
      </c>
      <c r="C110" s="33">
        <v>5.78</v>
      </c>
      <c r="D110" s="15">
        <v>1.9802627296179699E-2</v>
      </c>
      <c r="E110" s="15">
        <v>1.9214564944625399E-2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5.61</v>
      </c>
      <c r="M110" s="33">
        <v>5.78</v>
      </c>
      <c r="N110" s="34">
        <v>1.0303030303030301</v>
      </c>
      <c r="O110" s="34">
        <v>1.0269470164915</v>
      </c>
      <c r="P110" s="34">
        <v>1.0289408803667399</v>
      </c>
      <c r="Q110" s="34">
        <v>1.02617110709438</v>
      </c>
      <c r="R110" s="33">
        <v>5.7611727625173401</v>
      </c>
      <c r="S110" s="33">
        <v>5.7685464039568703</v>
      </c>
      <c r="T110" s="33">
        <v>5.7569066454933902</v>
      </c>
      <c r="U110" s="15">
        <v>-3.2626240973842599E-3</v>
      </c>
      <c r="V110" s="15">
        <v>-1.9835569599557699E-3</v>
      </c>
      <c r="W110" s="15">
        <v>-4.0033929474524096E-3</v>
      </c>
      <c r="X110" s="34">
        <v>1.0303030303030301</v>
      </c>
      <c r="Y110" s="34">
        <v>1.0269470164915</v>
      </c>
      <c r="Z110" s="34">
        <v>1.0289408803667399</v>
      </c>
      <c r="AA110" s="34">
        <v>1.02617110709438</v>
      </c>
      <c r="AB110" s="33">
        <v>5.7611727625173401</v>
      </c>
      <c r="AC110" s="33">
        <v>5.7685464039568703</v>
      </c>
      <c r="AD110" s="33">
        <v>5.7569066454933902</v>
      </c>
      <c r="AE110" s="15">
        <v>-3.2626240973842599E-3</v>
      </c>
      <c r="AF110" s="15">
        <v>-1.9835569599557699E-3</v>
      </c>
      <c r="AG110" s="15">
        <v>-4.0033929474524096E-3</v>
      </c>
      <c r="AI110" s="12"/>
      <c r="AJ110">
        <f t="shared" si="26"/>
        <v>0</v>
      </c>
      <c r="AK110">
        <f t="shared" si="27"/>
        <v>0</v>
      </c>
      <c r="AL110">
        <f t="shared" si="34"/>
        <v>1</v>
      </c>
      <c r="AM110">
        <f t="shared" si="24"/>
        <v>1</v>
      </c>
      <c r="AN110">
        <f t="shared" si="35"/>
        <v>1</v>
      </c>
      <c r="AO110" s="28">
        <f t="shared" si="28"/>
        <v>1.9802627296179699E-2</v>
      </c>
      <c r="AP110" s="28">
        <f t="shared" si="29"/>
        <v>-1.9214564944625399E-2</v>
      </c>
      <c r="AQ110" s="28">
        <f t="shared" si="36"/>
        <v>5.8806235155429987E-4</v>
      </c>
      <c r="AR110" s="29">
        <f t="shared" si="37"/>
        <v>4.2581824876142871E-2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3.6916875253966253E-2</v>
      </c>
      <c r="BE110" s="29">
        <f t="shared" si="42"/>
        <v>5.8806235155429987E-4</v>
      </c>
      <c r="BF110" s="29">
        <f t="shared" si="43"/>
        <v>7.9498700130109123E-2</v>
      </c>
      <c r="BH110" s="29"/>
    </row>
    <row r="111" spans="1:60" x14ac:dyDescent="0.25">
      <c r="A111" s="1">
        <v>46183</v>
      </c>
      <c r="B111" s="33">
        <v>5.53</v>
      </c>
      <c r="C111" s="33">
        <v>5.7</v>
      </c>
      <c r="D111" s="15">
        <v>-1.43629040003615E-2</v>
      </c>
      <c r="E111" s="15">
        <v>-1.39375078437816E-2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5.53</v>
      </c>
      <c r="M111" s="33">
        <v>5.7</v>
      </c>
      <c r="N111" s="34">
        <v>1.03074141048824</v>
      </c>
      <c r="O111" s="34">
        <v>1.0269470164915</v>
      </c>
      <c r="P111" s="34">
        <v>1.0295327519120101</v>
      </c>
      <c r="Q111" s="34">
        <v>1.0263816470065501</v>
      </c>
      <c r="R111" s="33">
        <v>5.6790170011980203</v>
      </c>
      <c r="S111" s="33">
        <v>5.6900430684280696</v>
      </c>
      <c r="T111" s="33">
        <v>5.6747262222319597</v>
      </c>
      <c r="U111" s="15">
        <v>-3.68802025396423E-3</v>
      </c>
      <c r="V111" s="15">
        <v>-1.7483575871357899E-3</v>
      </c>
      <c r="W111" s="15">
        <v>-4.4438554152660204E-3</v>
      </c>
      <c r="X111" s="34">
        <v>1.03074141048824</v>
      </c>
      <c r="Y111" s="34">
        <v>1.0269470164915</v>
      </c>
      <c r="Z111" s="34">
        <v>1.0295327519120101</v>
      </c>
      <c r="AA111" s="34">
        <v>1.0263816470065501</v>
      </c>
      <c r="AB111" s="33">
        <v>5.6790170011980203</v>
      </c>
      <c r="AC111" s="33">
        <v>5.6900430684280696</v>
      </c>
      <c r="AD111" s="33">
        <v>5.6747262222319597</v>
      </c>
      <c r="AE111" s="15">
        <v>-3.68802025396423E-3</v>
      </c>
      <c r="AF111" s="15">
        <v>-1.7483575871357899E-3</v>
      </c>
      <c r="AG111" s="15">
        <v>-4.4438554152660204E-3</v>
      </c>
      <c r="AI111" s="12"/>
      <c r="AJ111">
        <f t="shared" si="26"/>
        <v>0</v>
      </c>
      <c r="AK111">
        <f t="shared" si="27"/>
        <v>0</v>
      </c>
      <c r="AL111">
        <f t="shared" si="34"/>
        <v>1</v>
      </c>
      <c r="AM111">
        <f t="shared" si="24"/>
        <v>1</v>
      </c>
      <c r="AN111">
        <f t="shared" si="35"/>
        <v>1</v>
      </c>
      <c r="AO111" s="28">
        <f t="shared" si="28"/>
        <v>-1.43629040003615E-2</v>
      </c>
      <c r="AP111" s="28">
        <f t="shared" si="29"/>
        <v>1.39375078437816E-2</v>
      </c>
      <c r="AQ111" s="28">
        <f t="shared" si="36"/>
        <v>-4.2539615657989985E-4</v>
      </c>
      <c r="AR111" s="29">
        <f t="shared" si="37"/>
        <v>4.2156428719562974E-2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3.6916875253966253E-2</v>
      </c>
      <c r="BE111" s="29">
        <f t="shared" si="42"/>
        <v>-4.2539615657989985E-4</v>
      </c>
      <c r="BF111" s="29">
        <f t="shared" si="43"/>
        <v>7.9073303973529227E-2</v>
      </c>
      <c r="BH111" s="29"/>
    </row>
    <row r="112" spans="1:60" x14ac:dyDescent="0.25">
      <c r="A112" s="1">
        <v>46184</v>
      </c>
      <c r="B112" s="33">
        <v>5.83</v>
      </c>
      <c r="C112" s="33">
        <v>6.01</v>
      </c>
      <c r="D112" s="15">
        <v>5.2829184828157398E-2</v>
      </c>
      <c r="E112" s="15">
        <v>5.2958573706611597E-2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5.83</v>
      </c>
      <c r="M112" s="33">
        <v>6.01</v>
      </c>
      <c r="N112" s="34">
        <v>1.0308747855917599</v>
      </c>
      <c r="O112" s="34">
        <v>1.0269470164915</v>
      </c>
      <c r="P112" s="34">
        <v>1.03005173732051</v>
      </c>
      <c r="Q112" s="34">
        <v>1.02672298147652</v>
      </c>
      <c r="R112" s="33">
        <v>5.9871011061454702</v>
      </c>
      <c r="S112" s="33">
        <v>6.0021759436470701</v>
      </c>
      <c r="T112" s="33">
        <v>5.9838050020482196</v>
      </c>
      <c r="U112" s="15">
        <v>-3.8174091324183002E-3</v>
      </c>
      <c r="V112" s="15">
        <v>-1.3026877888035299E-3</v>
      </c>
      <c r="W112" s="15">
        <v>-4.3680949620062597E-3</v>
      </c>
      <c r="X112" s="34">
        <v>1.0308747855917599</v>
      </c>
      <c r="Y112" s="34">
        <v>1.0269470164915</v>
      </c>
      <c r="Z112" s="34">
        <v>1.03005173732051</v>
      </c>
      <c r="AA112" s="34">
        <v>1.02672298147652</v>
      </c>
      <c r="AB112" s="33">
        <v>5.9871011061454702</v>
      </c>
      <c r="AC112" s="33">
        <v>6.0021759436470701</v>
      </c>
      <c r="AD112" s="33">
        <v>5.9838050020482196</v>
      </c>
      <c r="AE112" s="15">
        <v>-3.8174091324183002E-3</v>
      </c>
      <c r="AF112" s="15">
        <v>-1.3026877888035299E-3</v>
      </c>
      <c r="AG112" s="15">
        <v>-4.3680949620062597E-3</v>
      </c>
      <c r="AI112" s="12"/>
      <c r="AJ112">
        <f t="shared" si="26"/>
        <v>0</v>
      </c>
      <c r="AK112">
        <f t="shared" si="27"/>
        <v>0</v>
      </c>
      <c r="AL112">
        <f t="shared" si="34"/>
        <v>1</v>
      </c>
      <c r="AM112">
        <f t="shared" si="24"/>
        <v>1</v>
      </c>
      <c r="AN112">
        <f t="shared" si="35"/>
        <v>1</v>
      </c>
      <c r="AO112" s="28">
        <f t="shared" si="28"/>
        <v>5.2829184828157398E-2</v>
      </c>
      <c r="AP112" s="28">
        <f t="shared" si="29"/>
        <v>-5.2958573706611597E-2</v>
      </c>
      <c r="AQ112" s="28">
        <f t="shared" si="36"/>
        <v>-1.2938887845419939E-4</v>
      </c>
      <c r="AR112" s="29">
        <f t="shared" si="37"/>
        <v>4.2027039841108775E-2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3.6916875253966253E-2</v>
      </c>
      <c r="BE112" s="29">
        <f t="shared" si="42"/>
        <v>-1.2938887845419939E-4</v>
      </c>
      <c r="BF112" s="29">
        <f t="shared" si="43"/>
        <v>7.8943915095075035E-2</v>
      </c>
      <c r="BH112" s="29"/>
    </row>
    <row r="113" spans="1:60" x14ac:dyDescent="0.25">
      <c r="A113" s="1">
        <v>46185</v>
      </c>
      <c r="B113" s="33">
        <v>5.88</v>
      </c>
      <c r="C113" s="33">
        <v>6.05</v>
      </c>
      <c r="D113" s="15">
        <v>8.5397615481345793E-3</v>
      </c>
      <c r="E113" s="15">
        <v>6.6335234956338704E-3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5.88</v>
      </c>
      <c r="M113" s="33">
        <v>6.05</v>
      </c>
      <c r="N113" s="34">
        <v>1.02891156462585</v>
      </c>
      <c r="O113" s="34">
        <v>1.0269470164915</v>
      </c>
      <c r="P113" s="34">
        <v>1.03049961280578</v>
      </c>
      <c r="Q113" s="34">
        <v>1.02675726938523</v>
      </c>
      <c r="R113" s="33">
        <v>6.0384484569700501</v>
      </c>
      <c r="S113" s="33">
        <v>6.0567042154445998</v>
      </c>
      <c r="T113" s="33">
        <v>6.03713113108196</v>
      </c>
      <c r="U113" s="15">
        <v>-1.9111710799177401E-3</v>
      </c>
      <c r="V113" s="15">
        <v>1.1075212560886199E-3</v>
      </c>
      <c r="W113" s="15">
        <v>-2.1293512316376498E-3</v>
      </c>
      <c r="X113" s="34">
        <v>1.02891156462585</v>
      </c>
      <c r="Y113" s="34">
        <v>1.0269470164915</v>
      </c>
      <c r="Z113" s="34">
        <v>1.03049961280578</v>
      </c>
      <c r="AA113" s="34">
        <v>1.02675726938523</v>
      </c>
      <c r="AB113" s="33">
        <v>6.0384484569700501</v>
      </c>
      <c r="AC113" s="33">
        <v>6.0567042154445998</v>
      </c>
      <c r="AD113" s="33">
        <v>6.03713113108196</v>
      </c>
      <c r="AE113" s="15">
        <v>-1.9111710799177401E-3</v>
      </c>
      <c r="AF113" s="15">
        <v>1.1075212560886199E-3</v>
      </c>
      <c r="AG113" s="15">
        <v>-2.1293512316376498E-3</v>
      </c>
      <c r="AI113" s="12"/>
      <c r="AJ113">
        <f t="shared" si="26"/>
        <v>0</v>
      </c>
      <c r="AK113">
        <f t="shared" si="27"/>
        <v>1</v>
      </c>
      <c r="AL113">
        <f t="shared" si="34"/>
        <v>1</v>
      </c>
      <c r="AM113">
        <f t="shared" si="24"/>
        <v>1</v>
      </c>
      <c r="AN113">
        <f t="shared" si="35"/>
        <v>1</v>
      </c>
      <c r="AO113" s="28">
        <f t="shared" si="28"/>
        <v>8.5397615481345793E-3</v>
      </c>
      <c r="AP113" s="28">
        <f t="shared" si="29"/>
        <v>-6.6335234956338704E-3</v>
      </c>
      <c r="AQ113" s="28">
        <f t="shared" si="36"/>
        <v>1.9062380525007088E-3</v>
      </c>
      <c r="AR113" s="29">
        <f t="shared" si="37"/>
        <v>4.3933277893609485E-2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3.6916875253966253E-2</v>
      </c>
      <c r="BE113" s="29">
        <f t="shared" si="42"/>
        <v>1.9062380525007088E-3</v>
      </c>
      <c r="BF113" s="29">
        <f t="shared" si="43"/>
        <v>8.0850153147575737E-2</v>
      </c>
      <c r="BH113" s="29"/>
    </row>
    <row r="114" spans="1:60" x14ac:dyDescent="0.25">
      <c r="A114" s="1">
        <v>46188</v>
      </c>
      <c r="B114" s="33">
        <v>5.85</v>
      </c>
      <c r="C114" s="33">
        <v>6.02</v>
      </c>
      <c r="D114" s="15">
        <v>-5.11510066677048E-3</v>
      </c>
      <c r="E114" s="15">
        <v>-4.9710127220204898E-3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5.85</v>
      </c>
      <c r="M114" s="33">
        <v>6.02</v>
      </c>
      <c r="N114" s="34">
        <v>1.0290598290598201</v>
      </c>
      <c r="O114" s="34">
        <v>1.0269470164915</v>
      </c>
      <c r="P114" s="34">
        <v>1.0300473867565401</v>
      </c>
      <c r="Q114" s="34">
        <v>1.0269076556278001</v>
      </c>
      <c r="R114" s="33">
        <v>6.0076400464753004</v>
      </c>
      <c r="S114" s="33">
        <v>6.0284227349138302</v>
      </c>
      <c r="T114" s="33">
        <v>6.0065300259036301</v>
      </c>
      <c r="U114" s="15">
        <v>-2.0552590246677598E-3</v>
      </c>
      <c r="V114" s="15">
        <v>1.3981475370225299E-3</v>
      </c>
      <c r="W114" s="15">
        <v>-2.2400442521356401E-3</v>
      </c>
      <c r="X114" s="34">
        <v>1.0290598290598201</v>
      </c>
      <c r="Y114" s="34">
        <v>1.0269470164915</v>
      </c>
      <c r="Z114" s="34">
        <v>1.0300473867565401</v>
      </c>
      <c r="AA114" s="34">
        <v>1.0269076556278001</v>
      </c>
      <c r="AB114" s="33">
        <v>6.0076400464753004</v>
      </c>
      <c r="AC114" s="33">
        <v>6.0284227349138302</v>
      </c>
      <c r="AD114" s="33">
        <v>6.0065300259036301</v>
      </c>
      <c r="AE114" s="15">
        <v>-2.0552590246677598E-3</v>
      </c>
      <c r="AF114" s="15">
        <v>1.3981475370225299E-3</v>
      </c>
      <c r="AG114" s="15">
        <v>-2.2400442521356401E-3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4.3933277893609485E-2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3.6916875253966253E-2</v>
      </c>
      <c r="BE114" s="29">
        <f t="shared" si="42"/>
        <v>0</v>
      </c>
      <c r="BF114" s="29">
        <f t="shared" si="43"/>
        <v>8.0850153147575737E-2</v>
      </c>
      <c r="BH114" s="29"/>
    </row>
    <row r="115" spans="1:60" x14ac:dyDescent="0.25">
      <c r="A115" s="1">
        <v>46189</v>
      </c>
      <c r="B115" s="33">
        <v>5.66</v>
      </c>
      <c r="C115" s="33">
        <v>5.84</v>
      </c>
      <c r="D115" s="15">
        <v>-3.3017769028673399E-2</v>
      </c>
      <c r="E115" s="15">
        <v>-3.0356462480593899E-2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5.66</v>
      </c>
      <c r="M115" s="33">
        <v>5.84</v>
      </c>
      <c r="N115" s="34">
        <v>1.0318021201413401</v>
      </c>
      <c r="O115" s="34">
        <v>1.0269470164915</v>
      </c>
      <c r="P115" s="34">
        <v>1.03038668967976</v>
      </c>
      <c r="Q115" s="34">
        <v>1.0275849827301999</v>
      </c>
      <c r="R115" s="33">
        <v>5.81252011334192</v>
      </c>
      <c r="S115" s="33">
        <v>5.8300682090420297</v>
      </c>
      <c r="T115" s="33">
        <v>5.8122973308533901</v>
      </c>
      <c r="U115" s="15">
        <v>-4.7165655727472696E-3</v>
      </c>
      <c r="V115" s="15">
        <v>-1.7020968820185701E-3</v>
      </c>
      <c r="W115" s="15">
        <v>-4.7548943447266803E-3</v>
      </c>
      <c r="X115" s="34">
        <v>1.0318021201413401</v>
      </c>
      <c r="Y115" s="34">
        <v>1.0269470164915</v>
      </c>
      <c r="Z115" s="34">
        <v>1.03038668967976</v>
      </c>
      <c r="AA115" s="34">
        <v>1.0275849827301999</v>
      </c>
      <c r="AB115" s="33">
        <v>5.81252011334192</v>
      </c>
      <c r="AC115" s="33">
        <v>5.8300682090420297</v>
      </c>
      <c r="AD115" s="33">
        <v>5.8122973308533901</v>
      </c>
      <c r="AE115" s="15">
        <v>-4.7165655727472696E-3</v>
      </c>
      <c r="AF115" s="15">
        <v>-1.7020968820185701E-3</v>
      </c>
      <c r="AG115" s="15">
        <v>-4.7548943447266803E-3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4.3933277893609485E-2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3.6916875253966253E-2</v>
      </c>
      <c r="BE115" s="29">
        <f t="shared" si="42"/>
        <v>0</v>
      </c>
      <c r="BF115" s="29">
        <f t="shared" si="43"/>
        <v>8.0850153147575737E-2</v>
      </c>
      <c r="BH115" s="29"/>
    </row>
    <row r="116" spans="1:60" x14ac:dyDescent="0.25">
      <c r="A116" s="1">
        <v>46190</v>
      </c>
      <c r="B116" s="33">
        <v>5.53</v>
      </c>
      <c r="C116" s="33">
        <v>5.7</v>
      </c>
      <c r="D116" s="15">
        <v>-2.3236076680848001E-2</v>
      </c>
      <c r="E116" s="15">
        <v>-2.4264621999631201E-2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5.53</v>
      </c>
      <c r="M116" s="33">
        <v>5.7</v>
      </c>
      <c r="N116" s="34">
        <v>1.03074141048824</v>
      </c>
      <c r="O116" s="34">
        <v>1.0269470164915</v>
      </c>
      <c r="P116" s="34">
        <v>1.0306306420493401</v>
      </c>
      <c r="Q116" s="34">
        <v>1.0279268341311101</v>
      </c>
      <c r="R116" s="33">
        <v>5.6790170011980203</v>
      </c>
      <c r="S116" s="33">
        <v>5.6980383939291102</v>
      </c>
      <c r="T116" s="33">
        <v>5.6825449544980504</v>
      </c>
      <c r="U116" s="15">
        <v>-3.68802025396423E-3</v>
      </c>
      <c r="V116" s="15">
        <v>-3.4420064619093699E-4</v>
      </c>
      <c r="W116" s="15">
        <v>-3.0669870849024E-3</v>
      </c>
      <c r="X116" s="34">
        <v>1.03074141048824</v>
      </c>
      <c r="Y116" s="34">
        <v>1.0269470164915</v>
      </c>
      <c r="Z116" s="34">
        <v>1.0306306420493401</v>
      </c>
      <c r="AA116" s="34">
        <v>1.0279268341311101</v>
      </c>
      <c r="AB116" s="33">
        <v>5.6790170011980203</v>
      </c>
      <c r="AC116" s="33">
        <v>5.6980383939291102</v>
      </c>
      <c r="AD116" s="33">
        <v>5.6825449544980504</v>
      </c>
      <c r="AE116" s="15">
        <v>-3.68802025396423E-3</v>
      </c>
      <c r="AF116" s="15">
        <v>-3.4420064619093699E-4</v>
      </c>
      <c r="AG116" s="15">
        <v>-3.0669870849024E-3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4.3933277893609485E-2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3.6916875253966253E-2</v>
      </c>
      <c r="BE116" s="29">
        <f t="shared" si="42"/>
        <v>0</v>
      </c>
      <c r="BF116" s="29">
        <f t="shared" si="43"/>
        <v>8.0850153147575737E-2</v>
      </c>
      <c r="BH116" s="29"/>
    </row>
    <row r="117" spans="1:60" x14ac:dyDescent="0.25">
      <c r="A117" s="1">
        <v>46191</v>
      </c>
      <c r="B117" s="33">
        <v>5.87</v>
      </c>
      <c r="C117" s="33">
        <v>6.06</v>
      </c>
      <c r="D117" s="15">
        <v>5.9666818305761697E-2</v>
      </c>
      <c r="E117" s="15">
        <v>6.1243625240718497E-2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5.87</v>
      </c>
      <c r="M117" s="33">
        <v>6.06</v>
      </c>
      <c r="N117" s="34">
        <v>1.0323679727427499</v>
      </c>
      <c r="O117" s="34">
        <v>1.0269470164915</v>
      </c>
      <c r="P117" s="34">
        <v>1.0307251103032899</v>
      </c>
      <c r="Q117" s="34">
        <v>1.0283523898258999</v>
      </c>
      <c r="R117" s="33">
        <v>6.0281789868051296</v>
      </c>
      <c r="S117" s="33">
        <v>6.04980186882967</v>
      </c>
      <c r="T117" s="33">
        <v>6.0339305163496402</v>
      </c>
      <c r="U117" s="15">
        <v>-5.2648271889210998E-3</v>
      </c>
      <c r="V117" s="15">
        <v>-1.6842775285049901E-3</v>
      </c>
      <c r="W117" s="15">
        <v>-4.3111747653709499E-3</v>
      </c>
      <c r="X117" s="34">
        <v>1.0323679727427499</v>
      </c>
      <c r="Y117" s="34">
        <v>1.0269470164915</v>
      </c>
      <c r="Z117" s="34">
        <v>1.0307251103032899</v>
      </c>
      <c r="AA117" s="34">
        <v>1.0283523898258999</v>
      </c>
      <c r="AB117" s="33">
        <v>6.0281789868051296</v>
      </c>
      <c r="AC117" s="33">
        <v>6.04980186882967</v>
      </c>
      <c r="AD117" s="33">
        <v>6.0339305163496402</v>
      </c>
      <c r="AE117" s="15">
        <v>-5.2648271889210998E-3</v>
      </c>
      <c r="AF117" s="15">
        <v>-1.6842775285049901E-3</v>
      </c>
      <c r="AG117" s="15">
        <v>-4.3111747653709499E-3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4.3933277893609485E-2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3.6916875253966253E-2</v>
      </c>
      <c r="BE117" s="29">
        <f t="shared" si="42"/>
        <v>0</v>
      </c>
      <c r="BF117" s="29">
        <f t="shared" si="43"/>
        <v>8.0850153147575737E-2</v>
      </c>
      <c r="BH117" s="29"/>
    </row>
    <row r="118" spans="1:60" x14ac:dyDescent="0.25">
      <c r="A118" s="1">
        <v>46195</v>
      </c>
      <c r="B118" s="33">
        <v>5.73</v>
      </c>
      <c r="C118" s="33">
        <v>5.91</v>
      </c>
      <c r="D118" s="15">
        <v>-2.4139103113356701E-2</v>
      </c>
      <c r="E118" s="15">
        <v>-2.5063968663216099E-2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5.73</v>
      </c>
      <c r="M118" s="33">
        <v>5.91</v>
      </c>
      <c r="N118" s="34">
        <v>1.0314136125654401</v>
      </c>
      <c r="O118" s="34">
        <v>1.0269470164915</v>
      </c>
      <c r="P118" s="34">
        <v>1.0307124826915599</v>
      </c>
      <c r="Q118" s="34">
        <v>1.02886740826608</v>
      </c>
      <c r="R118" s="33">
        <v>5.8844064044963202</v>
      </c>
      <c r="S118" s="33">
        <v>5.90605488203785</v>
      </c>
      <c r="T118" s="33">
        <v>5.8924591937024502</v>
      </c>
      <c r="U118" s="15">
        <v>-4.3399616390618198E-3</v>
      </c>
      <c r="V118" s="15">
        <v>-6.6775554922873098E-4</v>
      </c>
      <c r="W118" s="15">
        <v>-2.9724007385794398E-3</v>
      </c>
      <c r="X118" s="34">
        <v>1.0314136125654401</v>
      </c>
      <c r="Y118" s="34">
        <v>1.0269470164915</v>
      </c>
      <c r="Z118" s="34">
        <v>1.0307124826915599</v>
      </c>
      <c r="AA118" s="34">
        <v>1.02886740826608</v>
      </c>
      <c r="AB118" s="33">
        <v>5.8844064044963202</v>
      </c>
      <c r="AC118" s="33">
        <v>5.90605488203785</v>
      </c>
      <c r="AD118" s="33">
        <v>5.8924591937024502</v>
      </c>
      <c r="AE118" s="15">
        <v>-4.3399616390618198E-3</v>
      </c>
      <c r="AF118" s="15">
        <v>-6.6775554922873098E-4</v>
      </c>
      <c r="AG118" s="15">
        <v>-2.9724007385794398E-3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4.3933277893609485E-2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3.6916875253966253E-2</v>
      </c>
      <c r="BE118" s="29">
        <f t="shared" si="42"/>
        <v>0</v>
      </c>
      <c r="BF118" s="29">
        <f t="shared" si="43"/>
        <v>8.0850153147575737E-2</v>
      </c>
      <c r="BH118" s="29"/>
    </row>
    <row r="119" spans="1:60" x14ac:dyDescent="0.25">
      <c r="A119" s="1">
        <v>46196</v>
      </c>
      <c r="B119" s="33">
        <v>5.61</v>
      </c>
      <c r="C119" s="33">
        <v>5.78</v>
      </c>
      <c r="D119" s="15">
        <v>-2.1164811192043199E-2</v>
      </c>
      <c r="E119" s="15">
        <v>-2.2242148733720699E-2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5.61</v>
      </c>
      <c r="M119" s="33">
        <v>5.78</v>
      </c>
      <c r="N119" s="34">
        <v>1.0303030303030301</v>
      </c>
      <c r="O119" s="34">
        <v>1.0269470164915</v>
      </c>
      <c r="P119" s="34">
        <v>1.03065187663095</v>
      </c>
      <c r="Q119" s="34">
        <v>1.0294566338553</v>
      </c>
      <c r="R119" s="33">
        <v>5.7611727625173401</v>
      </c>
      <c r="S119" s="33">
        <v>5.7822970278996504</v>
      </c>
      <c r="T119" s="33">
        <v>5.7719461603727096</v>
      </c>
      <c r="U119" s="15">
        <v>-3.2626240973842599E-3</v>
      </c>
      <c r="V119" s="15">
        <v>3.9733072491241801E-4</v>
      </c>
      <c r="W119" s="15">
        <v>-1.39436954092088E-3</v>
      </c>
      <c r="X119" s="34">
        <v>1.0303030303030301</v>
      </c>
      <c r="Y119" s="34">
        <v>1.0269470164915</v>
      </c>
      <c r="Z119" s="34">
        <v>1.03065187663095</v>
      </c>
      <c r="AA119" s="34">
        <v>1.0294566338553</v>
      </c>
      <c r="AB119" s="33">
        <v>5.7611727625173401</v>
      </c>
      <c r="AC119" s="33">
        <v>5.7822970278996504</v>
      </c>
      <c r="AD119" s="33">
        <v>5.7719461603727096</v>
      </c>
      <c r="AE119" s="15">
        <v>-3.2626240973842599E-3</v>
      </c>
      <c r="AF119" s="15">
        <v>3.9733072491241801E-4</v>
      </c>
      <c r="AG119" s="15">
        <v>-1.39436954092088E-3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4.3933277893609485E-2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3.6916875253966253E-2</v>
      </c>
      <c r="BE119" s="29">
        <f t="shared" si="42"/>
        <v>0</v>
      </c>
      <c r="BF119" s="29">
        <f t="shared" si="43"/>
        <v>8.0850153147575737E-2</v>
      </c>
      <c r="BH119" s="29"/>
    </row>
    <row r="120" spans="1:60" x14ac:dyDescent="0.25">
      <c r="A120" s="1">
        <v>46197</v>
      </c>
      <c r="B120" s="33">
        <v>5.88</v>
      </c>
      <c r="C120" s="33">
        <v>6.06</v>
      </c>
      <c r="D120" s="15">
        <v>4.70060423759305E-2</v>
      </c>
      <c r="E120" s="15">
        <v>4.7306117396936798E-2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5.88</v>
      </c>
      <c r="M120" s="33">
        <v>6.06</v>
      </c>
      <c r="N120" s="34">
        <v>1.03061224489795</v>
      </c>
      <c r="O120" s="34">
        <v>1.0269470164915</v>
      </c>
      <c r="P120" s="34">
        <v>1.0306827980904401</v>
      </c>
      <c r="Q120" s="34">
        <v>1.02981183922859</v>
      </c>
      <c r="R120" s="33">
        <v>6.0384484569700501</v>
      </c>
      <c r="S120" s="33">
        <v>6.0602330345900102</v>
      </c>
      <c r="T120" s="33">
        <v>6.0532050070691898</v>
      </c>
      <c r="U120" s="15">
        <v>-3.5626991183907802E-3</v>
      </c>
      <c r="V120" s="15">
        <v>3.84538134502371E-5</v>
      </c>
      <c r="W120" s="15">
        <v>-1.1219150736028599E-3</v>
      </c>
      <c r="X120" s="34">
        <v>1.03061224489795</v>
      </c>
      <c r="Y120" s="34">
        <v>1.0269470164915</v>
      </c>
      <c r="Z120" s="34">
        <v>1.0306827980904401</v>
      </c>
      <c r="AA120" s="34">
        <v>1.02981183922859</v>
      </c>
      <c r="AB120" s="33">
        <v>6.0384484569700501</v>
      </c>
      <c r="AC120" s="33">
        <v>6.0602330345900102</v>
      </c>
      <c r="AD120" s="33">
        <v>6.0532050070691898</v>
      </c>
      <c r="AE120" s="15">
        <v>-3.5626991183907802E-3</v>
      </c>
      <c r="AF120" s="15">
        <v>3.84538134502371E-5</v>
      </c>
      <c r="AG120" s="15">
        <v>-1.1219150736028599E-3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4.3933277893609485E-2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3.6916875253966253E-2</v>
      </c>
      <c r="BE120" s="29">
        <f t="shared" si="42"/>
        <v>0</v>
      </c>
      <c r="BF120" s="29">
        <f t="shared" si="43"/>
        <v>8.0850153147575737E-2</v>
      </c>
      <c r="BH120" s="29"/>
    </row>
    <row r="121" spans="1:60" x14ac:dyDescent="0.25">
      <c r="A121" s="1">
        <v>46198</v>
      </c>
      <c r="B121" s="33">
        <v>5.89</v>
      </c>
      <c r="C121" s="33">
        <v>6.08</v>
      </c>
      <c r="D121" s="15">
        <v>1.69923575295984E-3</v>
      </c>
      <c r="E121" s="15">
        <v>3.2948958968527001E-3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5.89</v>
      </c>
      <c r="M121" s="33">
        <v>6.08</v>
      </c>
      <c r="N121" s="34">
        <v>1.0322580645161199</v>
      </c>
      <c r="O121" s="34">
        <v>1.0269470164915</v>
      </c>
      <c r="P121" s="34">
        <v>1.03083446349323</v>
      </c>
      <c r="Q121" s="34">
        <v>1.0301836077026201</v>
      </c>
      <c r="R121" s="33">
        <v>6.0487179271349598</v>
      </c>
      <c r="S121" s="33">
        <v>6.0707216807527304</v>
      </c>
      <c r="T121" s="33">
        <v>6.0655917330564098</v>
      </c>
      <c r="U121" s="15">
        <v>-5.1583592622835997E-3</v>
      </c>
      <c r="V121" s="15">
        <v>-1.5272049338967101E-3</v>
      </c>
      <c r="W121" s="15">
        <v>-2.3725931217136102E-3</v>
      </c>
      <c r="X121" s="34">
        <v>1.0322580645161199</v>
      </c>
      <c r="Y121" s="34">
        <v>1.0269470164915</v>
      </c>
      <c r="Z121" s="34">
        <v>1.03083446349323</v>
      </c>
      <c r="AA121" s="34">
        <v>1.0301836077026201</v>
      </c>
      <c r="AB121" s="33">
        <v>6.0487179271349598</v>
      </c>
      <c r="AC121" s="33">
        <v>6.0707216807527304</v>
      </c>
      <c r="AD121" s="33">
        <v>6.0655917330564098</v>
      </c>
      <c r="AE121" s="15">
        <v>-5.1583592622835997E-3</v>
      </c>
      <c r="AF121" s="15">
        <v>-1.5272049338967101E-3</v>
      </c>
      <c r="AG121" s="15">
        <v>-2.3725931217136102E-3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4.3933277893609485E-2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3.6916875253966253E-2</v>
      </c>
      <c r="BE121" s="29">
        <f t="shared" si="42"/>
        <v>0</v>
      </c>
      <c r="BF121" s="29">
        <f t="shared" si="43"/>
        <v>8.0850153147575737E-2</v>
      </c>
      <c r="BH121" s="29"/>
    </row>
    <row r="122" spans="1:60" x14ac:dyDescent="0.25">
      <c r="A122" s="1">
        <v>46199</v>
      </c>
      <c r="B122" s="33">
        <v>6.05</v>
      </c>
      <c r="C122" s="33">
        <v>6.3</v>
      </c>
      <c r="D122" s="15">
        <v>2.6802274379254701E-2</v>
      </c>
      <c r="E122" s="15">
        <v>3.5544937419411199E-2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6.05</v>
      </c>
      <c r="M122" s="33">
        <v>6.3</v>
      </c>
      <c r="N122" s="34">
        <v>1.04132231404958</v>
      </c>
      <c r="O122" s="34">
        <v>1.0269470164915</v>
      </c>
      <c r="P122" s="34">
        <v>1.03187921633901</v>
      </c>
      <c r="Q122" s="34">
        <v>1.03096547682976</v>
      </c>
      <c r="R122" s="33">
        <v>6.21302944977361</v>
      </c>
      <c r="S122" s="33">
        <v>6.2365485041340696</v>
      </c>
      <c r="T122" s="33">
        <v>6.2326108266008902</v>
      </c>
      <c r="U122" s="15">
        <v>-1.3901022302440001E-2</v>
      </c>
      <c r="V122" s="15">
        <v>-1.01227283833369E-2</v>
      </c>
      <c r="W122" s="15">
        <v>-1.07543150941377E-2</v>
      </c>
      <c r="X122" s="34">
        <v>1.04132231404958</v>
      </c>
      <c r="Y122" s="34">
        <v>1.0269470164915</v>
      </c>
      <c r="Z122" s="34">
        <v>1.03187921633901</v>
      </c>
      <c r="AA122" s="34">
        <v>1.03096547682976</v>
      </c>
      <c r="AB122" s="33">
        <v>6.21302944977361</v>
      </c>
      <c r="AC122" s="33">
        <v>6.2365485041340696</v>
      </c>
      <c r="AD122" s="33">
        <v>6.2326108266008902</v>
      </c>
      <c r="AE122" s="15">
        <v>-1.3901022302440001E-2</v>
      </c>
      <c r="AF122" s="15">
        <v>-1.01227283833369E-2</v>
      </c>
      <c r="AG122" s="15">
        <v>-1.07543150941377E-2</v>
      </c>
      <c r="AI122" s="12"/>
      <c r="AJ122">
        <f t="shared" si="26"/>
        <v>1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4.3933277893609485E-2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3.6916875253966253E-2</v>
      </c>
      <c r="BE122" s="29">
        <f t="shared" si="42"/>
        <v>0</v>
      </c>
      <c r="BF122" s="29">
        <f t="shared" si="43"/>
        <v>8.0850153147575737E-2</v>
      </c>
      <c r="BH122" s="29"/>
    </row>
    <row r="123" spans="1:60" x14ac:dyDescent="0.25">
      <c r="A123" s="1">
        <v>46202</v>
      </c>
      <c r="B123" s="33">
        <v>5.98</v>
      </c>
      <c r="C123" s="33">
        <v>6.19</v>
      </c>
      <c r="D123" s="15">
        <v>-1.1637704080209499E-2</v>
      </c>
      <c r="E123" s="15">
        <v>-1.7614546700982201E-2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5.98</v>
      </c>
      <c r="M123" s="33">
        <v>6.19</v>
      </c>
      <c r="N123" s="34">
        <v>1.0351170568561801</v>
      </c>
      <c r="O123" s="34">
        <v>1.0269470164915</v>
      </c>
      <c r="P123" s="34">
        <v>1.03249976556205</v>
      </c>
      <c r="Q123" s="34">
        <v>1.0314996891839101</v>
      </c>
      <c r="R123" s="33">
        <v>6.1411431586192</v>
      </c>
      <c r="S123" s="33">
        <v>6.1706377137073201</v>
      </c>
      <c r="T123" s="33">
        <v>6.1651735514419901</v>
      </c>
      <c r="U123" s="15">
        <v>-7.9241796816675002E-3</v>
      </c>
      <c r="V123" s="15">
        <v>-3.1328969553092098E-3</v>
      </c>
      <c r="W123" s="15">
        <v>-4.0187993909503198E-3</v>
      </c>
      <c r="X123" s="34">
        <v>1.0351170568561801</v>
      </c>
      <c r="Y123" s="34">
        <v>1.0269470164915</v>
      </c>
      <c r="Z123" s="34">
        <v>1.03249976556205</v>
      </c>
      <c r="AA123" s="34">
        <v>1.0314996891839101</v>
      </c>
      <c r="AB123" s="33">
        <v>6.1411431586192</v>
      </c>
      <c r="AC123" s="33">
        <v>6.1706377137073201</v>
      </c>
      <c r="AD123" s="33">
        <v>6.1651735514419901</v>
      </c>
      <c r="AE123" s="15">
        <v>-7.9241796816675002E-3</v>
      </c>
      <c r="AF123" s="15">
        <v>-3.1328969553092098E-3</v>
      </c>
      <c r="AG123" s="15">
        <v>-4.0187993909503198E-3</v>
      </c>
      <c r="AI123" s="12"/>
      <c r="AJ123">
        <f t="shared" si="26"/>
        <v>0</v>
      </c>
      <c r="AK123">
        <f t="shared" si="27"/>
        <v>0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-1.1637704080209499E-2</v>
      </c>
      <c r="AP123" s="28">
        <f t="shared" si="29"/>
        <v>1.7614546700982201E-2</v>
      </c>
      <c r="AQ123" s="28">
        <f t="shared" si="36"/>
        <v>5.9768426207727019E-3</v>
      </c>
      <c r="AR123" s="29">
        <f t="shared" si="37"/>
        <v>4.9910120514382185E-2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3.6916875253966253E-2</v>
      </c>
      <c r="BE123" s="29">
        <f t="shared" si="42"/>
        <v>5.9768426207727019E-3</v>
      </c>
      <c r="BF123" s="29">
        <f t="shared" si="43"/>
        <v>8.6826995768348444E-2</v>
      </c>
      <c r="BH123" s="29"/>
    </row>
    <row r="124" spans="1:60" x14ac:dyDescent="0.25">
      <c r="A124" s="1">
        <v>46203</v>
      </c>
      <c r="B124" s="33">
        <v>6.22</v>
      </c>
      <c r="C124" s="33">
        <v>6.39</v>
      </c>
      <c r="D124" s="15">
        <v>3.93493387885476E-2</v>
      </c>
      <c r="E124" s="15">
        <v>3.1799181692938598E-2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6.22</v>
      </c>
      <c r="M124" s="33">
        <v>6.39</v>
      </c>
      <c r="N124" s="34">
        <v>1.0273311897106101</v>
      </c>
      <c r="O124" s="34">
        <v>1.0269470164915</v>
      </c>
      <c r="P124" s="34">
        <v>1.0323269016271199</v>
      </c>
      <c r="Q124" s="34">
        <v>1.0311871441918301</v>
      </c>
      <c r="R124" s="33">
        <v>6.3876104425771603</v>
      </c>
      <c r="S124" s="33">
        <v>6.4221485417959503</v>
      </c>
      <c r="T124" s="33">
        <v>6.4159280667239598</v>
      </c>
      <c r="U124" s="15">
        <v>-3.7402258605858302E-4</v>
      </c>
      <c r="V124" s="15">
        <v>5.01845715612369E-3</v>
      </c>
      <c r="W124" s="15">
        <v>4.0493905664037997E-3</v>
      </c>
      <c r="X124" s="34">
        <v>1.0273311897106101</v>
      </c>
      <c r="Y124" s="34">
        <v>1.0269470164915</v>
      </c>
      <c r="Z124" s="34">
        <v>1.0323269016271199</v>
      </c>
      <c r="AA124" s="34">
        <v>1.0311871441918301</v>
      </c>
      <c r="AB124" s="33">
        <v>6.3876104425771603</v>
      </c>
      <c r="AC124" s="33">
        <v>6.4221485417959503</v>
      </c>
      <c r="AD124" s="33">
        <v>6.4159280667239598</v>
      </c>
      <c r="AE124" s="15">
        <v>-3.7402258605858302E-4</v>
      </c>
      <c r="AF124" s="15">
        <v>5.01845715612369E-3</v>
      </c>
      <c r="AG124" s="15">
        <v>4.0493905664037997E-3</v>
      </c>
      <c r="AI124" s="12"/>
      <c r="AJ124">
        <f t="shared" si="26"/>
        <v>0</v>
      </c>
      <c r="AK124">
        <f t="shared" si="27"/>
        <v>1</v>
      </c>
      <c r="AL124">
        <f t="shared" si="34"/>
        <v>1</v>
      </c>
      <c r="AM124">
        <f t="shared" si="24"/>
        <v>1</v>
      </c>
      <c r="AN124">
        <f t="shared" si="35"/>
        <v>1</v>
      </c>
      <c r="AO124" s="28">
        <f t="shared" si="28"/>
        <v>3.93493387885476E-2</v>
      </c>
      <c r="AP124" s="28">
        <f t="shared" si="29"/>
        <v>-3.1799181692938598E-2</v>
      </c>
      <c r="AQ124" s="28">
        <f t="shared" si="36"/>
        <v>7.5501570956090017E-3</v>
      </c>
      <c r="AR124" s="29">
        <f t="shared" si="37"/>
        <v>5.7460277609991187E-2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3.6916875253966253E-2</v>
      </c>
      <c r="BE124" s="29">
        <f t="shared" si="42"/>
        <v>7.5501570956090017E-3</v>
      </c>
      <c r="BF124" s="29">
        <f t="shared" si="43"/>
        <v>9.4377152863957453E-2</v>
      </c>
      <c r="BH124" s="29"/>
    </row>
    <row r="125" spans="1:60" x14ac:dyDescent="0.25">
      <c r="A125" s="1">
        <v>46204</v>
      </c>
      <c r="B125" s="33">
        <v>6.39</v>
      </c>
      <c r="C125" s="33">
        <v>6.58</v>
      </c>
      <c r="D125" s="15">
        <v>2.6964361638355399E-2</v>
      </c>
      <c r="E125" s="15">
        <v>2.9300476947782299E-2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6.39</v>
      </c>
      <c r="M125" s="33">
        <v>6.58</v>
      </c>
      <c r="N125" s="34">
        <v>1.0297339593114201</v>
      </c>
      <c r="O125" s="34">
        <v>1.0269470164915</v>
      </c>
      <c r="P125" s="34">
        <v>1.0321200855441299</v>
      </c>
      <c r="Q125" s="34">
        <v>1.0312533876119501</v>
      </c>
      <c r="R125" s="33">
        <v>6.5621914353807203</v>
      </c>
      <c r="S125" s="33">
        <v>6.5965689013973501</v>
      </c>
      <c r="T125" s="33">
        <v>6.5892858513858297</v>
      </c>
      <c r="U125" s="15">
        <v>-2.7101378954857199E-3</v>
      </c>
      <c r="V125" s="15">
        <v>2.5149050946705501E-3</v>
      </c>
      <c r="W125" s="15">
        <v>1.4102287746741899E-3</v>
      </c>
      <c r="X125" s="34">
        <v>1.0297339593114201</v>
      </c>
      <c r="Y125" s="34">
        <v>1.0269470164915</v>
      </c>
      <c r="Z125" s="34">
        <v>1.0321200855441299</v>
      </c>
      <c r="AA125" s="34">
        <v>1.0312533876119501</v>
      </c>
      <c r="AB125" s="33">
        <v>6.5621914353807203</v>
      </c>
      <c r="AC125" s="33">
        <v>6.5965689013973501</v>
      </c>
      <c r="AD125" s="33">
        <v>6.5892858513858297</v>
      </c>
      <c r="AE125" s="15">
        <v>-2.7101378954857199E-3</v>
      </c>
      <c r="AF125" s="15">
        <v>2.5149050946705501E-3</v>
      </c>
      <c r="AG125" s="15">
        <v>1.4102287746741899E-3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5.7460277609991187E-2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3.6916875253966253E-2</v>
      </c>
      <c r="BE125" s="29">
        <f t="shared" si="42"/>
        <v>0</v>
      </c>
      <c r="BF125" s="29">
        <f t="shared" si="43"/>
        <v>9.4377152863957453E-2</v>
      </c>
      <c r="BH125" s="29"/>
    </row>
    <row r="126" spans="1:60" x14ac:dyDescent="0.25">
      <c r="A126" s="1">
        <v>46205</v>
      </c>
      <c r="B126" s="33">
        <v>6.48</v>
      </c>
      <c r="C126" s="33">
        <v>6.63</v>
      </c>
      <c r="D126" s="15">
        <v>1.398624197474E-2</v>
      </c>
      <c r="E126" s="15">
        <v>7.5700588605452897E-3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6.48</v>
      </c>
      <c r="M126" s="33">
        <v>6.63</v>
      </c>
      <c r="N126" s="34">
        <v>1.0231481481481399</v>
      </c>
      <c r="O126" s="34">
        <v>1.0269470164915</v>
      </c>
      <c r="P126" s="34">
        <v>1.0313607593101199</v>
      </c>
      <c r="Q126" s="34">
        <v>1.0309957006797299</v>
      </c>
      <c r="R126" s="33">
        <v>6.6546166668649498</v>
      </c>
      <c r="S126" s="33">
        <v>6.6881381543260101</v>
      </c>
      <c r="T126" s="33">
        <v>6.6825219517254499</v>
      </c>
      <c r="U126" s="15">
        <v>3.7060452187090902E-3</v>
      </c>
      <c r="V126" s="15">
        <v>8.7307284176294103E-3</v>
      </c>
      <c r="W126" s="15">
        <v>7.8906497848159306E-3</v>
      </c>
      <c r="X126" s="34">
        <v>1.0231481481481399</v>
      </c>
      <c r="Y126" s="34">
        <v>1.0269470164915</v>
      </c>
      <c r="Z126" s="34">
        <v>1.0313607593101199</v>
      </c>
      <c r="AA126" s="34">
        <v>1.0309957006797299</v>
      </c>
      <c r="AB126" s="33">
        <v>6.6546166668649498</v>
      </c>
      <c r="AC126" s="33">
        <v>6.6881381543260101</v>
      </c>
      <c r="AD126" s="33">
        <v>6.6825219517254499</v>
      </c>
      <c r="AE126" s="15">
        <v>3.7060452187090902E-3</v>
      </c>
      <c r="AF126" s="15">
        <v>8.7307284176294103E-3</v>
      </c>
      <c r="AG126" s="15">
        <v>7.8906497848159306E-3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5.7460277609991187E-2</v>
      </c>
      <c r="AT126" s="12"/>
      <c r="AU126">
        <f t="shared" si="30"/>
        <v>1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3.6916875253966253E-2</v>
      </c>
      <c r="BE126" s="29">
        <f t="shared" si="42"/>
        <v>0</v>
      </c>
      <c r="BF126" s="29">
        <f t="shared" si="43"/>
        <v>9.4377152863957453E-2</v>
      </c>
      <c r="BH126" s="29"/>
    </row>
    <row r="127" spans="1:60" x14ac:dyDescent="0.25">
      <c r="A127" s="1">
        <v>46209</v>
      </c>
      <c r="B127" s="33">
        <v>6.64</v>
      </c>
      <c r="C127" s="33">
        <v>6.81</v>
      </c>
      <c r="D127" s="15">
        <v>2.4391453124158999E-2</v>
      </c>
      <c r="E127" s="15">
        <v>2.6787315963649701E-2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6.64</v>
      </c>
      <c r="M127" s="33">
        <v>6.81</v>
      </c>
      <c r="N127" s="34">
        <v>1.0256024096385501</v>
      </c>
      <c r="O127" s="34">
        <v>1.0269470164915</v>
      </c>
      <c r="P127" s="34">
        <v>1.0306842029997001</v>
      </c>
      <c r="Q127" s="34">
        <v>1.0307046566514899</v>
      </c>
      <c r="R127" s="33">
        <v>6.8189281895035903</v>
      </c>
      <c r="S127" s="33">
        <v>6.8482354418192504</v>
      </c>
      <c r="T127" s="33">
        <v>6.8458114525134501</v>
      </c>
      <c r="U127" s="15">
        <v>1.3101823792184E-3</v>
      </c>
      <c r="V127" s="15">
        <v>5.5988991937864904E-3</v>
      </c>
      <c r="W127" s="15">
        <v>5.24487830429875E-3</v>
      </c>
      <c r="X127" s="34">
        <v>1.0256024096385501</v>
      </c>
      <c r="Y127" s="34">
        <v>1.0269470164915</v>
      </c>
      <c r="Z127" s="34">
        <v>1.0306842029997001</v>
      </c>
      <c r="AA127" s="34">
        <v>1.0307046566514899</v>
      </c>
      <c r="AB127" s="33">
        <v>6.8189281895035903</v>
      </c>
      <c r="AC127" s="33">
        <v>6.8482354418192504</v>
      </c>
      <c r="AD127" s="33">
        <v>6.8458114525134501</v>
      </c>
      <c r="AE127" s="15">
        <v>1.3101823792184E-3</v>
      </c>
      <c r="AF127" s="15">
        <v>5.5988991937864904E-3</v>
      </c>
      <c r="AG127" s="15">
        <v>5.24487830429875E-3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5.7460277609991187E-2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-2.4391453124158999E-2</v>
      </c>
      <c r="BA127" s="28">
        <f t="shared" si="33"/>
        <v>2.6787315963649701E-2</v>
      </c>
      <c r="BB127" s="28">
        <f t="shared" si="40"/>
        <v>2.3958628394907013E-3</v>
      </c>
      <c r="BC127" s="29">
        <f t="shared" si="41"/>
        <v>3.931273809345695E-2</v>
      </c>
      <c r="BE127" s="29">
        <f t="shared" si="42"/>
        <v>2.3958628394907013E-3</v>
      </c>
      <c r="BF127" s="29">
        <f t="shared" si="43"/>
        <v>9.6773015703448151E-2</v>
      </c>
      <c r="BH127" s="29"/>
    </row>
    <row r="128" spans="1:60" x14ac:dyDescent="0.25">
      <c r="A128" s="1">
        <v>46210</v>
      </c>
      <c r="B128" s="33">
        <v>6.57</v>
      </c>
      <c r="C128" s="33">
        <v>6.74</v>
      </c>
      <c r="D128" s="15">
        <v>-1.0598130991823201E-2</v>
      </c>
      <c r="E128" s="15">
        <v>-1.03321952372051E-2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6.57</v>
      </c>
      <c r="M128" s="33">
        <v>6.74</v>
      </c>
      <c r="N128" s="34">
        <v>1.02587519025875</v>
      </c>
      <c r="O128" s="34">
        <v>1.0269470164915</v>
      </c>
      <c r="P128" s="34">
        <v>1.03013036076903</v>
      </c>
      <c r="Q128" s="34">
        <v>1.0304214217302901</v>
      </c>
      <c r="R128" s="33">
        <v>6.74704189834919</v>
      </c>
      <c r="S128" s="33">
        <v>6.7715952137080704</v>
      </c>
      <c r="T128" s="33">
        <v>6.7717295942003402</v>
      </c>
      <c r="U128" s="15">
        <v>1.04424662460033E-3</v>
      </c>
      <c r="V128" s="15">
        <v>4.67676403802662E-3</v>
      </c>
      <c r="W128" s="15">
        <v>4.69660857312869E-3</v>
      </c>
      <c r="X128" s="34">
        <v>1.02587519025875</v>
      </c>
      <c r="Y128" s="34">
        <v>1.0269470164915</v>
      </c>
      <c r="Z128" s="34">
        <v>1.03013036076903</v>
      </c>
      <c r="AA128" s="34">
        <v>1.0304214217302901</v>
      </c>
      <c r="AB128" s="33">
        <v>6.74704189834919</v>
      </c>
      <c r="AC128" s="33">
        <v>6.7715952137080704</v>
      </c>
      <c r="AD128" s="33">
        <v>6.7717295942003402</v>
      </c>
      <c r="AE128" s="15">
        <v>1.04424662460033E-3</v>
      </c>
      <c r="AF128" s="15">
        <v>4.67676403802662E-3</v>
      </c>
      <c r="AG128" s="15">
        <v>4.69660857312869E-3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5.7460277609991187E-2</v>
      </c>
      <c r="AT128" s="12"/>
      <c r="AU128">
        <f t="shared" si="30"/>
        <v>0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1.0598130991823201E-2</v>
      </c>
      <c r="BA128" s="28">
        <f t="shared" si="33"/>
        <v>-1.03321952372051E-2</v>
      </c>
      <c r="BB128" s="28">
        <f t="shared" si="40"/>
        <v>2.6593575461810078E-4</v>
      </c>
      <c r="BC128" s="29">
        <f t="shared" si="41"/>
        <v>3.9578673848075049E-2</v>
      </c>
      <c r="BE128" s="29">
        <f t="shared" si="42"/>
        <v>2.6593575461810078E-4</v>
      </c>
      <c r="BF128" s="29">
        <f t="shared" si="43"/>
        <v>9.703895145806625E-2</v>
      </c>
      <c r="BH128" s="29"/>
    </row>
    <row r="129" spans="1:60" x14ac:dyDescent="0.25">
      <c r="A129" s="1">
        <v>46211</v>
      </c>
      <c r="B129" s="33">
        <v>6.32</v>
      </c>
      <c r="C129" s="33">
        <v>6.47</v>
      </c>
      <c r="D129" s="15">
        <v>-3.8794624337753103E-2</v>
      </c>
      <c r="E129" s="15">
        <v>-4.0883816411406503E-2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6.32</v>
      </c>
      <c r="M129" s="33">
        <v>6.47</v>
      </c>
      <c r="N129" s="34">
        <v>1.02373417721518</v>
      </c>
      <c r="O129" s="34">
        <v>1.0269470164915</v>
      </c>
      <c r="P129" s="34">
        <v>1.0294734754602499</v>
      </c>
      <c r="Q129" s="34">
        <v>1.0300626760456</v>
      </c>
      <c r="R129" s="33">
        <v>6.4903051442263102</v>
      </c>
      <c r="S129" s="33">
        <v>6.51042388006032</v>
      </c>
      <c r="T129" s="33">
        <v>6.5122633853354897</v>
      </c>
      <c r="U129" s="15">
        <v>3.1334386982536698E-3</v>
      </c>
      <c r="V129" s="15">
        <v>6.2284577324076299E-3</v>
      </c>
      <c r="W129" s="15">
        <v>6.5109655205344199E-3</v>
      </c>
      <c r="X129" s="34">
        <v>1.02373417721518</v>
      </c>
      <c r="Y129" s="34">
        <v>1.0269470164915</v>
      </c>
      <c r="Z129" s="34">
        <v>1.0294734754602499</v>
      </c>
      <c r="AA129" s="34">
        <v>1.0300626760456</v>
      </c>
      <c r="AB129" s="33">
        <v>6.4903051442263102</v>
      </c>
      <c r="AC129" s="33">
        <v>6.51042388006032</v>
      </c>
      <c r="AD129" s="33">
        <v>6.5122633853354897</v>
      </c>
      <c r="AE129" s="15">
        <v>3.1334386982536698E-3</v>
      </c>
      <c r="AF129" s="15">
        <v>6.2284577324076299E-3</v>
      </c>
      <c r="AG129" s="15">
        <v>6.5109655205344199E-3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5.7460277609991187E-2</v>
      </c>
      <c r="AT129" s="12"/>
      <c r="AU129">
        <f t="shared" si="30"/>
        <v>1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3.8794624337753103E-2</v>
      </c>
      <c r="BA129" s="28">
        <f t="shared" si="33"/>
        <v>-4.0883816411406503E-2</v>
      </c>
      <c r="BB129" s="28">
        <f t="shared" si="40"/>
        <v>-2.0891920736533995E-3</v>
      </c>
      <c r="BC129" s="29">
        <f t="shared" si="41"/>
        <v>3.748948177442165E-2</v>
      </c>
      <c r="BE129" s="29">
        <f t="shared" si="42"/>
        <v>-2.0891920736533995E-3</v>
      </c>
      <c r="BF129" s="29">
        <f t="shared" si="43"/>
        <v>9.4949759384412857E-2</v>
      </c>
      <c r="BH129" s="29"/>
    </row>
    <row r="130" spans="1:60" x14ac:dyDescent="0.25">
      <c r="A130" s="1">
        <v>46212</v>
      </c>
      <c r="B130" s="33">
        <v>6.45</v>
      </c>
      <c r="C130" s="33">
        <v>6.59</v>
      </c>
      <c r="D130" s="15">
        <v>2.0360922648914901E-2</v>
      </c>
      <c r="E130" s="15">
        <v>1.83772400016067E-2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6.45</v>
      </c>
      <c r="M130" s="33">
        <v>6.59</v>
      </c>
      <c r="N130" s="34">
        <v>1.0217054263565799</v>
      </c>
      <c r="O130" s="34">
        <v>1.0269470164915</v>
      </c>
      <c r="P130" s="34">
        <v>1.02858279360611</v>
      </c>
      <c r="Q130" s="34">
        <v>1.02963279584828</v>
      </c>
      <c r="R130" s="33">
        <v>6.6238082563702099</v>
      </c>
      <c r="S130" s="33">
        <v>6.6401039167186298</v>
      </c>
      <c r="T130" s="33">
        <v>6.6439042604941401</v>
      </c>
      <c r="U130" s="15">
        <v>5.1171213455621202E-3</v>
      </c>
      <c r="V130" s="15">
        <v>7.5742649596937496E-3</v>
      </c>
      <c r="W130" s="15">
        <v>8.1464332132044799E-3</v>
      </c>
      <c r="X130" s="34">
        <v>1.0217054263565799</v>
      </c>
      <c r="Y130" s="34">
        <v>1.0269470164915</v>
      </c>
      <c r="Z130" s="34">
        <v>1.02858279360611</v>
      </c>
      <c r="AA130" s="34">
        <v>1.02963279584828</v>
      </c>
      <c r="AB130" s="33">
        <v>6.6238082563702099</v>
      </c>
      <c r="AC130" s="33">
        <v>6.6401039167186298</v>
      </c>
      <c r="AD130" s="33">
        <v>6.6439042604941401</v>
      </c>
      <c r="AE130" s="15">
        <v>5.1171213455621202E-3</v>
      </c>
      <c r="AF130" s="15">
        <v>7.5742649596937496E-3</v>
      </c>
      <c r="AG130" s="15">
        <v>8.1464332132044799E-3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5.7460277609991187E-2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-2.0360922648914901E-2</v>
      </c>
      <c r="BA130" s="28">
        <f t="shared" si="33"/>
        <v>1.83772400016067E-2</v>
      </c>
      <c r="BB130" s="28">
        <f t="shared" si="40"/>
        <v>-1.9836826473082006E-3</v>
      </c>
      <c r="BC130" s="29">
        <f t="shared" si="41"/>
        <v>3.5505799127113449E-2</v>
      </c>
      <c r="BE130" s="29">
        <f t="shared" si="42"/>
        <v>-1.9836826473082006E-3</v>
      </c>
      <c r="BF130" s="29">
        <f t="shared" si="43"/>
        <v>9.2966076737104664E-2</v>
      </c>
      <c r="BH130" s="29"/>
    </row>
    <row r="131" spans="1:60" x14ac:dyDescent="0.25">
      <c r="A131" s="1">
        <v>46213</v>
      </c>
      <c r="B131" s="33">
        <v>6.61</v>
      </c>
      <c r="C131" s="33">
        <v>6.79</v>
      </c>
      <c r="D131" s="15">
        <v>2.45035230559137E-2</v>
      </c>
      <c r="E131" s="15">
        <v>2.98975930561888E-2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6.61</v>
      </c>
      <c r="M131" s="33">
        <v>6.79</v>
      </c>
      <c r="N131" s="34">
        <v>1.0272314674735199</v>
      </c>
      <c r="O131" s="34">
        <v>1.0269470164915</v>
      </c>
      <c r="P131" s="34">
        <v>1.0280801339018499</v>
      </c>
      <c r="Q131" s="34">
        <v>1.0294572986975401</v>
      </c>
      <c r="R131" s="33">
        <v>6.7881197790088503</v>
      </c>
      <c r="S131" s="33">
        <v>6.7989322657364299</v>
      </c>
      <c r="T131" s="33">
        <v>6.8058727805571397</v>
      </c>
      <c r="U131" s="15">
        <v>-2.7694865471295302E-4</v>
      </c>
      <c r="V131" s="15">
        <v>1.3146385379234299E-3</v>
      </c>
      <c r="W131" s="15">
        <v>2.3349420849712301E-3</v>
      </c>
      <c r="X131" s="34">
        <v>1.0272314674735199</v>
      </c>
      <c r="Y131" s="34">
        <v>1.0269470164915</v>
      </c>
      <c r="Z131" s="34">
        <v>1.0280801339018499</v>
      </c>
      <c r="AA131" s="34">
        <v>1.0294572986975401</v>
      </c>
      <c r="AB131" s="33">
        <v>6.7881197790088503</v>
      </c>
      <c r="AC131" s="33">
        <v>6.7989322657364299</v>
      </c>
      <c r="AD131" s="33">
        <v>6.8058727805571397</v>
      </c>
      <c r="AE131" s="15">
        <v>-2.7694865471295302E-4</v>
      </c>
      <c r="AF131" s="15">
        <v>1.3146385379234299E-3</v>
      </c>
      <c r="AG131" s="15">
        <v>2.3349420849712301E-3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5.7460277609991187E-2</v>
      </c>
      <c r="AT131" s="12"/>
      <c r="AU131">
        <f t="shared" si="30"/>
        <v>0</v>
      </c>
      <c r="AV131">
        <f t="shared" si="31"/>
        <v>1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-2.45035230559137E-2</v>
      </c>
      <c r="BA131" s="28">
        <f t="shared" si="33"/>
        <v>2.98975930561888E-2</v>
      </c>
      <c r="BB131" s="28">
        <f t="shared" si="40"/>
        <v>5.3940700002751002E-3</v>
      </c>
      <c r="BC131" s="29">
        <f t="shared" si="41"/>
        <v>4.089986912738855E-2</v>
      </c>
      <c r="BE131" s="29">
        <f t="shared" si="42"/>
        <v>5.3940700002751002E-3</v>
      </c>
      <c r="BF131" s="29">
        <f t="shared" si="43"/>
        <v>9.8360146737379764E-2</v>
      </c>
      <c r="BH131" s="29"/>
    </row>
    <row r="132" spans="1:60" x14ac:dyDescent="0.25">
      <c r="A132" s="1">
        <v>46216</v>
      </c>
      <c r="B132" s="33">
        <v>6.61</v>
      </c>
      <c r="C132" s="33">
        <v>6.75</v>
      </c>
      <c r="D132" s="15">
        <v>0</v>
      </c>
      <c r="E132" s="15">
        <v>-5.9084366861662796E-3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6.61</v>
      </c>
      <c r="M132" s="33">
        <v>6.75</v>
      </c>
      <c r="N132" s="34">
        <v>1.0211800302571801</v>
      </c>
      <c r="O132" s="34">
        <v>1.0269470164915</v>
      </c>
      <c r="P132" s="34">
        <v>1.02606590552261</v>
      </c>
      <c r="Q132" s="34">
        <v>1.02897256093081</v>
      </c>
      <c r="R132" s="33">
        <v>6.7881197790088503</v>
      </c>
      <c r="S132" s="33">
        <v>6.7956096850912697</v>
      </c>
      <c r="T132" s="33">
        <v>6.8047127443907804</v>
      </c>
      <c r="U132" s="15">
        <v>5.6314880314533699E-3</v>
      </c>
      <c r="V132" s="15">
        <v>6.7342642404854703E-3</v>
      </c>
      <c r="W132" s="15">
        <v>8.07291789463121E-3</v>
      </c>
      <c r="X132" s="34">
        <v>1.0211800302571801</v>
      </c>
      <c r="Y132" s="34">
        <v>1.0269470164915</v>
      </c>
      <c r="Z132" s="34">
        <v>1.02606590552261</v>
      </c>
      <c r="AA132" s="34">
        <v>1.02897256093081</v>
      </c>
      <c r="AB132" s="33">
        <v>6.7881197790088503</v>
      </c>
      <c r="AC132" s="33">
        <v>6.7956096850912697</v>
      </c>
      <c r="AD132" s="33">
        <v>6.8047127443907804</v>
      </c>
      <c r="AE132" s="15">
        <v>5.6314880314533699E-3</v>
      </c>
      <c r="AF132" s="15">
        <v>6.7342642404854703E-3</v>
      </c>
      <c r="AG132" s="15">
        <v>8.07291789463121E-3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5.7460277609991187E-2</v>
      </c>
      <c r="AT132" s="12"/>
      <c r="AU132">
        <f t="shared" si="30"/>
        <v>1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4.089986912738855E-2</v>
      </c>
      <c r="BE132" s="29">
        <f t="shared" si="42"/>
        <v>0</v>
      </c>
      <c r="BF132" s="29">
        <f t="shared" si="43"/>
        <v>9.8360146737379764E-2</v>
      </c>
      <c r="BH132" s="29"/>
    </row>
    <row r="133" spans="1:60" x14ac:dyDescent="0.25">
      <c r="A133" s="1">
        <v>46217</v>
      </c>
      <c r="B133" s="33">
        <v>6.47</v>
      </c>
      <c r="C133" s="33">
        <v>6.61</v>
      </c>
      <c r="D133" s="15">
        <v>-2.14075453507858E-2</v>
      </c>
      <c r="E133" s="15">
        <v>-2.0958851020843501E-2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6.47</v>
      </c>
      <c r="M133" s="33">
        <v>6.61</v>
      </c>
      <c r="N133" s="34">
        <v>1.02163833075734</v>
      </c>
      <c r="O133" s="34">
        <v>1.0269470164915</v>
      </c>
      <c r="P133" s="34">
        <v>1.0247180329127299</v>
      </c>
      <c r="Q133" s="34">
        <v>1.0286088992373901</v>
      </c>
      <c r="R133" s="33">
        <v>6.64434719670004</v>
      </c>
      <c r="S133" s="33">
        <v>6.6386464087313204</v>
      </c>
      <c r="T133" s="33">
        <v>6.6574524692223802</v>
      </c>
      <c r="U133" s="15">
        <v>5.1827937015108596E-3</v>
      </c>
      <c r="V133" s="15">
        <v>4.3244347369473402E-3</v>
      </c>
      <c r="W133" s="15">
        <v>7.1532453835066899E-3</v>
      </c>
      <c r="X133" s="34">
        <v>1.02163833075734</v>
      </c>
      <c r="Y133" s="34">
        <v>1.0269470164915</v>
      </c>
      <c r="Z133" s="34">
        <v>1.0247180329127299</v>
      </c>
      <c r="AA133" s="34">
        <v>1.0286088992373901</v>
      </c>
      <c r="AB133" s="33">
        <v>6.64434719670004</v>
      </c>
      <c r="AC133" s="33">
        <v>6.6386464087313204</v>
      </c>
      <c r="AD133" s="33">
        <v>6.6574524692223802</v>
      </c>
      <c r="AE133" s="15">
        <v>5.1827937015108596E-3</v>
      </c>
      <c r="AF133" s="15">
        <v>4.3244347369473402E-3</v>
      </c>
      <c r="AG133" s="15">
        <v>7.1532453835066899E-3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5.7460277609991187E-2</v>
      </c>
      <c r="AT133" s="12"/>
      <c r="AU133">
        <f t="shared" si="30"/>
        <v>1</v>
      </c>
      <c r="AV133">
        <f t="shared" si="31"/>
        <v>0</v>
      </c>
      <c r="AW133">
        <f t="shared" si="38"/>
        <v>1</v>
      </c>
      <c r="AX133">
        <f t="shared" si="25"/>
        <v>1</v>
      </c>
      <c r="AY133">
        <f t="shared" si="39"/>
        <v>1</v>
      </c>
      <c r="AZ133" s="28">
        <f t="shared" si="32"/>
        <v>2.14075453507858E-2</v>
      </c>
      <c r="BA133" s="28">
        <f t="shared" si="33"/>
        <v>-2.0958851020843501E-2</v>
      </c>
      <c r="BB133" s="28">
        <f t="shared" si="40"/>
        <v>4.4869432994229866E-4</v>
      </c>
      <c r="BC133" s="29">
        <f t="shared" si="41"/>
        <v>4.1348563457330845E-2</v>
      </c>
      <c r="BE133" s="29">
        <f t="shared" si="42"/>
        <v>4.4869432994229866E-4</v>
      </c>
      <c r="BF133" s="29">
        <f t="shared" si="43"/>
        <v>9.8808841067322059E-2</v>
      </c>
      <c r="BH133" s="29"/>
    </row>
    <row r="134" spans="1:60" x14ac:dyDescent="0.25">
      <c r="A134" s="1">
        <v>46218</v>
      </c>
      <c r="B134" s="33">
        <v>6.7</v>
      </c>
      <c r="C134" s="33">
        <v>6.85</v>
      </c>
      <c r="D134" s="15">
        <v>3.49314178841112E-2</v>
      </c>
      <c r="E134" s="15">
        <v>3.5664998410538898E-2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6.7</v>
      </c>
      <c r="M134" s="33">
        <v>6.85</v>
      </c>
      <c r="N134" s="34">
        <v>1.02238805970149</v>
      </c>
      <c r="O134" s="34">
        <v>1.0269470164915</v>
      </c>
      <c r="P134" s="34">
        <v>1.02422371991182</v>
      </c>
      <c r="Q134" s="34">
        <v>1.02827531076947</v>
      </c>
      <c r="R134" s="33">
        <v>6.8805450104930799</v>
      </c>
      <c r="S134" s="33">
        <v>6.8656108205153004</v>
      </c>
      <c r="T134" s="33">
        <v>6.8916796248905197</v>
      </c>
      <c r="U134" s="15">
        <v>4.4492131750832904E-3</v>
      </c>
      <c r="V134" s="15">
        <v>2.2763590277701099E-3</v>
      </c>
      <c r="W134" s="15">
        <v>6.06618024006432E-3</v>
      </c>
      <c r="X134" s="34">
        <v>1.02238805970149</v>
      </c>
      <c r="Y134" s="34">
        <v>1.0269470164915</v>
      </c>
      <c r="Z134" s="34">
        <v>1.02422371991182</v>
      </c>
      <c r="AA134" s="34">
        <v>1.02827531076947</v>
      </c>
      <c r="AB134" s="33">
        <v>6.8805450104930799</v>
      </c>
      <c r="AC134" s="33">
        <v>6.8656108205153004</v>
      </c>
      <c r="AD134" s="33">
        <v>6.8916796248905197</v>
      </c>
      <c r="AE134" s="15">
        <v>4.4492131750832904E-3</v>
      </c>
      <c r="AF134" s="15">
        <v>2.2763590277701099E-3</v>
      </c>
      <c r="AG134" s="15">
        <v>6.06618024006432E-3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5.7460277609991187E-2</v>
      </c>
      <c r="AT134" s="12"/>
      <c r="AU134">
        <f t="shared" si="30"/>
        <v>1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-3.49314178841112E-2</v>
      </c>
      <c r="BA134" s="28">
        <f t="shared" si="33"/>
        <v>3.5664998410538898E-2</v>
      </c>
      <c r="BB134" s="28">
        <f t="shared" si="40"/>
        <v>7.3358052642769761E-4</v>
      </c>
      <c r="BC134" s="29">
        <f t="shared" si="41"/>
        <v>4.2082143983758542E-2</v>
      </c>
      <c r="BE134" s="29">
        <f t="shared" si="42"/>
        <v>7.3358052642769761E-4</v>
      </c>
      <c r="BF134" s="29">
        <f t="shared" si="43"/>
        <v>9.9542421593749764E-2</v>
      </c>
      <c r="BH134" s="29"/>
    </row>
    <row r="135" spans="1:60" x14ac:dyDescent="0.25">
      <c r="A135" s="1">
        <v>46219</v>
      </c>
      <c r="B135" s="33">
        <v>7.09</v>
      </c>
      <c r="C135" s="33">
        <v>7.25</v>
      </c>
      <c r="D135" s="15">
        <v>5.6577814147115602E-2</v>
      </c>
      <c r="E135" s="15">
        <v>5.6752816592449601E-2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7.09</v>
      </c>
      <c r="M135" s="33">
        <v>7.25</v>
      </c>
      <c r="N135" s="34">
        <v>1.02256699576868</v>
      </c>
      <c r="O135" s="34">
        <v>1.0269470164915</v>
      </c>
      <c r="P135" s="34">
        <v>1.0235070235575401</v>
      </c>
      <c r="Q135" s="34">
        <v>1.02781355455084</v>
      </c>
      <c r="R135" s="33">
        <v>7.2810543469247699</v>
      </c>
      <c r="S135" s="33">
        <v>7.2617461741748004</v>
      </c>
      <c r="T135" s="33">
        <v>7.2904719533555697</v>
      </c>
      <c r="U135" s="15">
        <v>4.2742107297495998E-3</v>
      </c>
      <c r="V135" s="15">
        <v>1.6188509086459901E-3</v>
      </c>
      <c r="W135" s="15">
        <v>5.5668148877485299E-3</v>
      </c>
      <c r="X135" s="34">
        <v>1.02256699576868</v>
      </c>
      <c r="Y135" s="34">
        <v>1.0269470164915</v>
      </c>
      <c r="Z135" s="34">
        <v>1.0235070235575401</v>
      </c>
      <c r="AA135" s="34">
        <v>1.02781355455084</v>
      </c>
      <c r="AB135" s="33">
        <v>7.2810543469247699</v>
      </c>
      <c r="AC135" s="33">
        <v>7.2617461741748004</v>
      </c>
      <c r="AD135" s="33">
        <v>7.2904719533555697</v>
      </c>
      <c r="AE135" s="15">
        <v>4.2742107297495998E-3</v>
      </c>
      <c r="AF135" s="15">
        <v>1.6188509086459901E-3</v>
      </c>
      <c r="AG135" s="15">
        <v>5.5668148877485299E-3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5.7460277609991187E-2</v>
      </c>
      <c r="AT135" s="12"/>
      <c r="AU135">
        <f t="shared" si="30"/>
        <v>1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-5.6577814147115602E-2</v>
      </c>
      <c r="BA135" s="28">
        <f t="shared" si="33"/>
        <v>5.6752816592449601E-2</v>
      </c>
      <c r="BB135" s="28">
        <f t="shared" si="40"/>
        <v>1.7500244533399933E-4</v>
      </c>
      <c r="BC135" s="29">
        <f t="shared" si="41"/>
        <v>4.2257146429092542E-2</v>
      </c>
      <c r="BE135" s="29">
        <f t="shared" si="42"/>
        <v>1.7500244533399933E-4</v>
      </c>
      <c r="BF135" s="29">
        <f t="shared" si="43"/>
        <v>9.9717424039083763E-2</v>
      </c>
      <c r="BH135" s="29"/>
    </row>
    <row r="136" spans="1:60" x14ac:dyDescent="0.25">
      <c r="A136" s="1">
        <v>46220</v>
      </c>
      <c r="B136" s="33">
        <v>7.28</v>
      </c>
      <c r="C136" s="33">
        <v>7.43</v>
      </c>
      <c r="D136" s="15">
        <v>2.6445521664558401E-2</v>
      </c>
      <c r="E136" s="15">
        <v>2.4524389863084299E-2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7.28</v>
      </c>
      <c r="M136" s="33">
        <v>7.43</v>
      </c>
      <c r="N136" s="34">
        <v>1.02060439560439</v>
      </c>
      <c r="O136" s="34">
        <v>1.0269470164915</v>
      </c>
      <c r="P136" s="34">
        <v>1.0232526483031701</v>
      </c>
      <c r="Q136" s="34">
        <v>1.0273067038066399</v>
      </c>
      <c r="R136" s="33">
        <v>7.4761742800581601</v>
      </c>
      <c r="S136" s="33">
        <v>7.4511311314989399</v>
      </c>
      <c r="T136" s="33">
        <v>7.4824826771301298</v>
      </c>
      <c r="U136" s="15">
        <v>6.1953425312235603E-3</v>
      </c>
      <c r="V136" s="15">
        <v>2.83999186823465E-3</v>
      </c>
      <c r="W136" s="15">
        <v>7.0387868944450501E-3</v>
      </c>
      <c r="X136" s="34">
        <v>1.02060439560439</v>
      </c>
      <c r="Y136" s="34">
        <v>1.0269470164915</v>
      </c>
      <c r="Z136" s="34">
        <v>1.0232526483031701</v>
      </c>
      <c r="AA136" s="34">
        <v>1.0273067038066399</v>
      </c>
      <c r="AB136" s="33">
        <v>7.4761742800581601</v>
      </c>
      <c r="AC136" s="33">
        <v>7.4511311314989399</v>
      </c>
      <c r="AD136" s="33">
        <v>7.4824826771301298</v>
      </c>
      <c r="AE136" s="15">
        <v>6.1953425312235603E-3</v>
      </c>
      <c r="AF136" s="15">
        <v>2.83999186823465E-3</v>
      </c>
      <c r="AG136" s="15">
        <v>7.0387868944450501E-3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5.7460277609991187E-2</v>
      </c>
      <c r="AT136" s="12"/>
      <c r="AU136">
        <f t="shared" si="30"/>
        <v>1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-2.6445521664558401E-2</v>
      </c>
      <c r="BA136" s="28">
        <f t="shared" si="33"/>
        <v>2.4524389863084299E-2</v>
      </c>
      <c r="BB136" s="28">
        <f t="shared" si="40"/>
        <v>-1.9211318014741019E-3</v>
      </c>
      <c r="BC136" s="29">
        <f t="shared" si="41"/>
        <v>4.033601462761844E-2</v>
      </c>
      <c r="BE136" s="29">
        <f t="shared" si="42"/>
        <v>-1.9211318014741019E-3</v>
      </c>
      <c r="BF136" s="29">
        <f t="shared" si="43"/>
        <v>9.7796292237609661E-2</v>
      </c>
      <c r="BH136" s="29"/>
    </row>
    <row r="137" spans="1:60" x14ac:dyDescent="0.25">
      <c r="A137" s="1">
        <v>46223</v>
      </c>
      <c r="B137" s="33">
        <v>7.13</v>
      </c>
      <c r="C137" s="33">
        <v>7.28</v>
      </c>
      <c r="D137" s="15">
        <v>-2.081962778239E-2</v>
      </c>
      <c r="E137" s="15">
        <v>-2.0394996521072999E-2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7.13</v>
      </c>
      <c r="M137" s="33">
        <v>7.28</v>
      </c>
      <c r="N137" s="34">
        <v>1.0210378681626899</v>
      </c>
      <c r="O137" s="34">
        <v>1.0269470164915</v>
      </c>
      <c r="P137" s="34">
        <v>1.0227961941555801</v>
      </c>
      <c r="Q137" s="34">
        <v>1.0267401985776401</v>
      </c>
      <c r="R137" s="33">
        <v>7.3221322275844303</v>
      </c>
      <c r="S137" s="33">
        <v>7.2957913824016103</v>
      </c>
      <c r="T137" s="33">
        <v>7.3246967981414102</v>
      </c>
      <c r="U137" s="15">
        <v>5.7707112699067198E-3</v>
      </c>
      <c r="V137" s="15">
        <v>2.1667967338041402E-3</v>
      </c>
      <c r="W137" s="15">
        <v>6.1208990926332396E-3</v>
      </c>
      <c r="X137" s="34">
        <v>1.0210378681626899</v>
      </c>
      <c r="Y137" s="34">
        <v>1.0269470164915</v>
      </c>
      <c r="Z137" s="34">
        <v>1.0227961941555801</v>
      </c>
      <c r="AA137" s="34">
        <v>1.0267401985776401</v>
      </c>
      <c r="AB137" s="33">
        <v>7.3221322275844303</v>
      </c>
      <c r="AC137" s="33">
        <v>7.2957913824016103</v>
      </c>
      <c r="AD137" s="33">
        <v>7.3246967981414102</v>
      </c>
      <c r="AE137" s="15">
        <v>5.7707112699067198E-3</v>
      </c>
      <c r="AF137" s="15">
        <v>2.1667967338041402E-3</v>
      </c>
      <c r="AG137" s="15">
        <v>6.1208990926332396E-3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5.7460277609991187E-2</v>
      </c>
      <c r="AT137" s="12"/>
      <c r="AU137">
        <f t="shared" si="30"/>
        <v>1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2.081962778239E-2</v>
      </c>
      <c r="BA137" s="28">
        <f t="shared" si="33"/>
        <v>-2.0394996521072999E-2</v>
      </c>
      <c r="BB137" s="28">
        <f t="shared" si="40"/>
        <v>4.2463126131700099E-4</v>
      </c>
      <c r="BC137" s="29">
        <f t="shared" si="41"/>
        <v>4.0760645888935437E-2</v>
      </c>
      <c r="BE137" s="29">
        <f t="shared" si="42"/>
        <v>4.2463126131700099E-4</v>
      </c>
      <c r="BF137" s="29">
        <f t="shared" si="43"/>
        <v>9.8220923498926666E-2</v>
      </c>
      <c r="BH137" s="29"/>
    </row>
    <row r="138" spans="1:60" x14ac:dyDescent="0.25">
      <c r="A138" s="1">
        <v>46224</v>
      </c>
      <c r="B138" s="33">
        <v>7.21</v>
      </c>
      <c r="C138" s="33">
        <v>7.37</v>
      </c>
      <c r="D138" s="15">
        <v>1.11577168706531E-2</v>
      </c>
      <c r="E138" s="15">
        <v>1.22868439926505E-2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7.21</v>
      </c>
      <c r="M138" s="33">
        <v>7.37</v>
      </c>
      <c r="N138" s="34">
        <v>1.02219140083217</v>
      </c>
      <c r="O138" s="34">
        <v>1.0269470164915</v>
      </c>
      <c r="P138" s="34">
        <v>1.02242781521292</v>
      </c>
      <c r="Q138" s="34">
        <v>1.02627908799098</v>
      </c>
      <c r="R138" s="33">
        <v>7.4042879889037501</v>
      </c>
      <c r="S138" s="33">
        <v>7.3743605598617696</v>
      </c>
      <c r="T138" s="33">
        <v>7.4027968317448298</v>
      </c>
      <c r="U138" s="15">
        <v>4.6415841479092003E-3</v>
      </c>
      <c r="V138" s="15">
        <v>5.9148851809433798E-4</v>
      </c>
      <c r="W138" s="15">
        <v>4.4401728394677202E-3</v>
      </c>
      <c r="X138" s="34">
        <v>1.02219140083217</v>
      </c>
      <c r="Y138" s="34">
        <v>1.0269470164915</v>
      </c>
      <c r="Z138" s="34">
        <v>1.02242781521292</v>
      </c>
      <c r="AA138" s="34">
        <v>1.02627908799098</v>
      </c>
      <c r="AB138" s="33">
        <v>7.4042879889037501</v>
      </c>
      <c r="AC138" s="33">
        <v>7.3743605598617696</v>
      </c>
      <c r="AD138" s="33">
        <v>7.4027968317448298</v>
      </c>
      <c r="AE138" s="15">
        <v>4.6415841479092003E-3</v>
      </c>
      <c r="AF138" s="15">
        <v>5.9148851809433798E-4</v>
      </c>
      <c r="AG138" s="15">
        <v>4.4401728394677202E-3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5.7460277609991187E-2</v>
      </c>
      <c r="AT138" s="12"/>
      <c r="AU138">
        <f t="shared" si="30"/>
        <v>0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-1.11577168706531E-2</v>
      </c>
      <c r="BA138" s="28">
        <f t="shared" si="33"/>
        <v>1.22868439926505E-2</v>
      </c>
      <c r="BB138" s="28">
        <f t="shared" si="40"/>
        <v>1.1291271219974006E-3</v>
      </c>
      <c r="BC138" s="29">
        <f t="shared" si="41"/>
        <v>4.1889773010932836E-2</v>
      </c>
      <c r="BE138" s="29">
        <f t="shared" si="42"/>
        <v>1.1291271219974006E-3</v>
      </c>
      <c r="BF138" s="29">
        <f t="shared" si="43"/>
        <v>9.9350050620924071E-2</v>
      </c>
      <c r="BH138" s="29"/>
    </row>
    <row r="139" spans="1:60" x14ac:dyDescent="0.25">
      <c r="A139" s="1">
        <v>46225</v>
      </c>
      <c r="B139" s="33">
        <v>7.08</v>
      </c>
      <c r="C139" s="33">
        <v>7.26</v>
      </c>
      <c r="D139" s="15">
        <v>-1.8195043591229299E-2</v>
      </c>
      <c r="E139" s="15">
        <v>-1.50378773645405E-2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7.08</v>
      </c>
      <c r="M139" s="33">
        <v>7.26</v>
      </c>
      <c r="N139" s="34">
        <v>1.0254237288135499</v>
      </c>
      <c r="O139" s="34">
        <v>1.0269470164915</v>
      </c>
      <c r="P139" s="34">
        <v>1.0225967703727601</v>
      </c>
      <c r="Q139" s="34">
        <v>1.0260351229164999</v>
      </c>
      <c r="R139" s="33">
        <v>7.2707848767598602</v>
      </c>
      <c r="S139" s="33">
        <v>7.2387889317075196</v>
      </c>
      <c r="T139" s="33">
        <v>7.2660559429761502</v>
      </c>
      <c r="U139" s="15">
        <v>1.4844179212205001E-3</v>
      </c>
      <c r="V139" s="15">
        <v>-2.9259110570722001E-3</v>
      </c>
      <c r="W139" s="15">
        <v>8.3380421372296701E-4</v>
      </c>
      <c r="X139" s="34">
        <v>1.0254237288135499</v>
      </c>
      <c r="Y139" s="34">
        <v>1.0269470164915</v>
      </c>
      <c r="Z139" s="34">
        <v>1.0225967703727601</v>
      </c>
      <c r="AA139" s="34">
        <v>1.0260351229164999</v>
      </c>
      <c r="AB139" s="33">
        <v>7.2707848767598602</v>
      </c>
      <c r="AC139" s="33">
        <v>7.2387889317075196</v>
      </c>
      <c r="AD139" s="33">
        <v>7.2660559429761502</v>
      </c>
      <c r="AE139" s="15">
        <v>1.4844179212205001E-3</v>
      </c>
      <c r="AF139" s="15">
        <v>-2.9259110570722001E-3</v>
      </c>
      <c r="AG139" s="15">
        <v>8.3380421372296701E-4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5.7460277609991187E-2</v>
      </c>
      <c r="AT139" s="12"/>
      <c r="AU139">
        <f t="shared" si="30"/>
        <v>0</v>
      </c>
      <c r="AV139">
        <f t="shared" si="31"/>
        <v>1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1.8195043591229299E-2</v>
      </c>
      <c r="BA139" s="28">
        <f t="shared" si="33"/>
        <v>-1.50378773645405E-2</v>
      </c>
      <c r="BB139" s="28">
        <f t="shared" si="40"/>
        <v>3.1571662266887991E-3</v>
      </c>
      <c r="BC139" s="29">
        <f t="shared" si="41"/>
        <v>4.5046939237621639E-2</v>
      </c>
      <c r="BE139" s="29">
        <f t="shared" si="42"/>
        <v>3.1571662266887991E-3</v>
      </c>
      <c r="BF139" s="29">
        <f t="shared" si="43"/>
        <v>0.10250721684761287</v>
      </c>
      <c r="BH139" s="29"/>
    </row>
    <row r="140" spans="1:60" x14ac:dyDescent="0.25">
      <c r="A140" s="1">
        <v>46226</v>
      </c>
      <c r="B140" s="33">
        <v>6.59</v>
      </c>
      <c r="C140" s="33">
        <v>6.74</v>
      </c>
      <c r="D140" s="15">
        <v>-7.1720559191212493E-2</v>
      </c>
      <c r="E140" s="15">
        <v>-7.4319903912488994E-2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6.59</v>
      </c>
      <c r="M140" s="33">
        <v>6.74</v>
      </c>
      <c r="N140" s="34">
        <v>1.0227617602427901</v>
      </c>
      <c r="O140" s="34">
        <v>1.0269470164915</v>
      </c>
      <c r="P140" s="34">
        <v>1.0227024037613801</v>
      </c>
      <c r="Q140" s="34">
        <v>1.0256425986837501</v>
      </c>
      <c r="R140" s="33">
        <v>6.7675808386790202</v>
      </c>
      <c r="S140" s="33">
        <v>6.7389127167565199</v>
      </c>
      <c r="T140" s="33">
        <v>6.7615714600197903</v>
      </c>
      <c r="U140" s="15">
        <v>4.0837626424969596E-3</v>
      </c>
      <c r="V140" s="15">
        <v>-1.6133100179318801E-4</v>
      </c>
      <c r="W140" s="15">
        <v>3.1954026149419801E-3</v>
      </c>
      <c r="X140" s="34">
        <v>1.0227617602427901</v>
      </c>
      <c r="Y140" s="34">
        <v>1.0269470164915</v>
      </c>
      <c r="Z140" s="34">
        <v>1.0227024037613801</v>
      </c>
      <c r="AA140" s="34">
        <v>1.0256425986837501</v>
      </c>
      <c r="AB140" s="33">
        <v>6.7675808386790202</v>
      </c>
      <c r="AC140" s="33">
        <v>6.7389127167565199</v>
      </c>
      <c r="AD140" s="33">
        <v>6.7615714600197903</v>
      </c>
      <c r="AE140" s="15">
        <v>4.0837626424969596E-3</v>
      </c>
      <c r="AF140" s="15">
        <v>-1.6133100179318801E-4</v>
      </c>
      <c r="AG140" s="15">
        <v>3.1954026149419801E-3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5.7460277609991187E-2</v>
      </c>
      <c r="AT140" s="12"/>
      <c r="AU140">
        <f t="shared" si="30"/>
        <v>0</v>
      </c>
      <c r="AV140">
        <f t="shared" si="31"/>
        <v>0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4.5046939237621639E-2</v>
      </c>
      <c r="BE140" s="29">
        <f t="shared" si="42"/>
        <v>0</v>
      </c>
      <c r="BF140" s="29">
        <f t="shared" si="43"/>
        <v>0.10250721684761287</v>
      </c>
      <c r="BH140" s="29"/>
    </row>
    <row r="141" spans="1:60" x14ac:dyDescent="0.25">
      <c r="A141" s="1">
        <v>46227</v>
      </c>
      <c r="B141" s="33">
        <v>6.86</v>
      </c>
      <c r="C141" s="33">
        <v>7.03</v>
      </c>
      <c r="D141" s="15">
        <v>4.0154093223378103E-2</v>
      </c>
      <c r="E141" s="15">
        <v>4.21267808983578E-2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6.86</v>
      </c>
      <c r="M141" s="33">
        <v>7.03</v>
      </c>
      <c r="N141" s="34">
        <v>1.0247813411078699</v>
      </c>
      <c r="O141" s="34">
        <v>1.0269470164915</v>
      </c>
      <c r="P141" s="34">
        <v>1.02245739112481</v>
      </c>
      <c r="Q141" s="34">
        <v>1.0252687625133301</v>
      </c>
      <c r="R141" s="33">
        <v>7.0448565331317301</v>
      </c>
      <c r="S141" s="33">
        <v>7.0157384898031001</v>
      </c>
      <c r="T141" s="33">
        <v>7.0359082269705304</v>
      </c>
      <c r="U141" s="15">
        <v>2.1110749675171199E-3</v>
      </c>
      <c r="V141" s="15">
        <v>-2.0307248505690399E-3</v>
      </c>
      <c r="W141" s="15">
        <v>8.4007761499130902E-4</v>
      </c>
      <c r="X141" s="34">
        <v>1.0247813411078699</v>
      </c>
      <c r="Y141" s="34">
        <v>1.0269470164915</v>
      </c>
      <c r="Z141" s="34">
        <v>1.02245739112481</v>
      </c>
      <c r="AA141" s="34">
        <v>1.0252687625133301</v>
      </c>
      <c r="AB141" s="33">
        <v>7.0448565331317301</v>
      </c>
      <c r="AC141" s="33">
        <v>7.0157384898031001</v>
      </c>
      <c r="AD141" s="33">
        <v>7.0359082269705304</v>
      </c>
      <c r="AE141" s="15">
        <v>2.1110749675171199E-3</v>
      </c>
      <c r="AF141" s="15">
        <v>-2.0307248505690399E-3</v>
      </c>
      <c r="AG141" s="15">
        <v>8.4007761499130902E-4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5.7460277609991187E-2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4.5046939237621639E-2</v>
      </c>
      <c r="BE141" s="29">
        <f t="shared" si="42"/>
        <v>0</v>
      </c>
      <c r="BF141" s="29">
        <f t="shared" si="43"/>
        <v>0.10250721684761287</v>
      </c>
      <c r="BH141" s="29"/>
    </row>
    <row r="142" spans="1:60" x14ac:dyDescent="0.25">
      <c r="A142" s="1">
        <v>46230</v>
      </c>
      <c r="B142" s="33">
        <v>6.93</v>
      </c>
      <c r="C142" s="33">
        <v>7.08</v>
      </c>
      <c r="D142" s="15">
        <v>1.0152371464017901E-2</v>
      </c>
      <c r="E142" s="15">
        <v>7.0872018830548302E-3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6.93</v>
      </c>
      <c r="M142" s="33">
        <v>7.08</v>
      </c>
      <c r="N142" s="34">
        <v>1.0216450216450199</v>
      </c>
      <c r="O142" s="34">
        <v>1.0269470164915</v>
      </c>
      <c r="P142" s="34">
        <v>1.0225038902635999</v>
      </c>
      <c r="Q142" s="34">
        <v>1.0242848978931101</v>
      </c>
      <c r="R142" s="33">
        <v>7.1167428242861304</v>
      </c>
      <c r="S142" s="33">
        <v>7.0856297204949996</v>
      </c>
      <c r="T142" s="33">
        <v>7.1051125242174296</v>
      </c>
      <c r="U142" s="15">
        <v>5.1762445484803002E-3</v>
      </c>
      <c r="V142" s="15">
        <v>7.9484229116157405E-4</v>
      </c>
      <c r="W142" s="15">
        <v>3.5406910463069E-3</v>
      </c>
      <c r="X142" s="34">
        <v>1.0216450216450199</v>
      </c>
      <c r="Y142" s="34">
        <v>1.0269470164915</v>
      </c>
      <c r="Z142" s="34">
        <v>1.0225038902635999</v>
      </c>
      <c r="AA142" s="34">
        <v>1.0242848978931101</v>
      </c>
      <c r="AB142" s="33">
        <v>7.1167428242861304</v>
      </c>
      <c r="AC142" s="33">
        <v>7.0856297204949996</v>
      </c>
      <c r="AD142" s="33">
        <v>7.1051125242174296</v>
      </c>
      <c r="AE142" s="15">
        <v>5.1762445484803002E-3</v>
      </c>
      <c r="AF142" s="15">
        <v>7.9484229116157405E-4</v>
      </c>
      <c r="AG142" s="15">
        <v>3.5406910463069E-3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5.7460277609991187E-2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4.5046939237621639E-2</v>
      </c>
      <c r="BE142" s="29">
        <f t="shared" si="42"/>
        <v>0</v>
      </c>
      <c r="BF142" s="29">
        <f t="shared" si="43"/>
        <v>0.10250721684761287</v>
      </c>
      <c r="BH142" s="29"/>
    </row>
    <row r="143" spans="1:60" x14ac:dyDescent="0.25">
      <c r="A143" s="1">
        <v>46231</v>
      </c>
      <c r="B143" s="33">
        <v>6.97</v>
      </c>
      <c r="C143" s="33">
        <v>7.14</v>
      </c>
      <c r="D143" s="15">
        <v>5.7554115706207496E-3</v>
      </c>
      <c r="E143" s="15">
        <v>8.4388686458646001E-3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6.97</v>
      </c>
      <c r="M143" s="33">
        <v>7.14</v>
      </c>
      <c r="N143" s="34">
        <v>1.0243902439024299</v>
      </c>
      <c r="O143" s="34">
        <v>1.0269470164915</v>
      </c>
      <c r="P143" s="34">
        <v>1.0227790815781099</v>
      </c>
      <c r="Q143" s="34">
        <v>1.0237485572454199</v>
      </c>
      <c r="R143" s="33">
        <v>7.1578207049457898</v>
      </c>
      <c r="S143" s="33">
        <v>7.1268521151373099</v>
      </c>
      <c r="T143" s="33">
        <v>7.13926573831497</v>
      </c>
      <c r="U143" s="15">
        <v>2.4927874732363201E-3</v>
      </c>
      <c r="V143" s="15">
        <v>-1.84313799269779E-3</v>
      </c>
      <c r="W143" s="15">
        <v>-1.02843059177735E-4</v>
      </c>
      <c r="X143" s="34">
        <v>1.0243902439024299</v>
      </c>
      <c r="Y143" s="34">
        <v>1.0269470164915</v>
      </c>
      <c r="Z143" s="34">
        <v>1.0227790815781099</v>
      </c>
      <c r="AA143" s="34">
        <v>1.0237485572454199</v>
      </c>
      <c r="AB143" s="33">
        <v>7.1578207049457898</v>
      </c>
      <c r="AC143" s="33">
        <v>7.1268521151373099</v>
      </c>
      <c r="AD143" s="33">
        <v>7.13926573831497</v>
      </c>
      <c r="AE143" s="15">
        <v>2.4927874732363201E-3</v>
      </c>
      <c r="AF143" s="15">
        <v>-1.84313799269779E-3</v>
      </c>
      <c r="AG143" s="15">
        <v>-1.02843059177735E-4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5.7460277609991187E-2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4.5046939237621639E-2</v>
      </c>
      <c r="BE143" s="29">
        <f t="shared" si="42"/>
        <v>0</v>
      </c>
      <c r="BF143" s="29">
        <f t="shared" si="43"/>
        <v>0.10250721684761287</v>
      </c>
      <c r="BH143" s="29"/>
    </row>
    <row r="144" spans="1:60" x14ac:dyDescent="0.25">
      <c r="A144" s="1">
        <v>46232</v>
      </c>
      <c r="B144" s="33">
        <v>6.91</v>
      </c>
      <c r="C144" s="33">
        <v>7.06</v>
      </c>
      <c r="D144" s="15">
        <v>-8.6455869928539295E-3</v>
      </c>
      <c r="E144" s="15">
        <v>-1.1267724846342199E-2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6.91</v>
      </c>
      <c r="M144" s="33">
        <v>7.06</v>
      </c>
      <c r="N144" s="34">
        <v>1.02170767004341</v>
      </c>
      <c r="O144" s="34">
        <v>1.0269470164915</v>
      </c>
      <c r="P144" s="34">
        <v>1.0227110426123001</v>
      </c>
      <c r="Q144" s="34">
        <v>1.02346738126206</v>
      </c>
      <c r="R144" s="33">
        <v>7.0962038839563002</v>
      </c>
      <c r="S144" s="33">
        <v>7.0674034537047596</v>
      </c>
      <c r="T144" s="33">
        <v>7.0741025305658702</v>
      </c>
      <c r="U144" s="15">
        <v>5.1149253267245599E-3</v>
      </c>
      <c r="V144" s="15">
        <v>1.04809838648034E-3</v>
      </c>
      <c r="W144" s="15">
        <v>1.9955331744965E-3</v>
      </c>
      <c r="X144" s="34">
        <v>1.02170767004341</v>
      </c>
      <c r="Y144" s="34">
        <v>1.0269470164915</v>
      </c>
      <c r="Z144" s="34">
        <v>1.0227110426123001</v>
      </c>
      <c r="AA144" s="34">
        <v>1.02346738126206</v>
      </c>
      <c r="AB144" s="33">
        <v>7.0962038839563002</v>
      </c>
      <c r="AC144" s="33">
        <v>7.0674034537047596</v>
      </c>
      <c r="AD144" s="33">
        <v>7.0741025305658702</v>
      </c>
      <c r="AE144" s="15">
        <v>5.1149253267245599E-3</v>
      </c>
      <c r="AF144" s="15">
        <v>1.04809838648034E-3</v>
      </c>
      <c r="AG144" s="15">
        <v>1.9955331744965E-3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5.7460277609991187E-2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4.5046939237621639E-2</v>
      </c>
      <c r="BE144" s="29">
        <f t="shared" si="42"/>
        <v>0</v>
      </c>
      <c r="BF144" s="29">
        <f t="shared" si="43"/>
        <v>0.10250721684761287</v>
      </c>
      <c r="BH144" s="29"/>
    </row>
    <row r="145" spans="1:60" x14ac:dyDescent="0.25">
      <c r="A145" s="1">
        <v>46233</v>
      </c>
      <c r="B145" s="33">
        <v>6.68</v>
      </c>
      <c r="C145" s="33">
        <v>6.83</v>
      </c>
      <c r="D145" s="15">
        <v>-3.38516502310241E-2</v>
      </c>
      <c r="E145" s="15">
        <v>-3.3120377922451899E-2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6.68</v>
      </c>
      <c r="M145" s="33">
        <v>6.83</v>
      </c>
      <c r="N145" s="34">
        <v>1.0224550898203499</v>
      </c>
      <c r="O145" s="34">
        <v>1.0269470164915</v>
      </c>
      <c r="P145" s="34">
        <v>1.0226998520174699</v>
      </c>
      <c r="Q145" s="34">
        <v>1.0231034377874999</v>
      </c>
      <c r="R145" s="33">
        <v>6.8600060701632497</v>
      </c>
      <c r="S145" s="33">
        <v>6.8317097646502001</v>
      </c>
      <c r="T145" s="33">
        <v>6.8367621068305704</v>
      </c>
      <c r="U145" s="15">
        <v>4.3836530181524096E-3</v>
      </c>
      <c r="V145" s="15">
        <v>2.5030024624733899E-4</v>
      </c>
      <c r="W145" s="15">
        <v>9.8956977951835008E-4</v>
      </c>
      <c r="X145" s="34">
        <v>1.0224550898203499</v>
      </c>
      <c r="Y145" s="34">
        <v>1.0269470164915</v>
      </c>
      <c r="Z145" s="34">
        <v>1.0226998520174699</v>
      </c>
      <c r="AA145" s="34">
        <v>1.0231034377874999</v>
      </c>
      <c r="AB145" s="33">
        <v>6.8600060701632497</v>
      </c>
      <c r="AC145" s="33">
        <v>6.8317097646502001</v>
      </c>
      <c r="AD145" s="33">
        <v>6.8367621068305704</v>
      </c>
      <c r="AE145" s="15">
        <v>4.3836530181524096E-3</v>
      </c>
      <c r="AF145" s="15">
        <v>2.5030024624733899E-4</v>
      </c>
      <c r="AG145" s="15">
        <v>9.8956977951835008E-4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5.7460277609991187E-2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4.5046939237621639E-2</v>
      </c>
      <c r="BE145" s="29">
        <f t="shared" si="42"/>
        <v>0</v>
      </c>
      <c r="BF145" s="29">
        <f t="shared" si="43"/>
        <v>0.10250721684761287</v>
      </c>
      <c r="BH145" s="29"/>
    </row>
    <row r="146" spans="1:60" x14ac:dyDescent="0.25">
      <c r="A146" s="1">
        <v>46234</v>
      </c>
      <c r="B146" s="33">
        <v>6.49</v>
      </c>
      <c r="C146" s="33">
        <v>6.65</v>
      </c>
      <c r="D146" s="15">
        <v>-2.8855456832555599E-2</v>
      </c>
      <c r="E146" s="15">
        <v>-2.6707818914935798E-2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6.49</v>
      </c>
      <c r="M146" s="33">
        <v>6.65</v>
      </c>
      <c r="N146" s="34">
        <v>1.0246533127888999</v>
      </c>
      <c r="O146" s="34">
        <v>1.0269470164915</v>
      </c>
      <c r="P146" s="34">
        <v>1.02310474373592</v>
      </c>
      <c r="Q146" s="34">
        <v>1.0231786960195399</v>
      </c>
      <c r="R146" s="33">
        <v>6.6648861370298702</v>
      </c>
      <c r="S146" s="33">
        <v>6.6373220395933901</v>
      </c>
      <c r="T146" s="33">
        <v>6.6399413112409302</v>
      </c>
      <c r="U146" s="15">
        <v>2.2360151005325298E-3</v>
      </c>
      <c r="V146" s="15">
        <v>-1.9082798198301501E-3</v>
      </c>
      <c r="W146" s="15">
        <v>-1.5137298870150299E-3</v>
      </c>
      <c r="X146" s="34">
        <v>1.0246533127888999</v>
      </c>
      <c r="Y146" s="34">
        <v>1.0269470164915</v>
      </c>
      <c r="Z146" s="34">
        <v>1.02310474373592</v>
      </c>
      <c r="AA146" s="34">
        <v>1.0231786960195399</v>
      </c>
      <c r="AB146" s="33">
        <v>6.6648861370298702</v>
      </c>
      <c r="AC146" s="33">
        <v>6.6373220395933901</v>
      </c>
      <c r="AD146" s="33">
        <v>6.6399413112409302</v>
      </c>
      <c r="AE146" s="15">
        <v>2.2360151005325298E-3</v>
      </c>
      <c r="AF146" s="15">
        <v>-1.9082798198301501E-3</v>
      </c>
      <c r="AG146" s="15">
        <v>-1.5137298870150299E-3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5.7460277609991187E-2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4.5046939237621639E-2</v>
      </c>
      <c r="BE146" s="29">
        <f t="shared" si="42"/>
        <v>0</v>
      </c>
      <c r="BF146" s="29">
        <f t="shared" si="43"/>
        <v>0.10250721684761287</v>
      </c>
      <c r="BH146" s="29"/>
    </row>
    <row r="147" spans="1:60" x14ac:dyDescent="0.25">
      <c r="A147" s="1">
        <v>46237</v>
      </c>
      <c r="B147" s="33">
        <v>6.63</v>
      </c>
      <c r="C147" s="33">
        <v>6.78</v>
      </c>
      <c r="D147" s="15">
        <v>2.1342273481772301E-2</v>
      </c>
      <c r="E147" s="15">
        <v>1.9360247284541301E-2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6.63</v>
      </c>
      <c r="M147" s="33">
        <v>6.78</v>
      </c>
      <c r="N147" s="34">
        <v>1.02262443438914</v>
      </c>
      <c r="O147" s="34">
        <v>1.0269470164915</v>
      </c>
      <c r="P147" s="34">
        <v>1.0232634003585599</v>
      </c>
      <c r="Q147" s="34">
        <v>1.0230297972570701</v>
      </c>
      <c r="R147" s="33">
        <v>6.8086587193386796</v>
      </c>
      <c r="S147" s="33">
        <v>6.7831844509691699</v>
      </c>
      <c r="T147" s="33">
        <v>6.7836747546095904</v>
      </c>
      <c r="U147" s="15">
        <v>4.2180412977637404E-3</v>
      </c>
      <c r="V147" s="15">
        <v>4.6957276725054101E-4</v>
      </c>
      <c r="W147" s="15">
        <v>5.4185237643804502E-4</v>
      </c>
      <c r="X147" s="34">
        <v>1.02262443438914</v>
      </c>
      <c r="Y147" s="34">
        <v>1.0269470164915</v>
      </c>
      <c r="Z147" s="34">
        <v>1.0232634003585599</v>
      </c>
      <c r="AA147" s="34">
        <v>1.0230297972570701</v>
      </c>
      <c r="AB147" s="33">
        <v>6.8086587193386796</v>
      </c>
      <c r="AC147" s="33">
        <v>6.7831844509691699</v>
      </c>
      <c r="AD147" s="33">
        <v>6.7836747546095904</v>
      </c>
      <c r="AE147" s="15">
        <v>4.2180412977637404E-3</v>
      </c>
      <c r="AF147" s="15">
        <v>4.6957276725054101E-4</v>
      </c>
      <c r="AG147" s="15">
        <v>5.4185237643804502E-4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5.7460277609991187E-2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4.5046939237621639E-2</v>
      </c>
      <c r="BE147" s="29">
        <f t="shared" si="42"/>
        <v>0</v>
      </c>
      <c r="BF147" s="29">
        <f t="shared" si="43"/>
        <v>0.10250721684761287</v>
      </c>
      <c r="BH147" s="29"/>
    </row>
    <row r="148" spans="1:60" x14ac:dyDescent="0.25">
      <c r="A148" s="1">
        <v>46238</v>
      </c>
      <c r="B148" s="33">
        <v>6.7</v>
      </c>
      <c r="C148" s="33">
        <v>6.84</v>
      </c>
      <c r="D148" s="15">
        <v>1.05027221991492E-2</v>
      </c>
      <c r="E148" s="15">
        <v>8.8106296821549007E-3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6.7</v>
      </c>
      <c r="M148" s="33">
        <v>6.84</v>
      </c>
      <c r="N148" s="34">
        <v>1.02089552238805</v>
      </c>
      <c r="O148" s="34">
        <v>1.0269470164915</v>
      </c>
      <c r="P148" s="34">
        <v>1.02313381251415</v>
      </c>
      <c r="Q148" s="34">
        <v>1.0227808138635399</v>
      </c>
      <c r="R148" s="33">
        <v>6.8805450104930799</v>
      </c>
      <c r="S148" s="33">
        <v>6.8558647824024002</v>
      </c>
      <c r="T148" s="33">
        <v>6.8542996416224096</v>
      </c>
      <c r="U148" s="15">
        <v>5.9101338147580802E-3</v>
      </c>
      <c r="V148" s="15">
        <v>2.3167269464590798E-3</v>
      </c>
      <c r="W148" s="15">
        <v>2.0884086362794201E-3</v>
      </c>
      <c r="X148" s="34">
        <v>1.02089552238805</v>
      </c>
      <c r="Y148" s="34">
        <v>1.0269470164915</v>
      </c>
      <c r="Z148" s="34">
        <v>1.02313381251415</v>
      </c>
      <c r="AA148" s="34">
        <v>1.0227808138635399</v>
      </c>
      <c r="AB148" s="33">
        <v>6.8805450104930799</v>
      </c>
      <c r="AC148" s="33">
        <v>6.8558647824024002</v>
      </c>
      <c r="AD148" s="33">
        <v>6.8542996416224096</v>
      </c>
      <c r="AE148" s="15">
        <v>5.9101338147580802E-3</v>
      </c>
      <c r="AF148" s="15">
        <v>2.3167269464590798E-3</v>
      </c>
      <c r="AG148" s="15">
        <v>2.0884086362794201E-3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5.7460277609991187E-2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4.5046939237621639E-2</v>
      </c>
      <c r="BE148" s="29">
        <f t="shared" si="42"/>
        <v>0</v>
      </c>
      <c r="BF148" s="29">
        <f t="shared" si="43"/>
        <v>0.10250721684761287</v>
      </c>
      <c r="BH148" s="29"/>
    </row>
    <row r="149" spans="1:60" x14ac:dyDescent="0.25">
      <c r="A149" s="1">
        <v>46239</v>
      </c>
      <c r="B149" s="33">
        <v>6.61</v>
      </c>
      <c r="C149" s="33">
        <v>6.76</v>
      </c>
      <c r="D149" s="15">
        <v>-1.35238725333254E-2</v>
      </c>
      <c r="E149" s="15">
        <v>-1.1764841579586301E-2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6.61</v>
      </c>
      <c r="M149" s="33">
        <v>6.76</v>
      </c>
      <c r="N149" s="34">
        <v>1.0226928895612699</v>
      </c>
      <c r="O149" s="34">
        <v>1.0269470164915</v>
      </c>
      <c r="P149" s="34">
        <v>1.02286072858892</v>
      </c>
      <c r="Q149" s="34">
        <v>1.0227287494808399</v>
      </c>
      <c r="R149" s="33">
        <v>6.7881197790088503</v>
      </c>
      <c r="S149" s="33">
        <v>6.76291450071857</v>
      </c>
      <c r="T149" s="33">
        <v>6.7605811796380104</v>
      </c>
      <c r="U149" s="15">
        <v>4.1511028610191E-3</v>
      </c>
      <c r="V149" s="15">
        <v>4.3104624576983301E-4</v>
      </c>
      <c r="W149" s="15">
        <v>8.5969623738877107E-5</v>
      </c>
      <c r="X149" s="34">
        <v>1.0226928895612699</v>
      </c>
      <c r="Y149" s="34">
        <v>1.0269470164915</v>
      </c>
      <c r="Z149" s="34">
        <v>1.02286072858892</v>
      </c>
      <c r="AA149" s="34">
        <v>1.0227287494808399</v>
      </c>
      <c r="AB149" s="33">
        <v>6.7881197790088503</v>
      </c>
      <c r="AC149" s="33">
        <v>6.76291450071857</v>
      </c>
      <c r="AD149" s="33">
        <v>6.7605811796380104</v>
      </c>
      <c r="AE149" s="15">
        <v>4.1511028610191E-3</v>
      </c>
      <c r="AF149" s="15">
        <v>4.3104624576983301E-4</v>
      </c>
      <c r="AG149" s="15">
        <v>8.5969623738877107E-5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5.7460277609991187E-2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4.5046939237621639E-2</v>
      </c>
      <c r="BE149" s="29">
        <f t="shared" si="42"/>
        <v>0</v>
      </c>
      <c r="BF149" s="29">
        <f t="shared" si="43"/>
        <v>0.10250721684761287</v>
      </c>
      <c r="BH149" s="29"/>
    </row>
    <row r="150" spans="1:60" x14ac:dyDescent="0.25">
      <c r="A150" s="1">
        <v>46240</v>
      </c>
      <c r="B150" s="33">
        <v>6.27</v>
      </c>
      <c r="C150" s="33">
        <v>6.4</v>
      </c>
      <c r="D150" s="15">
        <v>-5.2807299218765598E-2</v>
      </c>
      <c r="E150" s="15">
        <v>-5.4724899689246403E-2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6.27</v>
      </c>
      <c r="M150" s="33">
        <v>6.4</v>
      </c>
      <c r="N150" s="34">
        <v>1.0207336523125901</v>
      </c>
      <c r="O150" s="34">
        <v>1.0269470164915</v>
      </c>
      <c r="P150" s="34">
        <v>1.0226579177959001</v>
      </c>
      <c r="Q150" s="34">
        <v>1.02268016077864</v>
      </c>
      <c r="R150" s="33">
        <v>6.4389577934017401</v>
      </c>
      <c r="S150" s="33">
        <v>6.4133367682525702</v>
      </c>
      <c r="T150" s="33">
        <v>6.4125092592449002</v>
      </c>
      <c r="U150" s="15">
        <v>6.0687033314999004E-3</v>
      </c>
      <c r="V150" s="15">
        <v>2.08170179399961E-3</v>
      </c>
      <c r="W150" s="15">
        <v>1.9526640670463401E-3</v>
      </c>
      <c r="X150" s="34">
        <v>1.0207336523125901</v>
      </c>
      <c r="Y150" s="34">
        <v>1.0269470164915</v>
      </c>
      <c r="Z150" s="34">
        <v>1.0226579177959001</v>
      </c>
      <c r="AA150" s="34">
        <v>1.02268016077864</v>
      </c>
      <c r="AB150" s="33">
        <v>6.4389577934017401</v>
      </c>
      <c r="AC150" s="33">
        <v>6.4133367682525702</v>
      </c>
      <c r="AD150" s="33">
        <v>6.4125092592449002</v>
      </c>
      <c r="AE150" s="15">
        <v>6.0687033314999004E-3</v>
      </c>
      <c r="AF150" s="15">
        <v>2.08170179399961E-3</v>
      </c>
      <c r="AG150" s="15">
        <v>1.9526640670463401E-3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5.7460277609991187E-2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4.5046939237621639E-2</v>
      </c>
      <c r="BE150" s="29">
        <f t="shared" si="42"/>
        <v>0</v>
      </c>
      <c r="BF150" s="29">
        <f t="shared" si="43"/>
        <v>0.10250721684761287</v>
      </c>
      <c r="BH150" s="29"/>
    </row>
    <row r="151" spans="1:60" x14ac:dyDescent="0.25">
      <c r="A151" s="1">
        <v>46241</v>
      </c>
      <c r="B151" s="33">
        <v>5.93</v>
      </c>
      <c r="C151" s="33">
        <v>6.11</v>
      </c>
      <c r="D151" s="15">
        <v>-5.57521416351952E-2</v>
      </c>
      <c r="E151" s="15">
        <v>-4.6371217182122101E-2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5.93</v>
      </c>
      <c r="M151" s="33">
        <v>6.11</v>
      </c>
      <c r="N151" s="34">
        <v>1.0303541315345699</v>
      </c>
      <c r="O151" s="34">
        <v>1.0269470164915</v>
      </c>
      <c r="P151" s="34">
        <v>1.0232151968385701</v>
      </c>
      <c r="Q151" s="34">
        <v>1.02283629398169</v>
      </c>
      <c r="R151" s="33">
        <v>6.0897958077946202</v>
      </c>
      <c r="S151" s="33">
        <v>6.06436145252973</v>
      </c>
      <c r="T151" s="33">
        <v>6.0644933534173697</v>
      </c>
      <c r="U151" s="15">
        <v>-3.3122211215732E-3</v>
      </c>
      <c r="V151" s="15">
        <v>-7.4975203319323997E-3</v>
      </c>
      <c r="W151" s="15">
        <v>-7.4757703992708998E-3</v>
      </c>
      <c r="X151" s="34">
        <v>1.0303541315345699</v>
      </c>
      <c r="Y151" s="34">
        <v>1.0269470164915</v>
      </c>
      <c r="Z151" s="34">
        <v>1.0232151968385701</v>
      </c>
      <c r="AA151" s="34">
        <v>1.02283629398169</v>
      </c>
      <c r="AB151" s="33">
        <v>6.0897958077946202</v>
      </c>
      <c r="AC151" s="33">
        <v>6.06436145252973</v>
      </c>
      <c r="AD151" s="33">
        <v>6.0644933534173697</v>
      </c>
      <c r="AE151" s="15">
        <v>-3.3122211215732E-3</v>
      </c>
      <c r="AF151" s="15">
        <v>-7.4975203319323997E-3</v>
      </c>
      <c r="AG151" s="15">
        <v>-7.4757703992708998E-3</v>
      </c>
      <c r="AI151" s="12"/>
      <c r="AJ151">
        <f t="shared" si="46"/>
        <v>1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5.7460277609991187E-2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4.5046939237621639E-2</v>
      </c>
      <c r="BE151" s="29">
        <f t="shared" ref="BE151:BE176" si="62">AQ151+BB151</f>
        <v>0</v>
      </c>
      <c r="BF151" s="29">
        <f t="shared" ref="BF151:BF176" si="63">BF150+BE151</f>
        <v>0.10250721684761287</v>
      </c>
      <c r="BH151" s="29"/>
    </row>
    <row r="152" spans="1:60" x14ac:dyDescent="0.25">
      <c r="A152" s="1">
        <v>46244</v>
      </c>
      <c r="B152" s="33">
        <v>5.68</v>
      </c>
      <c r="C152" s="33">
        <v>5.87</v>
      </c>
      <c r="D152" s="15">
        <v>-4.3072980276574101E-2</v>
      </c>
      <c r="E152" s="15">
        <v>-4.0072139343498799E-2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5.68</v>
      </c>
      <c r="M152" s="33">
        <v>5.87</v>
      </c>
      <c r="N152" s="34">
        <v>1.03345070422535</v>
      </c>
      <c r="O152" s="34">
        <v>1.0269470164915</v>
      </c>
      <c r="P152" s="34">
        <v>1.02439576509661</v>
      </c>
      <c r="Q152" s="34">
        <v>1.0234498276801001</v>
      </c>
      <c r="R152" s="33">
        <v>5.8330590536717501</v>
      </c>
      <c r="S152" s="33">
        <v>5.8118623180431204</v>
      </c>
      <c r="T152" s="33">
        <v>5.8097101498160404</v>
      </c>
      <c r="U152" s="15">
        <v>-6.3130620546483496E-3</v>
      </c>
      <c r="V152" s="15">
        <v>-9.9535776687360803E-3</v>
      </c>
      <c r="W152" s="15">
        <v>-1.03239523762259E-2</v>
      </c>
      <c r="X152" s="34">
        <v>1.03345070422535</v>
      </c>
      <c r="Y152" s="34">
        <v>1.0269470164915</v>
      </c>
      <c r="Z152" s="34">
        <v>1.02439576509661</v>
      </c>
      <c r="AA152" s="34">
        <v>1.0234498276801001</v>
      </c>
      <c r="AB152" s="33">
        <v>5.8330590536717501</v>
      </c>
      <c r="AC152" s="33">
        <v>5.8118623180431204</v>
      </c>
      <c r="AD152" s="33">
        <v>5.8097101498160404</v>
      </c>
      <c r="AE152" s="15">
        <v>-6.3130620546483496E-3</v>
      </c>
      <c r="AF152" s="15">
        <v>-9.9535776687360803E-3</v>
      </c>
      <c r="AG152" s="15">
        <v>-1.03239523762259E-2</v>
      </c>
      <c r="AI152" s="12"/>
      <c r="AJ152">
        <f t="shared" si="46"/>
        <v>1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-4.3072980276574101E-2</v>
      </c>
      <c r="AP152" s="28">
        <f t="shared" si="49"/>
        <v>4.0072139343498799E-2</v>
      </c>
      <c r="AQ152" s="28">
        <f t="shared" si="56"/>
        <v>-3.0008409330753022E-3</v>
      </c>
      <c r="AR152" s="29">
        <f t="shared" si="57"/>
        <v>5.4459436676915884E-2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4.5046939237621639E-2</v>
      </c>
      <c r="BE152" s="29">
        <f t="shared" si="62"/>
        <v>-3.0008409330753022E-3</v>
      </c>
      <c r="BF152" s="29">
        <f t="shared" si="63"/>
        <v>9.9506375914537565E-2</v>
      </c>
      <c r="BH152" s="29"/>
    </row>
    <row r="153" spans="1:60" x14ac:dyDescent="0.25">
      <c r="A153" s="1">
        <v>46245</v>
      </c>
      <c r="B153" s="33">
        <v>5.2</v>
      </c>
      <c r="C153" s="33">
        <v>5.34</v>
      </c>
      <c r="D153" s="15">
        <v>-8.8292607145678104E-2</v>
      </c>
      <c r="E153" s="15">
        <v>-9.4628980867901599E-2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5.2</v>
      </c>
      <c r="M153" s="33">
        <v>5.34</v>
      </c>
      <c r="N153" s="34">
        <v>1.0269230769230699</v>
      </c>
      <c r="O153" s="34">
        <v>1.0269470164915</v>
      </c>
      <c r="P153" s="34">
        <v>1.0246490483986701</v>
      </c>
      <c r="Q153" s="34">
        <v>1.02371406498839</v>
      </c>
      <c r="R153" s="33">
        <v>5.3401244857558297</v>
      </c>
      <c r="S153" s="33">
        <v>5.3268579785023702</v>
      </c>
      <c r="T153" s="33">
        <v>5.3219391039365496</v>
      </c>
      <c r="U153" s="15">
        <v>2.3311667575023301E-5</v>
      </c>
      <c r="V153" s="15">
        <v>-2.46408608301762E-3</v>
      </c>
      <c r="W153" s="15">
        <v>-3.3879228089097801E-3</v>
      </c>
      <c r="X153" s="34">
        <v>1.0269230769230699</v>
      </c>
      <c r="Y153" s="34">
        <v>1.0269470164915</v>
      </c>
      <c r="Z153" s="34">
        <v>1.0246490483986701</v>
      </c>
      <c r="AA153" s="34">
        <v>1.02371406498839</v>
      </c>
      <c r="AB153" s="33">
        <v>5.3401244857558297</v>
      </c>
      <c r="AC153" s="33">
        <v>5.3268579785023702</v>
      </c>
      <c r="AD153" s="33">
        <v>5.3219391039365496</v>
      </c>
      <c r="AE153" s="15">
        <v>2.3311667575023301E-5</v>
      </c>
      <c r="AF153" s="15">
        <v>-2.46408608301762E-3</v>
      </c>
      <c r="AG153" s="15">
        <v>-3.3879228089097801E-3</v>
      </c>
      <c r="AI153" s="12"/>
      <c r="AJ153">
        <f t="shared" si="46"/>
        <v>0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-8.8292607145678104E-2</v>
      </c>
      <c r="AP153" s="28">
        <f t="shared" si="49"/>
        <v>9.4628980867901599E-2</v>
      </c>
      <c r="AQ153" s="28">
        <f t="shared" si="56"/>
        <v>6.3363737222234956E-3</v>
      </c>
      <c r="AR153" s="29">
        <f t="shared" si="57"/>
        <v>6.079581039913938E-2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4.5046939237621639E-2</v>
      </c>
      <c r="BE153" s="29">
        <f t="shared" si="62"/>
        <v>6.3363737222234956E-3</v>
      </c>
      <c r="BF153" s="29">
        <f t="shared" si="63"/>
        <v>0.10584274963676106</v>
      </c>
      <c r="BH153" s="29"/>
    </row>
    <row r="154" spans="1:60" x14ac:dyDescent="0.25">
      <c r="A154" s="1">
        <v>46246</v>
      </c>
      <c r="B154" s="33">
        <v>5.12</v>
      </c>
      <c r="C154" s="33">
        <v>5.26</v>
      </c>
      <c r="D154" s="15">
        <v>-1.55041865359653E-2</v>
      </c>
      <c r="E154" s="15">
        <v>-1.5094626222485001E-2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5.12</v>
      </c>
      <c r="M154" s="33">
        <v>5.26</v>
      </c>
      <c r="N154" s="34">
        <v>1.02734375</v>
      </c>
      <c r="O154" s="34">
        <v>1.0269470164915</v>
      </c>
      <c r="P154" s="34">
        <v>1.02521265639433</v>
      </c>
      <c r="Q154" s="34">
        <v>1.02396184950331</v>
      </c>
      <c r="R154" s="33">
        <v>5.2579687244365099</v>
      </c>
      <c r="S154" s="33">
        <v>5.24620312780121</v>
      </c>
      <c r="T154" s="33">
        <v>5.2414160127405696</v>
      </c>
      <c r="U154" s="15">
        <v>-3.86248645905202E-4</v>
      </c>
      <c r="V154" s="15">
        <v>-2.6264255434589301E-3</v>
      </c>
      <c r="W154" s="15">
        <v>-3.5393334835649398E-3</v>
      </c>
      <c r="X154" s="34">
        <v>1.02734375</v>
      </c>
      <c r="Y154" s="34">
        <v>1.0269470164915</v>
      </c>
      <c r="Z154" s="34">
        <v>1.02521265639433</v>
      </c>
      <c r="AA154" s="34">
        <v>1.02396184950331</v>
      </c>
      <c r="AB154" s="33">
        <v>5.2579687244365099</v>
      </c>
      <c r="AC154" s="33">
        <v>5.24620312780121</v>
      </c>
      <c r="AD154" s="33">
        <v>5.2414160127405696</v>
      </c>
      <c r="AE154" s="15">
        <v>-3.86248645905202E-4</v>
      </c>
      <c r="AF154" s="15">
        <v>-2.6264255434589301E-3</v>
      </c>
      <c r="AG154" s="15">
        <v>-3.5393334835649398E-3</v>
      </c>
      <c r="AI154" s="12"/>
      <c r="AJ154">
        <f t="shared" si="46"/>
        <v>0</v>
      </c>
      <c r="AK154">
        <f t="shared" si="47"/>
        <v>0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-1.55041865359653E-2</v>
      </c>
      <c r="AP154" s="28">
        <f t="shared" si="49"/>
        <v>1.5094626222485001E-2</v>
      </c>
      <c r="AQ154" s="28">
        <f t="shared" si="56"/>
        <v>-4.095603134802988E-4</v>
      </c>
      <c r="AR154" s="29">
        <f t="shared" si="57"/>
        <v>6.0386250085659079E-2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4.5046939237621639E-2</v>
      </c>
      <c r="BE154" s="29">
        <f t="shared" si="62"/>
        <v>-4.095603134802988E-4</v>
      </c>
      <c r="BF154" s="29">
        <f t="shared" si="63"/>
        <v>0.10543318932328076</v>
      </c>
      <c r="BH154" s="29"/>
    </row>
    <row r="155" spans="1:60" x14ac:dyDescent="0.25">
      <c r="A155" s="1">
        <v>46247</v>
      </c>
      <c r="B155" s="33">
        <v>5.24</v>
      </c>
      <c r="C155" s="33">
        <v>5.35</v>
      </c>
      <c r="D155" s="15">
        <v>2.31670592815343E-2</v>
      </c>
      <c r="E155" s="15">
        <v>1.6965534158296599E-2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5.24</v>
      </c>
      <c r="M155" s="33">
        <v>5.35</v>
      </c>
      <c r="N155" s="34">
        <v>1.02099236641221</v>
      </c>
      <c r="O155" s="34">
        <v>1.0269470164915</v>
      </c>
      <c r="P155" s="34">
        <v>1.0250663840535099</v>
      </c>
      <c r="Q155" s="34">
        <v>1.0238831180354899</v>
      </c>
      <c r="R155" s="33">
        <v>5.38120236641549</v>
      </c>
      <c r="S155" s="33">
        <v>5.3721143195063004</v>
      </c>
      <c r="T155" s="33">
        <v>5.3655600913973904</v>
      </c>
      <c r="U155" s="15">
        <v>5.8152764773324898E-3</v>
      </c>
      <c r="V155" s="15">
        <v>4.1249981495634297E-3</v>
      </c>
      <c r="W155" s="15">
        <v>2.9042070039022E-3</v>
      </c>
      <c r="X155" s="34">
        <v>1.02099236641221</v>
      </c>
      <c r="Y155" s="34">
        <v>1.0269470164915</v>
      </c>
      <c r="Z155" s="34">
        <v>1.0250663840535099</v>
      </c>
      <c r="AA155" s="34">
        <v>1.0238831180354899</v>
      </c>
      <c r="AB155" s="33">
        <v>5.38120236641549</v>
      </c>
      <c r="AC155" s="33">
        <v>5.3721143195063004</v>
      </c>
      <c r="AD155" s="33">
        <v>5.3655600913973904</v>
      </c>
      <c r="AE155" s="15">
        <v>5.8152764773324898E-3</v>
      </c>
      <c r="AF155" s="15">
        <v>4.1249981495634297E-3</v>
      </c>
      <c r="AG155" s="15">
        <v>2.9042070039022E-3</v>
      </c>
      <c r="AI155" s="12"/>
      <c r="AJ155">
        <f t="shared" si="46"/>
        <v>0</v>
      </c>
      <c r="AK155">
        <f t="shared" si="47"/>
        <v>1</v>
      </c>
      <c r="AL155">
        <f t="shared" si="54"/>
        <v>1</v>
      </c>
      <c r="AM155">
        <f t="shared" si="44"/>
        <v>1</v>
      </c>
      <c r="AN155">
        <f t="shared" si="55"/>
        <v>1</v>
      </c>
      <c r="AO155" s="28">
        <f t="shared" si="48"/>
        <v>2.31670592815343E-2</v>
      </c>
      <c r="AP155" s="28">
        <f t="shared" si="49"/>
        <v>-1.6965534158296599E-2</v>
      </c>
      <c r="AQ155" s="28">
        <f t="shared" si="56"/>
        <v>6.2015251232377007E-3</v>
      </c>
      <c r="AR155" s="29">
        <f t="shared" si="57"/>
        <v>6.6587775208896777E-2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4.5046939237621639E-2</v>
      </c>
      <c r="BE155" s="29">
        <f t="shared" si="62"/>
        <v>6.2015251232377007E-3</v>
      </c>
      <c r="BF155" s="29">
        <f t="shared" si="63"/>
        <v>0.11163471444651846</v>
      </c>
      <c r="BH155" s="29"/>
    </row>
    <row r="156" spans="1:60" x14ac:dyDescent="0.25">
      <c r="A156" s="1">
        <v>46248</v>
      </c>
      <c r="B156" s="33">
        <v>5.25</v>
      </c>
      <c r="C156" s="33">
        <v>5.36</v>
      </c>
      <c r="D156" s="15">
        <v>1.90657827058144E-3</v>
      </c>
      <c r="E156" s="15">
        <v>1.86741417479546E-3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5.25</v>
      </c>
      <c r="M156" s="33">
        <v>5.36</v>
      </c>
      <c r="N156" s="34">
        <v>1.0209523809523799</v>
      </c>
      <c r="O156" s="34">
        <v>1.0269470164915</v>
      </c>
      <c r="P156" s="34">
        <v>1.02469629086986</v>
      </c>
      <c r="Q156" s="34">
        <v>1.0239005173028899</v>
      </c>
      <c r="R156" s="33">
        <v>5.3914718365803997</v>
      </c>
      <c r="S156" s="33">
        <v>5.3815985162809703</v>
      </c>
      <c r="T156" s="33">
        <v>5.3753863696863498</v>
      </c>
      <c r="U156" s="15">
        <v>5.8544405731183902E-3</v>
      </c>
      <c r="V156" s="15">
        <v>4.0214769442980802E-3</v>
      </c>
      <c r="W156" s="15">
        <v>2.8664790799206399E-3</v>
      </c>
      <c r="X156" s="34">
        <v>1.0209523809523799</v>
      </c>
      <c r="Y156" s="34">
        <v>1.0269470164915</v>
      </c>
      <c r="Z156" s="34">
        <v>1.02469629086986</v>
      </c>
      <c r="AA156" s="34">
        <v>1.0239005173028899</v>
      </c>
      <c r="AB156" s="33">
        <v>5.3914718365803997</v>
      </c>
      <c r="AC156" s="33">
        <v>5.3815985162809703</v>
      </c>
      <c r="AD156" s="33">
        <v>5.3753863696863498</v>
      </c>
      <c r="AE156" s="15">
        <v>5.8544405731183902E-3</v>
      </c>
      <c r="AF156" s="15">
        <v>4.0214769442980802E-3</v>
      </c>
      <c r="AG156" s="15">
        <v>2.8664790799206399E-3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6.6587775208896777E-2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4.5046939237621639E-2</v>
      </c>
      <c r="BE156" s="29">
        <f t="shared" si="62"/>
        <v>0</v>
      </c>
      <c r="BF156" s="29">
        <f t="shared" si="63"/>
        <v>0.11163471444651846</v>
      </c>
      <c r="BH156" s="29"/>
    </row>
    <row r="157" spans="1:60" x14ac:dyDescent="0.25">
      <c r="A157" s="1">
        <v>46251</v>
      </c>
      <c r="B157" s="33">
        <v>5.19</v>
      </c>
      <c r="C157" s="33">
        <v>5.29</v>
      </c>
      <c r="D157" s="15">
        <v>-1.1494379425735E-2</v>
      </c>
      <c r="E157" s="15">
        <v>-1.3145729212502601E-2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5.19</v>
      </c>
      <c r="M157" s="33">
        <v>5.29</v>
      </c>
      <c r="N157" s="34">
        <v>1.0192678227360299</v>
      </c>
      <c r="O157" s="34">
        <v>1.0269470164915</v>
      </c>
      <c r="P157" s="34">
        <v>1.02436062970455</v>
      </c>
      <c r="Q157" s="34">
        <v>1.0238120150315599</v>
      </c>
      <c r="R157" s="33">
        <v>5.3298550155909101</v>
      </c>
      <c r="S157" s="33">
        <v>5.3181737496146004</v>
      </c>
      <c r="T157" s="33">
        <v>5.3140436848020203</v>
      </c>
      <c r="U157" s="15">
        <v>7.5057903598862103E-3</v>
      </c>
      <c r="V157" s="15">
        <v>5.3117184015973803E-3</v>
      </c>
      <c r="W157" s="15">
        <v>4.5348221340428601E-3</v>
      </c>
      <c r="X157" s="34">
        <v>1.0192678227360299</v>
      </c>
      <c r="Y157" s="34">
        <v>1.0269470164915</v>
      </c>
      <c r="Z157" s="34">
        <v>1.02436062970455</v>
      </c>
      <c r="AA157" s="34">
        <v>1.0238120150315599</v>
      </c>
      <c r="AB157" s="33">
        <v>5.3298550155909101</v>
      </c>
      <c r="AC157" s="33">
        <v>5.3181737496146004</v>
      </c>
      <c r="AD157" s="33">
        <v>5.3140436848020203</v>
      </c>
      <c r="AE157" s="15">
        <v>7.5057903598862103E-3</v>
      </c>
      <c r="AF157" s="15">
        <v>5.3117184015973803E-3</v>
      </c>
      <c r="AG157" s="15">
        <v>4.5348221340428601E-3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6.6587775208896777E-2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4.5046939237621639E-2</v>
      </c>
      <c r="BE157" s="29">
        <f t="shared" si="62"/>
        <v>0</v>
      </c>
      <c r="BF157" s="29">
        <f t="shared" si="63"/>
        <v>0.11163471444651846</v>
      </c>
      <c r="BH157" s="29"/>
    </row>
    <row r="158" spans="1:60" x14ac:dyDescent="0.25">
      <c r="A158" s="1">
        <v>46252</v>
      </c>
      <c r="B158" s="33">
        <v>4.9400000000000004</v>
      </c>
      <c r="C158" s="33">
        <v>5.07</v>
      </c>
      <c r="D158" s="15">
        <v>-4.9368365977966101E-2</v>
      </c>
      <c r="E158" s="15">
        <v>-4.2477428267116098E-2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4.9400000000000004</v>
      </c>
      <c r="M158" s="33">
        <v>5.07</v>
      </c>
      <c r="N158" s="34">
        <v>1.0263157894736801</v>
      </c>
      <c r="O158" s="34">
        <v>1.0269470164915</v>
      </c>
      <c r="P158" s="34">
        <v>1.0249026564131101</v>
      </c>
      <c r="Q158" s="34">
        <v>1.0240182344636299</v>
      </c>
      <c r="R158" s="33">
        <v>5.0731182614680304</v>
      </c>
      <c r="S158" s="33">
        <v>5.0603415107404999</v>
      </c>
      <c r="T158" s="33">
        <v>5.0576313542559097</v>
      </c>
      <c r="U158" s="15">
        <v>6.14852649036242E-4</v>
      </c>
      <c r="V158" s="15">
        <v>-1.9068443400099E-3</v>
      </c>
      <c r="W158" s="15">
        <v>-2.4425557093853498E-3</v>
      </c>
      <c r="X158" s="34">
        <v>1.0263157894736801</v>
      </c>
      <c r="Y158" s="34">
        <v>1.0269470164915</v>
      </c>
      <c r="Z158" s="34">
        <v>1.0249026564131101</v>
      </c>
      <c r="AA158" s="34">
        <v>1.0240182344636299</v>
      </c>
      <c r="AB158" s="33">
        <v>5.0731182614680304</v>
      </c>
      <c r="AC158" s="33">
        <v>5.0603415107404999</v>
      </c>
      <c r="AD158" s="33">
        <v>5.0576313542559097</v>
      </c>
      <c r="AE158" s="15">
        <v>6.14852649036242E-4</v>
      </c>
      <c r="AF158" s="15">
        <v>-1.9068443400099E-3</v>
      </c>
      <c r="AG158" s="15">
        <v>-2.4425557093853498E-3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6.6587775208896777E-2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4.5046939237621639E-2</v>
      </c>
      <c r="BE158" s="29">
        <f t="shared" si="62"/>
        <v>0</v>
      </c>
      <c r="BF158" s="29">
        <f t="shared" si="63"/>
        <v>0.11163471444651846</v>
      </c>
      <c r="BH158" s="29"/>
    </row>
    <row r="159" spans="1:60" x14ac:dyDescent="0.25">
      <c r="A159" s="1">
        <v>46253</v>
      </c>
      <c r="B159" s="33">
        <v>5.13</v>
      </c>
      <c r="C159" s="33">
        <v>5.25</v>
      </c>
      <c r="D159" s="15">
        <v>3.7740327982846898E-2</v>
      </c>
      <c r="E159" s="15">
        <v>3.4887259000440499E-2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5.13</v>
      </c>
      <c r="M159" s="33">
        <v>5.25</v>
      </c>
      <c r="N159" s="34">
        <v>1.02339181286549</v>
      </c>
      <c r="O159" s="34">
        <v>1.0269470164915</v>
      </c>
      <c r="P159" s="34">
        <v>1.0249725487435399</v>
      </c>
      <c r="Q159" s="34">
        <v>1.02391663866623</v>
      </c>
      <c r="R159" s="33">
        <v>5.2682381946014196</v>
      </c>
      <c r="S159" s="33">
        <v>5.2577506273992896</v>
      </c>
      <c r="T159" s="33">
        <v>5.2532135427984503</v>
      </c>
      <c r="U159" s="15">
        <v>3.4679216314425299E-3</v>
      </c>
      <c r="V159" s="15">
        <v>1.4752213065871299E-3</v>
      </c>
      <c r="W159" s="15">
        <v>6.11916131313187E-4</v>
      </c>
      <c r="X159" s="34">
        <v>1.02339181286549</v>
      </c>
      <c r="Y159" s="34">
        <v>1.0269470164915</v>
      </c>
      <c r="Z159" s="34">
        <v>1.0249725487435399</v>
      </c>
      <c r="AA159" s="34">
        <v>1.02391663866623</v>
      </c>
      <c r="AB159" s="33">
        <v>5.2682381946014196</v>
      </c>
      <c r="AC159" s="33">
        <v>5.2577506273992896</v>
      </c>
      <c r="AD159" s="33">
        <v>5.2532135427984503</v>
      </c>
      <c r="AE159" s="15">
        <v>3.4679216314425299E-3</v>
      </c>
      <c r="AF159" s="15">
        <v>1.4752213065871299E-3</v>
      </c>
      <c r="AG159" s="15">
        <v>6.11916131313187E-4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6.6587775208896777E-2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4.5046939237621639E-2</v>
      </c>
      <c r="BE159" s="29">
        <f t="shared" si="62"/>
        <v>0</v>
      </c>
      <c r="BF159" s="29">
        <f t="shared" si="63"/>
        <v>0.11163471444651846</v>
      </c>
      <c r="BH159" s="29"/>
    </row>
    <row r="160" spans="1:60" x14ac:dyDescent="0.25">
      <c r="A160" s="1">
        <v>46254</v>
      </c>
      <c r="B160" s="33">
        <v>5.15</v>
      </c>
      <c r="C160" s="33">
        <v>5.3</v>
      </c>
      <c r="D160" s="15">
        <v>3.89105549296672E-3</v>
      </c>
      <c r="E160" s="15">
        <v>9.4787439545437301E-3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5.15</v>
      </c>
      <c r="M160" s="33">
        <v>5.3</v>
      </c>
      <c r="N160" s="34">
        <v>1.0291262135922301</v>
      </c>
      <c r="O160" s="34">
        <v>1.0269470164915</v>
      </c>
      <c r="P160" s="34">
        <v>1.0258118048714999</v>
      </c>
      <c r="Q160" s="34">
        <v>1.0242348613337</v>
      </c>
      <c r="R160" s="33">
        <v>5.2887771349312498</v>
      </c>
      <c r="S160" s="33">
        <v>5.2786086260292304</v>
      </c>
      <c r="T160" s="33">
        <v>5.2731706891311001</v>
      </c>
      <c r="U160" s="15">
        <v>-2.1197668301345001E-3</v>
      </c>
      <c r="V160" s="15">
        <v>-4.0442753643151596E-3</v>
      </c>
      <c r="W160" s="15">
        <v>-5.0749901313957299E-3</v>
      </c>
      <c r="X160" s="34">
        <v>1.0291262135922301</v>
      </c>
      <c r="Y160" s="34">
        <v>1.0269470164915</v>
      </c>
      <c r="Z160" s="34">
        <v>1.0258118048714999</v>
      </c>
      <c r="AA160" s="34">
        <v>1.0242348613337</v>
      </c>
      <c r="AB160" s="33">
        <v>5.2887771349312498</v>
      </c>
      <c r="AC160" s="33">
        <v>5.2786086260292304</v>
      </c>
      <c r="AD160" s="33">
        <v>5.2731706891311001</v>
      </c>
      <c r="AE160" s="15">
        <v>-2.1197668301345001E-3</v>
      </c>
      <c r="AF160" s="15">
        <v>-4.0442753643151596E-3</v>
      </c>
      <c r="AG160" s="15">
        <v>-5.0749901313957299E-3</v>
      </c>
      <c r="AI160" s="12"/>
      <c r="AJ160">
        <f t="shared" si="46"/>
        <v>1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6.6587775208896777E-2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4.5046939237621639E-2</v>
      </c>
      <c r="BE160" s="29">
        <f t="shared" si="62"/>
        <v>0</v>
      </c>
      <c r="BF160" s="29">
        <f t="shared" si="63"/>
        <v>0.11163471444651846</v>
      </c>
      <c r="BH160" s="29"/>
    </row>
    <row r="161" spans="1:60" x14ac:dyDescent="0.25">
      <c r="A161" s="1">
        <v>46255</v>
      </c>
      <c r="B161" s="33">
        <v>5.24</v>
      </c>
      <c r="C161" s="33">
        <v>5.39</v>
      </c>
      <c r="D161" s="15">
        <v>1.7324783657305901E-2</v>
      </c>
      <c r="E161" s="15">
        <v>1.6838564362829499E-2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5.24</v>
      </c>
      <c r="M161" s="33">
        <v>5.39</v>
      </c>
      <c r="N161" s="34">
        <v>1.0286259541984699</v>
      </c>
      <c r="O161" s="34">
        <v>1.0269470164915</v>
      </c>
      <c r="P161" s="34">
        <v>1.0256389871378899</v>
      </c>
      <c r="Q161" s="34">
        <v>1.0244270919882299</v>
      </c>
      <c r="R161" s="33">
        <v>5.38120236641549</v>
      </c>
      <c r="S161" s="33">
        <v>5.3752538575266797</v>
      </c>
      <c r="T161" s="33">
        <v>5.3669906733886199</v>
      </c>
      <c r="U161" s="15">
        <v>-1.63354753565806E-3</v>
      </c>
      <c r="V161" s="15">
        <v>-2.73958271515821E-3</v>
      </c>
      <c r="W161" s="15">
        <v>-4.2780294976847901E-3</v>
      </c>
      <c r="X161" s="34">
        <v>1.0286259541984699</v>
      </c>
      <c r="Y161" s="34">
        <v>1.0269470164915</v>
      </c>
      <c r="Z161" s="34">
        <v>1.0256389871378899</v>
      </c>
      <c r="AA161" s="34">
        <v>1.0244270919882299</v>
      </c>
      <c r="AB161" s="33">
        <v>5.38120236641549</v>
      </c>
      <c r="AC161" s="33">
        <v>5.3752538575266797</v>
      </c>
      <c r="AD161" s="33">
        <v>5.3669906733886199</v>
      </c>
      <c r="AE161" s="15">
        <v>-1.63354753565806E-3</v>
      </c>
      <c r="AF161" s="15">
        <v>-2.73958271515821E-3</v>
      </c>
      <c r="AG161" s="15">
        <v>-4.2780294976847901E-3</v>
      </c>
      <c r="AI161" s="12"/>
      <c r="AJ161">
        <f t="shared" si="46"/>
        <v>0</v>
      </c>
      <c r="AK161">
        <f t="shared" si="47"/>
        <v>0</v>
      </c>
      <c r="AL161">
        <f t="shared" si="54"/>
        <v>1</v>
      </c>
      <c r="AM161">
        <f t="shared" si="44"/>
        <v>1</v>
      </c>
      <c r="AN161">
        <f t="shared" si="55"/>
        <v>1</v>
      </c>
      <c r="AO161" s="28">
        <f t="shared" si="48"/>
        <v>1.7324783657305901E-2</v>
      </c>
      <c r="AP161" s="28">
        <f t="shared" si="49"/>
        <v>-1.6838564362829499E-2</v>
      </c>
      <c r="AQ161" s="28">
        <f t="shared" si="56"/>
        <v>4.8621929447640114E-4</v>
      </c>
      <c r="AR161" s="29">
        <f t="shared" si="57"/>
        <v>6.7073994503373174E-2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4.5046939237621639E-2</v>
      </c>
      <c r="BE161" s="29">
        <f t="shared" si="62"/>
        <v>4.8621929447640114E-4</v>
      </c>
      <c r="BF161" s="29">
        <f t="shared" si="63"/>
        <v>0.11212093374099485</v>
      </c>
      <c r="BH161" s="29"/>
    </row>
    <row r="162" spans="1:60" x14ac:dyDescent="0.25">
      <c r="A162" s="1">
        <v>46258</v>
      </c>
      <c r="B162" s="33">
        <v>5.23</v>
      </c>
      <c r="C162" s="33">
        <v>5.37</v>
      </c>
      <c r="D162" s="15">
        <v>-1.91022025611923E-3</v>
      </c>
      <c r="E162" s="15">
        <v>-3.7174764001324202E-3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5.23</v>
      </c>
      <c r="M162" s="33">
        <v>5.37</v>
      </c>
      <c r="N162" s="34">
        <v>1.0267686424474101</v>
      </c>
      <c r="O162" s="34">
        <v>1.0269470164915</v>
      </c>
      <c r="P162" s="34">
        <v>1.0249707809601001</v>
      </c>
      <c r="Q162" s="34">
        <v>1.0246832730283499</v>
      </c>
      <c r="R162" s="33">
        <v>5.3709328962505696</v>
      </c>
      <c r="S162" s="33">
        <v>5.3640919027311798</v>
      </c>
      <c r="T162" s="33">
        <v>5.3577536910984698</v>
      </c>
      <c r="U162" s="15">
        <v>1.7370860835514801E-4</v>
      </c>
      <c r="V162" s="15">
        <v>-1.10081000218007E-3</v>
      </c>
      <c r="W162" s="15">
        <v>-2.2831087613918799E-3</v>
      </c>
      <c r="X162" s="34">
        <v>1.0267686424474101</v>
      </c>
      <c r="Y162" s="34">
        <v>1.0269470164915</v>
      </c>
      <c r="Z162" s="34">
        <v>1.0249707809601001</v>
      </c>
      <c r="AA162" s="34">
        <v>1.0246832730283499</v>
      </c>
      <c r="AB162" s="33">
        <v>5.3709328962505696</v>
      </c>
      <c r="AC162" s="33">
        <v>5.3640919027311798</v>
      </c>
      <c r="AD162" s="33">
        <v>5.3577536910984698</v>
      </c>
      <c r="AE162" s="15">
        <v>1.7370860835514801E-4</v>
      </c>
      <c r="AF162" s="15">
        <v>-1.10081000218007E-3</v>
      </c>
      <c r="AG162" s="15">
        <v>-2.2831087613918799E-3</v>
      </c>
      <c r="AI162" s="12"/>
      <c r="AJ162">
        <f t="shared" si="46"/>
        <v>0</v>
      </c>
      <c r="AK162">
        <f t="shared" si="47"/>
        <v>1</v>
      </c>
      <c r="AL162">
        <f t="shared" si="54"/>
        <v>1</v>
      </c>
      <c r="AM162">
        <f t="shared" si="44"/>
        <v>1</v>
      </c>
      <c r="AN162">
        <f t="shared" si="55"/>
        <v>1</v>
      </c>
      <c r="AO162" s="28">
        <f t="shared" si="48"/>
        <v>-1.91022025611923E-3</v>
      </c>
      <c r="AP162" s="28">
        <f t="shared" si="49"/>
        <v>3.7174764001324202E-3</v>
      </c>
      <c r="AQ162" s="28">
        <f t="shared" si="56"/>
        <v>1.8072561440131902E-3</v>
      </c>
      <c r="AR162" s="29">
        <f t="shared" si="57"/>
        <v>6.8881250647386358E-2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4.5046939237621639E-2</v>
      </c>
      <c r="BE162" s="29">
        <f t="shared" si="62"/>
        <v>1.8072561440131902E-3</v>
      </c>
      <c r="BF162" s="29">
        <f t="shared" si="63"/>
        <v>0.11392818988500804</v>
      </c>
      <c r="BH162" s="29"/>
    </row>
    <row r="163" spans="1:60" x14ac:dyDescent="0.25">
      <c r="A163" s="1">
        <v>46259</v>
      </c>
      <c r="B163" s="33">
        <v>5</v>
      </c>
      <c r="C163" s="33">
        <v>5.12</v>
      </c>
      <c r="D163" s="15">
        <v>-4.4973365642731203E-2</v>
      </c>
      <c r="E163" s="15">
        <v>-4.7673469469356897E-2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5</v>
      </c>
      <c r="M163" s="33">
        <v>5.12</v>
      </c>
      <c r="N163" s="34">
        <v>1.024</v>
      </c>
      <c r="O163" s="34">
        <v>1.0269470164915</v>
      </c>
      <c r="P163" s="34">
        <v>1.02467847326779</v>
      </c>
      <c r="Q163" s="34">
        <v>1.0246637608332301</v>
      </c>
      <c r="R163" s="33">
        <v>5.13473508245752</v>
      </c>
      <c r="S163" s="33">
        <v>5.1248539048005002</v>
      </c>
      <c r="T163" s="33">
        <v>5.1234163651417797</v>
      </c>
      <c r="U163" s="15">
        <v>2.8738124349807501E-3</v>
      </c>
      <c r="V163" s="15">
        <v>9.47579186351519E-4</v>
      </c>
      <c r="W163" s="15">
        <v>6.67036298569045E-4</v>
      </c>
      <c r="X163" s="34">
        <v>1.024</v>
      </c>
      <c r="Y163" s="34">
        <v>1.0269470164915</v>
      </c>
      <c r="Z163" s="34">
        <v>1.02467847326779</v>
      </c>
      <c r="AA163" s="34">
        <v>1.0246637608332301</v>
      </c>
      <c r="AB163" s="33">
        <v>5.13473508245752</v>
      </c>
      <c r="AC163" s="33">
        <v>5.1248539048005002</v>
      </c>
      <c r="AD163" s="33">
        <v>5.1234163651417797</v>
      </c>
      <c r="AE163" s="15">
        <v>2.8738124349807501E-3</v>
      </c>
      <c r="AF163" s="15">
        <v>9.47579186351519E-4</v>
      </c>
      <c r="AG163" s="15">
        <v>6.67036298569045E-4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6.8881250647386358E-2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4.5046939237621639E-2</v>
      </c>
      <c r="BE163" s="29">
        <f t="shared" si="62"/>
        <v>0</v>
      </c>
      <c r="BF163" s="29">
        <f t="shared" si="63"/>
        <v>0.11392818988500804</v>
      </c>
      <c r="BH163" s="29"/>
    </row>
    <row r="164" spans="1:60" x14ac:dyDescent="0.25">
      <c r="A164" s="1">
        <v>46260</v>
      </c>
      <c r="B164" s="33">
        <v>5.0199999999999996</v>
      </c>
      <c r="C164" s="33">
        <v>5.15</v>
      </c>
      <c r="D164" s="15">
        <v>3.9920212695374498E-3</v>
      </c>
      <c r="E164" s="15">
        <v>5.84227562422836E-3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5.0199999999999996</v>
      </c>
      <c r="M164" s="33">
        <v>5.15</v>
      </c>
      <c r="N164" s="34">
        <v>1.0258964143426199</v>
      </c>
      <c r="O164" s="34">
        <v>1.0269470164915</v>
      </c>
      <c r="P164" s="34">
        <v>1.02453373970205</v>
      </c>
      <c r="Q164" s="34">
        <v>1.02487319804819</v>
      </c>
      <c r="R164" s="33">
        <v>5.1552740227873501</v>
      </c>
      <c r="S164" s="33">
        <v>5.1438859358043203</v>
      </c>
      <c r="T164" s="33">
        <v>5.1438120793828297</v>
      </c>
      <c r="U164" s="15">
        <v>1.0235580802895701E-3</v>
      </c>
      <c r="V164" s="15">
        <v>-1.1879022077332399E-3</v>
      </c>
      <c r="W164" s="15">
        <v>-1.2022604094179201E-3</v>
      </c>
      <c r="X164" s="34">
        <v>1.0258964143426199</v>
      </c>
      <c r="Y164" s="34">
        <v>1.0269470164915</v>
      </c>
      <c r="Z164" s="34">
        <v>1.02453373970205</v>
      </c>
      <c r="AA164" s="34">
        <v>1.02487319804819</v>
      </c>
      <c r="AB164" s="33">
        <v>5.1552740227873501</v>
      </c>
      <c r="AC164" s="33">
        <v>5.1438859358043203</v>
      </c>
      <c r="AD164" s="33">
        <v>5.1438120793828297</v>
      </c>
      <c r="AE164" s="15">
        <v>1.0235580802895701E-3</v>
      </c>
      <c r="AF164" s="15">
        <v>-1.1879022077332399E-3</v>
      </c>
      <c r="AG164" s="15">
        <v>-1.2022604094179201E-3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6.8881250647386358E-2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4.5046939237621639E-2</v>
      </c>
      <c r="BE164" s="29">
        <f t="shared" si="62"/>
        <v>0</v>
      </c>
      <c r="BF164" s="29">
        <f t="shared" si="63"/>
        <v>0.11392818988500804</v>
      </c>
      <c r="BH164" s="29"/>
    </row>
    <row r="165" spans="1:60" x14ac:dyDescent="0.25">
      <c r="A165" s="1">
        <v>46261</v>
      </c>
      <c r="B165" s="33">
        <v>4.96</v>
      </c>
      <c r="C165" s="33">
        <v>5.07</v>
      </c>
      <c r="D165" s="15">
        <v>-1.2024192966801499E-2</v>
      </c>
      <c r="E165" s="15">
        <v>-1.5655897072553E-2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4.96</v>
      </c>
      <c r="M165" s="33">
        <v>5.07</v>
      </c>
      <c r="N165" s="34">
        <v>1.0221774193548301</v>
      </c>
      <c r="O165" s="34">
        <v>1.0269470164915</v>
      </c>
      <c r="P165" s="34">
        <v>1.02465224499631</v>
      </c>
      <c r="Q165" s="34">
        <v>1.0248593145249101</v>
      </c>
      <c r="R165" s="33">
        <v>5.0936572017978596</v>
      </c>
      <c r="S165" s="33">
        <v>5.0816873489221903</v>
      </c>
      <c r="T165" s="33">
        <v>5.0833710623190402</v>
      </c>
      <c r="U165" s="15">
        <v>4.6552621860409399E-3</v>
      </c>
      <c r="V165" s="15">
        <v>2.3025441355846799E-3</v>
      </c>
      <c r="W165" s="15">
        <v>2.6338188502255402E-3</v>
      </c>
      <c r="X165" s="34">
        <v>1.0221774193548301</v>
      </c>
      <c r="Y165" s="34">
        <v>1.0269470164915</v>
      </c>
      <c r="Z165" s="34">
        <v>1.02465224499631</v>
      </c>
      <c r="AA165" s="34">
        <v>1.0248593145249101</v>
      </c>
      <c r="AB165" s="33">
        <v>5.0936572017978596</v>
      </c>
      <c r="AC165" s="33">
        <v>5.0816873489221903</v>
      </c>
      <c r="AD165" s="33">
        <v>5.0833710623190402</v>
      </c>
      <c r="AE165" s="15">
        <v>4.6552621860409399E-3</v>
      </c>
      <c r="AF165" s="15">
        <v>2.3025441355846799E-3</v>
      </c>
      <c r="AG165" s="15">
        <v>2.6338188502255402E-3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6.8881250647386358E-2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4.5046939237621639E-2</v>
      </c>
      <c r="BE165" s="29">
        <f t="shared" si="62"/>
        <v>0</v>
      </c>
      <c r="BF165" s="29">
        <f t="shared" si="63"/>
        <v>0.11392818988500804</v>
      </c>
      <c r="BH165" s="29"/>
    </row>
    <row r="166" spans="1:60" x14ac:dyDescent="0.25">
      <c r="A166" s="1">
        <v>46262</v>
      </c>
      <c r="B166" s="33">
        <v>4.9400000000000004</v>
      </c>
      <c r="C166" s="33">
        <v>5.08</v>
      </c>
      <c r="D166" s="15">
        <v>-4.0404095370048599E-3</v>
      </c>
      <c r="E166" s="15">
        <v>1.9704439872987299E-3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4.9400000000000004</v>
      </c>
      <c r="M166" s="33">
        <v>5.08</v>
      </c>
      <c r="N166" s="34">
        <v>1.0283400809716501</v>
      </c>
      <c r="O166" s="34">
        <v>1.0269470164915</v>
      </c>
      <c r="P166" s="34">
        <v>1.0253910149982399</v>
      </c>
      <c r="Q166" s="34">
        <v>1.0250436529340501</v>
      </c>
      <c r="R166" s="33">
        <v>5.0731182614680304</v>
      </c>
      <c r="S166" s="33">
        <v>5.0617820902818096</v>
      </c>
      <c r="T166" s="33">
        <v>5.0628050137530902</v>
      </c>
      <c r="U166" s="15">
        <v>-1.3555913382625299E-3</v>
      </c>
      <c r="V166" s="15">
        <v>-3.5926485406752701E-3</v>
      </c>
      <c r="W166" s="15">
        <v>-3.3905813424273301E-3</v>
      </c>
      <c r="X166" s="34">
        <v>1.0283400809716501</v>
      </c>
      <c r="Y166" s="34">
        <v>1.0269470164915</v>
      </c>
      <c r="Z166" s="34">
        <v>1.0253910149982399</v>
      </c>
      <c r="AA166" s="34">
        <v>1.0250436529340501</v>
      </c>
      <c r="AB166" s="33">
        <v>5.0731182614680304</v>
      </c>
      <c r="AC166" s="33">
        <v>5.0617820902818096</v>
      </c>
      <c r="AD166" s="33">
        <v>5.0628050137530902</v>
      </c>
      <c r="AE166" s="15">
        <v>-1.3555913382625299E-3</v>
      </c>
      <c r="AF166" s="15">
        <v>-3.5926485406752701E-3</v>
      </c>
      <c r="AG166" s="15">
        <v>-3.3905813424273301E-3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6.8881250647386358E-2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4.5046939237621639E-2</v>
      </c>
      <c r="BE166" s="29">
        <f t="shared" si="62"/>
        <v>0</v>
      </c>
      <c r="BF166" s="29">
        <f t="shared" si="63"/>
        <v>0.11392818988500804</v>
      </c>
      <c r="BH166" s="29"/>
    </row>
    <row r="167" spans="1:60" x14ac:dyDescent="0.25">
      <c r="A167" s="1">
        <v>46265</v>
      </c>
      <c r="B167" s="33">
        <v>4.93</v>
      </c>
      <c r="C167" s="33">
        <v>5.04</v>
      </c>
      <c r="D167" s="15">
        <v>-2.0263431452325802E-3</v>
      </c>
      <c r="E167" s="15">
        <v>-7.9051795071132594E-3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4.93</v>
      </c>
      <c r="M167" s="33">
        <v>5.04</v>
      </c>
      <c r="N167" s="34">
        <v>1.02231237322515</v>
      </c>
      <c r="O167" s="34">
        <v>1.0269470164915</v>
      </c>
      <c r="P167" s="34">
        <v>1.0256954700471499</v>
      </c>
      <c r="Q167" s="34">
        <v>1.0250280498758499</v>
      </c>
      <c r="R167" s="33">
        <v>5.0628487913031197</v>
      </c>
      <c r="S167" s="33">
        <v>5.0551777039413501</v>
      </c>
      <c r="T167" s="33">
        <v>5.0534652089648899</v>
      </c>
      <c r="U167" s="15">
        <v>4.5232450236182197E-3</v>
      </c>
      <c r="V167" s="15">
        <v>3.0069238645121401E-3</v>
      </c>
      <c r="W167" s="15">
        <v>2.6681058831880102E-3</v>
      </c>
      <c r="X167" s="34">
        <v>1.02231237322515</v>
      </c>
      <c r="Y167" s="34">
        <v>1.0269470164915</v>
      </c>
      <c r="Z167" s="34">
        <v>1.0256954700471499</v>
      </c>
      <c r="AA167" s="34">
        <v>1.0250280498758499</v>
      </c>
      <c r="AB167" s="33">
        <v>5.0628487913031197</v>
      </c>
      <c r="AC167" s="33">
        <v>5.0551777039413501</v>
      </c>
      <c r="AD167" s="33">
        <v>5.0534652089648899</v>
      </c>
      <c r="AE167" s="15">
        <v>4.5232450236182197E-3</v>
      </c>
      <c r="AF167" s="15">
        <v>3.0069238645121401E-3</v>
      </c>
      <c r="AG167" s="15">
        <v>2.6681058831880102E-3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6.8881250647386358E-2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4.5046939237621639E-2</v>
      </c>
      <c r="BE167" s="29">
        <f t="shared" si="62"/>
        <v>0</v>
      </c>
      <c r="BF167" s="29">
        <f t="shared" si="63"/>
        <v>0.11392818988500804</v>
      </c>
      <c r="BH167" s="29"/>
    </row>
    <row r="168" spans="1:60" x14ac:dyDescent="0.25">
      <c r="A168" s="1">
        <v>46266</v>
      </c>
      <c r="B168" s="33">
        <v>4.8</v>
      </c>
      <c r="C168" s="33">
        <v>4.92</v>
      </c>
      <c r="D168" s="15">
        <v>-2.6723070140753501E-2</v>
      </c>
      <c r="E168" s="15">
        <v>-2.4097551579060499E-2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4.8</v>
      </c>
      <c r="M168" s="33">
        <v>4.92</v>
      </c>
      <c r="N168" s="34">
        <v>1.0249999999999999</v>
      </c>
      <c r="O168" s="34">
        <v>1.0269470164915</v>
      </c>
      <c r="P168" s="34">
        <v>1.02556389109979</v>
      </c>
      <c r="Q168" s="34">
        <v>1.02523327375645</v>
      </c>
      <c r="R168" s="33">
        <v>4.9293456791592201</v>
      </c>
      <c r="S168" s="33">
        <v>4.9233382562263603</v>
      </c>
      <c r="T168" s="33">
        <v>4.9201346394041101</v>
      </c>
      <c r="U168" s="15">
        <v>1.8977264619252699E-3</v>
      </c>
      <c r="V168" s="15">
        <v>6.78277281029654E-4</v>
      </c>
      <c r="W168" s="15">
        <v>2.7365358108533E-5</v>
      </c>
      <c r="X168" s="34">
        <v>1.0249999999999999</v>
      </c>
      <c r="Y168" s="34">
        <v>1.0269470164915</v>
      </c>
      <c r="Z168" s="34">
        <v>1.02556389109979</v>
      </c>
      <c r="AA168" s="34">
        <v>1.02523327375645</v>
      </c>
      <c r="AB168" s="33">
        <v>4.9293456791592201</v>
      </c>
      <c r="AC168" s="33">
        <v>4.9233382562263603</v>
      </c>
      <c r="AD168" s="33">
        <v>4.9201346394041101</v>
      </c>
      <c r="AE168" s="15">
        <v>1.8977264619252699E-3</v>
      </c>
      <c r="AF168" s="15">
        <v>6.78277281029654E-4</v>
      </c>
      <c r="AG168" s="15">
        <v>2.7365358108533E-5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6.8881250647386358E-2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4.5046939237621639E-2</v>
      </c>
      <c r="BE168" s="29">
        <f t="shared" si="62"/>
        <v>0</v>
      </c>
      <c r="BF168" s="29">
        <f t="shared" si="63"/>
        <v>0.11392818988500804</v>
      </c>
      <c r="BH168" s="29"/>
    </row>
    <row r="169" spans="1:60" x14ac:dyDescent="0.25">
      <c r="A169" s="1">
        <v>46267</v>
      </c>
      <c r="B169" s="33">
        <v>5.03</v>
      </c>
      <c r="C169" s="33">
        <v>5.15</v>
      </c>
      <c r="D169" s="15">
        <v>4.6804066197802703E-2</v>
      </c>
      <c r="E169" s="15">
        <v>4.5688184171428101E-2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5.03</v>
      </c>
      <c r="M169" s="33">
        <v>5.15</v>
      </c>
      <c r="N169" s="34">
        <v>1.0238568588469099</v>
      </c>
      <c r="O169" s="34">
        <v>1.0269470164915</v>
      </c>
      <c r="P169" s="34">
        <v>1.0256103956979301</v>
      </c>
      <c r="Q169" s="34">
        <v>1.02529147222073</v>
      </c>
      <c r="R169" s="33">
        <v>5.1655434929522697</v>
      </c>
      <c r="S169" s="33">
        <v>5.1585863722319401</v>
      </c>
      <c r="T169" s="33">
        <v>5.1569233669949597</v>
      </c>
      <c r="U169" s="15">
        <v>3.0136084882996998E-3</v>
      </c>
      <c r="V169" s="15">
        <v>1.6658684144618199E-3</v>
      </c>
      <c r="W169" s="15">
        <v>1.3434402856679099E-3</v>
      </c>
      <c r="X169" s="34">
        <v>1.0238568588469099</v>
      </c>
      <c r="Y169" s="34">
        <v>1.0269470164915</v>
      </c>
      <c r="Z169" s="34">
        <v>1.0256103956979301</v>
      </c>
      <c r="AA169" s="34">
        <v>1.02529147222073</v>
      </c>
      <c r="AB169" s="33">
        <v>5.1655434929522697</v>
      </c>
      <c r="AC169" s="33">
        <v>5.1585863722319401</v>
      </c>
      <c r="AD169" s="33">
        <v>5.1569233669949597</v>
      </c>
      <c r="AE169" s="15">
        <v>3.0136084882996998E-3</v>
      </c>
      <c r="AF169" s="15">
        <v>1.6658684144618199E-3</v>
      </c>
      <c r="AG169" s="15">
        <v>1.3434402856679099E-3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6.8881250647386358E-2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4.5046939237621639E-2</v>
      </c>
      <c r="BE169" s="29">
        <f t="shared" si="62"/>
        <v>0</v>
      </c>
      <c r="BF169" s="29">
        <f t="shared" si="63"/>
        <v>0.11392818988500804</v>
      </c>
      <c r="BH169" s="29"/>
    </row>
    <row r="170" spans="1:60" x14ac:dyDescent="0.25">
      <c r="A170" s="1">
        <v>46268</v>
      </c>
      <c r="B170" s="33">
        <v>5.0999999999999996</v>
      </c>
      <c r="C170" s="33">
        <v>5.19</v>
      </c>
      <c r="D170" s="15">
        <v>1.3820555618632E-2</v>
      </c>
      <c r="E170" s="15">
        <v>7.7369825021524003E-3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5.0999999999999996</v>
      </c>
      <c r="M170" s="33">
        <v>5.19</v>
      </c>
      <c r="N170" s="34">
        <v>1.01764705882352</v>
      </c>
      <c r="O170" s="34">
        <v>1.0269470164915</v>
      </c>
      <c r="P170" s="34">
        <v>1.02446248022106</v>
      </c>
      <c r="Q170" s="34">
        <v>1.0251371425462801</v>
      </c>
      <c r="R170" s="33">
        <v>5.2374297841066699</v>
      </c>
      <c r="S170" s="33">
        <v>5.2306130180594499</v>
      </c>
      <c r="T170" s="33">
        <v>5.2289865083257503</v>
      </c>
      <c r="U170" s="15">
        <v>9.0971816047794897E-3</v>
      </c>
      <c r="V170" s="15">
        <v>7.7947858963126199E-3</v>
      </c>
      <c r="W170" s="15">
        <v>7.4837778615008798E-3</v>
      </c>
      <c r="X170" s="34">
        <v>1.01764705882352</v>
      </c>
      <c r="Y170" s="34">
        <v>1.0269470164915</v>
      </c>
      <c r="Z170" s="34">
        <v>1.02446248022106</v>
      </c>
      <c r="AA170" s="34">
        <v>1.0251371425462801</v>
      </c>
      <c r="AB170" s="33">
        <v>5.2374297841066699</v>
      </c>
      <c r="AC170" s="33">
        <v>5.2306130180594499</v>
      </c>
      <c r="AD170" s="33">
        <v>5.2289865083257503</v>
      </c>
      <c r="AE170" s="15">
        <v>9.0971816047794897E-3</v>
      </c>
      <c r="AF170" s="15">
        <v>7.7947858963126199E-3</v>
      </c>
      <c r="AG170" s="15">
        <v>7.4837778615008798E-3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6.8881250647386358E-2</v>
      </c>
      <c r="AT170" s="12"/>
      <c r="AU170">
        <f t="shared" si="50"/>
        <v>1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4.5046939237621639E-2</v>
      </c>
      <c r="BE170" s="29">
        <f t="shared" si="62"/>
        <v>0</v>
      </c>
      <c r="BF170" s="29">
        <f t="shared" si="63"/>
        <v>0.11392818988500804</v>
      </c>
      <c r="BH170" s="29"/>
    </row>
    <row r="171" spans="1:60" x14ac:dyDescent="0.25">
      <c r="A171" s="1">
        <v>46269</v>
      </c>
      <c r="B171" s="33">
        <v>5.12</v>
      </c>
      <c r="C171" s="33">
        <v>5.25</v>
      </c>
      <c r="D171" s="15">
        <v>3.9138993211363096E-3</v>
      </c>
      <c r="E171" s="15">
        <v>1.1494379425734899E-2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5.12</v>
      </c>
      <c r="M171" s="33">
        <v>5.25</v>
      </c>
      <c r="N171" s="34">
        <v>1.025390625</v>
      </c>
      <c r="O171" s="34">
        <v>1.0269470164915</v>
      </c>
      <c r="P171" s="34">
        <v>1.0241389473012099</v>
      </c>
      <c r="Q171" s="34">
        <v>1.02488896721955</v>
      </c>
      <c r="R171" s="33">
        <v>5.2579687244365099</v>
      </c>
      <c r="S171" s="33">
        <v>5.2452478987318303</v>
      </c>
      <c r="T171" s="33">
        <v>5.2487021698369603</v>
      </c>
      <c r="U171" s="15">
        <v>1.5167015001809399E-3</v>
      </c>
      <c r="V171" s="15">
        <v>-9.0557205294517797E-4</v>
      </c>
      <c r="W171" s="15">
        <v>-2.4723630571604202E-4</v>
      </c>
      <c r="X171" s="34">
        <v>1.025390625</v>
      </c>
      <c r="Y171" s="34">
        <v>1.0269470164915</v>
      </c>
      <c r="Z171" s="34">
        <v>1.0241389473012099</v>
      </c>
      <c r="AA171" s="34">
        <v>1.02488896721955</v>
      </c>
      <c r="AB171" s="33">
        <v>5.2579687244365099</v>
      </c>
      <c r="AC171" s="33">
        <v>5.2452478987318303</v>
      </c>
      <c r="AD171" s="33">
        <v>5.2487021698369603</v>
      </c>
      <c r="AE171" s="15">
        <v>1.5167015001809399E-3</v>
      </c>
      <c r="AF171" s="15">
        <v>-9.0557205294517797E-4</v>
      </c>
      <c r="AG171" s="15">
        <v>-2.4723630571604202E-4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6.8881250647386358E-2</v>
      </c>
      <c r="AT171" s="12"/>
      <c r="AU171">
        <f t="shared" si="50"/>
        <v>0</v>
      </c>
      <c r="AV171">
        <f t="shared" si="51"/>
        <v>1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-3.9138993211363096E-3</v>
      </c>
      <c r="BA171" s="28">
        <f t="shared" si="53"/>
        <v>1.1494379425734899E-2</v>
      </c>
      <c r="BB171" s="28">
        <f t="shared" si="60"/>
        <v>7.5804801045985899E-3</v>
      </c>
      <c r="BC171" s="29">
        <f t="shared" si="61"/>
        <v>5.2627419342220226E-2</v>
      </c>
      <c r="BE171" s="29">
        <f t="shared" si="62"/>
        <v>7.5804801045985899E-3</v>
      </c>
      <c r="BF171" s="29">
        <f t="shared" si="63"/>
        <v>0.12150866998960663</v>
      </c>
      <c r="BH171" s="29"/>
    </row>
    <row r="172" spans="1:60" x14ac:dyDescent="0.25">
      <c r="A172" s="1">
        <v>46273</v>
      </c>
      <c r="B172" s="33">
        <v>4.95</v>
      </c>
      <c r="C172" s="33">
        <v>5.0599999999999996</v>
      </c>
      <c r="D172" s="15">
        <v>-3.3766862470817401E-2</v>
      </c>
      <c r="E172" s="15">
        <v>-3.6861593304158197E-2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4.95</v>
      </c>
      <c r="M172" s="33">
        <v>5.0599999999999996</v>
      </c>
      <c r="N172" s="34">
        <v>1.0222222222222199</v>
      </c>
      <c r="O172" s="34">
        <v>1.0269470164915</v>
      </c>
      <c r="P172" s="34">
        <v>1.0236843052786899</v>
      </c>
      <c r="Q172" s="34">
        <v>1.0243275431193899</v>
      </c>
      <c r="R172" s="33">
        <v>5.0833877316329499</v>
      </c>
      <c r="S172" s="33">
        <v>5.0694877891410099</v>
      </c>
      <c r="T172" s="33">
        <v>5.0732003877367902</v>
      </c>
      <c r="U172" s="15">
        <v>4.6114323335215597E-3</v>
      </c>
      <c r="V172" s="15">
        <v>1.8733014172296399E-3</v>
      </c>
      <c r="W172" s="15">
        <v>2.6053753402068901E-3</v>
      </c>
      <c r="X172" s="34">
        <v>1.0222222222222199</v>
      </c>
      <c r="Y172" s="34">
        <v>1.0269470164915</v>
      </c>
      <c r="Z172" s="34">
        <v>1.0236843052786899</v>
      </c>
      <c r="AA172" s="34">
        <v>1.0243275431193899</v>
      </c>
      <c r="AB172" s="33">
        <v>5.0833877316329499</v>
      </c>
      <c r="AC172" s="33">
        <v>5.0694877891410099</v>
      </c>
      <c r="AD172" s="33">
        <v>5.0732003877367902</v>
      </c>
      <c r="AE172" s="15">
        <v>4.6114323335215597E-3</v>
      </c>
      <c r="AF172" s="15">
        <v>1.8733014172296399E-3</v>
      </c>
      <c r="AG172" s="15">
        <v>2.6053753402068901E-3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6.8881250647386358E-2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5.2627419342220226E-2</v>
      </c>
      <c r="BE172" s="29">
        <f t="shared" si="62"/>
        <v>0</v>
      </c>
      <c r="BF172" s="29">
        <f t="shared" si="63"/>
        <v>0.12150866998960663</v>
      </c>
      <c r="BH172" s="29"/>
    </row>
    <row r="173" spans="1:60" x14ac:dyDescent="0.25">
      <c r="A173" s="1">
        <v>46274</v>
      </c>
      <c r="B173" s="33">
        <v>4.8</v>
      </c>
      <c r="C173" s="33">
        <v>4.9000000000000004</v>
      </c>
      <c r="D173" s="15">
        <v>-3.0771658666753701E-2</v>
      </c>
      <c r="E173" s="15">
        <v>-3.2131278182793002E-2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4.8</v>
      </c>
      <c r="M173" s="33">
        <v>4.9000000000000004</v>
      </c>
      <c r="N173" s="34">
        <v>1.0208333333333299</v>
      </c>
      <c r="O173" s="34">
        <v>1.0269470164915</v>
      </c>
      <c r="P173" s="34">
        <v>1.0233676386120201</v>
      </c>
      <c r="Q173" s="34">
        <v>1.0240230559399099</v>
      </c>
      <c r="R173" s="33">
        <v>4.9293456791592201</v>
      </c>
      <c r="S173" s="33">
        <v>4.9136846653377297</v>
      </c>
      <c r="T173" s="33">
        <v>4.9167722069731097</v>
      </c>
      <c r="U173" s="15">
        <v>5.9710518495608199E-3</v>
      </c>
      <c r="V173" s="15">
        <v>2.7888962554396299E-3</v>
      </c>
      <c r="W173" s="15">
        <v>3.4170545957900198E-3</v>
      </c>
      <c r="X173" s="34">
        <v>1.0208333333333299</v>
      </c>
      <c r="Y173" s="34">
        <v>1.0269470164915</v>
      </c>
      <c r="Z173" s="34">
        <v>1.0233676386120201</v>
      </c>
      <c r="AA173" s="34">
        <v>1.0240230559399099</v>
      </c>
      <c r="AB173" s="33">
        <v>4.9293456791592201</v>
      </c>
      <c r="AC173" s="33">
        <v>4.9136846653377297</v>
      </c>
      <c r="AD173" s="33">
        <v>4.9167722069731097</v>
      </c>
      <c r="AE173" s="15">
        <v>5.9710518495608199E-3</v>
      </c>
      <c r="AF173" s="15">
        <v>2.7888962554396299E-3</v>
      </c>
      <c r="AG173" s="15">
        <v>3.4170545957900198E-3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6.8881250647386358E-2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5.2627419342220226E-2</v>
      </c>
      <c r="BE173" s="29">
        <f t="shared" si="62"/>
        <v>0</v>
      </c>
      <c r="BF173" s="29">
        <f t="shared" si="63"/>
        <v>0.12150866998960663</v>
      </c>
      <c r="BH173" s="29"/>
    </row>
    <row r="174" spans="1:60" x14ac:dyDescent="0.25">
      <c r="A174" s="1">
        <v>46275</v>
      </c>
      <c r="B174" s="33">
        <v>4.84</v>
      </c>
      <c r="C174" s="33">
        <v>4.97</v>
      </c>
      <c r="D174" s="15">
        <v>8.2988028146950606E-3</v>
      </c>
      <c r="E174" s="15">
        <v>1.41846349919563E-2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4.84</v>
      </c>
      <c r="M174" s="33">
        <v>4.97</v>
      </c>
      <c r="N174" s="34">
        <v>1.0268595041322299</v>
      </c>
      <c r="O174" s="34">
        <v>1.0269470164915</v>
      </c>
      <c r="P174" s="34">
        <v>1.0234639475909799</v>
      </c>
      <c r="Q174" s="34">
        <v>1.0239988436465199</v>
      </c>
      <c r="R174" s="33">
        <v>4.9704235598188804</v>
      </c>
      <c r="S174" s="33">
        <v>4.9530993708822102</v>
      </c>
      <c r="T174" s="33">
        <v>4.9562715907491599</v>
      </c>
      <c r="U174" s="15">
        <v>8.5219672299632494E-5</v>
      </c>
      <c r="V174" s="15">
        <v>-3.4063239372429601E-3</v>
      </c>
      <c r="W174" s="15">
        <v>-2.7660774498333902E-3</v>
      </c>
      <c r="X174" s="34">
        <v>1.0268595041322299</v>
      </c>
      <c r="Y174" s="34">
        <v>1.0269470164915</v>
      </c>
      <c r="Z174" s="34">
        <v>1.0234639475909799</v>
      </c>
      <c r="AA174" s="34">
        <v>1.0239988436465199</v>
      </c>
      <c r="AB174" s="33">
        <v>4.9704235598188804</v>
      </c>
      <c r="AC174" s="33">
        <v>4.9530993708822102</v>
      </c>
      <c r="AD174" s="33">
        <v>4.9562715907491599</v>
      </c>
      <c r="AE174" s="15">
        <v>8.5219672299632494E-5</v>
      </c>
      <c r="AF174" s="15">
        <v>-3.4063239372429601E-3</v>
      </c>
      <c r="AG174" s="15">
        <v>-2.7660774498333902E-3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6.8881250647386358E-2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5.2627419342220226E-2</v>
      </c>
      <c r="BE174" s="29">
        <f t="shared" si="62"/>
        <v>0</v>
      </c>
      <c r="BF174" s="29">
        <f t="shared" si="63"/>
        <v>0.12150866998960663</v>
      </c>
      <c r="BH174" s="29"/>
    </row>
    <row r="175" spans="1:60" x14ac:dyDescent="0.25">
      <c r="A175" s="1">
        <v>46276</v>
      </c>
      <c r="B175" s="33">
        <v>4.99</v>
      </c>
      <c r="C175" s="33">
        <v>5.1100000000000003</v>
      </c>
      <c r="D175" s="15">
        <v>3.0521189034887101E-2</v>
      </c>
      <c r="E175" s="15">
        <v>2.7779564107075799E-2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4.99</v>
      </c>
      <c r="M175" s="33">
        <v>5.1100000000000003</v>
      </c>
      <c r="N175" s="34">
        <v>1.0240480961923799</v>
      </c>
      <c r="O175" s="34">
        <v>1.0269470164915</v>
      </c>
      <c r="P175" s="34">
        <v>1.02365101527474</v>
      </c>
      <c r="Q175" s="34">
        <v>1.02415163013553</v>
      </c>
      <c r="R175" s="33">
        <v>5.1244656122926102</v>
      </c>
      <c r="S175" s="33">
        <v>5.1070850984790299</v>
      </c>
      <c r="T175" s="33">
        <v>5.10975422979614</v>
      </c>
      <c r="U175" s="15">
        <v>2.8268446001108302E-3</v>
      </c>
      <c r="V175" s="15">
        <v>-5.7059358358212901E-4</v>
      </c>
      <c r="W175" s="15">
        <v>-4.8097086950091398E-5</v>
      </c>
      <c r="X175" s="34">
        <v>1.0240480961923799</v>
      </c>
      <c r="Y175" s="34">
        <v>1.0269470164915</v>
      </c>
      <c r="Z175" s="34">
        <v>1.02365101527474</v>
      </c>
      <c r="AA175" s="34">
        <v>1.02415163013553</v>
      </c>
      <c r="AB175" s="33">
        <v>5.1244656122926102</v>
      </c>
      <c r="AC175" s="33">
        <v>5.1070850984790299</v>
      </c>
      <c r="AD175" s="33">
        <v>5.10975422979614</v>
      </c>
      <c r="AE175" s="15">
        <v>2.8268446001108302E-3</v>
      </c>
      <c r="AF175" s="15">
        <v>-5.7059358358212901E-4</v>
      </c>
      <c r="AG175" s="15">
        <v>-4.8097086950091398E-5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6.8881250647386358E-2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5.2627419342220226E-2</v>
      </c>
      <c r="BE175" s="29">
        <f t="shared" si="62"/>
        <v>0</v>
      </c>
      <c r="BF175" s="29">
        <f t="shared" si="63"/>
        <v>0.12150866998960663</v>
      </c>
      <c r="BH175" s="29"/>
    </row>
    <row r="176" spans="1:60" x14ac:dyDescent="0.25">
      <c r="A176" s="1">
        <v>46279</v>
      </c>
      <c r="B176" s="33">
        <v>4.91</v>
      </c>
      <c r="C176" s="33">
        <v>5.03</v>
      </c>
      <c r="D176" s="15">
        <v>-1.6161967956998102E-2</v>
      </c>
      <c r="E176" s="15">
        <v>-1.57794201039652E-2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4.91</v>
      </c>
      <c r="M176" s="33">
        <v>5.03</v>
      </c>
      <c r="N176" s="34">
        <v>1.0244399185335999</v>
      </c>
      <c r="O176" s="34">
        <v>1.0269470164915</v>
      </c>
      <c r="P176" s="34">
        <v>1.02326099903093</v>
      </c>
      <c r="Q176" s="34">
        <v>1.0243260070145901</v>
      </c>
      <c r="R176" s="33">
        <v>5.0423098509732904</v>
      </c>
      <c r="S176" s="33">
        <v>5.0261264849989802</v>
      </c>
      <c r="T176" s="33">
        <v>5.0285845039654502</v>
      </c>
      <c r="U176" s="15">
        <v>2.4442967470781301E-3</v>
      </c>
      <c r="V176" s="15">
        <v>-7.7037917101813701E-4</v>
      </c>
      <c r="W176" s="15">
        <v>-2.8145034588707E-4</v>
      </c>
      <c r="X176" s="34">
        <v>1.0244399185335999</v>
      </c>
      <c r="Y176" s="34">
        <v>1.0269470164915</v>
      </c>
      <c r="Z176" s="34">
        <v>1.02326099903093</v>
      </c>
      <c r="AA176" s="34">
        <v>1.0243260070145901</v>
      </c>
      <c r="AB176" s="33">
        <v>5.0423098509732904</v>
      </c>
      <c r="AC176" s="33">
        <v>5.0261264849989802</v>
      </c>
      <c r="AD176" s="33">
        <v>5.0285845039654502</v>
      </c>
      <c r="AE176" s="15">
        <v>2.4442967470781301E-3</v>
      </c>
      <c r="AF176" s="15">
        <v>-7.7037917101813701E-4</v>
      </c>
      <c r="AG176" s="15">
        <v>-2.8145034588707E-4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6.8881250647386358E-2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5.2627419342220226E-2</v>
      </c>
      <c r="BE176" s="29">
        <f t="shared" si="62"/>
        <v>0</v>
      </c>
      <c r="BF176" s="29">
        <f t="shared" si="63"/>
        <v>0.12150866998960663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2026-09-22T19:16:06Z</dcterms:created>
  <dcterms:modified xsi:type="dcterms:W3CDTF">2026-09-22T21:59:30Z</dcterms:modified>
</cp:coreProperties>
</file>