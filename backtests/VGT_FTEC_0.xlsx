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8_{716EBBDB-6745-4DDA-B5C6-CFEDA3FE2E6B}" xr6:coauthVersionLast="47" xr6:coauthVersionMax="47" xr10:uidLastSave="{00000000-0000-0000-0000-000000000000}"/>
  <bookViews>
    <workbookView xWindow="11424" yWindow="0" windowWidth="11712" windowHeight="12336" xr2:uid="{DB0E9052-E157-43A5-9229-A98A1ADD1ECD}"/>
  </bookViews>
  <sheets>
    <sheet name="XLU_IDU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Q167" i="1" l="1"/>
  <c r="BO167" i="1"/>
  <c r="BN167" i="1"/>
  <c r="BE167" i="1"/>
  <c r="BC167" i="1"/>
  <c r="BB167" i="1"/>
  <c r="BQ166" i="1"/>
  <c r="BO166" i="1"/>
  <c r="BN166" i="1"/>
  <c r="BE166" i="1"/>
  <c r="BC166" i="1"/>
  <c r="BB166" i="1"/>
  <c r="BQ165" i="1"/>
  <c r="BO165" i="1"/>
  <c r="BN165" i="1"/>
  <c r="BE165" i="1"/>
  <c r="BC165" i="1"/>
  <c r="BB165" i="1"/>
  <c r="BQ164" i="1"/>
  <c r="BO164" i="1"/>
  <c r="BN164" i="1"/>
  <c r="BE164" i="1"/>
  <c r="BC164" i="1"/>
  <c r="BB164" i="1"/>
  <c r="BQ163" i="1"/>
  <c r="BO163" i="1"/>
  <c r="BN163" i="1"/>
  <c r="BE163" i="1"/>
  <c r="BC163" i="1"/>
  <c r="BB163" i="1"/>
  <c r="BQ162" i="1"/>
  <c r="BO162" i="1"/>
  <c r="BN162" i="1"/>
  <c r="BE162" i="1"/>
  <c r="BC162" i="1"/>
  <c r="BB162" i="1"/>
  <c r="BQ161" i="1"/>
  <c r="BO161" i="1"/>
  <c r="BN161" i="1"/>
  <c r="BE161" i="1"/>
  <c r="BC161" i="1"/>
  <c r="BB161" i="1"/>
  <c r="BQ160" i="1"/>
  <c r="BO160" i="1"/>
  <c r="BN160" i="1"/>
  <c r="BE160" i="1"/>
  <c r="BC160" i="1"/>
  <c r="BB160" i="1"/>
  <c r="BQ159" i="1"/>
  <c r="BO159" i="1"/>
  <c r="BN159" i="1"/>
  <c r="BE159" i="1"/>
  <c r="BC159" i="1"/>
  <c r="BB159" i="1"/>
  <c r="BQ158" i="1"/>
  <c r="BO158" i="1"/>
  <c r="BN158" i="1"/>
  <c r="BE158" i="1"/>
  <c r="BC158" i="1"/>
  <c r="BB158" i="1"/>
  <c r="BQ157" i="1"/>
  <c r="BO157" i="1"/>
  <c r="BN157" i="1"/>
  <c r="BE157" i="1"/>
  <c r="BC157" i="1"/>
  <c r="BB157" i="1"/>
  <c r="BQ156" i="1"/>
  <c r="BO156" i="1"/>
  <c r="BN156" i="1"/>
  <c r="BE156" i="1"/>
  <c r="BC156" i="1"/>
  <c r="BB156" i="1"/>
  <c r="BQ155" i="1"/>
  <c r="BO155" i="1"/>
  <c r="BN155" i="1"/>
  <c r="BE155" i="1"/>
  <c r="BC155" i="1"/>
  <c r="BB155" i="1"/>
  <c r="BQ154" i="1"/>
  <c r="BO154" i="1"/>
  <c r="BN154" i="1"/>
  <c r="BE154" i="1"/>
  <c r="BC154" i="1"/>
  <c r="BB154" i="1"/>
  <c r="BQ153" i="1"/>
  <c r="BO153" i="1"/>
  <c r="BN153" i="1"/>
  <c r="BE153" i="1"/>
  <c r="BC153" i="1"/>
  <c r="BB153" i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N150" i="1"/>
  <c r="BE150" i="1"/>
  <c r="BC150" i="1"/>
  <c r="BB150" i="1"/>
  <c r="BQ149" i="1"/>
  <c r="BO149" i="1"/>
  <c r="BN149" i="1"/>
  <c r="BE149" i="1"/>
  <c r="BC149" i="1"/>
  <c r="BB149" i="1"/>
  <c r="BQ148" i="1"/>
  <c r="BO148" i="1"/>
  <c r="BN148" i="1"/>
  <c r="BE148" i="1"/>
  <c r="BC148" i="1"/>
  <c r="BB148" i="1"/>
  <c r="BQ147" i="1"/>
  <c r="BO147" i="1"/>
  <c r="BN147" i="1"/>
  <c r="BE147" i="1"/>
  <c r="BC147" i="1"/>
  <c r="BB147" i="1"/>
  <c r="BQ146" i="1"/>
  <c r="BO146" i="1"/>
  <c r="BN146" i="1"/>
  <c r="BE146" i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C143" i="1"/>
  <c r="BB143" i="1"/>
  <c r="BQ142" i="1"/>
  <c r="BO142" i="1"/>
  <c r="BN142" i="1"/>
  <c r="BE142" i="1"/>
  <c r="BC142" i="1"/>
  <c r="BB142" i="1"/>
  <c r="BQ141" i="1"/>
  <c r="BO141" i="1"/>
  <c r="BN141" i="1"/>
  <c r="BE141" i="1"/>
  <c r="BC141" i="1"/>
  <c r="BB141" i="1"/>
  <c r="BQ140" i="1"/>
  <c r="BO140" i="1"/>
  <c r="BN140" i="1"/>
  <c r="BE140" i="1"/>
  <c r="BC140" i="1"/>
  <c r="BB140" i="1"/>
  <c r="BQ139" i="1"/>
  <c r="BO139" i="1"/>
  <c r="BN139" i="1"/>
  <c r="BE139" i="1"/>
  <c r="BC139" i="1"/>
  <c r="BB139" i="1"/>
  <c r="BQ138" i="1"/>
  <c r="BO138" i="1"/>
  <c r="BN138" i="1"/>
  <c r="BE138" i="1"/>
  <c r="BC138" i="1"/>
  <c r="BB138" i="1"/>
  <c r="BQ137" i="1"/>
  <c r="BO137" i="1"/>
  <c r="BN137" i="1"/>
  <c r="BE137" i="1"/>
  <c r="BC137" i="1"/>
  <c r="BB137" i="1"/>
  <c r="BQ136" i="1"/>
  <c r="BO136" i="1"/>
  <c r="BN136" i="1"/>
  <c r="BE136" i="1"/>
  <c r="BC136" i="1"/>
  <c r="BB136" i="1"/>
  <c r="BQ135" i="1"/>
  <c r="BO135" i="1"/>
  <c r="BN135" i="1"/>
  <c r="BE135" i="1"/>
  <c r="BC135" i="1"/>
  <c r="BB135" i="1"/>
  <c r="BQ134" i="1"/>
  <c r="BO134" i="1"/>
  <c r="BN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O131" i="1"/>
  <c r="BN131" i="1"/>
  <c r="BE131" i="1"/>
  <c r="BC131" i="1"/>
  <c r="BB131" i="1"/>
  <c r="BQ130" i="1"/>
  <c r="BO130" i="1"/>
  <c r="BN130" i="1"/>
  <c r="BE130" i="1"/>
  <c r="BC130" i="1"/>
  <c r="BB130" i="1"/>
  <c r="BQ129" i="1"/>
  <c r="BO129" i="1"/>
  <c r="BN129" i="1"/>
  <c r="BE129" i="1"/>
  <c r="BC129" i="1"/>
  <c r="BB129" i="1"/>
  <c r="BQ128" i="1"/>
  <c r="BO128" i="1"/>
  <c r="BN128" i="1"/>
  <c r="BE128" i="1"/>
  <c r="BC128" i="1"/>
  <c r="BB128" i="1"/>
  <c r="BQ127" i="1"/>
  <c r="BO127" i="1"/>
  <c r="BN127" i="1"/>
  <c r="BE127" i="1"/>
  <c r="BC127" i="1"/>
  <c r="BB127" i="1"/>
  <c r="BQ126" i="1"/>
  <c r="BO126" i="1"/>
  <c r="BN126" i="1"/>
  <c r="BE126" i="1"/>
  <c r="BC126" i="1"/>
  <c r="BB126" i="1"/>
  <c r="BQ125" i="1"/>
  <c r="BO125" i="1"/>
  <c r="BN125" i="1"/>
  <c r="BE125" i="1"/>
  <c r="BC125" i="1"/>
  <c r="BB125" i="1"/>
  <c r="BQ124" i="1"/>
  <c r="BO124" i="1"/>
  <c r="BN124" i="1"/>
  <c r="BE124" i="1"/>
  <c r="BC124" i="1"/>
  <c r="BB124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Q121" i="1"/>
  <c r="BO121" i="1"/>
  <c r="BN121" i="1"/>
  <c r="BE121" i="1"/>
  <c r="BC121" i="1"/>
  <c r="BB121" i="1"/>
  <c r="BQ120" i="1"/>
  <c r="BO120" i="1"/>
  <c r="BN120" i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Q116" i="1"/>
  <c r="BO116" i="1"/>
  <c r="BN116" i="1"/>
  <c r="BE116" i="1"/>
  <c r="BC116" i="1"/>
  <c r="BB116" i="1"/>
  <c r="BQ115" i="1"/>
  <c r="BO115" i="1"/>
  <c r="BN115" i="1"/>
  <c r="BE115" i="1"/>
  <c r="BC115" i="1"/>
  <c r="BB115" i="1"/>
  <c r="BQ114" i="1"/>
  <c r="BO114" i="1"/>
  <c r="BN114" i="1"/>
  <c r="BE114" i="1"/>
  <c r="BC114" i="1"/>
  <c r="BB114" i="1"/>
  <c r="BQ113" i="1"/>
  <c r="BO113" i="1"/>
  <c r="BN113" i="1"/>
  <c r="BE113" i="1"/>
  <c r="BC113" i="1"/>
  <c r="BB113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Q110" i="1"/>
  <c r="BO110" i="1"/>
  <c r="BN110" i="1"/>
  <c r="BE110" i="1"/>
  <c r="BC110" i="1"/>
  <c r="BB110" i="1"/>
  <c r="BQ109" i="1"/>
  <c r="BO109" i="1"/>
  <c r="BN109" i="1"/>
  <c r="BE109" i="1"/>
  <c r="BC109" i="1"/>
  <c r="BB109" i="1"/>
  <c r="BQ108" i="1"/>
  <c r="BO108" i="1"/>
  <c r="BN108" i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E104" i="1"/>
  <c r="BC104" i="1"/>
  <c r="BB104" i="1"/>
  <c r="BQ103" i="1"/>
  <c r="BO103" i="1"/>
  <c r="BN103" i="1"/>
  <c r="BE103" i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C100" i="1"/>
  <c r="BB100" i="1"/>
  <c r="BQ99" i="1"/>
  <c r="BO99" i="1"/>
  <c r="BN99" i="1"/>
  <c r="BE99" i="1"/>
  <c r="BC99" i="1"/>
  <c r="BB99" i="1"/>
  <c r="BQ98" i="1"/>
  <c r="BO98" i="1"/>
  <c r="BN98" i="1"/>
  <c r="BE98" i="1"/>
  <c r="BC98" i="1"/>
  <c r="BB98" i="1"/>
  <c r="BQ97" i="1"/>
  <c r="BO97" i="1"/>
  <c r="BN97" i="1"/>
  <c r="BE97" i="1"/>
  <c r="BC97" i="1"/>
  <c r="BB97" i="1"/>
  <c r="BQ96" i="1"/>
  <c r="BO96" i="1"/>
  <c r="BN96" i="1"/>
  <c r="BE96" i="1"/>
  <c r="BC96" i="1"/>
  <c r="BB96" i="1"/>
  <c r="BQ95" i="1"/>
  <c r="BO95" i="1"/>
  <c r="BN95" i="1"/>
  <c r="BE95" i="1"/>
  <c r="BC95" i="1"/>
  <c r="BB95" i="1"/>
  <c r="BQ94" i="1"/>
  <c r="BO94" i="1"/>
  <c r="BN94" i="1"/>
  <c r="BE94" i="1"/>
  <c r="BC94" i="1"/>
  <c r="BB94" i="1"/>
  <c r="BQ93" i="1"/>
  <c r="BO93" i="1"/>
  <c r="BN93" i="1"/>
  <c r="BE93" i="1"/>
  <c r="BC93" i="1"/>
  <c r="BB93" i="1"/>
  <c r="BQ92" i="1"/>
  <c r="BO92" i="1"/>
  <c r="BN92" i="1"/>
  <c r="BE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Q87" i="1"/>
  <c r="BO87" i="1"/>
  <c r="BN87" i="1"/>
  <c r="BE87" i="1"/>
  <c r="BC87" i="1"/>
  <c r="BB87" i="1"/>
  <c r="BQ86" i="1"/>
  <c r="BO86" i="1"/>
  <c r="BN86" i="1"/>
  <c r="BE86" i="1"/>
  <c r="BC86" i="1"/>
  <c r="BB86" i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Q81" i="1"/>
  <c r="BO81" i="1"/>
  <c r="BN81" i="1"/>
  <c r="BE81" i="1"/>
  <c r="BC81" i="1"/>
  <c r="BB81" i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Q76" i="1"/>
  <c r="BO76" i="1"/>
  <c r="BN76" i="1"/>
  <c r="BE76" i="1"/>
  <c r="BC76" i="1"/>
  <c r="BB76" i="1"/>
  <c r="BQ75" i="1"/>
  <c r="BO75" i="1"/>
  <c r="BN75" i="1"/>
  <c r="BE75" i="1"/>
  <c r="BC75" i="1"/>
  <c r="BB75" i="1"/>
  <c r="BQ74" i="1"/>
  <c r="BO74" i="1"/>
  <c r="BN74" i="1"/>
  <c r="BE74" i="1"/>
  <c r="BC74" i="1"/>
  <c r="BB74" i="1"/>
  <c r="BQ73" i="1"/>
  <c r="BO73" i="1"/>
  <c r="BN73" i="1"/>
  <c r="BE73" i="1"/>
  <c r="BC73" i="1"/>
  <c r="BB73" i="1"/>
  <c r="BQ72" i="1"/>
  <c r="BO72" i="1"/>
  <c r="BN72" i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E70" i="1"/>
  <c r="BC70" i="1"/>
  <c r="BB70" i="1"/>
  <c r="BQ69" i="1"/>
  <c r="BO69" i="1"/>
  <c r="BN69" i="1"/>
  <c r="BE69" i="1"/>
  <c r="BC69" i="1"/>
  <c r="BB69" i="1"/>
  <c r="BQ68" i="1"/>
  <c r="BO68" i="1"/>
  <c r="BN68" i="1"/>
  <c r="BE68" i="1"/>
  <c r="BC68" i="1"/>
  <c r="BB68" i="1"/>
  <c r="BQ67" i="1"/>
  <c r="BO67" i="1"/>
  <c r="BN67" i="1"/>
  <c r="BE67" i="1"/>
  <c r="BC67" i="1"/>
  <c r="BB67" i="1"/>
  <c r="BQ66" i="1"/>
  <c r="BO66" i="1"/>
  <c r="BN66" i="1"/>
  <c r="BE66" i="1"/>
  <c r="BC66" i="1"/>
  <c r="BB66" i="1"/>
  <c r="BQ65" i="1"/>
  <c r="BO65" i="1"/>
  <c r="BN65" i="1"/>
  <c r="BE65" i="1"/>
  <c r="BC65" i="1"/>
  <c r="BB65" i="1"/>
  <c r="BQ64" i="1"/>
  <c r="BO64" i="1"/>
  <c r="BN64" i="1"/>
  <c r="BE64" i="1"/>
  <c r="BC64" i="1"/>
  <c r="BB64" i="1"/>
  <c r="BQ63" i="1"/>
  <c r="BO63" i="1"/>
  <c r="BN63" i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Q60" i="1"/>
  <c r="BO60" i="1"/>
  <c r="BN60" i="1"/>
  <c r="BE60" i="1"/>
  <c r="BC60" i="1"/>
  <c r="BB60" i="1"/>
  <c r="BQ59" i="1"/>
  <c r="BO59" i="1"/>
  <c r="BN59" i="1"/>
  <c r="BE59" i="1"/>
  <c r="BC59" i="1"/>
  <c r="BB59" i="1"/>
  <c r="BQ58" i="1"/>
  <c r="BO58" i="1"/>
  <c r="BN58" i="1"/>
  <c r="BE58" i="1"/>
  <c r="BC58" i="1"/>
  <c r="BB58" i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Q54" i="1"/>
  <c r="BO54" i="1"/>
  <c r="BN54" i="1"/>
  <c r="BE54" i="1"/>
  <c r="BC54" i="1"/>
  <c r="BB54" i="1"/>
  <c r="BQ53" i="1"/>
  <c r="BO53" i="1"/>
  <c r="BN53" i="1"/>
  <c r="BE53" i="1"/>
  <c r="BC53" i="1"/>
  <c r="BB53" i="1"/>
  <c r="BQ52" i="1"/>
  <c r="BO52" i="1"/>
  <c r="BN52" i="1"/>
  <c r="BE52" i="1"/>
  <c r="BC52" i="1"/>
  <c r="BB52" i="1"/>
  <c r="BQ51" i="1"/>
  <c r="BO51" i="1"/>
  <c r="BN51" i="1"/>
  <c r="BE51" i="1"/>
  <c r="BC51" i="1"/>
  <c r="BB51" i="1"/>
  <c r="BQ50" i="1"/>
  <c r="BO50" i="1"/>
  <c r="BN50" i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E43" i="1"/>
  <c r="BC43" i="1"/>
  <c r="BB43" i="1"/>
  <c r="BQ42" i="1"/>
  <c r="BO42" i="1"/>
  <c r="BN42" i="1"/>
  <c r="BE42" i="1"/>
  <c r="BC42" i="1"/>
  <c r="BB42" i="1"/>
  <c r="BQ41" i="1"/>
  <c r="BO41" i="1"/>
  <c r="BN41" i="1"/>
  <c r="BE41" i="1"/>
  <c r="BC41" i="1"/>
  <c r="BB41" i="1"/>
  <c r="BQ40" i="1"/>
  <c r="BO40" i="1"/>
  <c r="BN40" i="1"/>
  <c r="BE40" i="1"/>
  <c r="BC40" i="1"/>
  <c r="BB40" i="1"/>
  <c r="BQ39" i="1"/>
  <c r="BO39" i="1"/>
  <c r="BN39" i="1"/>
  <c r="BE39" i="1"/>
  <c r="BC39" i="1"/>
  <c r="BB39" i="1"/>
  <c r="BQ38" i="1"/>
  <c r="BO38" i="1"/>
  <c r="BN38" i="1"/>
  <c r="BE38" i="1"/>
  <c r="BC38" i="1"/>
  <c r="BB38" i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Q35" i="1"/>
  <c r="BO35" i="1"/>
  <c r="BN35" i="1"/>
  <c r="BE35" i="1"/>
  <c r="BC35" i="1"/>
  <c r="BB35" i="1"/>
  <c r="BQ34" i="1"/>
  <c r="BO34" i="1"/>
  <c r="BN34" i="1"/>
  <c r="BE34" i="1"/>
  <c r="BC34" i="1"/>
  <c r="BB34" i="1"/>
  <c r="BQ33" i="1"/>
  <c r="BO33" i="1"/>
  <c r="BN33" i="1"/>
  <c r="BE33" i="1"/>
  <c r="BC33" i="1"/>
  <c r="BB33" i="1"/>
  <c r="BQ32" i="1"/>
  <c r="BO32" i="1"/>
  <c r="BN32" i="1"/>
  <c r="BE32" i="1"/>
  <c r="BC32" i="1"/>
  <c r="BB32" i="1"/>
  <c r="BQ31" i="1"/>
  <c r="BO31" i="1"/>
  <c r="BN31" i="1"/>
  <c r="BE31" i="1"/>
  <c r="BC31" i="1"/>
  <c r="BB31" i="1"/>
  <c r="BQ30" i="1"/>
  <c r="BO30" i="1"/>
  <c r="BN30" i="1"/>
  <c r="BE30" i="1"/>
  <c r="BC30" i="1"/>
  <c r="BB30" i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Q27" i="1"/>
  <c r="BO27" i="1"/>
  <c r="BN27" i="1"/>
  <c r="BE27" i="1"/>
  <c r="BC27" i="1"/>
  <c r="BB27" i="1"/>
  <c r="BQ26" i="1"/>
  <c r="BO26" i="1"/>
  <c r="BN26" i="1"/>
  <c r="BE26" i="1"/>
  <c r="BC26" i="1"/>
  <c r="BB26" i="1"/>
  <c r="BQ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E23" i="1"/>
  <c r="BC23" i="1"/>
  <c r="BB23" i="1"/>
  <c r="BQ22" i="1"/>
  <c r="BP22" i="1"/>
  <c r="BO22" i="1"/>
  <c r="BN22" i="1"/>
  <c r="BE22" i="1"/>
  <c r="BD22" i="1"/>
  <c r="BC22" i="1"/>
  <c r="BB22" i="1"/>
  <c r="BF23" i="1" s="1"/>
  <c r="BD23" i="1" s="1"/>
  <c r="BQ21" i="1"/>
  <c r="BR22" i="1" s="1"/>
  <c r="BE21" i="1"/>
  <c r="BF22" i="1" s="1"/>
  <c r="BH22" i="1" s="1"/>
  <c r="BT20" i="1"/>
  <c r="BS20" i="1"/>
  <c r="BH20" i="1"/>
  <c r="BG20" i="1"/>
  <c r="BR23" i="1" l="1"/>
  <c r="BP23" i="1" s="1"/>
  <c r="BR24" i="1" s="1"/>
  <c r="BP24" i="1" s="1"/>
  <c r="BR25" i="1" s="1"/>
  <c r="BG23" i="1"/>
  <c r="BH23" i="1"/>
  <c r="BF24" i="1"/>
  <c r="BD24" i="1" s="1"/>
  <c r="BF25" i="1" s="1"/>
  <c r="BT22" i="1"/>
  <c r="BS22" i="1"/>
  <c r="BG22" i="1"/>
  <c r="BI22" i="1" s="1"/>
  <c r="BS23" i="1" l="1"/>
  <c r="BT23" i="1"/>
  <c r="BH25" i="1"/>
  <c r="BG25" i="1"/>
  <c r="BD25" i="1"/>
  <c r="BF26" i="1" s="1"/>
  <c r="BH26" i="1" s="1"/>
  <c r="BS24" i="1"/>
  <c r="BU22" i="1"/>
  <c r="BX22" i="1" s="1"/>
  <c r="BG24" i="1"/>
  <c r="BH24" i="1"/>
  <c r="BI23" i="1"/>
  <c r="BT24" i="1"/>
  <c r="BP25" i="1"/>
  <c r="BR26" i="1" s="1"/>
  <c r="BT25" i="1"/>
  <c r="BS25" i="1"/>
  <c r="BJ22" i="1"/>
  <c r="BU23" i="1" l="1"/>
  <c r="BX23" i="1" s="1"/>
  <c r="BI25" i="1"/>
  <c r="BS26" i="1"/>
  <c r="BP26" i="1"/>
  <c r="BR27" i="1" s="1"/>
  <c r="BT27" i="1" s="1"/>
  <c r="BT26" i="1"/>
  <c r="BD26" i="1"/>
  <c r="BF27" i="1" s="1"/>
  <c r="BG27" i="1" s="1"/>
  <c r="BG26" i="1"/>
  <c r="BI26" i="1" s="1"/>
  <c r="BU24" i="1"/>
  <c r="BV22" i="1"/>
  <c r="BU25" i="1"/>
  <c r="BI24" i="1"/>
  <c r="BJ23" i="1"/>
  <c r="BJ24" i="1" s="1"/>
  <c r="BY22" i="1"/>
  <c r="BJ25" i="1" l="1"/>
  <c r="BJ26" i="1" s="1"/>
  <c r="BX25" i="1"/>
  <c r="BY23" i="1"/>
  <c r="BV23" i="1"/>
  <c r="BV24" i="1" s="1"/>
  <c r="BV25" i="1" s="1"/>
  <c r="BD27" i="1"/>
  <c r="BF28" i="1" s="1"/>
  <c r="BH28" i="1" s="1"/>
  <c r="BH27" i="1"/>
  <c r="BP27" i="1"/>
  <c r="BR28" i="1" s="1"/>
  <c r="BP28" i="1" s="1"/>
  <c r="BR29" i="1" s="1"/>
  <c r="BU26" i="1"/>
  <c r="BX26" i="1" s="1"/>
  <c r="BX24" i="1"/>
  <c r="BS27" i="1"/>
  <c r="BU27" i="1" s="1"/>
  <c r="BI27" i="1"/>
  <c r="BY24" i="1" l="1"/>
  <c r="BY25" i="1" s="1"/>
  <c r="BY26" i="1" s="1"/>
  <c r="BV26" i="1"/>
  <c r="BV27" i="1" s="1"/>
  <c r="BD28" i="1"/>
  <c r="BF29" i="1" s="1"/>
  <c r="BH29" i="1" s="1"/>
  <c r="BG28" i="1"/>
  <c r="BI28" i="1" s="1"/>
  <c r="BS28" i="1"/>
  <c r="BT28" i="1"/>
  <c r="BS29" i="1"/>
  <c r="BP29" i="1"/>
  <c r="BR30" i="1" s="1"/>
  <c r="BT29" i="1"/>
  <c r="BJ27" i="1"/>
  <c r="BX27" i="1"/>
  <c r="BD29" i="1" l="1"/>
  <c r="BF30" i="1" s="1"/>
  <c r="BD30" i="1" s="1"/>
  <c r="BF31" i="1" s="1"/>
  <c r="BG29" i="1"/>
  <c r="BI29" i="1" s="1"/>
  <c r="BY27" i="1"/>
  <c r="BJ28" i="1"/>
  <c r="BU28" i="1"/>
  <c r="BS30" i="1"/>
  <c r="BP30" i="1"/>
  <c r="BR31" i="1" s="1"/>
  <c r="BT30" i="1"/>
  <c r="BU29" i="1"/>
  <c r="BG30" i="1" l="1"/>
  <c r="BH30" i="1"/>
  <c r="BJ29" i="1"/>
  <c r="BV28" i="1"/>
  <c r="BV29" i="1" s="1"/>
  <c r="BX28" i="1"/>
  <c r="BY28" i="1" s="1"/>
  <c r="BT31" i="1"/>
  <c r="BP31" i="1"/>
  <c r="BR32" i="1" s="1"/>
  <c r="BS31" i="1"/>
  <c r="BU30" i="1"/>
  <c r="BX29" i="1"/>
  <c r="BD31" i="1"/>
  <c r="BF32" i="1" s="1"/>
  <c r="BG31" i="1"/>
  <c r="BH31" i="1"/>
  <c r="BU31" i="1" l="1"/>
  <c r="BI30" i="1"/>
  <c r="BJ30" i="1" s="1"/>
  <c r="BY29" i="1"/>
  <c r="BV30" i="1"/>
  <c r="BP32" i="1"/>
  <c r="BR33" i="1" s="1"/>
  <c r="BS32" i="1"/>
  <c r="BT32" i="1"/>
  <c r="BI31" i="1"/>
  <c r="BD32" i="1"/>
  <c r="BF33" i="1" s="1"/>
  <c r="BG32" i="1"/>
  <c r="BH32" i="1"/>
  <c r="BV31" i="1" l="1"/>
  <c r="BX30" i="1"/>
  <c r="BY30" i="1" s="1"/>
  <c r="BU32" i="1"/>
  <c r="BS33" i="1"/>
  <c r="BT33" i="1"/>
  <c r="BP33" i="1"/>
  <c r="BR34" i="1" s="1"/>
  <c r="BI32" i="1"/>
  <c r="BH33" i="1"/>
  <c r="BG33" i="1"/>
  <c r="BD33" i="1"/>
  <c r="BF34" i="1" s="1"/>
  <c r="BX31" i="1"/>
  <c r="BJ31" i="1"/>
  <c r="BV32" i="1" l="1"/>
  <c r="BY31" i="1"/>
  <c r="BU33" i="1"/>
  <c r="BX32" i="1"/>
  <c r="BI33" i="1"/>
  <c r="BJ32" i="1"/>
  <c r="BH34" i="1"/>
  <c r="BD34" i="1"/>
  <c r="BF35" i="1" s="1"/>
  <c r="BG34" i="1"/>
  <c r="BS34" i="1"/>
  <c r="BT34" i="1"/>
  <c r="BP34" i="1"/>
  <c r="BR35" i="1" s="1"/>
  <c r="BV33" i="1" l="1"/>
  <c r="BY32" i="1"/>
  <c r="BJ33" i="1"/>
  <c r="BX33" i="1"/>
  <c r="BD35" i="1"/>
  <c r="BF36" i="1" s="1"/>
  <c r="BG35" i="1"/>
  <c r="BH35" i="1"/>
  <c r="BI34" i="1"/>
  <c r="BU34" i="1"/>
  <c r="BT35" i="1"/>
  <c r="BS35" i="1"/>
  <c r="BU35" i="1" s="1"/>
  <c r="BP35" i="1"/>
  <c r="BR36" i="1" s="1"/>
  <c r="BV34" i="1" l="1"/>
  <c r="BV35" i="1" s="1"/>
  <c r="BY33" i="1"/>
  <c r="BJ34" i="1"/>
  <c r="BI35" i="1"/>
  <c r="BG36" i="1"/>
  <c r="BD36" i="1"/>
  <c r="BF37" i="1" s="1"/>
  <c r="BH36" i="1"/>
  <c r="BT36" i="1"/>
  <c r="BS36" i="1"/>
  <c r="BP36" i="1"/>
  <c r="BR37" i="1" s="1"/>
  <c r="BX34" i="1"/>
  <c r="BY34" i="1" l="1"/>
  <c r="BJ35" i="1"/>
  <c r="BU36" i="1"/>
  <c r="BV36" i="1" s="1"/>
  <c r="BG37" i="1"/>
  <c r="BH37" i="1"/>
  <c r="BI37" i="1" s="1"/>
  <c r="BD37" i="1"/>
  <c r="BF38" i="1" s="1"/>
  <c r="BI36" i="1"/>
  <c r="BX35" i="1"/>
  <c r="BP37" i="1"/>
  <c r="BR38" i="1" s="1"/>
  <c r="BT37" i="1"/>
  <c r="BS37" i="1"/>
  <c r="BU37" i="1" s="1"/>
  <c r="BJ36" i="1" l="1"/>
  <c r="BJ37" i="1" s="1"/>
  <c r="BY35" i="1"/>
  <c r="BD38" i="1"/>
  <c r="BF39" i="1" s="1"/>
  <c r="BG38" i="1"/>
  <c r="BH38" i="1"/>
  <c r="BX37" i="1"/>
  <c r="BX36" i="1"/>
  <c r="BP38" i="1"/>
  <c r="BR39" i="1" s="1"/>
  <c r="BT38" i="1"/>
  <c r="BS38" i="1"/>
  <c r="BV37" i="1"/>
  <c r="BY36" i="1" l="1"/>
  <c r="BY37" i="1" s="1"/>
  <c r="BI38" i="1"/>
  <c r="BJ38" i="1" s="1"/>
  <c r="BH39" i="1"/>
  <c r="BD39" i="1"/>
  <c r="BF40" i="1" s="1"/>
  <c r="BG39" i="1"/>
  <c r="BU38" i="1"/>
  <c r="BP39" i="1"/>
  <c r="BR40" i="1" s="1"/>
  <c r="BS39" i="1"/>
  <c r="BT39" i="1"/>
  <c r="BX38" i="1" l="1"/>
  <c r="BY38" i="1" s="1"/>
  <c r="BI39" i="1"/>
  <c r="BJ39" i="1" s="1"/>
  <c r="BV38" i="1"/>
  <c r="BD40" i="1"/>
  <c r="BF41" i="1" s="1"/>
  <c r="BH40" i="1"/>
  <c r="BG40" i="1"/>
  <c r="BI40" i="1" s="1"/>
  <c r="BU39" i="1"/>
  <c r="BS40" i="1"/>
  <c r="BP40" i="1"/>
  <c r="BR41" i="1" s="1"/>
  <c r="BT40" i="1"/>
  <c r="BJ40" i="1" l="1"/>
  <c r="BD41" i="1"/>
  <c r="BF42" i="1" s="1"/>
  <c r="BH41" i="1"/>
  <c r="BG41" i="1"/>
  <c r="BU40" i="1"/>
  <c r="BX40" i="1" s="1"/>
  <c r="BS41" i="1"/>
  <c r="BT41" i="1"/>
  <c r="BP41" i="1"/>
  <c r="BR42" i="1" s="1"/>
  <c r="BX39" i="1"/>
  <c r="BY39" i="1" s="1"/>
  <c r="BV39" i="1"/>
  <c r="BV40" i="1" l="1"/>
  <c r="BY40" i="1"/>
  <c r="BI41" i="1"/>
  <c r="BJ41" i="1" s="1"/>
  <c r="BH42" i="1"/>
  <c r="BG42" i="1"/>
  <c r="BD42" i="1"/>
  <c r="BF43" i="1" s="1"/>
  <c r="BU41" i="1"/>
  <c r="BS42" i="1"/>
  <c r="BP42" i="1"/>
  <c r="BR43" i="1" s="1"/>
  <c r="BT42" i="1"/>
  <c r="BX41" i="1" l="1"/>
  <c r="BY41" i="1" s="1"/>
  <c r="BI42" i="1"/>
  <c r="BJ42" i="1" s="1"/>
  <c r="BD43" i="1"/>
  <c r="BF44" i="1" s="1"/>
  <c r="BG43" i="1"/>
  <c r="BH43" i="1"/>
  <c r="BV41" i="1"/>
  <c r="BU42" i="1"/>
  <c r="BT43" i="1"/>
  <c r="BP43" i="1"/>
  <c r="BR44" i="1" s="1"/>
  <c r="BS43" i="1"/>
  <c r="BU43" i="1" s="1"/>
  <c r="BI43" i="1" l="1"/>
  <c r="BJ43" i="1" s="1"/>
  <c r="BH44" i="1"/>
  <c r="BD44" i="1"/>
  <c r="BF45" i="1" s="1"/>
  <c r="BG44" i="1"/>
  <c r="BT44" i="1"/>
  <c r="BS44" i="1"/>
  <c r="BU44" i="1" s="1"/>
  <c r="BP44" i="1"/>
  <c r="BR45" i="1" s="1"/>
  <c r="BX42" i="1"/>
  <c r="BY42" i="1" s="1"/>
  <c r="BV42" i="1"/>
  <c r="BV43" i="1" s="1"/>
  <c r="BI44" i="1" l="1"/>
  <c r="BX44" i="1" s="1"/>
  <c r="BG45" i="1"/>
  <c r="BD45" i="1"/>
  <c r="BF46" i="1" s="1"/>
  <c r="BH45" i="1"/>
  <c r="BV44" i="1"/>
  <c r="BX43" i="1"/>
  <c r="BY43" i="1" s="1"/>
  <c r="BS45" i="1"/>
  <c r="BT45" i="1"/>
  <c r="BP45" i="1"/>
  <c r="BR46" i="1" s="1"/>
  <c r="BY44" i="1" l="1"/>
  <c r="BJ44" i="1"/>
  <c r="BD46" i="1"/>
  <c r="BF47" i="1" s="1"/>
  <c r="BH46" i="1"/>
  <c r="BG46" i="1"/>
  <c r="BI46" i="1" s="1"/>
  <c r="BI45" i="1"/>
  <c r="BT46" i="1"/>
  <c r="BS46" i="1"/>
  <c r="BP46" i="1"/>
  <c r="BR47" i="1" s="1"/>
  <c r="BU45" i="1"/>
  <c r="BU46" i="1" l="1"/>
  <c r="BX46" i="1" s="1"/>
  <c r="BJ45" i="1"/>
  <c r="BJ46" i="1" s="1"/>
  <c r="BH47" i="1"/>
  <c r="BD47" i="1"/>
  <c r="BF48" i="1" s="1"/>
  <c r="BG47" i="1"/>
  <c r="BX45" i="1"/>
  <c r="BY45" i="1" s="1"/>
  <c r="BV45" i="1"/>
  <c r="BS47" i="1"/>
  <c r="BT47" i="1"/>
  <c r="BP47" i="1"/>
  <c r="BR48" i="1" s="1"/>
  <c r="BV46" i="1" l="1"/>
  <c r="BU47" i="1"/>
  <c r="BI47" i="1"/>
  <c r="BJ47" i="1" s="1"/>
  <c r="BY46" i="1"/>
  <c r="BH48" i="1"/>
  <c r="BG48" i="1"/>
  <c r="BI48" i="1" s="1"/>
  <c r="BD48" i="1"/>
  <c r="BF49" i="1" s="1"/>
  <c r="BS48" i="1"/>
  <c r="BT48" i="1"/>
  <c r="BP48" i="1"/>
  <c r="BR49" i="1" s="1"/>
  <c r="BV47" i="1" l="1"/>
  <c r="BJ48" i="1"/>
  <c r="BX47" i="1"/>
  <c r="BY47" i="1" s="1"/>
  <c r="BU48" i="1"/>
  <c r="BD49" i="1"/>
  <c r="BF50" i="1" s="1"/>
  <c r="BH49" i="1"/>
  <c r="BG49" i="1"/>
  <c r="BP49" i="1"/>
  <c r="BR50" i="1" s="1"/>
  <c r="BT49" i="1"/>
  <c r="BS49" i="1"/>
  <c r="BU49" i="1" s="1"/>
  <c r="BV48" i="1" l="1"/>
  <c r="BV49" i="1" s="1"/>
  <c r="BI49" i="1"/>
  <c r="BX49" i="1" s="1"/>
  <c r="BX48" i="1"/>
  <c r="BY48" i="1" s="1"/>
  <c r="BG50" i="1"/>
  <c r="BH50" i="1"/>
  <c r="BD50" i="1"/>
  <c r="BF51" i="1" s="1"/>
  <c r="BT50" i="1"/>
  <c r="BS50" i="1"/>
  <c r="BU50" i="1" s="1"/>
  <c r="BP50" i="1"/>
  <c r="BR51" i="1" s="1"/>
  <c r="BJ49" i="1" l="1"/>
  <c r="BV50" i="1"/>
  <c r="BY49" i="1"/>
  <c r="BD51" i="1"/>
  <c r="BF52" i="1" s="1"/>
  <c r="BH51" i="1"/>
  <c r="BG51" i="1"/>
  <c r="BI50" i="1"/>
  <c r="BX50" i="1"/>
  <c r="BS51" i="1"/>
  <c r="BT51" i="1"/>
  <c r="BP51" i="1"/>
  <c r="BR52" i="1" s="1"/>
  <c r="BJ50" i="1" l="1"/>
  <c r="BI51" i="1"/>
  <c r="BY50" i="1"/>
  <c r="BG52" i="1"/>
  <c r="BD52" i="1"/>
  <c r="BF53" i="1" s="1"/>
  <c r="BH52" i="1"/>
  <c r="BP52" i="1"/>
  <c r="BR53" i="1" s="1"/>
  <c r="BT52" i="1"/>
  <c r="BS52" i="1"/>
  <c r="BU51" i="1"/>
  <c r="BJ51" i="1" l="1"/>
  <c r="BU52" i="1"/>
  <c r="BH53" i="1"/>
  <c r="BG53" i="1"/>
  <c r="BD53" i="1"/>
  <c r="BF54" i="1" s="1"/>
  <c r="BI52" i="1"/>
  <c r="BX51" i="1"/>
  <c r="BY51" i="1" s="1"/>
  <c r="BV51" i="1"/>
  <c r="BT53" i="1"/>
  <c r="BS53" i="1"/>
  <c r="BU53" i="1" s="1"/>
  <c r="BP53" i="1"/>
  <c r="BR54" i="1" s="1"/>
  <c r="BJ52" i="1" l="1"/>
  <c r="BV52" i="1"/>
  <c r="BV53" i="1" s="1"/>
  <c r="BI53" i="1"/>
  <c r="BG54" i="1"/>
  <c r="BH54" i="1"/>
  <c r="BD54" i="1"/>
  <c r="BF55" i="1" s="1"/>
  <c r="BX52" i="1"/>
  <c r="BY52" i="1" s="1"/>
  <c r="BT54" i="1"/>
  <c r="BP54" i="1"/>
  <c r="BR55" i="1" s="1"/>
  <c r="BS54" i="1"/>
  <c r="BU54" i="1" s="1"/>
  <c r="BJ53" i="1" l="1"/>
  <c r="BV54" i="1"/>
  <c r="BX53" i="1"/>
  <c r="BY53" i="1" s="1"/>
  <c r="BP55" i="1"/>
  <c r="BR56" i="1" s="1"/>
  <c r="BT55" i="1"/>
  <c r="BS55" i="1"/>
  <c r="BD55" i="1"/>
  <c r="BF56" i="1" s="1"/>
  <c r="BG55" i="1"/>
  <c r="BH55" i="1"/>
  <c r="BI54" i="1"/>
  <c r="BJ54" i="1" l="1"/>
  <c r="BU55" i="1"/>
  <c r="BV55" i="1" s="1"/>
  <c r="BS56" i="1"/>
  <c r="BP56" i="1"/>
  <c r="BR57" i="1" s="1"/>
  <c r="BT56" i="1"/>
  <c r="BI55" i="1"/>
  <c r="BH56" i="1"/>
  <c r="BD56" i="1"/>
  <c r="BF57" i="1" s="1"/>
  <c r="BG56" i="1"/>
  <c r="BI56" i="1" s="1"/>
  <c r="BX54" i="1"/>
  <c r="BY54" i="1" s="1"/>
  <c r="BX55" i="1" l="1"/>
  <c r="BY55" i="1" s="1"/>
  <c r="BS57" i="1"/>
  <c r="BP57" i="1"/>
  <c r="BR58" i="1" s="1"/>
  <c r="BT57" i="1"/>
  <c r="BU56" i="1"/>
  <c r="BV56" i="1" s="1"/>
  <c r="BG57" i="1"/>
  <c r="BH57" i="1"/>
  <c r="BI57" i="1" s="1"/>
  <c r="BD57" i="1"/>
  <c r="BF58" i="1" s="1"/>
  <c r="BJ55" i="1"/>
  <c r="BJ56" i="1" s="1"/>
  <c r="BJ57" i="1" s="1"/>
  <c r="BU57" i="1" l="1"/>
  <c r="BX57" i="1" s="1"/>
  <c r="BX56" i="1"/>
  <c r="BY56" i="1" s="1"/>
  <c r="BS58" i="1"/>
  <c r="BT58" i="1"/>
  <c r="BP58" i="1"/>
  <c r="BR59" i="1" s="1"/>
  <c r="BD58" i="1"/>
  <c r="BF59" i="1" s="1"/>
  <c r="BG58" i="1"/>
  <c r="BH58" i="1"/>
  <c r="BY57" i="1" l="1"/>
  <c r="BV57" i="1"/>
  <c r="BU58" i="1"/>
  <c r="BT59" i="1"/>
  <c r="BP59" i="1"/>
  <c r="BR60" i="1" s="1"/>
  <c r="BS59" i="1"/>
  <c r="BH59" i="1"/>
  <c r="BD59" i="1"/>
  <c r="BF60" i="1" s="1"/>
  <c r="BG59" i="1"/>
  <c r="BI59" i="1" s="1"/>
  <c r="BI58" i="1"/>
  <c r="BV58" i="1" l="1"/>
  <c r="BU59" i="1"/>
  <c r="BS60" i="1"/>
  <c r="BT60" i="1"/>
  <c r="BP60" i="1"/>
  <c r="BR61" i="1" s="1"/>
  <c r="BH60" i="1"/>
  <c r="BD60" i="1"/>
  <c r="BF61" i="1" s="1"/>
  <c r="BG60" i="1"/>
  <c r="BX58" i="1"/>
  <c r="BY58" i="1" s="1"/>
  <c r="BJ58" i="1"/>
  <c r="BJ59" i="1" s="1"/>
  <c r="BV59" i="1" l="1"/>
  <c r="BI60" i="1"/>
  <c r="BJ60" i="1" s="1"/>
  <c r="BX59" i="1"/>
  <c r="BY59" i="1" s="1"/>
  <c r="BU60" i="1"/>
  <c r="BP61" i="1"/>
  <c r="BR62" i="1" s="1"/>
  <c r="BS61" i="1"/>
  <c r="BT61" i="1"/>
  <c r="BD61" i="1"/>
  <c r="BF62" i="1" s="1"/>
  <c r="BH61" i="1"/>
  <c r="BG61" i="1"/>
  <c r="BV60" i="1" l="1"/>
  <c r="BI61" i="1"/>
  <c r="BJ61" i="1" s="1"/>
  <c r="BX60" i="1"/>
  <c r="BY60" i="1" s="1"/>
  <c r="BU61" i="1"/>
  <c r="BP62" i="1"/>
  <c r="BR63" i="1" s="1"/>
  <c r="BS62" i="1"/>
  <c r="BT62" i="1"/>
  <c r="BH62" i="1"/>
  <c r="BG62" i="1"/>
  <c r="BI62" i="1" s="1"/>
  <c r="BD62" i="1"/>
  <c r="BF63" i="1" s="1"/>
  <c r="BV61" i="1" l="1"/>
  <c r="BX61" i="1"/>
  <c r="BY61" i="1" s="1"/>
  <c r="BU62" i="1"/>
  <c r="BV62" i="1" s="1"/>
  <c r="BP63" i="1"/>
  <c r="BR64" i="1" s="1"/>
  <c r="BS63" i="1"/>
  <c r="BT63" i="1"/>
  <c r="BD63" i="1"/>
  <c r="BF64" i="1" s="1"/>
  <c r="BG63" i="1"/>
  <c r="BH63" i="1"/>
  <c r="BI63" i="1" s="1"/>
  <c r="BJ62" i="1"/>
  <c r="BJ63" i="1" s="1"/>
  <c r="BX62" i="1" l="1"/>
  <c r="BY62" i="1" s="1"/>
  <c r="BU63" i="1"/>
  <c r="BX63" i="1" s="1"/>
  <c r="BT64" i="1"/>
  <c r="BS64" i="1"/>
  <c r="BP64" i="1"/>
  <c r="BR65" i="1" s="1"/>
  <c r="BD64" i="1"/>
  <c r="BF65" i="1" s="1"/>
  <c r="BH64" i="1"/>
  <c r="BG64" i="1"/>
  <c r="BI64" i="1" s="1"/>
  <c r="BY63" i="1" l="1"/>
  <c r="BU64" i="1"/>
  <c r="BX64" i="1" s="1"/>
  <c r="BV63" i="1"/>
  <c r="BP65" i="1"/>
  <c r="BR66" i="1" s="1"/>
  <c r="BT65" i="1"/>
  <c r="BS65" i="1"/>
  <c r="BD65" i="1"/>
  <c r="BF66" i="1" s="1"/>
  <c r="BH65" i="1"/>
  <c r="BG65" i="1"/>
  <c r="BJ64" i="1"/>
  <c r="BY64" i="1" l="1"/>
  <c r="BV64" i="1"/>
  <c r="BU65" i="1"/>
  <c r="BP66" i="1"/>
  <c r="BR67" i="1" s="1"/>
  <c r="BT66" i="1"/>
  <c r="BS66" i="1"/>
  <c r="BH66" i="1"/>
  <c r="BG66" i="1"/>
  <c r="BI66" i="1" s="1"/>
  <c r="BD66" i="1"/>
  <c r="BF67" i="1" s="1"/>
  <c r="BI65" i="1"/>
  <c r="BU66" i="1" l="1"/>
  <c r="BX66" i="1" s="1"/>
  <c r="BV65" i="1"/>
  <c r="BX65" i="1"/>
  <c r="BY65" i="1" s="1"/>
  <c r="BT67" i="1"/>
  <c r="BS67" i="1"/>
  <c r="BP67" i="1"/>
  <c r="BR68" i="1" s="1"/>
  <c r="BD67" i="1"/>
  <c r="BF68" i="1" s="1"/>
  <c r="BG67" i="1"/>
  <c r="BH67" i="1"/>
  <c r="BJ65" i="1"/>
  <c r="BJ66" i="1" s="1"/>
  <c r="BV66" i="1" l="1"/>
  <c r="BY66" i="1"/>
  <c r="BU67" i="1"/>
  <c r="BS68" i="1"/>
  <c r="BP68" i="1"/>
  <c r="BR69" i="1" s="1"/>
  <c r="BT68" i="1"/>
  <c r="BI67" i="1"/>
  <c r="BJ67" i="1" s="1"/>
  <c r="BH68" i="1"/>
  <c r="BG68" i="1"/>
  <c r="BI68" i="1" s="1"/>
  <c r="BD68" i="1"/>
  <c r="BF69" i="1" s="1"/>
  <c r="BV67" i="1" l="1"/>
  <c r="BX67" i="1"/>
  <c r="BY67" i="1" s="1"/>
  <c r="BJ68" i="1"/>
  <c r="BT69" i="1"/>
  <c r="BP69" i="1"/>
  <c r="BR70" i="1" s="1"/>
  <c r="BS69" i="1"/>
  <c r="BU68" i="1"/>
  <c r="BG69" i="1"/>
  <c r="BH69" i="1"/>
  <c r="BD69" i="1"/>
  <c r="BF70" i="1" s="1"/>
  <c r="BV68" i="1" l="1"/>
  <c r="BU69" i="1"/>
  <c r="BX68" i="1"/>
  <c r="BY68" i="1" s="1"/>
  <c r="BP70" i="1"/>
  <c r="BR71" i="1" s="1"/>
  <c r="BT70" i="1"/>
  <c r="BS70" i="1"/>
  <c r="BD70" i="1"/>
  <c r="BF71" i="1" s="1"/>
  <c r="BH70" i="1"/>
  <c r="BG70" i="1"/>
  <c r="BI70" i="1" s="1"/>
  <c r="BI69" i="1"/>
  <c r="BV69" i="1" l="1"/>
  <c r="BU70" i="1"/>
  <c r="BV70" i="1" s="1"/>
  <c r="BX70" i="1"/>
  <c r="BT71" i="1"/>
  <c r="BP71" i="1"/>
  <c r="BR72" i="1" s="1"/>
  <c r="BS71" i="1"/>
  <c r="BG71" i="1"/>
  <c r="BD71" i="1"/>
  <c r="BF72" i="1" s="1"/>
  <c r="BH71" i="1"/>
  <c r="BI71" i="1" s="1"/>
  <c r="BX69" i="1"/>
  <c r="BY69" i="1" s="1"/>
  <c r="BJ69" i="1"/>
  <c r="BJ70" i="1" s="1"/>
  <c r="BY70" i="1" l="1"/>
  <c r="BU71" i="1"/>
  <c r="BV71" i="1" s="1"/>
  <c r="BS72" i="1"/>
  <c r="BP72" i="1"/>
  <c r="BR73" i="1" s="1"/>
  <c r="BT72" i="1"/>
  <c r="BG72" i="1"/>
  <c r="BD72" i="1"/>
  <c r="BF73" i="1" s="1"/>
  <c r="BH72" i="1"/>
  <c r="BJ71" i="1"/>
  <c r="BI72" i="1" l="1"/>
  <c r="BJ72" i="1" s="1"/>
  <c r="BX71" i="1"/>
  <c r="BY71" i="1" s="1"/>
  <c r="BU72" i="1"/>
  <c r="BV72" i="1" s="1"/>
  <c r="BS73" i="1"/>
  <c r="BP73" i="1"/>
  <c r="BR74" i="1" s="1"/>
  <c r="BT73" i="1"/>
  <c r="BD73" i="1"/>
  <c r="BF74" i="1" s="1"/>
  <c r="BH73" i="1"/>
  <c r="BG73" i="1"/>
  <c r="BX72" i="1" l="1"/>
  <c r="BY72" i="1" s="1"/>
  <c r="BS74" i="1"/>
  <c r="BT74" i="1"/>
  <c r="BP74" i="1"/>
  <c r="BR75" i="1" s="1"/>
  <c r="BU73" i="1"/>
  <c r="BV73" i="1" s="1"/>
  <c r="BH74" i="1"/>
  <c r="BD74" i="1"/>
  <c r="BF75" i="1" s="1"/>
  <c r="BG74" i="1"/>
  <c r="BI73" i="1"/>
  <c r="BX73" i="1" s="1"/>
  <c r="BY73" i="1" l="1"/>
  <c r="BI74" i="1"/>
  <c r="BU74" i="1"/>
  <c r="BV74" i="1" s="1"/>
  <c r="BP75" i="1"/>
  <c r="BR76" i="1" s="1"/>
  <c r="BT75" i="1"/>
  <c r="BS75" i="1"/>
  <c r="BG75" i="1"/>
  <c r="BD75" i="1"/>
  <c r="BF76" i="1" s="1"/>
  <c r="BH75" i="1"/>
  <c r="BJ73" i="1"/>
  <c r="BU75" i="1" l="1"/>
  <c r="BV75" i="1" s="1"/>
  <c r="BJ74" i="1"/>
  <c r="BX74" i="1"/>
  <c r="BY74" i="1" s="1"/>
  <c r="BS76" i="1"/>
  <c r="BT76" i="1"/>
  <c r="BP76" i="1"/>
  <c r="BR77" i="1" s="1"/>
  <c r="BG76" i="1"/>
  <c r="BD76" i="1"/>
  <c r="BF77" i="1" s="1"/>
  <c r="BH76" i="1"/>
  <c r="BI75" i="1"/>
  <c r="BJ75" i="1" l="1"/>
  <c r="BX75" i="1"/>
  <c r="BY75" i="1" s="1"/>
  <c r="BP77" i="1"/>
  <c r="BR78" i="1" s="1"/>
  <c r="BT77" i="1"/>
  <c r="BS77" i="1"/>
  <c r="BU76" i="1"/>
  <c r="BV76" i="1" s="1"/>
  <c r="BD77" i="1"/>
  <c r="BF78" i="1" s="1"/>
  <c r="BH77" i="1"/>
  <c r="BG77" i="1"/>
  <c r="BI77" i="1" s="1"/>
  <c r="BI76" i="1"/>
  <c r="BX76" i="1" s="1"/>
  <c r="BY76" i="1" l="1"/>
  <c r="BU77" i="1"/>
  <c r="BX77" i="1" s="1"/>
  <c r="BJ76" i="1"/>
  <c r="BJ77" i="1" s="1"/>
  <c r="BT78" i="1"/>
  <c r="BP78" i="1"/>
  <c r="BR79" i="1" s="1"/>
  <c r="BS78" i="1"/>
  <c r="BH78" i="1"/>
  <c r="BG78" i="1"/>
  <c r="BD78" i="1"/>
  <c r="BF79" i="1" s="1"/>
  <c r="BY77" i="1" l="1"/>
  <c r="BI78" i="1"/>
  <c r="BJ78" i="1" s="1"/>
  <c r="BU78" i="1"/>
  <c r="BV77" i="1"/>
  <c r="BS79" i="1"/>
  <c r="BP79" i="1"/>
  <c r="BR80" i="1" s="1"/>
  <c r="BT79" i="1"/>
  <c r="BD79" i="1"/>
  <c r="BF80" i="1" s="1"/>
  <c r="BH79" i="1"/>
  <c r="BG79" i="1"/>
  <c r="BX78" i="1" l="1"/>
  <c r="BY78" i="1" s="1"/>
  <c r="BV78" i="1"/>
  <c r="BT80" i="1"/>
  <c r="BS80" i="1"/>
  <c r="BP80" i="1"/>
  <c r="BR81" i="1" s="1"/>
  <c r="BU79" i="1"/>
  <c r="BD80" i="1"/>
  <c r="BF81" i="1" s="1"/>
  <c r="BH80" i="1"/>
  <c r="BG80" i="1"/>
  <c r="BI80" i="1" s="1"/>
  <c r="BI79" i="1"/>
  <c r="BU80" i="1" l="1"/>
  <c r="BX80" i="1" s="1"/>
  <c r="BV79" i="1"/>
  <c r="BS81" i="1"/>
  <c r="BT81" i="1"/>
  <c r="BP81" i="1"/>
  <c r="BR82" i="1" s="1"/>
  <c r="BG81" i="1"/>
  <c r="BH81" i="1"/>
  <c r="BD81" i="1"/>
  <c r="BF82" i="1" s="1"/>
  <c r="BX79" i="1"/>
  <c r="BY79" i="1" s="1"/>
  <c r="BJ79" i="1"/>
  <c r="BJ80" i="1" s="1"/>
  <c r="BV80" i="1" l="1"/>
  <c r="BV81" i="1" s="1"/>
  <c r="BY80" i="1"/>
  <c r="BU81" i="1"/>
  <c r="BT82" i="1"/>
  <c r="BS82" i="1"/>
  <c r="BP82" i="1"/>
  <c r="BR83" i="1" s="1"/>
  <c r="BI81" i="1"/>
  <c r="BJ81" i="1"/>
  <c r="BH82" i="1"/>
  <c r="BD82" i="1"/>
  <c r="BF83" i="1" s="1"/>
  <c r="BG82" i="1"/>
  <c r="BX81" i="1" l="1"/>
  <c r="BY81" i="1" s="1"/>
  <c r="BU82" i="1"/>
  <c r="BV82" i="1" s="1"/>
  <c r="BS83" i="1"/>
  <c r="BT83" i="1"/>
  <c r="BP83" i="1"/>
  <c r="BR84" i="1" s="1"/>
  <c r="BI82" i="1"/>
  <c r="BH83" i="1"/>
  <c r="BD83" i="1"/>
  <c r="BF84" i="1" s="1"/>
  <c r="BG83" i="1"/>
  <c r="BI83" i="1" s="1"/>
  <c r="BX82" i="1" l="1"/>
  <c r="BY82" i="1" s="1"/>
  <c r="BU83" i="1"/>
  <c r="BX83" i="1" s="1"/>
  <c r="BS84" i="1"/>
  <c r="BP84" i="1"/>
  <c r="BR85" i="1" s="1"/>
  <c r="BT84" i="1"/>
  <c r="BJ82" i="1"/>
  <c r="BJ83" i="1" s="1"/>
  <c r="BD84" i="1"/>
  <c r="BF85" i="1" s="1"/>
  <c r="BG84" i="1"/>
  <c r="BH84" i="1"/>
  <c r="BY83" i="1" l="1"/>
  <c r="BV83" i="1"/>
  <c r="BI84" i="1"/>
  <c r="BS85" i="1"/>
  <c r="BT85" i="1"/>
  <c r="BP85" i="1"/>
  <c r="BR86" i="1" s="1"/>
  <c r="BU84" i="1"/>
  <c r="BD85" i="1"/>
  <c r="BF86" i="1" s="1"/>
  <c r="BH85" i="1"/>
  <c r="BG85" i="1"/>
  <c r="BV84" i="1" l="1"/>
  <c r="BX84" i="1"/>
  <c r="BY84" i="1" s="1"/>
  <c r="BJ84" i="1"/>
  <c r="BP86" i="1"/>
  <c r="BR87" i="1" s="1"/>
  <c r="BT86" i="1"/>
  <c r="BS86" i="1"/>
  <c r="BU86" i="1" s="1"/>
  <c r="BU85" i="1"/>
  <c r="BG86" i="1"/>
  <c r="BD86" i="1"/>
  <c r="BF87" i="1" s="1"/>
  <c r="BH86" i="1"/>
  <c r="BI85" i="1"/>
  <c r="BX85" i="1" s="1"/>
  <c r="BV85" i="1" l="1"/>
  <c r="BV86" i="1" s="1"/>
  <c r="BY85" i="1"/>
  <c r="BP87" i="1"/>
  <c r="BR88" i="1" s="1"/>
  <c r="BS87" i="1"/>
  <c r="BT87" i="1"/>
  <c r="BH87" i="1"/>
  <c r="BG87" i="1"/>
  <c r="BI87" i="1" s="1"/>
  <c r="BD87" i="1"/>
  <c r="BF88" i="1" s="1"/>
  <c r="BI86" i="1"/>
  <c r="BX86" i="1" s="1"/>
  <c r="BJ85" i="1"/>
  <c r="BJ86" i="1" s="1"/>
  <c r="BY86" i="1" l="1"/>
  <c r="BU87" i="1"/>
  <c r="BV87" i="1" s="1"/>
  <c r="BS88" i="1"/>
  <c r="BP88" i="1"/>
  <c r="BR89" i="1" s="1"/>
  <c r="BT88" i="1"/>
  <c r="BH88" i="1"/>
  <c r="BG88" i="1"/>
  <c r="BD88" i="1"/>
  <c r="BF89" i="1" s="1"/>
  <c r="BJ87" i="1"/>
  <c r="BS89" i="1" l="1"/>
  <c r="BP89" i="1"/>
  <c r="BR90" i="1" s="1"/>
  <c r="BT89" i="1"/>
  <c r="BI88" i="1"/>
  <c r="BU88" i="1"/>
  <c r="BV88" i="1" s="1"/>
  <c r="BX87" i="1"/>
  <c r="BY87" i="1" s="1"/>
  <c r="BJ88" i="1"/>
  <c r="BH89" i="1"/>
  <c r="BD89" i="1"/>
  <c r="BF90" i="1" s="1"/>
  <c r="BG89" i="1"/>
  <c r="BT90" i="1" l="1"/>
  <c r="BP90" i="1"/>
  <c r="BR91" i="1" s="1"/>
  <c r="BS90" i="1"/>
  <c r="BU89" i="1"/>
  <c r="BV89" i="1" s="1"/>
  <c r="BX88" i="1"/>
  <c r="BY88" i="1" s="1"/>
  <c r="BG90" i="1"/>
  <c r="BD90" i="1"/>
  <c r="BF91" i="1" s="1"/>
  <c r="BH90" i="1"/>
  <c r="BI89" i="1"/>
  <c r="BU90" i="1" l="1"/>
  <c r="BV90" i="1" s="1"/>
  <c r="BP91" i="1"/>
  <c r="BR92" i="1" s="1"/>
  <c r="BS91" i="1"/>
  <c r="BT91" i="1"/>
  <c r="BH91" i="1"/>
  <c r="BG91" i="1"/>
  <c r="BI91" i="1" s="1"/>
  <c r="BD91" i="1"/>
  <c r="BF92" i="1" s="1"/>
  <c r="BI90" i="1"/>
  <c r="BX89" i="1"/>
  <c r="BY89" i="1" s="1"/>
  <c r="BJ89" i="1"/>
  <c r="BJ90" i="1" s="1"/>
  <c r="BJ91" i="1" s="1"/>
  <c r="BX90" i="1" l="1"/>
  <c r="BY90" i="1" s="1"/>
  <c r="BU91" i="1"/>
  <c r="BV91" i="1" s="1"/>
  <c r="BP92" i="1"/>
  <c r="BR93" i="1" s="1"/>
  <c r="BT92" i="1"/>
  <c r="BS92" i="1"/>
  <c r="BU92" i="1" s="1"/>
  <c r="BD92" i="1"/>
  <c r="BF93" i="1" s="1"/>
  <c r="BG92" i="1"/>
  <c r="BH92" i="1"/>
  <c r="BV92" i="1" l="1"/>
  <c r="BT93" i="1"/>
  <c r="BP93" i="1"/>
  <c r="BR94" i="1" s="1"/>
  <c r="BS93" i="1"/>
  <c r="BX91" i="1"/>
  <c r="BY91" i="1" s="1"/>
  <c r="BI92" i="1"/>
  <c r="BH93" i="1"/>
  <c r="BD93" i="1"/>
  <c r="BF94" i="1" s="1"/>
  <c r="BG93" i="1"/>
  <c r="BU93" i="1" l="1"/>
  <c r="BV93" i="1" s="1"/>
  <c r="BP94" i="1"/>
  <c r="BR95" i="1" s="1"/>
  <c r="BS94" i="1"/>
  <c r="BT94" i="1"/>
  <c r="BX92" i="1"/>
  <c r="BJ92" i="1"/>
  <c r="BI93" i="1"/>
  <c r="BG94" i="1"/>
  <c r="BH94" i="1"/>
  <c r="BD94" i="1"/>
  <c r="BF95" i="1" s="1"/>
  <c r="BX93" i="1" l="1"/>
  <c r="BJ93" i="1"/>
  <c r="BU94" i="1"/>
  <c r="BV94" i="1" s="1"/>
  <c r="BT95" i="1"/>
  <c r="BP95" i="1"/>
  <c r="BR96" i="1" s="1"/>
  <c r="BS95" i="1"/>
  <c r="BU95" i="1" s="1"/>
  <c r="BI94" i="1"/>
  <c r="BG95" i="1"/>
  <c r="BH95" i="1"/>
  <c r="BD95" i="1"/>
  <c r="BF96" i="1" s="1"/>
  <c r="BY92" i="1"/>
  <c r="BY93" i="1" l="1"/>
  <c r="BT96" i="1"/>
  <c r="BP96" i="1"/>
  <c r="BR97" i="1" s="1"/>
  <c r="BS96" i="1"/>
  <c r="BV95" i="1"/>
  <c r="BH96" i="1"/>
  <c r="BD96" i="1"/>
  <c r="BF97" i="1" s="1"/>
  <c r="BG96" i="1"/>
  <c r="BI95" i="1"/>
  <c r="BX94" i="1"/>
  <c r="BJ94" i="1"/>
  <c r="BJ95" i="1" l="1"/>
  <c r="BI96" i="1"/>
  <c r="BJ96" i="1" s="1"/>
  <c r="BU96" i="1"/>
  <c r="BV96" i="1" s="1"/>
  <c r="BH97" i="1"/>
  <c r="BG97" i="1"/>
  <c r="BD97" i="1"/>
  <c r="BF98" i="1" s="1"/>
  <c r="BP97" i="1"/>
  <c r="BR98" i="1" s="1"/>
  <c r="BT97" i="1"/>
  <c r="BS97" i="1"/>
  <c r="BU97" i="1" s="1"/>
  <c r="BX95" i="1"/>
  <c r="BY94" i="1"/>
  <c r="BX96" i="1" l="1"/>
  <c r="BT98" i="1"/>
  <c r="BS98" i="1"/>
  <c r="BP98" i="1"/>
  <c r="BR99" i="1" s="1"/>
  <c r="BG98" i="1"/>
  <c r="BH98" i="1"/>
  <c r="BD98" i="1"/>
  <c r="BF99" i="1" s="1"/>
  <c r="BV97" i="1"/>
  <c r="BI97" i="1"/>
  <c r="BY95" i="1"/>
  <c r="BY96" i="1" l="1"/>
  <c r="BU98" i="1"/>
  <c r="BV98" i="1" s="1"/>
  <c r="BG99" i="1"/>
  <c r="BD99" i="1"/>
  <c r="BF100" i="1" s="1"/>
  <c r="BH99" i="1"/>
  <c r="BX97" i="1"/>
  <c r="BJ97" i="1"/>
  <c r="BI98" i="1"/>
  <c r="BS99" i="1"/>
  <c r="BP99" i="1"/>
  <c r="BR100" i="1" s="1"/>
  <c r="BT99" i="1"/>
  <c r="BY97" i="1" l="1"/>
  <c r="BX98" i="1"/>
  <c r="BI99" i="1"/>
  <c r="BT100" i="1"/>
  <c r="BS100" i="1"/>
  <c r="BP100" i="1"/>
  <c r="BR101" i="1" s="1"/>
  <c r="BJ98" i="1"/>
  <c r="BU99" i="1"/>
  <c r="BG100" i="1"/>
  <c r="BH100" i="1"/>
  <c r="BD100" i="1"/>
  <c r="BF101" i="1" s="1"/>
  <c r="BY98" i="1" l="1"/>
  <c r="BU100" i="1"/>
  <c r="BJ99" i="1"/>
  <c r="BG101" i="1"/>
  <c r="BD101" i="1"/>
  <c r="BF102" i="1" s="1"/>
  <c r="BH101" i="1"/>
  <c r="BI100" i="1"/>
  <c r="BX99" i="1"/>
  <c r="BV99" i="1"/>
  <c r="BS101" i="1"/>
  <c r="BT101" i="1"/>
  <c r="BP101" i="1"/>
  <c r="BR102" i="1" s="1"/>
  <c r="BY99" i="1" l="1"/>
  <c r="BV100" i="1"/>
  <c r="BI101" i="1"/>
  <c r="BJ100" i="1"/>
  <c r="BX100" i="1"/>
  <c r="BS102" i="1"/>
  <c r="BP102" i="1"/>
  <c r="BR103" i="1" s="1"/>
  <c r="BT102" i="1"/>
  <c r="BU101" i="1"/>
  <c r="BG102" i="1"/>
  <c r="BH102" i="1"/>
  <c r="BD102" i="1"/>
  <c r="BF103" i="1" s="1"/>
  <c r="BY100" i="1" l="1"/>
  <c r="BJ101" i="1"/>
  <c r="BX101" i="1"/>
  <c r="BH103" i="1"/>
  <c r="BD103" i="1"/>
  <c r="BF104" i="1" s="1"/>
  <c r="BG103" i="1"/>
  <c r="BI102" i="1"/>
  <c r="BV101" i="1"/>
  <c r="BP103" i="1"/>
  <c r="BR104" i="1" s="1"/>
  <c r="BS103" i="1"/>
  <c r="BT103" i="1"/>
  <c r="BU102" i="1"/>
  <c r="BY101" i="1" l="1"/>
  <c r="BX102" i="1"/>
  <c r="BI103" i="1"/>
  <c r="BU103" i="1"/>
  <c r="BH104" i="1"/>
  <c r="BD104" i="1"/>
  <c r="BF105" i="1" s="1"/>
  <c r="BG104" i="1"/>
  <c r="BS104" i="1"/>
  <c r="BT104" i="1"/>
  <c r="BP104" i="1"/>
  <c r="BR105" i="1" s="1"/>
  <c r="BV102" i="1"/>
  <c r="BJ102" i="1"/>
  <c r="BY102" i="1" l="1"/>
  <c r="BI104" i="1"/>
  <c r="BV103" i="1"/>
  <c r="BJ103" i="1"/>
  <c r="BX103" i="1"/>
  <c r="BT105" i="1"/>
  <c r="BP105" i="1"/>
  <c r="BR106" i="1" s="1"/>
  <c r="BS105" i="1"/>
  <c r="BU104" i="1"/>
  <c r="BD105" i="1"/>
  <c r="BF106" i="1" s="1"/>
  <c r="BH105" i="1"/>
  <c r="BG105" i="1"/>
  <c r="BY103" i="1" l="1"/>
  <c r="BI105" i="1"/>
  <c r="BX104" i="1"/>
  <c r="BY104" i="1" s="1"/>
  <c r="BJ104" i="1"/>
  <c r="BU105" i="1"/>
  <c r="BH106" i="1"/>
  <c r="BG106" i="1"/>
  <c r="BD106" i="1"/>
  <c r="BF107" i="1" s="1"/>
  <c r="BV104" i="1"/>
  <c r="BP106" i="1"/>
  <c r="BR107" i="1" s="1"/>
  <c r="BS106" i="1"/>
  <c r="BT106" i="1"/>
  <c r="BJ105" i="1" l="1"/>
  <c r="BX105" i="1"/>
  <c r="BV105" i="1"/>
  <c r="BY105" i="1"/>
  <c r="BU106" i="1"/>
  <c r="BI106" i="1"/>
  <c r="BJ106" i="1" s="1"/>
  <c r="BP107" i="1"/>
  <c r="BR108" i="1" s="1"/>
  <c r="BS107" i="1"/>
  <c r="BT107" i="1"/>
  <c r="BD107" i="1"/>
  <c r="BF108" i="1" s="1"/>
  <c r="BH107" i="1"/>
  <c r="BG107" i="1"/>
  <c r="BV106" i="1" l="1"/>
  <c r="BX106" i="1"/>
  <c r="BY106" i="1" s="1"/>
  <c r="BI107" i="1"/>
  <c r="BU107" i="1"/>
  <c r="BS108" i="1"/>
  <c r="BT108" i="1"/>
  <c r="BP108" i="1"/>
  <c r="BR109" i="1" s="1"/>
  <c r="BD108" i="1"/>
  <c r="BF109" i="1" s="1"/>
  <c r="BH108" i="1"/>
  <c r="BG108" i="1"/>
  <c r="BI108" i="1" s="1"/>
  <c r="BX107" i="1" l="1"/>
  <c r="BY107" i="1" s="1"/>
  <c r="BJ107" i="1"/>
  <c r="BJ108" i="1" s="1"/>
  <c r="BD109" i="1"/>
  <c r="BF110" i="1" s="1"/>
  <c r="BH109" i="1"/>
  <c r="BG109" i="1"/>
  <c r="BT109" i="1"/>
  <c r="BS109" i="1"/>
  <c r="BP109" i="1"/>
  <c r="BR110" i="1" s="1"/>
  <c r="BU108" i="1"/>
  <c r="BX108" i="1" s="1"/>
  <c r="BV107" i="1"/>
  <c r="BV108" i="1" s="1"/>
  <c r="BY108" i="1" l="1"/>
  <c r="BU109" i="1"/>
  <c r="BV109" i="1" s="1"/>
  <c r="BT110" i="1"/>
  <c r="BS110" i="1"/>
  <c r="BP110" i="1"/>
  <c r="BR111" i="1" s="1"/>
  <c r="BI109" i="1"/>
  <c r="BJ109" i="1" s="1"/>
  <c r="BG110" i="1"/>
  <c r="BH110" i="1"/>
  <c r="BD110" i="1"/>
  <c r="BF111" i="1" s="1"/>
  <c r="BI110" i="1" l="1"/>
  <c r="BJ110" i="1" s="1"/>
  <c r="BX109" i="1"/>
  <c r="BY109" i="1" s="1"/>
  <c r="BU110" i="1"/>
  <c r="BV110" i="1" s="1"/>
  <c r="BD111" i="1"/>
  <c r="BF112" i="1" s="1"/>
  <c r="BG111" i="1"/>
  <c r="BH111" i="1"/>
  <c r="BS111" i="1"/>
  <c r="BT111" i="1"/>
  <c r="BP111" i="1"/>
  <c r="BR112" i="1" s="1"/>
  <c r="BX110" i="1" l="1"/>
  <c r="BY110" i="1"/>
  <c r="BU111" i="1"/>
  <c r="BV111" i="1" s="1"/>
  <c r="BP112" i="1"/>
  <c r="BR113" i="1" s="1"/>
  <c r="BS112" i="1"/>
  <c r="BT112" i="1"/>
  <c r="BI111" i="1"/>
  <c r="BG112" i="1"/>
  <c r="BH112" i="1"/>
  <c r="BD112" i="1"/>
  <c r="BF113" i="1" s="1"/>
  <c r="BS113" i="1" l="1"/>
  <c r="BP113" i="1"/>
  <c r="BR114" i="1" s="1"/>
  <c r="BT113" i="1"/>
  <c r="BH113" i="1"/>
  <c r="BD113" i="1"/>
  <c r="BF114" i="1" s="1"/>
  <c r="BG113" i="1"/>
  <c r="BI113" i="1" s="1"/>
  <c r="BI112" i="1"/>
  <c r="BX111" i="1"/>
  <c r="BY111" i="1" s="1"/>
  <c r="BJ111" i="1"/>
  <c r="BJ112" i="1" s="1"/>
  <c r="BJ113" i="1" s="1"/>
  <c r="BU112" i="1"/>
  <c r="BX112" i="1" s="1"/>
  <c r="BY112" i="1" l="1"/>
  <c r="BG114" i="1"/>
  <c r="BD114" i="1"/>
  <c r="BF115" i="1" s="1"/>
  <c r="BH114" i="1"/>
  <c r="BT114" i="1"/>
  <c r="BS114" i="1"/>
  <c r="BU114" i="1" s="1"/>
  <c r="BP114" i="1"/>
  <c r="BR115" i="1" s="1"/>
  <c r="BU113" i="1"/>
  <c r="BX113" i="1" s="1"/>
  <c r="BV112" i="1"/>
  <c r="BV113" i="1" s="1"/>
  <c r="BV114" i="1" s="1"/>
  <c r="BI114" i="1" l="1"/>
  <c r="BJ114" i="1" s="1"/>
  <c r="BS115" i="1"/>
  <c r="BT115" i="1"/>
  <c r="BP115" i="1"/>
  <c r="BR116" i="1" s="1"/>
  <c r="BG115" i="1"/>
  <c r="BH115" i="1"/>
  <c r="BD115" i="1"/>
  <c r="BF116" i="1" s="1"/>
  <c r="BY113" i="1"/>
  <c r="BI115" i="1" l="1"/>
  <c r="BJ115" i="1" s="1"/>
  <c r="BX114" i="1"/>
  <c r="BY114" i="1" s="1"/>
  <c r="BT116" i="1"/>
  <c r="BP116" i="1"/>
  <c r="BR117" i="1" s="1"/>
  <c r="BS116" i="1"/>
  <c r="BG116" i="1"/>
  <c r="BD116" i="1"/>
  <c r="BF117" i="1" s="1"/>
  <c r="BH116" i="1"/>
  <c r="BU115" i="1"/>
  <c r="BX115" i="1" l="1"/>
  <c r="BY115" i="1" s="1"/>
  <c r="BI116" i="1"/>
  <c r="BJ116" i="1" s="1"/>
  <c r="BV115" i="1"/>
  <c r="BH117" i="1"/>
  <c r="BD117" i="1"/>
  <c r="BF118" i="1" s="1"/>
  <c r="BG117" i="1"/>
  <c r="BU116" i="1"/>
  <c r="BS117" i="1"/>
  <c r="BP117" i="1"/>
  <c r="BR118" i="1" s="1"/>
  <c r="BT117" i="1"/>
  <c r="BX116" i="1" l="1"/>
  <c r="BY116" i="1" s="1"/>
  <c r="BI117" i="1"/>
  <c r="BJ117" i="1" s="1"/>
  <c r="BP118" i="1"/>
  <c r="BR119" i="1" s="1"/>
  <c r="BT118" i="1"/>
  <c r="BS118" i="1"/>
  <c r="BD118" i="1"/>
  <c r="BF119" i="1" s="1"/>
  <c r="BG118" i="1"/>
  <c r="BH118" i="1"/>
  <c r="BV116" i="1"/>
  <c r="BU117" i="1"/>
  <c r="BX117" i="1" l="1"/>
  <c r="BY117" i="1" s="1"/>
  <c r="BU118" i="1"/>
  <c r="BV117" i="1"/>
  <c r="BI118" i="1"/>
  <c r="BJ118" i="1" s="1"/>
  <c r="BH119" i="1"/>
  <c r="BG119" i="1"/>
  <c r="BD119" i="1"/>
  <c r="BF120" i="1" s="1"/>
  <c r="BT119" i="1"/>
  <c r="BS119" i="1"/>
  <c r="BU119" i="1" s="1"/>
  <c r="BP119" i="1"/>
  <c r="BR120" i="1" s="1"/>
  <c r="BV118" i="1" l="1"/>
  <c r="BV119" i="1" s="1"/>
  <c r="BI119" i="1"/>
  <c r="BX119" i="1" s="1"/>
  <c r="BX118" i="1"/>
  <c r="BS120" i="1"/>
  <c r="BT120" i="1"/>
  <c r="BP120" i="1"/>
  <c r="BR121" i="1" s="1"/>
  <c r="BG120" i="1"/>
  <c r="BH120" i="1"/>
  <c r="BD120" i="1"/>
  <c r="BF121" i="1" s="1"/>
  <c r="BJ119" i="1" l="1"/>
  <c r="BD121" i="1"/>
  <c r="BF122" i="1" s="1"/>
  <c r="BH121" i="1"/>
  <c r="BG121" i="1"/>
  <c r="BI120" i="1"/>
  <c r="BS121" i="1"/>
  <c r="BT121" i="1"/>
  <c r="BP121" i="1"/>
  <c r="BR122" i="1" s="1"/>
  <c r="BU120" i="1"/>
  <c r="BY118" i="1"/>
  <c r="BY119" i="1" s="1"/>
  <c r="BJ120" i="1" l="1"/>
  <c r="BI121" i="1"/>
  <c r="BX120" i="1"/>
  <c r="BY120" i="1" s="1"/>
  <c r="BS122" i="1"/>
  <c r="BT122" i="1"/>
  <c r="BP122" i="1"/>
  <c r="BR123" i="1" s="1"/>
  <c r="BU121" i="1"/>
  <c r="BV120" i="1"/>
  <c r="BH122" i="1"/>
  <c r="BD122" i="1"/>
  <c r="BF123" i="1" s="1"/>
  <c r="BG122" i="1"/>
  <c r="BI122" i="1" s="1"/>
  <c r="BJ121" i="1" l="1"/>
  <c r="BJ122" i="1" s="1"/>
  <c r="BV121" i="1"/>
  <c r="BX121" i="1"/>
  <c r="BY121" i="1" s="1"/>
  <c r="BG123" i="1"/>
  <c r="BD123" i="1"/>
  <c r="BF124" i="1" s="1"/>
  <c r="BH123" i="1"/>
  <c r="BT123" i="1"/>
  <c r="BS123" i="1"/>
  <c r="BP123" i="1"/>
  <c r="BR124" i="1" s="1"/>
  <c r="BU122" i="1"/>
  <c r="BV122" i="1" l="1"/>
  <c r="BV123" i="1" s="1"/>
  <c r="BX122" i="1"/>
  <c r="BP124" i="1"/>
  <c r="BR125" i="1" s="1"/>
  <c r="BT124" i="1"/>
  <c r="BS124" i="1"/>
  <c r="BU123" i="1"/>
  <c r="BD124" i="1"/>
  <c r="BF125" i="1" s="1"/>
  <c r="BG124" i="1"/>
  <c r="BH124" i="1"/>
  <c r="BI123" i="1"/>
  <c r="BJ123" i="1" s="1"/>
  <c r="BU124" i="1" l="1"/>
  <c r="BV124" i="1" s="1"/>
  <c r="BI124" i="1"/>
  <c r="BJ124" i="1" s="1"/>
  <c r="BG125" i="1"/>
  <c r="BD125" i="1"/>
  <c r="BF126" i="1" s="1"/>
  <c r="BH125" i="1"/>
  <c r="BX123" i="1"/>
  <c r="BS125" i="1"/>
  <c r="BT125" i="1"/>
  <c r="BP125" i="1"/>
  <c r="BR126" i="1" s="1"/>
  <c r="BY122" i="1"/>
  <c r="BY123" i="1" s="1"/>
  <c r="BI125" i="1" l="1"/>
  <c r="BJ125" i="1" s="1"/>
  <c r="BX124" i="1"/>
  <c r="BY124" i="1" s="1"/>
  <c r="BS126" i="1"/>
  <c r="BT126" i="1"/>
  <c r="BP126" i="1"/>
  <c r="BR127" i="1" s="1"/>
  <c r="BU125" i="1"/>
  <c r="BV125" i="1" s="1"/>
  <c r="BH126" i="1"/>
  <c r="BG126" i="1"/>
  <c r="BD126" i="1"/>
  <c r="BF127" i="1" s="1"/>
  <c r="BX125" i="1" l="1"/>
  <c r="BY125" i="1" s="1"/>
  <c r="BI126" i="1"/>
  <c r="BJ126" i="1" s="1"/>
  <c r="BG127" i="1"/>
  <c r="BD127" i="1"/>
  <c r="BF128" i="1" s="1"/>
  <c r="BH127" i="1"/>
  <c r="BP127" i="1"/>
  <c r="BR128" i="1" s="1"/>
  <c r="BT127" i="1"/>
  <c r="BS127" i="1"/>
  <c r="BU126" i="1"/>
  <c r="BX126" i="1" l="1"/>
  <c r="BY126" i="1" s="1"/>
  <c r="BU127" i="1"/>
  <c r="BV126" i="1"/>
  <c r="BI127" i="1"/>
  <c r="BJ127" i="1" s="1"/>
  <c r="BS128" i="1"/>
  <c r="BT128" i="1"/>
  <c r="BP128" i="1"/>
  <c r="BR129" i="1" s="1"/>
  <c r="BG128" i="1"/>
  <c r="BD128" i="1"/>
  <c r="BF129" i="1" s="1"/>
  <c r="BH128" i="1"/>
  <c r="BX127" i="1" l="1"/>
  <c r="BY127" i="1" s="1"/>
  <c r="BV127" i="1"/>
  <c r="BU128" i="1"/>
  <c r="BH129" i="1"/>
  <c r="BG129" i="1"/>
  <c r="BD129" i="1"/>
  <c r="BF130" i="1" s="1"/>
  <c r="BI128" i="1"/>
  <c r="BS129" i="1"/>
  <c r="BP129" i="1"/>
  <c r="BR130" i="1" s="1"/>
  <c r="BT129" i="1"/>
  <c r="BJ128" i="1"/>
  <c r="BI129" i="1" l="1"/>
  <c r="BJ129" i="1" s="1"/>
  <c r="BV128" i="1"/>
  <c r="BT130" i="1"/>
  <c r="BP130" i="1"/>
  <c r="BR131" i="1" s="1"/>
  <c r="BS130" i="1"/>
  <c r="BU129" i="1"/>
  <c r="BG130" i="1"/>
  <c r="BH130" i="1"/>
  <c r="BD130" i="1"/>
  <c r="BF131" i="1" s="1"/>
  <c r="BX128" i="1"/>
  <c r="BY128" i="1" s="1"/>
  <c r="BX129" i="1" l="1"/>
  <c r="BY129" i="1" s="1"/>
  <c r="BU130" i="1"/>
  <c r="BG131" i="1"/>
  <c r="BH131" i="1"/>
  <c r="BD131" i="1"/>
  <c r="BF132" i="1" s="1"/>
  <c r="BI130" i="1"/>
  <c r="BJ130" i="1" s="1"/>
  <c r="BT131" i="1"/>
  <c r="BP131" i="1"/>
  <c r="BR132" i="1" s="1"/>
  <c r="BS131" i="1"/>
  <c r="BU131" i="1" s="1"/>
  <c r="BV129" i="1"/>
  <c r="BI131" i="1" l="1"/>
  <c r="BJ131" i="1" s="1"/>
  <c r="BV130" i="1"/>
  <c r="BV131" i="1" s="1"/>
  <c r="BX130" i="1"/>
  <c r="BY130" i="1" s="1"/>
  <c r="BG132" i="1"/>
  <c r="BH132" i="1"/>
  <c r="BD132" i="1"/>
  <c r="BF133" i="1" s="1"/>
  <c r="BP132" i="1"/>
  <c r="BR133" i="1" s="1"/>
  <c r="BT132" i="1"/>
  <c r="BS132" i="1"/>
  <c r="BU132" i="1" s="1"/>
  <c r="BX131" i="1" l="1"/>
  <c r="BY131" i="1"/>
  <c r="BH133" i="1"/>
  <c r="BG133" i="1"/>
  <c r="BD133" i="1"/>
  <c r="BF134" i="1" s="1"/>
  <c r="BS133" i="1"/>
  <c r="BT133" i="1"/>
  <c r="BP133" i="1"/>
  <c r="BR134" i="1" s="1"/>
  <c r="BV132" i="1"/>
  <c r="BI132" i="1"/>
  <c r="BJ132" i="1" s="1"/>
  <c r="BI133" i="1" l="1"/>
  <c r="BJ133" i="1" s="1"/>
  <c r="BX132" i="1"/>
  <c r="BY132" i="1" s="1"/>
  <c r="BP134" i="1"/>
  <c r="BR135" i="1" s="1"/>
  <c r="BT134" i="1"/>
  <c r="BS134" i="1"/>
  <c r="BU133" i="1"/>
  <c r="BV133" i="1" s="1"/>
  <c r="BH134" i="1"/>
  <c r="BG134" i="1"/>
  <c r="BD134" i="1"/>
  <c r="BF135" i="1" s="1"/>
  <c r="BI134" i="1" l="1"/>
  <c r="BX133" i="1"/>
  <c r="BY133" i="1" s="1"/>
  <c r="BJ134" i="1"/>
  <c r="BU134" i="1"/>
  <c r="BV134" i="1" s="1"/>
  <c r="BS135" i="1"/>
  <c r="BT135" i="1"/>
  <c r="BP135" i="1"/>
  <c r="BR136" i="1" s="1"/>
  <c r="BH135" i="1"/>
  <c r="BD135" i="1"/>
  <c r="BF136" i="1" s="1"/>
  <c r="BG135" i="1"/>
  <c r="BI135" i="1" s="1"/>
  <c r="BJ135" i="1" l="1"/>
  <c r="BX134" i="1"/>
  <c r="BY134" i="1" s="1"/>
  <c r="BU135" i="1"/>
  <c r="BD136" i="1"/>
  <c r="BF137" i="1" s="1"/>
  <c r="BG136" i="1"/>
  <c r="BH136" i="1"/>
  <c r="BS136" i="1"/>
  <c r="BT136" i="1"/>
  <c r="BP136" i="1"/>
  <c r="BR137" i="1" s="1"/>
  <c r="BI136" i="1" l="1"/>
  <c r="BJ136" i="1" s="1"/>
  <c r="BS137" i="1"/>
  <c r="BP137" i="1"/>
  <c r="BR138" i="1" s="1"/>
  <c r="BT137" i="1"/>
  <c r="BU136" i="1"/>
  <c r="BD137" i="1"/>
  <c r="BF138" i="1" s="1"/>
  <c r="BH137" i="1"/>
  <c r="BG137" i="1"/>
  <c r="BI137" i="1" s="1"/>
  <c r="BX135" i="1"/>
  <c r="BY135" i="1" s="1"/>
  <c r="BV135" i="1"/>
  <c r="BV136" i="1" s="1"/>
  <c r="BU137" i="1" l="1"/>
  <c r="BV137" i="1" s="1"/>
  <c r="BX136" i="1"/>
  <c r="BY136" i="1" s="1"/>
  <c r="BD138" i="1"/>
  <c r="BF139" i="1" s="1"/>
  <c r="BG138" i="1"/>
  <c r="BH138" i="1"/>
  <c r="BS138" i="1"/>
  <c r="BP138" i="1"/>
  <c r="BR139" i="1" s="1"/>
  <c r="BT138" i="1"/>
  <c r="BJ137" i="1"/>
  <c r="BX137" i="1" l="1"/>
  <c r="BY137" i="1" s="1"/>
  <c r="BU138" i="1"/>
  <c r="BV138" i="1" s="1"/>
  <c r="BS139" i="1"/>
  <c r="BT139" i="1"/>
  <c r="BP139" i="1"/>
  <c r="BR140" i="1" s="1"/>
  <c r="BI138" i="1"/>
  <c r="BG139" i="1"/>
  <c r="BD139" i="1"/>
  <c r="BF140" i="1" s="1"/>
  <c r="BH139" i="1"/>
  <c r="BJ138" i="1"/>
  <c r="BI139" i="1" l="1"/>
  <c r="BJ139" i="1" s="1"/>
  <c r="BX138" i="1"/>
  <c r="BY138" i="1" s="1"/>
  <c r="BH140" i="1"/>
  <c r="BD140" i="1"/>
  <c r="BF141" i="1" s="1"/>
  <c r="BG140" i="1"/>
  <c r="BT140" i="1"/>
  <c r="BS140" i="1"/>
  <c r="BU140" i="1" s="1"/>
  <c r="BP140" i="1"/>
  <c r="BR141" i="1" s="1"/>
  <c r="BU139" i="1"/>
  <c r="BI140" i="1" l="1"/>
  <c r="BJ140" i="1" s="1"/>
  <c r="BD141" i="1"/>
  <c r="BF142" i="1" s="1"/>
  <c r="BH141" i="1"/>
  <c r="BG141" i="1"/>
  <c r="BX139" i="1"/>
  <c r="BY139" i="1" s="1"/>
  <c r="BV139" i="1"/>
  <c r="BV140" i="1" s="1"/>
  <c r="BP141" i="1"/>
  <c r="BR142" i="1" s="1"/>
  <c r="BS141" i="1"/>
  <c r="BT141" i="1"/>
  <c r="BU141" i="1" s="1"/>
  <c r="BX140" i="1" l="1"/>
  <c r="BY140" i="1" s="1"/>
  <c r="BT142" i="1"/>
  <c r="BP142" i="1"/>
  <c r="BR143" i="1" s="1"/>
  <c r="BS142" i="1"/>
  <c r="BV141" i="1"/>
  <c r="BI141" i="1"/>
  <c r="BX141" i="1" s="1"/>
  <c r="BH142" i="1"/>
  <c r="BG142" i="1"/>
  <c r="BD142" i="1"/>
  <c r="BF143" i="1" s="1"/>
  <c r="BJ141" i="1"/>
  <c r="BI142" i="1" l="1"/>
  <c r="BJ142" i="1" s="1"/>
  <c r="BU142" i="1"/>
  <c r="BV142" i="1" s="1"/>
  <c r="BD143" i="1"/>
  <c r="BF144" i="1" s="1"/>
  <c r="BH143" i="1"/>
  <c r="BG143" i="1"/>
  <c r="BY141" i="1"/>
  <c r="BS143" i="1"/>
  <c r="BT143" i="1"/>
  <c r="BP143" i="1"/>
  <c r="BR144" i="1" s="1"/>
  <c r="BX142" i="1" l="1"/>
  <c r="BU143" i="1"/>
  <c r="BV143" i="1" s="1"/>
  <c r="BY142" i="1"/>
  <c r="BH144" i="1"/>
  <c r="BG144" i="1"/>
  <c r="BI144" i="1" s="1"/>
  <c r="BD144" i="1"/>
  <c r="BF145" i="1" s="1"/>
  <c r="BT144" i="1"/>
  <c r="BP144" i="1"/>
  <c r="BR145" i="1" s="1"/>
  <c r="BS144" i="1"/>
  <c r="BU144" i="1" s="1"/>
  <c r="BX144" i="1" s="1"/>
  <c r="BI143" i="1"/>
  <c r="BJ143" i="1" s="1"/>
  <c r="BJ144" i="1" s="1"/>
  <c r="BX143" i="1" l="1"/>
  <c r="BY143" i="1" s="1"/>
  <c r="BY144" i="1" s="1"/>
  <c r="BS145" i="1"/>
  <c r="BP145" i="1"/>
  <c r="BR146" i="1" s="1"/>
  <c r="BT145" i="1"/>
  <c r="BG145" i="1"/>
  <c r="BH145" i="1"/>
  <c r="BD145" i="1"/>
  <c r="BF146" i="1" s="1"/>
  <c r="BV144" i="1"/>
  <c r="BU145" i="1" l="1"/>
  <c r="BV145" i="1" s="1"/>
  <c r="BD146" i="1"/>
  <c r="BF147" i="1" s="1"/>
  <c r="BG146" i="1"/>
  <c r="BH146" i="1"/>
  <c r="BI145" i="1"/>
  <c r="BJ145" i="1" s="1"/>
  <c r="BT146" i="1"/>
  <c r="BS146" i="1"/>
  <c r="BU146" i="1" s="1"/>
  <c r="BP146" i="1"/>
  <c r="BR147" i="1" s="1"/>
  <c r="BI146" i="1" l="1"/>
  <c r="BX146" i="1" s="1"/>
  <c r="BG147" i="1"/>
  <c r="BH147" i="1"/>
  <c r="BD147" i="1"/>
  <c r="BF148" i="1" s="1"/>
  <c r="BP147" i="1"/>
  <c r="BR148" i="1" s="1"/>
  <c r="BS147" i="1"/>
  <c r="BT147" i="1"/>
  <c r="BV146" i="1"/>
  <c r="BX145" i="1"/>
  <c r="BY145" i="1" s="1"/>
  <c r="BI147" i="1" l="1"/>
  <c r="BY146" i="1"/>
  <c r="BJ146" i="1"/>
  <c r="BU147" i="1"/>
  <c r="BT148" i="1"/>
  <c r="BP148" i="1"/>
  <c r="BR149" i="1" s="1"/>
  <c r="BS148" i="1"/>
  <c r="BG148" i="1"/>
  <c r="BD148" i="1"/>
  <c r="BF149" i="1" s="1"/>
  <c r="BH148" i="1"/>
  <c r="BJ147" i="1" l="1"/>
  <c r="BU148" i="1"/>
  <c r="BX147" i="1"/>
  <c r="BY147" i="1" s="1"/>
  <c r="BV147" i="1"/>
  <c r="BG149" i="1"/>
  <c r="BH149" i="1"/>
  <c r="BD149" i="1"/>
  <c r="BF150" i="1" s="1"/>
  <c r="BI148" i="1"/>
  <c r="BT149" i="1"/>
  <c r="BP149" i="1"/>
  <c r="BR150" i="1" s="1"/>
  <c r="BS149" i="1"/>
  <c r="BU149" i="1" s="1"/>
  <c r="BJ148" i="1" l="1"/>
  <c r="BX148" i="1"/>
  <c r="BY148" i="1" s="1"/>
  <c r="BV148" i="1"/>
  <c r="BV149" i="1"/>
  <c r="BH150" i="1"/>
  <c r="BD150" i="1"/>
  <c r="BF151" i="1" s="1"/>
  <c r="BG150" i="1"/>
  <c r="BP150" i="1"/>
  <c r="BR151" i="1" s="1"/>
  <c r="BT150" i="1"/>
  <c r="BS150" i="1"/>
  <c r="BI149" i="1"/>
  <c r="BX149" i="1" s="1"/>
  <c r="BY149" i="1" l="1"/>
  <c r="BU150" i="1"/>
  <c r="BI150" i="1"/>
  <c r="BJ149" i="1"/>
  <c r="BT151" i="1"/>
  <c r="BS151" i="1"/>
  <c r="BP151" i="1"/>
  <c r="BR152" i="1" s="1"/>
  <c r="BG151" i="1"/>
  <c r="BH151" i="1"/>
  <c r="BD151" i="1"/>
  <c r="BF152" i="1" s="1"/>
  <c r="BJ150" i="1" l="1"/>
  <c r="BU151" i="1"/>
  <c r="BX150" i="1"/>
  <c r="BY150" i="1" s="1"/>
  <c r="BV150" i="1"/>
  <c r="BD152" i="1"/>
  <c r="BF153" i="1" s="1"/>
  <c r="BG152" i="1"/>
  <c r="BH152" i="1"/>
  <c r="BI151" i="1"/>
  <c r="BS152" i="1"/>
  <c r="BP152" i="1"/>
  <c r="BR153" i="1" s="1"/>
  <c r="BT152" i="1"/>
  <c r="BX151" i="1" l="1"/>
  <c r="BY151" i="1" s="1"/>
  <c r="BJ151" i="1"/>
  <c r="BV151" i="1"/>
  <c r="BP153" i="1"/>
  <c r="BR154" i="1" s="1"/>
  <c r="BS153" i="1"/>
  <c r="BT153" i="1"/>
  <c r="BU152" i="1"/>
  <c r="BI152" i="1"/>
  <c r="BG153" i="1"/>
  <c r="BH153" i="1"/>
  <c r="BD153" i="1"/>
  <c r="BF154" i="1" s="1"/>
  <c r="BJ152" i="1" l="1"/>
  <c r="BD154" i="1"/>
  <c r="BF155" i="1" s="1"/>
  <c r="BG154" i="1"/>
  <c r="BH154" i="1"/>
  <c r="BI153" i="1"/>
  <c r="BX152" i="1"/>
  <c r="BY152" i="1" s="1"/>
  <c r="BV152" i="1"/>
  <c r="BU153" i="1"/>
  <c r="BX153" i="1" s="1"/>
  <c r="BP154" i="1"/>
  <c r="BR155" i="1" s="1"/>
  <c r="BT154" i="1"/>
  <c r="BS154" i="1"/>
  <c r="BJ153" i="1" l="1"/>
  <c r="BU154" i="1"/>
  <c r="BP155" i="1"/>
  <c r="BR156" i="1" s="1"/>
  <c r="BT155" i="1"/>
  <c r="BS155" i="1"/>
  <c r="BY153" i="1"/>
  <c r="BI154" i="1"/>
  <c r="BV153" i="1"/>
  <c r="BG155" i="1"/>
  <c r="BD155" i="1"/>
  <c r="BF156" i="1" s="1"/>
  <c r="BH155" i="1"/>
  <c r="BI155" i="1" s="1"/>
  <c r="BJ154" i="1" l="1"/>
  <c r="BU155" i="1"/>
  <c r="BX155" i="1" s="1"/>
  <c r="BX154" i="1"/>
  <c r="BY154" i="1" s="1"/>
  <c r="BV154" i="1"/>
  <c r="BJ155" i="1"/>
  <c r="BH156" i="1"/>
  <c r="BD156" i="1"/>
  <c r="BF157" i="1" s="1"/>
  <c r="BG156" i="1"/>
  <c r="BI156" i="1" s="1"/>
  <c r="BS156" i="1"/>
  <c r="BP156" i="1"/>
  <c r="BR157" i="1" s="1"/>
  <c r="BT156" i="1"/>
  <c r="BU156" i="1" s="1"/>
  <c r="BV155" i="1" l="1"/>
  <c r="BV156" i="1" s="1"/>
  <c r="BY155" i="1"/>
  <c r="BG157" i="1"/>
  <c r="BD157" i="1"/>
  <c r="BF158" i="1" s="1"/>
  <c r="BH157" i="1"/>
  <c r="BT157" i="1"/>
  <c r="BS157" i="1"/>
  <c r="BP157" i="1"/>
  <c r="BR158" i="1" s="1"/>
  <c r="BX156" i="1"/>
  <c r="BJ156" i="1"/>
  <c r="BY156" i="1" l="1"/>
  <c r="BU157" i="1"/>
  <c r="BV157" i="1" s="1"/>
  <c r="BP158" i="1"/>
  <c r="BR159" i="1" s="1"/>
  <c r="BT158" i="1"/>
  <c r="BS158" i="1"/>
  <c r="BG158" i="1"/>
  <c r="BH158" i="1"/>
  <c r="BD158" i="1"/>
  <c r="BF159" i="1" s="1"/>
  <c r="BI157" i="1"/>
  <c r="BX157" i="1" l="1"/>
  <c r="BY157" i="1" s="1"/>
  <c r="BU158" i="1"/>
  <c r="BV158" i="1" s="1"/>
  <c r="BD159" i="1"/>
  <c r="BF160" i="1" s="1"/>
  <c r="BH159" i="1"/>
  <c r="BG159" i="1"/>
  <c r="BI158" i="1"/>
  <c r="BP159" i="1"/>
  <c r="BR160" i="1" s="1"/>
  <c r="BT159" i="1"/>
  <c r="BS159" i="1"/>
  <c r="BJ157" i="1"/>
  <c r="BJ158" i="1" s="1"/>
  <c r="BU159" i="1" l="1"/>
  <c r="BV159" i="1" s="1"/>
  <c r="BX158" i="1"/>
  <c r="BY158" i="1" s="1"/>
  <c r="BI159" i="1"/>
  <c r="BJ159" i="1" s="1"/>
  <c r="BD160" i="1"/>
  <c r="BF161" i="1" s="1"/>
  <c r="BH160" i="1"/>
  <c r="BG160" i="1"/>
  <c r="BI160" i="1" s="1"/>
  <c r="BP160" i="1"/>
  <c r="BR161" i="1" s="1"/>
  <c r="BS160" i="1"/>
  <c r="BT160" i="1"/>
  <c r="BJ160" i="1" l="1"/>
  <c r="BX159" i="1"/>
  <c r="BY159" i="1" s="1"/>
  <c r="BU160" i="1"/>
  <c r="BX160" i="1" s="1"/>
  <c r="BP161" i="1"/>
  <c r="BR162" i="1" s="1"/>
  <c r="BT161" i="1"/>
  <c r="BS161" i="1"/>
  <c r="BH161" i="1"/>
  <c r="BG161" i="1"/>
  <c r="BD161" i="1"/>
  <c r="BF162" i="1" s="1"/>
  <c r="BV160" i="1" l="1"/>
  <c r="BV161" i="1" s="1"/>
  <c r="BY160" i="1"/>
  <c r="BG162" i="1"/>
  <c r="BD162" i="1"/>
  <c r="BF163" i="1" s="1"/>
  <c r="BH162" i="1"/>
  <c r="BI161" i="1"/>
  <c r="BU161" i="1"/>
  <c r="BP162" i="1"/>
  <c r="BR163" i="1" s="1"/>
  <c r="BS162" i="1"/>
  <c r="BT162" i="1"/>
  <c r="BI162" i="1" l="1"/>
  <c r="BT163" i="1"/>
  <c r="BP163" i="1"/>
  <c r="BR164" i="1" s="1"/>
  <c r="BS163" i="1"/>
  <c r="BX161" i="1"/>
  <c r="BY161" i="1" s="1"/>
  <c r="BJ161" i="1"/>
  <c r="BU162" i="1"/>
  <c r="BV162" i="1" s="1"/>
  <c r="BD163" i="1"/>
  <c r="BF164" i="1" s="1"/>
  <c r="BG163" i="1"/>
  <c r="BH163" i="1"/>
  <c r="BU163" i="1" l="1"/>
  <c r="BV163" i="1" s="1"/>
  <c r="BX162" i="1"/>
  <c r="BY162" i="1" s="1"/>
  <c r="BJ162" i="1"/>
  <c r="BI163" i="1"/>
  <c r="BD164" i="1"/>
  <c r="BF165" i="1" s="1"/>
  <c r="BH164" i="1"/>
  <c r="BG164" i="1"/>
  <c r="BS164" i="1"/>
  <c r="BP164" i="1"/>
  <c r="BR165" i="1" s="1"/>
  <c r="BT164" i="1"/>
  <c r="BX163" i="1" l="1"/>
  <c r="BY163" i="1" s="1"/>
  <c r="BJ163" i="1"/>
  <c r="BI164" i="1"/>
  <c r="BU164" i="1"/>
  <c r="BV164" i="1" s="1"/>
  <c r="BS165" i="1"/>
  <c r="BT165" i="1"/>
  <c r="BP165" i="1"/>
  <c r="BR166" i="1" s="1"/>
  <c r="BG165" i="1"/>
  <c r="BD165" i="1"/>
  <c r="BF166" i="1" s="1"/>
  <c r="BH165" i="1"/>
  <c r="BJ164" i="1" l="1"/>
  <c r="BU165" i="1"/>
  <c r="BV165" i="1" s="1"/>
  <c r="BX164" i="1"/>
  <c r="BY164" i="1" s="1"/>
  <c r="BH166" i="1"/>
  <c r="BG166" i="1"/>
  <c r="BI166" i="1" s="1"/>
  <c r="BD166" i="1"/>
  <c r="BF167" i="1" s="1"/>
  <c r="BI165" i="1"/>
  <c r="BT166" i="1"/>
  <c r="BP166" i="1"/>
  <c r="BR167" i="1" s="1"/>
  <c r="BS166" i="1"/>
  <c r="BU166" i="1" s="1"/>
  <c r="BV166" i="1" l="1"/>
  <c r="BP167" i="1"/>
  <c r="BT167" i="1"/>
  <c r="BS167" i="1"/>
  <c r="BX165" i="1"/>
  <c r="BY165" i="1" s="1"/>
  <c r="BJ165" i="1"/>
  <c r="BJ166" i="1" s="1"/>
  <c r="BD167" i="1"/>
  <c r="BG167" i="1"/>
  <c r="BH167" i="1"/>
  <c r="BX166" i="1"/>
  <c r="BU167" i="1" l="1"/>
  <c r="BV167" i="1" s="1"/>
  <c r="BV1" i="1" s="1"/>
  <c r="BI167" i="1"/>
  <c r="BY166" i="1"/>
  <c r="BV10" i="1"/>
  <c r="BV9" i="1" l="1"/>
  <c r="BV11" i="1" s="1"/>
  <c r="BX167" i="1"/>
  <c r="BY167" i="1" s="1"/>
  <c r="BY1" i="1" s="1"/>
  <c r="BJ9" i="1"/>
  <c r="BJ10" i="1"/>
  <c r="BJ167" i="1"/>
  <c r="BJ1" i="1" s="1"/>
  <c r="BY10" i="1"/>
  <c r="BY9" i="1"/>
  <c r="BY11" i="1" s="1"/>
  <c r="BJ11" i="1" l="1"/>
</calcChain>
</file>

<file path=xl/sharedStrings.xml><?xml version="1.0" encoding="utf-8"?>
<sst xmlns="http://schemas.openxmlformats.org/spreadsheetml/2006/main" count="53" uniqueCount="42">
  <si>
    <t>date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</si>
  <si>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</si>
  <si>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</si>
  <si>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</si>
  <si>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</si>
  <si>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</si>
  <si>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</si>
  <si>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</si>
  <si>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</si>
  <si>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</si>
  <si>
    <t>VGT</t>
  </si>
  <si>
    <t>FTEC</t>
  </si>
  <si>
    <t>VGT log rtn</t>
  </si>
  <si>
    <t>FTEC log rtn</t>
  </si>
  <si>
    <t>VGT div</t>
  </si>
  <si>
    <t>VGT div cumsum</t>
  </si>
  <si>
    <t>FTEC div</t>
  </si>
  <si>
    <t>FTEC div cumsum</t>
  </si>
  <si>
    <t>VGT div adjustment</t>
  </si>
  <si>
    <t>FTEC div adjustment</t>
  </si>
  <si>
    <t>VGT*</t>
  </si>
  <si>
    <t>FTEC*</t>
  </si>
  <si>
    <t>FTEC/VGT</t>
  </si>
  <si>
    <t>FTEC/VGT avg</t>
  </si>
  <si>
    <t>FTEC/VGT 10 dma</t>
  </si>
  <si>
    <t>FTEC/VGT 20 dma</t>
  </si>
  <si>
    <t>VGT x avg</t>
  </si>
  <si>
    <t>VGT x 10 dma</t>
  </si>
  <si>
    <t>VGT x 20 dma</t>
  </si>
  <si>
    <t>log diff VGT x avg / FTEC</t>
  </si>
  <si>
    <t>log diff VGT x 10 dma / FTEC</t>
  </si>
  <si>
    <t>log diff VGT x 20 dma / FTEC</t>
  </si>
  <si>
    <t>FTEC*/VGT*</t>
  </si>
  <si>
    <t>FTEC*/VGT* avg</t>
  </si>
  <si>
    <t>FTEC*/VGT* 10 dma</t>
  </si>
  <si>
    <t>FTEC*/VGT* 20 dma</t>
  </si>
  <si>
    <t>VGT* x avg</t>
  </si>
  <si>
    <t>VGT* x 10 dma</t>
  </si>
  <si>
    <t>VGT* x 20 dma</t>
  </si>
  <si>
    <t>log diff VGT* x avg / FTEC*</t>
  </si>
  <si>
    <t>log diff VGT* x 10 dma / FTEC*</t>
  </si>
  <si>
    <t>log diff VGT* x 20 dma / FTEC*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</si>
</sst>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XLU_IDU_1!$O$1</c:f>
              <c:strCache>
                <c:ptCount val="1"/>
                <c:pt idx="0">
                  <c:v> FTEC/VGT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XLU_IDU_1!$O$2:$O$167</c:f>
              <c:numCache>
                <c:formatCode>_(* #,##0.0000_);_(* \(#,##0.0000\);_(* "-"??_);_(@_)</c:formatCode>
                <c:ptCount val="166"/>
                <c:pt idx="0">
                  <c:v>2.3867209477050602</c:v>
                </c:pt>
                <c:pt idx="1">
                  <c:v>2.3867209477050602</c:v>
                </c:pt>
                <c:pt idx="2">
                  <c:v>2.3867209477050602</c:v>
                </c:pt>
                <c:pt idx="3">
                  <c:v>2.3867209477050602</c:v>
                </c:pt>
                <c:pt idx="4">
                  <c:v>2.3867209477050602</c:v>
                </c:pt>
                <c:pt idx="5">
                  <c:v>2.3867209477050602</c:v>
                </c:pt>
                <c:pt idx="6">
                  <c:v>2.3867209477050602</c:v>
                </c:pt>
                <c:pt idx="7">
                  <c:v>2.3867209477050602</c:v>
                </c:pt>
                <c:pt idx="8">
                  <c:v>2.3867209477050602</c:v>
                </c:pt>
                <c:pt idx="9">
                  <c:v>2.3867209477050602</c:v>
                </c:pt>
                <c:pt idx="10">
                  <c:v>2.3867209477050602</c:v>
                </c:pt>
                <c:pt idx="11">
                  <c:v>2.3867209477050602</c:v>
                </c:pt>
                <c:pt idx="12">
                  <c:v>2.3867209477050602</c:v>
                </c:pt>
                <c:pt idx="13">
                  <c:v>2.3867209477050602</c:v>
                </c:pt>
                <c:pt idx="14">
                  <c:v>2.3867209477050602</c:v>
                </c:pt>
                <c:pt idx="15">
                  <c:v>2.3867209477050602</c:v>
                </c:pt>
                <c:pt idx="16">
                  <c:v>2.3867209477050602</c:v>
                </c:pt>
                <c:pt idx="17">
                  <c:v>2.3867209477050602</c:v>
                </c:pt>
                <c:pt idx="18">
                  <c:v>2.3867209477050602</c:v>
                </c:pt>
                <c:pt idx="19">
                  <c:v>2.3867209477050602</c:v>
                </c:pt>
                <c:pt idx="20">
                  <c:v>2.3867209477050602</c:v>
                </c:pt>
                <c:pt idx="21">
                  <c:v>2.3867209477050602</c:v>
                </c:pt>
                <c:pt idx="22">
                  <c:v>2.3867209477050602</c:v>
                </c:pt>
                <c:pt idx="23">
                  <c:v>2.3867209477050602</c:v>
                </c:pt>
                <c:pt idx="24">
                  <c:v>2.3867209477050602</c:v>
                </c:pt>
                <c:pt idx="25">
                  <c:v>2.3867209477050602</c:v>
                </c:pt>
                <c:pt idx="26">
                  <c:v>2.3867209477050602</c:v>
                </c:pt>
                <c:pt idx="27">
                  <c:v>2.3867209477050602</c:v>
                </c:pt>
                <c:pt idx="28">
                  <c:v>2.3867209477050602</c:v>
                </c:pt>
                <c:pt idx="29">
                  <c:v>2.3867209477050602</c:v>
                </c:pt>
                <c:pt idx="30">
                  <c:v>2.3867209477050602</c:v>
                </c:pt>
                <c:pt idx="31">
                  <c:v>2.3867209477050602</c:v>
                </c:pt>
                <c:pt idx="32">
                  <c:v>2.3867209477050602</c:v>
                </c:pt>
                <c:pt idx="33">
                  <c:v>2.3867209477050602</c:v>
                </c:pt>
                <c:pt idx="34">
                  <c:v>2.3867209477050602</c:v>
                </c:pt>
                <c:pt idx="35">
                  <c:v>2.3867209477050602</c:v>
                </c:pt>
                <c:pt idx="36">
                  <c:v>2.3867209477050602</c:v>
                </c:pt>
                <c:pt idx="37">
                  <c:v>2.3867209477050602</c:v>
                </c:pt>
                <c:pt idx="38">
                  <c:v>2.3867209477050602</c:v>
                </c:pt>
                <c:pt idx="39">
                  <c:v>2.3867209477050602</c:v>
                </c:pt>
                <c:pt idx="40">
                  <c:v>2.3867209477050602</c:v>
                </c:pt>
                <c:pt idx="41">
                  <c:v>2.3867209477050602</c:v>
                </c:pt>
                <c:pt idx="42">
                  <c:v>2.3867209477050602</c:v>
                </c:pt>
                <c:pt idx="43">
                  <c:v>2.3867209477050602</c:v>
                </c:pt>
                <c:pt idx="44">
                  <c:v>2.3867209477050602</c:v>
                </c:pt>
                <c:pt idx="45">
                  <c:v>2.3867209477050602</c:v>
                </c:pt>
                <c:pt idx="46">
                  <c:v>2.3867209477050602</c:v>
                </c:pt>
                <c:pt idx="47">
                  <c:v>2.3867209477050602</c:v>
                </c:pt>
                <c:pt idx="48">
                  <c:v>2.3867209477050602</c:v>
                </c:pt>
                <c:pt idx="49">
                  <c:v>2.3867209477050602</c:v>
                </c:pt>
                <c:pt idx="50">
                  <c:v>2.3867209477050602</c:v>
                </c:pt>
                <c:pt idx="51">
                  <c:v>2.3867209477050602</c:v>
                </c:pt>
                <c:pt idx="52">
                  <c:v>2.3867209477050602</c:v>
                </c:pt>
                <c:pt idx="53">
                  <c:v>2.3867209477050602</c:v>
                </c:pt>
                <c:pt idx="54">
                  <c:v>2.3867209477050602</c:v>
                </c:pt>
                <c:pt idx="55">
                  <c:v>2.3867209477050602</c:v>
                </c:pt>
                <c:pt idx="56">
                  <c:v>2.3867209477050602</c:v>
                </c:pt>
                <c:pt idx="57">
                  <c:v>2.3867209477050602</c:v>
                </c:pt>
                <c:pt idx="58">
                  <c:v>2.3867209477050602</c:v>
                </c:pt>
                <c:pt idx="59">
                  <c:v>2.3867209477050602</c:v>
                </c:pt>
                <c:pt idx="60">
                  <c:v>2.3867209477050602</c:v>
                </c:pt>
                <c:pt idx="61">
                  <c:v>2.3867209477050602</c:v>
                </c:pt>
                <c:pt idx="62">
                  <c:v>2.3867209477050602</c:v>
                </c:pt>
                <c:pt idx="63">
                  <c:v>2.3867209477050602</c:v>
                </c:pt>
                <c:pt idx="64">
                  <c:v>2.3867209477050602</c:v>
                </c:pt>
                <c:pt idx="65">
                  <c:v>2.3867209477050602</c:v>
                </c:pt>
                <c:pt idx="66">
                  <c:v>2.3867209477050602</c:v>
                </c:pt>
                <c:pt idx="67">
                  <c:v>2.3867209477050602</c:v>
                </c:pt>
                <c:pt idx="68">
                  <c:v>2.3867209477050602</c:v>
                </c:pt>
                <c:pt idx="69">
                  <c:v>2.3867209477050602</c:v>
                </c:pt>
                <c:pt idx="70">
                  <c:v>2.3867209477050602</c:v>
                </c:pt>
                <c:pt idx="71">
                  <c:v>2.3867209477050602</c:v>
                </c:pt>
                <c:pt idx="72">
                  <c:v>2.3867209477050602</c:v>
                </c:pt>
                <c:pt idx="73">
                  <c:v>2.3867209477050602</c:v>
                </c:pt>
                <c:pt idx="74">
                  <c:v>2.3867209477050602</c:v>
                </c:pt>
                <c:pt idx="75">
                  <c:v>2.3867209477050602</c:v>
                </c:pt>
                <c:pt idx="76">
                  <c:v>2.3867209477050602</c:v>
                </c:pt>
                <c:pt idx="77">
                  <c:v>2.3867209477050602</c:v>
                </c:pt>
                <c:pt idx="78">
                  <c:v>2.3867209477050602</c:v>
                </c:pt>
                <c:pt idx="79">
                  <c:v>2.3867209477050602</c:v>
                </c:pt>
                <c:pt idx="80">
                  <c:v>2.3867209477050602</c:v>
                </c:pt>
                <c:pt idx="81">
                  <c:v>2.3867209477050602</c:v>
                </c:pt>
                <c:pt idx="82">
                  <c:v>2.3867209477050602</c:v>
                </c:pt>
                <c:pt idx="83">
                  <c:v>2.3867209477050602</c:v>
                </c:pt>
                <c:pt idx="84">
                  <c:v>2.3867209477050602</c:v>
                </c:pt>
                <c:pt idx="85">
                  <c:v>2.3867209477050602</c:v>
                </c:pt>
                <c:pt idx="86">
                  <c:v>2.3867209477050602</c:v>
                </c:pt>
                <c:pt idx="87">
                  <c:v>2.3867209477050602</c:v>
                </c:pt>
                <c:pt idx="88">
                  <c:v>2.3867209477050602</c:v>
                </c:pt>
                <c:pt idx="89">
                  <c:v>2.3867209477050602</c:v>
                </c:pt>
                <c:pt idx="90">
                  <c:v>2.3867209477050602</c:v>
                </c:pt>
                <c:pt idx="91">
                  <c:v>2.3867209477050602</c:v>
                </c:pt>
                <c:pt idx="92">
                  <c:v>2.3867209477050602</c:v>
                </c:pt>
                <c:pt idx="93">
                  <c:v>2.3867209477050602</c:v>
                </c:pt>
                <c:pt idx="94">
                  <c:v>2.3867209477050602</c:v>
                </c:pt>
                <c:pt idx="95">
                  <c:v>2.3867209477050602</c:v>
                </c:pt>
                <c:pt idx="96">
                  <c:v>2.3867209477050602</c:v>
                </c:pt>
                <c:pt idx="97">
                  <c:v>2.3867209477050602</c:v>
                </c:pt>
                <c:pt idx="98">
                  <c:v>2.3867209477050602</c:v>
                </c:pt>
                <c:pt idx="99">
                  <c:v>2.3867209477050602</c:v>
                </c:pt>
                <c:pt idx="100">
                  <c:v>2.3867209477050602</c:v>
                </c:pt>
                <c:pt idx="101">
                  <c:v>2.3867209477050602</c:v>
                </c:pt>
                <c:pt idx="102">
                  <c:v>2.3867209477050602</c:v>
                </c:pt>
                <c:pt idx="103">
                  <c:v>2.3867209477050602</c:v>
                </c:pt>
                <c:pt idx="104">
                  <c:v>2.3867209477050602</c:v>
                </c:pt>
                <c:pt idx="105">
                  <c:v>2.3867209477050602</c:v>
                </c:pt>
                <c:pt idx="106">
                  <c:v>2.3867209477050602</c:v>
                </c:pt>
                <c:pt idx="107">
                  <c:v>2.3867209477050602</c:v>
                </c:pt>
                <c:pt idx="108">
                  <c:v>2.3867209477050602</c:v>
                </c:pt>
                <c:pt idx="109">
                  <c:v>2.3867209477050602</c:v>
                </c:pt>
                <c:pt idx="110">
                  <c:v>2.3867209477050602</c:v>
                </c:pt>
                <c:pt idx="111">
                  <c:v>2.3867209477050602</c:v>
                </c:pt>
                <c:pt idx="112">
                  <c:v>2.3867209477050602</c:v>
                </c:pt>
                <c:pt idx="113">
                  <c:v>2.3867209477050602</c:v>
                </c:pt>
                <c:pt idx="114">
                  <c:v>2.3867209477050602</c:v>
                </c:pt>
                <c:pt idx="115">
                  <c:v>2.3867209477050602</c:v>
                </c:pt>
                <c:pt idx="116">
                  <c:v>2.3867209477050602</c:v>
                </c:pt>
                <c:pt idx="117">
                  <c:v>2.3867209477050602</c:v>
                </c:pt>
                <c:pt idx="118">
                  <c:v>2.3867209477050602</c:v>
                </c:pt>
                <c:pt idx="119">
                  <c:v>2.3867209477050602</c:v>
                </c:pt>
                <c:pt idx="120">
                  <c:v>2.3867209477050602</c:v>
                </c:pt>
                <c:pt idx="121">
                  <c:v>2.3867209477050602</c:v>
                </c:pt>
                <c:pt idx="122">
                  <c:v>2.3867209477050602</c:v>
                </c:pt>
                <c:pt idx="123">
                  <c:v>2.3867209477050602</c:v>
                </c:pt>
                <c:pt idx="124">
                  <c:v>2.3867209477050602</c:v>
                </c:pt>
                <c:pt idx="125">
                  <c:v>2.3867209477050602</c:v>
                </c:pt>
                <c:pt idx="126">
                  <c:v>2.3867209477050602</c:v>
                </c:pt>
                <c:pt idx="127">
                  <c:v>2.3867209477050602</c:v>
                </c:pt>
                <c:pt idx="128">
                  <c:v>2.3867209477050602</c:v>
                </c:pt>
                <c:pt idx="129">
                  <c:v>2.3867209477050602</c:v>
                </c:pt>
                <c:pt idx="130">
                  <c:v>2.3867209477050602</c:v>
                </c:pt>
                <c:pt idx="131">
                  <c:v>2.3867209477050602</c:v>
                </c:pt>
                <c:pt idx="132">
                  <c:v>2.3867209477050602</c:v>
                </c:pt>
                <c:pt idx="133">
                  <c:v>2.3867209477050602</c:v>
                </c:pt>
                <c:pt idx="134">
                  <c:v>2.3867209477050602</c:v>
                </c:pt>
                <c:pt idx="135">
                  <c:v>2.3867209477050602</c:v>
                </c:pt>
                <c:pt idx="136">
                  <c:v>2.3867209477050602</c:v>
                </c:pt>
                <c:pt idx="137">
                  <c:v>2.3867209477050602</c:v>
                </c:pt>
                <c:pt idx="138">
                  <c:v>2.3867209477050602</c:v>
                </c:pt>
                <c:pt idx="139">
                  <c:v>2.3867209477050602</c:v>
                </c:pt>
                <c:pt idx="140">
                  <c:v>2.3867209477050602</c:v>
                </c:pt>
                <c:pt idx="141">
                  <c:v>2.3867209477050602</c:v>
                </c:pt>
                <c:pt idx="142">
                  <c:v>2.3867209477050602</c:v>
                </c:pt>
                <c:pt idx="143">
                  <c:v>2.3867209477050602</c:v>
                </c:pt>
                <c:pt idx="144">
                  <c:v>2.3867209477050602</c:v>
                </c:pt>
                <c:pt idx="145">
                  <c:v>2.3867209477050602</c:v>
                </c:pt>
                <c:pt idx="146">
                  <c:v>2.3867209477050602</c:v>
                </c:pt>
                <c:pt idx="147">
                  <c:v>2.3867209477050602</c:v>
                </c:pt>
                <c:pt idx="148">
                  <c:v>2.3867209477050602</c:v>
                </c:pt>
                <c:pt idx="149">
                  <c:v>2.3867209477050602</c:v>
                </c:pt>
                <c:pt idx="150">
                  <c:v>2.3867209477050602</c:v>
                </c:pt>
                <c:pt idx="151">
                  <c:v>2.3867209477050602</c:v>
                </c:pt>
                <c:pt idx="152">
                  <c:v>2.3867209477050602</c:v>
                </c:pt>
                <c:pt idx="153">
                  <c:v>2.3867209477050602</c:v>
                </c:pt>
                <c:pt idx="154">
                  <c:v>2.3867209477050602</c:v>
                </c:pt>
                <c:pt idx="155">
                  <c:v>2.3867209477050602</c:v>
                </c:pt>
                <c:pt idx="156">
                  <c:v>2.3867209477050602</c:v>
                </c:pt>
                <c:pt idx="157">
                  <c:v>2.3867209477050602</c:v>
                </c:pt>
                <c:pt idx="158">
                  <c:v>2.3867209477050602</c:v>
                </c:pt>
                <c:pt idx="159">
                  <c:v>2.3867209477050602</c:v>
                </c:pt>
                <c:pt idx="160">
                  <c:v>2.3867209477050602</c:v>
                </c:pt>
                <c:pt idx="161">
                  <c:v>2.3867209477050602</c:v>
                </c:pt>
                <c:pt idx="162">
                  <c:v>2.3867209477050602</c:v>
                </c:pt>
                <c:pt idx="163">
                  <c:v>2.3867209477050602</c:v>
                </c:pt>
                <c:pt idx="164">
                  <c:v>2.3867209477050602</c:v>
                </c:pt>
                <c:pt idx="165">
                  <c:v>2.3867209477050602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44-4817-989C-0A1EF48240B3}"/>
            </c:ext>
          </c:extLst>
        </c:ser>
        <c:ser>
          <c:idx val="1"/>
          <c:order val="1"/>
          <c:tx>
            <c:strRef>
              <c:f>XLU_IDU_1!$P$1</c:f>
              <c:strCache>
                <c:ptCount val="1"/>
                <c:pt idx="0">
                  <c:v> FTEC/VGT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XLU_IDU_1!$P$2:$P$167</c:f>
              <c:numCache>
                <c:formatCode>_(* #,##0.0000_);_(* \(#,##0.0000\);_(* "-"??_);_(@_)</c:formatCode>
                <c:ptCount val="166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2.3850042925139001</c:v>
                </c:pt>
                <c:pt idx="54">
                  <c:v>2.38472085486897</c:v>
                </c:pt>
                <c:pt idx="55">
                  <c:v>2.38475411534584</c:v>
                </c:pt>
                <c:pt idx="56">
                  <c:v>2.38486360404743</c:v>
                </c:pt>
                <c:pt idx="57">
                  <c:v>2.3847977241018898</c:v>
                </c:pt>
                <c:pt idx="58">
                  <c:v>2.38485660529251</c:v>
                </c:pt>
                <c:pt idx="59">
                  <c:v>2.3849633168433</c:v>
                </c:pt>
                <c:pt idx="60">
                  <c:v>2.3850074699260002</c:v>
                </c:pt>
                <c:pt idx="61">
                  <c:v>2.3849696780467098</c:v>
                </c:pt>
                <c:pt idx="62">
                  <c:v>2.3850193143081402</c:v>
                </c:pt>
                <c:pt idx="63">
                  <c:v>2.38523866830554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2.3858739081281399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2.3859614119589199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2.3865549107622099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2.38844038347459</c:v>
                </c:pt>
                <c:pt idx="116">
                  <c:v>2.3883319586681799</c:v>
                </c:pt>
                <c:pt idx="117">
                  <c:v>2.3881241669947801</c:v>
                </c:pt>
                <c:pt idx="118">
                  <c:v>2.38817249388716</c:v>
                </c:pt>
                <c:pt idx="119">
                  <c:v>2.38812143660101</c:v>
                </c:pt>
                <c:pt idx="120">
                  <c:v>2.38858562434601</c:v>
                </c:pt>
                <c:pt idx="121">
                  <c:v>2.3885799744332501</c:v>
                </c:pt>
                <c:pt idx="122">
                  <c:v>2.3886720501271701</c:v>
                </c:pt>
                <c:pt idx="123">
                  <c:v>2.3886713839281999</c:v>
                </c:pt>
                <c:pt idx="124">
                  <c:v>2.3888006154621602</c:v>
                </c:pt>
                <c:pt idx="125">
                  <c:v>2.3889986288596101</c:v>
                </c:pt>
                <c:pt idx="126">
                  <c:v>2.3890489192461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  <c:pt idx="155">
                  <c:v>2.3864418376079599</c:v>
                </c:pt>
                <c:pt idx="156">
                  <c:v>2.38636606830757</c:v>
                </c:pt>
                <c:pt idx="157">
                  <c:v>2.3863791712717202</c:v>
                </c:pt>
                <c:pt idx="158">
                  <c:v>2.3862604783435102</c:v>
                </c:pt>
                <c:pt idx="159">
                  <c:v>2.3862698385840702</c:v>
                </c:pt>
                <c:pt idx="160">
                  <c:v>2.3862189203551698</c:v>
                </c:pt>
                <c:pt idx="161">
                  <c:v>2.38619184612417</c:v>
                </c:pt>
                <c:pt idx="162">
                  <c:v>2.3862556756859998</c:v>
                </c:pt>
                <c:pt idx="163">
                  <c:v>2.3864088672484698</c:v>
                </c:pt>
                <c:pt idx="164">
                  <c:v>2.38644434617167</c:v>
                </c:pt>
                <c:pt idx="165">
                  <c:v>2.3865198362990698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44-4817-989C-0A1EF48240B3}"/>
            </c:ext>
          </c:extLst>
        </c:ser>
        <c:ser>
          <c:idx val="2"/>
          <c:order val="2"/>
          <c:tx>
            <c:strRef>
              <c:f>XLU_IDU_1!$Q$1</c:f>
              <c:strCache>
                <c:ptCount val="1"/>
                <c:pt idx="0">
                  <c:v> FTEC/VGT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XLU_IDU_1!$Q$2:$Q$167</c:f>
              <c:numCache>
                <c:formatCode>_(* #,##0.0000_);_(* \(#,##0.0000\);_(* "-"??_);_(@_)</c:formatCode>
                <c:ptCount val="166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2.3853616725360198</c:v>
                </c:pt>
                <c:pt idx="54">
                  <c:v>2.3850787442988799</c:v>
                </c:pt>
                <c:pt idx="55">
                  <c:v>2.38501017903701</c:v>
                </c:pt>
                <c:pt idx="56">
                  <c:v>2.3849715447827999</c:v>
                </c:pt>
                <c:pt idx="57">
                  <c:v>2.3849195590594299</c:v>
                </c:pt>
                <c:pt idx="58">
                  <c:v>2.3850124723902102</c:v>
                </c:pt>
                <c:pt idx="59">
                  <c:v>2.3850413915502702</c:v>
                </c:pt>
                <c:pt idx="60">
                  <c:v>2.3850639960503002</c:v>
                </c:pt>
                <c:pt idx="61">
                  <c:v>2.3850835523326799</c:v>
                </c:pt>
                <c:pt idx="62">
                  <c:v>2.3850614020919099</c:v>
                </c:pt>
                <c:pt idx="63">
                  <c:v>2.3851214804097198</c:v>
                </c:pt>
                <c:pt idx="64">
                  <c:v>2.3851664986037</c:v>
                </c:pt>
                <c:pt idx="65">
                  <c:v>2.38520459814126</c:v>
                </c:pt>
                <c:pt idx="66">
                  <c:v>2.3852406808193498</c:v>
                </c:pt>
                <c:pt idx="67">
                  <c:v>2.3852373441764398</c:v>
                </c:pt>
                <c:pt idx="68">
                  <c:v>2.3853086044521898</c:v>
                </c:pt>
                <c:pt idx="69">
                  <c:v>2.3853283572468298</c:v>
                </c:pt>
                <c:pt idx="70">
                  <c:v>2.38536399964083</c:v>
                </c:pt>
                <c:pt idx="71">
                  <c:v>2.38537451418195</c:v>
                </c:pt>
                <c:pt idx="72">
                  <c:v>2.38542221849475</c:v>
                </c:pt>
                <c:pt idx="73">
                  <c:v>2.3855547835667799</c:v>
                </c:pt>
                <c:pt idx="74">
                  <c:v>2.38571929217344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2.3875353957072898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2.38855959389572</c:v>
                </c:pt>
                <c:pt idx="116">
                  <c:v>2.3884893386475801</c:v>
                </c:pt>
                <c:pt idx="117">
                  <c:v>2.3884531573084402</c:v>
                </c:pt>
                <c:pt idx="118">
                  <c:v>2.3884638440841499</c:v>
                </c:pt>
                <c:pt idx="119">
                  <c:v>2.38846932222491</c:v>
                </c:pt>
                <c:pt idx="120">
                  <c:v>2.38873874300943</c:v>
                </c:pt>
                <c:pt idx="121">
                  <c:v>2.3887324162066301</c:v>
                </c:pt>
                <c:pt idx="122">
                  <c:v>2.38875595090694</c:v>
                </c:pt>
                <c:pt idx="123">
                  <c:v>2.3887128870555401</c:v>
                </c:pt>
                <c:pt idx="124">
                  <c:v>2.38871984620407</c:v>
                </c:pt>
                <c:pt idx="125">
                  <c:v>2.3887195061670998</c:v>
                </c:pt>
                <c:pt idx="126">
                  <c:v>2.3886904389571399</c:v>
                </c:pt>
                <c:pt idx="127">
                  <c:v>2.3886783633444102</c:v>
                </c:pt>
                <c:pt idx="128">
                  <c:v>2.3887267188769301</c:v>
                </c:pt>
                <c:pt idx="129">
                  <c:v>2.3886947907519902</c:v>
                </c:pt>
                <c:pt idx="130">
                  <c:v>2.3887035948322901</c:v>
                </c:pt>
                <c:pt idx="131">
                  <c:v>2.3886591839417002</c:v>
                </c:pt>
                <c:pt idx="132">
                  <c:v>2.3886219430370299</c:v>
                </c:pt>
                <c:pt idx="133">
                  <c:v>2.3885943562447398</c:v>
                </c:pt>
                <c:pt idx="134">
                  <c:v>2.3886232788365098</c:v>
                </c:pt>
                <c:pt idx="135">
                  <c:v>2.3886213917149601</c:v>
                </c:pt>
                <c:pt idx="136">
                  <c:v>2.3886525722311198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  <c:pt idx="155">
                  <c:v>2.3869147870239802</c:v>
                </c:pt>
                <c:pt idx="156">
                  <c:v>2.3868246596864502</c:v>
                </c:pt>
                <c:pt idx="157">
                  <c:v>2.3866994912926001</c:v>
                </c:pt>
                <c:pt idx="158">
                  <c:v>2.3865156861249002</c:v>
                </c:pt>
                <c:pt idx="159">
                  <c:v>2.3864630200492298</c:v>
                </c:pt>
                <c:pt idx="160">
                  <c:v>2.38637655492857</c:v>
                </c:pt>
                <c:pt idx="161">
                  <c:v>2.3863473316979702</c:v>
                </c:pt>
                <c:pt idx="162">
                  <c:v>2.3864165494752898</c:v>
                </c:pt>
                <c:pt idx="163">
                  <c:v>2.3864618113312899</c:v>
                </c:pt>
                <c:pt idx="164">
                  <c:v>2.3864540201772</c:v>
                </c:pt>
                <c:pt idx="165">
                  <c:v>2.38648083695352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A44-4817-989C-0A1EF4824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XLU_IDU_1!$AE$1</c:f>
              <c:strCache>
                <c:ptCount val="1"/>
                <c:pt idx="0">
                  <c:v>log diff VGT* x avg / FTEC*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XLU_IDU_1!$AE$2:$AE$167</c:f>
              <c:numCache>
                <c:formatCode>0.00%</c:formatCode>
                <c:ptCount val="166"/>
                <c:pt idx="1">
                  <c:v>4.3720253296246602E-4</c:v>
                </c:pt>
                <c:pt idx="2">
                  <c:v>5.4606281166738699E-4</c:v>
                </c:pt>
                <c:pt idx="3">
                  <c:v>6.0556371813732504E-4</c:v>
                </c:pt>
                <c:pt idx="4">
                  <c:v>1.33409193126874E-3</c:v>
                </c:pt>
                <c:pt idx="5">
                  <c:v>6.3029988504497998E-4</c:v>
                </c:pt>
                <c:pt idx="6">
                  <c:v>6.2398780960369301E-4</c:v>
                </c:pt>
                <c:pt idx="7">
                  <c:v>1.88083758553409E-5</c:v>
                </c:pt>
                <c:pt idx="8">
                  <c:v>6.22944935836072E-4</c:v>
                </c:pt>
                <c:pt idx="9">
                  <c:v>7.2722155600263695E-4</c:v>
                </c:pt>
                <c:pt idx="10">
                  <c:v>6.4214945953964501E-4</c:v>
                </c:pt>
                <c:pt idx="11">
                  <c:v>-3.1312933931613302E-4</c:v>
                </c:pt>
                <c:pt idx="12">
                  <c:v>3.46677701565709E-4</c:v>
                </c:pt>
                <c:pt idx="13">
                  <c:v>4.5851876099269002E-4</c:v>
                </c:pt>
                <c:pt idx="14">
                  <c:v>2.39437447972209E-4</c:v>
                </c:pt>
                <c:pt idx="15">
                  <c:v>2.0567916787068199E-4</c:v>
                </c:pt>
                <c:pt idx="16">
                  <c:v>3.57312597895212E-4</c:v>
                </c:pt>
                <c:pt idx="17">
                  <c:v>1.6126810208118501E-4</c:v>
                </c:pt>
                <c:pt idx="18">
                  <c:v>1.6373968616016001E-4</c:v>
                </c:pt>
                <c:pt idx="19">
                  <c:v>7.8253102719059997E-4</c:v>
                </c:pt>
                <c:pt idx="20">
                  <c:v>-4.2211459522885602E-4</c:v>
                </c:pt>
                <c:pt idx="21">
                  <c:v>5.9002920024279798E-4</c:v>
                </c:pt>
                <c:pt idx="22">
                  <c:v>7.7632916419314896E-4</c:v>
                </c:pt>
                <c:pt idx="23">
                  <c:v>2.5096680515924899E-4</c:v>
                </c:pt>
                <c:pt idx="24">
                  <c:v>-7.0470607964547407E-5</c:v>
                </c:pt>
                <c:pt idx="25">
                  <c:v>2.84473688424666E-4</c:v>
                </c:pt>
                <c:pt idx="26">
                  <c:v>-7.5644625431613301E-5</c:v>
                </c:pt>
                <c:pt idx="27">
                  <c:v>4.5273418286461098E-4</c:v>
                </c:pt>
                <c:pt idx="28">
                  <c:v>-1.7967792946235801E-4</c:v>
                </c:pt>
                <c:pt idx="29">
                  <c:v>3.5303963727320998E-4</c:v>
                </c:pt>
                <c:pt idx="30">
                  <c:v>4.8113496481321399E-5</c:v>
                </c:pt>
                <c:pt idx="31">
                  <c:v>1.2390421287057001E-4</c:v>
                </c:pt>
                <c:pt idx="32">
                  <c:v>-1.9676418654160898E-5</c:v>
                </c:pt>
                <c:pt idx="33">
                  <c:v>-1.20046892013746E-3</c:v>
                </c:pt>
                <c:pt idx="34">
                  <c:v>-4.6733923448065402E-4</c:v>
                </c:pt>
                <c:pt idx="35">
                  <c:v>-1.7414604203869499E-5</c:v>
                </c:pt>
                <c:pt idx="36">
                  <c:v>1.38309919853054E-4</c:v>
                </c:pt>
                <c:pt idx="37">
                  <c:v>1.7432069581164999E-4</c:v>
                </c:pt>
                <c:pt idx="38">
                  <c:v>1.1711637797777101E-3</c:v>
                </c:pt>
                <c:pt idx="39">
                  <c:v>5.4341981581800696E-4</c:v>
                </c:pt>
                <c:pt idx="40">
                  <c:v>7.0786958381878202E-4</c:v>
                </c:pt>
                <c:pt idx="41">
                  <c:v>6.9614956524052297E-4</c:v>
                </c:pt>
                <c:pt idx="42">
                  <c:v>2.0104965607207901E-4</c:v>
                </c:pt>
                <c:pt idx="43">
                  <c:v>1.05229375582302E-3</c:v>
                </c:pt>
                <c:pt idx="44">
                  <c:v>7.1610008919141196E-4</c:v>
                </c:pt>
                <c:pt idx="45">
                  <c:v>6.9674044812885396E-4</c:v>
                </c:pt>
                <c:pt idx="46">
                  <c:v>9.2120901842837697E-4</c:v>
                </c:pt>
                <c:pt idx="47">
                  <c:v>3.3395889309265401E-4</c:v>
                </c:pt>
                <c:pt idx="48">
                  <c:v>6.3879988991294499E-4</c:v>
                </c:pt>
                <c:pt idx="49">
                  <c:v>7.48323563199062E-4</c:v>
                </c:pt>
                <c:pt idx="50">
                  <c:v>7.0344232667582905E-4</c:v>
                </c:pt>
                <c:pt idx="51">
                  <c:v>3.7375915272539303E-4</c:v>
                </c:pt>
                <c:pt idx="52">
                  <c:v>5.9478705146816203E-4</c:v>
                </c:pt>
                <c:pt idx="53">
                  <c:v>1.46843987063826E-3</c:v>
                </c:pt>
                <c:pt idx="54">
                  <c:v>1.9052184157618301E-3</c:v>
                </c:pt>
                <c:pt idx="55">
                  <c:v>5.57296671297961E-4</c:v>
                </c:pt>
                <c:pt idx="56">
                  <c:v>4.6215050113751098E-4</c:v>
                </c:pt>
                <c:pt idx="57">
                  <c:v>6.1011623163176798E-4</c:v>
                </c:pt>
                <c:pt idx="58">
                  <c:v>3.9196942231718398E-4</c:v>
                </c:pt>
                <c:pt idx="59">
                  <c:v>3.0098366245360001E-4</c:v>
                </c:pt>
                <c:pt idx="60">
                  <c:v>5.1833453880688904E-4</c:v>
                </c:pt>
                <c:pt idx="61">
                  <c:v>5.3217315419272504E-4</c:v>
                </c:pt>
                <c:pt idx="62">
                  <c:v>3.8671653344940499E-4</c:v>
                </c:pt>
                <c:pt idx="63">
                  <c:v>5.4845252083961303E-4</c:v>
                </c:pt>
                <c:pt idx="64">
                  <c:v>3.3866223437265701E-4</c:v>
                </c:pt>
                <c:pt idx="65">
                  <c:v>3.7730634526843097E-4</c:v>
                </c:pt>
                <c:pt idx="66">
                  <c:v>6.1861420394179398E-4</c:v>
                </c:pt>
                <c:pt idx="67">
                  <c:v>3.61928682214358E-4</c:v>
                </c:pt>
                <c:pt idx="68">
                  <c:v>4.1457192251549098E-5</c:v>
                </c:pt>
                <c:pt idx="69">
                  <c:v>5.8269092283592104E-4</c:v>
                </c:pt>
                <c:pt idx="70">
                  <c:v>4.0460432398579401E-4</c:v>
                </c:pt>
                <c:pt idx="71">
                  <c:v>2.8562142347955297E-4</c:v>
                </c:pt>
                <c:pt idx="72">
                  <c:v>1.94881469362095E-4</c:v>
                </c:pt>
                <c:pt idx="73">
                  <c:v>3.5657057689811701E-4</c:v>
                </c:pt>
                <c:pt idx="74">
                  <c:v>5.2501004243526897E-4</c:v>
                </c:pt>
                <c:pt idx="75">
                  <c:v>1.7837521544061401E-4</c:v>
                </c:pt>
                <c:pt idx="76">
                  <c:v>3.8143979424932898E-5</c:v>
                </c:pt>
                <c:pt idx="77">
                  <c:v>8.3888640552755403E-5</c:v>
                </c:pt>
                <c:pt idx="78">
                  <c:v>5.3322837143865301E-4</c:v>
                </c:pt>
                <c:pt idx="79">
                  <c:v>3.8628872394866001E-4</c:v>
                </c:pt>
                <c:pt idx="80">
                  <c:v>-2.7406648409335601E-4</c:v>
                </c:pt>
                <c:pt idx="81">
                  <c:v>-1.9543388135494501E-4</c:v>
                </c:pt>
                <c:pt idx="82">
                  <c:v>1.9059481277720799E-4</c:v>
                </c:pt>
                <c:pt idx="83">
                  <c:v>2.6497352349960402E-4</c:v>
                </c:pt>
                <c:pt idx="84">
                  <c:v>2.18379356607865E-4</c:v>
                </c:pt>
                <c:pt idx="85">
                  <c:v>-4.1503612441098302E-5</c:v>
                </c:pt>
                <c:pt idx="86">
                  <c:v>2.27431932145642E-5</c:v>
                </c:pt>
                <c:pt idx="87">
                  <c:v>-2.6443841987342699E-5</c:v>
                </c:pt>
                <c:pt idx="88">
                  <c:v>-1.5507658936084E-4</c:v>
                </c:pt>
                <c:pt idx="89">
                  <c:v>2.9390130119749799E-4</c:v>
                </c:pt>
                <c:pt idx="90">
                  <c:v>1.23695965869699E-4</c:v>
                </c:pt>
                <c:pt idx="91">
                  <c:v>-8.5888517749645201E-5</c:v>
                </c:pt>
                <c:pt idx="92">
                  <c:v>-4.4602426013585399E-4</c:v>
                </c:pt>
                <c:pt idx="93">
                  <c:v>-1.00808868941851E-4</c:v>
                </c:pt>
                <c:pt idx="94">
                  <c:v>-4.8389148537342799E-5</c:v>
                </c:pt>
                <c:pt idx="95">
                  <c:v>-2.9278101754418099E-4</c:v>
                </c:pt>
                <c:pt idx="96">
                  <c:v>-7.8400819846034895E-4</c:v>
                </c:pt>
                <c:pt idx="97">
                  <c:v>-3.1504981526959399E-4</c:v>
                </c:pt>
                <c:pt idx="98">
                  <c:v>-7.7198327113882196E-4</c:v>
                </c:pt>
                <c:pt idx="99">
                  <c:v>-8.8018453258751196E-4</c:v>
                </c:pt>
                <c:pt idx="100">
                  <c:v>-4.2098597024119698E-4</c:v>
                </c:pt>
                <c:pt idx="101">
                  <c:v>-1.08464011258572E-3</c:v>
                </c:pt>
                <c:pt idx="102">
                  <c:v>-9.2103041075704099E-4</c:v>
                </c:pt>
                <c:pt idx="103">
                  <c:v>-1.1057537350592E-3</c:v>
                </c:pt>
                <c:pt idx="104">
                  <c:v>-9.5108848298209496E-4</c:v>
                </c:pt>
                <c:pt idx="105">
                  <c:v>-9.6472531258579497E-4</c:v>
                </c:pt>
                <c:pt idx="106">
                  <c:v>-6.4967034123779202E-4</c:v>
                </c:pt>
                <c:pt idx="107">
                  <c:v>-8.8213726953390796E-4</c:v>
                </c:pt>
                <c:pt idx="108">
                  <c:v>-6.5913362622833395E-4</c:v>
                </c:pt>
                <c:pt idx="109">
                  <c:v>-1.13974972182114E-3</c:v>
                </c:pt>
                <c:pt idx="110">
                  <c:v>-7.3359368986865997E-4</c:v>
                </c:pt>
                <c:pt idx="111">
                  <c:v>-1.05532707950612E-3</c:v>
                </c:pt>
                <c:pt idx="112">
                  <c:v>-7.3261669442276696E-4</c:v>
                </c:pt>
                <c:pt idx="113">
                  <c:v>-7.4801469046081696E-4</c:v>
                </c:pt>
                <c:pt idx="114">
                  <c:v>-4.6828621584248201E-4</c:v>
                </c:pt>
                <c:pt idx="115">
                  <c:v>-1.3268639540076101E-4</c:v>
                </c:pt>
                <c:pt idx="116">
                  <c:v>-1.95578746295772E-4</c:v>
                </c:pt>
                <c:pt idx="117">
                  <c:v>-1.19106938721804E-5</c:v>
                </c:pt>
                <c:pt idx="118">
                  <c:v>-8.61462111566584E-4</c:v>
                </c:pt>
                <c:pt idx="119">
                  <c:v>-9.2604825701646904E-4</c:v>
                </c:pt>
                <c:pt idx="120">
                  <c:v>-2.6751578937833699E-3</c:v>
                </c:pt>
                <c:pt idx="121">
                  <c:v>-1.0316794882928701E-3</c:v>
                </c:pt>
                <c:pt idx="122">
                  <c:v>-1.11804311998293E-3</c:v>
                </c:pt>
                <c:pt idx="123">
                  <c:v>-7.4522550073701399E-4</c:v>
                </c:pt>
                <c:pt idx="124">
                  <c:v>-1.0093469098987401E-3</c:v>
                </c:pt>
                <c:pt idx="125">
                  <c:v>-9.6187864906505398E-4</c:v>
                </c:pt>
                <c:pt idx="126">
                  <c:v>-4.0622447037719499E-4</c:v>
                </c:pt>
                <c:pt idx="127">
                  <c:v>-7.81031398552477E-4</c:v>
                </c:pt>
                <c:pt idx="128">
                  <c:v>-1.0639894089121899E-3</c:v>
                </c:pt>
                <c:pt idx="129">
                  <c:v>-8.7247073543456598E-4</c:v>
                </c:pt>
                <c:pt idx="130">
                  <c:v>-8.0731240245685498E-4</c:v>
                </c:pt>
                <c:pt idx="131">
                  <c:v>-6.8350065620913995E-4</c:v>
                </c:pt>
                <c:pt idx="132">
                  <c:v>-4.2072908205465301E-4</c:v>
                </c:pt>
                <c:pt idx="133">
                  <c:v>-5.1699188037384095E-4</c:v>
                </c:pt>
                <c:pt idx="134">
                  <c:v>-7.1050598510696502E-4</c:v>
                </c:pt>
                <c:pt idx="135">
                  <c:v>-1.1687486036646901E-4</c:v>
                </c:pt>
                <c:pt idx="136">
                  <c:v>-4.5677683376805199E-4</c:v>
                </c:pt>
                <c:pt idx="137">
                  <c:v>-1.0044648690528399E-3</c:v>
                </c:pt>
                <c:pt idx="138">
                  <c:v>-1.0359948987813299E-3</c:v>
                </c:pt>
                <c:pt idx="139">
                  <c:v>-3.8642917511943798E-4</c:v>
                </c:pt>
                <c:pt idx="140">
                  <c:v>-4.6513221845048003E-4</c:v>
                </c:pt>
                <c:pt idx="141">
                  <c:v>-5.3844656865830102E-5</c:v>
                </c:pt>
                <c:pt idx="142">
                  <c:v>3.9972850299861001E-4</c:v>
                </c:pt>
                <c:pt idx="143">
                  <c:v>8.7671359075643197E-5</c:v>
                </c:pt>
                <c:pt idx="144">
                  <c:v>-1.5745322136458299E-4</c:v>
                </c:pt>
                <c:pt idx="145">
                  <c:v>2.8041755975320698E-4</c:v>
                </c:pt>
                <c:pt idx="146">
                  <c:v>-1.9103063643812602E-5</c:v>
                </c:pt>
                <c:pt idx="147">
                  <c:v>9.8808107889498598E-5</c:v>
                </c:pt>
                <c:pt idx="148">
                  <c:v>6.3946039222771197E-6</c:v>
                </c:pt>
                <c:pt idx="149">
                  <c:v>9.4044359018986899E-5</c:v>
                </c:pt>
                <c:pt idx="150">
                  <c:v>4.5972536521932702E-5</c:v>
                </c:pt>
                <c:pt idx="151">
                  <c:v>7.7601806774460597E-5</c:v>
                </c:pt>
                <c:pt idx="152">
                  <c:v>8.7064579638314402E-5</c:v>
                </c:pt>
                <c:pt idx="153">
                  <c:v>3.5029768387831803E-4</c:v>
                </c:pt>
                <c:pt idx="154">
                  <c:v>5.6474818029184797E-5</c:v>
                </c:pt>
                <c:pt idx="155">
                  <c:v>3.7202318297650799E-4</c:v>
                </c:pt>
                <c:pt idx="156">
                  <c:v>2.98403187249919E-4</c:v>
                </c:pt>
                <c:pt idx="157">
                  <c:v>4.3904751129357401E-5</c:v>
                </c:pt>
                <c:pt idx="158">
                  <c:v>5.0382691082226101E-4</c:v>
                </c:pt>
                <c:pt idx="159">
                  <c:v>5.4823446688964497E-5</c:v>
                </c:pt>
                <c:pt idx="160">
                  <c:v>2.5934478914721898E-4</c:v>
                </c:pt>
                <c:pt idx="161">
                  <c:v>1.91053980906899E-4</c:v>
                </c:pt>
                <c:pt idx="162">
                  <c:v>-1.8035916041737101E-4</c:v>
                </c:pt>
                <c:pt idx="163">
                  <c:v>-2.9157064303053502E-4</c:v>
                </c:pt>
                <c:pt idx="164">
                  <c:v>-9.2173853785889901E-5</c:v>
                </c:pt>
                <c:pt idx="165">
                  <c:v>5.56633171733301E-5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83-4FF6-AA27-5FD3EA499F57}"/>
            </c:ext>
          </c:extLst>
        </c:ser>
        <c:ser>
          <c:idx val="1"/>
          <c:order val="1"/>
          <c:tx>
            <c:strRef>
              <c:f>XLU_IDU_1!$AF$1</c:f>
              <c:strCache>
                <c:ptCount val="1"/>
                <c:pt idx="0">
                  <c:v>log diff VGT* x 10 dma / FTEC*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XLU_IDU_1!$AF$2:$AF$167</c:f>
              <c:numCache>
                <c:formatCode>0.00%</c:formatCode>
                <c:ptCount val="166"/>
                <c:pt idx="10">
                  <c:v>6.1347692703467402E-5</c:v>
                </c:pt>
                <c:pt idx="11">
                  <c:v>-9.31916515680845E-4</c:v>
                </c:pt>
                <c:pt idx="12">
                  <c:v>-1.9703731739347601E-4</c:v>
                </c:pt>
                <c:pt idx="13">
                  <c:v>-6.5256004727398296E-5</c:v>
                </c:pt>
                <c:pt idx="14">
                  <c:v>-2.6963305168200999E-4</c:v>
                </c:pt>
                <c:pt idx="15">
                  <c:v>-1.9396225926827099E-4</c:v>
                </c:pt>
                <c:pt idx="16">
                  <c:v>1.31562246213787E-7</c:v>
                </c:pt>
                <c:pt idx="17">
                  <c:v>-1.6924932684931701E-4</c:v>
                </c:pt>
                <c:pt idx="18">
                  <c:v>-1.8102724320035601E-4</c:v>
                </c:pt>
                <c:pt idx="19">
                  <c:v>4.83681338435463E-4</c:v>
                </c:pt>
                <c:pt idx="20">
                  <c:v>-7.2649272470141099E-4</c:v>
                </c:pt>
                <c:pt idx="21">
                  <c:v>3.9209250330118998E-4</c:v>
                </c:pt>
                <c:pt idx="22">
                  <c:v>4.8806715825997702E-4</c:v>
                </c:pt>
                <c:pt idx="23">
                  <c:v>-8.02495316368464E-5</c:v>
                </c:pt>
                <c:pt idx="24">
                  <c:v>-3.8093245280619603E-4</c:v>
                </c:pt>
                <c:pt idx="25">
                  <c:v>5.0091729233792001E-6</c:v>
                </c:pt>
                <c:pt idx="26">
                  <c:v>-3.6298889499955902E-4</c:v>
                </c:pt>
                <c:pt idx="27">
                  <c:v>2.0869104219348899E-4</c:v>
                </c:pt>
                <c:pt idx="28">
                  <c:v>-4.5286626807778698E-4</c:v>
                </c:pt>
                <c:pt idx="29">
                  <c:v>1.1420212719235799E-4</c:v>
                </c:pt>
                <c:pt idx="30">
                  <c:v>-1.47789921661546E-4</c:v>
                </c:pt>
                <c:pt idx="31">
                  <c:v>-1.19041129998176E-4</c:v>
                </c:pt>
                <c:pt idx="32">
                  <c:v>-2.16015662962628E-4</c:v>
                </c:pt>
                <c:pt idx="33">
                  <c:v>-1.31722525582282E-3</c:v>
                </c:pt>
                <c:pt idx="34">
                  <c:v>-4.3887665077317102E-4</c:v>
                </c:pt>
                <c:pt idx="35">
                  <c:v>5.0743598083187703E-5</c:v>
                </c:pt>
                <c:pt idx="36">
                  <c:v>2.3665040792515099E-4</c:v>
                </c:pt>
                <c:pt idx="37">
                  <c:v>2.5126827472352802E-4</c:v>
                </c:pt>
                <c:pt idx="38">
                  <c:v>1.2759414509951801E-3</c:v>
                </c:pt>
                <c:pt idx="39">
                  <c:v>5.1318528858480296E-4</c:v>
                </c:pt>
                <c:pt idx="40">
                  <c:v>6.5860481376545099E-4</c:v>
                </c:pt>
                <c:pt idx="41">
                  <c:v>5.8092869458564202E-4</c:v>
                </c:pt>
                <c:pt idx="42">
                  <c:v>2.8619480629868199E-5</c:v>
                </c:pt>
                <c:pt idx="43">
                  <c:v>8.5778892485275499E-4</c:v>
                </c:pt>
                <c:pt idx="44">
                  <c:v>2.9623303519505799E-4</c:v>
                </c:pt>
                <c:pt idx="45">
                  <c:v>1.58487473304354E-4</c:v>
                </c:pt>
                <c:pt idx="46">
                  <c:v>3.11523801813453E-4</c:v>
                </c:pt>
                <c:pt idx="47">
                  <c:v>-3.5402555831412101E-4</c:v>
                </c:pt>
                <c:pt idx="48">
                  <c:v>-6.5155436092740893E-5</c:v>
                </c:pt>
                <c:pt idx="49">
                  <c:v>9.7592509521688997E-5</c:v>
                </c:pt>
                <c:pt idx="50">
                  <c:v>3.2220588721349197E-5</c:v>
                </c:pt>
                <c:pt idx="51">
                  <c:v>-2.9701987485750402E-4</c:v>
                </c:pt>
                <c:pt idx="52">
                  <c:v>-4.37490753769756E-5</c:v>
                </c:pt>
                <c:pt idx="53">
                  <c:v>7.9051975329862698E-4</c:v>
                </c:pt>
                <c:pt idx="54">
                  <c:v>1.1857070529723E-3</c:v>
                </c:pt>
                <c:pt idx="55">
                  <c:v>-2.81063319663254E-4</c:v>
                </c:pt>
                <c:pt idx="56">
                  <c:v>-3.6226226205608502E-4</c:v>
                </c:pt>
                <c:pt idx="57">
                  <c:v>-1.6838563972469599E-4</c:v>
                </c:pt>
                <c:pt idx="58">
                  <c:v>-4.1415702907008901E-4</c:v>
                </c:pt>
                <c:pt idx="59">
                  <c:v>-4.8045286947315903E-4</c:v>
                </c:pt>
                <c:pt idx="60">
                  <c:v>-2.18357515321834E-4</c:v>
                </c:pt>
                <c:pt idx="61">
                  <c:v>-1.86005963618892E-4</c:v>
                </c:pt>
                <c:pt idx="62">
                  <c:v>-3.47308311969965E-4</c:v>
                </c:pt>
                <c:pt idx="63">
                  <c:v>-1.6476042689858301E-4</c:v>
                </c:pt>
                <c:pt idx="64">
                  <c:v>-2.8258336134526598E-4</c:v>
                </c:pt>
                <c:pt idx="65">
                  <c:v>-8.73742902420657E-5</c:v>
                </c:pt>
                <c:pt idx="66">
                  <c:v>1.7193239190571401E-4</c:v>
                </c:pt>
                <c:pt idx="67">
                  <c:v>-1.00398156496378E-4</c:v>
                </c:pt>
                <c:pt idx="68">
                  <c:v>-3.9605178750812302E-4</c:v>
                </c:pt>
                <c:pt idx="69">
                  <c:v>1.8024029172409301E-4</c:v>
                </c:pt>
                <c:pt idx="70">
                  <c:v>-2.60163204996072E-5</c:v>
                </c:pt>
                <c:pt idx="71">
                  <c:v>-1.33626615024416E-4</c:v>
                </c:pt>
                <c:pt idx="72">
                  <c:v>-1.9971144474740301E-4</c:v>
                </c:pt>
                <c:pt idx="73">
                  <c:v>-1.8837023577943501E-5</c:v>
                </c:pt>
                <c:pt idx="74">
                  <c:v>1.68788972891439E-4</c:v>
                </c:pt>
                <c:pt idx="75">
                  <c:v>-1.9647939952245399E-4</c:v>
                </c:pt>
                <c:pt idx="76">
                  <c:v>-3.1681579042595301E-4</c:v>
                </c:pt>
                <c:pt idx="77">
                  <c:v>-2.1302424783445299E-4</c:v>
                </c:pt>
                <c:pt idx="78">
                  <c:v>2.6412115841578898E-4</c:v>
                </c:pt>
                <c:pt idx="79">
                  <c:v>6.8004080086239094E-5</c:v>
                </c:pt>
                <c:pt idx="80">
                  <c:v>-5.7271436487303401E-4</c:v>
                </c:pt>
                <c:pt idx="81">
                  <c:v>-4.2620114336819098E-4</c:v>
                </c:pt>
                <c:pt idx="82">
                  <c:v>7.9408569987139799E-6</c:v>
                </c:pt>
                <c:pt idx="83">
                  <c:v>8.2748228964868307E-5</c:v>
                </c:pt>
                <c:pt idx="84">
                  <c:v>4.5312548102350699E-5</c:v>
                </c:pt>
                <c:pt idx="85">
                  <c:v>-1.8391391209499801E-4</c:v>
                </c:pt>
                <c:pt idx="86">
                  <c:v>-9.7677838769765998E-5</c:v>
                </c:pt>
                <c:pt idx="87">
                  <c:v>-1.4532465795826299E-4</c:v>
                </c:pt>
                <c:pt idx="88">
                  <c:v>-2.6292322316398401E-4</c:v>
                </c:pt>
                <c:pt idx="89">
                  <c:v>2.5487720568441203E-4</c:v>
                </c:pt>
                <c:pt idx="90">
                  <c:v>9.3907788886090303E-5</c:v>
                </c:pt>
                <c:pt idx="91">
                  <c:v>-1.5545790692203301E-4</c:v>
                </c:pt>
                <c:pt idx="92">
                  <c:v>-5.2655054892160205E-4</c:v>
                </c:pt>
                <c:pt idx="93">
                  <c:v>-1.1766201813773099E-4</c:v>
                </c:pt>
                <c:pt idx="94">
                  <c:v>-2.8667113056045501E-5</c:v>
                </c:pt>
                <c:pt idx="95">
                  <c:v>-2.4638528059262998E-4</c:v>
                </c:pt>
                <c:pt idx="96">
                  <c:v>-7.1248200243337898E-4</c:v>
                </c:pt>
                <c:pt idx="97">
                  <c:v>-1.6282679291415101E-4</c:v>
                </c:pt>
                <c:pt idx="98">
                  <c:v>-5.9089953321668097E-4</c:v>
                </c:pt>
                <c:pt idx="99">
                  <c:v>-6.3739460261989604E-4</c:v>
                </c:pt>
                <c:pt idx="100">
                  <c:v>-6.0788430825265601E-5</c:v>
                </c:pt>
                <c:pt idx="101">
                  <c:v>-6.6998738326222603E-4</c:v>
                </c:pt>
                <c:pt idx="102">
                  <c:v>-4.0649046537942799E-4</c:v>
                </c:pt>
                <c:pt idx="103">
                  <c:v>-5.4370627498922901E-4</c:v>
                </c:pt>
                <c:pt idx="104">
                  <c:v>-2.8854743786159702E-4</c:v>
                </c:pt>
                <c:pt idx="105">
                  <c:v>-2.11933098666031E-4</c:v>
                </c:pt>
                <c:pt idx="106">
                  <c:v>1.70305712349465E-4</c:v>
                </c:pt>
                <c:pt idx="107">
                  <c:v>-7.5593706448642294E-5</c:v>
                </c:pt>
                <c:pt idx="108">
                  <c:v>2.04105284472565E-4</c:v>
                </c:pt>
                <c:pt idx="109">
                  <c:v>-2.8779417282814098E-4</c:v>
                </c:pt>
                <c:pt idx="110">
                  <c:v>1.4432214290391001E-4</c:v>
                </c:pt>
                <c:pt idx="111">
                  <c:v>-1.4616035934611699E-4</c:v>
                </c:pt>
                <c:pt idx="112">
                  <c:v>1.7361824669054099E-4</c:v>
                </c:pt>
                <c:pt idx="113">
                  <c:v>1.39380197678549E-4</c:v>
                </c:pt>
                <c:pt idx="114">
                  <c:v>3.83332714979083E-4</c:v>
                </c:pt>
                <c:pt idx="115">
                  <c:v>6.7065799504379797E-4</c:v>
                </c:pt>
                <c:pt idx="116">
                  <c:v>5.24579474377353E-4</c:v>
                </c:pt>
                <c:pt idx="117">
                  <c:v>6.6285084524744602E-4</c:v>
                </c:pt>
                <c:pt idx="118">
                  <c:v>-2.7370720165459497E-4</c:v>
                </c:pt>
                <c:pt idx="119">
                  <c:v>-3.1805721195100401E-4</c:v>
                </c:pt>
                <c:pt idx="120">
                  <c:v>-2.0885463060523902E-3</c:v>
                </c:pt>
                <c:pt idx="121">
                  <c:v>-2.50713195308608E-4</c:v>
                </c:pt>
                <c:pt idx="122">
                  <c:v>-3.3944220983602E-4</c:v>
                </c:pt>
                <c:pt idx="123">
                  <c:v>7.1922964976478302E-5</c:v>
                </c:pt>
                <c:pt idx="124">
                  <c:v>-1.9247734352567699E-4</c:v>
                </c:pt>
                <c:pt idx="125">
                  <c:v>-9.0908699055029403E-5</c:v>
                </c:pt>
                <c:pt idx="126">
                  <c:v>5.4763443642174105E-4</c:v>
                </c:pt>
                <c:pt idx="127">
                  <c:v>1.93878109351575E-4</c:v>
                </c:pt>
                <c:pt idx="128">
                  <c:v>-1.22152588431892E-5</c:v>
                </c:pt>
                <c:pt idx="129">
                  <c:v>1.9955413596393101E-4</c:v>
                </c:pt>
                <c:pt idx="130">
                  <c:v>2.5935562798893002E-4</c:v>
                </c:pt>
                <c:pt idx="131">
                  <c:v>1.96239286745396E-4</c:v>
                </c:pt>
                <c:pt idx="132">
                  <c:v>4.2419314258858098E-4</c:v>
                </c:pt>
                <c:pt idx="133">
                  <c:v>2.5820177512485E-4</c:v>
                </c:pt>
                <c:pt idx="134">
                  <c:v>4.1867336190588203E-5</c:v>
                </c:pt>
                <c:pt idx="135">
                  <c:v>6.05610707405647E-4</c:v>
                </c:pt>
                <c:pt idx="136">
                  <c:v>1.8122025491731201E-4</c:v>
                </c:pt>
                <c:pt idx="137">
                  <c:v>-3.6141360058092401E-4</c:v>
                </c:pt>
                <c:pt idx="138">
                  <c:v>-3.7059495318585601E-4</c:v>
                </c:pt>
                <c:pt idx="139">
                  <c:v>2.7617023868691101E-4</c:v>
                </c:pt>
                <c:pt idx="140">
                  <c:v>1.48863468878765E-4</c:v>
                </c:pt>
                <c:pt idx="141">
                  <c:v>5.2593166586051103E-4</c:v>
                </c:pt>
                <c:pt idx="142">
                  <c:v>9.1655053403708899E-4</c:v>
                </c:pt>
                <c:pt idx="143">
                  <c:v>5.2248579781435402E-4</c:v>
                </c:pt>
                <c:pt idx="144">
                  <c:v>2.1690637559986401E-4</c:v>
                </c:pt>
                <c:pt idx="145">
                  <c:v>5.9946705266370902E-4</c:v>
                </c:pt>
                <c:pt idx="146">
                  <c:v>2.6023231951599499E-4</c:v>
                </c:pt>
                <c:pt idx="147">
                  <c:v>3.3437696767914401E-4</c:v>
                </c:pt>
                <c:pt idx="148">
                  <c:v>1.3160609901130701E-4</c:v>
                </c:pt>
                <c:pt idx="149">
                  <c:v>1.14970843399936E-4</c:v>
                </c:pt>
                <c:pt idx="150">
                  <c:v>1.8844493353818801E-5</c:v>
                </c:pt>
                <c:pt idx="151">
                  <c:v>-6.5011893573738898E-7</c:v>
                </c:pt>
                <c:pt idx="152">
                  <c:v>-4.3329513314606703E-6</c:v>
                </c:pt>
                <c:pt idx="153">
                  <c:v>2.9016130463729601E-4</c:v>
                </c:pt>
                <c:pt idx="154">
                  <c:v>-2.99203670877022E-5</c:v>
                </c:pt>
                <c:pt idx="155">
                  <c:v>2.6423203644630598E-4</c:v>
                </c:pt>
                <c:pt idx="156">
                  <c:v>1.8145343717040099E-4</c:v>
                </c:pt>
                <c:pt idx="157">
                  <c:v>-1.0479540747134301E-4</c:v>
                </c:pt>
                <c:pt idx="158">
                  <c:v>3.6061749748366801E-4</c:v>
                </c:pt>
                <c:pt idx="159">
                  <c:v>-1.3812486878803299E-4</c:v>
                </c:pt>
                <c:pt idx="160">
                  <c:v>7.0319022062427096E-5</c:v>
                </c:pt>
                <c:pt idx="161">
                  <c:v>-1.9310015126837299E-5</c:v>
                </c:pt>
                <c:pt idx="162">
                  <c:v>-4.0206930091649503E-4</c:v>
                </c:pt>
                <c:pt idx="163">
                  <c:v>-4.8653158972955399E-4</c:v>
                </c:pt>
                <c:pt idx="164">
                  <c:v>-2.2293939720631701E-4</c:v>
                </c:pt>
                <c:pt idx="165">
                  <c:v>-6.0235260258667402E-5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83-4FF6-AA27-5FD3EA499F57}"/>
            </c:ext>
          </c:extLst>
        </c:ser>
        <c:ser>
          <c:idx val="2"/>
          <c:order val="2"/>
          <c:tx>
            <c:strRef>
              <c:f>XLU_IDU_1!$AG$1</c:f>
              <c:strCache>
                <c:ptCount val="1"/>
                <c:pt idx="0">
                  <c:v>log diff VGT* x 20 dma / FTEC*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XLU_IDU_1!$AG$2:$AG$167</c:f>
              <c:numCache>
                <c:formatCode>0.00%</c:formatCode>
                <c:ptCount val="166"/>
                <c:pt idx="20">
                  <c:v>-8.6469499213006403E-4</c:v>
                </c:pt>
                <c:pt idx="21">
                  <c:v>1.8168940298003599E-4</c:v>
                </c:pt>
                <c:pt idx="22">
                  <c:v>3.6034880877731002E-4</c:v>
                </c:pt>
                <c:pt idx="23">
                  <c:v>-1.7652411125516001E-4</c:v>
                </c:pt>
                <c:pt idx="24">
                  <c:v>-4.8023184953793698E-4</c:v>
                </c:pt>
                <c:pt idx="25">
                  <c:v>-5.5077477584283598E-5</c:v>
                </c:pt>
                <c:pt idx="26">
                  <c:v>-3.9790666839306698E-4</c:v>
                </c:pt>
                <c:pt idx="27">
                  <c:v>1.65454832788926E-4</c:v>
                </c:pt>
                <c:pt idx="28">
                  <c:v>-4.8865492301367898E-4</c:v>
                </c:pt>
                <c:pt idx="29">
                  <c:v>8.4196488037961001E-5</c:v>
                </c:pt>
                <c:pt idx="30">
                  <c:v>-2.0202580648090801E-4</c:v>
                </c:pt>
                <c:pt idx="31">
                  <c:v>-9.6536553812198803E-5</c:v>
                </c:pt>
                <c:pt idx="32">
                  <c:v>-2.61975987550654E-4</c:v>
                </c:pt>
                <c:pt idx="33">
                  <c:v>-1.4244495072416399E-3</c:v>
                </c:pt>
                <c:pt idx="34">
                  <c:v>-6.0832450632681103E-4</c:v>
                </c:pt>
                <c:pt idx="35">
                  <c:v>-1.23052655616918E-4</c:v>
                </c:pt>
                <c:pt idx="36">
                  <c:v>4.38266231965196E-5</c:v>
                </c:pt>
                <c:pt idx="37">
                  <c:v>9.0785794312244402E-5</c:v>
                </c:pt>
                <c:pt idx="38">
                  <c:v>1.0869763033664801E-3</c:v>
                </c:pt>
                <c:pt idx="39">
                  <c:v>4.0888923656165802E-4</c:v>
                </c:pt>
                <c:pt idx="40">
                  <c:v>5.8528817758227603E-4</c:v>
                </c:pt>
                <c:pt idx="41">
                  <c:v>5.1706849767138303E-4</c:v>
                </c:pt>
                <c:pt idx="42">
                  <c:v>1.6665017652372301E-5</c:v>
                </c:pt>
                <c:pt idx="43">
                  <c:v>8.9666392809881505E-4</c:v>
                </c:pt>
                <c:pt idx="44">
                  <c:v>5.2042297897971304E-4</c:v>
                </c:pt>
                <c:pt idx="45">
                  <c:v>4.6173902867383898E-4</c:v>
                </c:pt>
                <c:pt idx="46">
                  <c:v>6.65599316705381E-4</c:v>
                </c:pt>
                <c:pt idx="47">
                  <c:v>2.85135969698875E-5</c:v>
                </c:pt>
                <c:pt idx="48">
                  <c:v>3.3929281864919503E-4</c:v>
                </c:pt>
                <c:pt idx="49">
                  <c:v>4.0788889973519398E-4</c:v>
                </c:pt>
                <c:pt idx="50">
                  <c:v>3.4324742647972803E-4</c:v>
                </c:pt>
                <c:pt idx="51">
                  <c:v>-1.9202215785724501E-5</c:v>
                </c:pt>
                <c:pt idx="52">
                  <c:v>1.8933105716884899E-4</c:v>
                </c:pt>
                <c:pt idx="53">
                  <c:v>1.03225660777529E-3</c:v>
                </c:pt>
                <c:pt idx="54">
                  <c:v>1.33554043070755E-3</c:v>
                </c:pt>
                <c:pt idx="55">
                  <c:v>-1.3099855356700699E-4</c:v>
                </c:pt>
                <c:pt idx="56">
                  <c:v>-2.5489272527692201E-4</c:v>
                </c:pt>
                <c:pt idx="57">
                  <c:v>-1.23125905574515E-4</c:v>
                </c:pt>
                <c:pt idx="58">
                  <c:v>-3.6307016151201801E-4</c:v>
                </c:pt>
                <c:pt idx="59">
                  <c:v>-4.1509799485827498E-4</c:v>
                </c:pt>
                <c:pt idx="60">
                  <c:v>-1.85621821439523E-4</c:v>
                </c:pt>
                <c:pt idx="61">
                  <c:v>-1.6230563765841699E-4</c:v>
                </c:pt>
                <c:pt idx="62">
                  <c:v>-2.99562812921036E-4</c:v>
                </c:pt>
                <c:pt idx="63">
                  <c:v>-1.47113856001435E-4</c:v>
                </c:pt>
                <c:pt idx="64">
                  <c:v>-3.3171503786105501E-4</c:v>
                </c:pt>
                <c:pt idx="65">
                  <c:v>-2.7419651343474599E-4</c:v>
                </c:pt>
                <c:pt idx="66">
                  <c:v>-1.6915248589270601E-5</c:v>
                </c:pt>
                <c:pt idx="67">
                  <c:v>-2.5847317698806901E-4</c:v>
                </c:pt>
                <c:pt idx="68">
                  <c:v>-5.8034353846704296E-4</c:v>
                </c:pt>
                <c:pt idx="69">
                  <c:v>-9.2347048944206095E-6</c:v>
                </c:pt>
                <c:pt idx="70">
                  <c:v>-1.7904031535771999E-4</c:v>
                </c:pt>
                <c:pt idx="71">
                  <c:v>-2.8308098470434699E-4</c:v>
                </c:pt>
                <c:pt idx="72">
                  <c:v>-3.6941300864790002E-4</c:v>
                </c:pt>
                <c:pt idx="73">
                  <c:v>-1.8772543315239101E-4</c:v>
                </c:pt>
                <c:pt idx="74">
                  <c:v>3.6285489554310002E-5</c:v>
                </c:pt>
                <c:pt idx="75">
                  <c:v>-2.41391401207029E-4</c:v>
                </c:pt>
                <c:pt idx="76">
                  <c:v>-3.6267575990180301E-4</c:v>
                </c:pt>
                <c:pt idx="77">
                  <c:v>-2.95727802774395E-4</c:v>
                </c:pt>
                <c:pt idx="78">
                  <c:v>1.7992381994159299E-4</c:v>
                </c:pt>
                <c:pt idx="79">
                  <c:v>2.5921971950532399E-5</c:v>
                </c:pt>
                <c:pt idx="80">
                  <c:v>-6.3869856962468698E-4</c:v>
                </c:pt>
                <c:pt idx="81">
                  <c:v>-5.2043709098824201E-4</c:v>
                </c:pt>
                <c:pt idx="82">
                  <c:v>-9.8023007401480694E-5</c:v>
                </c:pt>
                <c:pt idx="83">
                  <c:v>-1.38382590803793E-5</c:v>
                </c:pt>
                <c:pt idx="84">
                  <c:v>-4.6260389231270303E-5</c:v>
                </c:pt>
                <c:pt idx="85">
                  <c:v>-3.0012931595494997E-4</c:v>
                </c:pt>
                <c:pt idx="86">
                  <c:v>-2.1494033165047301E-4</c:v>
                </c:pt>
                <c:pt idx="87">
                  <c:v>-2.3433673223887701E-4</c:v>
                </c:pt>
                <c:pt idx="88">
                  <c:v>-3.4355026215200602E-4</c:v>
                </c:pt>
                <c:pt idx="89">
                  <c:v>1.15256679816329E-4</c:v>
                </c:pt>
                <c:pt idx="90">
                  <c:v>-4.0513027319387499E-5</c:v>
                </c:pt>
                <c:pt idx="91">
                  <c:v>-2.3605359524799899E-4</c:v>
                </c:pt>
                <c:pt idx="92">
                  <c:v>-5.7761307866058698E-4</c:v>
                </c:pt>
                <c:pt idx="93">
                  <c:v>-2.0034467231381899E-4</c:v>
                </c:pt>
                <c:pt idx="94">
                  <c:v>-1.25056889106939E-4</c:v>
                </c:pt>
                <c:pt idx="95">
                  <c:v>-3.4078384293055499E-4</c:v>
                </c:pt>
                <c:pt idx="96">
                  <c:v>-8.0845101097169704E-4</c:v>
                </c:pt>
                <c:pt idx="97">
                  <c:v>-2.9836952491587801E-4</c:v>
                </c:pt>
                <c:pt idx="98">
                  <c:v>-7.3535428398430896E-4</c:v>
                </c:pt>
                <c:pt idx="99">
                  <c:v>-7.7829168796702695E-4</c:v>
                </c:pt>
                <c:pt idx="100">
                  <c:v>-2.5576227791764E-4</c:v>
                </c:pt>
                <c:pt idx="101">
                  <c:v>-9.1206913362789504E-4</c:v>
                </c:pt>
                <c:pt idx="102">
                  <c:v>-7.0397931948367701E-4</c:v>
                </c:pt>
                <c:pt idx="103">
                  <c:v>-8.3311468888346203E-4</c:v>
                </c:pt>
                <c:pt idx="104">
                  <c:v>-6.0990529064722102E-4</c:v>
                </c:pt>
                <c:pt idx="105">
                  <c:v>-5.6506896265357703E-4</c:v>
                </c:pt>
                <c:pt idx="106">
                  <c:v>-2.0384919428350601E-4</c:v>
                </c:pt>
                <c:pt idx="107">
                  <c:v>-4.0270045989343001E-4</c:v>
                </c:pt>
                <c:pt idx="108">
                  <c:v>-1.36914134958154E-4</c:v>
                </c:pt>
                <c:pt idx="109">
                  <c:v>-5.9233059699758599E-4</c:v>
                </c:pt>
                <c:pt idx="110">
                  <c:v>-1.14503499745823E-4</c:v>
                </c:pt>
                <c:pt idx="111">
                  <c:v>-3.9338678675369699E-4</c:v>
                </c:pt>
                <c:pt idx="112">
                  <c:v>-2.2210073056056599E-5</c:v>
                </c:pt>
                <c:pt idx="113">
                  <c:v>-2.3280284987488599E-5</c:v>
                </c:pt>
                <c:pt idx="114">
                  <c:v>2.8879824093444101E-4</c:v>
                </c:pt>
                <c:pt idx="115">
                  <c:v>6.4538222622191599E-4</c:v>
                </c:pt>
                <c:pt idx="116">
                  <c:v>5.7448963628417701E-4</c:v>
                </c:pt>
                <c:pt idx="117">
                  <c:v>7.2874402804298604E-4</c:v>
                </c:pt>
                <c:pt idx="118">
                  <c:v>-1.35955714830354E-4</c:v>
                </c:pt>
                <c:pt idx="119">
                  <c:v>-1.9606752015223901E-4</c:v>
                </c:pt>
                <c:pt idx="120">
                  <c:v>-1.94288357626132E-3</c:v>
                </c:pt>
                <c:pt idx="121">
                  <c:v>-1.8661092730220199E-4</c:v>
                </c:pt>
                <c:pt idx="122">
                  <c:v>-2.7562315804705099E-4</c:v>
                </c:pt>
                <c:pt idx="123">
                  <c:v>1.0704679300941199E-4</c:v>
                </c:pt>
                <c:pt idx="124">
                  <c:v>-1.7510251036141199E-4</c:v>
                </c:pt>
                <c:pt idx="125">
                  <c:v>-1.2472090718585501E-4</c:v>
                </c:pt>
                <c:pt idx="126">
                  <c:v>4.3079092036033201E-4</c:v>
                </c:pt>
                <c:pt idx="127">
                  <c:v>4.3815386059903399E-5</c:v>
                </c:pt>
                <c:pt idx="128">
                  <c:v>-2.4419796469007601E-4</c:v>
                </c:pt>
                <c:pt idx="129">
                  <c:v>-3.2435861279081099E-5</c:v>
                </c:pt>
                <c:pt idx="130">
                  <c:v>1.93562134044287E-5</c:v>
                </c:pt>
                <c:pt idx="131">
                  <c:v>1.4685368128954801E-4</c:v>
                </c:pt>
                <c:pt idx="132">
                  <c:v>3.9103303515517401E-4</c:v>
                </c:pt>
                <c:pt idx="133">
                  <c:v>2.7917940025771597E-4</c:v>
                </c:pt>
                <c:pt idx="134">
                  <c:v>7.4115978699114499E-5</c:v>
                </c:pt>
                <c:pt idx="135">
                  <c:v>6.7985565447612199E-4</c:v>
                </c:pt>
                <c:pt idx="136">
                  <c:v>3.3916363506013899E-4</c:v>
                </c:pt>
                <c:pt idx="137">
                  <c:v>-1.95470714628467E-4</c:v>
                </c:pt>
                <c:pt idx="138">
                  <c:v>-1.77389190320823E-4</c:v>
                </c:pt>
                <c:pt idx="139">
                  <c:v>4.8090392113361098E-4</c:v>
                </c:pt>
                <c:pt idx="140">
                  <c:v>3.7522525446830399E-4</c:v>
                </c:pt>
                <c:pt idx="141">
                  <c:v>6.7592472324634698E-4</c:v>
                </c:pt>
                <c:pt idx="142">
                  <c:v>1.08061408705656E-3</c:v>
                </c:pt>
                <c:pt idx="143">
                  <c:v>6.9268988844586497E-4</c:v>
                </c:pt>
                <c:pt idx="144">
                  <c:v>4.0593109956316701E-4</c:v>
                </c:pt>
                <c:pt idx="145">
                  <c:v>8.0120543517779499E-4</c:v>
                </c:pt>
                <c:pt idx="146">
                  <c:v>4.39579252056154E-4</c:v>
                </c:pt>
                <c:pt idx="147">
                  <c:v>5.3813892725938697E-4</c:v>
                </c:pt>
                <c:pt idx="148">
                  <c:v>4.0173679970897399E-4</c:v>
                </c:pt>
                <c:pt idx="149">
                  <c:v>4.3585877613042101E-4</c:v>
                </c:pt>
                <c:pt idx="150">
                  <c:v>3.39457738556243E-4</c:v>
                </c:pt>
                <c:pt idx="151">
                  <c:v>3.2841813042850298E-4</c:v>
                </c:pt>
                <c:pt idx="152">
                  <c:v>2.9982307105126199E-4</c:v>
                </c:pt>
                <c:pt idx="153">
                  <c:v>5.3766733566585798E-4</c:v>
                </c:pt>
                <c:pt idx="154">
                  <c:v>2.00483560823867E-4</c:v>
                </c:pt>
                <c:pt idx="155">
                  <c:v>4.7767513028300102E-4</c:v>
                </c:pt>
                <c:pt idx="156">
                  <c:v>3.79615634028515E-4</c:v>
                </c:pt>
                <c:pt idx="157">
                  <c:v>8.7357559558659401E-5</c:v>
                </c:pt>
                <c:pt idx="158">
                  <c:v>4.9483695792072204E-4</c:v>
                </c:pt>
                <c:pt idx="159">
                  <c:v>-3.1181751055276401E-5</c:v>
                </c:pt>
                <c:pt idx="160">
                  <c:v>1.5127116037964801E-4</c:v>
                </c:pt>
                <c:pt idx="161">
                  <c:v>4.6748201734934198E-5</c:v>
                </c:pt>
                <c:pt idx="162">
                  <c:v>-3.3691087348000501E-4</c:v>
                </c:pt>
                <c:pt idx="163">
                  <c:v>-4.1911703379249202E-4</c:v>
                </c:pt>
                <c:pt idx="164">
                  <c:v>-2.0075397196351699E-4</c:v>
                </c:pt>
                <c:pt idx="165">
                  <c:v>-5.61815365915126E-5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D83-4FF6-AA27-5FD3EA499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XLU_IDU_1!$Y$1</c:f>
              <c:strCache>
                <c:ptCount val="1"/>
                <c:pt idx="0">
                  <c:v> FTEC*/VGT*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XLU_IDU_1!$Y$2:$Y$167</c:f>
              <c:numCache>
                <c:formatCode>_(* #,##0.0000_);_(* \(#,##0.0000\);_(* "-"??_);_(@_)</c:formatCode>
                <c:ptCount val="166"/>
                <c:pt idx="0">
                  <c:v>2.3867209477050602</c:v>
                </c:pt>
                <c:pt idx="1">
                  <c:v>2.3867209477050602</c:v>
                </c:pt>
                <c:pt idx="2">
                  <c:v>2.3867209477050602</c:v>
                </c:pt>
                <c:pt idx="3">
                  <c:v>2.3867209477050602</c:v>
                </c:pt>
                <c:pt idx="4">
                  <c:v>2.3867209477050602</c:v>
                </c:pt>
                <c:pt idx="5">
                  <c:v>2.3867209477050602</c:v>
                </c:pt>
                <c:pt idx="6">
                  <c:v>2.3867209477050602</c:v>
                </c:pt>
                <c:pt idx="7">
                  <c:v>2.3867209477050602</c:v>
                </c:pt>
                <c:pt idx="8">
                  <c:v>2.3867209477050602</c:v>
                </c:pt>
                <c:pt idx="9">
                  <c:v>2.3867209477050602</c:v>
                </c:pt>
                <c:pt idx="10">
                  <c:v>2.3867209477050602</c:v>
                </c:pt>
                <c:pt idx="11">
                  <c:v>2.3867209477050602</c:v>
                </c:pt>
                <c:pt idx="12">
                  <c:v>2.3867209477050602</c:v>
                </c:pt>
                <c:pt idx="13">
                  <c:v>2.3867209477050602</c:v>
                </c:pt>
                <c:pt idx="14">
                  <c:v>2.3867209477050602</c:v>
                </c:pt>
                <c:pt idx="15">
                  <c:v>2.3867209477050602</c:v>
                </c:pt>
                <c:pt idx="16">
                  <c:v>2.3867209477050602</c:v>
                </c:pt>
                <c:pt idx="17">
                  <c:v>2.3867209477050602</c:v>
                </c:pt>
                <c:pt idx="18">
                  <c:v>2.3867209477050602</c:v>
                </c:pt>
                <c:pt idx="19">
                  <c:v>2.3867209477050602</c:v>
                </c:pt>
                <c:pt idx="20">
                  <c:v>2.3867209477050602</c:v>
                </c:pt>
                <c:pt idx="21">
                  <c:v>2.3867209477050602</c:v>
                </c:pt>
                <c:pt idx="22">
                  <c:v>2.3867209477050602</c:v>
                </c:pt>
                <c:pt idx="23">
                  <c:v>2.3867209477050602</c:v>
                </c:pt>
                <c:pt idx="24">
                  <c:v>2.3867209477050602</c:v>
                </c:pt>
                <c:pt idx="25">
                  <c:v>2.3867209477050602</c:v>
                </c:pt>
                <c:pt idx="26">
                  <c:v>2.3867209477050602</c:v>
                </c:pt>
                <c:pt idx="27">
                  <c:v>2.3867209477050602</c:v>
                </c:pt>
                <c:pt idx="28">
                  <c:v>2.3867209477050602</c:v>
                </c:pt>
                <c:pt idx="29">
                  <c:v>2.3867209477050602</c:v>
                </c:pt>
                <c:pt idx="30">
                  <c:v>2.3867209477050602</c:v>
                </c:pt>
                <c:pt idx="31">
                  <c:v>2.3867209477050602</c:v>
                </c:pt>
                <c:pt idx="32">
                  <c:v>2.3867209477050602</c:v>
                </c:pt>
                <c:pt idx="33">
                  <c:v>2.3867209477050602</c:v>
                </c:pt>
                <c:pt idx="34">
                  <c:v>2.3867209477050602</c:v>
                </c:pt>
                <c:pt idx="35">
                  <c:v>2.3867209477050602</c:v>
                </c:pt>
                <c:pt idx="36">
                  <c:v>2.3867209477050602</c:v>
                </c:pt>
                <c:pt idx="37">
                  <c:v>2.3867209477050602</c:v>
                </c:pt>
                <c:pt idx="38">
                  <c:v>2.3867209477050602</c:v>
                </c:pt>
                <c:pt idx="39">
                  <c:v>2.3867209477050602</c:v>
                </c:pt>
                <c:pt idx="40">
                  <c:v>2.3867209477050602</c:v>
                </c:pt>
                <c:pt idx="41">
                  <c:v>2.3867209477050602</c:v>
                </c:pt>
                <c:pt idx="42">
                  <c:v>2.3867209477050602</c:v>
                </c:pt>
                <c:pt idx="43">
                  <c:v>2.3867209477050602</c:v>
                </c:pt>
                <c:pt idx="44">
                  <c:v>2.3867209477050602</c:v>
                </c:pt>
                <c:pt idx="45">
                  <c:v>2.3867209477050602</c:v>
                </c:pt>
                <c:pt idx="46">
                  <c:v>2.3867209477050602</c:v>
                </c:pt>
                <c:pt idx="47">
                  <c:v>2.3867209477050602</c:v>
                </c:pt>
                <c:pt idx="48">
                  <c:v>2.3867209477050602</c:v>
                </c:pt>
                <c:pt idx="49">
                  <c:v>2.3867209477050602</c:v>
                </c:pt>
                <c:pt idx="50">
                  <c:v>2.3867209477050602</c:v>
                </c:pt>
                <c:pt idx="51">
                  <c:v>2.3867209477050602</c:v>
                </c:pt>
                <c:pt idx="52">
                  <c:v>2.3867209477050602</c:v>
                </c:pt>
                <c:pt idx="53">
                  <c:v>2.3867209477050602</c:v>
                </c:pt>
                <c:pt idx="54">
                  <c:v>2.3867209477050602</c:v>
                </c:pt>
                <c:pt idx="55">
                  <c:v>2.3867209477050602</c:v>
                </c:pt>
                <c:pt idx="56">
                  <c:v>2.3867209477050602</c:v>
                </c:pt>
                <c:pt idx="57">
                  <c:v>2.3867209477050602</c:v>
                </c:pt>
                <c:pt idx="58">
                  <c:v>2.3867209477050602</c:v>
                </c:pt>
                <c:pt idx="59">
                  <c:v>2.3867209477050602</c:v>
                </c:pt>
                <c:pt idx="60">
                  <c:v>2.3867209477050602</c:v>
                </c:pt>
                <c:pt idx="61">
                  <c:v>2.3867209477050602</c:v>
                </c:pt>
                <c:pt idx="62">
                  <c:v>2.3867209477050602</c:v>
                </c:pt>
                <c:pt idx="63">
                  <c:v>2.3867209477050602</c:v>
                </c:pt>
                <c:pt idx="64">
                  <c:v>2.3867209477050602</c:v>
                </c:pt>
                <c:pt idx="65">
                  <c:v>2.3867209477050602</c:v>
                </c:pt>
                <c:pt idx="66">
                  <c:v>2.3867209477050602</c:v>
                </c:pt>
                <c:pt idx="67">
                  <c:v>2.3867209477050602</c:v>
                </c:pt>
                <c:pt idx="68">
                  <c:v>2.3867209477050602</c:v>
                </c:pt>
                <c:pt idx="69">
                  <c:v>2.3867209477050602</c:v>
                </c:pt>
                <c:pt idx="70">
                  <c:v>2.3867209477050602</c:v>
                </c:pt>
                <c:pt idx="71">
                  <c:v>2.3867209477050602</c:v>
                </c:pt>
                <c:pt idx="72">
                  <c:v>2.3867209477050602</c:v>
                </c:pt>
                <c:pt idx="73">
                  <c:v>2.3867209477050602</c:v>
                </c:pt>
                <c:pt idx="74">
                  <c:v>2.3867209477050602</c:v>
                </c:pt>
                <c:pt idx="75">
                  <c:v>2.3867209477050602</c:v>
                </c:pt>
                <c:pt idx="76">
                  <c:v>2.3867209477050602</c:v>
                </c:pt>
                <c:pt idx="77">
                  <c:v>2.3867209477050602</c:v>
                </c:pt>
                <c:pt idx="78">
                  <c:v>2.3867209477050602</c:v>
                </c:pt>
                <c:pt idx="79">
                  <c:v>2.3867209477050602</c:v>
                </c:pt>
                <c:pt idx="80">
                  <c:v>2.3867209477050602</c:v>
                </c:pt>
                <c:pt idx="81">
                  <c:v>2.3867209477050602</c:v>
                </c:pt>
                <c:pt idx="82">
                  <c:v>2.3867209477050602</c:v>
                </c:pt>
                <c:pt idx="83">
                  <c:v>2.3867209477050602</c:v>
                </c:pt>
                <c:pt idx="84">
                  <c:v>2.3867209477050602</c:v>
                </c:pt>
                <c:pt idx="85">
                  <c:v>2.3867209477050602</c:v>
                </c:pt>
                <c:pt idx="86">
                  <c:v>2.3867209477050602</c:v>
                </c:pt>
                <c:pt idx="87">
                  <c:v>2.3867209477050602</c:v>
                </c:pt>
                <c:pt idx="88">
                  <c:v>2.3867209477050602</c:v>
                </c:pt>
                <c:pt idx="89">
                  <c:v>2.3867209477050602</c:v>
                </c:pt>
                <c:pt idx="90">
                  <c:v>2.3867209477050602</c:v>
                </c:pt>
                <c:pt idx="91">
                  <c:v>2.3867209477050602</c:v>
                </c:pt>
                <c:pt idx="92">
                  <c:v>2.3867209477050602</c:v>
                </c:pt>
                <c:pt idx="93">
                  <c:v>2.3867209477050602</c:v>
                </c:pt>
                <c:pt idx="94">
                  <c:v>2.3867209477050602</c:v>
                </c:pt>
                <c:pt idx="95">
                  <c:v>2.3867209477050602</c:v>
                </c:pt>
                <c:pt idx="96">
                  <c:v>2.3867209477050602</c:v>
                </c:pt>
                <c:pt idx="97">
                  <c:v>2.3867209477050602</c:v>
                </c:pt>
                <c:pt idx="98">
                  <c:v>2.3867209477050602</c:v>
                </c:pt>
                <c:pt idx="99">
                  <c:v>2.3867209477050602</c:v>
                </c:pt>
                <c:pt idx="100">
                  <c:v>2.3867209477050602</c:v>
                </c:pt>
                <c:pt idx="101">
                  <c:v>2.3867209477050602</c:v>
                </c:pt>
                <c:pt idx="102">
                  <c:v>2.3867209477050602</c:v>
                </c:pt>
                <c:pt idx="103">
                  <c:v>2.3867209477050602</c:v>
                </c:pt>
                <c:pt idx="104">
                  <c:v>2.3867209477050602</c:v>
                </c:pt>
                <c:pt idx="105">
                  <c:v>2.3867209477050602</c:v>
                </c:pt>
                <c:pt idx="106">
                  <c:v>2.3867209477050602</c:v>
                </c:pt>
                <c:pt idx="107">
                  <c:v>2.3867209477050602</c:v>
                </c:pt>
                <c:pt idx="108">
                  <c:v>2.3867209477050602</c:v>
                </c:pt>
                <c:pt idx="109">
                  <c:v>2.3867209477050602</c:v>
                </c:pt>
                <c:pt idx="110">
                  <c:v>2.3867209477050602</c:v>
                </c:pt>
                <c:pt idx="111">
                  <c:v>2.3867209477050602</c:v>
                </c:pt>
                <c:pt idx="112">
                  <c:v>2.3867209477050602</c:v>
                </c:pt>
                <c:pt idx="113">
                  <c:v>2.3867209477050602</c:v>
                </c:pt>
                <c:pt idx="114">
                  <c:v>2.3867209477050602</c:v>
                </c:pt>
                <c:pt idx="115">
                  <c:v>2.3867209477050602</c:v>
                </c:pt>
                <c:pt idx="116">
                  <c:v>2.3867209477050602</c:v>
                </c:pt>
                <c:pt idx="117">
                  <c:v>2.3867209477050602</c:v>
                </c:pt>
                <c:pt idx="118">
                  <c:v>2.3867209477050602</c:v>
                </c:pt>
                <c:pt idx="119">
                  <c:v>2.3867209477050602</c:v>
                </c:pt>
                <c:pt idx="120">
                  <c:v>2.3867209477050602</c:v>
                </c:pt>
                <c:pt idx="121">
                  <c:v>2.3867209477050602</c:v>
                </c:pt>
                <c:pt idx="122">
                  <c:v>2.3867209477050602</c:v>
                </c:pt>
                <c:pt idx="123">
                  <c:v>2.3867209477050602</c:v>
                </c:pt>
                <c:pt idx="124">
                  <c:v>2.3867209477050602</c:v>
                </c:pt>
                <c:pt idx="125">
                  <c:v>2.3867209477050602</c:v>
                </c:pt>
                <c:pt idx="126">
                  <c:v>2.3867209477050602</c:v>
                </c:pt>
                <c:pt idx="127">
                  <c:v>2.3867209477050602</c:v>
                </c:pt>
                <c:pt idx="128">
                  <c:v>2.3867209477050602</c:v>
                </c:pt>
                <c:pt idx="129">
                  <c:v>2.3867209477050602</c:v>
                </c:pt>
                <c:pt idx="130">
                  <c:v>2.3867209477050602</c:v>
                </c:pt>
                <c:pt idx="131">
                  <c:v>2.3867209477050602</c:v>
                </c:pt>
                <c:pt idx="132">
                  <c:v>2.3867209477050602</c:v>
                </c:pt>
                <c:pt idx="133">
                  <c:v>2.3867209477050602</c:v>
                </c:pt>
                <c:pt idx="134">
                  <c:v>2.3867209477050602</c:v>
                </c:pt>
                <c:pt idx="135">
                  <c:v>2.3867209477050602</c:v>
                </c:pt>
                <c:pt idx="136">
                  <c:v>2.3867209477050602</c:v>
                </c:pt>
                <c:pt idx="137">
                  <c:v>2.3867209477050602</c:v>
                </c:pt>
                <c:pt idx="138">
                  <c:v>2.3867209477050602</c:v>
                </c:pt>
                <c:pt idx="139">
                  <c:v>2.3867209477050602</c:v>
                </c:pt>
                <c:pt idx="140">
                  <c:v>2.3867209477050602</c:v>
                </c:pt>
                <c:pt idx="141">
                  <c:v>2.3867209477050602</c:v>
                </c:pt>
                <c:pt idx="142">
                  <c:v>2.3867209477050602</c:v>
                </c:pt>
                <c:pt idx="143">
                  <c:v>2.3867209477050602</c:v>
                </c:pt>
                <c:pt idx="144">
                  <c:v>2.3867209477050602</c:v>
                </c:pt>
                <c:pt idx="145">
                  <c:v>2.3867209477050602</c:v>
                </c:pt>
                <c:pt idx="146">
                  <c:v>2.3867209477050602</c:v>
                </c:pt>
                <c:pt idx="147">
                  <c:v>2.3867209477050602</c:v>
                </c:pt>
                <c:pt idx="148">
                  <c:v>2.3867209477050602</c:v>
                </c:pt>
                <c:pt idx="149">
                  <c:v>2.3867209477050602</c:v>
                </c:pt>
                <c:pt idx="150">
                  <c:v>2.3867209477050602</c:v>
                </c:pt>
                <c:pt idx="151">
                  <c:v>2.3867209477050602</c:v>
                </c:pt>
                <c:pt idx="152">
                  <c:v>2.3867209477050602</c:v>
                </c:pt>
                <c:pt idx="153">
                  <c:v>2.3867209477050602</c:v>
                </c:pt>
                <c:pt idx="154">
                  <c:v>2.3867209477050602</c:v>
                </c:pt>
                <c:pt idx="155">
                  <c:v>2.3867209477050602</c:v>
                </c:pt>
                <c:pt idx="156">
                  <c:v>2.3867209477050602</c:v>
                </c:pt>
                <c:pt idx="157">
                  <c:v>2.3867209477050602</c:v>
                </c:pt>
                <c:pt idx="158">
                  <c:v>2.3867209477050602</c:v>
                </c:pt>
                <c:pt idx="159">
                  <c:v>2.3867209477050602</c:v>
                </c:pt>
                <c:pt idx="160">
                  <c:v>2.3867209477050602</c:v>
                </c:pt>
                <c:pt idx="161">
                  <c:v>2.3867209477050602</c:v>
                </c:pt>
                <c:pt idx="162">
                  <c:v>2.3867209477050602</c:v>
                </c:pt>
                <c:pt idx="163">
                  <c:v>2.3867209477050602</c:v>
                </c:pt>
                <c:pt idx="164">
                  <c:v>2.3867209477050602</c:v>
                </c:pt>
                <c:pt idx="165">
                  <c:v>2.3867209477050602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A6-4EF2-9502-A7777730FB24}"/>
            </c:ext>
          </c:extLst>
        </c:ser>
        <c:ser>
          <c:idx val="1"/>
          <c:order val="1"/>
          <c:tx>
            <c:strRef>
              <c:f>XLU_IDU_1!$Z$1</c:f>
              <c:strCache>
                <c:ptCount val="1"/>
                <c:pt idx="0">
                  <c:v> FTEC*/VGT*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XLU_IDU_1!$Z$2:$Z$167</c:f>
              <c:numCache>
                <c:formatCode>_(* #,##0.0000_);_(* \(#,##0.0000\);_(* "-"??_);_(@_)</c:formatCode>
                <c:ptCount val="166"/>
                <c:pt idx="9">
                  <c:v>2.3853351384408801</c:v>
                </c:pt>
                <c:pt idx="10">
                  <c:v>2.3852445322296498</c:v>
                </c:pt>
                <c:pt idx="11">
                  <c:v>2.3854236044042101</c:v>
                </c:pt>
                <c:pt idx="12">
                  <c:v>2.3854711708292</c:v>
                </c:pt>
                <c:pt idx="13">
                  <c:v>2.3855062476898801</c:v>
                </c:pt>
                <c:pt idx="14">
                  <c:v>2.3857673057094502</c:v>
                </c:pt>
                <c:pt idx="15">
                  <c:v>2.38586860847392</c:v>
                </c:pt>
                <c:pt idx="16">
                  <c:v>2.3859322251843</c:v>
                </c:pt>
                <c:pt idx="17">
                  <c:v>2.3858982270842599</c:v>
                </c:pt>
                <c:pt idx="18">
                  <c:v>2.38600778346246</c:v>
                </c:pt>
                <c:pt idx="19">
                  <c:v>2.3859945925963402</c:v>
                </c:pt>
                <c:pt idx="20">
                  <c:v>2.3862485747956601</c:v>
                </c:pt>
                <c:pt idx="21">
                  <c:v>2.38603304588981</c:v>
                </c:pt>
                <c:pt idx="22">
                  <c:v>2.3859305576380798</c:v>
                </c:pt>
                <c:pt idx="23">
                  <c:v>2.38598007692852</c:v>
                </c:pt>
                <c:pt idx="24">
                  <c:v>2.38605403708504</c:v>
                </c:pt>
                <c:pt idx="25">
                  <c:v>2.3860352356401102</c:v>
                </c:pt>
                <c:pt idx="26">
                  <c:v>2.3861385558963302</c:v>
                </c:pt>
                <c:pt idx="27">
                  <c:v>2.3860690124292301</c:v>
                </c:pt>
                <c:pt idx="28">
                  <c:v>2.3861509772845202</c:v>
                </c:pt>
                <c:pt idx="29">
                  <c:v>2.3862534267092301</c:v>
                </c:pt>
                <c:pt idx="30">
                  <c:v>2.38614117539543</c:v>
                </c:pt>
                <c:pt idx="31">
                  <c:v>2.3862523867177701</c:v>
                </c:pt>
                <c:pt idx="32">
                  <c:v>2.3864422991802101</c:v>
                </c:pt>
                <c:pt idx="33">
                  <c:v>2.38678888091659</c:v>
                </c:pt>
                <c:pt idx="34">
                  <c:v>2.38688362785815</c:v>
                </c:pt>
                <c:pt idx="35">
                  <c:v>2.3869556705491402</c:v>
                </c:pt>
                <c:pt idx="36">
                  <c:v>2.3869046071695101</c:v>
                </c:pt>
                <c:pt idx="37">
                  <c:v>2.3869710358694101</c:v>
                </c:pt>
                <c:pt idx="38">
                  <c:v>2.3866487874164402</c:v>
                </c:pt>
                <c:pt idx="39">
                  <c:v>2.3866033693426498</c:v>
                </c:pt>
                <c:pt idx="40">
                  <c:v>2.3864459634817199</c:v>
                </c:pt>
                <c:pt idx="41">
                  <c:v>2.3863094404724698</c:v>
                </c:pt>
                <c:pt idx="42">
                  <c:v>2.3862567640949899</c:v>
                </c:pt>
                <c:pt idx="43">
                  <c:v>2.38571905255814</c:v>
                </c:pt>
                <c:pt idx="44">
                  <c:v>2.3854366337288</c:v>
                </c:pt>
                <c:pt idx="45">
                  <c:v>2.3852662427281799</c:v>
                </c:pt>
                <c:pt idx="46">
                  <c:v>2.3850794855181698</c:v>
                </c:pt>
                <c:pt idx="47">
                  <c:v>2.3850413940169699</c:v>
                </c:pt>
                <c:pt idx="48">
                  <c:v>2.3851683394879002</c:v>
                </c:pt>
                <c:pt idx="49">
                  <c:v>2.3851194662572399</c:v>
                </c:pt>
                <c:pt idx="50">
                  <c:v>2.3851205221746001</c:v>
                </c:pt>
                <c:pt idx="51">
                  <c:v>2.3851974266186402</c:v>
                </c:pt>
                <c:pt idx="52">
                  <c:v>2.38510348987568</c:v>
                </c:pt>
                <c:pt idx="53">
                  <c:v>2.3850042925139001</c:v>
                </c:pt>
                <c:pt idx="54">
                  <c:v>2.38472085486897</c:v>
                </c:pt>
                <c:pt idx="55">
                  <c:v>2.38475411534584</c:v>
                </c:pt>
                <c:pt idx="56">
                  <c:v>2.38486360404743</c:v>
                </c:pt>
                <c:pt idx="57">
                  <c:v>2.3847977241018898</c:v>
                </c:pt>
                <c:pt idx="58">
                  <c:v>2.38485660529251</c:v>
                </c:pt>
                <c:pt idx="59">
                  <c:v>2.3849633168433</c:v>
                </c:pt>
                <c:pt idx="60">
                  <c:v>2.3850074699260002</c:v>
                </c:pt>
                <c:pt idx="61">
                  <c:v>2.3849696780467098</c:v>
                </c:pt>
                <c:pt idx="62">
                  <c:v>2.3850193143081402</c:v>
                </c:pt>
                <c:pt idx="63">
                  <c:v>2.38523866830554</c:v>
                </c:pt>
                <c:pt idx="64">
                  <c:v>2.3856121423384402</c:v>
                </c:pt>
                <c:pt idx="65">
                  <c:v>2.3856550809366901</c:v>
                </c:pt>
                <c:pt idx="66">
                  <c:v>2.38561775759127</c:v>
                </c:pt>
                <c:pt idx="67">
                  <c:v>2.3856769642509801</c:v>
                </c:pt>
                <c:pt idx="68">
                  <c:v>2.3857606036118701</c:v>
                </c:pt>
                <c:pt idx="69">
                  <c:v>2.38569339765036</c:v>
                </c:pt>
                <c:pt idx="70">
                  <c:v>2.38572052935565</c:v>
                </c:pt>
                <c:pt idx="71">
                  <c:v>2.3857793503171898</c:v>
                </c:pt>
                <c:pt idx="72">
                  <c:v>2.3858251226813598</c:v>
                </c:pt>
                <c:pt idx="73">
                  <c:v>2.3858708988280202</c:v>
                </c:pt>
                <c:pt idx="74">
                  <c:v>2.3858264420084501</c:v>
                </c:pt>
                <c:pt idx="75">
                  <c:v>2.3858739081281399</c:v>
                </c:pt>
                <c:pt idx="76">
                  <c:v>2.38601240468769</c:v>
                </c:pt>
                <c:pt idx="77">
                  <c:v>2.3860787502964098</c:v>
                </c:pt>
                <c:pt idx="78">
                  <c:v>2.3859614119589199</c:v>
                </c:pt>
                <c:pt idx="79">
                  <c:v>2.3860082649779102</c:v>
                </c:pt>
                <c:pt idx="80">
                  <c:v>2.3861702341925399</c:v>
                </c:pt>
                <c:pt idx="81">
                  <c:v>2.38628504349365</c:v>
                </c:pt>
                <c:pt idx="82">
                  <c:v>2.3862860664017802</c:v>
                </c:pt>
                <c:pt idx="83">
                  <c:v>2.3863079212694598</c:v>
                </c:pt>
                <c:pt idx="84">
                  <c:v>2.3863810782607402</c:v>
                </c:pt>
                <c:pt idx="85">
                  <c:v>2.3864335536099701</c:v>
                </c:pt>
                <c:pt idx="86">
                  <c:v>2.3864372292359799</c:v>
                </c:pt>
                <c:pt idx="87">
                  <c:v>2.3864635617643799</c:v>
                </c:pt>
                <c:pt idx="88">
                  <c:v>2.3866278098961602</c:v>
                </c:pt>
                <c:pt idx="89">
                  <c:v>2.38664985269796</c:v>
                </c:pt>
                <c:pt idx="90">
                  <c:v>2.3865549107622099</c:v>
                </c:pt>
                <c:pt idx="91">
                  <c:v>2.3865287616628899</c:v>
                </c:pt>
                <c:pt idx="92">
                  <c:v>2.3866807242797901</c:v>
                </c:pt>
                <c:pt idx="93">
                  <c:v>2.38676801916445</c:v>
                </c:pt>
                <c:pt idx="94">
                  <c:v>2.3868316839511499</c:v>
                </c:pt>
                <c:pt idx="95">
                  <c:v>2.3868916668807998</c:v>
                </c:pt>
                <c:pt idx="96">
                  <c:v>2.3870842892350099</c:v>
                </c:pt>
                <c:pt idx="97">
                  <c:v>2.3871531831898798</c:v>
                </c:pt>
                <c:pt idx="98">
                  <c:v>2.3873004898674601</c:v>
                </c:pt>
                <c:pt idx="99">
                  <c:v>2.3875807935655802</c:v>
                </c:pt>
                <c:pt idx="100">
                  <c:v>2.3877108132712102</c:v>
                </c:pt>
                <c:pt idx="101">
                  <c:v>2.3879493269691201</c:v>
                </c:pt>
                <c:pt idx="102">
                  <c:v>2.3880627752016599</c:v>
                </c:pt>
                <c:pt idx="103">
                  <c:v>2.3883027722501402</c:v>
                </c:pt>
                <c:pt idx="104">
                  <c:v>2.3885183290937699</c:v>
                </c:pt>
                <c:pt idx="105">
                  <c:v>2.3886788043168399</c:v>
                </c:pt>
                <c:pt idx="106">
                  <c:v>2.38864671862699</c:v>
                </c:pt>
                <c:pt idx="107">
                  <c:v>2.3887821476220901</c:v>
                </c:pt>
                <c:pt idx="108">
                  <c:v>2.3887551942811398</c:v>
                </c:pt>
                <c:pt idx="109">
                  <c:v>2.3888172078488101</c:v>
                </c:pt>
                <c:pt idx="110">
                  <c:v>2.3888918616728501</c:v>
                </c:pt>
                <c:pt idx="111">
                  <c:v>2.3888848579800102</c:v>
                </c:pt>
                <c:pt idx="112">
                  <c:v>2.3888398516867002</c:v>
                </c:pt>
                <c:pt idx="113">
                  <c:v>2.3887543901828701</c:v>
                </c:pt>
                <c:pt idx="114">
                  <c:v>2.3886390769459802</c:v>
                </c:pt>
                <c:pt idx="115">
                  <c:v>2.38844038347459</c:v>
                </c:pt>
                <c:pt idx="116">
                  <c:v>2.3883319586681799</c:v>
                </c:pt>
                <c:pt idx="117">
                  <c:v>2.3881241669947801</c:v>
                </c:pt>
                <c:pt idx="118">
                  <c:v>2.38817249388716</c:v>
                </c:pt>
                <c:pt idx="119">
                  <c:v>2.38812143660101</c:v>
                </c:pt>
                <c:pt idx="120">
                  <c:v>2.38858562434601</c:v>
                </c:pt>
                <c:pt idx="121">
                  <c:v>2.3885799744332501</c:v>
                </c:pt>
                <c:pt idx="122">
                  <c:v>2.3886720501271701</c:v>
                </c:pt>
                <c:pt idx="123">
                  <c:v>2.3886713839281999</c:v>
                </c:pt>
                <c:pt idx="124">
                  <c:v>2.3888006154621602</c:v>
                </c:pt>
                <c:pt idx="125">
                  <c:v>2.3889986288596101</c:v>
                </c:pt>
                <c:pt idx="126">
                  <c:v>2.3890489192461</c:v>
                </c:pt>
                <c:pt idx="127">
                  <c:v>2.38923255969403</c:v>
                </c:pt>
                <c:pt idx="128">
                  <c:v>2.3892809438667002</c:v>
                </c:pt>
                <c:pt idx="129">
                  <c:v>2.38926814490297</c:v>
                </c:pt>
                <c:pt idx="130">
                  <c:v>2.3888215653185698</c:v>
                </c:pt>
                <c:pt idx="131">
                  <c:v>2.3887383934501498</c:v>
                </c:pt>
                <c:pt idx="132">
                  <c:v>2.3885718359468902</c:v>
                </c:pt>
                <c:pt idx="133">
                  <c:v>2.38851732856127</c:v>
                </c:pt>
                <c:pt idx="134">
                  <c:v>2.3884459422108599</c:v>
                </c:pt>
                <c:pt idx="135">
                  <c:v>2.3882441545703101</c:v>
                </c:pt>
                <c:pt idx="136">
                  <c:v>2.3882562252161401</c:v>
                </c:pt>
                <c:pt idx="137">
                  <c:v>2.3883096001798299</c:v>
                </c:pt>
                <c:pt idx="138">
                  <c:v>2.3883029116522398</c:v>
                </c:pt>
                <c:pt idx="139">
                  <c:v>2.3881868340516998</c:v>
                </c:pt>
                <c:pt idx="140">
                  <c:v>2.3881051132139199</c:v>
                </c:pt>
                <c:pt idx="141">
                  <c:v>2.3879547764802602</c:v>
                </c:pt>
                <c:pt idx="142">
                  <c:v>2.3877589540880901</c:v>
                </c:pt>
                <c:pt idx="143">
                  <c:v>2.38761460686161</c:v>
                </c:pt>
                <c:pt idx="144">
                  <c:v>2.3874825513013</c:v>
                </c:pt>
                <c:pt idx="145">
                  <c:v>2.3873877364399898</c:v>
                </c:pt>
                <c:pt idx="146">
                  <c:v>2.3872832510653299</c:v>
                </c:pt>
                <c:pt idx="147">
                  <c:v>2.3870198113134702</c:v>
                </c:pt>
                <c:pt idx="148">
                  <c:v>2.3867708939062902</c:v>
                </c:pt>
                <c:pt idx="149">
                  <c:v>2.3866562015143802</c:v>
                </c:pt>
                <c:pt idx="150">
                  <c:v>2.3865341895019601</c:v>
                </c:pt>
                <c:pt idx="151">
                  <c:v>2.3865028172717699</c:v>
                </c:pt>
                <c:pt idx="152">
                  <c:v>2.38657742326457</c:v>
                </c:pt>
                <c:pt idx="153">
                  <c:v>2.3865147554141002</c:v>
                </c:pt>
                <c:pt idx="154">
                  <c:v>2.38646369418273</c:v>
                </c:pt>
                <c:pt idx="155">
                  <c:v>2.3864418376079599</c:v>
                </c:pt>
                <c:pt idx="156">
                  <c:v>2.38636606830757</c:v>
                </c:pt>
                <c:pt idx="157">
                  <c:v>2.3863791712717202</c:v>
                </c:pt>
                <c:pt idx="158">
                  <c:v>2.3862604783435102</c:v>
                </c:pt>
                <c:pt idx="159">
                  <c:v>2.3862698385840702</c:v>
                </c:pt>
                <c:pt idx="160">
                  <c:v>2.3862189203551698</c:v>
                </c:pt>
                <c:pt idx="161">
                  <c:v>2.38619184612417</c:v>
                </c:pt>
                <c:pt idx="162">
                  <c:v>2.3862556756859998</c:v>
                </c:pt>
                <c:pt idx="163">
                  <c:v>2.3864088672484698</c:v>
                </c:pt>
                <c:pt idx="164">
                  <c:v>2.38644434617167</c:v>
                </c:pt>
                <c:pt idx="165">
                  <c:v>2.3865198362990698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A6-4EF2-9502-A7777730FB24}"/>
            </c:ext>
          </c:extLst>
        </c:ser>
        <c:ser>
          <c:idx val="2"/>
          <c:order val="2"/>
          <c:tx>
            <c:strRef>
              <c:f>XLU_IDU_1!$AA$1</c:f>
              <c:strCache>
                <c:ptCount val="1"/>
                <c:pt idx="0">
                  <c:v> FTEC*/VGT*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XLU_IDU_1!$AA$2:$AA$167</c:f>
              <c:numCache>
                <c:formatCode>_(* #,##0.0000_);_(* \(#,##0.0000\);_(* "-"??_);_(@_)</c:formatCode>
                <c:ptCount val="166"/>
                <c:pt idx="19">
                  <c:v>2.3856648655186099</c:v>
                </c:pt>
                <c:pt idx="20">
                  <c:v>2.3857465535126501</c:v>
                </c:pt>
                <c:pt idx="21">
                  <c:v>2.3857283251470101</c:v>
                </c:pt>
                <c:pt idx="22">
                  <c:v>2.3857008642336401</c:v>
                </c:pt>
                <c:pt idx="23">
                  <c:v>2.3857431623092</c:v>
                </c:pt>
                <c:pt idx="24">
                  <c:v>2.3859106713972502</c:v>
                </c:pt>
                <c:pt idx="25">
                  <c:v>2.38595192205702</c:v>
                </c:pt>
                <c:pt idx="26">
                  <c:v>2.38603539054031</c:v>
                </c:pt>
                <c:pt idx="27">
                  <c:v>2.3859836197567401</c:v>
                </c:pt>
                <c:pt idx="28">
                  <c:v>2.3860793803734901</c:v>
                </c:pt>
                <c:pt idx="29">
                  <c:v>2.38612400965278</c:v>
                </c:pt>
                <c:pt idx="30">
                  <c:v>2.3861948750955499</c:v>
                </c:pt>
                <c:pt idx="31">
                  <c:v>2.38614271630379</c:v>
                </c:pt>
                <c:pt idx="32">
                  <c:v>2.3861864284091499</c:v>
                </c:pt>
                <c:pt idx="33">
                  <c:v>2.3863844789225599</c:v>
                </c:pt>
                <c:pt idx="34">
                  <c:v>2.3864688324715901</c:v>
                </c:pt>
                <c:pt idx="35">
                  <c:v>2.3864954530946298</c:v>
                </c:pt>
                <c:pt idx="36">
                  <c:v>2.3865215815329202</c:v>
                </c:pt>
                <c:pt idx="37">
                  <c:v>2.3865200241493199</c:v>
                </c:pt>
                <c:pt idx="38">
                  <c:v>2.3863998823504802</c:v>
                </c:pt>
                <c:pt idx="39">
                  <c:v>2.3864283980259402</c:v>
                </c:pt>
                <c:pt idx="40">
                  <c:v>2.3862935694385801</c:v>
                </c:pt>
                <c:pt idx="41">
                  <c:v>2.3862809135951202</c:v>
                </c:pt>
                <c:pt idx="42">
                  <c:v>2.3863495316376002</c:v>
                </c:pt>
                <c:pt idx="43">
                  <c:v>2.3862539667373599</c:v>
                </c:pt>
                <c:pt idx="44">
                  <c:v>2.3861601307934701</c:v>
                </c:pt>
                <c:pt idx="45">
                  <c:v>2.3861109566386598</c:v>
                </c:pt>
                <c:pt idx="46">
                  <c:v>2.3859920463438402</c:v>
                </c:pt>
                <c:pt idx="47">
                  <c:v>2.38600621494319</c:v>
                </c:pt>
                <c:pt idx="48">
                  <c:v>2.38590856345217</c:v>
                </c:pt>
                <c:pt idx="49">
                  <c:v>2.3858614177999402</c:v>
                </c:pt>
                <c:pt idx="50">
                  <c:v>2.3857832428281598</c:v>
                </c:pt>
                <c:pt idx="51">
                  <c:v>2.3857534335455601</c:v>
                </c:pt>
                <c:pt idx="52">
                  <c:v>2.3856801269853398</c:v>
                </c:pt>
                <c:pt idx="53">
                  <c:v>2.3853616725360198</c:v>
                </c:pt>
                <c:pt idx="54">
                  <c:v>2.3850787442988799</c:v>
                </c:pt>
                <c:pt idx="55">
                  <c:v>2.38501017903701</c:v>
                </c:pt>
                <c:pt idx="56">
                  <c:v>2.3849715447827999</c:v>
                </c:pt>
                <c:pt idx="57">
                  <c:v>2.3849195590594299</c:v>
                </c:pt>
                <c:pt idx="58">
                  <c:v>2.3850124723902102</c:v>
                </c:pt>
                <c:pt idx="59">
                  <c:v>2.3850413915502702</c:v>
                </c:pt>
                <c:pt idx="60">
                  <c:v>2.3850639960503002</c:v>
                </c:pt>
                <c:pt idx="61">
                  <c:v>2.3850835523326799</c:v>
                </c:pt>
                <c:pt idx="62">
                  <c:v>2.3850614020919099</c:v>
                </c:pt>
                <c:pt idx="63">
                  <c:v>2.3851214804097198</c:v>
                </c:pt>
                <c:pt idx="64">
                  <c:v>2.3851664986037</c:v>
                </c:pt>
                <c:pt idx="65">
                  <c:v>2.38520459814126</c:v>
                </c:pt>
                <c:pt idx="66">
                  <c:v>2.3852406808193498</c:v>
                </c:pt>
                <c:pt idx="67">
                  <c:v>2.3852373441764398</c:v>
                </c:pt>
                <c:pt idx="68">
                  <c:v>2.3853086044521898</c:v>
                </c:pt>
                <c:pt idx="69">
                  <c:v>2.3853283572468298</c:v>
                </c:pt>
                <c:pt idx="70">
                  <c:v>2.38536399964083</c:v>
                </c:pt>
                <c:pt idx="71">
                  <c:v>2.38537451418195</c:v>
                </c:pt>
                <c:pt idx="72">
                  <c:v>2.38542221849475</c:v>
                </c:pt>
                <c:pt idx="73">
                  <c:v>2.3855547835667799</c:v>
                </c:pt>
                <c:pt idx="74">
                  <c:v>2.38571929217344</c:v>
                </c:pt>
                <c:pt idx="75">
                  <c:v>2.3857644945324199</c:v>
                </c:pt>
                <c:pt idx="76">
                  <c:v>2.38581508113948</c:v>
                </c:pt>
                <c:pt idx="77">
                  <c:v>2.3858778572736998</c:v>
                </c:pt>
                <c:pt idx="78">
                  <c:v>2.3858610077853899</c:v>
                </c:pt>
                <c:pt idx="79">
                  <c:v>2.38585083131413</c:v>
                </c:pt>
                <c:pt idx="80">
                  <c:v>2.3859453817740901</c:v>
                </c:pt>
                <c:pt idx="81">
                  <c:v>2.3860321969054201</c:v>
                </c:pt>
                <c:pt idx="82">
                  <c:v>2.38605559454157</c:v>
                </c:pt>
                <c:pt idx="83">
                  <c:v>2.38608941004874</c:v>
                </c:pt>
                <c:pt idx="84">
                  <c:v>2.3861037601345898</c:v>
                </c:pt>
                <c:pt idx="85">
                  <c:v>2.3861537308690601</c:v>
                </c:pt>
                <c:pt idx="86">
                  <c:v>2.3862248169618301</c:v>
                </c:pt>
                <c:pt idx="87">
                  <c:v>2.3862711560303902</c:v>
                </c:pt>
                <c:pt idx="88">
                  <c:v>2.38629461092754</c:v>
                </c:pt>
                <c:pt idx="89">
                  <c:v>2.38632905883793</c:v>
                </c:pt>
                <c:pt idx="90">
                  <c:v>2.3863625724773798</c:v>
                </c:pt>
                <c:pt idx="91">
                  <c:v>2.3864069025782699</c:v>
                </c:pt>
                <c:pt idx="92">
                  <c:v>2.3864833953407798</c:v>
                </c:pt>
                <c:pt idx="93">
                  <c:v>2.38653797021695</c:v>
                </c:pt>
                <c:pt idx="94">
                  <c:v>2.3866063811059401</c:v>
                </c:pt>
                <c:pt idx="95">
                  <c:v>2.3866626102453901</c:v>
                </c:pt>
                <c:pt idx="96">
                  <c:v>2.3867607592354898</c:v>
                </c:pt>
                <c:pt idx="97">
                  <c:v>2.3868083724771298</c:v>
                </c:pt>
                <c:pt idx="98">
                  <c:v>2.3869641498818099</c:v>
                </c:pt>
                <c:pt idx="99">
                  <c:v>2.3871153231317699</c:v>
                </c:pt>
                <c:pt idx="100">
                  <c:v>2.3871328620167098</c:v>
                </c:pt>
                <c:pt idx="101">
                  <c:v>2.3872390443160101</c:v>
                </c:pt>
                <c:pt idx="102">
                  <c:v>2.3873717497407201</c:v>
                </c:pt>
                <c:pt idx="103">
                  <c:v>2.3875353957072898</c:v>
                </c:pt>
                <c:pt idx="104">
                  <c:v>2.3876750065224601</c:v>
                </c:pt>
                <c:pt idx="105">
                  <c:v>2.3877852355988201</c:v>
                </c:pt>
                <c:pt idx="106">
                  <c:v>2.3878655039310002</c:v>
                </c:pt>
                <c:pt idx="107">
                  <c:v>2.3879676654059798</c:v>
                </c:pt>
                <c:pt idx="108">
                  <c:v>2.3880278420743002</c:v>
                </c:pt>
                <c:pt idx="109">
                  <c:v>2.38819900070719</c:v>
                </c:pt>
                <c:pt idx="110">
                  <c:v>2.3883013374720301</c:v>
                </c:pt>
                <c:pt idx="111">
                  <c:v>2.3884170924745698</c:v>
                </c:pt>
                <c:pt idx="112">
                  <c:v>2.3884513134441798</c:v>
                </c:pt>
                <c:pt idx="113">
                  <c:v>2.38852858121651</c:v>
                </c:pt>
                <c:pt idx="114">
                  <c:v>2.38857870301988</c:v>
                </c:pt>
                <c:pt idx="115">
                  <c:v>2.38855959389572</c:v>
                </c:pt>
                <c:pt idx="116">
                  <c:v>2.3884893386475801</c:v>
                </c:pt>
                <c:pt idx="117">
                  <c:v>2.3884531573084402</c:v>
                </c:pt>
                <c:pt idx="118">
                  <c:v>2.3884638440841499</c:v>
                </c:pt>
                <c:pt idx="119">
                  <c:v>2.38846932222491</c:v>
                </c:pt>
                <c:pt idx="120">
                  <c:v>2.38873874300943</c:v>
                </c:pt>
                <c:pt idx="121">
                  <c:v>2.3887324162066301</c:v>
                </c:pt>
                <c:pt idx="122">
                  <c:v>2.38875595090694</c:v>
                </c:pt>
                <c:pt idx="123">
                  <c:v>2.3887128870555401</c:v>
                </c:pt>
                <c:pt idx="124">
                  <c:v>2.38871984620407</c:v>
                </c:pt>
                <c:pt idx="125">
                  <c:v>2.3887195061670998</c:v>
                </c:pt>
                <c:pt idx="126">
                  <c:v>2.3886904389571399</c:v>
                </c:pt>
                <c:pt idx="127">
                  <c:v>2.3886783633444102</c:v>
                </c:pt>
                <c:pt idx="128">
                  <c:v>2.3887267188769301</c:v>
                </c:pt>
                <c:pt idx="129">
                  <c:v>2.3886947907519902</c:v>
                </c:pt>
                <c:pt idx="130">
                  <c:v>2.3887035948322901</c:v>
                </c:pt>
                <c:pt idx="131">
                  <c:v>2.3886591839417002</c:v>
                </c:pt>
                <c:pt idx="132">
                  <c:v>2.3886219430370299</c:v>
                </c:pt>
                <c:pt idx="133">
                  <c:v>2.3885943562447398</c:v>
                </c:pt>
                <c:pt idx="134">
                  <c:v>2.3886232788365098</c:v>
                </c:pt>
                <c:pt idx="135">
                  <c:v>2.3886213917149601</c:v>
                </c:pt>
                <c:pt idx="136">
                  <c:v>2.3886525722311198</c:v>
                </c:pt>
                <c:pt idx="137">
                  <c:v>2.3887710799369302</c:v>
                </c:pt>
                <c:pt idx="138">
                  <c:v>2.38879192775947</c:v>
                </c:pt>
                <c:pt idx="139">
                  <c:v>2.3887274894773398</c:v>
                </c:pt>
                <c:pt idx="140">
                  <c:v>2.3884633392662402</c:v>
                </c:pt>
                <c:pt idx="141">
                  <c:v>2.3883465849652099</c:v>
                </c:pt>
                <c:pt idx="142">
                  <c:v>2.3881653950174901</c:v>
                </c:pt>
                <c:pt idx="143">
                  <c:v>2.38806596771144</c:v>
                </c:pt>
                <c:pt idx="144">
                  <c:v>2.3879642467560802</c:v>
                </c:pt>
                <c:pt idx="145">
                  <c:v>2.38781594550515</c:v>
                </c:pt>
                <c:pt idx="146">
                  <c:v>2.3877697381407299</c:v>
                </c:pt>
                <c:pt idx="147">
                  <c:v>2.38766470574665</c:v>
                </c:pt>
                <c:pt idx="148">
                  <c:v>2.3875369027792699</c:v>
                </c:pt>
                <c:pt idx="149">
                  <c:v>2.3874215177830398</c:v>
                </c:pt>
                <c:pt idx="150">
                  <c:v>2.3873196513579402</c:v>
                </c:pt>
                <c:pt idx="151">
                  <c:v>2.38722879687601</c:v>
                </c:pt>
                <c:pt idx="152">
                  <c:v>2.3871681886763301</c:v>
                </c:pt>
                <c:pt idx="153">
                  <c:v>2.38706468113786</c:v>
                </c:pt>
                <c:pt idx="154">
                  <c:v>2.3869731227420199</c:v>
                </c:pt>
                <c:pt idx="155">
                  <c:v>2.3869147870239802</c:v>
                </c:pt>
                <c:pt idx="156">
                  <c:v>2.3868246596864502</c:v>
                </c:pt>
                <c:pt idx="157">
                  <c:v>2.3866994912926001</c:v>
                </c:pt>
                <c:pt idx="158">
                  <c:v>2.3865156861249002</c:v>
                </c:pt>
                <c:pt idx="159">
                  <c:v>2.3864630200492298</c:v>
                </c:pt>
                <c:pt idx="160">
                  <c:v>2.38637655492857</c:v>
                </c:pt>
                <c:pt idx="161">
                  <c:v>2.3863473316979702</c:v>
                </c:pt>
                <c:pt idx="162">
                  <c:v>2.3864165494752898</c:v>
                </c:pt>
                <c:pt idx="163">
                  <c:v>2.3864618113312899</c:v>
                </c:pt>
                <c:pt idx="164">
                  <c:v>2.3864540201772</c:v>
                </c:pt>
                <c:pt idx="165">
                  <c:v>2.38648083695352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A6-4EF2-9502-A7777730FB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XLU_IDU_1!$U$1</c:f>
              <c:strCache>
                <c:ptCount val="1"/>
                <c:pt idx="0">
                  <c:v>log diff VGT x avg / FTEC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XLU_IDU_1!$U$2:$U$167</c:f>
              <c:numCache>
                <c:formatCode>0.00%</c:formatCode>
                <c:ptCount val="166"/>
                <c:pt idx="1">
                  <c:v>4.3720253296246602E-4</c:v>
                </c:pt>
                <c:pt idx="2">
                  <c:v>5.4606281166738699E-4</c:v>
                </c:pt>
                <c:pt idx="3">
                  <c:v>6.0556371813732504E-4</c:v>
                </c:pt>
                <c:pt idx="4">
                  <c:v>1.33409193126874E-3</c:v>
                </c:pt>
                <c:pt idx="5">
                  <c:v>6.3029988504497998E-4</c:v>
                </c:pt>
                <c:pt idx="6">
                  <c:v>6.2398780960369301E-4</c:v>
                </c:pt>
                <c:pt idx="7">
                  <c:v>1.88083758553409E-5</c:v>
                </c:pt>
                <c:pt idx="8">
                  <c:v>6.22944935836072E-4</c:v>
                </c:pt>
                <c:pt idx="9">
                  <c:v>7.2722155600263695E-4</c:v>
                </c:pt>
                <c:pt idx="10">
                  <c:v>6.4214945953964501E-4</c:v>
                </c:pt>
                <c:pt idx="11">
                  <c:v>-3.1312933931613302E-4</c:v>
                </c:pt>
                <c:pt idx="12">
                  <c:v>3.46677701565709E-4</c:v>
                </c:pt>
                <c:pt idx="13">
                  <c:v>4.5851876099269002E-4</c:v>
                </c:pt>
                <c:pt idx="14">
                  <c:v>2.39437447972209E-4</c:v>
                </c:pt>
                <c:pt idx="15">
                  <c:v>2.0567916787068199E-4</c:v>
                </c:pt>
                <c:pt idx="16">
                  <c:v>3.57312597895212E-4</c:v>
                </c:pt>
                <c:pt idx="17">
                  <c:v>1.6126810208118501E-4</c:v>
                </c:pt>
                <c:pt idx="18">
                  <c:v>1.6373968616016001E-4</c:v>
                </c:pt>
                <c:pt idx="19">
                  <c:v>7.8253102719059997E-4</c:v>
                </c:pt>
                <c:pt idx="20">
                  <c:v>-4.2211459522885602E-4</c:v>
                </c:pt>
                <c:pt idx="21">
                  <c:v>5.9002920024279798E-4</c:v>
                </c:pt>
                <c:pt idx="22">
                  <c:v>7.7632916419314896E-4</c:v>
                </c:pt>
                <c:pt idx="23">
                  <c:v>2.5096680515924899E-4</c:v>
                </c:pt>
                <c:pt idx="24">
                  <c:v>-7.0470607964547407E-5</c:v>
                </c:pt>
                <c:pt idx="25">
                  <c:v>2.84473688424666E-4</c:v>
                </c:pt>
                <c:pt idx="26">
                  <c:v>-7.5644625431613301E-5</c:v>
                </c:pt>
                <c:pt idx="27">
                  <c:v>4.5273418286461098E-4</c:v>
                </c:pt>
                <c:pt idx="28">
                  <c:v>-1.7967792946235801E-4</c:v>
                </c:pt>
                <c:pt idx="29">
                  <c:v>3.5303963727320998E-4</c:v>
                </c:pt>
                <c:pt idx="30">
                  <c:v>4.8113496481321399E-5</c:v>
                </c:pt>
                <c:pt idx="31">
                  <c:v>1.2390421287057001E-4</c:v>
                </c:pt>
                <c:pt idx="32">
                  <c:v>-1.9676418654160898E-5</c:v>
                </c:pt>
                <c:pt idx="33">
                  <c:v>-1.20046892013746E-3</c:v>
                </c:pt>
                <c:pt idx="34">
                  <c:v>-4.6733923448065402E-4</c:v>
                </c:pt>
                <c:pt idx="35">
                  <c:v>-1.7414604203869499E-5</c:v>
                </c:pt>
                <c:pt idx="36">
                  <c:v>1.38309919853054E-4</c:v>
                </c:pt>
                <c:pt idx="37">
                  <c:v>1.7432069581164999E-4</c:v>
                </c:pt>
                <c:pt idx="38">
                  <c:v>1.1711637797777101E-3</c:v>
                </c:pt>
                <c:pt idx="39">
                  <c:v>5.4341981581800696E-4</c:v>
                </c:pt>
                <c:pt idx="40">
                  <c:v>7.0786958381878202E-4</c:v>
                </c:pt>
                <c:pt idx="41">
                  <c:v>6.9614956524052297E-4</c:v>
                </c:pt>
                <c:pt idx="42">
                  <c:v>2.0104965607207901E-4</c:v>
                </c:pt>
                <c:pt idx="43">
                  <c:v>1.05229375582302E-3</c:v>
                </c:pt>
                <c:pt idx="44">
                  <c:v>7.1610008919141196E-4</c:v>
                </c:pt>
                <c:pt idx="45">
                  <c:v>6.9674044812885396E-4</c:v>
                </c:pt>
                <c:pt idx="46">
                  <c:v>9.2120901842837697E-4</c:v>
                </c:pt>
                <c:pt idx="47">
                  <c:v>3.3395889309265401E-4</c:v>
                </c:pt>
                <c:pt idx="48">
                  <c:v>6.3879988991294499E-4</c:v>
                </c:pt>
                <c:pt idx="49">
                  <c:v>7.48323563199062E-4</c:v>
                </c:pt>
                <c:pt idx="50">
                  <c:v>7.0344232667582905E-4</c:v>
                </c:pt>
                <c:pt idx="51">
                  <c:v>3.7375915272539303E-4</c:v>
                </c:pt>
                <c:pt idx="52">
                  <c:v>5.9478705146816203E-4</c:v>
                </c:pt>
                <c:pt idx="53">
                  <c:v>1.46843987063826E-3</c:v>
                </c:pt>
                <c:pt idx="54">
                  <c:v>1.9052184157618301E-3</c:v>
                </c:pt>
                <c:pt idx="55">
                  <c:v>5.57296671297961E-4</c:v>
                </c:pt>
                <c:pt idx="56">
                  <c:v>4.6215050113751098E-4</c:v>
                </c:pt>
                <c:pt idx="57">
                  <c:v>6.1011623163176798E-4</c:v>
                </c:pt>
                <c:pt idx="58">
                  <c:v>3.9196942231718398E-4</c:v>
                </c:pt>
                <c:pt idx="59">
                  <c:v>3.0098366245360001E-4</c:v>
                </c:pt>
                <c:pt idx="60">
                  <c:v>5.1833453880688904E-4</c:v>
                </c:pt>
                <c:pt idx="61">
                  <c:v>5.3217315419272504E-4</c:v>
                </c:pt>
                <c:pt idx="62">
                  <c:v>3.8671653344940499E-4</c:v>
                </c:pt>
                <c:pt idx="63">
                  <c:v>5.4845252083961303E-4</c:v>
                </c:pt>
                <c:pt idx="64">
                  <c:v>3.3866223437265701E-4</c:v>
                </c:pt>
                <c:pt idx="65">
                  <c:v>3.7730634526843097E-4</c:v>
                </c:pt>
                <c:pt idx="66">
                  <c:v>6.1861420394179398E-4</c:v>
                </c:pt>
                <c:pt idx="67">
                  <c:v>3.61928682214358E-4</c:v>
                </c:pt>
                <c:pt idx="68">
                  <c:v>4.1457192251549098E-5</c:v>
                </c:pt>
                <c:pt idx="69">
                  <c:v>5.8269092283592104E-4</c:v>
                </c:pt>
                <c:pt idx="70">
                  <c:v>4.0460432398579401E-4</c:v>
                </c:pt>
                <c:pt idx="71">
                  <c:v>2.8562142347955297E-4</c:v>
                </c:pt>
                <c:pt idx="72">
                  <c:v>1.94881469362095E-4</c:v>
                </c:pt>
                <c:pt idx="73">
                  <c:v>3.5657057689811701E-4</c:v>
                </c:pt>
                <c:pt idx="74">
                  <c:v>5.2501004243526897E-4</c:v>
                </c:pt>
                <c:pt idx="75">
                  <c:v>1.7837521544061401E-4</c:v>
                </c:pt>
                <c:pt idx="76">
                  <c:v>3.8143979424932898E-5</c:v>
                </c:pt>
                <c:pt idx="77">
                  <c:v>8.3888640552755403E-5</c:v>
                </c:pt>
                <c:pt idx="78">
                  <c:v>5.3322837143865301E-4</c:v>
                </c:pt>
                <c:pt idx="79">
                  <c:v>3.8628872394866001E-4</c:v>
                </c:pt>
                <c:pt idx="80">
                  <c:v>-2.7406648409335601E-4</c:v>
                </c:pt>
                <c:pt idx="81">
                  <c:v>-1.9543388135494501E-4</c:v>
                </c:pt>
                <c:pt idx="82">
                  <c:v>1.9059481277720799E-4</c:v>
                </c:pt>
                <c:pt idx="83">
                  <c:v>2.6497352349960402E-4</c:v>
                </c:pt>
                <c:pt idx="84">
                  <c:v>2.18379356607865E-4</c:v>
                </c:pt>
                <c:pt idx="85">
                  <c:v>-4.1503612441098302E-5</c:v>
                </c:pt>
                <c:pt idx="86">
                  <c:v>2.27431932145642E-5</c:v>
                </c:pt>
                <c:pt idx="87">
                  <c:v>-2.6443841987342699E-5</c:v>
                </c:pt>
                <c:pt idx="88">
                  <c:v>-1.5507658936084E-4</c:v>
                </c:pt>
                <c:pt idx="89">
                  <c:v>2.9390130119749799E-4</c:v>
                </c:pt>
                <c:pt idx="90">
                  <c:v>1.23695965869699E-4</c:v>
                </c:pt>
                <c:pt idx="91">
                  <c:v>-8.5888517749645201E-5</c:v>
                </c:pt>
                <c:pt idx="92">
                  <c:v>-4.4602426013585399E-4</c:v>
                </c:pt>
                <c:pt idx="93">
                  <c:v>-1.00808868941851E-4</c:v>
                </c:pt>
                <c:pt idx="94">
                  <c:v>-4.8389148537342799E-5</c:v>
                </c:pt>
                <c:pt idx="95">
                  <c:v>-2.9278101754418099E-4</c:v>
                </c:pt>
                <c:pt idx="96">
                  <c:v>-7.8400819846034895E-4</c:v>
                </c:pt>
                <c:pt idx="97">
                  <c:v>-3.1504981526959399E-4</c:v>
                </c:pt>
                <c:pt idx="98">
                  <c:v>-7.7198327113882196E-4</c:v>
                </c:pt>
                <c:pt idx="99">
                  <c:v>-8.8018453258751196E-4</c:v>
                </c:pt>
                <c:pt idx="100">
                  <c:v>-4.2098597024119698E-4</c:v>
                </c:pt>
                <c:pt idx="101">
                  <c:v>-1.08464011258572E-3</c:v>
                </c:pt>
                <c:pt idx="102">
                  <c:v>-9.2103041075704099E-4</c:v>
                </c:pt>
                <c:pt idx="103">
                  <c:v>-1.1057537350592E-3</c:v>
                </c:pt>
                <c:pt idx="104">
                  <c:v>-9.5108848298209496E-4</c:v>
                </c:pt>
                <c:pt idx="105">
                  <c:v>-9.6472531258579497E-4</c:v>
                </c:pt>
                <c:pt idx="106">
                  <c:v>-6.4967034123779202E-4</c:v>
                </c:pt>
                <c:pt idx="107">
                  <c:v>-8.8213726953390796E-4</c:v>
                </c:pt>
                <c:pt idx="108">
                  <c:v>-6.5913362622833395E-4</c:v>
                </c:pt>
                <c:pt idx="109">
                  <c:v>-1.13974972182114E-3</c:v>
                </c:pt>
                <c:pt idx="110">
                  <c:v>-7.3359368986865997E-4</c:v>
                </c:pt>
                <c:pt idx="111">
                  <c:v>-1.05532707950612E-3</c:v>
                </c:pt>
                <c:pt idx="112">
                  <c:v>-7.3261669442276696E-4</c:v>
                </c:pt>
                <c:pt idx="113">
                  <c:v>-7.4801469046081696E-4</c:v>
                </c:pt>
                <c:pt idx="114">
                  <c:v>-4.6828621584248201E-4</c:v>
                </c:pt>
                <c:pt idx="115">
                  <c:v>-1.3268639540076101E-4</c:v>
                </c:pt>
                <c:pt idx="116">
                  <c:v>-1.95578746295772E-4</c:v>
                </c:pt>
                <c:pt idx="117">
                  <c:v>-1.19106938721804E-5</c:v>
                </c:pt>
                <c:pt idx="118">
                  <c:v>-8.61462111566584E-4</c:v>
                </c:pt>
                <c:pt idx="119">
                  <c:v>-9.2604825701646904E-4</c:v>
                </c:pt>
                <c:pt idx="120">
                  <c:v>-2.6751578937833699E-3</c:v>
                </c:pt>
                <c:pt idx="121">
                  <c:v>-1.0316794882928701E-3</c:v>
                </c:pt>
                <c:pt idx="122">
                  <c:v>-1.11804311998293E-3</c:v>
                </c:pt>
                <c:pt idx="123">
                  <c:v>-7.4522550073701399E-4</c:v>
                </c:pt>
                <c:pt idx="124">
                  <c:v>-1.0093469098987401E-3</c:v>
                </c:pt>
                <c:pt idx="125">
                  <c:v>-9.6187864906505398E-4</c:v>
                </c:pt>
                <c:pt idx="126">
                  <c:v>-4.0622447037719499E-4</c:v>
                </c:pt>
                <c:pt idx="127">
                  <c:v>-7.81031398552477E-4</c:v>
                </c:pt>
                <c:pt idx="128">
                  <c:v>-1.0639894089121899E-3</c:v>
                </c:pt>
                <c:pt idx="129">
                  <c:v>-8.7247073543456598E-4</c:v>
                </c:pt>
                <c:pt idx="130">
                  <c:v>-8.0731240245685498E-4</c:v>
                </c:pt>
                <c:pt idx="131">
                  <c:v>-6.8350065620913995E-4</c:v>
                </c:pt>
                <c:pt idx="132">
                  <c:v>-4.2072908205465301E-4</c:v>
                </c:pt>
                <c:pt idx="133">
                  <c:v>-5.1699188037384095E-4</c:v>
                </c:pt>
                <c:pt idx="134">
                  <c:v>-7.1050598510696502E-4</c:v>
                </c:pt>
                <c:pt idx="135">
                  <c:v>-1.1687486036646901E-4</c:v>
                </c:pt>
                <c:pt idx="136">
                  <c:v>-4.5677683376805199E-4</c:v>
                </c:pt>
                <c:pt idx="137">
                  <c:v>-1.0044648690528399E-3</c:v>
                </c:pt>
                <c:pt idx="138">
                  <c:v>-1.0359948987813299E-3</c:v>
                </c:pt>
                <c:pt idx="139">
                  <c:v>-3.8642917511943798E-4</c:v>
                </c:pt>
                <c:pt idx="140">
                  <c:v>-4.6513221845048003E-4</c:v>
                </c:pt>
                <c:pt idx="141">
                  <c:v>-5.3844656865830102E-5</c:v>
                </c:pt>
                <c:pt idx="142">
                  <c:v>3.9972850299861001E-4</c:v>
                </c:pt>
                <c:pt idx="143">
                  <c:v>8.7671359075643197E-5</c:v>
                </c:pt>
                <c:pt idx="144">
                  <c:v>-1.5745322136458299E-4</c:v>
                </c:pt>
                <c:pt idx="145">
                  <c:v>2.8041755975320698E-4</c:v>
                </c:pt>
                <c:pt idx="146">
                  <c:v>-1.9103063643812602E-5</c:v>
                </c:pt>
                <c:pt idx="147">
                  <c:v>9.8808107889498598E-5</c:v>
                </c:pt>
                <c:pt idx="148">
                  <c:v>6.3946039222771197E-6</c:v>
                </c:pt>
                <c:pt idx="149">
                  <c:v>9.4044359018986899E-5</c:v>
                </c:pt>
                <c:pt idx="150">
                  <c:v>4.5972536521932702E-5</c:v>
                </c:pt>
                <c:pt idx="151">
                  <c:v>7.7601806774460597E-5</c:v>
                </c:pt>
                <c:pt idx="152">
                  <c:v>8.7064579638314402E-5</c:v>
                </c:pt>
                <c:pt idx="153">
                  <c:v>3.5029768387831803E-4</c:v>
                </c:pt>
                <c:pt idx="154">
                  <c:v>5.6474818029184797E-5</c:v>
                </c:pt>
                <c:pt idx="155">
                  <c:v>3.7202318297650799E-4</c:v>
                </c:pt>
                <c:pt idx="156">
                  <c:v>2.98403187249919E-4</c:v>
                </c:pt>
                <c:pt idx="157">
                  <c:v>4.3904751129357401E-5</c:v>
                </c:pt>
                <c:pt idx="158">
                  <c:v>5.0382691082226101E-4</c:v>
                </c:pt>
                <c:pt idx="159">
                  <c:v>5.4823446688964497E-5</c:v>
                </c:pt>
                <c:pt idx="160">
                  <c:v>2.5934478914721898E-4</c:v>
                </c:pt>
                <c:pt idx="161">
                  <c:v>1.91053980906899E-4</c:v>
                </c:pt>
                <c:pt idx="162">
                  <c:v>-1.8035916041737101E-4</c:v>
                </c:pt>
                <c:pt idx="163">
                  <c:v>-2.9157064303053502E-4</c:v>
                </c:pt>
                <c:pt idx="164">
                  <c:v>-9.2173853785889901E-5</c:v>
                </c:pt>
                <c:pt idx="165">
                  <c:v>5.56633171733301E-5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2-4334-9B53-1162DFE48A21}"/>
            </c:ext>
          </c:extLst>
        </c:ser>
        <c:ser>
          <c:idx val="1"/>
          <c:order val="1"/>
          <c:tx>
            <c:strRef>
              <c:f>XLU_IDU_1!$V$1</c:f>
              <c:strCache>
                <c:ptCount val="1"/>
                <c:pt idx="0">
                  <c:v>log diff VGT x 10 dma / FTEC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XLU_IDU_1!$V$2:$V$167</c:f>
              <c:numCache>
                <c:formatCode>0.00%</c:formatCode>
                <c:ptCount val="166"/>
                <c:pt idx="10">
                  <c:v>6.1347692703467402E-5</c:v>
                </c:pt>
                <c:pt idx="11">
                  <c:v>-9.31916515680845E-4</c:v>
                </c:pt>
                <c:pt idx="12">
                  <c:v>-1.9703731739347601E-4</c:v>
                </c:pt>
                <c:pt idx="13">
                  <c:v>-6.5256004727398296E-5</c:v>
                </c:pt>
                <c:pt idx="14">
                  <c:v>-2.6963305168200999E-4</c:v>
                </c:pt>
                <c:pt idx="15">
                  <c:v>-1.9396225926827099E-4</c:v>
                </c:pt>
                <c:pt idx="16">
                  <c:v>1.31562246213787E-7</c:v>
                </c:pt>
                <c:pt idx="17">
                  <c:v>-1.6924932684931701E-4</c:v>
                </c:pt>
                <c:pt idx="18">
                  <c:v>-1.8102724320035601E-4</c:v>
                </c:pt>
                <c:pt idx="19">
                  <c:v>4.83681338435463E-4</c:v>
                </c:pt>
                <c:pt idx="20">
                  <c:v>-7.2649272470141099E-4</c:v>
                </c:pt>
                <c:pt idx="21">
                  <c:v>3.9209250330118998E-4</c:v>
                </c:pt>
                <c:pt idx="22">
                  <c:v>4.8806715825997702E-4</c:v>
                </c:pt>
                <c:pt idx="23">
                  <c:v>-8.02495316368464E-5</c:v>
                </c:pt>
                <c:pt idx="24">
                  <c:v>-3.8093245280619603E-4</c:v>
                </c:pt>
                <c:pt idx="25">
                  <c:v>5.0091729233792001E-6</c:v>
                </c:pt>
                <c:pt idx="26">
                  <c:v>-3.6298889499955902E-4</c:v>
                </c:pt>
                <c:pt idx="27">
                  <c:v>2.0869104219348899E-4</c:v>
                </c:pt>
                <c:pt idx="28">
                  <c:v>-4.5286626807778698E-4</c:v>
                </c:pt>
                <c:pt idx="29">
                  <c:v>1.1420212719235799E-4</c:v>
                </c:pt>
                <c:pt idx="30">
                  <c:v>-1.47789921661546E-4</c:v>
                </c:pt>
                <c:pt idx="31">
                  <c:v>-1.19041129998176E-4</c:v>
                </c:pt>
                <c:pt idx="32">
                  <c:v>-2.16015662962628E-4</c:v>
                </c:pt>
                <c:pt idx="33">
                  <c:v>-1.31722525582282E-3</c:v>
                </c:pt>
                <c:pt idx="34">
                  <c:v>-4.3887665077317102E-4</c:v>
                </c:pt>
                <c:pt idx="35">
                  <c:v>5.0743598083187703E-5</c:v>
                </c:pt>
                <c:pt idx="36">
                  <c:v>2.3665040792515099E-4</c:v>
                </c:pt>
                <c:pt idx="37">
                  <c:v>2.5126827472352802E-4</c:v>
                </c:pt>
                <c:pt idx="38">
                  <c:v>1.2759414509951801E-3</c:v>
                </c:pt>
                <c:pt idx="39">
                  <c:v>5.1318528858480296E-4</c:v>
                </c:pt>
                <c:pt idx="40">
                  <c:v>6.5860481376545099E-4</c:v>
                </c:pt>
                <c:pt idx="41">
                  <c:v>5.8092869458564202E-4</c:v>
                </c:pt>
                <c:pt idx="42">
                  <c:v>2.8619480629868199E-5</c:v>
                </c:pt>
                <c:pt idx="43">
                  <c:v>8.5778892485275499E-4</c:v>
                </c:pt>
                <c:pt idx="44">
                  <c:v>2.9623303519505799E-4</c:v>
                </c:pt>
                <c:pt idx="45">
                  <c:v>1.58487473304354E-4</c:v>
                </c:pt>
                <c:pt idx="46">
                  <c:v>3.11523801813453E-4</c:v>
                </c:pt>
                <c:pt idx="47">
                  <c:v>-3.5402555831412101E-4</c:v>
                </c:pt>
                <c:pt idx="48">
                  <c:v>-6.5155436092740893E-5</c:v>
                </c:pt>
                <c:pt idx="49">
                  <c:v>9.7592509521688997E-5</c:v>
                </c:pt>
                <c:pt idx="50">
                  <c:v>3.2220588721349197E-5</c:v>
                </c:pt>
                <c:pt idx="51">
                  <c:v>-2.9701987485750402E-4</c:v>
                </c:pt>
                <c:pt idx="52">
                  <c:v>-4.37490753769756E-5</c:v>
                </c:pt>
                <c:pt idx="53">
                  <c:v>7.9051975329862698E-4</c:v>
                </c:pt>
                <c:pt idx="54">
                  <c:v>1.1857070529723E-3</c:v>
                </c:pt>
                <c:pt idx="55">
                  <c:v>-2.81063319663254E-4</c:v>
                </c:pt>
                <c:pt idx="56">
                  <c:v>-3.6226226205608502E-4</c:v>
                </c:pt>
                <c:pt idx="57">
                  <c:v>-1.6838563972469599E-4</c:v>
                </c:pt>
                <c:pt idx="58">
                  <c:v>-4.1415702907008901E-4</c:v>
                </c:pt>
                <c:pt idx="59">
                  <c:v>-4.8045286947315903E-4</c:v>
                </c:pt>
                <c:pt idx="60">
                  <c:v>-2.18357515321834E-4</c:v>
                </c:pt>
                <c:pt idx="61">
                  <c:v>-1.86005963618892E-4</c:v>
                </c:pt>
                <c:pt idx="62">
                  <c:v>-3.47308311969965E-4</c:v>
                </c:pt>
                <c:pt idx="63">
                  <c:v>-1.6476042689858301E-4</c:v>
                </c:pt>
                <c:pt idx="64">
                  <c:v>-2.8258336134526598E-4</c:v>
                </c:pt>
                <c:pt idx="65">
                  <c:v>-8.73742902420657E-5</c:v>
                </c:pt>
                <c:pt idx="66">
                  <c:v>1.7193239190571401E-4</c:v>
                </c:pt>
                <c:pt idx="67">
                  <c:v>-1.00398156496378E-4</c:v>
                </c:pt>
                <c:pt idx="68">
                  <c:v>-3.9605178750812302E-4</c:v>
                </c:pt>
                <c:pt idx="69">
                  <c:v>1.8024029172409301E-4</c:v>
                </c:pt>
                <c:pt idx="70">
                  <c:v>-2.60163204996072E-5</c:v>
                </c:pt>
                <c:pt idx="71">
                  <c:v>-1.33626615024416E-4</c:v>
                </c:pt>
                <c:pt idx="72">
                  <c:v>-1.9971144474740301E-4</c:v>
                </c:pt>
                <c:pt idx="73">
                  <c:v>-1.8837023577943501E-5</c:v>
                </c:pt>
                <c:pt idx="74">
                  <c:v>1.68788972891439E-4</c:v>
                </c:pt>
                <c:pt idx="75">
                  <c:v>-1.9647939952245399E-4</c:v>
                </c:pt>
                <c:pt idx="76">
                  <c:v>-3.1681579042595301E-4</c:v>
                </c:pt>
                <c:pt idx="77">
                  <c:v>-2.1302424783445299E-4</c:v>
                </c:pt>
                <c:pt idx="78">
                  <c:v>2.6412115841578898E-4</c:v>
                </c:pt>
                <c:pt idx="79">
                  <c:v>6.8004080086239094E-5</c:v>
                </c:pt>
                <c:pt idx="80">
                  <c:v>-5.7271436487303401E-4</c:v>
                </c:pt>
                <c:pt idx="81">
                  <c:v>-4.2620114336819098E-4</c:v>
                </c:pt>
                <c:pt idx="82">
                  <c:v>7.9408569987139799E-6</c:v>
                </c:pt>
                <c:pt idx="83">
                  <c:v>8.2748228964868307E-5</c:v>
                </c:pt>
                <c:pt idx="84">
                  <c:v>4.5312548102350699E-5</c:v>
                </c:pt>
                <c:pt idx="85">
                  <c:v>-1.8391391209499801E-4</c:v>
                </c:pt>
                <c:pt idx="86">
                  <c:v>-9.7677838769765998E-5</c:v>
                </c:pt>
                <c:pt idx="87">
                  <c:v>-1.4532465795826299E-4</c:v>
                </c:pt>
                <c:pt idx="88">
                  <c:v>-2.6292322316398401E-4</c:v>
                </c:pt>
                <c:pt idx="89">
                  <c:v>2.5487720568441203E-4</c:v>
                </c:pt>
                <c:pt idx="90">
                  <c:v>9.3907788886090303E-5</c:v>
                </c:pt>
                <c:pt idx="91">
                  <c:v>-1.5545790692203301E-4</c:v>
                </c:pt>
                <c:pt idx="92">
                  <c:v>-5.2655054892160205E-4</c:v>
                </c:pt>
                <c:pt idx="93">
                  <c:v>-1.1766201813773099E-4</c:v>
                </c:pt>
                <c:pt idx="94">
                  <c:v>-2.8667113056045501E-5</c:v>
                </c:pt>
                <c:pt idx="95">
                  <c:v>-2.4638528059262998E-4</c:v>
                </c:pt>
                <c:pt idx="96">
                  <c:v>-7.1248200243337898E-4</c:v>
                </c:pt>
                <c:pt idx="97">
                  <c:v>-1.6282679291415101E-4</c:v>
                </c:pt>
                <c:pt idx="98">
                  <c:v>-5.9089953321668097E-4</c:v>
                </c:pt>
                <c:pt idx="99">
                  <c:v>-6.3739460261989604E-4</c:v>
                </c:pt>
                <c:pt idx="100">
                  <c:v>-6.0788430825265601E-5</c:v>
                </c:pt>
                <c:pt idx="101">
                  <c:v>-6.6998738326222603E-4</c:v>
                </c:pt>
                <c:pt idx="102">
                  <c:v>-4.0649046537942799E-4</c:v>
                </c:pt>
                <c:pt idx="103">
                  <c:v>-5.4370627498922901E-4</c:v>
                </c:pt>
                <c:pt idx="104">
                  <c:v>-2.8854743786159702E-4</c:v>
                </c:pt>
                <c:pt idx="105">
                  <c:v>-2.11933098666031E-4</c:v>
                </c:pt>
                <c:pt idx="106">
                  <c:v>1.70305712349465E-4</c:v>
                </c:pt>
                <c:pt idx="107">
                  <c:v>-7.5593706448642294E-5</c:v>
                </c:pt>
                <c:pt idx="108">
                  <c:v>2.04105284472565E-4</c:v>
                </c:pt>
                <c:pt idx="109">
                  <c:v>-2.8779417282814098E-4</c:v>
                </c:pt>
                <c:pt idx="110">
                  <c:v>1.4432214290391001E-4</c:v>
                </c:pt>
                <c:pt idx="111">
                  <c:v>-1.4616035934611699E-4</c:v>
                </c:pt>
                <c:pt idx="112">
                  <c:v>1.7361824669054099E-4</c:v>
                </c:pt>
                <c:pt idx="113">
                  <c:v>1.39380197678549E-4</c:v>
                </c:pt>
                <c:pt idx="114">
                  <c:v>3.83332714979083E-4</c:v>
                </c:pt>
                <c:pt idx="115">
                  <c:v>6.7065799504379797E-4</c:v>
                </c:pt>
                <c:pt idx="116">
                  <c:v>5.24579474377353E-4</c:v>
                </c:pt>
                <c:pt idx="117">
                  <c:v>6.6285084524744602E-4</c:v>
                </c:pt>
                <c:pt idx="118">
                  <c:v>-2.7370720165459497E-4</c:v>
                </c:pt>
                <c:pt idx="119">
                  <c:v>-3.1805721195100401E-4</c:v>
                </c:pt>
                <c:pt idx="120">
                  <c:v>-2.0885463060523902E-3</c:v>
                </c:pt>
                <c:pt idx="121">
                  <c:v>-2.50713195308608E-4</c:v>
                </c:pt>
                <c:pt idx="122">
                  <c:v>-3.3944220983602E-4</c:v>
                </c:pt>
                <c:pt idx="123">
                  <c:v>7.1922964976478302E-5</c:v>
                </c:pt>
                <c:pt idx="124">
                  <c:v>-1.9247734352567699E-4</c:v>
                </c:pt>
                <c:pt idx="125">
                  <c:v>-9.0908699055029403E-5</c:v>
                </c:pt>
                <c:pt idx="126">
                  <c:v>5.4763443642174105E-4</c:v>
                </c:pt>
                <c:pt idx="127">
                  <c:v>1.93878109351575E-4</c:v>
                </c:pt>
                <c:pt idx="128">
                  <c:v>-1.22152588431892E-5</c:v>
                </c:pt>
                <c:pt idx="129">
                  <c:v>1.9955413596393101E-4</c:v>
                </c:pt>
                <c:pt idx="130">
                  <c:v>2.5935562798893002E-4</c:v>
                </c:pt>
                <c:pt idx="131">
                  <c:v>1.96239286745396E-4</c:v>
                </c:pt>
                <c:pt idx="132">
                  <c:v>4.2419314258858098E-4</c:v>
                </c:pt>
                <c:pt idx="133">
                  <c:v>2.5820177512485E-4</c:v>
                </c:pt>
                <c:pt idx="134">
                  <c:v>4.1867336190588203E-5</c:v>
                </c:pt>
                <c:pt idx="135">
                  <c:v>6.05610707405647E-4</c:v>
                </c:pt>
                <c:pt idx="136">
                  <c:v>1.8122025491731201E-4</c:v>
                </c:pt>
                <c:pt idx="137">
                  <c:v>-3.6141360058092401E-4</c:v>
                </c:pt>
                <c:pt idx="138">
                  <c:v>-3.7059495318585601E-4</c:v>
                </c:pt>
                <c:pt idx="139">
                  <c:v>2.7617023868691101E-4</c:v>
                </c:pt>
                <c:pt idx="140">
                  <c:v>1.48863468878765E-4</c:v>
                </c:pt>
                <c:pt idx="141">
                  <c:v>5.2593166586051103E-4</c:v>
                </c:pt>
                <c:pt idx="142">
                  <c:v>9.1655053403708899E-4</c:v>
                </c:pt>
                <c:pt idx="143">
                  <c:v>5.2248579781435402E-4</c:v>
                </c:pt>
                <c:pt idx="144">
                  <c:v>2.1690637559986401E-4</c:v>
                </c:pt>
                <c:pt idx="145">
                  <c:v>5.9946705266370902E-4</c:v>
                </c:pt>
                <c:pt idx="146">
                  <c:v>2.6023231951599499E-4</c:v>
                </c:pt>
                <c:pt idx="147">
                  <c:v>3.3437696767914401E-4</c:v>
                </c:pt>
                <c:pt idx="148">
                  <c:v>1.3160609901130701E-4</c:v>
                </c:pt>
                <c:pt idx="149">
                  <c:v>1.14970843399936E-4</c:v>
                </c:pt>
                <c:pt idx="150">
                  <c:v>1.8844493353818801E-5</c:v>
                </c:pt>
                <c:pt idx="151">
                  <c:v>-6.5011893573738898E-7</c:v>
                </c:pt>
                <c:pt idx="152">
                  <c:v>-4.3329513314606703E-6</c:v>
                </c:pt>
                <c:pt idx="153">
                  <c:v>2.9016130463729601E-4</c:v>
                </c:pt>
                <c:pt idx="154">
                  <c:v>-2.99203670877022E-5</c:v>
                </c:pt>
                <c:pt idx="155">
                  <c:v>2.6423203644630598E-4</c:v>
                </c:pt>
                <c:pt idx="156">
                  <c:v>1.8145343717040099E-4</c:v>
                </c:pt>
                <c:pt idx="157">
                  <c:v>-1.0479540747134301E-4</c:v>
                </c:pt>
                <c:pt idx="158">
                  <c:v>3.6061749748366801E-4</c:v>
                </c:pt>
                <c:pt idx="159">
                  <c:v>-1.3812486878803299E-4</c:v>
                </c:pt>
                <c:pt idx="160">
                  <c:v>7.0319022062427096E-5</c:v>
                </c:pt>
                <c:pt idx="161">
                  <c:v>-1.9310015126837299E-5</c:v>
                </c:pt>
                <c:pt idx="162">
                  <c:v>-4.0206930091649503E-4</c:v>
                </c:pt>
                <c:pt idx="163">
                  <c:v>-4.8653158972955399E-4</c:v>
                </c:pt>
                <c:pt idx="164">
                  <c:v>-2.2293939720631701E-4</c:v>
                </c:pt>
                <c:pt idx="165">
                  <c:v>-6.0235260258667402E-5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2-4334-9B53-1162DFE48A21}"/>
            </c:ext>
          </c:extLst>
        </c:ser>
        <c:ser>
          <c:idx val="2"/>
          <c:order val="2"/>
          <c:tx>
            <c:strRef>
              <c:f>XLU_IDU_1!$W$1</c:f>
              <c:strCache>
                <c:ptCount val="1"/>
                <c:pt idx="0">
                  <c:v>log diff VGT x 20 dma / FTEC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XLU_IDU_1!$W$2:$W$167</c:f>
              <c:numCache>
                <c:formatCode>0.00%</c:formatCode>
                <c:ptCount val="166"/>
                <c:pt idx="20">
                  <c:v>-8.6469499213006403E-4</c:v>
                </c:pt>
                <c:pt idx="21">
                  <c:v>1.8168940298003599E-4</c:v>
                </c:pt>
                <c:pt idx="22">
                  <c:v>3.6034880877731002E-4</c:v>
                </c:pt>
                <c:pt idx="23">
                  <c:v>-1.7652411125516001E-4</c:v>
                </c:pt>
                <c:pt idx="24">
                  <c:v>-4.8023184953793698E-4</c:v>
                </c:pt>
                <c:pt idx="25">
                  <c:v>-5.5077477584283598E-5</c:v>
                </c:pt>
                <c:pt idx="26">
                  <c:v>-3.9790666839306698E-4</c:v>
                </c:pt>
                <c:pt idx="27">
                  <c:v>1.65454832788926E-4</c:v>
                </c:pt>
                <c:pt idx="28">
                  <c:v>-4.8865492301367898E-4</c:v>
                </c:pt>
                <c:pt idx="29">
                  <c:v>8.4196488037961001E-5</c:v>
                </c:pt>
                <c:pt idx="30">
                  <c:v>-2.0202580648090801E-4</c:v>
                </c:pt>
                <c:pt idx="31">
                  <c:v>-9.6536553812198803E-5</c:v>
                </c:pt>
                <c:pt idx="32">
                  <c:v>-2.61975987550654E-4</c:v>
                </c:pt>
                <c:pt idx="33">
                  <c:v>-1.4244495072416399E-3</c:v>
                </c:pt>
                <c:pt idx="34">
                  <c:v>-6.0832450632681103E-4</c:v>
                </c:pt>
                <c:pt idx="35">
                  <c:v>-1.23052655616918E-4</c:v>
                </c:pt>
                <c:pt idx="36">
                  <c:v>4.38266231965196E-5</c:v>
                </c:pt>
                <c:pt idx="37">
                  <c:v>9.0785794312244402E-5</c:v>
                </c:pt>
                <c:pt idx="38">
                  <c:v>1.0869763033664801E-3</c:v>
                </c:pt>
                <c:pt idx="39">
                  <c:v>4.0888923656165802E-4</c:v>
                </c:pt>
                <c:pt idx="40">
                  <c:v>5.8528817758227603E-4</c:v>
                </c:pt>
                <c:pt idx="41">
                  <c:v>5.1706849767138303E-4</c:v>
                </c:pt>
                <c:pt idx="42">
                  <c:v>1.6665017652372301E-5</c:v>
                </c:pt>
                <c:pt idx="43">
                  <c:v>8.9666392809881505E-4</c:v>
                </c:pt>
                <c:pt idx="44">
                  <c:v>5.2042297897971304E-4</c:v>
                </c:pt>
                <c:pt idx="45">
                  <c:v>4.6173902867383898E-4</c:v>
                </c:pt>
                <c:pt idx="46">
                  <c:v>6.65599316705381E-4</c:v>
                </c:pt>
                <c:pt idx="47">
                  <c:v>2.85135969698875E-5</c:v>
                </c:pt>
                <c:pt idx="48">
                  <c:v>3.3929281864919503E-4</c:v>
                </c:pt>
                <c:pt idx="49">
                  <c:v>4.0788889973519398E-4</c:v>
                </c:pt>
                <c:pt idx="50">
                  <c:v>3.4324742647972803E-4</c:v>
                </c:pt>
                <c:pt idx="51">
                  <c:v>-1.9202215785724501E-5</c:v>
                </c:pt>
                <c:pt idx="52">
                  <c:v>1.8933105716884899E-4</c:v>
                </c:pt>
                <c:pt idx="53">
                  <c:v>1.03225660777529E-3</c:v>
                </c:pt>
                <c:pt idx="54">
                  <c:v>1.33554043070755E-3</c:v>
                </c:pt>
                <c:pt idx="55">
                  <c:v>-1.3099855356700699E-4</c:v>
                </c:pt>
                <c:pt idx="56">
                  <c:v>-2.5489272527692201E-4</c:v>
                </c:pt>
                <c:pt idx="57">
                  <c:v>-1.23125905574515E-4</c:v>
                </c:pt>
                <c:pt idx="58">
                  <c:v>-3.6307016151201801E-4</c:v>
                </c:pt>
                <c:pt idx="59">
                  <c:v>-4.1509799485827498E-4</c:v>
                </c:pt>
                <c:pt idx="60">
                  <c:v>-1.85621821439523E-4</c:v>
                </c:pt>
                <c:pt idx="61">
                  <c:v>-1.6230563765841699E-4</c:v>
                </c:pt>
                <c:pt idx="62">
                  <c:v>-2.99562812921036E-4</c:v>
                </c:pt>
                <c:pt idx="63">
                  <c:v>-1.47113856001435E-4</c:v>
                </c:pt>
                <c:pt idx="64">
                  <c:v>-3.3171503786105501E-4</c:v>
                </c:pt>
                <c:pt idx="65">
                  <c:v>-2.7419651343474599E-4</c:v>
                </c:pt>
                <c:pt idx="66">
                  <c:v>-1.6915248589270601E-5</c:v>
                </c:pt>
                <c:pt idx="67">
                  <c:v>-2.5847317698806901E-4</c:v>
                </c:pt>
                <c:pt idx="68">
                  <c:v>-5.8034353846704296E-4</c:v>
                </c:pt>
                <c:pt idx="69">
                  <c:v>-9.2347048944206095E-6</c:v>
                </c:pt>
                <c:pt idx="70">
                  <c:v>-1.7904031535771999E-4</c:v>
                </c:pt>
                <c:pt idx="71">
                  <c:v>-2.8308098470434699E-4</c:v>
                </c:pt>
                <c:pt idx="72">
                  <c:v>-3.6941300864790002E-4</c:v>
                </c:pt>
                <c:pt idx="73">
                  <c:v>-1.8772543315239101E-4</c:v>
                </c:pt>
                <c:pt idx="74">
                  <c:v>3.6285489554310002E-5</c:v>
                </c:pt>
                <c:pt idx="75">
                  <c:v>-2.41391401207029E-4</c:v>
                </c:pt>
                <c:pt idx="76">
                  <c:v>-3.6267575990180301E-4</c:v>
                </c:pt>
                <c:pt idx="77">
                  <c:v>-2.95727802774395E-4</c:v>
                </c:pt>
                <c:pt idx="78">
                  <c:v>1.7992381994159299E-4</c:v>
                </c:pt>
                <c:pt idx="79">
                  <c:v>2.5921971950532399E-5</c:v>
                </c:pt>
                <c:pt idx="80">
                  <c:v>-6.3869856962468698E-4</c:v>
                </c:pt>
                <c:pt idx="81">
                  <c:v>-5.2043709098824201E-4</c:v>
                </c:pt>
                <c:pt idx="82">
                  <c:v>-9.8023007401480694E-5</c:v>
                </c:pt>
                <c:pt idx="83">
                  <c:v>-1.38382590803793E-5</c:v>
                </c:pt>
                <c:pt idx="84">
                  <c:v>-4.6260389231270303E-5</c:v>
                </c:pt>
                <c:pt idx="85">
                  <c:v>-3.0012931595494997E-4</c:v>
                </c:pt>
                <c:pt idx="86">
                  <c:v>-2.1494033165047301E-4</c:v>
                </c:pt>
                <c:pt idx="87">
                  <c:v>-2.3433673223887701E-4</c:v>
                </c:pt>
                <c:pt idx="88">
                  <c:v>-3.4355026215200602E-4</c:v>
                </c:pt>
                <c:pt idx="89">
                  <c:v>1.15256679816329E-4</c:v>
                </c:pt>
                <c:pt idx="90">
                  <c:v>-4.0513027319387499E-5</c:v>
                </c:pt>
                <c:pt idx="91">
                  <c:v>-2.3605359524799899E-4</c:v>
                </c:pt>
                <c:pt idx="92">
                  <c:v>-5.7761307866058698E-4</c:v>
                </c:pt>
                <c:pt idx="93">
                  <c:v>-2.0034467231381899E-4</c:v>
                </c:pt>
                <c:pt idx="94">
                  <c:v>-1.25056889106939E-4</c:v>
                </c:pt>
                <c:pt idx="95">
                  <c:v>-3.4078384293055499E-4</c:v>
                </c:pt>
                <c:pt idx="96">
                  <c:v>-8.0845101097169704E-4</c:v>
                </c:pt>
                <c:pt idx="97">
                  <c:v>-2.9836952491587801E-4</c:v>
                </c:pt>
                <c:pt idx="98">
                  <c:v>-7.3535428398430896E-4</c:v>
                </c:pt>
                <c:pt idx="99">
                  <c:v>-7.7829168796702695E-4</c:v>
                </c:pt>
                <c:pt idx="100">
                  <c:v>-2.5576227791764E-4</c:v>
                </c:pt>
                <c:pt idx="101">
                  <c:v>-9.1206913362789504E-4</c:v>
                </c:pt>
                <c:pt idx="102">
                  <c:v>-7.0397931948367701E-4</c:v>
                </c:pt>
                <c:pt idx="103">
                  <c:v>-8.3311468888346203E-4</c:v>
                </c:pt>
                <c:pt idx="104">
                  <c:v>-6.0990529064722102E-4</c:v>
                </c:pt>
                <c:pt idx="105">
                  <c:v>-5.6506896265357703E-4</c:v>
                </c:pt>
                <c:pt idx="106">
                  <c:v>-2.0384919428350601E-4</c:v>
                </c:pt>
                <c:pt idx="107">
                  <c:v>-4.0270045989343001E-4</c:v>
                </c:pt>
                <c:pt idx="108">
                  <c:v>-1.36914134958154E-4</c:v>
                </c:pt>
                <c:pt idx="109">
                  <c:v>-5.9233059699758599E-4</c:v>
                </c:pt>
                <c:pt idx="110">
                  <c:v>-1.14503499745823E-4</c:v>
                </c:pt>
                <c:pt idx="111">
                  <c:v>-3.9338678675369699E-4</c:v>
                </c:pt>
                <c:pt idx="112">
                  <c:v>-2.2210073056056599E-5</c:v>
                </c:pt>
                <c:pt idx="113">
                  <c:v>-2.3280284987488599E-5</c:v>
                </c:pt>
                <c:pt idx="114">
                  <c:v>2.8879824093444101E-4</c:v>
                </c:pt>
                <c:pt idx="115">
                  <c:v>6.4538222622191599E-4</c:v>
                </c:pt>
                <c:pt idx="116">
                  <c:v>5.7448963628417701E-4</c:v>
                </c:pt>
                <c:pt idx="117">
                  <c:v>7.2874402804298604E-4</c:v>
                </c:pt>
                <c:pt idx="118">
                  <c:v>-1.35955714830354E-4</c:v>
                </c:pt>
                <c:pt idx="119">
                  <c:v>-1.9606752015223901E-4</c:v>
                </c:pt>
                <c:pt idx="120">
                  <c:v>-1.94288357626132E-3</c:v>
                </c:pt>
                <c:pt idx="121">
                  <c:v>-1.8661092730220199E-4</c:v>
                </c:pt>
                <c:pt idx="122">
                  <c:v>-2.7562315804705099E-4</c:v>
                </c:pt>
                <c:pt idx="123">
                  <c:v>1.0704679300941199E-4</c:v>
                </c:pt>
                <c:pt idx="124">
                  <c:v>-1.7510251036141199E-4</c:v>
                </c:pt>
                <c:pt idx="125">
                  <c:v>-1.2472090718585501E-4</c:v>
                </c:pt>
                <c:pt idx="126">
                  <c:v>4.3079092036033201E-4</c:v>
                </c:pt>
                <c:pt idx="127">
                  <c:v>4.3815386059903399E-5</c:v>
                </c:pt>
                <c:pt idx="128">
                  <c:v>-2.4419796469007601E-4</c:v>
                </c:pt>
                <c:pt idx="129">
                  <c:v>-3.2435861279081099E-5</c:v>
                </c:pt>
                <c:pt idx="130">
                  <c:v>1.93562134044287E-5</c:v>
                </c:pt>
                <c:pt idx="131">
                  <c:v>1.4685368128954801E-4</c:v>
                </c:pt>
                <c:pt idx="132">
                  <c:v>3.9103303515517401E-4</c:v>
                </c:pt>
                <c:pt idx="133">
                  <c:v>2.7917940025771597E-4</c:v>
                </c:pt>
                <c:pt idx="134">
                  <c:v>7.4115978699114499E-5</c:v>
                </c:pt>
                <c:pt idx="135">
                  <c:v>6.7985565447612199E-4</c:v>
                </c:pt>
                <c:pt idx="136">
                  <c:v>3.3916363506013899E-4</c:v>
                </c:pt>
                <c:pt idx="137">
                  <c:v>-1.95470714628467E-4</c:v>
                </c:pt>
                <c:pt idx="138">
                  <c:v>-1.77389190320823E-4</c:v>
                </c:pt>
                <c:pt idx="139">
                  <c:v>4.8090392113361098E-4</c:v>
                </c:pt>
                <c:pt idx="140">
                  <c:v>3.7522525446830399E-4</c:v>
                </c:pt>
                <c:pt idx="141">
                  <c:v>6.7592472324634698E-4</c:v>
                </c:pt>
                <c:pt idx="142">
                  <c:v>1.08061408705656E-3</c:v>
                </c:pt>
                <c:pt idx="143">
                  <c:v>6.9268988844586497E-4</c:v>
                </c:pt>
                <c:pt idx="144">
                  <c:v>4.0593109956316701E-4</c:v>
                </c:pt>
                <c:pt idx="145">
                  <c:v>8.0120543517779499E-4</c:v>
                </c:pt>
                <c:pt idx="146">
                  <c:v>4.39579252056154E-4</c:v>
                </c:pt>
                <c:pt idx="147">
                  <c:v>5.3813892725938697E-4</c:v>
                </c:pt>
                <c:pt idx="148">
                  <c:v>4.0173679970897399E-4</c:v>
                </c:pt>
                <c:pt idx="149">
                  <c:v>4.3585877613042101E-4</c:v>
                </c:pt>
                <c:pt idx="150">
                  <c:v>3.39457738556243E-4</c:v>
                </c:pt>
                <c:pt idx="151">
                  <c:v>3.2841813042850298E-4</c:v>
                </c:pt>
                <c:pt idx="152">
                  <c:v>2.9982307105126199E-4</c:v>
                </c:pt>
                <c:pt idx="153">
                  <c:v>5.3766733566585798E-4</c:v>
                </c:pt>
                <c:pt idx="154">
                  <c:v>2.00483560823867E-4</c:v>
                </c:pt>
                <c:pt idx="155">
                  <c:v>4.7767513028300102E-4</c:v>
                </c:pt>
                <c:pt idx="156">
                  <c:v>3.79615634028515E-4</c:v>
                </c:pt>
                <c:pt idx="157">
                  <c:v>8.7357559558659401E-5</c:v>
                </c:pt>
                <c:pt idx="158">
                  <c:v>4.9483695792072204E-4</c:v>
                </c:pt>
                <c:pt idx="159">
                  <c:v>-3.1181751055276401E-5</c:v>
                </c:pt>
                <c:pt idx="160">
                  <c:v>1.5127116037964801E-4</c:v>
                </c:pt>
                <c:pt idx="161">
                  <c:v>4.6748201734934198E-5</c:v>
                </c:pt>
                <c:pt idx="162">
                  <c:v>-3.3691087348000501E-4</c:v>
                </c:pt>
                <c:pt idx="163">
                  <c:v>-4.1911703379249202E-4</c:v>
                </c:pt>
                <c:pt idx="164">
                  <c:v>-2.0075397196351699E-4</c:v>
                </c:pt>
                <c:pt idx="165">
                  <c:v>-5.61815365915126E-5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32-4334-9B53-1162DFE48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General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B39-4025-8414-27A35539F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XLU_IDU_1!$BY$22:$BY$167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7.3312968565690008E-4</c:v>
                </c:pt>
                <c:pt idx="15">
                  <c:v>1.1830543159335998E-3</c:v>
                </c:pt>
                <c:pt idx="16">
                  <c:v>1.3387788399909003E-3</c:v>
                </c:pt>
                <c:pt idx="17">
                  <c:v>1.3387788399909003E-3</c:v>
                </c:pt>
                <c:pt idx="18">
                  <c:v>1.3387788399909003E-3</c:v>
                </c:pt>
                <c:pt idx="19">
                  <c:v>1.3387788399909003E-3</c:v>
                </c:pt>
                <c:pt idx="20">
                  <c:v>1.3387788399909003E-3</c:v>
                </c:pt>
                <c:pt idx="21">
                  <c:v>1.3387788399909003E-3</c:v>
                </c:pt>
                <c:pt idx="22">
                  <c:v>1.3387788399909003E-3</c:v>
                </c:pt>
                <c:pt idx="23">
                  <c:v>1.3387788399909003E-3</c:v>
                </c:pt>
                <c:pt idx="24">
                  <c:v>1.3387788399909003E-3</c:v>
                </c:pt>
                <c:pt idx="25">
                  <c:v>1.3387788399909003E-3</c:v>
                </c:pt>
                <c:pt idx="26">
                  <c:v>1.3387788399909003E-3</c:v>
                </c:pt>
                <c:pt idx="27">
                  <c:v>1.3387788399909003E-3</c:v>
                </c:pt>
                <c:pt idx="28">
                  <c:v>1.3387788399909003E-3</c:v>
                </c:pt>
                <c:pt idx="29">
                  <c:v>1.3387788399909003E-3</c:v>
                </c:pt>
                <c:pt idx="30">
                  <c:v>1.3387788399909003E-3</c:v>
                </c:pt>
                <c:pt idx="31">
                  <c:v>1.3387788399909003E-3</c:v>
                </c:pt>
                <c:pt idx="32">
                  <c:v>1.3387788399909003E-3</c:v>
                </c:pt>
                <c:pt idx="33">
                  <c:v>1.3387788399909003E-3</c:v>
                </c:pt>
                <c:pt idx="34">
                  <c:v>1.3387788399909003E-3</c:v>
                </c:pt>
                <c:pt idx="35">
                  <c:v>1.3387788399909003E-3</c:v>
                </c:pt>
                <c:pt idx="36">
                  <c:v>1.3387788399909003E-3</c:v>
                </c:pt>
                <c:pt idx="37">
                  <c:v>1.3387788399909003E-3</c:v>
                </c:pt>
                <c:pt idx="38">
                  <c:v>1.3387788399909003E-3</c:v>
                </c:pt>
                <c:pt idx="39">
                  <c:v>1.3387788399909003E-3</c:v>
                </c:pt>
                <c:pt idx="40">
                  <c:v>1.3387788399909003E-3</c:v>
                </c:pt>
                <c:pt idx="41">
                  <c:v>1.3387788399909003E-3</c:v>
                </c:pt>
                <c:pt idx="42">
                  <c:v>1.3387788399909003E-3</c:v>
                </c:pt>
                <c:pt idx="43">
                  <c:v>1.3387788399909003E-3</c:v>
                </c:pt>
                <c:pt idx="44">
                  <c:v>1.3387788399909003E-3</c:v>
                </c:pt>
                <c:pt idx="45">
                  <c:v>1.3387788399909003E-3</c:v>
                </c:pt>
                <c:pt idx="46">
                  <c:v>1.3387788399909003E-3</c:v>
                </c:pt>
                <c:pt idx="47">
                  <c:v>1.3387788399909003E-3</c:v>
                </c:pt>
                <c:pt idx="48">
                  <c:v>1.3387788399909003E-3</c:v>
                </c:pt>
                <c:pt idx="49">
                  <c:v>1.3387788399909003E-3</c:v>
                </c:pt>
                <c:pt idx="50">
                  <c:v>1.3387788399909003E-3</c:v>
                </c:pt>
                <c:pt idx="51">
                  <c:v>1.3387788399909003E-3</c:v>
                </c:pt>
                <c:pt idx="52">
                  <c:v>1.3387788399909003E-3</c:v>
                </c:pt>
                <c:pt idx="53">
                  <c:v>1.3387788399909003E-3</c:v>
                </c:pt>
                <c:pt idx="54">
                  <c:v>1.3387788399909003E-3</c:v>
                </c:pt>
                <c:pt idx="55">
                  <c:v>1.3387788399909003E-3</c:v>
                </c:pt>
                <c:pt idx="56">
                  <c:v>1.3387788399909003E-3</c:v>
                </c:pt>
                <c:pt idx="57">
                  <c:v>1.3387788399909003E-3</c:v>
                </c:pt>
                <c:pt idx="58">
                  <c:v>1.3387788399909003E-3</c:v>
                </c:pt>
                <c:pt idx="59">
                  <c:v>1.3387788399909003E-3</c:v>
                </c:pt>
                <c:pt idx="60">
                  <c:v>1.3387788399909003E-3</c:v>
                </c:pt>
                <c:pt idx="61">
                  <c:v>1.3387788399909003E-3</c:v>
                </c:pt>
                <c:pt idx="62">
                  <c:v>1.3387788399909003E-3</c:v>
                </c:pt>
                <c:pt idx="63">
                  <c:v>1.3387788399909003E-3</c:v>
                </c:pt>
                <c:pt idx="64">
                  <c:v>1.3387788399909003E-3</c:v>
                </c:pt>
                <c:pt idx="65">
                  <c:v>1.3387788399909003E-3</c:v>
                </c:pt>
                <c:pt idx="66">
                  <c:v>1.3387788399909003E-3</c:v>
                </c:pt>
                <c:pt idx="67">
                  <c:v>1.3387788399909003E-3</c:v>
                </c:pt>
                <c:pt idx="68">
                  <c:v>1.3387788399909003E-3</c:v>
                </c:pt>
                <c:pt idx="69">
                  <c:v>1.3387788399909003E-3</c:v>
                </c:pt>
                <c:pt idx="70">
                  <c:v>1.3387788399909003E-3</c:v>
                </c:pt>
                <c:pt idx="71">
                  <c:v>1.3387788399909003E-3</c:v>
                </c:pt>
                <c:pt idx="72">
                  <c:v>1.3387788399909003E-3</c:v>
                </c:pt>
                <c:pt idx="73">
                  <c:v>1.3387788399909003E-3</c:v>
                </c:pt>
                <c:pt idx="74">
                  <c:v>1.3387788399909003E-3</c:v>
                </c:pt>
                <c:pt idx="75">
                  <c:v>1.3387788399909003E-3</c:v>
                </c:pt>
                <c:pt idx="76">
                  <c:v>1.3387788399909003E-3</c:v>
                </c:pt>
                <c:pt idx="77">
                  <c:v>1.3387788399909003E-3</c:v>
                </c:pt>
                <c:pt idx="78">
                  <c:v>1.3387788399909003E-3</c:v>
                </c:pt>
                <c:pt idx="79">
                  <c:v>1.3387788399909003E-3</c:v>
                </c:pt>
                <c:pt idx="80">
                  <c:v>1.3387788399909003E-3</c:v>
                </c:pt>
                <c:pt idx="81">
                  <c:v>1.3387788399909003E-3</c:v>
                </c:pt>
                <c:pt idx="82">
                  <c:v>1.3387788399909003E-3</c:v>
                </c:pt>
                <c:pt idx="83">
                  <c:v>1.3387788399909003E-3</c:v>
                </c:pt>
                <c:pt idx="84">
                  <c:v>1.3387788399909003E-3</c:v>
                </c:pt>
                <c:pt idx="85">
                  <c:v>1.3387788399909003E-3</c:v>
                </c:pt>
                <c:pt idx="86">
                  <c:v>1.3387788399909003E-3</c:v>
                </c:pt>
                <c:pt idx="87">
                  <c:v>1.3387788399909003E-3</c:v>
                </c:pt>
                <c:pt idx="88">
                  <c:v>1.3387788399909003E-3</c:v>
                </c:pt>
                <c:pt idx="89">
                  <c:v>1.3387788399909003E-3</c:v>
                </c:pt>
                <c:pt idx="90">
                  <c:v>1.3387788399909003E-3</c:v>
                </c:pt>
                <c:pt idx="91">
                  <c:v>1.3387788399909003E-3</c:v>
                </c:pt>
                <c:pt idx="92">
                  <c:v>1.3387788399909003E-3</c:v>
                </c:pt>
                <c:pt idx="93">
                  <c:v>1.3387788399909003E-3</c:v>
                </c:pt>
                <c:pt idx="94">
                  <c:v>1.3387788399909003E-3</c:v>
                </c:pt>
                <c:pt idx="95">
                  <c:v>1.3387788399909003E-3</c:v>
                </c:pt>
                <c:pt idx="96">
                  <c:v>1.3387788399909003E-3</c:v>
                </c:pt>
                <c:pt idx="97">
                  <c:v>1.3387788399909003E-3</c:v>
                </c:pt>
                <c:pt idx="98">
                  <c:v>1.3387788399909003E-3</c:v>
                </c:pt>
                <c:pt idx="99">
                  <c:v>1.3387788399909003E-3</c:v>
                </c:pt>
                <c:pt idx="100">
                  <c:v>1.3387788399909003E-3</c:v>
                </c:pt>
                <c:pt idx="101">
                  <c:v>2.9822572454812016E-3</c:v>
                </c:pt>
                <c:pt idx="102">
                  <c:v>2.8958936137912037E-3</c:v>
                </c:pt>
                <c:pt idx="103">
                  <c:v>3.2687112330371023E-3</c:v>
                </c:pt>
                <c:pt idx="104">
                  <c:v>3.2687112330371023E-3</c:v>
                </c:pt>
                <c:pt idx="105">
                  <c:v>3.2687112330371023E-3</c:v>
                </c:pt>
                <c:pt idx="106">
                  <c:v>3.2687112330371023E-3</c:v>
                </c:pt>
                <c:pt idx="107">
                  <c:v>3.2687112330371023E-3</c:v>
                </c:pt>
                <c:pt idx="108">
                  <c:v>3.2687112330371023E-3</c:v>
                </c:pt>
                <c:pt idx="109">
                  <c:v>3.2687112330371023E-3</c:v>
                </c:pt>
                <c:pt idx="110">
                  <c:v>3.2687112330371023E-3</c:v>
                </c:pt>
                <c:pt idx="111">
                  <c:v>3.2687112330371023E-3</c:v>
                </c:pt>
                <c:pt idx="112">
                  <c:v>3.2687112330371023E-3</c:v>
                </c:pt>
                <c:pt idx="113">
                  <c:v>3.2687112330371023E-3</c:v>
                </c:pt>
                <c:pt idx="114">
                  <c:v>3.2687112330371023E-3</c:v>
                </c:pt>
                <c:pt idx="115">
                  <c:v>3.2687112330371023E-3</c:v>
                </c:pt>
                <c:pt idx="116">
                  <c:v>3.2687112330371023E-3</c:v>
                </c:pt>
                <c:pt idx="117">
                  <c:v>3.2687112330371023E-3</c:v>
                </c:pt>
                <c:pt idx="118">
                  <c:v>3.2687112330371023E-3</c:v>
                </c:pt>
                <c:pt idx="119">
                  <c:v>3.2687112330371023E-3</c:v>
                </c:pt>
                <c:pt idx="120">
                  <c:v>3.2687112330371023E-3</c:v>
                </c:pt>
                <c:pt idx="121">
                  <c:v>3.2687112330371023E-3</c:v>
                </c:pt>
                <c:pt idx="122">
                  <c:v>3.2687112330371023E-3</c:v>
                </c:pt>
                <c:pt idx="123">
                  <c:v>3.2687112330371023E-3</c:v>
                </c:pt>
                <c:pt idx="124">
                  <c:v>3.2687112330371023E-3</c:v>
                </c:pt>
                <c:pt idx="125">
                  <c:v>3.2687112330371023E-3</c:v>
                </c:pt>
                <c:pt idx="126">
                  <c:v>3.2687112330371023E-3</c:v>
                </c:pt>
                <c:pt idx="127">
                  <c:v>3.2687112330371023E-3</c:v>
                </c:pt>
                <c:pt idx="128">
                  <c:v>3.2687112330371023E-3</c:v>
                </c:pt>
                <c:pt idx="129">
                  <c:v>3.2687112330371023E-3</c:v>
                </c:pt>
                <c:pt idx="130">
                  <c:v>3.2687112330371023E-3</c:v>
                </c:pt>
                <c:pt idx="131">
                  <c:v>3.2687112330371023E-3</c:v>
                </c:pt>
                <c:pt idx="132">
                  <c:v>3.2687112330371023E-3</c:v>
                </c:pt>
                <c:pt idx="133">
                  <c:v>3.2687112330371023E-3</c:v>
                </c:pt>
                <c:pt idx="134">
                  <c:v>3.2687112330371023E-3</c:v>
                </c:pt>
                <c:pt idx="135">
                  <c:v>3.2687112330371023E-3</c:v>
                </c:pt>
                <c:pt idx="136">
                  <c:v>3.2687112330371023E-3</c:v>
                </c:pt>
                <c:pt idx="137">
                  <c:v>3.2687112330371023E-3</c:v>
                </c:pt>
                <c:pt idx="138">
                  <c:v>3.2687112330371023E-3</c:v>
                </c:pt>
                <c:pt idx="139">
                  <c:v>3.2687112330371023E-3</c:v>
                </c:pt>
                <c:pt idx="140">
                  <c:v>3.2687112330371023E-3</c:v>
                </c:pt>
                <c:pt idx="141">
                  <c:v>3.2687112330371023E-3</c:v>
                </c:pt>
                <c:pt idx="142">
                  <c:v>3.2687112330371023E-3</c:v>
                </c:pt>
                <c:pt idx="143">
                  <c:v>3.2687112330371023E-3</c:v>
                </c:pt>
                <c:pt idx="144">
                  <c:v>3.2687112330371023E-3</c:v>
                </c:pt>
                <c:pt idx="145">
                  <c:v>3.2687112330371023E-3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36-4A94-9BDE-72A3996F8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XLU_IDU_1!$BJ$22:$BJ$167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7.3312968565690008E-4</c:v>
                </c:pt>
                <c:pt idx="15">
                  <c:v>1.1830543159335998E-3</c:v>
                </c:pt>
                <c:pt idx="16">
                  <c:v>1.3387788399909003E-3</c:v>
                </c:pt>
                <c:pt idx="17">
                  <c:v>1.3387788399909003E-3</c:v>
                </c:pt>
                <c:pt idx="18">
                  <c:v>1.3387788399909003E-3</c:v>
                </c:pt>
                <c:pt idx="19">
                  <c:v>1.3387788399909003E-3</c:v>
                </c:pt>
                <c:pt idx="20">
                  <c:v>1.3387788399909003E-3</c:v>
                </c:pt>
                <c:pt idx="21">
                  <c:v>1.3387788399909003E-3</c:v>
                </c:pt>
                <c:pt idx="22">
                  <c:v>1.3387788399909003E-3</c:v>
                </c:pt>
                <c:pt idx="23">
                  <c:v>1.3387788399909003E-3</c:v>
                </c:pt>
                <c:pt idx="24">
                  <c:v>1.3387788399909003E-3</c:v>
                </c:pt>
                <c:pt idx="25">
                  <c:v>1.3387788399909003E-3</c:v>
                </c:pt>
                <c:pt idx="26">
                  <c:v>1.3387788399909003E-3</c:v>
                </c:pt>
                <c:pt idx="27">
                  <c:v>1.3387788399909003E-3</c:v>
                </c:pt>
                <c:pt idx="28">
                  <c:v>1.3387788399909003E-3</c:v>
                </c:pt>
                <c:pt idx="29">
                  <c:v>1.3387788399909003E-3</c:v>
                </c:pt>
                <c:pt idx="30">
                  <c:v>1.3387788399909003E-3</c:v>
                </c:pt>
                <c:pt idx="31">
                  <c:v>1.3387788399909003E-3</c:v>
                </c:pt>
                <c:pt idx="32">
                  <c:v>1.3387788399909003E-3</c:v>
                </c:pt>
                <c:pt idx="33">
                  <c:v>1.3387788399909003E-3</c:v>
                </c:pt>
                <c:pt idx="34">
                  <c:v>1.3387788399909003E-3</c:v>
                </c:pt>
                <c:pt idx="35">
                  <c:v>1.3387788399909003E-3</c:v>
                </c:pt>
                <c:pt idx="36">
                  <c:v>1.3387788399909003E-3</c:v>
                </c:pt>
                <c:pt idx="37">
                  <c:v>1.3387788399909003E-3</c:v>
                </c:pt>
                <c:pt idx="38">
                  <c:v>1.3387788399909003E-3</c:v>
                </c:pt>
                <c:pt idx="39">
                  <c:v>1.3387788399909003E-3</c:v>
                </c:pt>
                <c:pt idx="40">
                  <c:v>1.3387788399909003E-3</c:v>
                </c:pt>
                <c:pt idx="41">
                  <c:v>1.3387788399909003E-3</c:v>
                </c:pt>
                <c:pt idx="42">
                  <c:v>1.3387788399909003E-3</c:v>
                </c:pt>
                <c:pt idx="43">
                  <c:v>1.3387788399909003E-3</c:v>
                </c:pt>
                <c:pt idx="44">
                  <c:v>1.3387788399909003E-3</c:v>
                </c:pt>
                <c:pt idx="45">
                  <c:v>1.3387788399909003E-3</c:v>
                </c:pt>
                <c:pt idx="46">
                  <c:v>1.3387788399909003E-3</c:v>
                </c:pt>
                <c:pt idx="47">
                  <c:v>1.3387788399909003E-3</c:v>
                </c:pt>
                <c:pt idx="48">
                  <c:v>1.3387788399909003E-3</c:v>
                </c:pt>
                <c:pt idx="49">
                  <c:v>1.3387788399909003E-3</c:v>
                </c:pt>
                <c:pt idx="50">
                  <c:v>1.3387788399909003E-3</c:v>
                </c:pt>
                <c:pt idx="51">
                  <c:v>1.3387788399909003E-3</c:v>
                </c:pt>
                <c:pt idx="52">
                  <c:v>1.3387788399909003E-3</c:v>
                </c:pt>
                <c:pt idx="53">
                  <c:v>1.3387788399909003E-3</c:v>
                </c:pt>
                <c:pt idx="54">
                  <c:v>1.3387788399909003E-3</c:v>
                </c:pt>
                <c:pt idx="55">
                  <c:v>1.3387788399909003E-3</c:v>
                </c:pt>
                <c:pt idx="56">
                  <c:v>1.3387788399909003E-3</c:v>
                </c:pt>
                <c:pt idx="57">
                  <c:v>1.3387788399909003E-3</c:v>
                </c:pt>
                <c:pt idx="58">
                  <c:v>1.3387788399909003E-3</c:v>
                </c:pt>
                <c:pt idx="59">
                  <c:v>1.3387788399909003E-3</c:v>
                </c:pt>
                <c:pt idx="60">
                  <c:v>1.3387788399909003E-3</c:v>
                </c:pt>
                <c:pt idx="61">
                  <c:v>1.3387788399909003E-3</c:v>
                </c:pt>
                <c:pt idx="62">
                  <c:v>1.3387788399909003E-3</c:v>
                </c:pt>
                <c:pt idx="63">
                  <c:v>1.3387788399909003E-3</c:v>
                </c:pt>
                <c:pt idx="64">
                  <c:v>1.3387788399909003E-3</c:v>
                </c:pt>
                <c:pt idx="65">
                  <c:v>1.3387788399909003E-3</c:v>
                </c:pt>
                <c:pt idx="66">
                  <c:v>1.3387788399909003E-3</c:v>
                </c:pt>
                <c:pt idx="67">
                  <c:v>1.3387788399909003E-3</c:v>
                </c:pt>
                <c:pt idx="68">
                  <c:v>1.3387788399909003E-3</c:v>
                </c:pt>
                <c:pt idx="69">
                  <c:v>1.3387788399909003E-3</c:v>
                </c:pt>
                <c:pt idx="70">
                  <c:v>1.3387788399909003E-3</c:v>
                </c:pt>
                <c:pt idx="71">
                  <c:v>1.3387788399909003E-3</c:v>
                </c:pt>
                <c:pt idx="72">
                  <c:v>1.3387788399909003E-3</c:v>
                </c:pt>
                <c:pt idx="73">
                  <c:v>1.3387788399909003E-3</c:v>
                </c:pt>
                <c:pt idx="74">
                  <c:v>1.3387788399909003E-3</c:v>
                </c:pt>
                <c:pt idx="75">
                  <c:v>1.3387788399909003E-3</c:v>
                </c:pt>
                <c:pt idx="76">
                  <c:v>1.3387788399909003E-3</c:v>
                </c:pt>
                <c:pt idx="77">
                  <c:v>1.3387788399909003E-3</c:v>
                </c:pt>
                <c:pt idx="78">
                  <c:v>1.3387788399909003E-3</c:v>
                </c:pt>
                <c:pt idx="79">
                  <c:v>1.3387788399909003E-3</c:v>
                </c:pt>
                <c:pt idx="80">
                  <c:v>1.3387788399909003E-3</c:v>
                </c:pt>
                <c:pt idx="81">
                  <c:v>1.3387788399909003E-3</c:v>
                </c:pt>
                <c:pt idx="82">
                  <c:v>1.3387788399909003E-3</c:v>
                </c:pt>
                <c:pt idx="83">
                  <c:v>1.3387788399909003E-3</c:v>
                </c:pt>
                <c:pt idx="84">
                  <c:v>1.3387788399909003E-3</c:v>
                </c:pt>
                <c:pt idx="85">
                  <c:v>1.3387788399909003E-3</c:v>
                </c:pt>
                <c:pt idx="86">
                  <c:v>1.3387788399909003E-3</c:v>
                </c:pt>
                <c:pt idx="87">
                  <c:v>1.3387788399909003E-3</c:v>
                </c:pt>
                <c:pt idx="88">
                  <c:v>1.3387788399909003E-3</c:v>
                </c:pt>
                <c:pt idx="89">
                  <c:v>1.3387788399909003E-3</c:v>
                </c:pt>
                <c:pt idx="90">
                  <c:v>1.3387788399909003E-3</c:v>
                </c:pt>
                <c:pt idx="91">
                  <c:v>1.3387788399909003E-3</c:v>
                </c:pt>
                <c:pt idx="92">
                  <c:v>1.3387788399909003E-3</c:v>
                </c:pt>
                <c:pt idx="93">
                  <c:v>1.3387788399909003E-3</c:v>
                </c:pt>
                <c:pt idx="94">
                  <c:v>1.3387788399909003E-3</c:v>
                </c:pt>
                <c:pt idx="95">
                  <c:v>1.3387788399909003E-3</c:v>
                </c:pt>
                <c:pt idx="96">
                  <c:v>1.3387788399909003E-3</c:v>
                </c:pt>
                <c:pt idx="97">
                  <c:v>1.3387788399909003E-3</c:v>
                </c:pt>
                <c:pt idx="98">
                  <c:v>1.3387788399909003E-3</c:v>
                </c:pt>
                <c:pt idx="99">
                  <c:v>1.3387788399909003E-3</c:v>
                </c:pt>
                <c:pt idx="100">
                  <c:v>1.3387788399909003E-3</c:v>
                </c:pt>
                <c:pt idx="101">
                  <c:v>2.9822572454812016E-3</c:v>
                </c:pt>
                <c:pt idx="102">
                  <c:v>2.8958936137912037E-3</c:v>
                </c:pt>
                <c:pt idx="103">
                  <c:v>3.2687112330371023E-3</c:v>
                </c:pt>
                <c:pt idx="104">
                  <c:v>3.2687112330371023E-3</c:v>
                </c:pt>
                <c:pt idx="105">
                  <c:v>3.2687112330371023E-3</c:v>
                </c:pt>
                <c:pt idx="106">
                  <c:v>3.2687112330371023E-3</c:v>
                </c:pt>
                <c:pt idx="107">
                  <c:v>3.2687112330371023E-3</c:v>
                </c:pt>
                <c:pt idx="108">
                  <c:v>3.2687112330371023E-3</c:v>
                </c:pt>
                <c:pt idx="109">
                  <c:v>3.2687112330371023E-3</c:v>
                </c:pt>
                <c:pt idx="110">
                  <c:v>3.2687112330371023E-3</c:v>
                </c:pt>
                <c:pt idx="111">
                  <c:v>3.2687112330371023E-3</c:v>
                </c:pt>
                <c:pt idx="112">
                  <c:v>3.2687112330371023E-3</c:v>
                </c:pt>
                <c:pt idx="113">
                  <c:v>3.2687112330371023E-3</c:v>
                </c:pt>
                <c:pt idx="114">
                  <c:v>3.2687112330371023E-3</c:v>
                </c:pt>
                <c:pt idx="115">
                  <c:v>3.2687112330371023E-3</c:v>
                </c:pt>
                <c:pt idx="116">
                  <c:v>3.2687112330371023E-3</c:v>
                </c:pt>
                <c:pt idx="117">
                  <c:v>3.2687112330371023E-3</c:v>
                </c:pt>
                <c:pt idx="118">
                  <c:v>3.2687112330371023E-3</c:v>
                </c:pt>
                <c:pt idx="119">
                  <c:v>3.2687112330371023E-3</c:v>
                </c:pt>
                <c:pt idx="120">
                  <c:v>3.2687112330371023E-3</c:v>
                </c:pt>
                <c:pt idx="121">
                  <c:v>3.2687112330371023E-3</c:v>
                </c:pt>
                <c:pt idx="122">
                  <c:v>3.2687112330371023E-3</c:v>
                </c:pt>
                <c:pt idx="123">
                  <c:v>3.2687112330371023E-3</c:v>
                </c:pt>
                <c:pt idx="124">
                  <c:v>3.2687112330371023E-3</c:v>
                </c:pt>
                <c:pt idx="125">
                  <c:v>3.2687112330371023E-3</c:v>
                </c:pt>
                <c:pt idx="126">
                  <c:v>3.2687112330371023E-3</c:v>
                </c:pt>
                <c:pt idx="127">
                  <c:v>3.2687112330371023E-3</c:v>
                </c:pt>
                <c:pt idx="128">
                  <c:v>3.2687112330371023E-3</c:v>
                </c:pt>
                <c:pt idx="129">
                  <c:v>3.2687112330371023E-3</c:v>
                </c:pt>
                <c:pt idx="130">
                  <c:v>3.2687112330371023E-3</c:v>
                </c:pt>
                <c:pt idx="131">
                  <c:v>3.2687112330371023E-3</c:v>
                </c:pt>
                <c:pt idx="132">
                  <c:v>3.2687112330371023E-3</c:v>
                </c:pt>
                <c:pt idx="133">
                  <c:v>3.2687112330371023E-3</c:v>
                </c:pt>
                <c:pt idx="134">
                  <c:v>3.2687112330371023E-3</c:v>
                </c:pt>
                <c:pt idx="135">
                  <c:v>3.2687112330371023E-3</c:v>
                </c:pt>
                <c:pt idx="136">
                  <c:v>3.2687112330371023E-3</c:v>
                </c:pt>
                <c:pt idx="137">
                  <c:v>3.2687112330371023E-3</c:v>
                </c:pt>
                <c:pt idx="138">
                  <c:v>3.2687112330371023E-3</c:v>
                </c:pt>
                <c:pt idx="139">
                  <c:v>3.2687112330371023E-3</c:v>
                </c:pt>
                <c:pt idx="140">
                  <c:v>3.2687112330371023E-3</c:v>
                </c:pt>
                <c:pt idx="141">
                  <c:v>3.2687112330371023E-3</c:v>
                </c:pt>
                <c:pt idx="142">
                  <c:v>3.2687112330371023E-3</c:v>
                </c:pt>
                <c:pt idx="143">
                  <c:v>3.2687112330371023E-3</c:v>
                </c:pt>
                <c:pt idx="144">
                  <c:v>3.2687112330371023E-3</c:v>
                </c:pt>
                <c:pt idx="145">
                  <c:v>3.2687112330371023E-3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3-41C8-800B-ED47AF4BB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XLU_IDU_1!$BV$22:$BV$167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8-4E8F-AADC-963238C58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A03913-E5D7-41F1-9A3D-AE9AADF8B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B0D1CD-F55F-41F2-8D9E-1424370DC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84453A-4D7C-405A-868F-A16231CA0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E0BE4E-16E3-4314-809B-9A9DEEC4C5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CB403F-F3C2-4950-B761-E906FEF5E7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9060B4C-C3D6-4B54-A248-FB74B2CAC2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76C7B10-9AD0-4930-B4AA-1418C1390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0B704E-898F-4607-AC9F-C02D5E7689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A461E-E8D1-4854-B9FC-F31A5316BC18}">
  <dimension ref="A1:BY167"/>
  <sheetViews>
    <sheetView tabSelected="1" workbookViewId="0">
      <selection sqref="A1:AG104857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10</v>
      </c>
      <c r="C1" s="3" t="s">
        <v>11</v>
      </c>
      <c r="D1" s="4" t="s">
        <v>12</v>
      </c>
      <c r="E1" s="4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5" t="s">
        <v>22</v>
      </c>
      <c r="O1" s="5" t="s">
        <v>23</v>
      </c>
      <c r="P1" s="5" t="s">
        <v>24</v>
      </c>
      <c r="Q1" s="5" t="s">
        <v>25</v>
      </c>
      <c r="R1" s="3" t="s">
        <v>26</v>
      </c>
      <c r="S1" s="3" t="s">
        <v>27</v>
      </c>
      <c r="T1" s="3" t="s">
        <v>28</v>
      </c>
      <c r="U1" s="4" t="s">
        <v>29</v>
      </c>
      <c r="V1" s="4" t="s">
        <v>30</v>
      </c>
      <c r="W1" s="4" t="s">
        <v>31</v>
      </c>
      <c r="X1" s="5" t="s">
        <v>32</v>
      </c>
      <c r="Y1" s="5" t="s">
        <v>33</v>
      </c>
      <c r="Z1" s="5" t="s">
        <v>34</v>
      </c>
      <c r="AA1" s="5" t="s">
        <v>35</v>
      </c>
      <c r="AB1" s="3" t="s">
        <v>36</v>
      </c>
      <c r="AC1" s="3" t="s">
        <v>37</v>
      </c>
      <c r="AD1" s="3" t="s">
        <v>38</v>
      </c>
      <c r="AE1" s="4" t="s">
        <v>39</v>
      </c>
      <c r="AF1" s="4" t="s">
        <v>40</v>
      </c>
      <c r="AG1" s="4" t="s">
        <v>41</v>
      </c>
      <c r="BG1" s="6"/>
      <c r="BH1" s="6"/>
      <c r="BI1" s="6"/>
      <c r="BJ1" s="7">
        <f>BJ167</f>
        <v>3.2687112330371023E-3</v>
      </c>
      <c r="BS1" s="6"/>
      <c r="BT1" s="6"/>
      <c r="BU1" s="6"/>
      <c r="BV1" s="7">
        <f>BV167</f>
        <v>0</v>
      </c>
      <c r="BY1" s="7">
        <f>BY167</f>
        <v>3.2687112330371023E-3</v>
      </c>
    </row>
    <row r="2" spans="1:77" x14ac:dyDescent="0.3">
      <c r="A2" s="1">
        <v>46024</v>
      </c>
      <c r="B2" s="8">
        <v>94.497500000000002</v>
      </c>
      <c r="C2" s="8">
        <v>225.48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94.497500000000002</v>
      </c>
      <c r="M2" s="8">
        <v>225.48</v>
      </c>
      <c r="N2" s="10">
        <v>2.3860948702346598</v>
      </c>
      <c r="O2" s="10">
        <v>2.3867209477050602</v>
      </c>
      <c r="X2" s="10">
        <v>2.3860948702346598</v>
      </c>
      <c r="Y2" s="10">
        <v>2.3867209477050602</v>
      </c>
    </row>
    <row r="3" spans="1:77" x14ac:dyDescent="0.3">
      <c r="A3" s="1">
        <v>46027</v>
      </c>
      <c r="B3" s="8">
        <v>94.677499999999995</v>
      </c>
      <c r="C3" s="8">
        <v>225.87</v>
      </c>
      <c r="D3" s="9">
        <v>1.90300044214235E-3</v>
      </c>
      <c r="E3" s="9">
        <v>1.72814931676642E-3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94.677499999999995</v>
      </c>
      <c r="M3" s="8">
        <v>225.87</v>
      </c>
      <c r="N3" s="10">
        <v>2.3856776953341599</v>
      </c>
      <c r="O3" s="10">
        <v>2.3867209477050602</v>
      </c>
      <c r="R3" s="8">
        <v>225.96877252634599</v>
      </c>
      <c r="U3" s="9">
        <v>4.3720253296246602E-4</v>
      </c>
      <c r="X3" s="10">
        <v>2.3856776953341599</v>
      </c>
      <c r="Y3" s="10">
        <v>2.3867209477050602</v>
      </c>
      <c r="AB3" s="8">
        <v>225.96877252634599</v>
      </c>
      <c r="AE3" s="9">
        <v>4.3720253296246602E-4</v>
      </c>
    </row>
    <row r="4" spans="1:77" x14ac:dyDescent="0.3">
      <c r="A4" s="1">
        <v>46028</v>
      </c>
      <c r="B4" s="8">
        <v>95.811300000000003</v>
      </c>
      <c r="C4" s="8">
        <v>228.55</v>
      </c>
      <c r="D4" s="9">
        <v>1.19042525263174E-2</v>
      </c>
      <c r="E4" s="9">
        <v>1.1795392247612699E-2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95.811300000000003</v>
      </c>
      <c r="M4" s="8">
        <v>228.55</v>
      </c>
      <c r="N4" s="10">
        <v>2.3854180039306399</v>
      </c>
      <c r="O4" s="10">
        <v>2.3867209477050602</v>
      </c>
      <c r="R4" s="8">
        <v>228.67483673685399</v>
      </c>
      <c r="U4" s="9">
        <v>5.4606281166738699E-4</v>
      </c>
      <c r="X4" s="10">
        <v>2.3854180039306399</v>
      </c>
      <c r="Y4" s="10">
        <v>2.3867209477050602</v>
      </c>
      <c r="AB4" s="8">
        <v>228.67483673685399</v>
      </c>
      <c r="AE4" s="9">
        <v>5.4606281166738699E-4</v>
      </c>
    </row>
    <row r="5" spans="1:77" x14ac:dyDescent="0.3">
      <c r="A5" s="1">
        <v>46029</v>
      </c>
      <c r="B5" s="8">
        <v>95.762500000000003</v>
      </c>
      <c r="C5" s="8">
        <v>228.42</v>
      </c>
      <c r="D5" s="9">
        <v>-5.0946424882228802E-4</v>
      </c>
      <c r="E5" s="9">
        <v>-5.6896515529247902E-4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95.762500000000003</v>
      </c>
      <c r="M5" s="8">
        <v>228.42</v>
      </c>
      <c r="N5" s="10">
        <v>2.3852760736196301</v>
      </c>
      <c r="O5" s="10">
        <v>2.3867209477050602</v>
      </c>
      <c r="R5" s="8">
        <v>228.558364754606</v>
      </c>
      <c r="U5" s="9">
        <v>6.0556371813732504E-4</v>
      </c>
      <c r="X5" s="10">
        <v>2.3852760736196301</v>
      </c>
      <c r="Y5" s="10">
        <v>2.3867209477050602</v>
      </c>
      <c r="AB5" s="8">
        <v>228.558364754606</v>
      </c>
      <c r="AE5" s="9">
        <v>6.0556371813732504E-4</v>
      </c>
    </row>
    <row r="6" spans="1:77" x14ac:dyDescent="0.3">
      <c r="A6" s="1">
        <v>46030</v>
      </c>
      <c r="B6" s="8">
        <v>94.351299999999995</v>
      </c>
      <c r="C6" s="8">
        <v>224.89</v>
      </c>
      <c r="D6" s="9">
        <v>-1.4846117638935801E-2</v>
      </c>
      <c r="E6" s="9">
        <v>-1.5574645852066899E-2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94.351299999999995</v>
      </c>
      <c r="M6" s="8">
        <v>224.89</v>
      </c>
      <c r="N6" s="10">
        <v>2.38353896554684</v>
      </c>
      <c r="O6" s="10">
        <v>2.3867209477050602</v>
      </c>
      <c r="R6" s="8">
        <v>225.19022415320401</v>
      </c>
      <c r="U6" s="9">
        <v>1.33409193126874E-3</v>
      </c>
      <c r="X6" s="10">
        <v>2.38353896554684</v>
      </c>
      <c r="Y6" s="10">
        <v>2.3867209477050602</v>
      </c>
      <c r="AB6" s="8">
        <v>225.19022415320401</v>
      </c>
      <c r="AE6" s="9">
        <v>1.33409193126874E-3</v>
      </c>
    </row>
    <row r="7" spans="1:77" x14ac:dyDescent="0.3">
      <c r="A7" s="1">
        <v>46031</v>
      </c>
      <c r="B7" s="8">
        <v>95.245000000000005</v>
      </c>
      <c r="C7" s="8">
        <v>227.18</v>
      </c>
      <c r="D7" s="9">
        <v>9.4274689866579598E-3</v>
      </c>
      <c r="E7" s="9">
        <v>1.01312610328817E-2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95.245000000000005</v>
      </c>
      <c r="M7" s="8">
        <v>227.18</v>
      </c>
      <c r="N7" s="10">
        <v>2.3852170717622898</v>
      </c>
      <c r="O7" s="10">
        <v>2.3867209477050602</v>
      </c>
      <c r="R7" s="8">
        <v>227.32323666416801</v>
      </c>
      <c r="U7" s="9">
        <v>6.3029988504497998E-4</v>
      </c>
      <c r="X7" s="10">
        <v>2.3852170717622898</v>
      </c>
      <c r="Y7" s="10">
        <v>2.3867209477050602</v>
      </c>
      <c r="AB7" s="8">
        <v>227.32323666416801</v>
      </c>
      <c r="AE7" s="9">
        <v>6.3029988504497998E-4</v>
      </c>
    </row>
    <row r="8" spans="1:77" x14ac:dyDescent="0.3">
      <c r="A8" s="1">
        <v>46034</v>
      </c>
      <c r="B8" s="8">
        <v>95.688800000000001</v>
      </c>
      <c r="C8" s="8">
        <v>228.24</v>
      </c>
      <c r="D8" s="9">
        <v>4.64874002652784E-3</v>
      </c>
      <c r="E8" s="9">
        <v>4.6550521019689201E-3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95.688800000000001</v>
      </c>
      <c r="M8" s="8">
        <v>228.24</v>
      </c>
      <c r="N8" s="10">
        <v>2.38523212747991</v>
      </c>
      <c r="O8" s="10">
        <v>2.3867209477050602</v>
      </c>
      <c r="R8" s="8">
        <v>228.38246342075999</v>
      </c>
      <c r="U8" s="9">
        <v>6.2398780960369301E-4</v>
      </c>
      <c r="X8" s="10">
        <v>2.38523212747991</v>
      </c>
      <c r="Y8" s="10">
        <v>2.3867209477050602</v>
      </c>
      <c r="AB8" s="8">
        <v>228.38246342075999</v>
      </c>
      <c r="AE8" s="9">
        <v>6.2398780960369301E-4</v>
      </c>
    </row>
    <row r="9" spans="1:77" x14ac:dyDescent="0.3">
      <c r="A9" s="1">
        <v>46035</v>
      </c>
      <c r="B9" s="8">
        <v>95.551299999999998</v>
      </c>
      <c r="C9" s="8">
        <v>228.05</v>
      </c>
      <c r="D9" s="9">
        <v>-1.43798318128359E-3</v>
      </c>
      <c r="E9" s="9">
        <v>-8.3280374753507498E-4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95.551299999999998</v>
      </c>
      <c r="M9" s="8">
        <v>228.05</v>
      </c>
      <c r="N9" s="10">
        <v>2.3866760577825699</v>
      </c>
      <c r="O9" s="10">
        <v>2.3867209477050602</v>
      </c>
      <c r="R9" s="8">
        <v>228.05428929044999</v>
      </c>
      <c r="U9" s="9">
        <v>1.88083758553409E-5</v>
      </c>
      <c r="X9" s="10">
        <v>2.3866760577825699</v>
      </c>
      <c r="Y9" s="10">
        <v>2.3867209477050602</v>
      </c>
      <c r="AB9" s="8">
        <v>228.05428929044999</v>
      </c>
      <c r="AE9" s="9">
        <v>1.88083758553409E-5</v>
      </c>
      <c r="BJ9" s="12">
        <f>AVERAGE(BI22:BI200)</f>
        <v>2.2388433102993851E-5</v>
      </c>
      <c r="BV9" s="12">
        <f>AVERAGE(BU22:BU200)</f>
        <v>0</v>
      </c>
      <c r="BY9" s="12">
        <f>AVERAGE(BX22:BX200)</f>
        <v>2.2388433102993851E-5</v>
      </c>
    </row>
    <row r="10" spans="1:77" x14ac:dyDescent="0.3">
      <c r="A10" s="1">
        <v>46036</v>
      </c>
      <c r="B10" s="8">
        <v>94.41</v>
      </c>
      <c r="C10" s="8">
        <v>225.19</v>
      </c>
      <c r="D10" s="9">
        <v>-1.2016276291480501E-2</v>
      </c>
      <c r="E10" s="9">
        <v>-1.2620412851461101E-2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94.41</v>
      </c>
      <c r="M10" s="8">
        <v>225.19</v>
      </c>
      <c r="N10" s="10">
        <v>2.3852346149772199</v>
      </c>
      <c r="O10" s="10">
        <v>2.3867209477050602</v>
      </c>
      <c r="R10" s="8">
        <v>225.33032467283499</v>
      </c>
      <c r="U10" s="9">
        <v>6.22944935836072E-4</v>
      </c>
      <c r="X10" s="10">
        <v>2.3852346149772199</v>
      </c>
      <c r="Y10" s="10">
        <v>2.3867209477050602</v>
      </c>
      <c r="AB10" s="8">
        <v>225.33032467283499</v>
      </c>
      <c r="AE10" s="9">
        <v>6.22944935836072E-4</v>
      </c>
      <c r="AZ10" s="13"/>
      <c r="BJ10" s="12">
        <f>STDEV(BI22:BI200)</f>
        <v>1.5621499413555437E-4</v>
      </c>
      <c r="BL10" s="13"/>
      <c r="BV10" s="12">
        <f>STDEV(BU22:BU200)</f>
        <v>0</v>
      </c>
      <c r="BY10" s="12">
        <f>STDEV(BX22:BX200)</f>
        <v>1.5621499413555437E-4</v>
      </c>
    </row>
    <row r="11" spans="1:77" x14ac:dyDescent="0.3">
      <c r="A11" s="1">
        <v>46037</v>
      </c>
      <c r="B11" s="8">
        <v>94.918800000000005</v>
      </c>
      <c r="C11" s="8">
        <v>226.38</v>
      </c>
      <c r="D11" s="9">
        <v>5.3747895181924903E-3</v>
      </c>
      <c r="E11" s="9">
        <v>5.2705128980258201E-3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94.918800000000005</v>
      </c>
      <c r="M11" s="8">
        <v>226.38</v>
      </c>
      <c r="N11" s="10">
        <v>2.3849859037408798</v>
      </c>
      <c r="O11" s="10">
        <v>2.3867209477050602</v>
      </c>
      <c r="P11" s="10">
        <v>2.3853351384408801</v>
      </c>
      <c r="R11" s="8">
        <v>226.544688291027</v>
      </c>
      <c r="U11" s="9">
        <v>7.2722155600263695E-4</v>
      </c>
      <c r="X11" s="10">
        <v>2.3849859037408798</v>
      </c>
      <c r="Y11" s="10">
        <v>2.3867209477050602</v>
      </c>
      <c r="Z11" s="10">
        <v>2.3853351384408801</v>
      </c>
      <c r="AB11" s="8">
        <v>226.544688291027</v>
      </c>
      <c r="AE11" s="9">
        <v>7.2722155600263695E-4</v>
      </c>
      <c r="BJ11">
        <f>SQRT(252)*BJ9/BJ10</f>
        <v>2.2751039961065893</v>
      </c>
      <c r="BV11" t="e">
        <f>SQRT(252)*BV9/BV10</f>
        <v>#DIV/0!</v>
      </c>
      <c r="BY11">
        <f>SQRT(252)*BY9/BY10</f>
        <v>2.2751039961065893</v>
      </c>
    </row>
    <row r="12" spans="1:77" x14ac:dyDescent="0.3">
      <c r="A12" s="1">
        <v>46038</v>
      </c>
      <c r="B12" s="8">
        <v>94.868799999999993</v>
      </c>
      <c r="C12" s="8">
        <v>226.28</v>
      </c>
      <c r="D12" s="9">
        <v>-5.2690482578208705E-4</v>
      </c>
      <c r="E12" s="9">
        <v>-4.4183272931908502E-4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94.868799999999993</v>
      </c>
      <c r="M12" s="8">
        <v>226.28</v>
      </c>
      <c r="N12" s="10">
        <v>2.3851888081223702</v>
      </c>
      <c r="O12" s="10">
        <v>2.3867209477050602</v>
      </c>
      <c r="P12" s="10">
        <v>2.3852445322296498</v>
      </c>
      <c r="R12" s="8">
        <v>226.42535224364201</v>
      </c>
      <c r="S12" s="8">
        <v>226.29388218171999</v>
      </c>
      <c r="U12" s="9">
        <v>6.4214945953964501E-4</v>
      </c>
      <c r="V12" s="9">
        <v>6.1347692703467402E-5</v>
      </c>
      <c r="X12" s="10">
        <v>2.3851888081223702</v>
      </c>
      <c r="Y12" s="10">
        <v>2.3867209477050602</v>
      </c>
      <c r="Z12" s="10">
        <v>2.3852445322296498</v>
      </c>
      <c r="AB12" s="8">
        <v>226.42535224364201</v>
      </c>
      <c r="AC12" s="8">
        <v>226.29388218171999</v>
      </c>
      <c r="AE12" s="9">
        <v>6.4214945953964501E-4</v>
      </c>
      <c r="AF12" s="9">
        <v>6.1347692703467402E-5</v>
      </c>
    </row>
    <row r="13" spans="1:77" x14ac:dyDescent="0.3">
      <c r="A13" s="1">
        <v>46042</v>
      </c>
      <c r="B13" s="8">
        <v>92.336299999999994</v>
      </c>
      <c r="C13" s="8">
        <v>220.45</v>
      </c>
      <c r="D13" s="9">
        <v>-2.7057537469864099E-2</v>
      </c>
      <c r="E13" s="9">
        <v>-2.6102258671008301E-2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92.336299999999994</v>
      </c>
      <c r="M13" s="8">
        <v>220.45</v>
      </c>
      <c r="N13" s="10">
        <v>2.3874684170797398</v>
      </c>
      <c r="O13" s="10">
        <v>2.3867209477050602</v>
      </c>
      <c r="P13" s="10">
        <v>2.3854236044042101</v>
      </c>
      <c r="R13" s="8">
        <v>220.380981443579</v>
      </c>
      <c r="S13" s="8">
        <v>220.24465470131699</v>
      </c>
      <c r="U13" s="9">
        <v>-3.1312933931613302E-4</v>
      </c>
      <c r="V13" s="9">
        <v>-9.31916515680845E-4</v>
      </c>
      <c r="X13" s="10">
        <v>2.3874684170797398</v>
      </c>
      <c r="Y13" s="10">
        <v>2.3867209477050602</v>
      </c>
      <c r="Z13" s="10">
        <v>2.3854236044042101</v>
      </c>
      <c r="AB13" s="8">
        <v>220.380981443579</v>
      </c>
      <c r="AC13" s="8">
        <v>220.24465470131699</v>
      </c>
      <c r="AE13" s="9">
        <v>-3.1312933931613302E-4</v>
      </c>
      <c r="AF13" s="9">
        <v>-9.31916515680845E-4</v>
      </c>
    </row>
    <row r="14" spans="1:77" x14ac:dyDescent="0.3">
      <c r="A14" s="1">
        <v>46043</v>
      </c>
      <c r="B14" s="8">
        <v>93.575000000000003</v>
      </c>
      <c r="C14" s="8">
        <v>223.26</v>
      </c>
      <c r="D14" s="9">
        <v>1.33259068235211E-2</v>
      </c>
      <c r="E14" s="9">
        <v>1.26660997826394E-2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93.575000000000003</v>
      </c>
      <c r="M14" s="8">
        <v>223.26</v>
      </c>
      <c r="N14" s="10">
        <v>2.3858936681806</v>
      </c>
      <c r="O14" s="10">
        <v>2.3867209477050602</v>
      </c>
      <c r="P14" s="10">
        <v>2.3854711708292</v>
      </c>
      <c r="R14" s="8">
        <v>223.33741268150101</v>
      </c>
      <c r="S14" s="8">
        <v>223.21601378212401</v>
      </c>
      <c r="U14" s="9">
        <v>3.46677701565709E-4</v>
      </c>
      <c r="V14" s="9">
        <v>-1.9703731739347601E-4</v>
      </c>
      <c r="X14" s="10">
        <v>2.3858936681806</v>
      </c>
      <c r="Y14" s="10">
        <v>2.3867209477050602</v>
      </c>
      <c r="Z14" s="10">
        <v>2.3854711708292</v>
      </c>
      <c r="AB14" s="8">
        <v>223.33741268150101</v>
      </c>
      <c r="AC14" s="8">
        <v>223.21601378212401</v>
      </c>
      <c r="AE14" s="9">
        <v>3.46677701565709E-4</v>
      </c>
      <c r="AF14" s="9">
        <v>-1.9703731739347601E-4</v>
      </c>
    </row>
    <row r="15" spans="1:77" x14ac:dyDescent="0.3">
      <c r="A15" s="1">
        <v>46044</v>
      </c>
      <c r="B15" s="8">
        <v>94.281300000000002</v>
      </c>
      <c r="C15" s="8">
        <v>224.92</v>
      </c>
      <c r="D15" s="9">
        <v>7.5196128968417096E-3</v>
      </c>
      <c r="E15" s="9">
        <v>7.4077718374148897E-3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94.281300000000002</v>
      </c>
      <c r="M15" s="8">
        <v>224.92</v>
      </c>
      <c r="N15" s="10">
        <v>2.3856268422264</v>
      </c>
      <c r="O15" s="10">
        <v>2.3867209477050602</v>
      </c>
      <c r="P15" s="10">
        <v>2.3855062476898801</v>
      </c>
      <c r="R15" s="8">
        <v>225.02315368686499</v>
      </c>
      <c r="S15" s="8">
        <v>224.90532309829899</v>
      </c>
      <c r="U15" s="9">
        <v>4.5851876099269002E-4</v>
      </c>
      <c r="V15" s="9">
        <v>-6.5256004727398296E-5</v>
      </c>
      <c r="X15" s="10">
        <v>2.3856268422264</v>
      </c>
      <c r="Y15" s="10">
        <v>2.3867209477050602</v>
      </c>
      <c r="Z15" s="10">
        <v>2.3855062476898801</v>
      </c>
      <c r="AB15" s="8">
        <v>225.02315368686499</v>
      </c>
      <c r="AC15" s="8">
        <v>224.90532309829899</v>
      </c>
      <c r="AE15" s="9">
        <v>4.5851876099269002E-4</v>
      </c>
      <c r="AF15" s="9">
        <v>-6.5256004727398296E-5</v>
      </c>
    </row>
    <row r="16" spans="1:77" x14ac:dyDescent="0.3">
      <c r="A16" s="1">
        <v>46045</v>
      </c>
      <c r="B16" s="8">
        <v>94.373800000000003</v>
      </c>
      <c r="C16" s="8">
        <v>225.19</v>
      </c>
      <c r="D16" s="9">
        <v>9.806255692269999E-4</v>
      </c>
      <c r="E16" s="9">
        <v>1.19970688224747E-3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94.373800000000003</v>
      </c>
      <c r="M16" s="8">
        <v>225.19</v>
      </c>
      <c r="N16" s="10">
        <v>2.3861495457425601</v>
      </c>
      <c r="O16" s="10">
        <v>2.3867209477050602</v>
      </c>
      <c r="P16" s="10">
        <v>2.3857673057094502</v>
      </c>
      <c r="R16" s="8">
        <v>225.243925374528</v>
      </c>
      <c r="S16" s="8">
        <v>225.129289518235</v>
      </c>
      <c r="U16" s="9">
        <v>2.39437447972209E-4</v>
      </c>
      <c r="V16" s="9">
        <v>-2.6963305168200999E-4</v>
      </c>
      <c r="X16" s="10">
        <v>2.3861495457425601</v>
      </c>
      <c r="Y16" s="10">
        <v>2.3867209477050602</v>
      </c>
      <c r="Z16" s="10">
        <v>2.3857673057094502</v>
      </c>
      <c r="AB16" s="8">
        <v>225.243925374528</v>
      </c>
      <c r="AC16" s="8">
        <v>225.129289518235</v>
      </c>
      <c r="AE16" s="9">
        <v>2.39437447972209E-4</v>
      </c>
      <c r="AF16" s="9">
        <v>-2.6963305168200999E-4</v>
      </c>
    </row>
    <row r="17" spans="1:77" x14ac:dyDescent="0.3">
      <c r="A17" s="1">
        <v>46048</v>
      </c>
      <c r="B17" s="8">
        <v>95.053700000000006</v>
      </c>
      <c r="C17" s="8">
        <v>226.82</v>
      </c>
      <c r="D17" s="9">
        <v>7.1785028008346397E-3</v>
      </c>
      <c r="E17" s="9">
        <v>7.2122610809361503E-3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95.053700000000006</v>
      </c>
      <c r="M17" s="8">
        <v>226.82</v>
      </c>
      <c r="N17" s="10">
        <v>2.3862300994069598</v>
      </c>
      <c r="O17" s="10">
        <v>2.3867209477050602</v>
      </c>
      <c r="P17" s="10">
        <v>2.38586860847392</v>
      </c>
      <c r="R17" s="8">
        <v>226.86665694687201</v>
      </c>
      <c r="S17" s="8">
        <v>226.776009746715</v>
      </c>
      <c r="U17" s="9">
        <v>2.0567916787068199E-4</v>
      </c>
      <c r="V17" s="9">
        <v>-1.9396225926827099E-4</v>
      </c>
      <c r="X17" s="10">
        <v>2.3862300994069598</v>
      </c>
      <c r="Y17" s="10">
        <v>2.3867209477050602</v>
      </c>
      <c r="Z17" s="10">
        <v>2.38586860847392</v>
      </c>
      <c r="AB17" s="8">
        <v>226.86665694687201</v>
      </c>
      <c r="AC17" s="8">
        <v>226.776009746715</v>
      </c>
      <c r="AE17" s="9">
        <v>2.0567916787068199E-4</v>
      </c>
      <c r="AF17" s="9">
        <v>-1.9396225926827099E-4</v>
      </c>
    </row>
    <row r="18" spans="1:77" x14ac:dyDescent="0.3">
      <c r="A18" s="1">
        <v>46049</v>
      </c>
      <c r="B18" s="8">
        <v>96.237499999999997</v>
      </c>
      <c r="C18" s="8">
        <v>229.61</v>
      </c>
      <c r="D18" s="9">
        <v>1.23770995467718E-2</v>
      </c>
      <c r="E18" s="9">
        <v>1.22254661167473E-2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96.237499999999997</v>
      </c>
      <c r="M18" s="8">
        <v>229.61</v>
      </c>
      <c r="N18" s="10">
        <v>2.3858682945837102</v>
      </c>
      <c r="O18" s="10">
        <v>2.3867209477050602</v>
      </c>
      <c r="P18" s="10">
        <v>2.3859322251843</v>
      </c>
      <c r="R18" s="8">
        <v>229.692057204766</v>
      </c>
      <c r="S18" s="8">
        <v>229.61003020800899</v>
      </c>
      <c r="U18" s="9">
        <v>3.57312597895212E-4</v>
      </c>
      <c r="V18" s="9">
        <v>1.31562246213787E-7</v>
      </c>
      <c r="X18" s="10">
        <v>2.3858682945837102</v>
      </c>
      <c r="Y18" s="10">
        <v>2.3867209477050602</v>
      </c>
      <c r="Z18" s="10">
        <v>2.3859322251843</v>
      </c>
      <c r="AB18" s="8">
        <v>229.692057204766</v>
      </c>
      <c r="AC18" s="8">
        <v>229.61003020800899</v>
      </c>
      <c r="AE18" s="9">
        <v>3.57312597895212E-4</v>
      </c>
      <c r="AF18" s="9">
        <v>1.31562246213787E-7</v>
      </c>
    </row>
    <row r="19" spans="1:77" x14ac:dyDescent="0.3">
      <c r="A19" s="1">
        <v>46050</v>
      </c>
      <c r="B19" s="8">
        <v>96.897499999999994</v>
      </c>
      <c r="C19" s="8">
        <v>231.23</v>
      </c>
      <c r="D19" s="9">
        <v>6.8346241661304402E-3</v>
      </c>
      <c r="E19" s="9">
        <v>7.0306686619443304E-3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96.897499999999994</v>
      </c>
      <c r="M19" s="8">
        <v>231.23</v>
      </c>
      <c r="N19" s="10">
        <v>2.3863360767821602</v>
      </c>
      <c r="O19" s="10">
        <v>2.3867209477050602</v>
      </c>
      <c r="P19" s="10">
        <v>2.3858982270842599</v>
      </c>
      <c r="R19" s="8">
        <v>231.26729303025101</v>
      </c>
      <c r="S19" s="8">
        <v>231.19086778979599</v>
      </c>
      <c r="U19" s="9">
        <v>1.6126810208118501E-4</v>
      </c>
      <c r="V19" s="9">
        <v>-1.6924932684931701E-4</v>
      </c>
      <c r="X19" s="10">
        <v>2.3863360767821602</v>
      </c>
      <c r="Y19" s="10">
        <v>2.3867209477050602</v>
      </c>
      <c r="Z19" s="10">
        <v>2.3858982270842599</v>
      </c>
      <c r="AB19" s="8">
        <v>231.26729303025101</v>
      </c>
      <c r="AC19" s="8">
        <v>231.19086778979599</v>
      </c>
      <c r="AE19" s="9">
        <v>1.6126810208118501E-4</v>
      </c>
      <c r="AF19" s="9">
        <v>-1.6924932684931701E-4</v>
      </c>
      <c r="BX19" s="6" t="s">
        <v>1</v>
      </c>
      <c r="BY19" s="6" t="s">
        <v>1</v>
      </c>
    </row>
    <row r="20" spans="1:77" x14ac:dyDescent="0.3">
      <c r="A20" s="1">
        <v>46051</v>
      </c>
      <c r="B20" s="8">
        <v>95.1</v>
      </c>
      <c r="C20" s="8">
        <v>226.94</v>
      </c>
      <c r="D20" s="9">
        <v>-1.8724749218953798E-2</v>
      </c>
      <c r="E20" s="9">
        <v>-1.87272208030329E-2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95.1</v>
      </c>
      <c r="M20" s="8">
        <v>226.94</v>
      </c>
      <c r="N20" s="10">
        <v>2.3863301787591999</v>
      </c>
      <c r="O20" s="10">
        <v>2.3867209477050602</v>
      </c>
      <c r="P20" s="10">
        <v>2.38600778346246</v>
      </c>
      <c r="R20" s="8">
        <v>226.97716212675101</v>
      </c>
      <c r="S20" s="8">
        <v>226.89892139571299</v>
      </c>
      <c r="U20" s="9">
        <v>1.6373968616016001E-4</v>
      </c>
      <c r="V20" s="9">
        <v>-1.8102724320035601E-4</v>
      </c>
      <c r="X20" s="10">
        <v>2.3863301787591999</v>
      </c>
      <c r="Y20" s="10">
        <v>2.3867209477050602</v>
      </c>
      <c r="Z20" s="10">
        <v>2.38600778346246</v>
      </c>
      <c r="AB20" s="8">
        <v>226.97716212675101</v>
      </c>
      <c r="AC20" s="8">
        <v>226.89892139571299</v>
      </c>
      <c r="AE20" s="9">
        <v>1.6373968616016001E-4</v>
      </c>
      <c r="AF20" s="9">
        <v>-1.8102724320035601E-4</v>
      </c>
      <c r="AZ20" s="14" t="s">
        <v>2</v>
      </c>
      <c r="BA20" s="15">
        <v>-1.1209599027042093E-3</v>
      </c>
      <c r="BB20" s="6" t="s">
        <v>3</v>
      </c>
      <c r="BC20" s="6" t="s">
        <v>4</v>
      </c>
      <c r="BD20" s="6" t="s">
        <v>5</v>
      </c>
      <c r="BE20" s="6" t="s">
        <v>6</v>
      </c>
      <c r="BF20" s="6" t="s">
        <v>7</v>
      </c>
      <c r="BG20" s="6" t="str">
        <f>D1</f>
        <v>VGT log rtn</v>
      </c>
      <c r="BH20" s="6" t="str">
        <f>E1</f>
        <v>FTEC log rtn</v>
      </c>
      <c r="BI20" s="6" t="s">
        <v>8</v>
      </c>
      <c r="BJ20" s="6" t="s">
        <v>9</v>
      </c>
      <c r="BL20" s="14" t="s">
        <v>2</v>
      </c>
      <c r="BM20" s="15">
        <v>2.2260370323622628E-3</v>
      </c>
      <c r="BN20" s="6" t="s">
        <v>4</v>
      </c>
      <c r="BO20" s="6" t="s">
        <v>3</v>
      </c>
      <c r="BP20" s="6" t="s">
        <v>5</v>
      </c>
      <c r="BQ20" s="6" t="s">
        <v>6</v>
      </c>
      <c r="BR20" s="6" t="s">
        <v>7</v>
      </c>
      <c r="BS20" s="7" t="str">
        <f>D1</f>
        <v>VGT log rtn</v>
      </c>
      <c r="BT20" s="7" t="str">
        <f>E1</f>
        <v>FTEC log rtn</v>
      </c>
      <c r="BU20" s="6" t="s">
        <v>8</v>
      </c>
      <c r="BV20" s="6" t="s">
        <v>9</v>
      </c>
      <c r="BX20" s="6" t="s">
        <v>8</v>
      </c>
      <c r="BY20" s="6" t="s">
        <v>9</v>
      </c>
    </row>
    <row r="21" spans="1:77" x14ac:dyDescent="0.3">
      <c r="A21" s="1">
        <v>46052</v>
      </c>
      <c r="B21" s="8">
        <v>93.49</v>
      </c>
      <c r="C21" s="8">
        <v>222.96</v>
      </c>
      <c r="D21" s="9">
        <v>-1.7074490848120301E-2</v>
      </c>
      <c r="E21" s="9">
        <v>-1.7693282189150498E-2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93.49</v>
      </c>
      <c r="M21" s="8">
        <v>222.96</v>
      </c>
      <c r="N21" s="10">
        <v>2.3848539950796801</v>
      </c>
      <c r="O21" s="10">
        <v>2.3867209477050602</v>
      </c>
      <c r="P21" s="10">
        <v>2.3859945925963402</v>
      </c>
      <c r="Q21" s="10">
        <v>2.3856648655186099</v>
      </c>
      <c r="R21" s="8">
        <v>223.13454140094601</v>
      </c>
      <c r="S21" s="8">
        <v>223.06786767590501</v>
      </c>
      <c r="U21" s="9">
        <v>7.8253102719059997E-4</v>
      </c>
      <c r="V21" s="9">
        <v>4.83681338435463E-4</v>
      </c>
      <c r="X21" s="10">
        <v>2.3848539950796801</v>
      </c>
      <c r="Y21" s="10">
        <v>2.3867209477050602</v>
      </c>
      <c r="Z21" s="10">
        <v>2.3859945925963402</v>
      </c>
      <c r="AA21" s="10">
        <v>2.3856648655186099</v>
      </c>
      <c r="AB21" s="8">
        <v>223.13454140094601</v>
      </c>
      <c r="AC21" s="8">
        <v>223.06786767590501</v>
      </c>
      <c r="AE21" s="9">
        <v>7.8253102719059997E-4</v>
      </c>
      <c r="AF21" s="9">
        <v>4.83681338435463E-4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94.131299999999996</v>
      </c>
      <c r="C22" s="8">
        <v>224.76</v>
      </c>
      <c r="D22" s="9">
        <v>6.8361374478852601E-3</v>
      </c>
      <c r="E22" s="9">
        <v>8.0407830703046208E-3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94.131299999999996</v>
      </c>
      <c r="M22" s="8">
        <v>224.76</v>
      </c>
      <c r="N22" s="10">
        <v>2.38772863011559</v>
      </c>
      <c r="O22" s="10">
        <v>2.3867209477050602</v>
      </c>
      <c r="P22" s="10">
        <v>2.3862485747956601</v>
      </c>
      <c r="Q22" s="10">
        <v>2.3857465535126501</v>
      </c>
      <c r="R22" s="8">
        <v>224.66514554470899</v>
      </c>
      <c r="S22" s="8">
        <v>224.59677279406401</v>
      </c>
      <c r="T22" s="8">
        <v>224.56573515559199</v>
      </c>
      <c r="U22" s="9">
        <v>-4.2211459522885602E-4</v>
      </c>
      <c r="V22" s="9">
        <v>-7.2649272470141099E-4</v>
      </c>
      <c r="W22" s="9">
        <v>-8.6469499213006403E-4</v>
      </c>
      <c r="X22" s="10">
        <v>2.38772863011559</v>
      </c>
      <c r="Y22" s="10">
        <v>2.3867209477050602</v>
      </c>
      <c r="Z22" s="10">
        <v>2.3862485747956601</v>
      </c>
      <c r="AA22" s="10">
        <v>2.3857465535126501</v>
      </c>
      <c r="AB22" s="8">
        <v>224.66514554470899</v>
      </c>
      <c r="AC22" s="8">
        <v>224.59677279406401</v>
      </c>
      <c r="AD22" s="8">
        <v>224.56573515559199</v>
      </c>
      <c r="AE22" s="9">
        <v>-4.2211459522885602E-4</v>
      </c>
      <c r="AF22" s="9">
        <v>-7.2649272470141099E-4</v>
      </c>
      <c r="AG22" s="9">
        <v>-8.6469499213006403E-4</v>
      </c>
      <c r="AZ22" s="9"/>
      <c r="BB22">
        <f>IF($AG22&lt;BA$20,1,0)</f>
        <v>0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92.055000000000007</v>
      </c>
      <c r="C23" s="8">
        <v>219.58</v>
      </c>
      <c r="D23" s="9">
        <v>-2.23043916419393E-2</v>
      </c>
      <c r="E23" s="9">
        <v>-2.3316535437410899E-2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92.055000000000007</v>
      </c>
      <c r="M23" s="8">
        <v>219.58</v>
      </c>
      <c r="N23" s="10">
        <v>2.38531312802129</v>
      </c>
      <c r="O23" s="10">
        <v>2.3867209477050602</v>
      </c>
      <c r="P23" s="10">
        <v>2.38603304588981</v>
      </c>
      <c r="Q23" s="10">
        <v>2.3857283251470101</v>
      </c>
      <c r="R23" s="8">
        <v>219.70959684098901</v>
      </c>
      <c r="S23" s="8">
        <v>219.66611255281401</v>
      </c>
      <c r="T23" s="8">
        <v>219.61989898360699</v>
      </c>
      <c r="U23" s="9">
        <v>5.9002920024279798E-4</v>
      </c>
      <c r="V23" s="9">
        <v>3.9209250330118998E-4</v>
      </c>
      <c r="W23" s="9">
        <v>1.8168940298003599E-4</v>
      </c>
      <c r="X23" s="10">
        <v>2.38531312802129</v>
      </c>
      <c r="Y23" s="10">
        <v>2.3867209477050602</v>
      </c>
      <c r="Z23" s="10">
        <v>2.38603304588981</v>
      </c>
      <c r="AA23" s="10">
        <v>2.3857283251470101</v>
      </c>
      <c r="AB23" s="8">
        <v>219.70959684098901</v>
      </c>
      <c r="AC23" s="8">
        <v>219.66611255281401</v>
      </c>
      <c r="AD23" s="8">
        <v>219.61989898360699</v>
      </c>
      <c r="AE23" s="9">
        <v>5.9002920024279798E-4</v>
      </c>
      <c r="AF23" s="9">
        <v>3.9209250330118998E-4</v>
      </c>
      <c r="AG23" s="9">
        <v>1.8168940298003599E-4</v>
      </c>
      <c r="AZ23" s="9"/>
      <c r="BB23">
        <f t="shared" ref="BB23:BB86" si="2">IF($AG23&lt;BA$20,1,0)</f>
        <v>0</v>
      </c>
      <c r="BC23">
        <f t="shared" ref="BC23:BC86" si="3">IF($AG23&gt;BA$21,1,0)</f>
        <v>1</v>
      </c>
      <c r="BD23">
        <f t="shared" ref="BD23:BD86" si="4">BF23</f>
        <v>0</v>
      </c>
      <c r="BE23">
        <f t="shared" si="0"/>
        <v>1</v>
      </c>
      <c r="BF23">
        <f t="shared" ref="BF23:BF86" si="5">IF(BB22,1,IF(BC22,0,BD22))*BE22</f>
        <v>0</v>
      </c>
      <c r="BG23" s="9">
        <f t="shared" ref="BG23:BG86" si="6">BF23*D23</f>
        <v>0</v>
      </c>
      <c r="BH23" s="9">
        <f t="shared" ref="BH23:BH86" si="7">-BF23*$E23</f>
        <v>0</v>
      </c>
      <c r="BI23" s="9">
        <f t="shared" ref="BI23:BI86" si="8">BG23+BH23</f>
        <v>0</v>
      </c>
      <c r="BJ23" s="12">
        <f t="shared" ref="BJ23:BJ86" si="9">BJ22+BI23</f>
        <v>0</v>
      </c>
      <c r="BL23" s="9"/>
      <c r="BN23">
        <f t="shared" ref="BN23:BN86" si="10">IF($AG23&gt;BM$20,1,0)</f>
        <v>0</v>
      </c>
      <c r="BO23">
        <f t="shared" ref="BO23:BO86" si="11">IF($AG23&lt;BM$21,1,0)</f>
        <v>0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0</v>
      </c>
      <c r="BY23" s="12">
        <f t="shared" ref="BY23:BY86" si="19">BY22+BX23</f>
        <v>0</v>
      </c>
    </row>
    <row r="24" spans="1:77" x14ac:dyDescent="0.3">
      <c r="A24" s="1">
        <v>46057</v>
      </c>
      <c r="B24" s="8">
        <v>90.218800000000002</v>
      </c>
      <c r="C24" s="8">
        <v>215.16</v>
      </c>
      <c r="D24" s="9">
        <v>-2.01483934375941E-2</v>
      </c>
      <c r="E24" s="9">
        <v>-2.0334693401544601E-2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90.218800000000002</v>
      </c>
      <c r="M24" s="8">
        <v>215.16</v>
      </c>
      <c r="N24" s="10">
        <v>2.38486878566329</v>
      </c>
      <c r="O24" s="10">
        <v>2.3867209477050602</v>
      </c>
      <c r="P24" s="10">
        <v>2.3859305576380798</v>
      </c>
      <c r="Q24" s="10">
        <v>2.3857008642336401</v>
      </c>
      <c r="R24" s="8">
        <v>215.32709983681301</v>
      </c>
      <c r="S24" s="8">
        <v>215.265038160524</v>
      </c>
      <c r="T24" s="8">
        <v>215.237546620773</v>
      </c>
      <c r="U24" s="9">
        <v>7.7632916419314896E-4</v>
      </c>
      <c r="V24" s="9">
        <v>4.8806715825997702E-4</v>
      </c>
      <c r="W24" s="9">
        <v>3.6034880877731002E-4</v>
      </c>
      <c r="X24" s="10">
        <v>2.38486878566329</v>
      </c>
      <c r="Y24" s="10">
        <v>2.3867209477050602</v>
      </c>
      <c r="Z24" s="10">
        <v>2.3859305576380798</v>
      </c>
      <c r="AA24" s="10">
        <v>2.3857008642336401</v>
      </c>
      <c r="AB24" s="8">
        <v>215.32709983681301</v>
      </c>
      <c r="AC24" s="8">
        <v>215.265038160524</v>
      </c>
      <c r="AD24" s="8">
        <v>215.237546620773</v>
      </c>
      <c r="AE24" s="9">
        <v>7.7632916419314896E-4</v>
      </c>
      <c r="AF24" s="9">
        <v>4.8806715825997702E-4</v>
      </c>
      <c r="AG24" s="9">
        <v>3.6034880877731002E-4</v>
      </c>
      <c r="AZ24" s="9"/>
      <c r="BB24">
        <f t="shared" si="2"/>
        <v>0</v>
      </c>
      <c r="BC24">
        <f t="shared" si="3"/>
        <v>1</v>
      </c>
      <c r="BD24">
        <f t="shared" si="4"/>
        <v>0</v>
      </c>
      <c r="BE24">
        <f t="shared" si="0"/>
        <v>1</v>
      </c>
      <c r="BF24">
        <f t="shared" si="5"/>
        <v>0</v>
      </c>
      <c r="BG24" s="9">
        <f t="shared" si="6"/>
        <v>0</v>
      </c>
      <c r="BH24" s="9">
        <f t="shared" si="7"/>
        <v>0</v>
      </c>
      <c r="BI24" s="9">
        <f t="shared" si="8"/>
        <v>0</v>
      </c>
      <c r="BJ24" s="12">
        <f t="shared" si="9"/>
        <v>0</v>
      </c>
      <c r="BL24" s="9"/>
      <c r="BN24">
        <f t="shared" si="10"/>
        <v>0</v>
      </c>
      <c r="BO24">
        <f t="shared" si="11"/>
        <v>0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0</v>
      </c>
      <c r="BY24" s="12">
        <f t="shared" si="19"/>
        <v>0</v>
      </c>
    </row>
    <row r="25" spans="1:77" x14ac:dyDescent="0.3">
      <c r="A25" s="1">
        <v>46058</v>
      </c>
      <c r="B25" s="8">
        <v>88.566299999999998</v>
      </c>
      <c r="C25" s="8">
        <v>211.33</v>
      </c>
      <c r="D25" s="9">
        <v>-1.84864069900149E-2</v>
      </c>
      <c r="E25" s="9">
        <v>-1.7961044630980999E-2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88.566299999999998</v>
      </c>
      <c r="M25" s="8">
        <v>211.33</v>
      </c>
      <c r="N25" s="10">
        <v>2.3861220351307399</v>
      </c>
      <c r="O25" s="10">
        <v>2.3867209477050602</v>
      </c>
      <c r="P25" s="10">
        <v>2.38598007692852</v>
      </c>
      <c r="Q25" s="10">
        <v>2.3857431623092</v>
      </c>
      <c r="R25" s="8">
        <v>211.383043470731</v>
      </c>
      <c r="S25" s="8">
        <v>211.313041546942</v>
      </c>
      <c r="T25" s="8">
        <v>211.29269845197601</v>
      </c>
      <c r="U25" s="9">
        <v>2.5096680515924899E-4</v>
      </c>
      <c r="V25" s="9">
        <v>-8.02495316368464E-5</v>
      </c>
      <c r="W25" s="9">
        <v>-1.7652411125516001E-4</v>
      </c>
      <c r="X25" s="10">
        <v>2.3861220351307399</v>
      </c>
      <c r="Y25" s="10">
        <v>2.3867209477050602</v>
      </c>
      <c r="Z25" s="10">
        <v>2.38598007692852</v>
      </c>
      <c r="AA25" s="10">
        <v>2.3857431623092</v>
      </c>
      <c r="AB25" s="8">
        <v>211.383043470731</v>
      </c>
      <c r="AC25" s="8">
        <v>211.313041546942</v>
      </c>
      <c r="AD25" s="8">
        <v>211.29269845197601</v>
      </c>
      <c r="AE25" s="9">
        <v>2.5096680515924899E-4</v>
      </c>
      <c r="AF25" s="9">
        <v>-8.02495316368464E-5</v>
      </c>
      <c r="AG25" s="9">
        <v>-1.7652411125516001E-4</v>
      </c>
      <c r="AZ25" s="9"/>
      <c r="BB25">
        <f t="shared" si="2"/>
        <v>0</v>
      </c>
      <c r="BC25">
        <f t="shared" si="3"/>
        <v>0</v>
      </c>
      <c r="BD25">
        <f t="shared" si="4"/>
        <v>0</v>
      </c>
      <c r="BE25">
        <f t="shared" si="0"/>
        <v>1</v>
      </c>
      <c r="BF25">
        <f t="shared" si="5"/>
        <v>0</v>
      </c>
      <c r="BG25" s="9">
        <f t="shared" si="6"/>
        <v>0</v>
      </c>
      <c r="BH25" s="9">
        <f t="shared" si="7"/>
        <v>0</v>
      </c>
      <c r="BI25" s="9">
        <f t="shared" si="8"/>
        <v>0</v>
      </c>
      <c r="BJ25" s="12">
        <f t="shared" si="9"/>
        <v>0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0</v>
      </c>
      <c r="BY25" s="12">
        <f t="shared" si="19"/>
        <v>0</v>
      </c>
    </row>
    <row r="26" spans="1:77" x14ac:dyDescent="0.3">
      <c r="A26" s="1">
        <v>46059</v>
      </c>
      <c r="B26" s="8">
        <v>92.442499999999995</v>
      </c>
      <c r="C26" s="8">
        <v>220.65</v>
      </c>
      <c r="D26" s="9">
        <v>4.2835405528371499E-2</v>
      </c>
      <c r="E26" s="9">
        <v>4.3156842941495299E-2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92.442499999999995</v>
      </c>
      <c r="M26" s="8">
        <v>220.65</v>
      </c>
      <c r="N26" s="10">
        <v>2.3868891473077798</v>
      </c>
      <c r="O26" s="10">
        <v>2.3867209477050602</v>
      </c>
      <c r="P26" s="10">
        <v>2.38605403708504</v>
      </c>
      <c r="Q26" s="10">
        <v>2.3859106713972502</v>
      </c>
      <c r="R26" s="8">
        <v>220.63445120822499</v>
      </c>
      <c r="S26" s="8">
        <v>220.56596326146499</v>
      </c>
      <c r="T26" s="8">
        <v>220.54406228176799</v>
      </c>
      <c r="U26" s="9">
        <v>-7.0470607964547407E-5</v>
      </c>
      <c r="V26" s="9">
        <v>-3.8093245280619603E-4</v>
      </c>
      <c r="W26" s="9">
        <v>-4.8023184953793698E-4</v>
      </c>
      <c r="X26" s="10">
        <v>2.3868891473077798</v>
      </c>
      <c r="Y26" s="10">
        <v>2.3867209477050602</v>
      </c>
      <c r="Z26" s="10">
        <v>2.38605403708504</v>
      </c>
      <c r="AA26" s="10">
        <v>2.3859106713972502</v>
      </c>
      <c r="AB26" s="8">
        <v>220.63445120822499</v>
      </c>
      <c r="AC26" s="8">
        <v>220.56596326146499</v>
      </c>
      <c r="AD26" s="8">
        <v>220.54406228176799</v>
      </c>
      <c r="AE26" s="9">
        <v>-7.0470607964547407E-5</v>
      </c>
      <c r="AF26" s="9">
        <v>-3.8093245280619603E-4</v>
      </c>
      <c r="AG26" s="9">
        <v>-4.8023184953793698E-4</v>
      </c>
      <c r="AZ26" s="9"/>
      <c r="BB26">
        <f t="shared" si="2"/>
        <v>0</v>
      </c>
      <c r="BC26">
        <f t="shared" si="3"/>
        <v>0</v>
      </c>
      <c r="BD26">
        <f t="shared" si="4"/>
        <v>0</v>
      </c>
      <c r="BE26">
        <f t="shared" si="0"/>
        <v>1</v>
      </c>
      <c r="BF26">
        <f t="shared" si="5"/>
        <v>0</v>
      </c>
      <c r="BG26" s="9">
        <f t="shared" si="6"/>
        <v>0</v>
      </c>
      <c r="BH26" s="9">
        <f t="shared" si="7"/>
        <v>0</v>
      </c>
      <c r="BI26" s="9">
        <f t="shared" si="8"/>
        <v>0</v>
      </c>
      <c r="BJ26" s="12">
        <f t="shared" si="9"/>
        <v>0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0</v>
      </c>
      <c r="BY26" s="12">
        <f t="shared" si="19"/>
        <v>0</v>
      </c>
    </row>
    <row r="27" spans="1:77" x14ac:dyDescent="0.3">
      <c r="A27" s="1">
        <v>46062</v>
      </c>
      <c r="B27" s="8">
        <v>93.933800000000005</v>
      </c>
      <c r="C27" s="8">
        <v>224.13</v>
      </c>
      <c r="D27" s="9">
        <v>1.6003449236652499E-2</v>
      </c>
      <c r="E27" s="9">
        <v>1.5648504940263101E-2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93.933800000000005</v>
      </c>
      <c r="M27" s="8">
        <v>224.13</v>
      </c>
      <c r="N27" s="10">
        <v>2.3860420849577002</v>
      </c>
      <c r="O27" s="10">
        <v>2.3867209477050602</v>
      </c>
      <c r="P27" s="10">
        <v>2.3860352356401102</v>
      </c>
      <c r="Q27" s="10">
        <v>2.38595192205702</v>
      </c>
      <c r="R27" s="8">
        <v>224.19376815753799</v>
      </c>
      <c r="S27" s="8">
        <v>224.13112270873901</v>
      </c>
      <c r="T27" s="8">
        <v>224.117655824895</v>
      </c>
      <c r="U27" s="9">
        <v>2.84473688424666E-4</v>
      </c>
      <c r="V27" s="9">
        <v>5.0091729233792001E-6</v>
      </c>
      <c r="W27" s="9">
        <v>-5.5077477584283598E-5</v>
      </c>
      <c r="X27" s="10">
        <v>2.3860420849577002</v>
      </c>
      <c r="Y27" s="10">
        <v>2.3867209477050602</v>
      </c>
      <c r="Z27" s="10">
        <v>2.3860352356401102</v>
      </c>
      <c r="AA27" s="10">
        <v>2.38595192205702</v>
      </c>
      <c r="AB27" s="8">
        <v>224.19376815753799</v>
      </c>
      <c r="AC27" s="8">
        <v>224.13112270873901</v>
      </c>
      <c r="AD27" s="8">
        <v>224.117655824895</v>
      </c>
      <c r="AE27" s="9">
        <v>2.84473688424666E-4</v>
      </c>
      <c r="AF27" s="9">
        <v>5.0091729233792001E-6</v>
      </c>
      <c r="AG27" s="9">
        <v>-5.5077477584283598E-5</v>
      </c>
      <c r="AZ27" s="9"/>
      <c r="BB27">
        <f t="shared" si="2"/>
        <v>0</v>
      </c>
      <c r="BC27">
        <f t="shared" si="3"/>
        <v>0</v>
      </c>
      <c r="BD27">
        <f t="shared" si="4"/>
        <v>0</v>
      </c>
      <c r="BE27">
        <f t="shared" si="0"/>
        <v>1</v>
      </c>
      <c r="BF27">
        <f t="shared" si="5"/>
        <v>0</v>
      </c>
      <c r="BG27" s="9">
        <f t="shared" si="6"/>
        <v>0</v>
      </c>
      <c r="BH27" s="9">
        <f t="shared" si="7"/>
        <v>0</v>
      </c>
      <c r="BI27" s="9">
        <f t="shared" si="8"/>
        <v>0</v>
      </c>
      <c r="BJ27" s="12">
        <f t="shared" si="9"/>
        <v>0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0</v>
      </c>
      <c r="BY27" s="12">
        <f t="shared" si="19"/>
        <v>0</v>
      </c>
    </row>
    <row r="28" spans="1:77" x14ac:dyDescent="0.3">
      <c r="A28" s="1">
        <v>46063</v>
      </c>
      <c r="B28" s="8">
        <v>93.531300000000002</v>
      </c>
      <c r="C28" s="8">
        <v>223.25</v>
      </c>
      <c r="D28" s="9">
        <v>-4.2941392130672398E-3</v>
      </c>
      <c r="E28" s="9">
        <v>-3.9340208992110796E-3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93.531300000000002</v>
      </c>
      <c r="M28" s="8">
        <v>223.25</v>
      </c>
      <c r="N28" s="10">
        <v>2.3869014971458702</v>
      </c>
      <c r="O28" s="10">
        <v>2.3867209477050602</v>
      </c>
      <c r="P28" s="10">
        <v>2.3861385558963302</v>
      </c>
      <c r="Q28" s="10">
        <v>2.38603539054031</v>
      </c>
      <c r="R28" s="8">
        <v>223.23311297608601</v>
      </c>
      <c r="S28" s="8">
        <v>223.168977435226</v>
      </c>
      <c r="T28" s="8">
        <v>223.16118500749101</v>
      </c>
      <c r="U28" s="9">
        <v>-7.5644625431613301E-5</v>
      </c>
      <c r="V28" s="9">
        <v>-3.6298889499955902E-4</v>
      </c>
      <c r="W28" s="9">
        <v>-3.9790666839306698E-4</v>
      </c>
      <c r="X28" s="10">
        <v>2.3869014971458702</v>
      </c>
      <c r="Y28" s="10">
        <v>2.3867209477050602</v>
      </c>
      <c r="Z28" s="10">
        <v>2.3861385558963302</v>
      </c>
      <c r="AA28" s="10">
        <v>2.38603539054031</v>
      </c>
      <c r="AB28" s="8">
        <v>223.23311297608601</v>
      </c>
      <c r="AC28" s="8">
        <v>223.168977435226</v>
      </c>
      <c r="AD28" s="8">
        <v>223.16118500749101</v>
      </c>
      <c r="AE28" s="9">
        <v>-7.5644625431613301E-5</v>
      </c>
      <c r="AF28" s="9">
        <v>-3.6298889499955902E-4</v>
      </c>
      <c r="AG28" s="9">
        <v>-3.9790666839306698E-4</v>
      </c>
      <c r="AZ28" s="9"/>
      <c r="BB28">
        <f t="shared" si="2"/>
        <v>0</v>
      </c>
      <c r="BC28">
        <f t="shared" si="3"/>
        <v>0</v>
      </c>
      <c r="BD28">
        <f t="shared" si="4"/>
        <v>0</v>
      </c>
      <c r="BE28">
        <f t="shared" si="0"/>
        <v>1</v>
      </c>
      <c r="BF28">
        <f t="shared" si="5"/>
        <v>0</v>
      </c>
      <c r="BG28" s="9">
        <f t="shared" si="6"/>
        <v>0</v>
      </c>
      <c r="BH28" s="9">
        <f t="shared" si="7"/>
        <v>0</v>
      </c>
      <c r="BI28" s="9">
        <f t="shared" si="8"/>
        <v>0</v>
      </c>
      <c r="BJ28" s="12">
        <f t="shared" si="9"/>
        <v>0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0</v>
      </c>
      <c r="BY28" s="12">
        <f t="shared" si="19"/>
        <v>0</v>
      </c>
    </row>
    <row r="29" spans="1:77" x14ac:dyDescent="0.3">
      <c r="A29" s="1">
        <v>46064</v>
      </c>
      <c r="B29" s="8">
        <v>93.597499999999997</v>
      </c>
      <c r="C29" s="8">
        <v>223.29</v>
      </c>
      <c r="D29" s="9">
        <v>7.0753409161679001E-4</v>
      </c>
      <c r="E29" s="9">
        <v>1.7915528332052E-4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93.597499999999997</v>
      </c>
      <c r="M29" s="8">
        <v>223.29</v>
      </c>
      <c r="N29" s="10">
        <v>2.3856406421111598</v>
      </c>
      <c r="O29" s="10">
        <v>2.3867209477050602</v>
      </c>
      <c r="P29" s="10">
        <v>2.3860690124292301</v>
      </c>
      <c r="Q29" s="10">
        <v>2.3859836197567401</v>
      </c>
      <c r="R29" s="8">
        <v>223.391113902824</v>
      </c>
      <c r="S29" s="8">
        <v>223.336603485507</v>
      </c>
      <c r="T29" s="8">
        <v>223.32694746609701</v>
      </c>
      <c r="U29" s="9">
        <v>4.5273418286461098E-4</v>
      </c>
      <c r="V29" s="9">
        <v>2.0869104219348899E-4</v>
      </c>
      <c r="W29" s="9">
        <v>1.65454832788926E-4</v>
      </c>
      <c r="X29" s="10">
        <v>2.3856406421111598</v>
      </c>
      <c r="Y29" s="10">
        <v>2.3867209477050602</v>
      </c>
      <c r="Z29" s="10">
        <v>2.3860690124292301</v>
      </c>
      <c r="AA29" s="10">
        <v>2.3859836197567401</v>
      </c>
      <c r="AB29" s="8">
        <v>223.391113902824</v>
      </c>
      <c r="AC29" s="8">
        <v>223.336603485507</v>
      </c>
      <c r="AD29" s="8">
        <v>223.32694746609701</v>
      </c>
      <c r="AE29" s="9">
        <v>4.5273418286461098E-4</v>
      </c>
      <c r="AF29" s="9">
        <v>2.0869104219348899E-4</v>
      </c>
      <c r="AG29" s="9">
        <v>1.65454832788926E-4</v>
      </c>
      <c r="AZ29" s="9"/>
      <c r="BB29">
        <f t="shared" si="2"/>
        <v>0</v>
      </c>
      <c r="BC29">
        <f t="shared" si="3"/>
        <v>1</v>
      </c>
      <c r="BD29">
        <f t="shared" si="4"/>
        <v>0</v>
      </c>
      <c r="BE29">
        <f t="shared" si="0"/>
        <v>1</v>
      </c>
      <c r="BF29">
        <f t="shared" si="5"/>
        <v>0</v>
      </c>
      <c r="BG29" s="9">
        <f t="shared" si="6"/>
        <v>0</v>
      </c>
      <c r="BH29" s="9">
        <f t="shared" si="7"/>
        <v>0</v>
      </c>
      <c r="BI29" s="9">
        <f t="shared" si="8"/>
        <v>0</v>
      </c>
      <c r="BJ29" s="12">
        <f t="shared" si="9"/>
        <v>0</v>
      </c>
      <c r="BL29" s="9"/>
      <c r="BN29">
        <f t="shared" si="10"/>
        <v>0</v>
      </c>
      <c r="BO29">
        <f t="shared" si="11"/>
        <v>0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0</v>
      </c>
      <c r="BY29" s="12">
        <f t="shared" si="19"/>
        <v>0</v>
      </c>
    </row>
    <row r="30" spans="1:77" x14ac:dyDescent="0.3">
      <c r="A30" s="1">
        <v>46065</v>
      </c>
      <c r="B30" s="8">
        <v>91.204999999999998</v>
      </c>
      <c r="C30" s="8">
        <v>217.72</v>
      </c>
      <c r="D30" s="9">
        <v>-2.58939535862566E-2</v>
      </c>
      <c r="E30" s="9">
        <v>-2.52615414739297E-2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91.204999999999998</v>
      </c>
      <c r="M30" s="8">
        <v>217.72</v>
      </c>
      <c r="N30" s="10">
        <v>2.3871498273120899</v>
      </c>
      <c r="O30" s="10">
        <v>2.3867209477050602</v>
      </c>
      <c r="P30" s="10">
        <v>2.3861509772845202</v>
      </c>
      <c r="Q30" s="10">
        <v>2.3860793803734901</v>
      </c>
      <c r="R30" s="8">
        <v>217.68088403543999</v>
      </c>
      <c r="S30" s="8">
        <v>217.621424278608</v>
      </c>
      <c r="T30" s="8">
        <v>217.61363603991401</v>
      </c>
      <c r="U30" s="9">
        <v>-1.7967792946235801E-4</v>
      </c>
      <c r="V30" s="9">
        <v>-4.5286626807778698E-4</v>
      </c>
      <c r="W30" s="9">
        <v>-4.8865492301367898E-4</v>
      </c>
      <c r="X30" s="10">
        <v>2.3871498273120899</v>
      </c>
      <c r="Y30" s="10">
        <v>2.3867209477050602</v>
      </c>
      <c r="Z30" s="10">
        <v>2.3861509772845202</v>
      </c>
      <c r="AA30" s="10">
        <v>2.3860793803734901</v>
      </c>
      <c r="AB30" s="8">
        <v>217.68088403543999</v>
      </c>
      <c r="AC30" s="8">
        <v>217.621424278608</v>
      </c>
      <c r="AD30" s="8">
        <v>217.61363603991401</v>
      </c>
      <c r="AE30" s="9">
        <v>-1.7967792946235801E-4</v>
      </c>
      <c r="AF30" s="9">
        <v>-4.5286626807778698E-4</v>
      </c>
      <c r="AG30" s="9">
        <v>-4.8865492301367898E-4</v>
      </c>
      <c r="AZ30" s="9"/>
      <c r="BB30">
        <f t="shared" si="2"/>
        <v>0</v>
      </c>
      <c r="BC30">
        <f t="shared" si="3"/>
        <v>0</v>
      </c>
      <c r="BD30">
        <f t="shared" si="4"/>
        <v>0</v>
      </c>
      <c r="BE30">
        <f t="shared" si="0"/>
        <v>1</v>
      </c>
      <c r="BF30">
        <f t="shared" si="5"/>
        <v>0</v>
      </c>
      <c r="BG30" s="9">
        <f t="shared" si="6"/>
        <v>0</v>
      </c>
      <c r="BH30" s="9">
        <f t="shared" si="7"/>
        <v>0</v>
      </c>
      <c r="BI30" s="9">
        <f t="shared" si="8"/>
        <v>0</v>
      </c>
      <c r="BJ30" s="12">
        <f t="shared" si="9"/>
        <v>0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0</v>
      </c>
      <c r="BY30" s="12">
        <f t="shared" si="19"/>
        <v>0</v>
      </c>
    </row>
    <row r="31" spans="1:77" x14ac:dyDescent="0.3">
      <c r="A31" s="1">
        <v>46066</v>
      </c>
      <c r="B31" s="8">
        <v>91.35</v>
      </c>
      <c r="C31" s="8">
        <v>217.95</v>
      </c>
      <c r="D31" s="9">
        <v>1.5885626851377399E-3</v>
      </c>
      <c r="E31" s="9">
        <v>1.0558451184022699E-3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91.35</v>
      </c>
      <c r="M31" s="8">
        <v>217.95</v>
      </c>
      <c r="N31" s="10">
        <v>2.3858784893267599</v>
      </c>
      <c r="O31" s="10">
        <v>2.3867209477050602</v>
      </c>
      <c r="P31" s="10">
        <v>2.3862534267092301</v>
      </c>
      <c r="Q31" s="10">
        <v>2.38612400965278</v>
      </c>
      <c r="R31" s="8">
        <v>218.02695857285701</v>
      </c>
      <c r="S31" s="8">
        <v>217.974891774941</v>
      </c>
      <c r="T31" s="8">
        <v>217.968351397118</v>
      </c>
      <c r="U31" s="9">
        <v>3.5303963727320998E-4</v>
      </c>
      <c r="V31" s="9">
        <v>1.1420212719235799E-4</v>
      </c>
      <c r="W31" s="9">
        <v>8.4196488037961001E-5</v>
      </c>
      <c r="X31" s="10">
        <v>2.3858784893267599</v>
      </c>
      <c r="Y31" s="10">
        <v>2.3867209477050602</v>
      </c>
      <c r="Z31" s="10">
        <v>2.3862534267092301</v>
      </c>
      <c r="AA31" s="10">
        <v>2.38612400965278</v>
      </c>
      <c r="AB31" s="8">
        <v>218.02695857285701</v>
      </c>
      <c r="AC31" s="8">
        <v>217.974891774941</v>
      </c>
      <c r="AD31" s="8">
        <v>217.968351397118</v>
      </c>
      <c r="AE31" s="9">
        <v>3.5303963727320998E-4</v>
      </c>
      <c r="AF31" s="9">
        <v>1.1420212719235799E-4</v>
      </c>
      <c r="AG31" s="9">
        <v>8.4196488037961001E-5</v>
      </c>
      <c r="AZ31" s="9"/>
      <c r="BB31">
        <f t="shared" si="2"/>
        <v>0</v>
      </c>
      <c r="BC31">
        <f t="shared" si="3"/>
        <v>1</v>
      </c>
      <c r="BD31">
        <f t="shared" si="4"/>
        <v>0</v>
      </c>
      <c r="BE31">
        <f t="shared" si="0"/>
        <v>1</v>
      </c>
      <c r="BF31">
        <f t="shared" si="5"/>
        <v>0</v>
      </c>
      <c r="BG31" s="9">
        <f t="shared" si="6"/>
        <v>0</v>
      </c>
      <c r="BH31" s="9">
        <f t="shared" si="7"/>
        <v>0</v>
      </c>
      <c r="BI31" s="9">
        <f t="shared" si="8"/>
        <v>0</v>
      </c>
      <c r="BJ31" s="12">
        <f t="shared" si="9"/>
        <v>0</v>
      </c>
      <c r="BL31" s="9"/>
      <c r="BN31">
        <f t="shared" si="10"/>
        <v>0</v>
      </c>
      <c r="BO31">
        <f t="shared" si="11"/>
        <v>0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0</v>
      </c>
      <c r="BY31" s="12">
        <f t="shared" si="19"/>
        <v>0</v>
      </c>
    </row>
    <row r="32" spans="1:77" x14ac:dyDescent="0.3">
      <c r="A32" s="1">
        <v>46070</v>
      </c>
      <c r="B32" s="8">
        <v>91.385000000000005</v>
      </c>
      <c r="C32" s="8">
        <v>218.1</v>
      </c>
      <c r="D32" s="9">
        <v>3.8306838238988801E-4</v>
      </c>
      <c r="E32" s="9">
        <v>6.8799452318182798E-4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91.385000000000005</v>
      </c>
      <c r="M32" s="8">
        <v>218.1</v>
      </c>
      <c r="N32" s="10">
        <v>2.38660611697762</v>
      </c>
      <c r="O32" s="10">
        <v>2.3867209477050602</v>
      </c>
      <c r="P32" s="10">
        <v>2.38614117539543</v>
      </c>
      <c r="Q32" s="10">
        <v>2.3861948750955499</v>
      </c>
      <c r="R32" s="8">
        <v>218.11049380602699</v>
      </c>
      <c r="S32" s="8">
        <v>218.06776939982299</v>
      </c>
      <c r="T32" s="8">
        <v>218.05594262212</v>
      </c>
      <c r="U32" s="9">
        <v>4.8113496481321399E-5</v>
      </c>
      <c r="V32" s="9">
        <v>-1.47789921661546E-4</v>
      </c>
      <c r="W32" s="9">
        <v>-2.0202580648090801E-4</v>
      </c>
      <c r="X32" s="10">
        <v>2.38660611697762</v>
      </c>
      <c r="Y32" s="10">
        <v>2.3867209477050602</v>
      </c>
      <c r="Z32" s="10">
        <v>2.38614117539543</v>
      </c>
      <c r="AA32" s="10">
        <v>2.3861948750955499</v>
      </c>
      <c r="AB32" s="8">
        <v>218.11049380602699</v>
      </c>
      <c r="AC32" s="8">
        <v>218.06776939982299</v>
      </c>
      <c r="AD32" s="8">
        <v>218.05594262212</v>
      </c>
      <c r="AE32" s="9">
        <v>4.8113496481321399E-5</v>
      </c>
      <c r="AF32" s="9">
        <v>-1.47789921661546E-4</v>
      </c>
      <c r="AG32" s="9">
        <v>-2.0202580648090801E-4</v>
      </c>
      <c r="AZ32" s="9"/>
      <c r="BB32">
        <f t="shared" si="2"/>
        <v>0</v>
      </c>
      <c r="BC32">
        <f t="shared" si="3"/>
        <v>0</v>
      </c>
      <c r="BD32">
        <f t="shared" si="4"/>
        <v>0</v>
      </c>
      <c r="BE32">
        <f t="shared" si="0"/>
        <v>1</v>
      </c>
      <c r="BF32">
        <f t="shared" si="5"/>
        <v>0</v>
      </c>
      <c r="BG32" s="9">
        <f t="shared" si="6"/>
        <v>0</v>
      </c>
      <c r="BH32" s="9">
        <f t="shared" si="7"/>
        <v>0</v>
      </c>
      <c r="BI32" s="9">
        <f t="shared" si="8"/>
        <v>0</v>
      </c>
      <c r="BJ32" s="12">
        <f t="shared" si="9"/>
        <v>0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0</v>
      </c>
      <c r="BY32" s="12">
        <f t="shared" si="19"/>
        <v>0</v>
      </c>
    </row>
    <row r="33" spans="1:77" x14ac:dyDescent="0.3">
      <c r="A33" s="1">
        <v>46071</v>
      </c>
      <c r="B33" s="8">
        <v>92.23</v>
      </c>
      <c r="C33" s="8">
        <v>220.1</v>
      </c>
      <c r="D33" s="9">
        <v>9.2041060412220693E-3</v>
      </c>
      <c r="E33" s="9">
        <v>9.1283153248326292E-3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92.23</v>
      </c>
      <c r="M33" s="8">
        <v>220.1</v>
      </c>
      <c r="N33" s="10">
        <v>2.38642524124471</v>
      </c>
      <c r="O33" s="10">
        <v>2.3867209477050602</v>
      </c>
      <c r="P33" s="10">
        <v>2.3862523867177701</v>
      </c>
      <c r="Q33" s="10">
        <v>2.38614271630379</v>
      </c>
      <c r="R33" s="8">
        <v>220.12727300683801</v>
      </c>
      <c r="S33" s="8">
        <v>220.07380060672099</v>
      </c>
      <c r="T33" s="8">
        <v>220.078753330062</v>
      </c>
      <c r="U33" s="9">
        <v>1.2390421287057001E-4</v>
      </c>
      <c r="V33" s="9">
        <v>-1.19041129998176E-4</v>
      </c>
      <c r="W33" s="9">
        <v>-9.6536553812198803E-5</v>
      </c>
      <c r="X33" s="10">
        <v>2.38642524124471</v>
      </c>
      <c r="Y33" s="10">
        <v>2.3867209477050602</v>
      </c>
      <c r="Z33" s="10">
        <v>2.3862523867177701</v>
      </c>
      <c r="AA33" s="10">
        <v>2.38614271630379</v>
      </c>
      <c r="AB33" s="8">
        <v>220.12727300683801</v>
      </c>
      <c r="AC33" s="8">
        <v>220.07380060672099</v>
      </c>
      <c r="AD33" s="8">
        <v>220.078753330062</v>
      </c>
      <c r="AE33" s="9">
        <v>1.2390421287057001E-4</v>
      </c>
      <c r="AF33" s="9">
        <v>-1.19041129998176E-4</v>
      </c>
      <c r="AG33" s="9">
        <v>-9.6536553812198803E-5</v>
      </c>
      <c r="AZ33" s="9"/>
      <c r="BB33">
        <f t="shared" si="2"/>
        <v>0</v>
      </c>
      <c r="BC33">
        <f t="shared" si="3"/>
        <v>0</v>
      </c>
      <c r="BD33">
        <f t="shared" si="4"/>
        <v>0</v>
      </c>
      <c r="BE33">
        <f t="shared" si="0"/>
        <v>1</v>
      </c>
      <c r="BF33">
        <f t="shared" si="5"/>
        <v>0</v>
      </c>
      <c r="BG33" s="9">
        <f t="shared" si="6"/>
        <v>0</v>
      </c>
      <c r="BH33" s="9">
        <f t="shared" si="7"/>
        <v>0</v>
      </c>
      <c r="BI33" s="9">
        <f t="shared" si="8"/>
        <v>0</v>
      </c>
      <c r="BJ33" s="12">
        <f t="shared" si="9"/>
        <v>0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0</v>
      </c>
      <c r="BY33" s="12">
        <f t="shared" si="19"/>
        <v>0</v>
      </c>
    </row>
    <row r="34" spans="1:77" x14ac:dyDescent="0.3">
      <c r="A34" s="1">
        <v>46072</v>
      </c>
      <c r="B34" s="8">
        <v>91.831299999999999</v>
      </c>
      <c r="C34" s="8">
        <v>219.18</v>
      </c>
      <c r="D34" s="9">
        <v>-4.3322591286945496E-3</v>
      </c>
      <c r="E34" s="9">
        <v>-4.18867849716981E-3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91.831299999999999</v>
      </c>
      <c r="M34" s="8">
        <v>219.18</v>
      </c>
      <c r="N34" s="10">
        <v>2.3867679102876602</v>
      </c>
      <c r="O34" s="10">
        <v>2.3867209477050602</v>
      </c>
      <c r="P34" s="10">
        <v>2.3864422991802101</v>
      </c>
      <c r="Q34" s="10">
        <v>2.3861864284091499</v>
      </c>
      <c r="R34" s="8">
        <v>219.17568736498799</v>
      </c>
      <c r="S34" s="8">
        <v>219.132658800396</v>
      </c>
      <c r="T34" s="8">
        <v>219.12258762370899</v>
      </c>
      <c r="U34" s="9">
        <v>-1.9676418654160898E-5</v>
      </c>
      <c r="V34" s="9">
        <v>-2.16015662962628E-4</v>
      </c>
      <c r="W34" s="9">
        <v>-2.61975987550654E-4</v>
      </c>
      <c r="X34" s="10">
        <v>2.3867679102876602</v>
      </c>
      <c r="Y34" s="10">
        <v>2.3867209477050602</v>
      </c>
      <c r="Z34" s="10">
        <v>2.3864422991802101</v>
      </c>
      <c r="AA34" s="10">
        <v>2.3861864284091499</v>
      </c>
      <c r="AB34" s="8">
        <v>219.17568736498799</v>
      </c>
      <c r="AC34" s="8">
        <v>219.132658800396</v>
      </c>
      <c r="AD34" s="8">
        <v>219.12258762370899</v>
      </c>
      <c r="AE34" s="9">
        <v>-1.9676418654160898E-5</v>
      </c>
      <c r="AF34" s="9">
        <v>-2.16015662962628E-4</v>
      </c>
      <c r="AG34" s="9">
        <v>-2.61975987550654E-4</v>
      </c>
      <c r="AZ34" s="9"/>
      <c r="BB34">
        <f t="shared" si="2"/>
        <v>0</v>
      </c>
      <c r="BC34">
        <f t="shared" si="3"/>
        <v>0</v>
      </c>
      <c r="BD34">
        <f t="shared" si="4"/>
        <v>0</v>
      </c>
      <c r="BE34">
        <f t="shared" si="0"/>
        <v>1</v>
      </c>
      <c r="BF34">
        <f t="shared" si="5"/>
        <v>0</v>
      </c>
      <c r="BG34" s="9">
        <f t="shared" si="6"/>
        <v>0</v>
      </c>
      <c r="BH34" s="9">
        <f t="shared" si="7"/>
        <v>0</v>
      </c>
      <c r="BI34" s="9">
        <f t="shared" si="8"/>
        <v>0</v>
      </c>
      <c r="BJ34" s="12">
        <f t="shared" si="9"/>
        <v>0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0</v>
      </c>
      <c r="BY34" s="12">
        <f t="shared" si="19"/>
        <v>0</v>
      </c>
    </row>
    <row r="35" spans="1:77" x14ac:dyDescent="0.3">
      <c r="A35" s="1">
        <v>46073</v>
      </c>
      <c r="B35" s="8">
        <v>92.2</v>
      </c>
      <c r="C35" s="8">
        <v>220.32</v>
      </c>
      <c r="D35" s="9">
        <v>4.0069324436152803E-3</v>
      </c>
      <c r="E35" s="9">
        <v>5.18772494509857E-3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92.2</v>
      </c>
      <c r="M35" s="8">
        <v>220.32</v>
      </c>
      <c r="N35" s="10">
        <v>2.3895878524945702</v>
      </c>
      <c r="O35" s="10">
        <v>2.3867209477050602</v>
      </c>
      <c r="P35" s="10">
        <v>2.38678888091659</v>
      </c>
      <c r="Q35" s="10">
        <v>2.3863844789225599</v>
      </c>
      <c r="R35" s="8">
        <v>220.055671378407</v>
      </c>
      <c r="S35" s="8">
        <v>220.02997998441501</v>
      </c>
      <c r="T35" s="8">
        <v>220.006388699323</v>
      </c>
      <c r="U35" s="9">
        <v>-1.20046892013746E-3</v>
      </c>
      <c r="V35" s="9">
        <v>-1.31722525582282E-3</v>
      </c>
      <c r="W35" s="9">
        <v>-1.4244495072416399E-3</v>
      </c>
      <c r="X35" s="10">
        <v>2.3895878524945702</v>
      </c>
      <c r="Y35" s="10">
        <v>2.3867209477050602</v>
      </c>
      <c r="Z35" s="10">
        <v>2.38678888091659</v>
      </c>
      <c r="AA35" s="10">
        <v>2.3863844789225599</v>
      </c>
      <c r="AB35" s="8">
        <v>220.055671378407</v>
      </c>
      <c r="AC35" s="8">
        <v>220.02997998441501</v>
      </c>
      <c r="AD35" s="8">
        <v>220.006388699323</v>
      </c>
      <c r="AE35" s="9">
        <v>-1.20046892013746E-3</v>
      </c>
      <c r="AF35" s="9">
        <v>-1.31722525582282E-3</v>
      </c>
      <c r="AG35" s="9">
        <v>-1.4244495072416399E-3</v>
      </c>
      <c r="AZ35" s="9"/>
      <c r="BB35">
        <f t="shared" si="2"/>
        <v>1</v>
      </c>
      <c r="BC35">
        <f t="shared" si="3"/>
        <v>0</v>
      </c>
      <c r="BD35">
        <f t="shared" si="4"/>
        <v>0</v>
      </c>
      <c r="BE35">
        <f t="shared" si="0"/>
        <v>1</v>
      </c>
      <c r="BF35">
        <f t="shared" si="5"/>
        <v>0</v>
      </c>
      <c r="BG35" s="9">
        <f t="shared" si="6"/>
        <v>0</v>
      </c>
      <c r="BH35" s="9">
        <f t="shared" si="7"/>
        <v>0</v>
      </c>
      <c r="BI35" s="9">
        <f t="shared" si="8"/>
        <v>0</v>
      </c>
      <c r="BJ35" s="12">
        <f t="shared" si="9"/>
        <v>0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0</v>
      </c>
      <c r="BY35" s="12">
        <f t="shared" si="19"/>
        <v>0</v>
      </c>
    </row>
    <row r="36" spans="1:77" x14ac:dyDescent="0.3">
      <c r="A36" s="1">
        <v>46076</v>
      </c>
      <c r="B36" s="8">
        <v>90.856300000000005</v>
      </c>
      <c r="C36" s="8">
        <v>216.95</v>
      </c>
      <c r="D36" s="9">
        <v>-1.4680993050328099E-2</v>
      </c>
      <c r="E36" s="9">
        <v>-1.5414122735984999E-2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90.856300000000005</v>
      </c>
      <c r="M36" s="8">
        <v>216.95</v>
      </c>
      <c r="N36" s="10">
        <v>2.3878366167233298</v>
      </c>
      <c r="O36" s="10">
        <v>2.3867209477050602</v>
      </c>
      <c r="P36" s="10">
        <v>2.38688362785815</v>
      </c>
      <c r="Q36" s="10">
        <v>2.3864688324715901</v>
      </c>
      <c r="R36" s="8">
        <v>216.84863444097499</v>
      </c>
      <c r="S36" s="8">
        <v>216.85480660122201</v>
      </c>
      <c r="T36" s="8">
        <v>216.81806413233099</v>
      </c>
      <c r="U36" s="9">
        <v>-4.6733923448065402E-4</v>
      </c>
      <c r="V36" s="9">
        <v>-4.3887665077317102E-4</v>
      </c>
      <c r="W36" s="9">
        <v>-6.0832450632681103E-4</v>
      </c>
      <c r="X36" s="10">
        <v>2.3878366167233298</v>
      </c>
      <c r="Y36" s="10">
        <v>2.3867209477050602</v>
      </c>
      <c r="Z36" s="10">
        <v>2.38688362785815</v>
      </c>
      <c r="AA36" s="10">
        <v>2.3864688324715901</v>
      </c>
      <c r="AB36" s="8">
        <v>216.84863444097499</v>
      </c>
      <c r="AC36" s="8">
        <v>216.85480660122201</v>
      </c>
      <c r="AD36" s="8">
        <v>216.81806413233099</v>
      </c>
      <c r="AE36" s="9">
        <v>-4.6733923448065402E-4</v>
      </c>
      <c r="AF36" s="9">
        <v>-4.3887665077317102E-4</v>
      </c>
      <c r="AG36" s="9">
        <v>-6.0832450632681103E-4</v>
      </c>
      <c r="AZ36" s="9"/>
      <c r="BB36">
        <f t="shared" si="2"/>
        <v>0</v>
      </c>
      <c r="BC36">
        <f t="shared" si="3"/>
        <v>0</v>
      </c>
      <c r="BD36">
        <f t="shared" si="4"/>
        <v>1</v>
      </c>
      <c r="BE36">
        <f t="shared" si="0"/>
        <v>1</v>
      </c>
      <c r="BF36">
        <f t="shared" si="5"/>
        <v>1</v>
      </c>
      <c r="BG36" s="9">
        <f t="shared" si="6"/>
        <v>-1.4680993050328099E-2</v>
      </c>
      <c r="BH36" s="9">
        <f t="shared" si="7"/>
        <v>1.5414122735984999E-2</v>
      </c>
      <c r="BI36" s="9">
        <f t="shared" si="8"/>
        <v>7.3312968565690008E-4</v>
      </c>
      <c r="BJ36" s="12">
        <f t="shared" si="9"/>
        <v>7.3312968565690008E-4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7.3312968565690008E-4</v>
      </c>
      <c r="BY36" s="12">
        <f t="shared" si="19"/>
        <v>7.3312968565690008E-4</v>
      </c>
    </row>
    <row r="37" spans="1:77" x14ac:dyDescent="0.3">
      <c r="A37" s="1">
        <v>46077</v>
      </c>
      <c r="B37" s="8">
        <v>92.162499999999994</v>
      </c>
      <c r="C37" s="8">
        <v>219.97</v>
      </c>
      <c r="D37" s="9">
        <v>1.42741858035488E-2</v>
      </c>
      <c r="E37" s="9">
        <v>1.3824261173272101E-2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92.162499999999994</v>
      </c>
      <c r="M37" s="8">
        <v>219.97</v>
      </c>
      <c r="N37" s="10">
        <v>2.3867625118676199</v>
      </c>
      <c r="O37" s="10">
        <v>2.3867209477050602</v>
      </c>
      <c r="P37" s="10">
        <v>2.3869556705491402</v>
      </c>
      <c r="Q37" s="10">
        <v>2.3864954530946298</v>
      </c>
      <c r="R37" s="8">
        <v>219.966169342868</v>
      </c>
      <c r="S37" s="8">
        <v>219.98116235247599</v>
      </c>
      <c r="T37" s="8">
        <v>219.942933772663</v>
      </c>
      <c r="U37" s="9">
        <v>-1.7414604203869499E-5</v>
      </c>
      <c r="V37" s="9">
        <v>5.0743598083187703E-5</v>
      </c>
      <c r="W37" s="9">
        <v>-1.23052655616918E-4</v>
      </c>
      <c r="X37" s="10">
        <v>2.3867625118676199</v>
      </c>
      <c r="Y37" s="10">
        <v>2.3867209477050602</v>
      </c>
      <c r="Z37" s="10">
        <v>2.3869556705491402</v>
      </c>
      <c r="AA37" s="10">
        <v>2.3864954530946298</v>
      </c>
      <c r="AB37" s="8">
        <v>219.966169342868</v>
      </c>
      <c r="AC37" s="8">
        <v>219.98116235247599</v>
      </c>
      <c r="AD37" s="8">
        <v>219.942933772663</v>
      </c>
      <c r="AE37" s="9">
        <v>-1.7414604203869499E-5</v>
      </c>
      <c r="AF37" s="9">
        <v>5.0743598083187703E-5</v>
      </c>
      <c r="AG37" s="9">
        <v>-1.23052655616918E-4</v>
      </c>
      <c r="AZ37" s="9"/>
      <c r="BB37">
        <f t="shared" si="2"/>
        <v>0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1.42741858035488E-2</v>
      </c>
      <c r="BH37" s="9">
        <f t="shared" si="7"/>
        <v>-1.3824261173272101E-2</v>
      </c>
      <c r="BI37" s="9">
        <f t="shared" si="8"/>
        <v>4.4992463027669974E-4</v>
      </c>
      <c r="BJ37" s="12">
        <f t="shared" si="9"/>
        <v>1.1830543159335998E-3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4.4992463027669974E-4</v>
      </c>
      <c r="BY37" s="12">
        <f t="shared" si="19"/>
        <v>1.1830543159335998E-3</v>
      </c>
    </row>
    <row r="38" spans="1:77" x14ac:dyDescent="0.3">
      <c r="A38" s="1">
        <v>46078</v>
      </c>
      <c r="B38" s="8">
        <v>93.907499999999999</v>
      </c>
      <c r="C38" s="8">
        <v>224.1</v>
      </c>
      <c r="D38" s="9">
        <v>1.8756931913306501E-2</v>
      </c>
      <c r="E38" s="9">
        <v>1.86012073892492E-2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93.907499999999999</v>
      </c>
      <c r="M38" s="8">
        <v>224.1</v>
      </c>
      <c r="N38" s="10">
        <v>2.3863908633495701</v>
      </c>
      <c r="O38" s="10">
        <v>2.3867209477050602</v>
      </c>
      <c r="P38" s="10">
        <v>2.3869046071695101</v>
      </c>
      <c r="Q38" s="10">
        <v>2.3865215815329202</v>
      </c>
      <c r="R38" s="8">
        <v>224.130997396613</v>
      </c>
      <c r="S38" s="8">
        <v>224.153039632093</v>
      </c>
      <c r="T38" s="8">
        <v>224.109821761484</v>
      </c>
      <c r="U38" s="9">
        <v>1.38309919853054E-4</v>
      </c>
      <c r="V38" s="9">
        <v>2.3665040792515099E-4</v>
      </c>
      <c r="W38" s="9">
        <v>4.38266231965196E-5</v>
      </c>
      <c r="X38" s="10">
        <v>2.3863908633495701</v>
      </c>
      <c r="Y38" s="10">
        <v>2.3867209477050602</v>
      </c>
      <c r="Z38" s="10">
        <v>2.3869046071695101</v>
      </c>
      <c r="AA38" s="10">
        <v>2.3865215815329202</v>
      </c>
      <c r="AB38" s="8">
        <v>224.130997396613</v>
      </c>
      <c r="AC38" s="8">
        <v>224.153039632093</v>
      </c>
      <c r="AD38" s="8">
        <v>224.109821761484</v>
      </c>
      <c r="AE38" s="9">
        <v>1.38309919853054E-4</v>
      </c>
      <c r="AF38" s="9">
        <v>2.3665040792515099E-4</v>
      </c>
      <c r="AG38" s="9">
        <v>4.38266231965196E-5</v>
      </c>
      <c r="AZ38" s="9"/>
      <c r="BB38">
        <f t="shared" si="2"/>
        <v>0</v>
      </c>
      <c r="BC38">
        <f t="shared" si="3"/>
        <v>1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1.8756931913306501E-2</v>
      </c>
      <c r="BH38" s="9">
        <f t="shared" si="7"/>
        <v>-1.86012073892492E-2</v>
      </c>
      <c r="BI38" s="9">
        <f t="shared" si="8"/>
        <v>1.5572452405730047E-4</v>
      </c>
      <c r="BJ38" s="12">
        <f t="shared" si="9"/>
        <v>1.3387788399909003E-3</v>
      </c>
      <c r="BL38" s="9"/>
      <c r="BN38">
        <f t="shared" si="10"/>
        <v>0</v>
      </c>
      <c r="BO38">
        <f t="shared" si="11"/>
        <v>0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1.5572452405730047E-4</v>
      </c>
      <c r="BY38" s="12">
        <f t="shared" si="19"/>
        <v>1.3387788399909003E-3</v>
      </c>
    </row>
    <row r="39" spans="1:77" x14ac:dyDescent="0.3">
      <c r="A39" s="1">
        <v>46079</v>
      </c>
      <c r="B39" s="8">
        <v>92.523799999999994</v>
      </c>
      <c r="C39" s="8">
        <v>220.79</v>
      </c>
      <c r="D39" s="9">
        <v>-1.48443465086714E-2</v>
      </c>
      <c r="E39" s="9">
        <v>-1.48803572846299E-2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92.523799999999994</v>
      </c>
      <c r="M39" s="8">
        <v>220.79</v>
      </c>
      <c r="N39" s="10">
        <v>2.3863049291101301</v>
      </c>
      <c r="O39" s="10">
        <v>2.3867209477050602</v>
      </c>
      <c r="P39" s="10">
        <v>2.3869710358694101</v>
      </c>
      <c r="Q39" s="10">
        <v>2.3865200241493199</v>
      </c>
      <c r="R39" s="8">
        <v>220.828491621273</v>
      </c>
      <c r="S39" s="8">
        <v>220.84548449283</v>
      </c>
      <c r="T39" s="8">
        <v>220.81004550543599</v>
      </c>
      <c r="U39" s="9">
        <v>1.7432069581164999E-4</v>
      </c>
      <c r="V39" s="9">
        <v>2.5126827472352802E-4</v>
      </c>
      <c r="W39" s="9">
        <v>9.0785794312244402E-5</v>
      </c>
      <c r="X39" s="10">
        <v>2.3863049291101301</v>
      </c>
      <c r="Y39" s="10">
        <v>2.3867209477050602</v>
      </c>
      <c r="Z39" s="10">
        <v>2.3869710358694101</v>
      </c>
      <c r="AA39" s="10">
        <v>2.3865200241493199</v>
      </c>
      <c r="AB39" s="8">
        <v>220.828491621273</v>
      </c>
      <c r="AC39" s="8">
        <v>220.84548449283</v>
      </c>
      <c r="AD39" s="8">
        <v>220.81004550543599</v>
      </c>
      <c r="AE39" s="9">
        <v>1.7432069581164999E-4</v>
      </c>
      <c r="AF39" s="9">
        <v>2.5126827472352802E-4</v>
      </c>
      <c r="AG39" s="9">
        <v>9.0785794312244402E-5</v>
      </c>
      <c r="AZ39" s="9"/>
      <c r="BB39">
        <f t="shared" si="2"/>
        <v>0</v>
      </c>
      <c r="BC39">
        <f t="shared" si="3"/>
        <v>1</v>
      </c>
      <c r="BD39">
        <f t="shared" si="4"/>
        <v>0</v>
      </c>
      <c r="BE39">
        <f t="shared" si="0"/>
        <v>1</v>
      </c>
      <c r="BF39">
        <f t="shared" si="5"/>
        <v>0</v>
      </c>
      <c r="BG39" s="9">
        <f t="shared" si="6"/>
        <v>0</v>
      </c>
      <c r="BH39" s="9">
        <f t="shared" si="7"/>
        <v>0</v>
      </c>
      <c r="BI39" s="9">
        <f t="shared" si="8"/>
        <v>0</v>
      </c>
      <c r="BJ39" s="12">
        <f t="shared" si="9"/>
        <v>1.3387788399909003E-3</v>
      </c>
      <c r="BL39" s="9"/>
      <c r="BN39">
        <f t="shared" si="10"/>
        <v>0</v>
      </c>
      <c r="BO39">
        <f t="shared" si="11"/>
        <v>0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0</v>
      </c>
      <c r="BY39" s="12">
        <f t="shared" si="19"/>
        <v>1.3387788399909003E-3</v>
      </c>
    </row>
    <row r="40" spans="1:77" x14ac:dyDescent="0.3">
      <c r="A40" s="1">
        <v>46080</v>
      </c>
      <c r="B40" s="8">
        <v>90.837500000000006</v>
      </c>
      <c r="C40" s="8">
        <v>216.55</v>
      </c>
      <c r="D40" s="9">
        <v>-1.83937127776495E-2</v>
      </c>
      <c r="E40" s="9">
        <v>-1.9390555861615501E-2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90.837500000000006</v>
      </c>
      <c r="M40" s="8">
        <v>216.55</v>
      </c>
      <c r="N40" s="10">
        <v>2.3839273427824401</v>
      </c>
      <c r="O40" s="10">
        <v>2.3867209477050602</v>
      </c>
      <c r="P40" s="10">
        <v>2.3866487874164402</v>
      </c>
      <c r="Q40" s="10">
        <v>2.3863998823504802</v>
      </c>
      <c r="R40" s="8">
        <v>216.80376408715799</v>
      </c>
      <c r="S40" s="8">
        <v>216.826481470787</v>
      </c>
      <c r="T40" s="8">
        <v>216.785512693664</v>
      </c>
      <c r="U40" s="9">
        <v>1.1711637797777101E-3</v>
      </c>
      <c r="V40" s="9">
        <v>1.2759414509951801E-3</v>
      </c>
      <c r="W40" s="9">
        <v>1.0869763033664801E-3</v>
      </c>
      <c r="X40" s="10">
        <v>2.3839273427824401</v>
      </c>
      <c r="Y40" s="10">
        <v>2.3867209477050602</v>
      </c>
      <c r="Z40" s="10">
        <v>2.3866487874164402</v>
      </c>
      <c r="AA40" s="10">
        <v>2.3863998823504802</v>
      </c>
      <c r="AB40" s="8">
        <v>216.80376408715799</v>
      </c>
      <c r="AC40" s="8">
        <v>216.826481470787</v>
      </c>
      <c r="AD40" s="8">
        <v>216.785512693664</v>
      </c>
      <c r="AE40" s="9">
        <v>1.1711637797777101E-3</v>
      </c>
      <c r="AF40" s="9">
        <v>1.2759414509951801E-3</v>
      </c>
      <c r="AG40" s="9">
        <v>1.0869763033664801E-3</v>
      </c>
      <c r="AZ40" s="9"/>
      <c r="BB40">
        <f t="shared" si="2"/>
        <v>0</v>
      </c>
      <c r="BC40">
        <f t="shared" si="3"/>
        <v>1</v>
      </c>
      <c r="BD40">
        <f t="shared" si="4"/>
        <v>0</v>
      </c>
      <c r="BE40">
        <f t="shared" si="0"/>
        <v>1</v>
      </c>
      <c r="BF40">
        <f t="shared" si="5"/>
        <v>0</v>
      </c>
      <c r="BG40" s="9">
        <f t="shared" si="6"/>
        <v>0</v>
      </c>
      <c r="BH40" s="9">
        <f t="shared" si="7"/>
        <v>0</v>
      </c>
      <c r="BI40" s="9">
        <f t="shared" si="8"/>
        <v>0</v>
      </c>
      <c r="BJ40" s="12">
        <f t="shared" si="9"/>
        <v>1.3387788399909003E-3</v>
      </c>
      <c r="BL40" s="9"/>
      <c r="BN40">
        <f t="shared" si="10"/>
        <v>0</v>
      </c>
      <c r="BO40">
        <f t="shared" si="11"/>
        <v>0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0</v>
      </c>
      <c r="BY40" s="12">
        <f t="shared" si="19"/>
        <v>1.3387788399909003E-3</v>
      </c>
    </row>
    <row r="41" spans="1:77" x14ac:dyDescent="0.3">
      <c r="A41" s="1">
        <v>46083</v>
      </c>
      <c r="B41" s="8">
        <v>91.7363</v>
      </c>
      <c r="C41" s="8">
        <v>218.83</v>
      </c>
      <c r="D41" s="9">
        <v>9.8459610416733595E-3</v>
      </c>
      <c r="E41" s="9">
        <v>1.04737050056329E-2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91.7363</v>
      </c>
      <c r="M41" s="8">
        <v>218.83</v>
      </c>
      <c r="N41" s="10">
        <v>2.38542430858885</v>
      </c>
      <c r="O41" s="10">
        <v>2.3867209477050602</v>
      </c>
      <c r="P41" s="10">
        <v>2.3866033693426498</v>
      </c>
      <c r="Q41" s="10">
        <v>2.3864283980259402</v>
      </c>
      <c r="R41" s="8">
        <v>218.94894887495599</v>
      </c>
      <c r="S41" s="8">
        <v>218.94232915707099</v>
      </c>
      <c r="T41" s="8">
        <v>218.919495527268</v>
      </c>
      <c r="U41" s="9">
        <v>5.4341981581800696E-4</v>
      </c>
      <c r="V41" s="9">
        <v>5.1318528858480296E-4</v>
      </c>
      <c r="W41" s="9">
        <v>4.0888923656165802E-4</v>
      </c>
      <c r="X41" s="10">
        <v>2.38542430858885</v>
      </c>
      <c r="Y41" s="10">
        <v>2.3867209477050602</v>
      </c>
      <c r="Z41" s="10">
        <v>2.3866033693426498</v>
      </c>
      <c r="AA41" s="10">
        <v>2.3864283980259402</v>
      </c>
      <c r="AB41" s="8">
        <v>218.94894887495599</v>
      </c>
      <c r="AC41" s="8">
        <v>218.94232915707099</v>
      </c>
      <c r="AD41" s="8">
        <v>218.919495527268</v>
      </c>
      <c r="AE41" s="9">
        <v>5.4341981581800696E-4</v>
      </c>
      <c r="AF41" s="9">
        <v>5.1318528858480296E-4</v>
      </c>
      <c r="AG41" s="9">
        <v>4.0888923656165802E-4</v>
      </c>
      <c r="AZ41" s="9"/>
      <c r="BB41">
        <f t="shared" si="2"/>
        <v>0</v>
      </c>
      <c r="BC41">
        <f t="shared" si="3"/>
        <v>1</v>
      </c>
      <c r="BD41">
        <f t="shared" si="4"/>
        <v>0</v>
      </c>
      <c r="BE41">
        <f t="shared" si="0"/>
        <v>1</v>
      </c>
      <c r="BF41">
        <f t="shared" si="5"/>
        <v>0</v>
      </c>
      <c r="BG41" s="9">
        <f t="shared" si="6"/>
        <v>0</v>
      </c>
      <c r="BH41" s="9">
        <f t="shared" si="7"/>
        <v>0</v>
      </c>
      <c r="BI41" s="9">
        <f t="shared" si="8"/>
        <v>0</v>
      </c>
      <c r="BJ41" s="12">
        <f t="shared" si="9"/>
        <v>1.3387788399909003E-3</v>
      </c>
      <c r="BL41" s="9"/>
      <c r="BN41">
        <f t="shared" si="10"/>
        <v>0</v>
      </c>
      <c r="BO41">
        <f t="shared" si="11"/>
        <v>0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0</v>
      </c>
      <c r="BY41" s="12">
        <f t="shared" si="19"/>
        <v>1.3387788399909003E-3</v>
      </c>
    </row>
    <row r="42" spans="1:77" x14ac:dyDescent="0.3">
      <c r="A42" s="1">
        <v>46084</v>
      </c>
      <c r="B42" s="8">
        <v>90.46</v>
      </c>
      <c r="C42" s="8">
        <v>215.75</v>
      </c>
      <c r="D42" s="9">
        <v>-1.4010392934730701E-2</v>
      </c>
      <c r="E42" s="9">
        <v>-1.4174842702731401E-2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90.46</v>
      </c>
      <c r="M42" s="8">
        <v>215.75</v>
      </c>
      <c r="N42" s="10">
        <v>2.38503205836833</v>
      </c>
      <c r="O42" s="10">
        <v>2.3867209477050602</v>
      </c>
      <c r="P42" s="10">
        <v>2.3864459634817199</v>
      </c>
      <c r="Q42" s="10">
        <v>2.3862935694385801</v>
      </c>
      <c r="R42" s="8">
        <v>215.90277692940001</v>
      </c>
      <c r="S42" s="8">
        <v>215.89214079073599</v>
      </c>
      <c r="T42" s="8">
        <v>215.87631288542599</v>
      </c>
      <c r="U42" s="9">
        <v>7.0786958381878202E-4</v>
      </c>
      <c r="V42" s="9">
        <v>6.5860481376545099E-4</v>
      </c>
      <c r="W42" s="9">
        <v>5.8528817758227603E-4</v>
      </c>
      <c r="X42" s="10">
        <v>2.38503205836833</v>
      </c>
      <c r="Y42" s="10">
        <v>2.3867209477050602</v>
      </c>
      <c r="Z42" s="10">
        <v>2.3864459634817199</v>
      </c>
      <c r="AA42" s="10">
        <v>2.3862935694385801</v>
      </c>
      <c r="AB42" s="8">
        <v>215.90277692940001</v>
      </c>
      <c r="AC42" s="8">
        <v>215.89214079073599</v>
      </c>
      <c r="AD42" s="8">
        <v>215.87631288542599</v>
      </c>
      <c r="AE42" s="9">
        <v>7.0786958381878202E-4</v>
      </c>
      <c r="AF42" s="9">
        <v>6.5860481376545099E-4</v>
      </c>
      <c r="AG42" s="9">
        <v>5.8528817758227603E-4</v>
      </c>
      <c r="AZ42" s="9"/>
      <c r="BB42">
        <f t="shared" si="2"/>
        <v>0</v>
      </c>
      <c r="BC42">
        <f t="shared" si="3"/>
        <v>1</v>
      </c>
      <c r="BD42">
        <f t="shared" si="4"/>
        <v>0</v>
      </c>
      <c r="BE42">
        <f t="shared" si="0"/>
        <v>1</v>
      </c>
      <c r="BF42">
        <f t="shared" si="5"/>
        <v>0</v>
      </c>
      <c r="BG42" s="9">
        <f t="shared" si="6"/>
        <v>0</v>
      </c>
      <c r="BH42" s="9">
        <f t="shared" si="7"/>
        <v>0</v>
      </c>
      <c r="BI42" s="9">
        <f t="shared" si="8"/>
        <v>0</v>
      </c>
      <c r="BJ42" s="12">
        <f t="shared" si="9"/>
        <v>1.3387788399909003E-3</v>
      </c>
      <c r="BL42" s="9"/>
      <c r="BN42">
        <f t="shared" si="10"/>
        <v>0</v>
      </c>
      <c r="BO42">
        <f t="shared" si="11"/>
        <v>0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0</v>
      </c>
      <c r="BY42" s="12">
        <f t="shared" si="19"/>
        <v>1.3387788399909003E-3</v>
      </c>
    </row>
    <row r="43" spans="1:77" x14ac:dyDescent="0.3">
      <c r="A43" s="1">
        <v>46085</v>
      </c>
      <c r="B43" s="8">
        <v>91.641300000000001</v>
      </c>
      <c r="C43" s="8">
        <v>218.57</v>
      </c>
      <c r="D43" s="9">
        <v>1.2974279379980301E-2</v>
      </c>
      <c r="E43" s="9">
        <v>1.29859993985587E-2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91.641300000000001</v>
      </c>
      <c r="M43" s="8">
        <v>218.57</v>
      </c>
      <c r="N43" s="10">
        <v>2.38506001115217</v>
      </c>
      <c r="O43" s="10">
        <v>2.3867209477050602</v>
      </c>
      <c r="P43" s="10">
        <v>2.3863094404724698</v>
      </c>
      <c r="Q43" s="10">
        <v>2.3862809135951202</v>
      </c>
      <c r="R43" s="8">
        <v>218.72221038492401</v>
      </c>
      <c r="S43" s="8">
        <v>218.69701047321701</v>
      </c>
      <c r="T43" s="8">
        <v>218.68304488499101</v>
      </c>
      <c r="U43" s="9">
        <v>6.9614956524052297E-4</v>
      </c>
      <c r="V43" s="9">
        <v>5.8092869458564202E-4</v>
      </c>
      <c r="W43" s="9">
        <v>5.1706849767138303E-4</v>
      </c>
      <c r="X43" s="10">
        <v>2.38506001115217</v>
      </c>
      <c r="Y43" s="10">
        <v>2.3867209477050602</v>
      </c>
      <c r="Z43" s="10">
        <v>2.3863094404724698</v>
      </c>
      <c r="AA43" s="10">
        <v>2.3862809135951202</v>
      </c>
      <c r="AB43" s="8">
        <v>218.72221038492401</v>
      </c>
      <c r="AC43" s="8">
        <v>218.69701047321701</v>
      </c>
      <c r="AD43" s="8">
        <v>218.68304488499101</v>
      </c>
      <c r="AE43" s="9">
        <v>6.9614956524052297E-4</v>
      </c>
      <c r="AF43" s="9">
        <v>5.8092869458564202E-4</v>
      </c>
      <c r="AG43" s="9">
        <v>5.1706849767138303E-4</v>
      </c>
      <c r="AZ43" s="9"/>
      <c r="BB43">
        <f t="shared" si="2"/>
        <v>0</v>
      </c>
      <c r="BC43">
        <f t="shared" si="3"/>
        <v>1</v>
      </c>
      <c r="BD43">
        <f t="shared" si="4"/>
        <v>0</v>
      </c>
      <c r="BE43">
        <f t="shared" si="0"/>
        <v>1</v>
      </c>
      <c r="BF43">
        <f t="shared" si="5"/>
        <v>0</v>
      </c>
      <c r="BG43" s="9">
        <f t="shared" si="6"/>
        <v>0</v>
      </c>
      <c r="BH43" s="9">
        <f t="shared" si="7"/>
        <v>0</v>
      </c>
      <c r="BI43" s="9">
        <f t="shared" si="8"/>
        <v>0</v>
      </c>
      <c r="BJ43" s="12">
        <f t="shared" si="9"/>
        <v>1.3387788399909003E-3</v>
      </c>
      <c r="BL43" s="9"/>
      <c r="BN43">
        <f t="shared" si="10"/>
        <v>0</v>
      </c>
      <c r="BO43">
        <f t="shared" si="11"/>
        <v>0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0</v>
      </c>
      <c r="BY43" s="12">
        <f t="shared" si="19"/>
        <v>1.3387788399909003E-3</v>
      </c>
    </row>
    <row r="44" spans="1:77" x14ac:dyDescent="0.3">
      <c r="A44" s="1">
        <v>46086</v>
      </c>
      <c r="B44" s="8">
        <v>91.658799999999999</v>
      </c>
      <c r="C44" s="8">
        <v>218.72</v>
      </c>
      <c r="D44" s="9">
        <v>1.9094370437521099E-4</v>
      </c>
      <c r="E44" s="9">
        <v>6.8604361354335805E-4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91.658799999999999</v>
      </c>
      <c r="M44" s="8">
        <v>218.72</v>
      </c>
      <c r="N44" s="10">
        <v>2.3862411465129298</v>
      </c>
      <c r="O44" s="10">
        <v>2.3867209477050602</v>
      </c>
      <c r="P44" s="10">
        <v>2.3862567640949899</v>
      </c>
      <c r="Q44" s="10">
        <v>2.3863495316376002</v>
      </c>
      <c r="R44" s="8">
        <v>218.763978001509</v>
      </c>
      <c r="S44" s="8">
        <v>218.72625974237801</v>
      </c>
      <c r="T44" s="8">
        <v>218.723645003032</v>
      </c>
      <c r="U44" s="9">
        <v>2.0104965607207901E-4</v>
      </c>
      <c r="V44" s="9">
        <v>2.8619480629868199E-5</v>
      </c>
      <c r="W44" s="9">
        <v>1.6665017652372301E-5</v>
      </c>
      <c r="X44" s="10">
        <v>2.3862411465129298</v>
      </c>
      <c r="Y44" s="10">
        <v>2.3867209477050602</v>
      </c>
      <c r="Z44" s="10">
        <v>2.3862567640949899</v>
      </c>
      <c r="AA44" s="10">
        <v>2.3863495316376002</v>
      </c>
      <c r="AB44" s="8">
        <v>218.763978001509</v>
      </c>
      <c r="AC44" s="8">
        <v>218.72625974237801</v>
      </c>
      <c r="AD44" s="8">
        <v>218.723645003032</v>
      </c>
      <c r="AE44" s="9">
        <v>2.0104965607207901E-4</v>
      </c>
      <c r="AF44" s="9">
        <v>2.8619480629868199E-5</v>
      </c>
      <c r="AG44" s="9">
        <v>1.6665017652372301E-5</v>
      </c>
      <c r="AZ44" s="9"/>
      <c r="BB44">
        <f t="shared" si="2"/>
        <v>0</v>
      </c>
      <c r="BC44">
        <f t="shared" si="3"/>
        <v>1</v>
      </c>
      <c r="BD44">
        <f t="shared" si="4"/>
        <v>0</v>
      </c>
      <c r="BE44">
        <f t="shared" si="0"/>
        <v>1</v>
      </c>
      <c r="BF44">
        <f t="shared" si="5"/>
        <v>0</v>
      </c>
      <c r="BG44" s="9">
        <f t="shared" si="6"/>
        <v>0</v>
      </c>
      <c r="BH44" s="9">
        <f t="shared" si="7"/>
        <v>0</v>
      </c>
      <c r="BI44" s="9">
        <f t="shared" si="8"/>
        <v>0</v>
      </c>
      <c r="BJ44" s="12">
        <f t="shared" si="9"/>
        <v>1.3387788399909003E-3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0</v>
      </c>
      <c r="BY44" s="12">
        <f t="shared" si="19"/>
        <v>1.3387788399909003E-3</v>
      </c>
    </row>
    <row r="45" spans="1:77" x14ac:dyDescent="0.3">
      <c r="A45" s="1">
        <v>46087</v>
      </c>
      <c r="B45" s="8">
        <v>89.878799999999998</v>
      </c>
      <c r="C45" s="8">
        <v>214.29</v>
      </c>
      <c r="D45" s="9">
        <v>-1.9610891040897801E-2</v>
      </c>
      <c r="E45" s="9">
        <v>-2.04621351406486E-2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89.878799999999998</v>
      </c>
      <c r="M45" s="8">
        <v>214.29</v>
      </c>
      <c r="N45" s="10">
        <v>2.38421073712599</v>
      </c>
      <c r="O45" s="10">
        <v>2.3867209477050602</v>
      </c>
      <c r="P45" s="10">
        <v>2.38571905255814</v>
      </c>
      <c r="Q45" s="10">
        <v>2.3862539667373599</v>
      </c>
      <c r="R45" s="8">
        <v>214.51561471459399</v>
      </c>
      <c r="S45" s="8">
        <v>214.47389444874099</v>
      </c>
      <c r="T45" s="8">
        <v>214.48223228415</v>
      </c>
      <c r="U45" s="9">
        <v>1.05229375582302E-3</v>
      </c>
      <c r="V45" s="9">
        <v>8.5778892485275499E-4</v>
      </c>
      <c r="W45" s="9">
        <v>8.9666392809881505E-4</v>
      </c>
      <c r="X45" s="10">
        <v>2.38421073712599</v>
      </c>
      <c r="Y45" s="10">
        <v>2.3867209477050602</v>
      </c>
      <c r="Z45" s="10">
        <v>2.38571905255814</v>
      </c>
      <c r="AA45" s="10">
        <v>2.3862539667373599</v>
      </c>
      <c r="AB45" s="8">
        <v>214.51561471459399</v>
      </c>
      <c r="AC45" s="8">
        <v>214.47389444874099</v>
      </c>
      <c r="AD45" s="8">
        <v>214.48223228415</v>
      </c>
      <c r="AE45" s="9">
        <v>1.05229375582302E-3</v>
      </c>
      <c r="AF45" s="9">
        <v>8.5778892485275499E-4</v>
      </c>
      <c r="AG45" s="9">
        <v>8.9666392809881505E-4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1.3387788399909003E-3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1.3387788399909003E-3</v>
      </c>
    </row>
    <row r="46" spans="1:77" x14ac:dyDescent="0.3">
      <c r="A46" s="1">
        <v>46090</v>
      </c>
      <c r="B46" s="8">
        <v>91.483800000000002</v>
      </c>
      <c r="C46" s="8">
        <v>218.19</v>
      </c>
      <c r="D46" s="9">
        <v>1.7699811332936799E-2</v>
      </c>
      <c r="E46" s="9">
        <v>1.80360049995681E-2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91.483800000000002</v>
      </c>
      <c r="M46" s="8">
        <v>218.19</v>
      </c>
      <c r="N46" s="10">
        <v>2.3850124284299499</v>
      </c>
      <c r="O46" s="10">
        <v>2.3867209477050602</v>
      </c>
      <c r="P46" s="10">
        <v>2.3854366337288</v>
      </c>
      <c r="Q46" s="10">
        <v>2.3861601307934701</v>
      </c>
      <c r="R46" s="8">
        <v>218.34630183566</v>
      </c>
      <c r="S46" s="8">
        <v>218.25464466041799</v>
      </c>
      <c r="T46" s="8">
        <v>218.303580642208</v>
      </c>
      <c r="U46" s="9">
        <v>7.1610008919141196E-4</v>
      </c>
      <c r="V46" s="9">
        <v>2.9623303519505799E-4</v>
      </c>
      <c r="W46" s="9">
        <v>5.2042297897971304E-4</v>
      </c>
      <c r="X46" s="10">
        <v>2.3850124284299499</v>
      </c>
      <c r="Y46" s="10">
        <v>2.3867209477050602</v>
      </c>
      <c r="Z46" s="10">
        <v>2.3854366337288</v>
      </c>
      <c r="AA46" s="10">
        <v>2.3861601307934701</v>
      </c>
      <c r="AB46" s="8">
        <v>218.34630183566</v>
      </c>
      <c r="AC46" s="8">
        <v>218.25464466041799</v>
      </c>
      <c r="AD46" s="8">
        <v>218.303580642208</v>
      </c>
      <c r="AE46" s="9">
        <v>7.1610008919141196E-4</v>
      </c>
      <c r="AF46" s="9">
        <v>2.9623303519505799E-4</v>
      </c>
      <c r="AG46" s="9">
        <v>5.2042297897971304E-4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1.3387788399909003E-3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1.3387788399909003E-3</v>
      </c>
    </row>
    <row r="47" spans="1:77" x14ac:dyDescent="0.3">
      <c r="A47" s="1">
        <v>46091</v>
      </c>
      <c r="B47" s="8">
        <v>91.498800000000003</v>
      </c>
      <c r="C47" s="8">
        <v>218.23</v>
      </c>
      <c r="D47" s="9">
        <v>1.6395001528676101E-4</v>
      </c>
      <c r="E47" s="9">
        <v>1.8330965634938201E-4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91.498800000000003</v>
      </c>
      <c r="M47" s="8">
        <v>218.23</v>
      </c>
      <c r="N47" s="10">
        <v>2.3850586018614401</v>
      </c>
      <c r="O47" s="10">
        <v>2.3867209477050602</v>
      </c>
      <c r="P47" s="10">
        <v>2.3852662427281799</v>
      </c>
      <c r="Q47" s="10">
        <v>2.3861109566386598</v>
      </c>
      <c r="R47" s="8">
        <v>218.382102649876</v>
      </c>
      <c r="S47" s="8">
        <v>218.26458946222499</v>
      </c>
      <c r="T47" s="8">
        <v>218.33078857544601</v>
      </c>
      <c r="U47" s="9">
        <v>6.9674044812885396E-4</v>
      </c>
      <c r="V47" s="9">
        <v>1.58487473304354E-4</v>
      </c>
      <c r="W47" s="9">
        <v>4.6173902867383898E-4</v>
      </c>
      <c r="X47" s="10">
        <v>2.3850586018614401</v>
      </c>
      <c r="Y47" s="10">
        <v>2.3867209477050602</v>
      </c>
      <c r="Z47" s="10">
        <v>2.3852662427281799</v>
      </c>
      <c r="AA47" s="10">
        <v>2.3861109566386598</v>
      </c>
      <c r="AB47" s="8">
        <v>218.382102649876</v>
      </c>
      <c r="AC47" s="8">
        <v>218.26458946222499</v>
      </c>
      <c r="AD47" s="8">
        <v>218.33078857544601</v>
      </c>
      <c r="AE47" s="9">
        <v>6.9674044812885396E-4</v>
      </c>
      <c r="AF47" s="9">
        <v>1.58487473304354E-4</v>
      </c>
      <c r="AG47" s="9">
        <v>4.6173902867383898E-4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1.3387788399909003E-3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1.3387788399909003E-3</v>
      </c>
    </row>
    <row r="48" spans="1:77" x14ac:dyDescent="0.3">
      <c r="A48" s="1">
        <v>46092</v>
      </c>
      <c r="B48" s="8">
        <v>91.88</v>
      </c>
      <c r="C48" s="8">
        <v>219.09</v>
      </c>
      <c r="D48" s="9">
        <v>4.1575203795192802E-3</v>
      </c>
      <c r="E48" s="9">
        <v>3.9330518092196504E-3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91.88</v>
      </c>
      <c r="M48" s="8">
        <v>219.09</v>
      </c>
      <c r="N48" s="10">
        <v>2.3845232912494501</v>
      </c>
      <c r="O48" s="10">
        <v>2.3867209477050602</v>
      </c>
      <c r="P48" s="10">
        <v>2.3850794855181698</v>
      </c>
      <c r="Q48" s="10">
        <v>2.3859920463438402</v>
      </c>
      <c r="R48" s="8">
        <v>219.291920675141</v>
      </c>
      <c r="S48" s="8">
        <v>219.158262381865</v>
      </c>
      <c r="T48" s="8">
        <v>219.23587469596001</v>
      </c>
      <c r="U48" s="9">
        <v>9.2120901842837697E-4</v>
      </c>
      <c r="V48" s="9">
        <v>3.11523801813453E-4</v>
      </c>
      <c r="W48" s="9">
        <v>6.65599316705381E-4</v>
      </c>
      <c r="X48" s="10">
        <v>2.3845232912494501</v>
      </c>
      <c r="Y48" s="10">
        <v>2.3867209477050602</v>
      </c>
      <c r="Z48" s="10">
        <v>2.3850794855181698</v>
      </c>
      <c r="AA48" s="10">
        <v>2.3859920463438402</v>
      </c>
      <c r="AB48" s="8">
        <v>219.291920675141</v>
      </c>
      <c r="AC48" s="8">
        <v>219.158262381865</v>
      </c>
      <c r="AD48" s="8">
        <v>219.23587469596001</v>
      </c>
      <c r="AE48" s="9">
        <v>9.2120901842837697E-4</v>
      </c>
      <c r="AF48" s="9">
        <v>3.11523801813453E-4</v>
      </c>
      <c r="AG48" s="9">
        <v>6.65599316705381E-4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1.3387788399909003E-3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1.3387788399909003E-3</v>
      </c>
    </row>
    <row r="49" spans="1:77" x14ac:dyDescent="0.3">
      <c r="A49" s="1">
        <v>46093</v>
      </c>
      <c r="B49" s="8">
        <v>90.082499999999996</v>
      </c>
      <c r="C49" s="8">
        <v>214.93</v>
      </c>
      <c r="D49" s="9">
        <v>-1.9757460706279401E-2</v>
      </c>
      <c r="E49" s="9">
        <v>-1.9170210580943599E-2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90.082499999999996</v>
      </c>
      <c r="M49" s="8">
        <v>214.93</v>
      </c>
      <c r="N49" s="10">
        <v>2.3859240140981801</v>
      </c>
      <c r="O49" s="10">
        <v>2.3867209477050602</v>
      </c>
      <c r="P49" s="10">
        <v>2.3850413940169699</v>
      </c>
      <c r="Q49" s="10">
        <v>2.38600621494319</v>
      </c>
      <c r="R49" s="8">
        <v>215.001789771641</v>
      </c>
      <c r="S49" s="8">
        <v>214.85392275418999</v>
      </c>
      <c r="T49" s="8">
        <v>214.936128514769</v>
      </c>
      <c r="U49" s="9">
        <v>3.3395889309265401E-4</v>
      </c>
      <c r="V49" s="9">
        <v>-3.5402555831412101E-4</v>
      </c>
      <c r="W49" s="9">
        <v>2.85135969698875E-5</v>
      </c>
      <c r="X49" s="10">
        <v>2.3859240140981801</v>
      </c>
      <c r="Y49" s="10">
        <v>2.3867209477050602</v>
      </c>
      <c r="Z49" s="10">
        <v>2.3850413940169699</v>
      </c>
      <c r="AA49" s="10">
        <v>2.38600621494319</v>
      </c>
      <c r="AB49" s="8">
        <v>215.001789771641</v>
      </c>
      <c r="AC49" s="8">
        <v>214.85392275418999</v>
      </c>
      <c r="AD49" s="8">
        <v>214.936128514769</v>
      </c>
      <c r="AE49" s="9">
        <v>3.3395889309265401E-4</v>
      </c>
      <c r="AF49" s="9">
        <v>-3.5402555831412101E-4</v>
      </c>
      <c r="AG49" s="9">
        <v>2.85135969698875E-5</v>
      </c>
      <c r="AZ49" s="9"/>
      <c r="BB49">
        <f t="shared" si="2"/>
        <v>0</v>
      </c>
      <c r="BC49">
        <f t="shared" si="3"/>
        <v>1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1.3387788399909003E-3</v>
      </c>
      <c r="BL49" s="9"/>
      <c r="BN49">
        <f t="shared" si="10"/>
        <v>0</v>
      </c>
      <c r="BO49">
        <f t="shared" si="11"/>
        <v>0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1.3387788399909003E-3</v>
      </c>
    </row>
    <row r="50" spans="1:77" x14ac:dyDescent="0.3">
      <c r="A50" s="1">
        <v>46094</v>
      </c>
      <c r="B50" s="8">
        <v>89.305000000000007</v>
      </c>
      <c r="C50" s="8">
        <v>213.01</v>
      </c>
      <c r="D50" s="9">
        <v>-8.6684397581710398E-3</v>
      </c>
      <c r="E50" s="9">
        <v>-8.9732807549915E-3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89.305000000000007</v>
      </c>
      <c r="M50" s="8">
        <v>213.01</v>
      </c>
      <c r="N50" s="10">
        <v>2.3851967974917399</v>
      </c>
      <c r="O50" s="10">
        <v>2.3867209477050602</v>
      </c>
      <c r="P50" s="10">
        <v>2.3851683394879002</v>
      </c>
      <c r="Q50" s="10">
        <v>2.38590856345217</v>
      </c>
      <c r="R50" s="8">
        <v>213.1461142348</v>
      </c>
      <c r="S50" s="8">
        <v>212.99612169268599</v>
      </c>
      <c r="T50" s="8">
        <v>213.08228502550199</v>
      </c>
      <c r="U50" s="9">
        <v>6.3879988991294499E-4</v>
      </c>
      <c r="V50" s="9">
        <v>-6.5155436092740893E-5</v>
      </c>
      <c r="W50" s="9">
        <v>3.3929281864919503E-4</v>
      </c>
      <c r="X50" s="10">
        <v>2.3851967974917399</v>
      </c>
      <c r="Y50" s="10">
        <v>2.3867209477050602</v>
      </c>
      <c r="Z50" s="10">
        <v>2.3851683394879002</v>
      </c>
      <c r="AA50" s="10">
        <v>2.38590856345217</v>
      </c>
      <c r="AB50" s="8">
        <v>213.1461142348</v>
      </c>
      <c r="AC50" s="8">
        <v>212.99612169268599</v>
      </c>
      <c r="AD50" s="8">
        <v>213.08228502550199</v>
      </c>
      <c r="AE50" s="9">
        <v>6.3879988991294499E-4</v>
      </c>
      <c r="AF50" s="9">
        <v>-6.5155436092740893E-5</v>
      </c>
      <c r="AG50" s="9">
        <v>3.3929281864919503E-4</v>
      </c>
      <c r="AZ50" s="9"/>
      <c r="BB50">
        <f t="shared" si="2"/>
        <v>0</v>
      </c>
      <c r="BC50">
        <f t="shared" si="3"/>
        <v>1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1.3387788399909003E-3</v>
      </c>
      <c r="BL50" s="9"/>
      <c r="BN50">
        <f t="shared" si="10"/>
        <v>0</v>
      </c>
      <c r="BO50">
        <f t="shared" si="11"/>
        <v>0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1.3387788399909003E-3</v>
      </c>
    </row>
    <row r="51" spans="1:77" x14ac:dyDescent="0.3">
      <c r="A51" s="1">
        <v>46097</v>
      </c>
      <c r="B51" s="8">
        <v>90.618799999999993</v>
      </c>
      <c r="C51" s="8">
        <v>216.12</v>
      </c>
      <c r="D51" s="9">
        <v>1.4604219684957899E-2</v>
      </c>
      <c r="E51" s="9">
        <v>1.4494696011671899E-2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90.618799999999993</v>
      </c>
      <c r="M51" s="8">
        <v>216.12</v>
      </c>
      <c r="N51" s="10">
        <v>2.3849355762821798</v>
      </c>
      <c r="O51" s="10">
        <v>2.3867209477050602</v>
      </c>
      <c r="P51" s="10">
        <v>2.3851194662572399</v>
      </c>
      <c r="Q51" s="10">
        <v>2.3858614177999402</v>
      </c>
      <c r="R51" s="8">
        <v>216.28178821589501</v>
      </c>
      <c r="S51" s="8">
        <v>216.14109272238599</v>
      </c>
      <c r="T51" s="8">
        <v>216.20817092976</v>
      </c>
      <c r="U51" s="9">
        <v>7.48323563199062E-4</v>
      </c>
      <c r="V51" s="9">
        <v>9.7592509521688997E-5</v>
      </c>
      <c r="W51" s="9">
        <v>4.0788889973519398E-4</v>
      </c>
      <c r="X51" s="10">
        <v>2.3849355762821798</v>
      </c>
      <c r="Y51" s="10">
        <v>2.3867209477050602</v>
      </c>
      <c r="Z51" s="10">
        <v>2.3851194662572399</v>
      </c>
      <c r="AA51" s="10">
        <v>2.3858614177999402</v>
      </c>
      <c r="AB51" s="8">
        <v>216.28178821589501</v>
      </c>
      <c r="AC51" s="8">
        <v>216.14109272238599</v>
      </c>
      <c r="AD51" s="8">
        <v>216.20817092976</v>
      </c>
      <c r="AE51" s="9">
        <v>7.48323563199062E-4</v>
      </c>
      <c r="AF51" s="9">
        <v>9.7592509521688997E-5</v>
      </c>
      <c r="AG51" s="9">
        <v>4.0788889973519398E-4</v>
      </c>
      <c r="AZ51" s="9"/>
      <c r="BB51">
        <f t="shared" si="2"/>
        <v>0</v>
      </c>
      <c r="BC51">
        <f t="shared" si="3"/>
        <v>1</v>
      </c>
      <c r="BD51">
        <f t="shared" si="4"/>
        <v>0</v>
      </c>
      <c r="BE51">
        <f t="shared" si="0"/>
        <v>1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1.3387788399909003E-3</v>
      </c>
      <c r="BL51" s="9"/>
      <c r="BN51">
        <f t="shared" si="10"/>
        <v>0</v>
      </c>
      <c r="BO51">
        <f t="shared" si="11"/>
        <v>0</v>
      </c>
      <c r="BP51">
        <f t="shared" si="12"/>
        <v>0</v>
      </c>
      <c r="BQ51">
        <f t="shared" si="1"/>
        <v>1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1.3387788399909003E-3</v>
      </c>
    </row>
    <row r="52" spans="1:77" x14ac:dyDescent="0.3">
      <c r="A52" s="1">
        <v>46098</v>
      </c>
      <c r="B52" s="8">
        <v>90.924999999999997</v>
      </c>
      <c r="C52" s="8">
        <v>216.86</v>
      </c>
      <c r="D52" s="9">
        <v>3.3732938316476798E-3</v>
      </c>
      <c r="E52" s="9">
        <v>3.4181750681708499E-3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90.924999999999997</v>
      </c>
      <c r="M52" s="8">
        <v>216.86</v>
      </c>
      <c r="N52" s="10">
        <v>2.3850426175419299</v>
      </c>
      <c r="O52" s="10">
        <v>2.3867209477050602</v>
      </c>
      <c r="P52" s="10">
        <v>2.3851205221746001</v>
      </c>
      <c r="Q52" s="10">
        <v>2.3857832428281598</v>
      </c>
      <c r="R52" s="8">
        <v>217.012602170083</v>
      </c>
      <c r="S52" s="8">
        <v>216.86698746943901</v>
      </c>
      <c r="T52" s="8">
        <v>216.93444941345999</v>
      </c>
      <c r="U52" s="9">
        <v>7.0344232667582905E-4</v>
      </c>
      <c r="V52" s="9">
        <v>3.2220588721349197E-5</v>
      </c>
      <c r="W52" s="9">
        <v>3.4324742647972803E-4</v>
      </c>
      <c r="X52" s="10">
        <v>2.3850426175419299</v>
      </c>
      <c r="Y52" s="10">
        <v>2.3867209477050602</v>
      </c>
      <c r="Z52" s="10">
        <v>2.3851205221746001</v>
      </c>
      <c r="AA52" s="10">
        <v>2.3857832428281598</v>
      </c>
      <c r="AB52" s="8">
        <v>217.012602170083</v>
      </c>
      <c r="AC52" s="8">
        <v>216.86698746943901</v>
      </c>
      <c r="AD52" s="8">
        <v>216.93444941345999</v>
      </c>
      <c r="AE52" s="9">
        <v>7.0344232667582905E-4</v>
      </c>
      <c r="AF52" s="9">
        <v>3.2220588721349197E-5</v>
      </c>
      <c r="AG52" s="9">
        <v>3.4324742647972803E-4</v>
      </c>
      <c r="AZ52" s="9"/>
      <c r="BB52">
        <f t="shared" si="2"/>
        <v>0</v>
      </c>
      <c r="BC52">
        <f t="shared" si="3"/>
        <v>1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1.3387788399909003E-3</v>
      </c>
      <c r="BL52" s="9"/>
      <c r="BN52">
        <f t="shared" si="10"/>
        <v>0</v>
      </c>
      <c r="BO52">
        <f t="shared" si="11"/>
        <v>0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1.3387788399909003E-3</v>
      </c>
    </row>
    <row r="53" spans="1:77" x14ac:dyDescent="0.3">
      <c r="A53" s="1">
        <v>46099</v>
      </c>
      <c r="B53" s="8">
        <v>89.981300000000005</v>
      </c>
      <c r="C53" s="8">
        <v>214.68</v>
      </c>
      <c r="D53" s="9">
        <v>-1.04331199093583E-2</v>
      </c>
      <c r="E53" s="9">
        <v>-1.0103436735407799E-2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89.981300000000005</v>
      </c>
      <c r="M53" s="8">
        <v>214.68</v>
      </c>
      <c r="N53" s="10">
        <v>2.38582905559266</v>
      </c>
      <c r="O53" s="10">
        <v>2.3867209477050602</v>
      </c>
      <c r="P53" s="10">
        <v>2.3851974266186402</v>
      </c>
      <c r="Q53" s="10">
        <v>2.3857534335455601</v>
      </c>
      <c r="R53" s="8">
        <v>214.76025361173299</v>
      </c>
      <c r="S53" s="8">
        <v>214.616245241949</v>
      </c>
      <c r="T53" s="8">
        <v>214.67587770789299</v>
      </c>
      <c r="U53" s="9">
        <v>3.7375915272539303E-4</v>
      </c>
      <c r="V53" s="9">
        <v>-2.9701987485750402E-4</v>
      </c>
      <c r="W53" s="9">
        <v>-1.9202215785724501E-5</v>
      </c>
      <c r="X53" s="10">
        <v>2.38582905559266</v>
      </c>
      <c r="Y53" s="10">
        <v>2.3867209477050602</v>
      </c>
      <c r="Z53" s="10">
        <v>2.3851974266186402</v>
      </c>
      <c r="AA53" s="10">
        <v>2.3857534335455601</v>
      </c>
      <c r="AB53" s="8">
        <v>214.76025361173299</v>
      </c>
      <c r="AC53" s="8">
        <v>214.616245241949</v>
      </c>
      <c r="AD53" s="8">
        <v>214.67587770789299</v>
      </c>
      <c r="AE53" s="9">
        <v>3.7375915272539303E-4</v>
      </c>
      <c r="AF53" s="9">
        <v>-2.9701987485750402E-4</v>
      </c>
      <c r="AG53" s="9">
        <v>-1.9202215785724501E-5</v>
      </c>
      <c r="AZ53" s="9"/>
      <c r="BB53">
        <f t="shared" si="2"/>
        <v>0</v>
      </c>
      <c r="BC53">
        <f t="shared" si="3"/>
        <v>0</v>
      </c>
      <c r="BD53">
        <f t="shared" si="4"/>
        <v>0</v>
      </c>
      <c r="BE53">
        <f t="shared" si="0"/>
        <v>1</v>
      </c>
      <c r="BF53">
        <f t="shared" si="5"/>
        <v>0</v>
      </c>
      <c r="BG53" s="9">
        <f t="shared" si="6"/>
        <v>0</v>
      </c>
      <c r="BH53" s="9">
        <f t="shared" si="7"/>
        <v>0</v>
      </c>
      <c r="BI53" s="9">
        <f t="shared" si="8"/>
        <v>0</v>
      </c>
      <c r="BJ53" s="12">
        <f t="shared" si="9"/>
        <v>1.3387788399909003E-3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0</v>
      </c>
      <c r="BY53" s="12">
        <f t="shared" si="19"/>
        <v>1.3387788399909003E-3</v>
      </c>
    </row>
    <row r="54" spans="1:77" x14ac:dyDescent="0.3">
      <c r="A54" s="1">
        <v>46100</v>
      </c>
      <c r="B54" s="8">
        <v>90.215000000000003</v>
      </c>
      <c r="C54" s="8">
        <v>215.19</v>
      </c>
      <c r="D54" s="9">
        <v>2.5938393965674101E-3</v>
      </c>
      <c r="E54" s="9">
        <v>2.3728114978247101E-3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90.215000000000003</v>
      </c>
      <c r="M54" s="8">
        <v>215.19</v>
      </c>
      <c r="N54" s="10">
        <v>2.3853017790833002</v>
      </c>
      <c r="O54" s="10">
        <v>2.3867209477050602</v>
      </c>
      <c r="P54" s="10">
        <v>2.38510348987568</v>
      </c>
      <c r="Q54" s="10">
        <v>2.3856801269853398</v>
      </c>
      <c r="R54" s="8">
        <v>215.318030297212</v>
      </c>
      <c r="S54" s="8">
        <v>215.180585842401</v>
      </c>
      <c r="T54" s="8">
        <v>215.23074600731201</v>
      </c>
      <c r="U54" s="9">
        <v>5.9478705146816203E-4</v>
      </c>
      <c r="V54" s="9">
        <v>-4.37490753769756E-5</v>
      </c>
      <c r="W54" s="9">
        <v>1.8933105716884899E-4</v>
      </c>
      <c r="X54" s="10">
        <v>2.3853017790833002</v>
      </c>
      <c r="Y54" s="10">
        <v>2.3867209477050602</v>
      </c>
      <c r="Z54" s="10">
        <v>2.38510348987568</v>
      </c>
      <c r="AA54" s="10">
        <v>2.3856801269853398</v>
      </c>
      <c r="AB54" s="8">
        <v>215.318030297212</v>
      </c>
      <c r="AC54" s="8">
        <v>215.180585842401</v>
      </c>
      <c r="AD54" s="8">
        <v>215.23074600731201</v>
      </c>
      <c r="AE54" s="9">
        <v>5.9478705146816203E-4</v>
      </c>
      <c r="AF54" s="9">
        <v>-4.37490753769756E-5</v>
      </c>
      <c r="AG54" s="9">
        <v>1.8933105716884899E-4</v>
      </c>
      <c r="AZ54" s="9"/>
      <c r="BB54">
        <f t="shared" si="2"/>
        <v>0</v>
      </c>
      <c r="BC54">
        <f t="shared" si="3"/>
        <v>1</v>
      </c>
      <c r="BD54">
        <f t="shared" si="4"/>
        <v>0</v>
      </c>
      <c r="BE54">
        <f t="shared" si="0"/>
        <v>0</v>
      </c>
      <c r="BF54">
        <f t="shared" si="5"/>
        <v>0</v>
      </c>
      <c r="BG54" s="9">
        <f t="shared" si="6"/>
        <v>0</v>
      </c>
      <c r="BH54" s="9">
        <f t="shared" si="7"/>
        <v>0</v>
      </c>
      <c r="BI54" s="9">
        <f t="shared" si="8"/>
        <v>0</v>
      </c>
      <c r="BJ54" s="12">
        <f t="shared" si="9"/>
        <v>1.3387788399909003E-3</v>
      </c>
      <c r="BL54" s="9"/>
      <c r="BN54">
        <f t="shared" si="10"/>
        <v>0</v>
      </c>
      <c r="BO54">
        <f t="shared" si="11"/>
        <v>0</v>
      </c>
      <c r="BP54">
        <f t="shared" si="12"/>
        <v>0</v>
      </c>
      <c r="BQ54">
        <f t="shared" si="1"/>
        <v>0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0</v>
      </c>
      <c r="BY54" s="12">
        <f t="shared" si="19"/>
        <v>1.3387788399909003E-3</v>
      </c>
    </row>
    <row r="55" spans="1:77" x14ac:dyDescent="0.3">
      <c r="A55" s="1">
        <v>46101</v>
      </c>
      <c r="B55" s="8">
        <v>88.141300000000001</v>
      </c>
      <c r="C55" s="8">
        <v>210.06</v>
      </c>
      <c r="D55" s="9">
        <v>-2.32545017926532E-2</v>
      </c>
      <c r="E55" s="9">
        <v>-2.41281546118234E-2</v>
      </c>
      <c r="F55" s="8">
        <v>0</v>
      </c>
      <c r="G55" s="8">
        <v>0</v>
      </c>
      <c r="H55" s="8">
        <v>0.221</v>
      </c>
      <c r="I55" s="8">
        <v>0.221</v>
      </c>
      <c r="J55" s="8">
        <v>0</v>
      </c>
      <c r="K55" s="8">
        <v>0</v>
      </c>
      <c r="L55" s="8">
        <v>88.141300000000001</v>
      </c>
      <c r="M55" s="8">
        <v>210.06</v>
      </c>
      <c r="N55" s="10">
        <v>2.3832187635081299</v>
      </c>
      <c r="O55" s="10">
        <v>2.3867209477050602</v>
      </c>
      <c r="P55" s="10">
        <v>2.3850042925139001</v>
      </c>
      <c r="Q55" s="10">
        <v>2.3853616725360198</v>
      </c>
      <c r="R55" s="8">
        <v>210.36868706795599</v>
      </c>
      <c r="S55" s="8">
        <v>210.22612223217899</v>
      </c>
      <c r="T55" s="8">
        <v>210.276947776653</v>
      </c>
      <c r="U55" s="9">
        <v>1.46843987063826E-3</v>
      </c>
      <c r="V55" s="9">
        <v>7.9051975329862698E-4</v>
      </c>
      <c r="W55" s="9">
        <v>1.03225660777529E-3</v>
      </c>
      <c r="X55" s="10">
        <v>2.3832187635081299</v>
      </c>
      <c r="Y55" s="10">
        <v>2.3867209477050602</v>
      </c>
      <c r="Z55" s="10">
        <v>2.3850042925139001</v>
      </c>
      <c r="AA55" s="10">
        <v>2.3853616725360198</v>
      </c>
      <c r="AB55" s="8">
        <v>210.36868706795599</v>
      </c>
      <c r="AC55" s="8">
        <v>210.22612223217899</v>
      </c>
      <c r="AD55" s="8">
        <v>210.276947776653</v>
      </c>
      <c r="AE55" s="9">
        <v>1.46843987063826E-3</v>
      </c>
      <c r="AF55" s="9">
        <v>7.9051975329862698E-4</v>
      </c>
      <c r="AG55" s="9">
        <v>1.03225660777529E-3</v>
      </c>
      <c r="AZ55" s="9"/>
      <c r="BB55">
        <f t="shared" si="2"/>
        <v>0</v>
      </c>
      <c r="BC55">
        <f t="shared" si="3"/>
        <v>1</v>
      </c>
      <c r="BD55">
        <f t="shared" si="4"/>
        <v>0</v>
      </c>
      <c r="BE55">
        <f t="shared" si="0"/>
        <v>1</v>
      </c>
      <c r="BF55">
        <f t="shared" si="5"/>
        <v>0</v>
      </c>
      <c r="BG55" s="9">
        <f t="shared" si="6"/>
        <v>0</v>
      </c>
      <c r="BH55" s="9">
        <f t="shared" si="7"/>
        <v>0</v>
      </c>
      <c r="BI55" s="9">
        <f t="shared" si="8"/>
        <v>0</v>
      </c>
      <c r="BJ55" s="12">
        <f t="shared" si="9"/>
        <v>1.3387788399909003E-3</v>
      </c>
      <c r="BL55" s="9"/>
      <c r="BN55">
        <f t="shared" si="10"/>
        <v>0</v>
      </c>
      <c r="BO55">
        <f t="shared" si="11"/>
        <v>0</v>
      </c>
      <c r="BP55">
        <f t="shared" si="12"/>
        <v>0</v>
      </c>
      <c r="BQ55">
        <f t="shared" si="1"/>
        <v>1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0</v>
      </c>
      <c r="BY55" s="12">
        <f t="shared" si="19"/>
        <v>1.3387788399909003E-3</v>
      </c>
    </row>
    <row r="56" spans="1:77" x14ac:dyDescent="0.3">
      <c r="A56" s="1">
        <v>46104</v>
      </c>
      <c r="B56" s="8">
        <v>89.552499999999995</v>
      </c>
      <c r="C56" s="8">
        <v>213.33</v>
      </c>
      <c r="D56" s="9">
        <v>1.58838369140306E-2</v>
      </c>
      <c r="E56" s="9">
        <v>1.5447058368906899E-2</v>
      </c>
      <c r="F56" s="8">
        <v>0</v>
      </c>
      <c r="G56" s="8">
        <v>0</v>
      </c>
      <c r="H56" s="8">
        <v>0</v>
      </c>
      <c r="I56" s="8">
        <v>0.221</v>
      </c>
      <c r="J56" s="8">
        <v>0</v>
      </c>
      <c r="K56" s="8">
        <v>0</v>
      </c>
      <c r="L56" s="8">
        <v>89.552499999999995</v>
      </c>
      <c r="M56" s="8">
        <v>213.33</v>
      </c>
      <c r="N56" s="10">
        <v>2.3821780519806799</v>
      </c>
      <c r="O56" s="10">
        <v>2.3867209477050602</v>
      </c>
      <c r="P56" s="10">
        <v>2.38472085486897</v>
      </c>
      <c r="Q56" s="10">
        <v>2.3850787442988799</v>
      </c>
      <c r="R56" s="8">
        <v>213.73682766935701</v>
      </c>
      <c r="S56" s="8">
        <v>213.583096905351</v>
      </c>
      <c r="T56" s="8">
        <v>213.61510117978099</v>
      </c>
      <c r="U56" s="9">
        <v>1.9052184157618301E-3</v>
      </c>
      <c r="V56" s="9">
        <v>1.1857070529723E-3</v>
      </c>
      <c r="W56" s="9">
        <v>1.33554043070755E-3</v>
      </c>
      <c r="X56" s="10">
        <v>2.3821780519806799</v>
      </c>
      <c r="Y56" s="10">
        <v>2.3867209477050602</v>
      </c>
      <c r="Z56" s="10">
        <v>2.38472085486897</v>
      </c>
      <c r="AA56" s="10">
        <v>2.3850787442988799</v>
      </c>
      <c r="AB56" s="8">
        <v>213.73682766935701</v>
      </c>
      <c r="AC56" s="8">
        <v>213.583096905351</v>
      </c>
      <c r="AD56" s="8">
        <v>213.61510117978099</v>
      </c>
      <c r="AE56" s="9">
        <v>1.9052184157618301E-3</v>
      </c>
      <c r="AF56" s="9">
        <v>1.1857070529723E-3</v>
      </c>
      <c r="AG56" s="9">
        <v>1.33554043070755E-3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0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1.3387788399909003E-3</v>
      </c>
      <c r="BL56" s="9"/>
      <c r="BN56">
        <f t="shared" si="10"/>
        <v>0</v>
      </c>
      <c r="BO56">
        <f t="shared" si="11"/>
        <v>0</v>
      </c>
      <c r="BP56">
        <f t="shared" si="12"/>
        <v>0</v>
      </c>
      <c r="BQ56">
        <f t="shared" si="1"/>
        <v>0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1.3387788399909003E-3</v>
      </c>
    </row>
    <row r="57" spans="1:77" x14ac:dyDescent="0.3">
      <c r="A57" s="1">
        <v>46105</v>
      </c>
      <c r="B57" s="8">
        <v>88.987499999999997</v>
      </c>
      <c r="C57" s="8">
        <v>212.27</v>
      </c>
      <c r="D57" s="9">
        <v>-6.3291350516475097E-3</v>
      </c>
      <c r="E57" s="9">
        <v>-4.9812133071836804E-3</v>
      </c>
      <c r="F57" s="8">
        <v>9.2999999999999999E-2</v>
      </c>
      <c r="G57" s="8">
        <v>9.2999999999999999E-2</v>
      </c>
      <c r="H57" s="8">
        <v>0</v>
      </c>
      <c r="I57" s="8">
        <v>0.221</v>
      </c>
      <c r="J57" s="8">
        <v>0</v>
      </c>
      <c r="K57" s="8">
        <v>0</v>
      </c>
      <c r="L57" s="8">
        <v>88.987499999999997</v>
      </c>
      <c r="M57" s="8">
        <v>212.27</v>
      </c>
      <c r="N57" s="10">
        <v>2.3853912066301399</v>
      </c>
      <c r="O57" s="10">
        <v>2.3867209477050602</v>
      </c>
      <c r="P57" s="10">
        <v>2.38475411534584</v>
      </c>
      <c r="Q57" s="10">
        <v>2.38501017903701</v>
      </c>
      <c r="R57" s="8">
        <v>212.38833033390401</v>
      </c>
      <c r="S57" s="8">
        <v>212.21034707265201</v>
      </c>
      <c r="T57" s="8">
        <v>212.24219475829699</v>
      </c>
      <c r="U57" s="9">
        <v>5.57296671297961E-4</v>
      </c>
      <c r="V57" s="9">
        <v>-2.81063319663254E-4</v>
      </c>
      <c r="W57" s="9">
        <v>-1.3099855356700699E-4</v>
      </c>
      <c r="X57" s="10">
        <v>2.3853912066301399</v>
      </c>
      <c r="Y57" s="10">
        <v>2.3867209477050602</v>
      </c>
      <c r="Z57" s="10">
        <v>2.38475411534584</v>
      </c>
      <c r="AA57" s="10">
        <v>2.38501017903701</v>
      </c>
      <c r="AB57" s="8">
        <v>212.38833033390401</v>
      </c>
      <c r="AC57" s="8">
        <v>212.21034707265201</v>
      </c>
      <c r="AD57" s="8">
        <v>212.24219475829699</v>
      </c>
      <c r="AE57" s="9">
        <v>5.57296671297961E-4</v>
      </c>
      <c r="AF57" s="9">
        <v>-2.81063319663254E-4</v>
      </c>
      <c r="AG57" s="9">
        <v>-1.3099855356700699E-4</v>
      </c>
      <c r="AZ57" s="9"/>
      <c r="BB57">
        <f t="shared" si="2"/>
        <v>0</v>
      </c>
      <c r="BC57">
        <f t="shared" si="3"/>
        <v>0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1.3387788399909003E-3</v>
      </c>
      <c r="BL57" s="9"/>
      <c r="BN57">
        <f t="shared" si="10"/>
        <v>0</v>
      </c>
      <c r="BO57">
        <f t="shared" si="11"/>
        <v>1</v>
      </c>
      <c r="BP57">
        <f t="shared" si="12"/>
        <v>0</v>
      </c>
      <c r="BQ57">
        <f t="shared" si="1"/>
        <v>1</v>
      </c>
      <c r="BR57">
        <f t="shared" si="13"/>
        <v>0</v>
      </c>
      <c r="BS57" s="9">
        <f t="shared" si="14"/>
        <v>0</v>
      </c>
      <c r="BT57" s="9">
        <f t="shared" si="15"/>
        <v>0</v>
      </c>
      <c r="BU57" s="9">
        <f t="shared" si="16"/>
        <v>0</v>
      </c>
      <c r="BV57" s="12">
        <f t="shared" si="17"/>
        <v>0</v>
      </c>
      <c r="BX57" s="12">
        <f t="shared" si="18"/>
        <v>0</v>
      </c>
      <c r="BY57" s="12">
        <f t="shared" si="19"/>
        <v>1.3387788399909003E-3</v>
      </c>
    </row>
    <row r="58" spans="1:77" x14ac:dyDescent="0.3">
      <c r="A58" s="1">
        <v>46106</v>
      </c>
      <c r="B58" s="8">
        <v>89.557500000000005</v>
      </c>
      <c r="C58" s="8">
        <v>213.65</v>
      </c>
      <c r="D58" s="9">
        <v>6.3849666635207901E-3</v>
      </c>
      <c r="E58" s="9">
        <v>6.4801128336813797E-3</v>
      </c>
      <c r="F58" s="8">
        <v>0</v>
      </c>
      <c r="G58" s="8">
        <v>9.2999999999999999E-2</v>
      </c>
      <c r="H58" s="8">
        <v>0</v>
      </c>
      <c r="I58" s="8">
        <v>0.221</v>
      </c>
      <c r="J58" s="8">
        <v>0</v>
      </c>
      <c r="K58" s="8">
        <v>0</v>
      </c>
      <c r="L58" s="8">
        <v>89.557500000000005</v>
      </c>
      <c r="M58" s="8">
        <v>213.65</v>
      </c>
      <c r="N58" s="10">
        <v>2.3856181782653598</v>
      </c>
      <c r="O58" s="10">
        <v>2.3867209477050602</v>
      </c>
      <c r="P58" s="10">
        <v>2.38486360404743</v>
      </c>
      <c r="Q58" s="10">
        <v>2.3849715447827999</v>
      </c>
      <c r="R58" s="8">
        <v>213.74876127409601</v>
      </c>
      <c r="S58" s="8">
        <v>213.57261668508499</v>
      </c>
      <c r="T58" s="8">
        <v>213.595549109107</v>
      </c>
      <c r="U58" s="9">
        <v>4.6215050113751098E-4</v>
      </c>
      <c r="V58" s="9">
        <v>-3.6226226205608502E-4</v>
      </c>
      <c r="W58" s="9">
        <v>-2.5489272527692201E-4</v>
      </c>
      <c r="X58" s="10">
        <v>2.3856181782653598</v>
      </c>
      <c r="Y58" s="10">
        <v>2.3867209477050602</v>
      </c>
      <c r="Z58" s="10">
        <v>2.38486360404743</v>
      </c>
      <c r="AA58" s="10">
        <v>2.3849715447827999</v>
      </c>
      <c r="AB58" s="8">
        <v>213.74876127409601</v>
      </c>
      <c r="AC58" s="8">
        <v>213.57261668508499</v>
      </c>
      <c r="AD58" s="8">
        <v>213.595549109107</v>
      </c>
      <c r="AE58" s="9">
        <v>4.6215050113751098E-4</v>
      </c>
      <c r="AF58" s="9">
        <v>-3.6226226205608502E-4</v>
      </c>
      <c r="AG58" s="9">
        <v>-2.5489272527692201E-4</v>
      </c>
      <c r="AZ58" s="9"/>
      <c r="BB58">
        <f t="shared" si="2"/>
        <v>0</v>
      </c>
      <c r="BC58">
        <f t="shared" si="3"/>
        <v>0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1.3387788399909003E-3</v>
      </c>
      <c r="BL58" s="9"/>
      <c r="BN58">
        <f t="shared" si="10"/>
        <v>0</v>
      </c>
      <c r="BO58">
        <f t="shared" si="11"/>
        <v>1</v>
      </c>
      <c r="BP58">
        <f t="shared" si="12"/>
        <v>0</v>
      </c>
      <c r="BQ58">
        <f t="shared" si="1"/>
        <v>1</v>
      </c>
      <c r="BR58">
        <f t="shared" si="13"/>
        <v>0</v>
      </c>
      <c r="BS58" s="9">
        <f t="shared" si="14"/>
        <v>0</v>
      </c>
      <c r="BT58" s="9">
        <f t="shared" si="15"/>
        <v>0</v>
      </c>
      <c r="BU58" s="9">
        <f t="shared" si="16"/>
        <v>0</v>
      </c>
      <c r="BV58" s="12">
        <f t="shared" si="17"/>
        <v>0</v>
      </c>
      <c r="BX58" s="12">
        <f t="shared" si="18"/>
        <v>0</v>
      </c>
      <c r="BY58" s="12">
        <f t="shared" si="19"/>
        <v>1.3387788399909003E-3</v>
      </c>
    </row>
    <row r="59" spans="1:77" x14ac:dyDescent="0.3">
      <c r="A59" s="1">
        <v>46107</v>
      </c>
      <c r="B59" s="8">
        <v>87.004999999999995</v>
      </c>
      <c r="C59" s="8">
        <v>207.53</v>
      </c>
      <c r="D59" s="9">
        <v>-2.8915288825970699E-2</v>
      </c>
      <c r="E59" s="9">
        <v>-2.9063254556464999E-2</v>
      </c>
      <c r="F59" s="8">
        <v>0</v>
      </c>
      <c r="G59" s="8">
        <v>9.2999999999999999E-2</v>
      </c>
      <c r="H59" s="8">
        <v>0</v>
      </c>
      <c r="I59" s="8">
        <v>0.221</v>
      </c>
      <c r="J59" s="8">
        <v>0</v>
      </c>
      <c r="K59" s="8">
        <v>0</v>
      </c>
      <c r="L59" s="8">
        <v>87.004999999999995</v>
      </c>
      <c r="M59" s="8">
        <v>207.53</v>
      </c>
      <c r="N59" s="10">
        <v>2.3852652146428301</v>
      </c>
      <c r="O59" s="10">
        <v>2.3867209477050602</v>
      </c>
      <c r="P59" s="10">
        <v>2.3847977241018898</v>
      </c>
      <c r="Q59" s="10">
        <v>2.3849195590594299</v>
      </c>
      <c r="R59" s="8">
        <v>207.656656055079</v>
      </c>
      <c r="S59" s="8">
        <v>207.49505787014601</v>
      </c>
      <c r="T59" s="8">
        <v>207.504449253827</v>
      </c>
      <c r="U59" s="9">
        <v>6.1011623163176798E-4</v>
      </c>
      <c r="V59" s="9">
        <v>-1.6838563972469599E-4</v>
      </c>
      <c r="W59" s="9">
        <v>-1.23125905574515E-4</v>
      </c>
      <c r="X59" s="10">
        <v>2.3852652146428301</v>
      </c>
      <c r="Y59" s="10">
        <v>2.3867209477050602</v>
      </c>
      <c r="Z59" s="10">
        <v>2.3847977241018898</v>
      </c>
      <c r="AA59" s="10">
        <v>2.3849195590594299</v>
      </c>
      <c r="AB59" s="8">
        <v>207.656656055079</v>
      </c>
      <c r="AC59" s="8">
        <v>207.49505787014601</v>
      </c>
      <c r="AD59" s="8">
        <v>207.504449253827</v>
      </c>
      <c r="AE59" s="9">
        <v>6.1011623163176798E-4</v>
      </c>
      <c r="AF59" s="9">
        <v>-1.6838563972469599E-4</v>
      </c>
      <c r="AG59" s="9">
        <v>-1.23125905574515E-4</v>
      </c>
      <c r="AZ59" s="9"/>
      <c r="BB59">
        <f t="shared" si="2"/>
        <v>0</v>
      </c>
      <c r="BC59">
        <f t="shared" si="3"/>
        <v>0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1.3387788399909003E-3</v>
      </c>
      <c r="BL59" s="9"/>
      <c r="BN59">
        <f t="shared" si="10"/>
        <v>0</v>
      </c>
      <c r="BO59">
        <f t="shared" si="11"/>
        <v>1</v>
      </c>
      <c r="BP59">
        <f t="shared" si="12"/>
        <v>0</v>
      </c>
      <c r="BQ59">
        <f t="shared" si="1"/>
        <v>1</v>
      </c>
      <c r="BR59">
        <f t="shared" si="13"/>
        <v>0</v>
      </c>
      <c r="BS59" s="9">
        <f t="shared" si="14"/>
        <v>0</v>
      </c>
      <c r="BT59" s="9">
        <f t="shared" si="15"/>
        <v>0</v>
      </c>
      <c r="BU59" s="9">
        <f t="shared" si="16"/>
        <v>0</v>
      </c>
      <c r="BV59" s="12">
        <f t="shared" si="17"/>
        <v>0</v>
      </c>
      <c r="BX59" s="12">
        <f t="shared" si="18"/>
        <v>0</v>
      </c>
      <c r="BY59" s="12">
        <f t="shared" si="19"/>
        <v>1.3387788399909003E-3</v>
      </c>
    </row>
    <row r="60" spans="1:77" x14ac:dyDescent="0.3">
      <c r="A60" s="1">
        <v>46108</v>
      </c>
      <c r="B60" s="8">
        <v>85.125</v>
      </c>
      <c r="C60" s="8">
        <v>203.09</v>
      </c>
      <c r="D60" s="9">
        <v>-2.18448237978651E-2</v>
      </c>
      <c r="E60" s="9">
        <v>-2.1626676988550499E-2</v>
      </c>
      <c r="F60" s="8">
        <v>0</v>
      </c>
      <c r="G60" s="8">
        <v>9.2999999999999999E-2</v>
      </c>
      <c r="H60" s="8">
        <v>0</v>
      </c>
      <c r="I60" s="8">
        <v>0.221</v>
      </c>
      <c r="J60" s="8">
        <v>0</v>
      </c>
      <c r="K60" s="8">
        <v>0</v>
      </c>
      <c r="L60" s="8">
        <v>85.125</v>
      </c>
      <c r="M60" s="8">
        <v>203.09</v>
      </c>
      <c r="N60" s="10">
        <v>2.3857856093979399</v>
      </c>
      <c r="O60" s="10">
        <v>2.3867209477050602</v>
      </c>
      <c r="P60" s="10">
        <v>2.38485660529251</v>
      </c>
      <c r="Q60" s="10">
        <v>2.3850124723902102</v>
      </c>
      <c r="R60" s="8">
        <v>203.16962067339301</v>
      </c>
      <c r="S60" s="8">
        <v>203.005906264174</v>
      </c>
      <c r="T60" s="8">
        <v>203.01627746493401</v>
      </c>
      <c r="U60" s="9">
        <v>3.9196942231718398E-4</v>
      </c>
      <c r="V60" s="9">
        <v>-4.1415702907008901E-4</v>
      </c>
      <c r="W60" s="9">
        <v>-3.6307016151201801E-4</v>
      </c>
      <c r="X60" s="10">
        <v>2.3857856093979399</v>
      </c>
      <c r="Y60" s="10">
        <v>2.3867209477050602</v>
      </c>
      <c r="Z60" s="10">
        <v>2.38485660529251</v>
      </c>
      <c r="AA60" s="10">
        <v>2.3850124723902102</v>
      </c>
      <c r="AB60" s="8">
        <v>203.16962067339301</v>
      </c>
      <c r="AC60" s="8">
        <v>203.005906264174</v>
      </c>
      <c r="AD60" s="8">
        <v>203.01627746493401</v>
      </c>
      <c r="AE60" s="9">
        <v>3.9196942231718398E-4</v>
      </c>
      <c r="AF60" s="9">
        <v>-4.1415702907008901E-4</v>
      </c>
      <c r="AG60" s="9">
        <v>-3.6307016151201801E-4</v>
      </c>
      <c r="AZ60" s="9"/>
      <c r="BB60">
        <f t="shared" si="2"/>
        <v>0</v>
      </c>
      <c r="BC60">
        <f t="shared" si="3"/>
        <v>0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1.3387788399909003E-3</v>
      </c>
      <c r="BL60" s="9"/>
      <c r="BN60">
        <f t="shared" si="10"/>
        <v>0</v>
      </c>
      <c r="BO60">
        <f t="shared" si="11"/>
        <v>1</v>
      </c>
      <c r="BP60">
        <f t="shared" si="12"/>
        <v>0</v>
      </c>
      <c r="BQ60">
        <f t="shared" si="1"/>
        <v>1</v>
      </c>
      <c r="BR60">
        <f t="shared" si="13"/>
        <v>0</v>
      </c>
      <c r="BS60" s="9">
        <f t="shared" si="14"/>
        <v>0</v>
      </c>
      <c r="BT60" s="9">
        <f t="shared" si="15"/>
        <v>0</v>
      </c>
      <c r="BU60" s="9">
        <f t="shared" si="16"/>
        <v>0</v>
      </c>
      <c r="BV60" s="12">
        <f t="shared" si="17"/>
        <v>0</v>
      </c>
      <c r="BX60" s="12">
        <f t="shared" si="18"/>
        <v>0</v>
      </c>
      <c r="BY60" s="12">
        <f t="shared" si="19"/>
        <v>1.3387788399909003E-3</v>
      </c>
    </row>
    <row r="61" spans="1:77" x14ac:dyDescent="0.3">
      <c r="A61" s="1">
        <v>46111</v>
      </c>
      <c r="B61" s="8">
        <v>83.587500000000006</v>
      </c>
      <c r="C61" s="8">
        <v>199.44</v>
      </c>
      <c r="D61" s="9">
        <v>-1.8226777089579399E-2</v>
      </c>
      <c r="E61" s="9">
        <v>-1.8135791329715802E-2</v>
      </c>
      <c r="F61" s="8">
        <v>0</v>
      </c>
      <c r="G61" s="8">
        <v>9.2999999999999999E-2</v>
      </c>
      <c r="H61" s="8">
        <v>0</v>
      </c>
      <c r="I61" s="8">
        <v>0.221</v>
      </c>
      <c r="J61" s="8">
        <v>0</v>
      </c>
      <c r="K61" s="8">
        <v>0</v>
      </c>
      <c r="L61" s="8">
        <v>83.587500000000006</v>
      </c>
      <c r="M61" s="8">
        <v>199.44</v>
      </c>
      <c r="N61" s="10">
        <v>2.3860026917900399</v>
      </c>
      <c r="O61" s="10">
        <v>2.3867209477050602</v>
      </c>
      <c r="P61" s="10">
        <v>2.3849633168433</v>
      </c>
      <c r="Q61" s="10">
        <v>2.3850413915502702</v>
      </c>
      <c r="R61" s="8">
        <v>199.50003721629699</v>
      </c>
      <c r="S61" s="8">
        <v>199.34420149488801</v>
      </c>
      <c r="T61" s="8">
        <v>199.35723003591701</v>
      </c>
      <c r="U61" s="9">
        <v>3.0098366245360001E-4</v>
      </c>
      <c r="V61" s="9">
        <v>-4.8045286947315903E-4</v>
      </c>
      <c r="W61" s="9">
        <v>-4.1509799485827498E-4</v>
      </c>
      <c r="X61" s="10">
        <v>2.3860026917900399</v>
      </c>
      <c r="Y61" s="10">
        <v>2.3867209477050602</v>
      </c>
      <c r="Z61" s="10">
        <v>2.3849633168433</v>
      </c>
      <c r="AA61" s="10">
        <v>2.3850413915502702</v>
      </c>
      <c r="AB61" s="8">
        <v>199.50003721629699</v>
      </c>
      <c r="AC61" s="8">
        <v>199.34420149488801</v>
      </c>
      <c r="AD61" s="8">
        <v>199.35723003591701</v>
      </c>
      <c r="AE61" s="9">
        <v>3.0098366245360001E-4</v>
      </c>
      <c r="AF61" s="9">
        <v>-4.8045286947315903E-4</v>
      </c>
      <c r="AG61" s="9">
        <v>-4.1509799485827498E-4</v>
      </c>
      <c r="AZ61" s="9"/>
      <c r="BB61">
        <f t="shared" si="2"/>
        <v>0</v>
      </c>
      <c r="BC61">
        <f t="shared" si="3"/>
        <v>0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1.3387788399909003E-3</v>
      </c>
      <c r="BL61" s="9"/>
      <c r="BN61">
        <f t="shared" si="10"/>
        <v>0</v>
      </c>
      <c r="BO61">
        <f t="shared" si="11"/>
        <v>1</v>
      </c>
      <c r="BP61">
        <f t="shared" si="12"/>
        <v>0</v>
      </c>
      <c r="BQ61">
        <f t="shared" si="1"/>
        <v>1</v>
      </c>
      <c r="BR61">
        <f t="shared" si="13"/>
        <v>0</v>
      </c>
      <c r="BS61" s="9">
        <f t="shared" si="14"/>
        <v>0</v>
      </c>
      <c r="BT61" s="9">
        <f t="shared" si="15"/>
        <v>0</v>
      </c>
      <c r="BU61" s="9">
        <f t="shared" si="16"/>
        <v>0</v>
      </c>
      <c r="BV61" s="12">
        <f t="shared" si="17"/>
        <v>0</v>
      </c>
      <c r="BX61" s="12">
        <f t="shared" si="18"/>
        <v>0</v>
      </c>
      <c r="BY61" s="12">
        <f t="shared" si="19"/>
        <v>1.3387788399909003E-3</v>
      </c>
    </row>
    <row r="62" spans="1:77" x14ac:dyDescent="0.3">
      <c r="A62" s="1">
        <v>46112</v>
      </c>
      <c r="B62" s="8">
        <v>87.215000000000003</v>
      </c>
      <c r="C62" s="8">
        <v>208.05</v>
      </c>
      <c r="D62" s="9">
        <v>4.2482347090001198E-2</v>
      </c>
      <c r="E62" s="9">
        <v>4.22649962136478E-2</v>
      </c>
      <c r="F62" s="8">
        <v>0</v>
      </c>
      <c r="G62" s="8">
        <v>9.2999999999999999E-2</v>
      </c>
      <c r="H62" s="8">
        <v>0</v>
      </c>
      <c r="I62" s="8">
        <v>0.221</v>
      </c>
      <c r="J62" s="8">
        <v>0</v>
      </c>
      <c r="K62" s="8">
        <v>0</v>
      </c>
      <c r="L62" s="8">
        <v>87.215000000000003</v>
      </c>
      <c r="M62" s="8">
        <v>208.05</v>
      </c>
      <c r="N62" s="10">
        <v>2.3854841483689699</v>
      </c>
      <c r="O62" s="10">
        <v>2.3867209477050602</v>
      </c>
      <c r="P62" s="10">
        <v>2.3850074699260002</v>
      </c>
      <c r="Q62" s="10">
        <v>2.3850639960503002</v>
      </c>
      <c r="R62" s="8">
        <v>208.15786745409699</v>
      </c>
      <c r="S62" s="8">
        <v>208.00457567848801</v>
      </c>
      <c r="T62" s="8">
        <v>208.01138496405699</v>
      </c>
      <c r="U62" s="9">
        <v>5.1833453880688904E-4</v>
      </c>
      <c r="V62" s="9">
        <v>-2.18357515321834E-4</v>
      </c>
      <c r="W62" s="9">
        <v>-1.85621821439523E-4</v>
      </c>
      <c r="X62" s="10">
        <v>2.3854841483689699</v>
      </c>
      <c r="Y62" s="10">
        <v>2.3867209477050602</v>
      </c>
      <c r="Z62" s="10">
        <v>2.3850074699260002</v>
      </c>
      <c r="AA62" s="10">
        <v>2.3850639960503002</v>
      </c>
      <c r="AB62" s="8">
        <v>208.15786745409699</v>
      </c>
      <c r="AC62" s="8">
        <v>208.00457567848801</v>
      </c>
      <c r="AD62" s="8">
        <v>208.01138496405699</v>
      </c>
      <c r="AE62" s="9">
        <v>5.1833453880688904E-4</v>
      </c>
      <c r="AF62" s="9">
        <v>-2.18357515321834E-4</v>
      </c>
      <c r="AG62" s="9">
        <v>-1.85621821439523E-4</v>
      </c>
      <c r="AZ62" s="9"/>
      <c r="BB62">
        <f t="shared" si="2"/>
        <v>0</v>
      </c>
      <c r="BC62">
        <f t="shared" si="3"/>
        <v>0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1.3387788399909003E-3</v>
      </c>
      <c r="BL62" s="9"/>
      <c r="BN62">
        <f t="shared" si="10"/>
        <v>0</v>
      </c>
      <c r="BO62">
        <f t="shared" si="11"/>
        <v>1</v>
      </c>
      <c r="BP62">
        <f t="shared" si="12"/>
        <v>0</v>
      </c>
      <c r="BQ62">
        <f t="shared" si="1"/>
        <v>1</v>
      </c>
      <c r="BR62">
        <f t="shared" si="13"/>
        <v>0</v>
      </c>
      <c r="BS62" s="9">
        <f t="shared" si="14"/>
        <v>0</v>
      </c>
      <c r="BT62" s="9">
        <f t="shared" si="15"/>
        <v>0</v>
      </c>
      <c r="BU62" s="9">
        <f t="shared" si="16"/>
        <v>0</v>
      </c>
      <c r="BV62" s="12">
        <f t="shared" si="17"/>
        <v>0</v>
      </c>
      <c r="BX62" s="12">
        <f t="shared" si="18"/>
        <v>0</v>
      </c>
      <c r="BY62" s="12">
        <f t="shared" si="19"/>
        <v>1.3387788399909003E-3</v>
      </c>
    </row>
    <row r="63" spans="1:77" x14ac:dyDescent="0.3">
      <c r="A63" s="1">
        <v>46113</v>
      </c>
      <c r="B63" s="8">
        <v>88.331299999999999</v>
      </c>
      <c r="C63" s="8">
        <v>210.71</v>
      </c>
      <c r="D63" s="9">
        <v>1.2718183715151401E-2</v>
      </c>
      <c r="E63" s="9">
        <v>1.27043450997658E-2</v>
      </c>
      <c r="F63" s="8">
        <v>0</v>
      </c>
      <c r="G63" s="8">
        <v>9.2999999999999999E-2</v>
      </c>
      <c r="H63" s="8">
        <v>0</v>
      </c>
      <c r="I63" s="8">
        <v>0.221</v>
      </c>
      <c r="J63" s="8">
        <v>0</v>
      </c>
      <c r="K63" s="8">
        <v>0</v>
      </c>
      <c r="L63" s="8">
        <v>88.331299999999999</v>
      </c>
      <c r="M63" s="8">
        <v>210.71</v>
      </c>
      <c r="N63" s="10">
        <v>2.38545113679975</v>
      </c>
      <c r="O63" s="10">
        <v>2.3867209477050602</v>
      </c>
      <c r="P63" s="10">
        <v>2.3849696780467098</v>
      </c>
      <c r="Q63" s="10">
        <v>2.3850835523326799</v>
      </c>
      <c r="R63" s="8">
        <v>210.82216404802</v>
      </c>
      <c r="S63" s="8">
        <v>210.670810328275</v>
      </c>
      <c r="T63" s="8">
        <v>210.67580335431799</v>
      </c>
      <c r="U63" s="9">
        <v>5.3217315419272504E-4</v>
      </c>
      <c r="V63" s="9">
        <v>-1.86005963618892E-4</v>
      </c>
      <c r="W63" s="9">
        <v>-1.6230563765841699E-4</v>
      </c>
      <c r="X63" s="10">
        <v>2.38545113679975</v>
      </c>
      <c r="Y63" s="10">
        <v>2.3867209477050602</v>
      </c>
      <c r="Z63" s="10">
        <v>2.3849696780467098</v>
      </c>
      <c r="AA63" s="10">
        <v>2.3850835523326799</v>
      </c>
      <c r="AB63" s="8">
        <v>210.82216404802</v>
      </c>
      <c r="AC63" s="8">
        <v>210.670810328275</v>
      </c>
      <c r="AD63" s="8">
        <v>210.67580335431799</v>
      </c>
      <c r="AE63" s="9">
        <v>5.3217315419272504E-4</v>
      </c>
      <c r="AF63" s="9">
        <v>-1.86005963618892E-4</v>
      </c>
      <c r="AG63" s="9">
        <v>-1.6230563765841699E-4</v>
      </c>
      <c r="AZ63" s="9"/>
      <c r="BB63">
        <f t="shared" si="2"/>
        <v>0</v>
      </c>
      <c r="BC63">
        <f t="shared" si="3"/>
        <v>0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1.3387788399909003E-3</v>
      </c>
      <c r="BL63" s="9"/>
      <c r="BN63">
        <f t="shared" si="10"/>
        <v>0</v>
      </c>
      <c r="BO63">
        <f t="shared" si="11"/>
        <v>1</v>
      </c>
      <c r="BP63">
        <f t="shared" si="12"/>
        <v>0</v>
      </c>
      <c r="BQ63">
        <f t="shared" si="1"/>
        <v>1</v>
      </c>
      <c r="BR63">
        <f t="shared" si="13"/>
        <v>0</v>
      </c>
      <c r="BS63" s="9">
        <f t="shared" si="14"/>
        <v>0</v>
      </c>
      <c r="BT63" s="9">
        <f t="shared" si="15"/>
        <v>0</v>
      </c>
      <c r="BU63" s="9">
        <f t="shared" si="16"/>
        <v>0</v>
      </c>
      <c r="BV63" s="12">
        <f t="shared" si="17"/>
        <v>0</v>
      </c>
      <c r="BX63" s="12">
        <f t="shared" si="18"/>
        <v>0</v>
      </c>
      <c r="BY63" s="12">
        <f t="shared" si="19"/>
        <v>1.3387788399909003E-3</v>
      </c>
    </row>
    <row r="64" spans="1:77" x14ac:dyDescent="0.3">
      <c r="A64" s="1">
        <v>46114</v>
      </c>
      <c r="B64" s="8">
        <v>89.081299999999999</v>
      </c>
      <c r="C64" s="8">
        <v>212.53</v>
      </c>
      <c r="D64" s="9">
        <v>8.4549177211401903E-3</v>
      </c>
      <c r="E64" s="9">
        <v>8.6003743418834704E-3</v>
      </c>
      <c r="F64" s="8">
        <v>0</v>
      </c>
      <c r="G64" s="8">
        <v>9.2999999999999999E-2</v>
      </c>
      <c r="H64" s="8">
        <v>0</v>
      </c>
      <c r="I64" s="8">
        <v>0.221</v>
      </c>
      <c r="J64" s="8">
        <v>0</v>
      </c>
      <c r="K64" s="8">
        <v>0</v>
      </c>
      <c r="L64" s="8">
        <v>89.081299999999999</v>
      </c>
      <c r="M64" s="8">
        <v>212.53</v>
      </c>
      <c r="N64" s="10">
        <v>2.3857981416975198</v>
      </c>
      <c r="O64" s="10">
        <v>2.3867209477050602</v>
      </c>
      <c r="P64" s="10">
        <v>2.3850193143081402</v>
      </c>
      <c r="Q64" s="10">
        <v>2.3850614020919099</v>
      </c>
      <c r="R64" s="8">
        <v>212.61220475879901</v>
      </c>
      <c r="S64" s="8">
        <v>212.45619938098301</v>
      </c>
      <c r="T64" s="8">
        <v>212.46634345041301</v>
      </c>
      <c r="U64" s="9">
        <v>3.8671653344940499E-4</v>
      </c>
      <c r="V64" s="9">
        <v>-3.47308311969965E-4</v>
      </c>
      <c r="W64" s="9">
        <v>-2.99562812921036E-4</v>
      </c>
      <c r="X64" s="10">
        <v>2.3857981416975198</v>
      </c>
      <c r="Y64" s="10">
        <v>2.3867209477050602</v>
      </c>
      <c r="Z64" s="10">
        <v>2.3850193143081402</v>
      </c>
      <c r="AA64" s="10">
        <v>2.3850614020919099</v>
      </c>
      <c r="AB64" s="8">
        <v>212.61220475879901</v>
      </c>
      <c r="AC64" s="8">
        <v>212.45619938098301</v>
      </c>
      <c r="AD64" s="8">
        <v>212.46634345041301</v>
      </c>
      <c r="AE64" s="9">
        <v>3.8671653344940499E-4</v>
      </c>
      <c r="AF64" s="9">
        <v>-3.47308311969965E-4</v>
      </c>
      <c r="AG64" s="9">
        <v>-2.99562812921036E-4</v>
      </c>
      <c r="AZ64" s="9"/>
      <c r="BB64">
        <f t="shared" si="2"/>
        <v>0</v>
      </c>
      <c r="BC64">
        <f t="shared" si="3"/>
        <v>0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1.3387788399909003E-3</v>
      </c>
      <c r="BL64" s="9"/>
      <c r="BN64">
        <f t="shared" si="10"/>
        <v>0</v>
      </c>
      <c r="BO64">
        <f t="shared" si="11"/>
        <v>1</v>
      </c>
      <c r="BP64">
        <f t="shared" si="12"/>
        <v>0</v>
      </c>
      <c r="BQ64">
        <f t="shared" si="1"/>
        <v>1</v>
      </c>
      <c r="BR64">
        <f t="shared" si="13"/>
        <v>0</v>
      </c>
      <c r="BS64" s="9">
        <f t="shared" si="14"/>
        <v>0</v>
      </c>
      <c r="BT64" s="9">
        <f t="shared" si="15"/>
        <v>0</v>
      </c>
      <c r="BU64" s="9">
        <f t="shared" si="16"/>
        <v>0</v>
      </c>
      <c r="BV64" s="12">
        <f t="shared" si="17"/>
        <v>0</v>
      </c>
      <c r="BX64" s="12">
        <f t="shared" si="18"/>
        <v>0</v>
      </c>
      <c r="BY64" s="12">
        <f t="shared" si="19"/>
        <v>1.3387788399909003E-3</v>
      </c>
    </row>
    <row r="65" spans="1:77" x14ac:dyDescent="0.3">
      <c r="A65" s="1">
        <v>46118</v>
      </c>
      <c r="B65" s="8">
        <v>89.527500000000003</v>
      </c>
      <c r="C65" s="8">
        <v>213.56</v>
      </c>
      <c r="D65" s="9">
        <v>4.9964047487761603E-3</v>
      </c>
      <c r="E65" s="9">
        <v>4.8346687613857698E-3</v>
      </c>
      <c r="F65" s="8">
        <v>0</v>
      </c>
      <c r="G65" s="8">
        <v>9.2999999999999999E-2</v>
      </c>
      <c r="H65" s="8">
        <v>0</v>
      </c>
      <c r="I65" s="8">
        <v>0.221</v>
      </c>
      <c r="J65" s="8">
        <v>0</v>
      </c>
      <c r="K65" s="8">
        <v>0</v>
      </c>
      <c r="L65" s="8">
        <v>89.527500000000003</v>
      </c>
      <c r="M65" s="8">
        <v>213.56</v>
      </c>
      <c r="N65" s="10">
        <v>2.3854123034821701</v>
      </c>
      <c r="O65" s="10">
        <v>2.3867209477050602</v>
      </c>
      <c r="P65" s="10">
        <v>2.38523866830554</v>
      </c>
      <c r="Q65" s="10">
        <v>2.3851214804097198</v>
      </c>
      <c r="R65" s="8">
        <v>213.677159645665</v>
      </c>
      <c r="S65" s="8">
        <v>213.52481666172201</v>
      </c>
      <c r="T65" s="8">
        <v>213.52858467578301</v>
      </c>
      <c r="U65" s="9">
        <v>5.4845252083961303E-4</v>
      </c>
      <c r="V65" s="9">
        <v>-1.6476042689858301E-4</v>
      </c>
      <c r="W65" s="9">
        <v>-1.47113856001435E-4</v>
      </c>
      <c r="X65" s="10">
        <v>2.3854123034821701</v>
      </c>
      <c r="Y65" s="10">
        <v>2.3867209477050602</v>
      </c>
      <c r="Z65" s="10">
        <v>2.38523866830554</v>
      </c>
      <c r="AA65" s="10">
        <v>2.3851214804097198</v>
      </c>
      <c r="AB65" s="8">
        <v>213.677159645665</v>
      </c>
      <c r="AC65" s="8">
        <v>213.52481666172201</v>
      </c>
      <c r="AD65" s="8">
        <v>213.52858467578301</v>
      </c>
      <c r="AE65" s="9">
        <v>5.4845252083961303E-4</v>
      </c>
      <c r="AF65" s="9">
        <v>-1.6476042689858301E-4</v>
      </c>
      <c r="AG65" s="9">
        <v>-1.47113856001435E-4</v>
      </c>
      <c r="AZ65" s="9"/>
      <c r="BB65">
        <f t="shared" si="2"/>
        <v>0</v>
      </c>
      <c r="BC65">
        <f t="shared" si="3"/>
        <v>0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1.3387788399909003E-3</v>
      </c>
      <c r="BL65" s="9"/>
      <c r="BN65">
        <f t="shared" si="10"/>
        <v>0</v>
      </c>
      <c r="BO65">
        <f t="shared" si="11"/>
        <v>1</v>
      </c>
      <c r="BP65">
        <f t="shared" si="12"/>
        <v>0</v>
      </c>
      <c r="BQ65">
        <f t="shared" si="1"/>
        <v>1</v>
      </c>
      <c r="BR65">
        <f t="shared" si="13"/>
        <v>0</v>
      </c>
      <c r="BS65" s="9">
        <f t="shared" si="14"/>
        <v>0</v>
      </c>
      <c r="BT65" s="9">
        <f t="shared" si="15"/>
        <v>0</v>
      </c>
      <c r="BU65" s="9">
        <f t="shared" si="16"/>
        <v>0</v>
      </c>
      <c r="BV65" s="12">
        <f t="shared" si="17"/>
        <v>0</v>
      </c>
      <c r="BX65" s="12">
        <f t="shared" si="18"/>
        <v>0</v>
      </c>
      <c r="BY65" s="12">
        <f t="shared" si="19"/>
        <v>1.3387788399909003E-3</v>
      </c>
    </row>
    <row r="66" spans="1:77" x14ac:dyDescent="0.3">
      <c r="A66" s="1">
        <v>46119</v>
      </c>
      <c r="B66" s="8">
        <v>89.806299999999993</v>
      </c>
      <c r="C66" s="8">
        <v>214.27</v>
      </c>
      <c r="D66" s="9">
        <v>3.1092880941820901E-3</v>
      </c>
      <c r="E66" s="9">
        <v>3.3190783806489798E-3</v>
      </c>
      <c r="F66" s="8">
        <v>0</v>
      </c>
      <c r="G66" s="8">
        <v>9.2999999999999999E-2</v>
      </c>
      <c r="H66" s="8">
        <v>0</v>
      </c>
      <c r="I66" s="8">
        <v>0.221</v>
      </c>
      <c r="J66" s="8">
        <v>0</v>
      </c>
      <c r="K66" s="8">
        <v>0</v>
      </c>
      <c r="L66" s="8">
        <v>89.806299999999993</v>
      </c>
      <c r="M66" s="8">
        <v>214.27</v>
      </c>
      <c r="N66" s="10">
        <v>2.3859127923096701</v>
      </c>
      <c r="O66" s="10">
        <v>2.3867209477050602</v>
      </c>
      <c r="P66" s="10">
        <v>2.3856121423384402</v>
      </c>
      <c r="Q66" s="10">
        <v>2.3851664986037</v>
      </c>
      <c r="R66" s="8">
        <v>214.34257744588501</v>
      </c>
      <c r="S66" s="8">
        <v>214.20945941744799</v>
      </c>
      <c r="T66" s="8">
        <v>214.19893520611899</v>
      </c>
      <c r="U66" s="9">
        <v>3.3866223437265701E-4</v>
      </c>
      <c r="V66" s="9">
        <v>-2.8258336134526598E-4</v>
      </c>
      <c r="W66" s="9">
        <v>-3.3171503786105501E-4</v>
      </c>
      <c r="X66" s="10">
        <v>2.3859127923096701</v>
      </c>
      <c r="Y66" s="10">
        <v>2.3867209477050602</v>
      </c>
      <c r="Z66" s="10">
        <v>2.3856121423384402</v>
      </c>
      <c r="AA66" s="10">
        <v>2.3851664986037</v>
      </c>
      <c r="AB66" s="8">
        <v>214.34257744588501</v>
      </c>
      <c r="AC66" s="8">
        <v>214.20945941744799</v>
      </c>
      <c r="AD66" s="8">
        <v>214.19893520611899</v>
      </c>
      <c r="AE66" s="9">
        <v>3.3866223437265701E-4</v>
      </c>
      <c r="AF66" s="9">
        <v>-2.8258336134526598E-4</v>
      </c>
      <c r="AG66" s="9">
        <v>-3.3171503786105501E-4</v>
      </c>
      <c r="AZ66" s="9"/>
      <c r="BB66">
        <f t="shared" si="2"/>
        <v>0</v>
      </c>
      <c r="BC66">
        <f t="shared" si="3"/>
        <v>0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1.3387788399909003E-3</v>
      </c>
      <c r="BL66" s="9"/>
      <c r="BN66">
        <f t="shared" si="10"/>
        <v>0</v>
      </c>
      <c r="BO66">
        <f t="shared" si="11"/>
        <v>1</v>
      </c>
      <c r="BP66">
        <f t="shared" si="12"/>
        <v>0</v>
      </c>
      <c r="BQ66">
        <f t="shared" si="1"/>
        <v>1</v>
      </c>
      <c r="BR66">
        <f t="shared" si="13"/>
        <v>0</v>
      </c>
      <c r="BS66" s="9">
        <f t="shared" si="14"/>
        <v>0</v>
      </c>
      <c r="BT66" s="9">
        <f t="shared" si="15"/>
        <v>0</v>
      </c>
      <c r="BU66" s="9">
        <f t="shared" si="16"/>
        <v>0</v>
      </c>
      <c r="BV66" s="12">
        <f t="shared" si="17"/>
        <v>0</v>
      </c>
      <c r="BX66" s="12">
        <f t="shared" si="18"/>
        <v>0</v>
      </c>
      <c r="BY66" s="12">
        <f t="shared" si="19"/>
        <v>1.3387788399909003E-3</v>
      </c>
    </row>
    <row r="67" spans="1:77" x14ac:dyDescent="0.3">
      <c r="A67" s="1">
        <v>46120</v>
      </c>
      <c r="B67" s="8">
        <v>92.387500000000003</v>
      </c>
      <c r="C67" s="8">
        <v>220.42</v>
      </c>
      <c r="D67" s="9">
        <v>2.8336559361657101E-2</v>
      </c>
      <c r="E67" s="9">
        <v>2.82979152507613E-2</v>
      </c>
      <c r="F67" s="8">
        <v>0</v>
      </c>
      <c r="G67" s="8">
        <v>9.2999999999999999E-2</v>
      </c>
      <c r="H67" s="8">
        <v>0</v>
      </c>
      <c r="I67" s="8">
        <v>0.221</v>
      </c>
      <c r="J67" s="8">
        <v>0</v>
      </c>
      <c r="K67" s="8">
        <v>0</v>
      </c>
      <c r="L67" s="8">
        <v>92.387500000000003</v>
      </c>
      <c r="M67" s="8">
        <v>220.42</v>
      </c>
      <c r="N67" s="10">
        <v>2.3858205926126299</v>
      </c>
      <c r="O67" s="10">
        <v>2.3867209477050602</v>
      </c>
      <c r="P67" s="10">
        <v>2.3856550809366901</v>
      </c>
      <c r="Q67" s="10">
        <v>2.38520459814126</v>
      </c>
      <c r="R67" s="8">
        <v>220.503181556101</v>
      </c>
      <c r="S67" s="8">
        <v>220.400741800292</v>
      </c>
      <c r="T67" s="8">
        <v>220.35956988974999</v>
      </c>
      <c r="U67" s="9">
        <v>3.7730634526843097E-4</v>
      </c>
      <c r="V67" s="9">
        <v>-8.73742902420657E-5</v>
      </c>
      <c r="W67" s="9">
        <v>-2.7419651343474599E-4</v>
      </c>
      <c r="X67" s="10">
        <v>2.3858205926126299</v>
      </c>
      <c r="Y67" s="10">
        <v>2.3867209477050602</v>
      </c>
      <c r="Z67" s="10">
        <v>2.3856550809366901</v>
      </c>
      <c r="AA67" s="10">
        <v>2.38520459814126</v>
      </c>
      <c r="AB67" s="8">
        <v>220.503181556101</v>
      </c>
      <c r="AC67" s="8">
        <v>220.400741800292</v>
      </c>
      <c r="AD67" s="8">
        <v>220.35956988974999</v>
      </c>
      <c r="AE67" s="9">
        <v>3.7730634526843097E-4</v>
      </c>
      <c r="AF67" s="9">
        <v>-8.73742902420657E-5</v>
      </c>
      <c r="AG67" s="9">
        <v>-2.7419651343474599E-4</v>
      </c>
      <c r="AZ67" s="9"/>
      <c r="BB67">
        <f t="shared" si="2"/>
        <v>0</v>
      </c>
      <c r="BC67">
        <f t="shared" si="3"/>
        <v>0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1.3387788399909003E-3</v>
      </c>
      <c r="BL67" s="9"/>
      <c r="BN67">
        <f t="shared" si="10"/>
        <v>0</v>
      </c>
      <c r="BO67">
        <f t="shared" si="11"/>
        <v>1</v>
      </c>
      <c r="BP67">
        <f t="shared" si="12"/>
        <v>0</v>
      </c>
      <c r="BQ67">
        <f t="shared" si="1"/>
        <v>1</v>
      </c>
      <c r="BR67">
        <f t="shared" si="13"/>
        <v>0</v>
      </c>
      <c r="BS67" s="9">
        <f t="shared" si="14"/>
        <v>0</v>
      </c>
      <c r="BT67" s="9">
        <f t="shared" si="15"/>
        <v>0</v>
      </c>
      <c r="BU67" s="9">
        <f t="shared" si="16"/>
        <v>0</v>
      </c>
      <c r="BV67" s="12">
        <f t="shared" si="17"/>
        <v>0</v>
      </c>
      <c r="BX67" s="12">
        <f t="shared" si="18"/>
        <v>0</v>
      </c>
      <c r="BY67" s="12">
        <f t="shared" si="19"/>
        <v>1.3387788399909003E-3</v>
      </c>
    </row>
    <row r="68" spans="1:77" x14ac:dyDescent="0.3">
      <c r="A68" s="1">
        <v>46121</v>
      </c>
      <c r="B68" s="8">
        <v>92.518799999999999</v>
      </c>
      <c r="C68" s="8">
        <v>220.68</v>
      </c>
      <c r="D68" s="9">
        <v>1.42017899950775E-3</v>
      </c>
      <c r="E68" s="9">
        <v>1.1788711408342099E-3</v>
      </c>
      <c r="F68" s="8">
        <v>0</v>
      </c>
      <c r="G68" s="8">
        <v>9.2999999999999999E-2</v>
      </c>
      <c r="H68" s="8">
        <v>0</v>
      </c>
      <c r="I68" s="8">
        <v>0.221</v>
      </c>
      <c r="J68" s="8">
        <v>0</v>
      </c>
      <c r="K68" s="8">
        <v>0</v>
      </c>
      <c r="L68" s="8">
        <v>92.518799999999999</v>
      </c>
      <c r="M68" s="8">
        <v>220.68</v>
      </c>
      <c r="N68" s="10">
        <v>2.3852449448112099</v>
      </c>
      <c r="O68" s="10">
        <v>2.3867209477050602</v>
      </c>
      <c r="P68" s="10">
        <v>2.38561775759127</v>
      </c>
      <c r="Q68" s="10">
        <v>2.3852406808193498</v>
      </c>
      <c r="R68" s="8">
        <v>220.816558016535</v>
      </c>
      <c r="S68" s="8">
        <v>220.71794530216499</v>
      </c>
      <c r="T68" s="8">
        <v>220.67626717451199</v>
      </c>
      <c r="U68" s="9">
        <v>6.1861420394179398E-4</v>
      </c>
      <c r="V68" s="9">
        <v>1.7193239190571401E-4</v>
      </c>
      <c r="W68" s="9">
        <v>-1.6915248589270601E-5</v>
      </c>
      <c r="X68" s="10">
        <v>2.3852449448112099</v>
      </c>
      <c r="Y68" s="10">
        <v>2.3867209477050602</v>
      </c>
      <c r="Z68" s="10">
        <v>2.38561775759127</v>
      </c>
      <c r="AA68" s="10">
        <v>2.3852406808193498</v>
      </c>
      <c r="AB68" s="8">
        <v>220.816558016535</v>
      </c>
      <c r="AC68" s="8">
        <v>220.71794530216499</v>
      </c>
      <c r="AD68" s="8">
        <v>220.67626717451199</v>
      </c>
      <c r="AE68" s="9">
        <v>6.1861420394179398E-4</v>
      </c>
      <c r="AF68" s="9">
        <v>1.7193239190571401E-4</v>
      </c>
      <c r="AG68" s="9">
        <v>-1.6915248589270601E-5</v>
      </c>
      <c r="AZ68" s="9"/>
      <c r="BB68">
        <f t="shared" si="2"/>
        <v>0</v>
      </c>
      <c r="BC68">
        <f t="shared" si="3"/>
        <v>0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1.3387788399909003E-3</v>
      </c>
      <c r="BL68" s="9"/>
      <c r="BN68">
        <f t="shared" si="10"/>
        <v>0</v>
      </c>
      <c r="BO68">
        <f t="shared" si="11"/>
        <v>1</v>
      </c>
      <c r="BP68">
        <f t="shared" si="12"/>
        <v>0</v>
      </c>
      <c r="BQ68">
        <f t="shared" si="1"/>
        <v>1</v>
      </c>
      <c r="BR68">
        <f t="shared" si="13"/>
        <v>0</v>
      </c>
      <c r="BS68" s="9">
        <f t="shared" si="14"/>
        <v>0</v>
      </c>
      <c r="BT68" s="9">
        <f t="shared" si="15"/>
        <v>0</v>
      </c>
      <c r="BU68" s="9">
        <f t="shared" si="16"/>
        <v>0</v>
      </c>
      <c r="BV68" s="12">
        <f t="shared" si="17"/>
        <v>0</v>
      </c>
      <c r="BX68" s="12">
        <f t="shared" si="18"/>
        <v>0</v>
      </c>
      <c r="BY68" s="12">
        <f t="shared" si="19"/>
        <v>1.3387788399909003E-3</v>
      </c>
    </row>
    <row r="69" spans="1:77" x14ac:dyDescent="0.3">
      <c r="A69" s="1">
        <v>46122</v>
      </c>
      <c r="B69" s="8">
        <v>92.91</v>
      </c>
      <c r="C69" s="8">
        <v>221.67</v>
      </c>
      <c r="D69" s="9">
        <v>4.21941554270828E-3</v>
      </c>
      <c r="E69" s="9">
        <v>4.4761010644359103E-3</v>
      </c>
      <c r="F69" s="8">
        <v>0</v>
      </c>
      <c r="G69" s="8">
        <v>9.2999999999999999E-2</v>
      </c>
      <c r="H69" s="8">
        <v>0</v>
      </c>
      <c r="I69" s="8">
        <v>0.221</v>
      </c>
      <c r="J69" s="8">
        <v>0</v>
      </c>
      <c r="K69" s="8">
        <v>0</v>
      </c>
      <c r="L69" s="8">
        <v>92.91</v>
      </c>
      <c r="M69" s="8">
        <v>221.67</v>
      </c>
      <c r="N69" s="10">
        <v>2.3858572812398999</v>
      </c>
      <c r="O69" s="10">
        <v>2.3867209477050602</v>
      </c>
      <c r="P69" s="10">
        <v>2.3856769642509801</v>
      </c>
      <c r="Q69" s="10">
        <v>2.3852373441764398</v>
      </c>
      <c r="R69" s="8">
        <v>221.750243251277</v>
      </c>
      <c r="S69" s="8">
        <v>221.64774585780501</v>
      </c>
      <c r="T69" s="8">
        <v>221.61271165492599</v>
      </c>
      <c r="U69" s="9">
        <v>3.61928682214358E-4</v>
      </c>
      <c r="V69" s="9">
        <v>-1.00398156496378E-4</v>
      </c>
      <c r="W69" s="9">
        <v>-2.5847317698806901E-4</v>
      </c>
      <c r="X69" s="10">
        <v>2.3858572812398999</v>
      </c>
      <c r="Y69" s="10">
        <v>2.3867209477050602</v>
      </c>
      <c r="Z69" s="10">
        <v>2.3856769642509801</v>
      </c>
      <c r="AA69" s="10">
        <v>2.3852373441764398</v>
      </c>
      <c r="AB69" s="8">
        <v>221.750243251277</v>
      </c>
      <c r="AC69" s="8">
        <v>221.64774585780501</v>
      </c>
      <c r="AD69" s="8">
        <v>221.61271165492599</v>
      </c>
      <c r="AE69" s="9">
        <v>3.61928682214358E-4</v>
      </c>
      <c r="AF69" s="9">
        <v>-1.00398156496378E-4</v>
      </c>
      <c r="AG69" s="9">
        <v>-2.5847317698806901E-4</v>
      </c>
      <c r="AZ69" s="9"/>
      <c r="BB69">
        <f t="shared" si="2"/>
        <v>0</v>
      </c>
      <c r="BC69">
        <f t="shared" si="3"/>
        <v>0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1.3387788399909003E-3</v>
      </c>
      <c r="BL69" s="9"/>
      <c r="BN69">
        <f t="shared" si="10"/>
        <v>0</v>
      </c>
      <c r="BO69">
        <f t="shared" si="11"/>
        <v>1</v>
      </c>
      <c r="BP69">
        <f t="shared" si="12"/>
        <v>0</v>
      </c>
      <c r="BQ69">
        <f t="shared" si="1"/>
        <v>1</v>
      </c>
      <c r="BR69">
        <f t="shared" si="13"/>
        <v>0</v>
      </c>
      <c r="BS69" s="9">
        <f t="shared" si="14"/>
        <v>0</v>
      </c>
      <c r="BT69" s="9">
        <f t="shared" si="15"/>
        <v>0</v>
      </c>
      <c r="BU69" s="9">
        <f t="shared" si="16"/>
        <v>0</v>
      </c>
      <c r="BV69" s="12">
        <f t="shared" si="17"/>
        <v>0</v>
      </c>
      <c r="BX69" s="12">
        <f t="shared" si="18"/>
        <v>0</v>
      </c>
      <c r="BY69" s="12">
        <f t="shared" si="19"/>
        <v>1.3387788399909003E-3</v>
      </c>
    </row>
    <row r="70" spans="1:77" x14ac:dyDescent="0.3">
      <c r="A70" s="1">
        <v>46125</v>
      </c>
      <c r="B70" s="8">
        <v>94.782499999999999</v>
      </c>
      <c r="C70" s="8">
        <v>226.21</v>
      </c>
      <c r="D70" s="9">
        <v>1.9953510411115399E-2</v>
      </c>
      <c r="E70" s="9">
        <v>2.0273981901078299E-2</v>
      </c>
      <c r="F70" s="8">
        <v>0</v>
      </c>
      <c r="G70" s="8">
        <v>9.2999999999999999E-2</v>
      </c>
      <c r="H70" s="8">
        <v>0</v>
      </c>
      <c r="I70" s="8">
        <v>0.221</v>
      </c>
      <c r="J70" s="8">
        <v>0</v>
      </c>
      <c r="K70" s="8">
        <v>0</v>
      </c>
      <c r="L70" s="8">
        <v>94.782499999999999</v>
      </c>
      <c r="M70" s="8">
        <v>226.21</v>
      </c>
      <c r="N70" s="10">
        <v>2.3866220030068801</v>
      </c>
      <c r="O70" s="10">
        <v>2.3867209477050602</v>
      </c>
      <c r="P70" s="10">
        <v>2.3857606036118701</v>
      </c>
      <c r="Q70" s="10">
        <v>2.3853086044521898</v>
      </c>
      <c r="R70" s="8">
        <v>226.219378225855</v>
      </c>
      <c r="S70" s="8">
        <v>226.120426864118</v>
      </c>
      <c r="T70" s="8">
        <v>226.078758574403</v>
      </c>
      <c r="U70" s="9">
        <v>4.1457192251549098E-5</v>
      </c>
      <c r="V70" s="9">
        <v>-3.9605178750812302E-4</v>
      </c>
      <c r="W70" s="9">
        <v>-5.8034353846704296E-4</v>
      </c>
      <c r="X70" s="10">
        <v>2.3866220030068801</v>
      </c>
      <c r="Y70" s="10">
        <v>2.3867209477050602</v>
      </c>
      <c r="Z70" s="10">
        <v>2.3857606036118701</v>
      </c>
      <c r="AA70" s="10">
        <v>2.3853086044521898</v>
      </c>
      <c r="AB70" s="8">
        <v>226.219378225855</v>
      </c>
      <c r="AC70" s="8">
        <v>226.120426864118</v>
      </c>
      <c r="AD70" s="8">
        <v>226.078758574403</v>
      </c>
      <c r="AE70" s="9">
        <v>4.1457192251549098E-5</v>
      </c>
      <c r="AF70" s="9">
        <v>-3.9605178750812302E-4</v>
      </c>
      <c r="AG70" s="9">
        <v>-5.8034353846704296E-4</v>
      </c>
      <c r="AZ70" s="9"/>
      <c r="BB70">
        <f t="shared" si="2"/>
        <v>0</v>
      </c>
      <c r="BC70">
        <f t="shared" si="3"/>
        <v>0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1.3387788399909003E-3</v>
      </c>
      <c r="BL70" s="9"/>
      <c r="BN70">
        <f t="shared" si="10"/>
        <v>0</v>
      </c>
      <c r="BO70">
        <f t="shared" si="11"/>
        <v>1</v>
      </c>
      <c r="BP70">
        <f t="shared" si="12"/>
        <v>0</v>
      </c>
      <c r="BQ70">
        <f t="shared" si="1"/>
        <v>1</v>
      </c>
      <c r="BR70">
        <f t="shared" si="13"/>
        <v>0</v>
      </c>
      <c r="BS70" s="9">
        <f t="shared" si="14"/>
        <v>0</v>
      </c>
      <c r="BT70" s="9">
        <f t="shared" si="15"/>
        <v>0</v>
      </c>
      <c r="BU70" s="9">
        <f t="shared" si="16"/>
        <v>0</v>
      </c>
      <c r="BV70" s="12">
        <f t="shared" si="17"/>
        <v>0</v>
      </c>
      <c r="BX70" s="12">
        <f t="shared" si="18"/>
        <v>0</v>
      </c>
      <c r="BY70" s="12">
        <f t="shared" si="19"/>
        <v>1.3387788399909003E-3</v>
      </c>
    </row>
    <row r="71" spans="1:77" x14ac:dyDescent="0.3">
      <c r="A71" s="1">
        <v>46126</v>
      </c>
      <c r="B71" s="8">
        <v>96.254999999999995</v>
      </c>
      <c r="C71" s="8">
        <v>229.6</v>
      </c>
      <c r="D71" s="9">
        <v>1.5416126806251601E-2</v>
      </c>
      <c r="E71" s="9">
        <v>1.4874893075667099E-2</v>
      </c>
      <c r="F71" s="8">
        <v>0</v>
      </c>
      <c r="G71" s="8">
        <v>9.2999999999999999E-2</v>
      </c>
      <c r="H71" s="8">
        <v>0</v>
      </c>
      <c r="I71" s="8">
        <v>0.221</v>
      </c>
      <c r="J71" s="8">
        <v>0</v>
      </c>
      <c r="K71" s="8">
        <v>0</v>
      </c>
      <c r="L71" s="8">
        <v>96.254999999999995</v>
      </c>
      <c r="M71" s="8">
        <v>229.6</v>
      </c>
      <c r="N71" s="10">
        <v>2.3853306321749499</v>
      </c>
      <c r="O71" s="10">
        <v>2.3867209477050602</v>
      </c>
      <c r="P71" s="10">
        <v>2.38569339765036</v>
      </c>
      <c r="Q71" s="10">
        <v>2.3853283572468298</v>
      </c>
      <c r="R71" s="8">
        <v>229.73382482135099</v>
      </c>
      <c r="S71" s="8">
        <v>229.64138690066099</v>
      </c>
      <c r="T71" s="8">
        <v>229.59787972154601</v>
      </c>
      <c r="U71" s="9">
        <v>5.8269092283592104E-4</v>
      </c>
      <c r="V71" s="9">
        <v>1.8024029172409301E-4</v>
      </c>
      <c r="W71" s="9">
        <v>-9.2347048944206095E-6</v>
      </c>
      <c r="X71" s="10">
        <v>2.3853306321749499</v>
      </c>
      <c r="Y71" s="10">
        <v>2.3867209477050602</v>
      </c>
      <c r="Z71" s="10">
        <v>2.38569339765036</v>
      </c>
      <c r="AA71" s="10">
        <v>2.3853283572468298</v>
      </c>
      <c r="AB71" s="8">
        <v>229.73382482135099</v>
      </c>
      <c r="AC71" s="8">
        <v>229.64138690066099</v>
      </c>
      <c r="AD71" s="8">
        <v>229.59787972154601</v>
      </c>
      <c r="AE71" s="9">
        <v>5.8269092283592104E-4</v>
      </c>
      <c r="AF71" s="9">
        <v>1.8024029172409301E-4</v>
      </c>
      <c r="AG71" s="9">
        <v>-9.2347048944206095E-6</v>
      </c>
      <c r="AZ71" s="9"/>
      <c r="BB71">
        <f t="shared" si="2"/>
        <v>0</v>
      </c>
      <c r="BC71">
        <f t="shared" si="3"/>
        <v>0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1.3387788399909003E-3</v>
      </c>
      <c r="BL71" s="9"/>
      <c r="BN71">
        <f t="shared" si="10"/>
        <v>0</v>
      </c>
      <c r="BO71">
        <f t="shared" si="11"/>
        <v>1</v>
      </c>
      <c r="BP71">
        <f t="shared" si="12"/>
        <v>0</v>
      </c>
      <c r="BQ71">
        <f t="shared" si="1"/>
        <v>1</v>
      </c>
      <c r="BR71">
        <f t="shared" si="13"/>
        <v>0</v>
      </c>
      <c r="BS71" s="9">
        <f t="shared" si="14"/>
        <v>0</v>
      </c>
      <c r="BT71" s="9">
        <f t="shared" si="15"/>
        <v>0</v>
      </c>
      <c r="BU71" s="9">
        <f t="shared" si="16"/>
        <v>0</v>
      </c>
      <c r="BV71" s="12">
        <f t="shared" si="17"/>
        <v>0</v>
      </c>
      <c r="BX71" s="12">
        <f t="shared" si="18"/>
        <v>0</v>
      </c>
      <c r="BY71" s="12">
        <f t="shared" si="19"/>
        <v>1.3387788399909003E-3</v>
      </c>
    </row>
    <row r="72" spans="1:77" x14ac:dyDescent="0.3">
      <c r="A72" s="1">
        <v>46127</v>
      </c>
      <c r="B72" s="8">
        <v>98.002499999999998</v>
      </c>
      <c r="C72" s="8">
        <v>233.81</v>
      </c>
      <c r="D72" s="9">
        <v>1.7992068678685399E-2</v>
      </c>
      <c r="E72" s="9">
        <v>1.81701552775358E-2</v>
      </c>
      <c r="F72" s="8">
        <v>0</v>
      </c>
      <c r="G72" s="8">
        <v>9.2999999999999999E-2</v>
      </c>
      <c r="H72" s="8">
        <v>0</v>
      </c>
      <c r="I72" s="8">
        <v>0.221</v>
      </c>
      <c r="J72" s="8">
        <v>0</v>
      </c>
      <c r="K72" s="8">
        <v>0</v>
      </c>
      <c r="L72" s="8">
        <v>98.002499999999998</v>
      </c>
      <c r="M72" s="8">
        <v>233.81</v>
      </c>
      <c r="N72" s="10">
        <v>2.3857554654217998</v>
      </c>
      <c r="O72" s="10">
        <v>2.3867209477050602</v>
      </c>
      <c r="P72" s="10">
        <v>2.38572052935565</v>
      </c>
      <c r="Q72" s="10">
        <v>2.38536399964083</v>
      </c>
      <c r="R72" s="8">
        <v>233.90461967746501</v>
      </c>
      <c r="S72" s="8">
        <v>233.80391720322999</v>
      </c>
      <c r="T72" s="8">
        <v>233.768142331083</v>
      </c>
      <c r="U72" s="9">
        <v>4.0460432398579401E-4</v>
      </c>
      <c r="V72" s="9">
        <v>-2.60163204996072E-5</v>
      </c>
      <c r="W72" s="9">
        <v>-1.7904031535771999E-4</v>
      </c>
      <c r="X72" s="10">
        <v>2.3857554654217998</v>
      </c>
      <c r="Y72" s="10">
        <v>2.3867209477050602</v>
      </c>
      <c r="Z72" s="10">
        <v>2.38572052935565</v>
      </c>
      <c r="AA72" s="10">
        <v>2.38536399964083</v>
      </c>
      <c r="AB72" s="8">
        <v>233.90461967746501</v>
      </c>
      <c r="AC72" s="8">
        <v>233.80391720322999</v>
      </c>
      <c r="AD72" s="8">
        <v>233.768142331083</v>
      </c>
      <c r="AE72" s="9">
        <v>4.0460432398579401E-4</v>
      </c>
      <c r="AF72" s="9">
        <v>-2.60163204996072E-5</v>
      </c>
      <c r="AG72" s="9">
        <v>-1.7904031535771999E-4</v>
      </c>
      <c r="AZ72" s="9"/>
      <c r="BB72">
        <f t="shared" si="2"/>
        <v>0</v>
      </c>
      <c r="BC72">
        <f t="shared" si="3"/>
        <v>0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1.3387788399909003E-3</v>
      </c>
      <c r="BL72" s="9"/>
      <c r="BN72">
        <f t="shared" si="10"/>
        <v>0</v>
      </c>
      <c r="BO72">
        <f t="shared" si="11"/>
        <v>1</v>
      </c>
      <c r="BP72">
        <f t="shared" si="12"/>
        <v>0</v>
      </c>
      <c r="BQ72">
        <f t="shared" si="1"/>
        <v>1</v>
      </c>
      <c r="BR72">
        <f t="shared" si="13"/>
        <v>0</v>
      </c>
      <c r="BS72" s="9">
        <f t="shared" si="14"/>
        <v>0</v>
      </c>
      <c r="BT72" s="9">
        <f t="shared" si="15"/>
        <v>0</v>
      </c>
      <c r="BU72" s="9">
        <f t="shared" si="16"/>
        <v>0</v>
      </c>
      <c r="BV72" s="12">
        <f t="shared" si="17"/>
        <v>0</v>
      </c>
      <c r="BX72" s="12">
        <f t="shared" si="18"/>
        <v>0</v>
      </c>
      <c r="BY72" s="12">
        <f t="shared" si="19"/>
        <v>1.3387788399909003E-3</v>
      </c>
    </row>
    <row r="73" spans="1:77" x14ac:dyDescent="0.3">
      <c r="A73" s="1">
        <v>46128</v>
      </c>
      <c r="B73" s="8">
        <v>98.992500000000007</v>
      </c>
      <c r="C73" s="8">
        <v>236.2</v>
      </c>
      <c r="D73" s="9">
        <v>1.0051101139808401E-2</v>
      </c>
      <c r="E73" s="9">
        <v>1.01700840403149E-2</v>
      </c>
      <c r="F73" s="8">
        <v>0</v>
      </c>
      <c r="G73" s="8">
        <v>9.2999999999999999E-2</v>
      </c>
      <c r="H73" s="8">
        <v>0</v>
      </c>
      <c r="I73" s="8">
        <v>0.221</v>
      </c>
      <c r="J73" s="8">
        <v>0</v>
      </c>
      <c r="K73" s="8">
        <v>0</v>
      </c>
      <c r="L73" s="8">
        <v>98.992500000000007</v>
      </c>
      <c r="M73" s="8">
        <v>236.2</v>
      </c>
      <c r="N73" s="10">
        <v>2.3860393464151302</v>
      </c>
      <c r="O73" s="10">
        <v>2.3867209477050602</v>
      </c>
      <c r="P73" s="10">
        <v>2.3857793503171898</v>
      </c>
      <c r="Q73" s="10">
        <v>2.38537451418195</v>
      </c>
      <c r="R73" s="8">
        <v>236.26747341569299</v>
      </c>
      <c r="S73" s="8">
        <v>236.16843950223901</v>
      </c>
      <c r="T73" s="8">
        <v>236.13314573444401</v>
      </c>
      <c r="U73" s="9">
        <v>2.8562142347955297E-4</v>
      </c>
      <c r="V73" s="9">
        <v>-1.33626615024416E-4</v>
      </c>
      <c r="W73" s="9">
        <v>-2.8308098470434699E-4</v>
      </c>
      <c r="X73" s="10">
        <v>2.3860393464151302</v>
      </c>
      <c r="Y73" s="10">
        <v>2.3867209477050602</v>
      </c>
      <c r="Z73" s="10">
        <v>2.3857793503171898</v>
      </c>
      <c r="AA73" s="10">
        <v>2.38537451418195</v>
      </c>
      <c r="AB73" s="8">
        <v>236.26747341569299</v>
      </c>
      <c r="AC73" s="8">
        <v>236.16843950223901</v>
      </c>
      <c r="AD73" s="8">
        <v>236.13314573444401</v>
      </c>
      <c r="AE73" s="9">
        <v>2.8562142347955297E-4</v>
      </c>
      <c r="AF73" s="9">
        <v>-1.33626615024416E-4</v>
      </c>
      <c r="AG73" s="9">
        <v>-2.8308098470434699E-4</v>
      </c>
      <c r="AZ73" s="9"/>
      <c r="BB73">
        <f t="shared" si="2"/>
        <v>0</v>
      </c>
      <c r="BC73">
        <f t="shared" si="3"/>
        <v>0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1.3387788399909003E-3</v>
      </c>
      <c r="BL73" s="9"/>
      <c r="BN73">
        <f t="shared" si="10"/>
        <v>0</v>
      </c>
      <c r="BO73">
        <f t="shared" si="11"/>
        <v>1</v>
      </c>
      <c r="BP73">
        <f t="shared" si="12"/>
        <v>0</v>
      </c>
      <c r="BQ73">
        <f t="shared" si="1"/>
        <v>1</v>
      </c>
      <c r="BR73">
        <f t="shared" si="13"/>
        <v>0</v>
      </c>
      <c r="BS73" s="9">
        <f t="shared" si="14"/>
        <v>0</v>
      </c>
      <c r="BT73" s="9">
        <f t="shared" si="15"/>
        <v>0</v>
      </c>
      <c r="BU73" s="9">
        <f t="shared" si="16"/>
        <v>0</v>
      </c>
      <c r="BV73" s="12">
        <f t="shared" si="17"/>
        <v>0</v>
      </c>
      <c r="BX73" s="12">
        <f t="shared" si="18"/>
        <v>0</v>
      </c>
      <c r="BY73" s="12">
        <f t="shared" si="19"/>
        <v>1.3387788399909003E-3</v>
      </c>
    </row>
    <row r="74" spans="1:77" x14ac:dyDescent="0.3">
      <c r="A74" s="1">
        <v>46129</v>
      </c>
      <c r="B74" s="8">
        <v>100.69750000000001</v>
      </c>
      <c r="C74" s="8">
        <v>240.29</v>
      </c>
      <c r="D74" s="9">
        <v>1.7076883510774101E-2</v>
      </c>
      <c r="E74" s="9">
        <v>1.7167623464891601E-2</v>
      </c>
      <c r="F74" s="8">
        <v>0</v>
      </c>
      <c r="G74" s="8">
        <v>9.2999999999999999E-2</v>
      </c>
      <c r="H74" s="8">
        <v>0</v>
      </c>
      <c r="I74" s="8">
        <v>0.221</v>
      </c>
      <c r="J74" s="8">
        <v>0</v>
      </c>
      <c r="K74" s="8">
        <v>0</v>
      </c>
      <c r="L74" s="8">
        <v>100.69750000000001</v>
      </c>
      <c r="M74" s="8">
        <v>240.29</v>
      </c>
      <c r="N74" s="10">
        <v>2.3862558653392498</v>
      </c>
      <c r="O74" s="10">
        <v>2.3867209477050602</v>
      </c>
      <c r="P74" s="10">
        <v>2.3858251226813598</v>
      </c>
      <c r="Q74" s="10">
        <v>2.38542221849475</v>
      </c>
      <c r="R74" s="8">
        <v>240.33683263153</v>
      </c>
      <c r="S74" s="8">
        <v>240.24201612856501</v>
      </c>
      <c r="T74" s="8">
        <v>240.20125014183699</v>
      </c>
      <c r="U74" s="9">
        <v>1.94881469362095E-4</v>
      </c>
      <c r="V74" s="9">
        <v>-1.9971144474740301E-4</v>
      </c>
      <c r="W74" s="9">
        <v>-3.6941300864790002E-4</v>
      </c>
      <c r="X74" s="10">
        <v>2.3862558653392498</v>
      </c>
      <c r="Y74" s="10">
        <v>2.3867209477050602</v>
      </c>
      <c r="Z74" s="10">
        <v>2.3858251226813598</v>
      </c>
      <c r="AA74" s="10">
        <v>2.38542221849475</v>
      </c>
      <c r="AB74" s="8">
        <v>240.33683263153</v>
      </c>
      <c r="AC74" s="8">
        <v>240.24201612856501</v>
      </c>
      <c r="AD74" s="8">
        <v>240.20125014183699</v>
      </c>
      <c r="AE74" s="9">
        <v>1.94881469362095E-4</v>
      </c>
      <c r="AF74" s="9">
        <v>-1.9971144474740301E-4</v>
      </c>
      <c r="AG74" s="9">
        <v>-3.6941300864790002E-4</v>
      </c>
      <c r="AZ74" s="9"/>
      <c r="BB74">
        <f t="shared" si="2"/>
        <v>0</v>
      </c>
      <c r="BC74">
        <f t="shared" si="3"/>
        <v>0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1.3387788399909003E-3</v>
      </c>
      <c r="BL74" s="9"/>
      <c r="BN74">
        <f t="shared" si="10"/>
        <v>0</v>
      </c>
      <c r="BO74">
        <f t="shared" si="11"/>
        <v>1</v>
      </c>
      <c r="BP74">
        <f t="shared" si="12"/>
        <v>0</v>
      </c>
      <c r="BQ74">
        <f t="shared" si="1"/>
        <v>1</v>
      </c>
      <c r="BR74">
        <f t="shared" si="13"/>
        <v>0</v>
      </c>
      <c r="BS74" s="9">
        <f t="shared" si="14"/>
        <v>0</v>
      </c>
      <c r="BT74" s="9">
        <f t="shared" si="15"/>
        <v>0</v>
      </c>
      <c r="BU74" s="9">
        <f t="shared" si="16"/>
        <v>0</v>
      </c>
      <c r="BV74" s="12">
        <f t="shared" si="17"/>
        <v>0</v>
      </c>
      <c r="BX74" s="12">
        <f t="shared" si="18"/>
        <v>0</v>
      </c>
      <c r="BY74" s="12">
        <f t="shared" si="19"/>
        <v>1.3387788399909003E-3</v>
      </c>
    </row>
    <row r="75" spans="1:77" x14ac:dyDescent="0.3">
      <c r="A75" s="1">
        <v>46132</v>
      </c>
      <c r="B75" s="8">
        <v>101.1413</v>
      </c>
      <c r="C75" s="8">
        <v>241.31</v>
      </c>
      <c r="D75" s="9">
        <v>4.3975758398123298E-3</v>
      </c>
      <c r="E75" s="9">
        <v>4.2358867322764204E-3</v>
      </c>
      <c r="F75" s="8">
        <v>0</v>
      </c>
      <c r="G75" s="8">
        <v>9.2999999999999999E-2</v>
      </c>
      <c r="H75" s="8">
        <v>0</v>
      </c>
      <c r="I75" s="8">
        <v>0.221</v>
      </c>
      <c r="J75" s="8">
        <v>0</v>
      </c>
      <c r="K75" s="8">
        <v>0</v>
      </c>
      <c r="L75" s="8">
        <v>101.1413</v>
      </c>
      <c r="M75" s="8">
        <v>241.31</v>
      </c>
      <c r="N75" s="10">
        <v>2.3858700649487399</v>
      </c>
      <c r="O75" s="10">
        <v>2.3867209477050602</v>
      </c>
      <c r="P75" s="10">
        <v>2.3858708988280202</v>
      </c>
      <c r="Q75" s="10">
        <v>2.3855547835667799</v>
      </c>
      <c r="R75" s="8">
        <v>241.39605938812201</v>
      </c>
      <c r="S75" s="8">
        <v>241.305454480652</v>
      </c>
      <c r="T75" s="8">
        <v>241.26470422744299</v>
      </c>
      <c r="U75" s="9">
        <v>3.5657057689811701E-4</v>
      </c>
      <c r="V75" s="9">
        <v>-1.8837023577943501E-5</v>
      </c>
      <c r="W75" s="9">
        <v>-1.8772543315239101E-4</v>
      </c>
      <c r="X75" s="10">
        <v>2.3858700649487399</v>
      </c>
      <c r="Y75" s="10">
        <v>2.3867209477050602</v>
      </c>
      <c r="Z75" s="10">
        <v>2.3858708988280202</v>
      </c>
      <c r="AA75" s="10">
        <v>2.3855547835667799</v>
      </c>
      <c r="AB75" s="8">
        <v>241.39605938812201</v>
      </c>
      <c r="AC75" s="8">
        <v>241.305454480652</v>
      </c>
      <c r="AD75" s="8">
        <v>241.26470422744299</v>
      </c>
      <c r="AE75" s="9">
        <v>3.5657057689811701E-4</v>
      </c>
      <c r="AF75" s="9">
        <v>-1.8837023577943501E-5</v>
      </c>
      <c r="AG75" s="9">
        <v>-1.8772543315239101E-4</v>
      </c>
      <c r="AZ75" s="9"/>
      <c r="BB75">
        <f t="shared" si="2"/>
        <v>0</v>
      </c>
      <c r="BC75">
        <f t="shared" si="3"/>
        <v>0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1.3387788399909003E-3</v>
      </c>
      <c r="BL75" s="9"/>
      <c r="BN75">
        <f t="shared" si="10"/>
        <v>0</v>
      </c>
      <c r="BO75">
        <f t="shared" si="11"/>
        <v>1</v>
      </c>
      <c r="BP75">
        <f t="shared" si="12"/>
        <v>0</v>
      </c>
      <c r="BQ75">
        <f t="shared" si="1"/>
        <v>1</v>
      </c>
      <c r="BR75">
        <f t="shared" si="13"/>
        <v>0</v>
      </c>
      <c r="BS75" s="9">
        <f t="shared" si="14"/>
        <v>0</v>
      </c>
      <c r="BT75" s="9">
        <f t="shared" si="15"/>
        <v>0</v>
      </c>
      <c r="BU75" s="9">
        <f t="shared" si="16"/>
        <v>0</v>
      </c>
      <c r="BV75" s="12">
        <f t="shared" si="17"/>
        <v>0</v>
      </c>
      <c r="BX75" s="12">
        <f t="shared" si="18"/>
        <v>0</v>
      </c>
      <c r="BY75" s="12">
        <f t="shared" si="19"/>
        <v>1.3387788399909003E-3</v>
      </c>
    </row>
    <row r="76" spans="1:77" x14ac:dyDescent="0.3">
      <c r="A76" s="1">
        <v>46133</v>
      </c>
      <c r="B76" s="8">
        <v>101.02</v>
      </c>
      <c r="C76" s="8">
        <v>240.98</v>
      </c>
      <c r="D76" s="9">
        <v>-1.2000319997623799E-3</v>
      </c>
      <c r="E76" s="9">
        <v>-1.3684714652995201E-3</v>
      </c>
      <c r="F76" s="8">
        <v>0</v>
      </c>
      <c r="G76" s="8">
        <v>9.2999999999999999E-2</v>
      </c>
      <c r="H76" s="8">
        <v>0</v>
      </c>
      <c r="I76" s="8">
        <v>0.221</v>
      </c>
      <c r="J76" s="8">
        <v>0</v>
      </c>
      <c r="K76" s="8">
        <v>0</v>
      </c>
      <c r="L76" s="8">
        <v>101.02</v>
      </c>
      <c r="M76" s="8">
        <v>240.98</v>
      </c>
      <c r="N76" s="10">
        <v>2.3854682241140299</v>
      </c>
      <c r="O76" s="10">
        <v>2.3867209477050602</v>
      </c>
      <c r="P76" s="10">
        <v>2.3858264420084501</v>
      </c>
      <c r="Q76" s="10">
        <v>2.38571929217344</v>
      </c>
      <c r="R76" s="8">
        <v>241.10655013716499</v>
      </c>
      <c r="S76" s="8">
        <v>241.02067819960601</v>
      </c>
      <c r="T76" s="8">
        <v>240.98874423591599</v>
      </c>
      <c r="U76" s="9">
        <v>5.2501004243526897E-4</v>
      </c>
      <c r="V76" s="9">
        <v>1.68788972891439E-4</v>
      </c>
      <c r="W76" s="9">
        <v>3.6285489554310002E-5</v>
      </c>
      <c r="X76" s="10">
        <v>2.3854682241140299</v>
      </c>
      <c r="Y76" s="10">
        <v>2.3867209477050602</v>
      </c>
      <c r="Z76" s="10">
        <v>2.3858264420084501</v>
      </c>
      <c r="AA76" s="10">
        <v>2.38571929217344</v>
      </c>
      <c r="AB76" s="8">
        <v>241.10655013716499</v>
      </c>
      <c r="AC76" s="8">
        <v>241.02067819960601</v>
      </c>
      <c r="AD76" s="8">
        <v>240.98874423591599</v>
      </c>
      <c r="AE76" s="9">
        <v>5.2501004243526897E-4</v>
      </c>
      <c r="AF76" s="9">
        <v>1.68788972891439E-4</v>
      </c>
      <c r="AG76" s="9">
        <v>3.6285489554310002E-5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1.3387788399909003E-3</v>
      </c>
      <c r="BL76" s="9"/>
      <c r="BN76">
        <f t="shared" si="10"/>
        <v>0</v>
      </c>
      <c r="BO76">
        <f t="shared" si="11"/>
        <v>0</v>
      </c>
      <c r="BP76">
        <f t="shared" si="12"/>
        <v>0</v>
      </c>
      <c r="BQ76">
        <f t="shared" si="1"/>
        <v>1</v>
      </c>
      <c r="BR76">
        <f t="shared" si="13"/>
        <v>0</v>
      </c>
      <c r="BS76" s="9">
        <f t="shared" si="14"/>
        <v>0</v>
      </c>
      <c r="BT76" s="9">
        <f t="shared" si="15"/>
        <v>0</v>
      </c>
      <c r="BU76" s="9">
        <f t="shared" si="16"/>
        <v>0</v>
      </c>
      <c r="BV76" s="12">
        <f t="shared" si="17"/>
        <v>0</v>
      </c>
      <c r="BX76" s="12">
        <f t="shared" si="18"/>
        <v>0</v>
      </c>
      <c r="BY76" s="12">
        <f t="shared" si="19"/>
        <v>1.3387788399909003E-3</v>
      </c>
    </row>
    <row r="77" spans="1:77" x14ac:dyDescent="0.3">
      <c r="A77" s="1">
        <v>46134</v>
      </c>
      <c r="B77" s="8">
        <v>103.03</v>
      </c>
      <c r="C77" s="8">
        <v>245.86</v>
      </c>
      <c r="D77" s="9">
        <v>1.9701690917070198E-2</v>
      </c>
      <c r="E77" s="9">
        <v>2.00483257440646E-2</v>
      </c>
      <c r="F77" s="8">
        <v>0</v>
      </c>
      <c r="G77" s="8">
        <v>9.2999999999999999E-2</v>
      </c>
      <c r="H77" s="8">
        <v>0</v>
      </c>
      <c r="I77" s="8">
        <v>0.221</v>
      </c>
      <c r="J77" s="8">
        <v>0</v>
      </c>
      <c r="K77" s="8">
        <v>0</v>
      </c>
      <c r="L77" s="8">
        <v>103.03</v>
      </c>
      <c r="M77" s="8">
        <v>245.86</v>
      </c>
      <c r="N77" s="10">
        <v>2.3862952538095699</v>
      </c>
      <c r="O77" s="10">
        <v>2.3867209477050602</v>
      </c>
      <c r="P77" s="10">
        <v>2.3858739081281399</v>
      </c>
      <c r="Q77" s="10">
        <v>2.3857644945324199</v>
      </c>
      <c r="R77" s="8">
        <v>245.90385924205199</v>
      </c>
      <c r="S77" s="8">
        <v>245.811698320131</v>
      </c>
      <c r="T77" s="8">
        <v>245.80065867262999</v>
      </c>
      <c r="U77" s="9">
        <v>1.7837521544061401E-4</v>
      </c>
      <c r="V77" s="9">
        <v>-1.9647939952245399E-4</v>
      </c>
      <c r="W77" s="9">
        <v>-2.41391401207029E-4</v>
      </c>
      <c r="X77" s="10">
        <v>2.3862952538095699</v>
      </c>
      <c r="Y77" s="10">
        <v>2.3867209477050602</v>
      </c>
      <c r="Z77" s="10">
        <v>2.3858739081281399</v>
      </c>
      <c r="AA77" s="10">
        <v>2.3857644945324199</v>
      </c>
      <c r="AB77" s="8">
        <v>245.90385924205199</v>
      </c>
      <c r="AC77" s="8">
        <v>245.811698320131</v>
      </c>
      <c r="AD77" s="8">
        <v>245.80065867262999</v>
      </c>
      <c r="AE77" s="9">
        <v>1.7837521544061401E-4</v>
      </c>
      <c r="AF77" s="9">
        <v>-1.9647939952245399E-4</v>
      </c>
      <c r="AG77" s="9">
        <v>-2.41391401207029E-4</v>
      </c>
      <c r="AZ77" s="9"/>
      <c r="BB77">
        <f t="shared" si="2"/>
        <v>0</v>
      </c>
      <c r="BC77">
        <f t="shared" si="3"/>
        <v>0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1.3387788399909003E-3</v>
      </c>
      <c r="BL77" s="9"/>
      <c r="BN77">
        <f t="shared" si="10"/>
        <v>0</v>
      </c>
      <c r="BO77">
        <f t="shared" si="11"/>
        <v>1</v>
      </c>
      <c r="BP77">
        <f t="shared" si="12"/>
        <v>0</v>
      </c>
      <c r="BQ77">
        <f t="shared" si="1"/>
        <v>1</v>
      </c>
      <c r="BR77">
        <f t="shared" si="13"/>
        <v>0</v>
      </c>
      <c r="BS77" s="9">
        <f t="shared" si="14"/>
        <v>0</v>
      </c>
      <c r="BT77" s="9">
        <f t="shared" si="15"/>
        <v>0</v>
      </c>
      <c r="BU77" s="9">
        <f t="shared" si="16"/>
        <v>0</v>
      </c>
      <c r="BV77" s="12">
        <f t="shared" si="17"/>
        <v>0</v>
      </c>
      <c r="BX77" s="12">
        <f t="shared" si="18"/>
        <v>0</v>
      </c>
      <c r="BY77" s="12">
        <f t="shared" si="19"/>
        <v>1.3387788399909003E-3</v>
      </c>
    </row>
    <row r="78" spans="1:77" x14ac:dyDescent="0.3">
      <c r="A78" s="1">
        <v>46135</v>
      </c>
      <c r="B78" s="8">
        <v>101.57</v>
      </c>
      <c r="C78" s="8">
        <v>242.41</v>
      </c>
      <c r="D78" s="9">
        <v>-1.42719920055669E-2</v>
      </c>
      <c r="E78" s="9">
        <v>-1.41317607695511E-2</v>
      </c>
      <c r="F78" s="8">
        <v>0</v>
      </c>
      <c r="G78" s="8">
        <v>9.2999999999999999E-2</v>
      </c>
      <c r="H78" s="8">
        <v>0</v>
      </c>
      <c r="I78" s="8">
        <v>0.221</v>
      </c>
      <c r="J78" s="8">
        <v>0</v>
      </c>
      <c r="K78" s="8">
        <v>0</v>
      </c>
      <c r="L78" s="8">
        <v>101.57</v>
      </c>
      <c r="M78" s="8">
        <v>242.41</v>
      </c>
      <c r="N78" s="10">
        <v>2.3866299104066102</v>
      </c>
      <c r="O78" s="10">
        <v>2.3867209477050602</v>
      </c>
      <c r="P78" s="10">
        <v>2.38601240468769</v>
      </c>
      <c r="Q78" s="10">
        <v>2.38581508113948</v>
      </c>
      <c r="R78" s="8">
        <v>242.41924665840301</v>
      </c>
      <c r="S78" s="8">
        <v>242.33321284857601</v>
      </c>
      <c r="T78" s="8">
        <v>242.32209970965701</v>
      </c>
      <c r="U78" s="9">
        <v>3.8143979424932898E-5</v>
      </c>
      <c r="V78" s="9">
        <v>-3.1681579042595301E-4</v>
      </c>
      <c r="W78" s="9">
        <v>-3.6267575990180301E-4</v>
      </c>
      <c r="X78" s="10">
        <v>2.3866299104066102</v>
      </c>
      <c r="Y78" s="10">
        <v>2.3867209477050602</v>
      </c>
      <c r="Z78" s="10">
        <v>2.38601240468769</v>
      </c>
      <c r="AA78" s="10">
        <v>2.38581508113948</v>
      </c>
      <c r="AB78" s="8">
        <v>242.41924665840301</v>
      </c>
      <c r="AC78" s="8">
        <v>242.33321284857601</v>
      </c>
      <c r="AD78" s="8">
        <v>242.32209970965701</v>
      </c>
      <c r="AE78" s="9">
        <v>3.8143979424932898E-5</v>
      </c>
      <c r="AF78" s="9">
        <v>-3.1681579042595301E-4</v>
      </c>
      <c r="AG78" s="9">
        <v>-3.6267575990180301E-4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1.3387788399909003E-3</v>
      </c>
      <c r="BL78" s="9"/>
      <c r="BN78">
        <f t="shared" si="10"/>
        <v>0</v>
      </c>
      <c r="BO78">
        <f t="shared" si="11"/>
        <v>1</v>
      </c>
      <c r="BP78">
        <f t="shared" si="12"/>
        <v>0</v>
      </c>
      <c r="BQ78">
        <f t="shared" si="1"/>
        <v>1</v>
      </c>
      <c r="BR78">
        <f t="shared" si="13"/>
        <v>0</v>
      </c>
      <c r="BS78" s="9">
        <f t="shared" si="14"/>
        <v>0</v>
      </c>
      <c r="BT78" s="9">
        <f t="shared" si="15"/>
        <v>0</v>
      </c>
      <c r="BU78" s="9">
        <f t="shared" si="16"/>
        <v>0</v>
      </c>
      <c r="BV78" s="12">
        <f t="shared" si="17"/>
        <v>0</v>
      </c>
      <c r="BX78" s="12">
        <f t="shared" si="18"/>
        <v>0</v>
      </c>
      <c r="BY78" s="12">
        <f t="shared" si="19"/>
        <v>1.3387788399909003E-3</v>
      </c>
    </row>
    <row r="79" spans="1:77" x14ac:dyDescent="0.3">
      <c r="A79" s="1">
        <v>46136</v>
      </c>
      <c r="B79" s="8">
        <v>104.16</v>
      </c>
      <c r="C79" s="8">
        <v>248.58</v>
      </c>
      <c r="D79" s="9">
        <v>2.51799625088494E-2</v>
      </c>
      <c r="E79" s="9">
        <v>2.5134217847721602E-2</v>
      </c>
      <c r="F79" s="8">
        <v>0</v>
      </c>
      <c r="G79" s="8">
        <v>9.2999999999999999E-2</v>
      </c>
      <c r="H79" s="8">
        <v>0</v>
      </c>
      <c r="I79" s="8">
        <v>0.221</v>
      </c>
      <c r="J79" s="8">
        <v>0</v>
      </c>
      <c r="K79" s="8">
        <v>0</v>
      </c>
      <c r="L79" s="8">
        <v>104.16</v>
      </c>
      <c r="M79" s="8">
        <v>248.58</v>
      </c>
      <c r="N79" s="10">
        <v>2.3865207373271802</v>
      </c>
      <c r="O79" s="10">
        <v>2.3867209477050602</v>
      </c>
      <c r="P79" s="10">
        <v>2.3860787502964098</v>
      </c>
      <c r="Q79" s="10">
        <v>2.3858778572736998</v>
      </c>
      <c r="R79" s="8">
        <v>248.600853912959</v>
      </c>
      <c r="S79" s="8">
        <v>248.52705207226899</v>
      </c>
      <c r="T79" s="8">
        <v>248.506498851488</v>
      </c>
      <c r="U79" s="9">
        <v>8.3888640552755403E-5</v>
      </c>
      <c r="V79" s="9">
        <v>-2.1302424783445299E-4</v>
      </c>
      <c r="W79" s="9">
        <v>-2.95727802774395E-4</v>
      </c>
      <c r="X79" s="10">
        <v>2.3865207373271802</v>
      </c>
      <c r="Y79" s="10">
        <v>2.3867209477050602</v>
      </c>
      <c r="Z79" s="10">
        <v>2.3860787502964098</v>
      </c>
      <c r="AA79" s="10">
        <v>2.3858778572736998</v>
      </c>
      <c r="AB79" s="8">
        <v>248.600853912959</v>
      </c>
      <c r="AC79" s="8">
        <v>248.52705207226899</v>
      </c>
      <c r="AD79" s="8">
        <v>248.506498851488</v>
      </c>
      <c r="AE79" s="9">
        <v>8.3888640552755403E-5</v>
      </c>
      <c r="AF79" s="9">
        <v>-2.1302424783445299E-4</v>
      </c>
      <c r="AG79" s="9">
        <v>-2.95727802774395E-4</v>
      </c>
      <c r="AZ79" s="9"/>
      <c r="BB79">
        <f t="shared" si="2"/>
        <v>0</v>
      </c>
      <c r="BC79">
        <f t="shared" si="3"/>
        <v>0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1.3387788399909003E-3</v>
      </c>
      <c r="BL79" s="9"/>
      <c r="BN79">
        <f t="shared" si="10"/>
        <v>0</v>
      </c>
      <c r="BO79">
        <f t="shared" si="11"/>
        <v>1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0</v>
      </c>
      <c r="BX79" s="12">
        <f t="shared" si="18"/>
        <v>0</v>
      </c>
      <c r="BY79" s="12">
        <f t="shared" si="19"/>
        <v>1.3387788399909003E-3</v>
      </c>
    </row>
    <row r="80" spans="1:77" x14ac:dyDescent="0.3">
      <c r="A80" s="1">
        <v>46139</v>
      </c>
      <c r="B80" s="8">
        <v>104.32</v>
      </c>
      <c r="C80" s="8">
        <v>248.85</v>
      </c>
      <c r="D80" s="9">
        <v>1.5349197180837401E-3</v>
      </c>
      <c r="E80" s="9">
        <v>1.08557998719762E-3</v>
      </c>
      <c r="F80" s="8">
        <v>0</v>
      </c>
      <c r="G80" s="8">
        <v>9.2999999999999999E-2</v>
      </c>
      <c r="H80" s="8">
        <v>0</v>
      </c>
      <c r="I80" s="8">
        <v>0.221</v>
      </c>
      <c r="J80" s="8">
        <v>0</v>
      </c>
      <c r="K80" s="8">
        <v>0</v>
      </c>
      <c r="L80" s="8">
        <v>104.32</v>
      </c>
      <c r="M80" s="8">
        <v>248.85</v>
      </c>
      <c r="N80" s="10">
        <v>2.3854486196318998</v>
      </c>
      <c r="O80" s="10">
        <v>2.3867209477050602</v>
      </c>
      <c r="P80" s="10">
        <v>2.3859614119589199</v>
      </c>
      <c r="Q80" s="10">
        <v>2.3858610077853899</v>
      </c>
      <c r="R80" s="8">
        <v>248.982729264592</v>
      </c>
      <c r="S80" s="8">
        <v>248.915735230922</v>
      </c>
      <c r="T80" s="8">
        <v>248.894778070792</v>
      </c>
      <c r="U80" s="9">
        <v>5.3322837143865301E-4</v>
      </c>
      <c r="V80" s="9">
        <v>2.6412115841578898E-4</v>
      </c>
      <c r="W80" s="9">
        <v>1.7992381994159299E-4</v>
      </c>
      <c r="X80" s="10">
        <v>2.3854486196318998</v>
      </c>
      <c r="Y80" s="10">
        <v>2.3867209477050602</v>
      </c>
      <c r="Z80" s="10">
        <v>2.3859614119589199</v>
      </c>
      <c r="AA80" s="10">
        <v>2.3858610077853899</v>
      </c>
      <c r="AB80" s="8">
        <v>248.982729264592</v>
      </c>
      <c r="AC80" s="8">
        <v>248.915735230922</v>
      </c>
      <c r="AD80" s="8">
        <v>248.894778070792</v>
      </c>
      <c r="AE80" s="9">
        <v>5.3322837143865301E-4</v>
      </c>
      <c r="AF80" s="9">
        <v>2.6412115841578898E-4</v>
      </c>
      <c r="AG80" s="9">
        <v>1.7992381994159299E-4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1.3387788399909003E-3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0</v>
      </c>
      <c r="BX80" s="12">
        <f t="shared" si="18"/>
        <v>0</v>
      </c>
      <c r="BY80" s="12">
        <f t="shared" si="19"/>
        <v>1.3387788399909003E-3</v>
      </c>
    </row>
    <row r="81" spans="1:77" x14ac:dyDescent="0.3">
      <c r="A81" s="1">
        <v>46140</v>
      </c>
      <c r="B81" s="8">
        <v>102.67</v>
      </c>
      <c r="C81" s="8">
        <v>244.95</v>
      </c>
      <c r="D81" s="9">
        <v>-1.5943136867469301E-2</v>
      </c>
      <c r="E81" s="9">
        <v>-1.5796197219979401E-2</v>
      </c>
      <c r="F81" s="8">
        <v>0</v>
      </c>
      <c r="G81" s="8">
        <v>9.2999999999999999E-2</v>
      </c>
      <c r="H81" s="8">
        <v>0</v>
      </c>
      <c r="I81" s="8">
        <v>0.221</v>
      </c>
      <c r="J81" s="8">
        <v>0</v>
      </c>
      <c r="K81" s="8">
        <v>0</v>
      </c>
      <c r="L81" s="8">
        <v>102.67</v>
      </c>
      <c r="M81" s="8">
        <v>244.95</v>
      </c>
      <c r="N81" s="10">
        <v>2.38579916236485</v>
      </c>
      <c r="O81" s="10">
        <v>2.3867209477050602</v>
      </c>
      <c r="P81" s="10">
        <v>2.3860082649779102</v>
      </c>
      <c r="Q81" s="10">
        <v>2.38585083131413</v>
      </c>
      <c r="R81" s="8">
        <v>245.044639700879</v>
      </c>
      <c r="S81" s="8">
        <v>244.966658165822</v>
      </c>
      <c r="T81" s="8">
        <v>244.95634966932599</v>
      </c>
      <c r="U81" s="9">
        <v>3.8628872394866001E-4</v>
      </c>
      <c r="V81" s="9">
        <v>6.8004080086239094E-5</v>
      </c>
      <c r="W81" s="9">
        <v>2.5921971950532399E-5</v>
      </c>
      <c r="X81" s="10">
        <v>2.38579916236485</v>
      </c>
      <c r="Y81" s="10">
        <v>2.3867209477050602</v>
      </c>
      <c r="Z81" s="10">
        <v>2.3860082649779102</v>
      </c>
      <c r="AA81" s="10">
        <v>2.38585083131413</v>
      </c>
      <c r="AB81" s="8">
        <v>245.044639700879</v>
      </c>
      <c r="AC81" s="8">
        <v>244.966658165822</v>
      </c>
      <c r="AD81" s="8">
        <v>244.95634966932599</v>
      </c>
      <c r="AE81" s="9">
        <v>3.8628872394866001E-4</v>
      </c>
      <c r="AF81" s="9">
        <v>6.8004080086239094E-5</v>
      </c>
      <c r="AG81" s="9">
        <v>2.5921971950532399E-5</v>
      </c>
      <c r="AZ81" s="9"/>
      <c r="BB81">
        <f t="shared" si="2"/>
        <v>0</v>
      </c>
      <c r="BC81">
        <f t="shared" si="3"/>
        <v>1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1.3387788399909003E-3</v>
      </c>
      <c r="BL81" s="9"/>
      <c r="BN81">
        <f t="shared" si="10"/>
        <v>0</v>
      </c>
      <c r="BO81">
        <f t="shared" si="11"/>
        <v>0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0</v>
      </c>
      <c r="BX81" s="12">
        <f t="shared" si="18"/>
        <v>0</v>
      </c>
      <c r="BY81" s="12">
        <f t="shared" si="19"/>
        <v>1.3387788399909003E-3</v>
      </c>
    </row>
    <row r="82" spans="1:77" x14ac:dyDescent="0.3">
      <c r="A82" s="1">
        <v>46141</v>
      </c>
      <c r="B82" s="8">
        <v>103.13</v>
      </c>
      <c r="C82" s="8">
        <v>246.21</v>
      </c>
      <c r="D82" s="9">
        <v>4.47036701710413E-3</v>
      </c>
      <c r="E82" s="9">
        <v>5.1307222251462297E-3</v>
      </c>
      <c r="F82" s="8">
        <v>0</v>
      </c>
      <c r="G82" s="8">
        <v>9.2999999999999999E-2</v>
      </c>
      <c r="H82" s="8">
        <v>0</v>
      </c>
      <c r="I82" s="8">
        <v>0.221</v>
      </c>
      <c r="J82" s="8">
        <v>0</v>
      </c>
      <c r="K82" s="8">
        <v>0</v>
      </c>
      <c r="L82" s="8">
        <v>103.13</v>
      </c>
      <c r="M82" s="8">
        <v>246.21</v>
      </c>
      <c r="N82" s="10">
        <v>2.3873751575681101</v>
      </c>
      <c r="O82" s="10">
        <v>2.3867209477050602</v>
      </c>
      <c r="P82" s="10">
        <v>2.3861702341925399</v>
      </c>
      <c r="Q82" s="10">
        <v>2.3859453817740901</v>
      </c>
      <c r="R82" s="8">
        <v>246.142531336823</v>
      </c>
      <c r="S82" s="8">
        <v>246.06903236717099</v>
      </c>
      <c r="T82" s="8">
        <v>246.05279623342699</v>
      </c>
      <c r="U82" s="9">
        <v>-2.7406648409335601E-4</v>
      </c>
      <c r="V82" s="9">
        <v>-5.7271436487303401E-4</v>
      </c>
      <c r="W82" s="9">
        <v>-6.3869856962468698E-4</v>
      </c>
      <c r="X82" s="10">
        <v>2.3873751575681101</v>
      </c>
      <c r="Y82" s="10">
        <v>2.3867209477050602</v>
      </c>
      <c r="Z82" s="10">
        <v>2.3861702341925399</v>
      </c>
      <c r="AA82" s="10">
        <v>2.3859453817740901</v>
      </c>
      <c r="AB82" s="8">
        <v>246.142531336823</v>
      </c>
      <c r="AC82" s="8">
        <v>246.06903236717099</v>
      </c>
      <c r="AD82" s="8">
        <v>246.05279623342699</v>
      </c>
      <c r="AE82" s="9">
        <v>-2.7406648409335601E-4</v>
      </c>
      <c r="AF82" s="9">
        <v>-5.7271436487303401E-4</v>
      </c>
      <c r="AG82" s="9">
        <v>-6.3869856962468698E-4</v>
      </c>
      <c r="AZ82" s="9"/>
      <c r="BB82">
        <f t="shared" si="2"/>
        <v>0</v>
      </c>
      <c r="BC82">
        <f t="shared" si="3"/>
        <v>0</v>
      </c>
      <c r="BD82">
        <f t="shared" si="4"/>
        <v>0</v>
      </c>
      <c r="BE82">
        <f t="shared" si="0"/>
        <v>1</v>
      </c>
      <c r="BF82">
        <f t="shared" si="5"/>
        <v>0</v>
      </c>
      <c r="BG82" s="9">
        <f t="shared" si="6"/>
        <v>0</v>
      </c>
      <c r="BH82" s="9">
        <f t="shared" si="7"/>
        <v>0</v>
      </c>
      <c r="BI82" s="9">
        <f t="shared" si="8"/>
        <v>0</v>
      </c>
      <c r="BJ82" s="12">
        <f t="shared" si="9"/>
        <v>1.3387788399909003E-3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0</v>
      </c>
      <c r="BX82" s="12">
        <f t="shared" si="18"/>
        <v>0</v>
      </c>
      <c r="BY82" s="12">
        <f t="shared" si="19"/>
        <v>1.3387788399909003E-3</v>
      </c>
    </row>
    <row r="83" spans="1:77" x14ac:dyDescent="0.3">
      <c r="A83" s="1">
        <v>46142</v>
      </c>
      <c r="B83" s="8">
        <v>103.18</v>
      </c>
      <c r="C83" s="8">
        <v>246.31</v>
      </c>
      <c r="D83" s="9">
        <v>4.8470748852637302E-4</v>
      </c>
      <c r="E83" s="9">
        <v>4.06074885787897E-4</v>
      </c>
      <c r="F83" s="8">
        <v>0</v>
      </c>
      <c r="G83" s="8">
        <v>9.2999999999999999E-2</v>
      </c>
      <c r="H83" s="8">
        <v>0</v>
      </c>
      <c r="I83" s="8">
        <v>0.221</v>
      </c>
      <c r="J83" s="8">
        <v>0</v>
      </c>
      <c r="K83" s="8">
        <v>0</v>
      </c>
      <c r="L83" s="8">
        <v>103.18</v>
      </c>
      <c r="M83" s="8">
        <v>246.31</v>
      </c>
      <c r="N83" s="10">
        <v>2.3871874394262398</v>
      </c>
      <c r="O83" s="10">
        <v>2.3867209477050602</v>
      </c>
      <c r="P83" s="10">
        <v>2.38628504349365</v>
      </c>
      <c r="Q83" s="10">
        <v>2.3860321969054201</v>
      </c>
      <c r="R83" s="8">
        <v>246.26186738420799</v>
      </c>
      <c r="S83" s="8">
        <v>246.205044763986</v>
      </c>
      <c r="T83" s="8">
        <v>246.18184449145099</v>
      </c>
      <c r="U83" s="9">
        <v>-1.9543388135494501E-4</v>
      </c>
      <c r="V83" s="9">
        <v>-4.2620114336819098E-4</v>
      </c>
      <c r="W83" s="9">
        <v>-5.2043709098824201E-4</v>
      </c>
      <c r="X83" s="10">
        <v>2.3871874394262398</v>
      </c>
      <c r="Y83" s="10">
        <v>2.3867209477050602</v>
      </c>
      <c r="Z83" s="10">
        <v>2.38628504349365</v>
      </c>
      <c r="AA83" s="10">
        <v>2.3860321969054201</v>
      </c>
      <c r="AB83" s="8">
        <v>246.26186738420799</v>
      </c>
      <c r="AC83" s="8">
        <v>246.205044763986</v>
      </c>
      <c r="AD83" s="8">
        <v>246.18184449145099</v>
      </c>
      <c r="AE83" s="9">
        <v>-1.9543388135494501E-4</v>
      </c>
      <c r="AF83" s="9">
        <v>-4.2620114336819098E-4</v>
      </c>
      <c r="AG83" s="9">
        <v>-5.2043709098824201E-4</v>
      </c>
      <c r="AZ83" s="9"/>
      <c r="BB83">
        <f t="shared" si="2"/>
        <v>0</v>
      </c>
      <c r="BC83">
        <f t="shared" si="3"/>
        <v>0</v>
      </c>
      <c r="BD83">
        <f t="shared" si="4"/>
        <v>0</v>
      </c>
      <c r="BE83">
        <f t="shared" si="0"/>
        <v>1</v>
      </c>
      <c r="BF83">
        <f t="shared" si="5"/>
        <v>0</v>
      </c>
      <c r="BG83" s="9">
        <f t="shared" si="6"/>
        <v>0</v>
      </c>
      <c r="BH83" s="9">
        <f t="shared" si="7"/>
        <v>0</v>
      </c>
      <c r="BI83" s="9">
        <f t="shared" si="8"/>
        <v>0</v>
      </c>
      <c r="BJ83" s="12">
        <f t="shared" si="9"/>
        <v>1.3387788399909003E-3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0</v>
      </c>
      <c r="BX83" s="12">
        <f t="shared" si="18"/>
        <v>0</v>
      </c>
      <c r="BY83" s="12">
        <f t="shared" si="19"/>
        <v>1.3387788399909003E-3</v>
      </c>
    </row>
    <row r="84" spans="1:77" x14ac:dyDescent="0.3">
      <c r="A84" s="1">
        <v>46143</v>
      </c>
      <c r="B84" s="8">
        <v>104.85</v>
      </c>
      <c r="C84" s="8">
        <v>250.2</v>
      </c>
      <c r="D84" s="9">
        <v>1.6055721531425E-2</v>
      </c>
      <c r="E84" s="9">
        <v>1.5669692837292699E-2</v>
      </c>
      <c r="F84" s="8">
        <v>0</v>
      </c>
      <c r="G84" s="8">
        <v>9.2999999999999999E-2</v>
      </c>
      <c r="H84" s="8">
        <v>0</v>
      </c>
      <c r="I84" s="8">
        <v>0.221</v>
      </c>
      <c r="J84" s="8">
        <v>0</v>
      </c>
      <c r="K84" s="8">
        <v>0</v>
      </c>
      <c r="L84" s="8">
        <v>104.85</v>
      </c>
      <c r="M84" s="8">
        <v>250.2</v>
      </c>
      <c r="N84" s="10">
        <v>2.3862660944205998</v>
      </c>
      <c r="O84" s="10">
        <v>2.3867209477050602</v>
      </c>
      <c r="P84" s="10">
        <v>2.3862860664017802</v>
      </c>
      <c r="Q84" s="10">
        <v>2.38605559454157</v>
      </c>
      <c r="R84" s="8">
        <v>250.24769136687601</v>
      </c>
      <c r="S84" s="8">
        <v>250.20198681030899</v>
      </c>
      <c r="T84" s="8">
        <v>250.17547584553299</v>
      </c>
      <c r="U84" s="9">
        <v>1.9059481277720799E-4</v>
      </c>
      <c r="V84" s="9">
        <v>7.9408569987139799E-6</v>
      </c>
      <c r="W84" s="9">
        <v>-9.8023007401480694E-5</v>
      </c>
      <c r="X84" s="10">
        <v>2.3862660944205998</v>
      </c>
      <c r="Y84" s="10">
        <v>2.3867209477050602</v>
      </c>
      <c r="Z84" s="10">
        <v>2.3862860664017802</v>
      </c>
      <c r="AA84" s="10">
        <v>2.38605559454157</v>
      </c>
      <c r="AB84" s="8">
        <v>250.24769136687601</v>
      </c>
      <c r="AC84" s="8">
        <v>250.20198681030899</v>
      </c>
      <c r="AD84" s="8">
        <v>250.17547584553299</v>
      </c>
      <c r="AE84" s="9">
        <v>1.9059481277720799E-4</v>
      </c>
      <c r="AF84" s="9">
        <v>7.9408569987139799E-6</v>
      </c>
      <c r="AG84" s="9">
        <v>-9.8023007401480694E-5</v>
      </c>
      <c r="AZ84" s="9"/>
      <c r="BB84">
        <f t="shared" si="2"/>
        <v>0</v>
      </c>
      <c r="BC84">
        <f t="shared" si="3"/>
        <v>0</v>
      </c>
      <c r="BD84">
        <f t="shared" si="4"/>
        <v>0</v>
      </c>
      <c r="BE84">
        <f t="shared" si="0"/>
        <v>1</v>
      </c>
      <c r="BF84">
        <f t="shared" si="5"/>
        <v>0</v>
      </c>
      <c r="BG84" s="9">
        <f t="shared" si="6"/>
        <v>0</v>
      </c>
      <c r="BH84" s="9">
        <f t="shared" si="7"/>
        <v>0</v>
      </c>
      <c r="BI84" s="9">
        <f t="shared" si="8"/>
        <v>0</v>
      </c>
      <c r="BJ84" s="12">
        <f t="shared" si="9"/>
        <v>1.3387788399909003E-3</v>
      </c>
      <c r="BL84" s="9"/>
      <c r="BN84">
        <f t="shared" si="10"/>
        <v>0</v>
      </c>
      <c r="BO84">
        <f t="shared" si="11"/>
        <v>1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0</v>
      </c>
      <c r="BX84" s="12">
        <f t="shared" si="18"/>
        <v>0</v>
      </c>
      <c r="BY84" s="12">
        <f t="shared" si="19"/>
        <v>1.3387788399909003E-3</v>
      </c>
    </row>
    <row r="85" spans="1:77" x14ac:dyDescent="0.3">
      <c r="A85" s="1">
        <v>46146</v>
      </c>
      <c r="B85" s="8">
        <v>104.95</v>
      </c>
      <c r="C85" s="8">
        <v>250.42</v>
      </c>
      <c r="D85" s="9">
        <v>9.5328891871323098E-4</v>
      </c>
      <c r="E85" s="9">
        <v>8.7891020799081999E-4</v>
      </c>
      <c r="F85" s="8">
        <v>0</v>
      </c>
      <c r="G85" s="8">
        <v>9.2999999999999999E-2</v>
      </c>
      <c r="H85" s="8">
        <v>0</v>
      </c>
      <c r="I85" s="8">
        <v>0.221</v>
      </c>
      <c r="J85" s="8">
        <v>0</v>
      </c>
      <c r="K85" s="8">
        <v>0</v>
      </c>
      <c r="L85" s="8">
        <v>104.95</v>
      </c>
      <c r="M85" s="8">
        <v>250.42</v>
      </c>
      <c r="N85" s="10">
        <v>2.3860886136255299</v>
      </c>
      <c r="O85" s="10">
        <v>2.3867209477050602</v>
      </c>
      <c r="P85" s="10">
        <v>2.3863079212694598</v>
      </c>
      <c r="Q85" s="10">
        <v>2.38608941004874</v>
      </c>
      <c r="R85" s="8">
        <v>250.48636346164599</v>
      </c>
      <c r="S85" s="8">
        <v>250.44072266886701</v>
      </c>
      <c r="T85" s="8">
        <v>250.41653464713801</v>
      </c>
      <c r="U85" s="9">
        <v>2.6497352349960402E-4</v>
      </c>
      <c r="V85" s="9">
        <v>8.2748228964868307E-5</v>
      </c>
      <c r="W85" s="9">
        <v>-1.38382590803793E-5</v>
      </c>
      <c r="X85" s="10">
        <v>2.3860886136255299</v>
      </c>
      <c r="Y85" s="10">
        <v>2.3867209477050602</v>
      </c>
      <c r="Z85" s="10">
        <v>2.3863079212694598</v>
      </c>
      <c r="AA85" s="10">
        <v>2.38608941004874</v>
      </c>
      <c r="AB85" s="8">
        <v>250.48636346164599</v>
      </c>
      <c r="AC85" s="8">
        <v>250.44072266886701</v>
      </c>
      <c r="AD85" s="8">
        <v>250.41653464713801</v>
      </c>
      <c r="AE85" s="9">
        <v>2.6497352349960402E-4</v>
      </c>
      <c r="AF85" s="9">
        <v>8.2748228964868307E-5</v>
      </c>
      <c r="AG85" s="9">
        <v>-1.38382590803793E-5</v>
      </c>
      <c r="AZ85" s="9"/>
      <c r="BB85">
        <f t="shared" si="2"/>
        <v>0</v>
      </c>
      <c r="BC85">
        <f t="shared" si="3"/>
        <v>0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1.3387788399909003E-3</v>
      </c>
      <c r="BL85" s="9"/>
      <c r="BN85">
        <f t="shared" si="10"/>
        <v>0</v>
      </c>
      <c r="BO85">
        <f t="shared" si="11"/>
        <v>1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0</v>
      </c>
      <c r="BX85" s="12">
        <f t="shared" si="18"/>
        <v>0</v>
      </c>
      <c r="BY85" s="12">
        <f t="shared" si="19"/>
        <v>1.3387788399909003E-3</v>
      </c>
    </row>
    <row r="86" spans="1:77" x14ac:dyDescent="0.3">
      <c r="A86" s="1">
        <v>46147</v>
      </c>
      <c r="B86" s="8">
        <v>106.81</v>
      </c>
      <c r="C86" s="8">
        <v>254.87</v>
      </c>
      <c r="D86" s="9">
        <v>1.7567508834962001E-2</v>
      </c>
      <c r="E86" s="9">
        <v>1.7614103001853801E-2</v>
      </c>
      <c r="F86" s="8">
        <v>0</v>
      </c>
      <c r="G86" s="8">
        <v>9.2999999999999999E-2</v>
      </c>
      <c r="H86" s="8">
        <v>0</v>
      </c>
      <c r="I86" s="8">
        <v>0.221</v>
      </c>
      <c r="J86" s="8">
        <v>0</v>
      </c>
      <c r="K86" s="8">
        <v>0</v>
      </c>
      <c r="L86" s="8">
        <v>106.81</v>
      </c>
      <c r="M86" s="8">
        <v>254.87</v>
      </c>
      <c r="N86" s="10">
        <v>2.3861997940267701</v>
      </c>
      <c r="O86" s="10">
        <v>2.3867209477050602</v>
      </c>
      <c r="P86" s="10">
        <v>2.3863810782607402</v>
      </c>
      <c r="Q86" s="10">
        <v>2.3861037601345898</v>
      </c>
      <c r="R86" s="8">
        <v>254.925664424378</v>
      </c>
      <c r="S86" s="8">
        <v>254.88154907079101</v>
      </c>
      <c r="T86" s="8">
        <v>254.858209887306</v>
      </c>
      <c r="U86" s="9">
        <v>2.18379356607865E-4</v>
      </c>
      <c r="V86" s="9">
        <v>4.5312548102350699E-5</v>
      </c>
      <c r="W86" s="9">
        <v>-4.6260389231270303E-5</v>
      </c>
      <c r="X86" s="10">
        <v>2.3861997940267701</v>
      </c>
      <c r="Y86" s="10">
        <v>2.3867209477050602</v>
      </c>
      <c r="Z86" s="10">
        <v>2.3863810782607402</v>
      </c>
      <c r="AA86" s="10">
        <v>2.3861037601345898</v>
      </c>
      <c r="AB86" s="8">
        <v>254.925664424378</v>
      </c>
      <c r="AC86" s="8">
        <v>254.88154907079101</v>
      </c>
      <c r="AD86" s="8">
        <v>254.858209887306</v>
      </c>
      <c r="AE86" s="9">
        <v>2.18379356607865E-4</v>
      </c>
      <c r="AF86" s="9">
        <v>4.5312548102350699E-5</v>
      </c>
      <c r="AG86" s="9">
        <v>-4.6260389231270303E-5</v>
      </c>
      <c r="AZ86" s="9"/>
      <c r="BB86">
        <f t="shared" si="2"/>
        <v>0</v>
      </c>
      <c r="BC86">
        <f t="shared" si="3"/>
        <v>0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1.3387788399909003E-3</v>
      </c>
      <c r="BL86" s="9"/>
      <c r="BN86">
        <f t="shared" si="10"/>
        <v>0</v>
      </c>
      <c r="BO86">
        <f t="shared" si="11"/>
        <v>1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0</v>
      </c>
      <c r="BX86" s="12">
        <f t="shared" si="18"/>
        <v>0</v>
      </c>
      <c r="BY86" s="12">
        <f t="shared" si="19"/>
        <v>1.3387788399909003E-3</v>
      </c>
    </row>
    <row r="87" spans="1:77" x14ac:dyDescent="0.3">
      <c r="A87" s="1">
        <v>46148</v>
      </c>
      <c r="B87" s="8">
        <v>109.56</v>
      </c>
      <c r="C87" s="8">
        <v>261.5</v>
      </c>
      <c r="D87" s="9">
        <v>2.5420789293273301E-2</v>
      </c>
      <c r="E87" s="9">
        <v>2.5680672262321999E-2</v>
      </c>
      <c r="F87" s="8">
        <v>0</v>
      </c>
      <c r="G87" s="8">
        <v>9.2999999999999999E-2</v>
      </c>
      <c r="H87" s="8">
        <v>0</v>
      </c>
      <c r="I87" s="8">
        <v>0.221</v>
      </c>
      <c r="J87" s="8">
        <v>0</v>
      </c>
      <c r="K87" s="8">
        <v>0</v>
      </c>
      <c r="L87" s="8">
        <v>109.56</v>
      </c>
      <c r="M87" s="8">
        <v>261.5</v>
      </c>
      <c r="N87" s="10">
        <v>2.3868200073019299</v>
      </c>
      <c r="O87" s="10">
        <v>2.3867209477050602</v>
      </c>
      <c r="P87" s="10">
        <v>2.3864335536099701</v>
      </c>
      <c r="Q87" s="10">
        <v>2.3861537308690601</v>
      </c>
      <c r="R87" s="8">
        <v>261.48914703056602</v>
      </c>
      <c r="S87" s="8">
        <v>261.45191093424597</v>
      </c>
      <c r="T87" s="8">
        <v>261.421527960346</v>
      </c>
      <c r="U87" s="9">
        <v>-4.1503612441098302E-5</v>
      </c>
      <c r="V87" s="9">
        <v>-1.8391391209499801E-4</v>
      </c>
      <c r="W87" s="9">
        <v>-3.0012931595494997E-4</v>
      </c>
      <c r="X87" s="10">
        <v>2.3868200073019299</v>
      </c>
      <c r="Y87" s="10">
        <v>2.3867209477050602</v>
      </c>
      <c r="Z87" s="10">
        <v>2.3864335536099701</v>
      </c>
      <c r="AA87" s="10">
        <v>2.3861537308690601</v>
      </c>
      <c r="AB87" s="8">
        <v>261.48914703056602</v>
      </c>
      <c r="AC87" s="8">
        <v>261.45191093424597</v>
      </c>
      <c r="AD87" s="8">
        <v>261.421527960346</v>
      </c>
      <c r="AE87" s="9">
        <v>-4.1503612441098302E-5</v>
      </c>
      <c r="AF87" s="9">
        <v>-1.8391391209499801E-4</v>
      </c>
      <c r="AG87" s="9">
        <v>-3.0012931595494997E-4</v>
      </c>
      <c r="AZ87" s="9"/>
      <c r="BB87">
        <f t="shared" ref="BB87:BB150" si="22">IF($AG87&lt;BA$20,1,0)</f>
        <v>0</v>
      </c>
      <c r="BC87">
        <f t="shared" ref="BC87:BC150" si="23">IF($AG87&gt;BA$21,1,0)</f>
        <v>0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1.3387788399909003E-3</v>
      </c>
      <c r="BL87" s="9"/>
      <c r="BN87">
        <f t="shared" ref="BN87:BN150" si="30">IF($AG87&gt;BM$20,1,0)</f>
        <v>0</v>
      </c>
      <c r="BO87">
        <f t="shared" ref="BO87:BO150" si="31">IF($AG87&lt;BM$21,1,0)</f>
        <v>1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0</v>
      </c>
      <c r="BX87" s="12">
        <f t="shared" ref="BX87:BX150" si="38">BI87+BU87</f>
        <v>0</v>
      </c>
      <c r="BY87" s="12">
        <f t="shared" ref="BY87:BY150" si="39">BY86+BX87</f>
        <v>1.3387788399909003E-3</v>
      </c>
    </row>
    <row r="88" spans="1:77" x14ac:dyDescent="0.3">
      <c r="A88" s="1">
        <v>46149</v>
      </c>
      <c r="B88" s="8">
        <v>109.5</v>
      </c>
      <c r="C88" s="8">
        <v>261.33999999999997</v>
      </c>
      <c r="D88" s="9">
        <v>-5.4779513832191502E-4</v>
      </c>
      <c r="E88" s="9">
        <v>-6.1204194397762102E-4</v>
      </c>
      <c r="F88" s="8">
        <v>0</v>
      </c>
      <c r="G88" s="8">
        <v>9.2999999999999999E-2</v>
      </c>
      <c r="H88" s="8">
        <v>0</v>
      </c>
      <c r="I88" s="8">
        <v>0.221</v>
      </c>
      <c r="J88" s="8">
        <v>0</v>
      </c>
      <c r="K88" s="8">
        <v>0</v>
      </c>
      <c r="L88" s="8">
        <v>109.5</v>
      </c>
      <c r="M88" s="8">
        <v>261.33999999999997</v>
      </c>
      <c r="N88" s="10">
        <v>2.3866666666666601</v>
      </c>
      <c r="O88" s="10">
        <v>2.3867209477050602</v>
      </c>
      <c r="P88" s="10">
        <v>2.3864372292359799</v>
      </c>
      <c r="Q88" s="10">
        <v>2.3862248169618301</v>
      </c>
      <c r="R88" s="8">
        <v>261.34594377370399</v>
      </c>
      <c r="S88" s="8">
        <v>261.314474120292</v>
      </c>
      <c r="T88" s="8">
        <v>261.28383353016198</v>
      </c>
      <c r="U88" s="9">
        <v>2.27431932145642E-5</v>
      </c>
      <c r="V88" s="9">
        <v>-9.7677838769765998E-5</v>
      </c>
      <c r="W88" s="9">
        <v>-2.1494033165047301E-4</v>
      </c>
      <c r="X88" s="10">
        <v>2.3866666666666601</v>
      </c>
      <c r="Y88" s="10">
        <v>2.3867209477050602</v>
      </c>
      <c r="Z88" s="10">
        <v>2.3864372292359799</v>
      </c>
      <c r="AA88" s="10">
        <v>2.3862248169618301</v>
      </c>
      <c r="AB88" s="8">
        <v>261.34594377370399</v>
      </c>
      <c r="AC88" s="8">
        <v>261.314474120292</v>
      </c>
      <c r="AD88" s="8">
        <v>261.28383353016198</v>
      </c>
      <c r="AE88" s="9">
        <v>2.27431932145642E-5</v>
      </c>
      <c r="AF88" s="9">
        <v>-9.7677838769765998E-5</v>
      </c>
      <c r="AG88" s="9">
        <v>-2.1494033165047301E-4</v>
      </c>
      <c r="AZ88" s="9"/>
      <c r="BB88">
        <f t="shared" si="22"/>
        <v>0</v>
      </c>
      <c r="BC88">
        <f t="shared" si="23"/>
        <v>0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1.3387788399909003E-3</v>
      </c>
      <c r="BL88" s="9"/>
      <c r="BN88">
        <f t="shared" si="30"/>
        <v>0</v>
      </c>
      <c r="BO88">
        <f t="shared" si="31"/>
        <v>1</v>
      </c>
      <c r="BP88">
        <f t="shared" si="32"/>
        <v>0</v>
      </c>
      <c r="BQ88">
        <f t="shared" si="21"/>
        <v>1</v>
      </c>
      <c r="BR88">
        <f t="shared" si="33"/>
        <v>0</v>
      </c>
      <c r="BS88" s="9">
        <f t="shared" si="34"/>
        <v>0</v>
      </c>
      <c r="BT88" s="9">
        <f t="shared" si="35"/>
        <v>0</v>
      </c>
      <c r="BU88" s="9">
        <f t="shared" si="36"/>
        <v>0</v>
      </c>
      <c r="BV88" s="12">
        <f t="shared" si="37"/>
        <v>0</v>
      </c>
      <c r="BX88" s="12">
        <f t="shared" si="38"/>
        <v>0</v>
      </c>
      <c r="BY88" s="12">
        <f t="shared" si="39"/>
        <v>1.3387788399909003E-3</v>
      </c>
    </row>
    <row r="89" spans="1:77" x14ac:dyDescent="0.3">
      <c r="A89" s="1">
        <v>46150</v>
      </c>
      <c r="B89" s="8">
        <v>112.44</v>
      </c>
      <c r="C89" s="8">
        <v>268.37</v>
      </c>
      <c r="D89" s="9">
        <v>2.6495196781775601E-2</v>
      </c>
      <c r="E89" s="9">
        <v>2.65443838169774E-2</v>
      </c>
      <c r="F89" s="8">
        <v>0</v>
      </c>
      <c r="G89" s="8">
        <v>9.2999999999999999E-2</v>
      </c>
      <c r="H89" s="8">
        <v>0</v>
      </c>
      <c r="I89" s="8">
        <v>0.221</v>
      </c>
      <c r="J89" s="8">
        <v>0</v>
      </c>
      <c r="K89" s="8">
        <v>0</v>
      </c>
      <c r="L89" s="8">
        <v>112.44</v>
      </c>
      <c r="M89" s="8">
        <v>268.37</v>
      </c>
      <c r="N89" s="10">
        <v>2.38678406261117</v>
      </c>
      <c r="O89" s="10">
        <v>2.3867209477050602</v>
      </c>
      <c r="P89" s="10">
        <v>2.3864635617643799</v>
      </c>
      <c r="Q89" s="10">
        <v>2.3862711560303902</v>
      </c>
      <c r="R89" s="8">
        <v>268.36290335995699</v>
      </c>
      <c r="S89" s="8">
        <v>268.33100205529303</v>
      </c>
      <c r="T89" s="8">
        <v>268.30711841918799</v>
      </c>
      <c r="U89" s="9">
        <v>-2.6443841987342699E-5</v>
      </c>
      <c r="V89" s="9">
        <v>-1.4532465795826299E-4</v>
      </c>
      <c r="W89" s="9">
        <v>-2.3433673223887701E-4</v>
      </c>
      <c r="X89" s="10">
        <v>2.38678406261117</v>
      </c>
      <c r="Y89" s="10">
        <v>2.3867209477050602</v>
      </c>
      <c r="Z89" s="10">
        <v>2.3864635617643799</v>
      </c>
      <c r="AA89" s="10">
        <v>2.3862711560303902</v>
      </c>
      <c r="AB89" s="8">
        <v>268.36290335995699</v>
      </c>
      <c r="AC89" s="8">
        <v>268.33100205529303</v>
      </c>
      <c r="AD89" s="8">
        <v>268.30711841918799</v>
      </c>
      <c r="AE89" s="9">
        <v>-2.6443841987342699E-5</v>
      </c>
      <c r="AF89" s="9">
        <v>-1.4532465795826299E-4</v>
      </c>
      <c r="AG89" s="9">
        <v>-2.3433673223887701E-4</v>
      </c>
      <c r="AZ89" s="9"/>
      <c r="BB89">
        <f t="shared" si="22"/>
        <v>0</v>
      </c>
      <c r="BC89">
        <f t="shared" si="23"/>
        <v>0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1.3387788399909003E-3</v>
      </c>
      <c r="BL89" s="9"/>
      <c r="BN89">
        <f t="shared" si="30"/>
        <v>0</v>
      </c>
      <c r="BO89">
        <f t="shared" si="31"/>
        <v>1</v>
      </c>
      <c r="BP89">
        <f t="shared" si="32"/>
        <v>0</v>
      </c>
      <c r="BQ89">
        <f t="shared" si="21"/>
        <v>1</v>
      </c>
      <c r="BR89">
        <f t="shared" si="33"/>
        <v>0</v>
      </c>
      <c r="BS89" s="9">
        <f t="shared" si="34"/>
        <v>0</v>
      </c>
      <c r="BT89" s="9">
        <f t="shared" si="35"/>
        <v>0</v>
      </c>
      <c r="BU89" s="9">
        <f t="shared" si="36"/>
        <v>0</v>
      </c>
      <c r="BV89" s="12">
        <f t="shared" si="37"/>
        <v>0</v>
      </c>
      <c r="BX89" s="12">
        <f t="shared" si="38"/>
        <v>0</v>
      </c>
      <c r="BY89" s="12">
        <f t="shared" si="39"/>
        <v>1.3387788399909003E-3</v>
      </c>
    </row>
    <row r="90" spans="1:77" x14ac:dyDescent="0.3">
      <c r="A90" s="1">
        <v>46153</v>
      </c>
      <c r="B90" s="8">
        <v>113.72</v>
      </c>
      <c r="C90" s="8">
        <v>271.45999999999998</v>
      </c>
      <c r="D90" s="9">
        <v>1.13195407444679E-2</v>
      </c>
      <c r="E90" s="9">
        <v>1.1448173491841501E-2</v>
      </c>
      <c r="F90" s="8">
        <v>0</v>
      </c>
      <c r="G90" s="8">
        <v>9.2999999999999999E-2</v>
      </c>
      <c r="H90" s="8">
        <v>0</v>
      </c>
      <c r="I90" s="8">
        <v>0.221</v>
      </c>
      <c r="J90" s="8">
        <v>0</v>
      </c>
      <c r="K90" s="8">
        <v>0</v>
      </c>
      <c r="L90" s="8">
        <v>113.72</v>
      </c>
      <c r="M90" s="8">
        <v>271.45999999999998</v>
      </c>
      <c r="N90" s="10">
        <v>2.3870911009497</v>
      </c>
      <c r="O90" s="10">
        <v>2.3867209477050602</v>
      </c>
      <c r="P90" s="10">
        <v>2.3866278098961602</v>
      </c>
      <c r="Q90" s="10">
        <v>2.38629461092754</v>
      </c>
      <c r="R90" s="8">
        <v>271.41790617302001</v>
      </c>
      <c r="S90" s="8">
        <v>271.38863624384499</v>
      </c>
      <c r="T90" s="8">
        <v>271.36675586377697</v>
      </c>
      <c r="U90" s="9">
        <v>-1.5507658936084E-4</v>
      </c>
      <c r="V90" s="9">
        <v>-2.6292322316398401E-4</v>
      </c>
      <c r="W90" s="9">
        <v>-3.4355026215200602E-4</v>
      </c>
      <c r="X90" s="10">
        <v>2.3870911009497</v>
      </c>
      <c r="Y90" s="10">
        <v>2.3867209477050602</v>
      </c>
      <c r="Z90" s="10">
        <v>2.3866278098961602</v>
      </c>
      <c r="AA90" s="10">
        <v>2.38629461092754</v>
      </c>
      <c r="AB90" s="8">
        <v>271.41790617302001</v>
      </c>
      <c r="AC90" s="8">
        <v>271.38863624384499</v>
      </c>
      <c r="AD90" s="8">
        <v>271.36675586377697</v>
      </c>
      <c r="AE90" s="9">
        <v>-1.5507658936084E-4</v>
      </c>
      <c r="AF90" s="9">
        <v>-2.6292322316398401E-4</v>
      </c>
      <c r="AG90" s="9">
        <v>-3.4355026215200602E-4</v>
      </c>
      <c r="AZ90" s="9"/>
      <c r="BB90">
        <f t="shared" si="22"/>
        <v>0</v>
      </c>
      <c r="BC90">
        <f t="shared" si="23"/>
        <v>0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1.3387788399909003E-3</v>
      </c>
      <c r="BL90" s="9"/>
      <c r="BN90">
        <f t="shared" si="30"/>
        <v>0</v>
      </c>
      <c r="BO90">
        <f t="shared" si="31"/>
        <v>1</v>
      </c>
      <c r="BP90">
        <f t="shared" si="32"/>
        <v>0</v>
      </c>
      <c r="BQ90">
        <f t="shared" si="21"/>
        <v>1</v>
      </c>
      <c r="BR90">
        <f t="shared" si="33"/>
        <v>0</v>
      </c>
      <c r="BS90" s="9">
        <f t="shared" si="34"/>
        <v>0</v>
      </c>
      <c r="BT90" s="9">
        <f t="shared" si="35"/>
        <v>0</v>
      </c>
      <c r="BU90" s="9">
        <f t="shared" si="36"/>
        <v>0</v>
      </c>
      <c r="BV90" s="12">
        <f t="shared" si="37"/>
        <v>0</v>
      </c>
      <c r="BX90" s="12">
        <f t="shared" si="38"/>
        <v>0</v>
      </c>
      <c r="BY90" s="12">
        <f t="shared" si="39"/>
        <v>1.3387788399909003E-3</v>
      </c>
    </row>
    <row r="91" spans="1:77" x14ac:dyDescent="0.3">
      <c r="A91" s="1">
        <v>46154</v>
      </c>
      <c r="B91" s="8">
        <v>112.3</v>
      </c>
      <c r="C91" s="8">
        <v>267.95</v>
      </c>
      <c r="D91" s="9">
        <v>-1.2565425038401599E-2</v>
      </c>
      <c r="E91" s="9">
        <v>-1.3014402928959799E-2</v>
      </c>
      <c r="F91" s="8">
        <v>0</v>
      </c>
      <c r="G91" s="8">
        <v>9.2999999999999999E-2</v>
      </c>
      <c r="H91" s="8">
        <v>0</v>
      </c>
      <c r="I91" s="8">
        <v>0.221</v>
      </c>
      <c r="J91" s="8">
        <v>0</v>
      </c>
      <c r="K91" s="8">
        <v>0</v>
      </c>
      <c r="L91" s="8">
        <v>112.3</v>
      </c>
      <c r="M91" s="8">
        <v>267.95</v>
      </c>
      <c r="N91" s="10">
        <v>2.3860195903829</v>
      </c>
      <c r="O91" s="10">
        <v>2.3867209477050602</v>
      </c>
      <c r="P91" s="10">
        <v>2.38664985269796</v>
      </c>
      <c r="Q91" s="10">
        <v>2.38632905883793</v>
      </c>
      <c r="R91" s="8">
        <v>268.02876242727802</v>
      </c>
      <c r="S91" s="8">
        <v>268.01830305133802</v>
      </c>
      <c r="T91" s="8">
        <v>267.980884807162</v>
      </c>
      <c r="U91" s="9">
        <v>2.9390130119749799E-4</v>
      </c>
      <c r="V91" s="9">
        <v>2.5487720568441203E-4</v>
      </c>
      <c r="W91" s="9">
        <v>1.15256679816329E-4</v>
      </c>
      <c r="X91" s="10">
        <v>2.3860195903829</v>
      </c>
      <c r="Y91" s="10">
        <v>2.3867209477050602</v>
      </c>
      <c r="Z91" s="10">
        <v>2.38664985269796</v>
      </c>
      <c r="AA91" s="10">
        <v>2.38632905883793</v>
      </c>
      <c r="AB91" s="8">
        <v>268.02876242727802</v>
      </c>
      <c r="AC91" s="8">
        <v>268.01830305133802</v>
      </c>
      <c r="AD91" s="8">
        <v>267.980884807162</v>
      </c>
      <c r="AE91" s="9">
        <v>2.9390130119749799E-4</v>
      </c>
      <c r="AF91" s="9">
        <v>2.5487720568441203E-4</v>
      </c>
      <c r="AG91" s="9">
        <v>1.15256679816329E-4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1.3387788399909003E-3</v>
      </c>
      <c r="BL91" s="9"/>
      <c r="BN91">
        <f t="shared" si="30"/>
        <v>0</v>
      </c>
      <c r="BO91">
        <f t="shared" si="31"/>
        <v>0</v>
      </c>
      <c r="BP91">
        <f t="shared" si="32"/>
        <v>0</v>
      </c>
      <c r="BQ91">
        <f t="shared" si="21"/>
        <v>1</v>
      </c>
      <c r="BR91">
        <f t="shared" si="33"/>
        <v>0</v>
      </c>
      <c r="BS91" s="9">
        <f t="shared" si="34"/>
        <v>0</v>
      </c>
      <c r="BT91" s="9">
        <f t="shared" si="35"/>
        <v>0</v>
      </c>
      <c r="BU91" s="9">
        <f t="shared" si="36"/>
        <v>0</v>
      </c>
      <c r="BV91" s="12">
        <f t="shared" si="37"/>
        <v>0</v>
      </c>
      <c r="BX91" s="12">
        <f t="shared" si="38"/>
        <v>0</v>
      </c>
      <c r="BY91" s="12">
        <f t="shared" si="39"/>
        <v>1.3387788399909003E-3</v>
      </c>
    </row>
    <row r="92" spans="1:77" x14ac:dyDescent="0.3">
      <c r="A92" s="1">
        <v>46155</v>
      </c>
      <c r="B92" s="8">
        <v>113.45</v>
      </c>
      <c r="C92" s="8">
        <v>270.74</v>
      </c>
      <c r="D92" s="9">
        <v>1.01883494814533E-2</v>
      </c>
      <c r="E92" s="9">
        <v>1.0358554816780901E-2</v>
      </c>
      <c r="F92" s="8">
        <v>0</v>
      </c>
      <c r="G92" s="8">
        <v>9.2999999999999999E-2</v>
      </c>
      <c r="H92" s="8">
        <v>0</v>
      </c>
      <c r="I92" s="8">
        <v>0.221</v>
      </c>
      <c r="J92" s="8">
        <v>0</v>
      </c>
      <c r="K92" s="8">
        <v>0</v>
      </c>
      <c r="L92" s="8">
        <v>113.45</v>
      </c>
      <c r="M92" s="8">
        <v>270.74</v>
      </c>
      <c r="N92" s="10">
        <v>2.3864257382106602</v>
      </c>
      <c r="O92" s="10">
        <v>2.3867209477050602</v>
      </c>
      <c r="P92" s="10">
        <v>2.3865549107622099</v>
      </c>
      <c r="Q92" s="10">
        <v>2.3863625724773798</v>
      </c>
      <c r="R92" s="8">
        <v>270.77349151713901</v>
      </c>
      <c r="S92" s="8">
        <v>270.76542578858403</v>
      </c>
      <c r="T92" s="8">
        <v>270.72903172516402</v>
      </c>
      <c r="U92" s="9">
        <v>1.23695965869699E-4</v>
      </c>
      <c r="V92" s="9">
        <v>9.3907788886090303E-5</v>
      </c>
      <c r="W92" s="9">
        <v>-4.0513027319387499E-5</v>
      </c>
      <c r="X92" s="10">
        <v>2.3864257382106602</v>
      </c>
      <c r="Y92" s="10">
        <v>2.3867209477050602</v>
      </c>
      <c r="Z92" s="10">
        <v>2.3865549107622099</v>
      </c>
      <c r="AA92" s="10">
        <v>2.3863625724773798</v>
      </c>
      <c r="AB92" s="8">
        <v>270.77349151713901</v>
      </c>
      <c r="AC92" s="8">
        <v>270.76542578858403</v>
      </c>
      <c r="AD92" s="8">
        <v>270.72903172516402</v>
      </c>
      <c r="AE92" s="9">
        <v>1.23695965869699E-4</v>
      </c>
      <c r="AF92" s="9">
        <v>9.3907788886090303E-5</v>
      </c>
      <c r="AG92" s="9">
        <v>-4.0513027319387499E-5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1.3387788399909003E-3</v>
      </c>
      <c r="BL92" s="9"/>
      <c r="BN92">
        <f t="shared" si="30"/>
        <v>0</v>
      </c>
      <c r="BO92">
        <f t="shared" si="31"/>
        <v>1</v>
      </c>
      <c r="BP92">
        <f t="shared" si="32"/>
        <v>0</v>
      </c>
      <c r="BQ92">
        <f t="shared" si="21"/>
        <v>1</v>
      </c>
      <c r="BR92">
        <f t="shared" si="33"/>
        <v>0</v>
      </c>
      <c r="BS92" s="9">
        <f t="shared" si="34"/>
        <v>0</v>
      </c>
      <c r="BT92" s="9">
        <f t="shared" si="35"/>
        <v>0</v>
      </c>
      <c r="BU92" s="9">
        <f t="shared" si="36"/>
        <v>0</v>
      </c>
      <c r="BV92" s="12">
        <f t="shared" si="37"/>
        <v>0</v>
      </c>
      <c r="BX92" s="12">
        <f t="shared" si="38"/>
        <v>0</v>
      </c>
      <c r="BY92" s="12">
        <f t="shared" si="39"/>
        <v>1.3387788399909003E-3</v>
      </c>
    </row>
    <row r="93" spans="1:77" x14ac:dyDescent="0.3">
      <c r="A93" s="1">
        <v>46156</v>
      </c>
      <c r="B93" s="8">
        <v>115.19</v>
      </c>
      <c r="C93" s="8">
        <v>274.95</v>
      </c>
      <c r="D93" s="9">
        <v>1.52207277125641E-2</v>
      </c>
      <c r="E93" s="9">
        <v>1.54303121961835E-2</v>
      </c>
      <c r="F93" s="8">
        <v>0</v>
      </c>
      <c r="G93" s="8">
        <v>9.2999999999999999E-2</v>
      </c>
      <c r="H93" s="8">
        <v>0</v>
      </c>
      <c r="I93" s="8">
        <v>0.221</v>
      </c>
      <c r="J93" s="8">
        <v>0</v>
      </c>
      <c r="K93" s="8">
        <v>0</v>
      </c>
      <c r="L93" s="8">
        <v>115.19</v>
      </c>
      <c r="M93" s="8">
        <v>274.95</v>
      </c>
      <c r="N93" s="10">
        <v>2.3869259484330199</v>
      </c>
      <c r="O93" s="10">
        <v>2.3867209477050602</v>
      </c>
      <c r="P93" s="10">
        <v>2.3865287616628899</v>
      </c>
      <c r="Q93" s="10">
        <v>2.3864069025782699</v>
      </c>
      <c r="R93" s="8">
        <v>274.92638596614597</v>
      </c>
      <c r="S93" s="8">
        <v>274.9072601707</v>
      </c>
      <c r="T93" s="8">
        <v>274.88510472366897</v>
      </c>
      <c r="U93" s="9">
        <v>-8.5888517749645201E-5</v>
      </c>
      <c r="V93" s="9">
        <v>-1.5545790692203301E-4</v>
      </c>
      <c r="W93" s="9">
        <v>-2.3605359524799899E-4</v>
      </c>
      <c r="X93" s="10">
        <v>2.3869259484330199</v>
      </c>
      <c r="Y93" s="10">
        <v>2.3867209477050602</v>
      </c>
      <c r="Z93" s="10">
        <v>2.3865287616628899</v>
      </c>
      <c r="AA93" s="10">
        <v>2.3864069025782699</v>
      </c>
      <c r="AB93" s="8">
        <v>274.92638596614597</v>
      </c>
      <c r="AC93" s="8">
        <v>274.9072601707</v>
      </c>
      <c r="AD93" s="8">
        <v>274.88510472366897</v>
      </c>
      <c r="AE93" s="9">
        <v>-8.5888517749645201E-5</v>
      </c>
      <c r="AF93" s="9">
        <v>-1.5545790692203301E-4</v>
      </c>
      <c r="AG93" s="9">
        <v>-2.3605359524799899E-4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1.3387788399909003E-3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0</v>
      </c>
      <c r="BX93" s="12">
        <f t="shared" si="38"/>
        <v>0</v>
      </c>
      <c r="BY93" s="12">
        <f t="shared" si="39"/>
        <v>1.3387788399909003E-3</v>
      </c>
    </row>
    <row r="94" spans="1:77" x14ac:dyDescent="0.3">
      <c r="A94" s="1">
        <v>46157</v>
      </c>
      <c r="B94" s="8">
        <v>113.31</v>
      </c>
      <c r="C94" s="8">
        <v>270.56</v>
      </c>
      <c r="D94" s="9">
        <v>-1.6455513545939798E-2</v>
      </c>
      <c r="E94" s="9">
        <v>-1.6095377803553398E-2</v>
      </c>
      <c r="F94" s="8">
        <v>0</v>
      </c>
      <c r="G94" s="8">
        <v>9.2999999999999999E-2</v>
      </c>
      <c r="H94" s="8">
        <v>0</v>
      </c>
      <c r="I94" s="8">
        <v>0.221</v>
      </c>
      <c r="J94" s="8">
        <v>0</v>
      </c>
      <c r="K94" s="8">
        <v>0</v>
      </c>
      <c r="L94" s="8">
        <v>113.31</v>
      </c>
      <c r="M94" s="8">
        <v>270.56</v>
      </c>
      <c r="N94" s="10">
        <v>2.3877857205895299</v>
      </c>
      <c r="O94" s="10">
        <v>2.3867209477050602</v>
      </c>
      <c r="P94" s="10">
        <v>2.3866807242797901</v>
      </c>
      <c r="Q94" s="10">
        <v>2.3864833953407798</v>
      </c>
      <c r="R94" s="8">
        <v>270.43935058445999</v>
      </c>
      <c r="S94" s="8">
        <v>270.417573984022</v>
      </c>
      <c r="T94" s="8">
        <v>270.40376613114398</v>
      </c>
      <c r="U94" s="9">
        <v>-4.4602426013585399E-4</v>
      </c>
      <c r="V94" s="9">
        <v>-5.2655054892160205E-4</v>
      </c>
      <c r="W94" s="9">
        <v>-5.7761307866058698E-4</v>
      </c>
      <c r="X94" s="10">
        <v>2.3877857205895299</v>
      </c>
      <c r="Y94" s="10">
        <v>2.3867209477050602</v>
      </c>
      <c r="Z94" s="10">
        <v>2.3866807242797901</v>
      </c>
      <c r="AA94" s="10">
        <v>2.3864833953407798</v>
      </c>
      <c r="AB94" s="8">
        <v>270.43935058445999</v>
      </c>
      <c r="AC94" s="8">
        <v>270.417573984022</v>
      </c>
      <c r="AD94" s="8">
        <v>270.40376613114398</v>
      </c>
      <c r="AE94" s="9">
        <v>-4.4602426013585399E-4</v>
      </c>
      <c r="AF94" s="9">
        <v>-5.2655054892160205E-4</v>
      </c>
      <c r="AG94" s="9">
        <v>-5.7761307866058698E-4</v>
      </c>
      <c r="AZ94" s="9"/>
      <c r="BB94">
        <f t="shared" si="22"/>
        <v>0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1.3387788399909003E-3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0</v>
      </c>
      <c r="BX94" s="12">
        <f t="shared" si="38"/>
        <v>0</v>
      </c>
      <c r="BY94" s="12">
        <f t="shared" si="39"/>
        <v>1.3387788399909003E-3</v>
      </c>
    </row>
    <row r="95" spans="1:77" x14ac:dyDescent="0.3">
      <c r="A95" s="1">
        <v>46160</v>
      </c>
      <c r="B95" s="8">
        <v>112.13</v>
      </c>
      <c r="C95" s="8">
        <v>267.64999999999998</v>
      </c>
      <c r="D95" s="9">
        <v>-1.0468512919685801E-2</v>
      </c>
      <c r="E95" s="9">
        <v>-1.08137283108799E-2</v>
      </c>
      <c r="F95" s="8">
        <v>0</v>
      </c>
      <c r="G95" s="8">
        <v>9.2999999999999999E-2</v>
      </c>
      <c r="H95" s="8">
        <v>0</v>
      </c>
      <c r="I95" s="8">
        <v>0.221</v>
      </c>
      <c r="J95" s="8">
        <v>0</v>
      </c>
      <c r="K95" s="8">
        <v>0</v>
      </c>
      <c r="L95" s="8">
        <v>112.13</v>
      </c>
      <c r="M95" s="8">
        <v>267.64999999999998</v>
      </c>
      <c r="N95" s="10">
        <v>2.3869615624721301</v>
      </c>
      <c r="O95" s="10">
        <v>2.3867209477050602</v>
      </c>
      <c r="P95" s="10">
        <v>2.38676801916445</v>
      </c>
      <c r="Q95" s="10">
        <v>2.38653797021695</v>
      </c>
      <c r="R95" s="8">
        <v>267.62301986616802</v>
      </c>
      <c r="S95" s="8">
        <v>267.61850961349199</v>
      </c>
      <c r="T95" s="8">
        <v>267.59638311956201</v>
      </c>
      <c r="U95" s="9">
        <v>-1.00808868941851E-4</v>
      </c>
      <c r="V95" s="9">
        <v>-1.1766201813773099E-4</v>
      </c>
      <c r="W95" s="9">
        <v>-2.0034467231381899E-4</v>
      </c>
      <c r="X95" s="10">
        <v>2.3869615624721301</v>
      </c>
      <c r="Y95" s="10">
        <v>2.3867209477050602</v>
      </c>
      <c r="Z95" s="10">
        <v>2.38676801916445</v>
      </c>
      <c r="AA95" s="10">
        <v>2.38653797021695</v>
      </c>
      <c r="AB95" s="8">
        <v>267.62301986616802</v>
      </c>
      <c r="AC95" s="8">
        <v>267.61850961349199</v>
      </c>
      <c r="AD95" s="8">
        <v>267.59638311956201</v>
      </c>
      <c r="AE95" s="9">
        <v>-1.00808868941851E-4</v>
      </c>
      <c r="AF95" s="9">
        <v>-1.1766201813773099E-4</v>
      </c>
      <c r="AG95" s="9">
        <v>-2.0034467231381899E-4</v>
      </c>
      <c r="AZ95" s="9"/>
      <c r="BB95">
        <f t="shared" si="22"/>
        <v>0</v>
      </c>
      <c r="BC95">
        <f t="shared" si="23"/>
        <v>0</v>
      </c>
      <c r="BD95">
        <f t="shared" si="24"/>
        <v>0</v>
      </c>
      <c r="BE95">
        <f t="shared" si="20"/>
        <v>1</v>
      </c>
      <c r="BF95">
        <f t="shared" si="25"/>
        <v>0</v>
      </c>
      <c r="BG95" s="9">
        <f t="shared" si="26"/>
        <v>0</v>
      </c>
      <c r="BH95" s="9">
        <f t="shared" si="27"/>
        <v>0</v>
      </c>
      <c r="BI95" s="9">
        <f t="shared" si="28"/>
        <v>0</v>
      </c>
      <c r="BJ95" s="12">
        <f t="shared" si="29"/>
        <v>1.3387788399909003E-3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0</v>
      </c>
      <c r="BX95" s="12">
        <f t="shared" si="38"/>
        <v>0</v>
      </c>
      <c r="BY95" s="12">
        <f t="shared" si="39"/>
        <v>1.3387788399909003E-3</v>
      </c>
    </row>
    <row r="96" spans="1:77" x14ac:dyDescent="0.3">
      <c r="A96" s="1">
        <v>46161</v>
      </c>
      <c r="B96" s="8">
        <v>111.52</v>
      </c>
      <c r="C96" s="8">
        <v>266.18</v>
      </c>
      <c r="D96" s="9">
        <v>-5.4549654605755603E-3</v>
      </c>
      <c r="E96" s="9">
        <v>-5.5073851809800496E-3</v>
      </c>
      <c r="F96" s="8">
        <v>0</v>
      </c>
      <c r="G96" s="8">
        <v>9.2999999999999999E-2</v>
      </c>
      <c r="H96" s="8">
        <v>0</v>
      </c>
      <c r="I96" s="8">
        <v>0.221</v>
      </c>
      <c r="J96" s="8">
        <v>0</v>
      </c>
      <c r="K96" s="8">
        <v>0</v>
      </c>
      <c r="L96" s="8">
        <v>111.52</v>
      </c>
      <c r="M96" s="8">
        <v>266.18</v>
      </c>
      <c r="N96" s="10">
        <v>2.3868364418938302</v>
      </c>
      <c r="O96" s="10">
        <v>2.3867209477050602</v>
      </c>
      <c r="P96" s="10">
        <v>2.3868316839511499</v>
      </c>
      <c r="Q96" s="10">
        <v>2.3866063811059401</v>
      </c>
      <c r="R96" s="8">
        <v>266.16712008806797</v>
      </c>
      <c r="S96" s="8">
        <v>266.17236949721899</v>
      </c>
      <c r="T96" s="8">
        <v>266.14671443859498</v>
      </c>
      <c r="U96" s="9">
        <v>-4.8389148537342799E-5</v>
      </c>
      <c r="V96" s="9">
        <v>-2.8667113056045501E-5</v>
      </c>
      <c r="W96" s="9">
        <v>-1.25056889106939E-4</v>
      </c>
      <c r="X96" s="10">
        <v>2.3868364418938302</v>
      </c>
      <c r="Y96" s="10">
        <v>2.3867209477050602</v>
      </c>
      <c r="Z96" s="10">
        <v>2.3868316839511499</v>
      </c>
      <c r="AA96" s="10">
        <v>2.3866063811059401</v>
      </c>
      <c r="AB96" s="8">
        <v>266.16712008806797</v>
      </c>
      <c r="AC96" s="8">
        <v>266.17236949721899</v>
      </c>
      <c r="AD96" s="8">
        <v>266.14671443859498</v>
      </c>
      <c r="AE96" s="9">
        <v>-4.8389148537342799E-5</v>
      </c>
      <c r="AF96" s="9">
        <v>-2.8667113056045501E-5</v>
      </c>
      <c r="AG96" s="9">
        <v>-1.25056889106939E-4</v>
      </c>
      <c r="AZ96" s="9"/>
      <c r="BB96">
        <f t="shared" si="22"/>
        <v>0</v>
      </c>
      <c r="BC96">
        <f t="shared" si="23"/>
        <v>0</v>
      </c>
      <c r="BD96">
        <f t="shared" si="24"/>
        <v>0</v>
      </c>
      <c r="BE96">
        <f t="shared" si="20"/>
        <v>1</v>
      </c>
      <c r="BF96">
        <f t="shared" si="25"/>
        <v>0</v>
      </c>
      <c r="BG96" s="9">
        <f t="shared" si="26"/>
        <v>0</v>
      </c>
      <c r="BH96" s="9">
        <f t="shared" si="27"/>
        <v>0</v>
      </c>
      <c r="BI96" s="9">
        <f t="shared" si="28"/>
        <v>0</v>
      </c>
      <c r="BJ96" s="12">
        <f t="shared" si="29"/>
        <v>1.3387788399909003E-3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0</v>
      </c>
      <c r="BX96" s="12">
        <f t="shared" si="38"/>
        <v>0</v>
      </c>
      <c r="BY96" s="12">
        <f t="shared" si="39"/>
        <v>1.3387788399909003E-3</v>
      </c>
    </row>
    <row r="97" spans="1:77" x14ac:dyDescent="0.3">
      <c r="A97" s="1">
        <v>46162</v>
      </c>
      <c r="B97" s="8">
        <v>113.83</v>
      </c>
      <c r="C97" s="8">
        <v>271.76</v>
      </c>
      <c r="D97" s="9">
        <v>2.0502160324911499E-2</v>
      </c>
      <c r="E97" s="9">
        <v>2.07465521939184E-2</v>
      </c>
      <c r="F97" s="8">
        <v>0</v>
      </c>
      <c r="G97" s="8">
        <v>9.2999999999999999E-2</v>
      </c>
      <c r="H97" s="8">
        <v>0</v>
      </c>
      <c r="I97" s="8">
        <v>0.221</v>
      </c>
      <c r="J97" s="8">
        <v>0</v>
      </c>
      <c r="K97" s="8">
        <v>0</v>
      </c>
      <c r="L97" s="8">
        <v>113.83</v>
      </c>
      <c r="M97" s="8">
        <v>271.76</v>
      </c>
      <c r="N97" s="10">
        <v>2.38741983659843</v>
      </c>
      <c r="O97" s="10">
        <v>2.3867209477050602</v>
      </c>
      <c r="P97" s="10">
        <v>2.3868916668807998</v>
      </c>
      <c r="Q97" s="10">
        <v>2.3866626102453901</v>
      </c>
      <c r="R97" s="8">
        <v>271.68044547726703</v>
      </c>
      <c r="S97" s="8">
        <v>271.69305058416001</v>
      </c>
      <c r="T97" s="8">
        <v>271.66740436128998</v>
      </c>
      <c r="U97" s="9">
        <v>-2.9278101754418099E-4</v>
      </c>
      <c r="V97" s="9">
        <v>-2.4638528059262998E-4</v>
      </c>
      <c r="W97" s="9">
        <v>-3.4078384293055499E-4</v>
      </c>
      <c r="X97" s="10">
        <v>2.38741983659843</v>
      </c>
      <c r="Y97" s="10">
        <v>2.3867209477050602</v>
      </c>
      <c r="Z97" s="10">
        <v>2.3868916668807998</v>
      </c>
      <c r="AA97" s="10">
        <v>2.3866626102453901</v>
      </c>
      <c r="AB97" s="8">
        <v>271.68044547726703</v>
      </c>
      <c r="AC97" s="8">
        <v>271.69305058416001</v>
      </c>
      <c r="AD97" s="8">
        <v>271.66740436128998</v>
      </c>
      <c r="AE97" s="9">
        <v>-2.9278101754418099E-4</v>
      </c>
      <c r="AF97" s="9">
        <v>-2.4638528059262998E-4</v>
      </c>
      <c r="AG97" s="9">
        <v>-3.4078384293055499E-4</v>
      </c>
      <c r="AZ97" s="9"/>
      <c r="BB97">
        <f t="shared" si="22"/>
        <v>0</v>
      </c>
      <c r="BC97">
        <f t="shared" si="23"/>
        <v>0</v>
      </c>
      <c r="BD97">
        <f t="shared" si="24"/>
        <v>0</v>
      </c>
      <c r="BE97">
        <f t="shared" si="20"/>
        <v>1</v>
      </c>
      <c r="BF97">
        <f t="shared" si="25"/>
        <v>0</v>
      </c>
      <c r="BG97" s="9">
        <f t="shared" si="26"/>
        <v>0</v>
      </c>
      <c r="BH97" s="9">
        <f t="shared" si="27"/>
        <v>0</v>
      </c>
      <c r="BI97" s="9">
        <f t="shared" si="28"/>
        <v>0</v>
      </c>
      <c r="BJ97" s="12">
        <f t="shared" si="29"/>
        <v>1.3387788399909003E-3</v>
      </c>
      <c r="BL97" s="9"/>
      <c r="BN97">
        <f t="shared" si="30"/>
        <v>0</v>
      </c>
      <c r="BO97">
        <f t="shared" si="31"/>
        <v>1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0</v>
      </c>
      <c r="BX97" s="12">
        <f t="shared" si="38"/>
        <v>0</v>
      </c>
      <c r="BY97" s="12">
        <f t="shared" si="39"/>
        <v>1.3387788399909003E-3</v>
      </c>
    </row>
    <row r="98" spans="1:77" x14ac:dyDescent="0.3">
      <c r="A98" s="1">
        <v>46163</v>
      </c>
      <c r="B98" s="8">
        <v>114.49</v>
      </c>
      <c r="C98" s="8">
        <v>273.47000000000003</v>
      </c>
      <c r="D98" s="9">
        <v>5.7813755985956696E-3</v>
      </c>
      <c r="E98" s="9">
        <v>6.2726027795117698E-3</v>
      </c>
      <c r="F98" s="8">
        <v>0</v>
      </c>
      <c r="G98" s="8">
        <v>9.2999999999999999E-2</v>
      </c>
      <c r="H98" s="8">
        <v>0</v>
      </c>
      <c r="I98" s="8">
        <v>0.221</v>
      </c>
      <c r="J98" s="8">
        <v>0</v>
      </c>
      <c r="K98" s="8">
        <v>0</v>
      </c>
      <c r="L98" s="8">
        <v>114.49</v>
      </c>
      <c r="M98" s="8">
        <v>273.47000000000003</v>
      </c>
      <c r="N98" s="10">
        <v>2.3885928902087499</v>
      </c>
      <c r="O98" s="10">
        <v>2.3867209477050602</v>
      </c>
      <c r="P98" s="10">
        <v>2.3870842892350099</v>
      </c>
      <c r="Q98" s="10">
        <v>2.3867607592354898</v>
      </c>
      <c r="R98" s="8">
        <v>273.25568130275201</v>
      </c>
      <c r="S98" s="8">
        <v>273.27522694118301</v>
      </c>
      <c r="T98" s="8">
        <v>273.249002246994</v>
      </c>
      <c r="U98" s="9">
        <v>-7.8400819846034895E-4</v>
      </c>
      <c r="V98" s="9">
        <v>-7.1248200243337898E-4</v>
      </c>
      <c r="W98" s="9">
        <v>-8.0845101097169704E-4</v>
      </c>
      <c r="X98" s="10">
        <v>2.3885928902087499</v>
      </c>
      <c r="Y98" s="10">
        <v>2.3867209477050602</v>
      </c>
      <c r="Z98" s="10">
        <v>2.3870842892350099</v>
      </c>
      <c r="AA98" s="10">
        <v>2.3867607592354898</v>
      </c>
      <c r="AB98" s="8">
        <v>273.25568130275201</v>
      </c>
      <c r="AC98" s="8">
        <v>273.27522694118301</v>
      </c>
      <c r="AD98" s="8">
        <v>273.249002246994</v>
      </c>
      <c r="AE98" s="9">
        <v>-7.8400819846034895E-4</v>
      </c>
      <c r="AF98" s="9">
        <v>-7.1248200243337898E-4</v>
      </c>
      <c r="AG98" s="9">
        <v>-8.0845101097169704E-4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1.3387788399909003E-3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0</v>
      </c>
      <c r="BX98" s="12">
        <f t="shared" si="38"/>
        <v>0</v>
      </c>
      <c r="BY98" s="12">
        <f t="shared" si="39"/>
        <v>1.3387788399909003E-3</v>
      </c>
    </row>
    <row r="99" spans="1:77" x14ac:dyDescent="0.3">
      <c r="A99" s="1">
        <v>46164</v>
      </c>
      <c r="B99" s="8">
        <v>115.75</v>
      </c>
      <c r="C99" s="8">
        <v>276.35000000000002</v>
      </c>
      <c r="D99" s="9">
        <v>1.09452100306225E-2</v>
      </c>
      <c r="E99" s="9">
        <v>1.0476251647431699E-2</v>
      </c>
      <c r="F99" s="8">
        <v>0</v>
      </c>
      <c r="G99" s="8">
        <v>9.2999999999999999E-2</v>
      </c>
      <c r="H99" s="8">
        <v>0</v>
      </c>
      <c r="I99" s="8">
        <v>0.221</v>
      </c>
      <c r="J99" s="8">
        <v>0</v>
      </c>
      <c r="K99" s="8">
        <v>0</v>
      </c>
      <c r="L99" s="8">
        <v>115.75</v>
      </c>
      <c r="M99" s="8">
        <v>276.35000000000002</v>
      </c>
      <c r="N99" s="10">
        <v>2.3874730021598198</v>
      </c>
      <c r="O99" s="10">
        <v>2.3867209477050602</v>
      </c>
      <c r="P99" s="10">
        <v>2.3871531831898798</v>
      </c>
      <c r="Q99" s="10">
        <v>2.3868083724771298</v>
      </c>
      <c r="R99" s="8">
        <v>276.26294969686103</v>
      </c>
      <c r="S99" s="8">
        <v>276.30500647895298</v>
      </c>
      <c r="T99" s="8">
        <v>276.26755788150899</v>
      </c>
      <c r="U99" s="9">
        <v>-3.1504981526959399E-4</v>
      </c>
      <c r="V99" s="9">
        <v>-1.6282679291415101E-4</v>
      </c>
      <c r="W99" s="9">
        <v>-2.9836952491587801E-4</v>
      </c>
      <c r="X99" s="10">
        <v>2.3874730021598198</v>
      </c>
      <c r="Y99" s="10">
        <v>2.3867209477050602</v>
      </c>
      <c r="Z99" s="10">
        <v>2.3871531831898798</v>
      </c>
      <c r="AA99" s="10">
        <v>2.3868083724771298</v>
      </c>
      <c r="AB99" s="8">
        <v>276.26294969686103</v>
      </c>
      <c r="AC99" s="8">
        <v>276.30500647895298</v>
      </c>
      <c r="AD99" s="8">
        <v>276.26755788150899</v>
      </c>
      <c r="AE99" s="9">
        <v>-3.1504981526959399E-4</v>
      </c>
      <c r="AF99" s="9">
        <v>-1.6282679291415101E-4</v>
      </c>
      <c r="AG99" s="9">
        <v>-2.9836952491587801E-4</v>
      </c>
      <c r="AZ99" s="9"/>
      <c r="BB99">
        <f t="shared" si="22"/>
        <v>0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1.3387788399909003E-3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0</v>
      </c>
      <c r="BX99" s="12">
        <f t="shared" si="38"/>
        <v>0</v>
      </c>
      <c r="BY99" s="12">
        <f t="shared" si="39"/>
        <v>1.3387788399909003E-3</v>
      </c>
    </row>
    <row r="100" spans="1:77" x14ac:dyDescent="0.3">
      <c r="A100" s="1">
        <v>46168</v>
      </c>
      <c r="B100" s="8">
        <v>118.05</v>
      </c>
      <c r="C100" s="8">
        <v>281.97000000000003</v>
      </c>
      <c r="D100" s="9">
        <v>1.96755705651783E-2</v>
      </c>
      <c r="E100" s="9">
        <v>2.0132504021047801E-2</v>
      </c>
      <c r="F100" s="8">
        <v>0</v>
      </c>
      <c r="G100" s="8">
        <v>9.2999999999999999E-2</v>
      </c>
      <c r="H100" s="8">
        <v>0</v>
      </c>
      <c r="I100" s="8">
        <v>0.221</v>
      </c>
      <c r="J100" s="8">
        <v>0</v>
      </c>
      <c r="K100" s="8">
        <v>0</v>
      </c>
      <c r="L100" s="8">
        <v>118.05</v>
      </c>
      <c r="M100" s="8">
        <v>281.97000000000003</v>
      </c>
      <c r="N100" s="10">
        <v>2.3885641677255398</v>
      </c>
      <c r="O100" s="10">
        <v>2.3867209477050602</v>
      </c>
      <c r="P100" s="10">
        <v>2.3873004898674601</v>
      </c>
      <c r="Q100" s="10">
        <v>2.3869641498818099</v>
      </c>
      <c r="R100" s="8">
        <v>281.75240787658203</v>
      </c>
      <c r="S100" s="8">
        <v>281.803433275565</v>
      </c>
      <c r="T100" s="8">
        <v>281.762728370925</v>
      </c>
      <c r="U100" s="9">
        <v>-7.7198327113882196E-4</v>
      </c>
      <c r="V100" s="9">
        <v>-5.9089953321668097E-4</v>
      </c>
      <c r="W100" s="9">
        <v>-7.3535428398430896E-4</v>
      </c>
      <c r="X100" s="10">
        <v>2.3885641677255398</v>
      </c>
      <c r="Y100" s="10">
        <v>2.3867209477050602</v>
      </c>
      <c r="Z100" s="10">
        <v>2.3873004898674601</v>
      </c>
      <c r="AA100" s="10">
        <v>2.3869641498818099</v>
      </c>
      <c r="AB100" s="8">
        <v>281.75240787658203</v>
      </c>
      <c r="AC100" s="8">
        <v>281.803433275565</v>
      </c>
      <c r="AD100" s="8">
        <v>281.762728370925</v>
      </c>
      <c r="AE100" s="9">
        <v>-7.7198327113882196E-4</v>
      </c>
      <c r="AF100" s="9">
        <v>-5.9089953321668097E-4</v>
      </c>
      <c r="AG100" s="9">
        <v>-7.3535428398430896E-4</v>
      </c>
      <c r="AZ100" s="9"/>
      <c r="BB100">
        <f t="shared" si="22"/>
        <v>0</v>
      </c>
      <c r="BC100">
        <f t="shared" si="23"/>
        <v>0</v>
      </c>
      <c r="BD100">
        <f t="shared" si="24"/>
        <v>0</v>
      </c>
      <c r="BE100">
        <f t="shared" si="20"/>
        <v>1</v>
      </c>
      <c r="BF100">
        <f t="shared" si="25"/>
        <v>0</v>
      </c>
      <c r="BG100" s="9">
        <f t="shared" si="26"/>
        <v>0</v>
      </c>
      <c r="BH100" s="9">
        <f t="shared" si="27"/>
        <v>0</v>
      </c>
      <c r="BI100" s="9">
        <f t="shared" si="28"/>
        <v>0</v>
      </c>
      <c r="BJ100" s="12">
        <f t="shared" si="29"/>
        <v>1.3387788399909003E-3</v>
      </c>
      <c r="BL100" s="9"/>
      <c r="BN100">
        <f t="shared" si="30"/>
        <v>0</v>
      </c>
      <c r="BO100">
        <f t="shared" si="31"/>
        <v>1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0</v>
      </c>
      <c r="BX100" s="12">
        <f t="shared" si="38"/>
        <v>0</v>
      </c>
      <c r="BY100" s="12">
        <f t="shared" si="39"/>
        <v>1.3387788399909003E-3</v>
      </c>
    </row>
    <row r="101" spans="1:77" x14ac:dyDescent="0.3">
      <c r="A101" s="1">
        <v>46169</v>
      </c>
      <c r="B101" s="8">
        <v>117.38</v>
      </c>
      <c r="C101" s="8">
        <v>280.39999999999998</v>
      </c>
      <c r="D101" s="9">
        <v>-5.6917284013335004E-3</v>
      </c>
      <c r="E101" s="9">
        <v>-5.5835271398849201E-3</v>
      </c>
      <c r="F101" s="8">
        <v>0</v>
      </c>
      <c r="G101" s="8">
        <v>9.2999999999999999E-2</v>
      </c>
      <c r="H101" s="8">
        <v>0</v>
      </c>
      <c r="I101" s="8">
        <v>0.221</v>
      </c>
      <c r="J101" s="8">
        <v>0</v>
      </c>
      <c r="K101" s="8">
        <v>0</v>
      </c>
      <c r="L101" s="8">
        <v>117.38</v>
      </c>
      <c r="M101" s="8">
        <v>280.39999999999998</v>
      </c>
      <c r="N101" s="10">
        <v>2.3888226273641102</v>
      </c>
      <c r="O101" s="10">
        <v>2.3867209477050602</v>
      </c>
      <c r="P101" s="10">
        <v>2.3875807935655802</v>
      </c>
      <c r="Q101" s="10">
        <v>2.3871153231317699</v>
      </c>
      <c r="R101" s="8">
        <v>280.15330484162001</v>
      </c>
      <c r="S101" s="8">
        <v>280.22133150064201</v>
      </c>
      <c r="T101" s="8">
        <v>280.18185191312699</v>
      </c>
      <c r="U101" s="9">
        <v>-8.8018453258751196E-4</v>
      </c>
      <c r="V101" s="9">
        <v>-6.3739460261989604E-4</v>
      </c>
      <c r="W101" s="9">
        <v>-7.7829168796702695E-4</v>
      </c>
      <c r="X101" s="10">
        <v>2.3888226273641102</v>
      </c>
      <c r="Y101" s="10">
        <v>2.3867209477050602</v>
      </c>
      <c r="Z101" s="10">
        <v>2.3875807935655802</v>
      </c>
      <c r="AA101" s="10">
        <v>2.3871153231317699</v>
      </c>
      <c r="AB101" s="8">
        <v>280.15330484162001</v>
      </c>
      <c r="AC101" s="8">
        <v>280.22133150064201</v>
      </c>
      <c r="AD101" s="8">
        <v>280.18185191312699</v>
      </c>
      <c r="AE101" s="9">
        <v>-8.8018453258751196E-4</v>
      </c>
      <c r="AF101" s="9">
        <v>-6.3739460261989604E-4</v>
      </c>
      <c r="AG101" s="9">
        <v>-7.7829168796702695E-4</v>
      </c>
      <c r="AZ101" s="9"/>
      <c r="BB101">
        <f t="shared" si="22"/>
        <v>0</v>
      </c>
      <c r="BC101">
        <f t="shared" si="23"/>
        <v>0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1.3387788399909003E-3</v>
      </c>
      <c r="BL101" s="9"/>
      <c r="BN101">
        <f t="shared" si="30"/>
        <v>0</v>
      </c>
      <c r="BO101">
        <f t="shared" si="31"/>
        <v>1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0</v>
      </c>
      <c r="BX101" s="12">
        <f t="shared" si="38"/>
        <v>0</v>
      </c>
      <c r="BY101" s="12">
        <f t="shared" si="39"/>
        <v>1.3387788399909003E-3</v>
      </c>
    </row>
    <row r="102" spans="1:77" x14ac:dyDescent="0.3">
      <c r="A102" s="1">
        <v>46170</v>
      </c>
      <c r="B102" s="8">
        <v>118.95</v>
      </c>
      <c r="C102" s="8">
        <v>284.02</v>
      </c>
      <c r="D102" s="9">
        <v>1.32867016187782E-2</v>
      </c>
      <c r="E102" s="9">
        <v>1.28275030564319E-2</v>
      </c>
      <c r="F102" s="8">
        <v>0</v>
      </c>
      <c r="G102" s="8">
        <v>9.2999999999999999E-2</v>
      </c>
      <c r="H102" s="8">
        <v>0</v>
      </c>
      <c r="I102" s="8">
        <v>0.221</v>
      </c>
      <c r="J102" s="8">
        <v>0</v>
      </c>
      <c r="K102" s="8">
        <v>0</v>
      </c>
      <c r="L102" s="8">
        <v>118.95</v>
      </c>
      <c r="M102" s="8">
        <v>284.02</v>
      </c>
      <c r="N102" s="10">
        <v>2.3877259352669098</v>
      </c>
      <c r="O102" s="10">
        <v>2.3867209477050602</v>
      </c>
      <c r="P102" s="10">
        <v>2.3877108132712102</v>
      </c>
      <c r="Q102" s="10">
        <v>2.3871328620167098</v>
      </c>
      <c r="R102" s="8">
        <v>283.90045672951697</v>
      </c>
      <c r="S102" s="8">
        <v>284.00273539462597</v>
      </c>
      <c r="T102" s="8">
        <v>283.94736768652399</v>
      </c>
      <c r="U102" s="9">
        <v>-4.2098597024119698E-4</v>
      </c>
      <c r="V102" s="9">
        <v>-6.0788430825265601E-5</v>
      </c>
      <c r="W102" s="9">
        <v>-2.5576227791764E-4</v>
      </c>
      <c r="X102" s="10">
        <v>2.3877259352669098</v>
      </c>
      <c r="Y102" s="10">
        <v>2.3867209477050602</v>
      </c>
      <c r="Z102" s="10">
        <v>2.3877108132712102</v>
      </c>
      <c r="AA102" s="10">
        <v>2.3871328620167098</v>
      </c>
      <c r="AB102" s="8">
        <v>283.90045672951697</v>
      </c>
      <c r="AC102" s="8">
        <v>284.00273539462597</v>
      </c>
      <c r="AD102" s="8">
        <v>283.94736768652399</v>
      </c>
      <c r="AE102" s="9">
        <v>-4.2098597024119698E-4</v>
      </c>
      <c r="AF102" s="9">
        <v>-6.0788430825265601E-5</v>
      </c>
      <c r="AG102" s="9">
        <v>-2.5576227791764E-4</v>
      </c>
      <c r="AZ102" s="9"/>
      <c r="BB102">
        <f t="shared" si="22"/>
        <v>0</v>
      </c>
      <c r="BC102">
        <f t="shared" si="23"/>
        <v>0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1.3387788399909003E-3</v>
      </c>
      <c r="BL102" s="9"/>
      <c r="BN102">
        <f t="shared" si="30"/>
        <v>0</v>
      </c>
      <c r="BO102">
        <f t="shared" si="31"/>
        <v>1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0</v>
      </c>
      <c r="BX102" s="12">
        <f t="shared" si="38"/>
        <v>0</v>
      </c>
      <c r="BY102" s="12">
        <f t="shared" si="39"/>
        <v>1.3387788399909003E-3</v>
      </c>
    </row>
    <row r="103" spans="1:77" x14ac:dyDescent="0.3">
      <c r="A103" s="1">
        <v>46171</v>
      </c>
      <c r="B103" s="8">
        <v>121.06</v>
      </c>
      <c r="C103" s="8">
        <v>289.25</v>
      </c>
      <c r="D103" s="9">
        <v>1.75830537145743E-2</v>
      </c>
      <c r="E103" s="9">
        <v>1.8246707856918998E-2</v>
      </c>
      <c r="F103" s="8">
        <v>0</v>
      </c>
      <c r="G103" s="8">
        <v>9.2999999999999999E-2</v>
      </c>
      <c r="H103" s="8">
        <v>0</v>
      </c>
      <c r="I103" s="8">
        <v>0.221</v>
      </c>
      <c r="J103" s="8">
        <v>0</v>
      </c>
      <c r="K103" s="8">
        <v>0</v>
      </c>
      <c r="L103" s="8">
        <v>121.06</v>
      </c>
      <c r="M103" s="8">
        <v>289.25</v>
      </c>
      <c r="N103" s="10">
        <v>2.38931108541219</v>
      </c>
      <c r="O103" s="10">
        <v>2.3867209477050602</v>
      </c>
      <c r="P103" s="10">
        <v>2.3879493269691201</v>
      </c>
      <c r="Q103" s="10">
        <v>2.3872390443160101</v>
      </c>
      <c r="R103" s="8">
        <v>288.93643792917499</v>
      </c>
      <c r="S103" s="8">
        <v>289.05627105461201</v>
      </c>
      <c r="T103" s="8">
        <v>288.98630427574301</v>
      </c>
      <c r="U103" s="9">
        <v>-1.08464011258572E-3</v>
      </c>
      <c r="V103" s="9">
        <v>-6.6998738326222603E-4</v>
      </c>
      <c r="W103" s="9">
        <v>-9.1206913362789504E-4</v>
      </c>
      <c r="X103" s="10">
        <v>2.38931108541219</v>
      </c>
      <c r="Y103" s="10">
        <v>2.3867209477050602</v>
      </c>
      <c r="Z103" s="10">
        <v>2.3879493269691201</v>
      </c>
      <c r="AA103" s="10">
        <v>2.3872390443160101</v>
      </c>
      <c r="AB103" s="8">
        <v>288.93643792917499</v>
      </c>
      <c r="AC103" s="8">
        <v>289.05627105461201</v>
      </c>
      <c r="AD103" s="8">
        <v>288.98630427574301</v>
      </c>
      <c r="AE103" s="9">
        <v>-1.08464011258572E-3</v>
      </c>
      <c r="AF103" s="9">
        <v>-6.6998738326222603E-4</v>
      </c>
      <c r="AG103" s="9">
        <v>-9.1206913362789504E-4</v>
      </c>
      <c r="AZ103" s="9"/>
      <c r="BB103">
        <f t="shared" si="22"/>
        <v>0</v>
      </c>
      <c r="BC103">
        <f t="shared" si="23"/>
        <v>0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1.3387788399909003E-3</v>
      </c>
      <c r="BL103" s="9"/>
      <c r="BN103">
        <f t="shared" si="30"/>
        <v>0</v>
      </c>
      <c r="BO103">
        <f t="shared" si="31"/>
        <v>1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0</v>
      </c>
      <c r="BX103" s="12">
        <f t="shared" si="38"/>
        <v>0</v>
      </c>
      <c r="BY103" s="12">
        <f t="shared" si="39"/>
        <v>1.3387788399909003E-3</v>
      </c>
    </row>
    <row r="104" spans="1:77" x14ac:dyDescent="0.3">
      <c r="A104" s="1">
        <v>46174</v>
      </c>
      <c r="B104" s="8">
        <v>124.19</v>
      </c>
      <c r="C104" s="8">
        <v>296.68</v>
      </c>
      <c r="D104" s="9">
        <v>2.5526360496399999E-2</v>
      </c>
      <c r="E104" s="9">
        <v>2.5362750794571402E-2</v>
      </c>
      <c r="F104" s="8">
        <v>0</v>
      </c>
      <c r="G104" s="8">
        <v>9.2999999999999999E-2</v>
      </c>
      <c r="H104" s="8">
        <v>0</v>
      </c>
      <c r="I104" s="8">
        <v>0.221</v>
      </c>
      <c r="J104" s="8">
        <v>0</v>
      </c>
      <c r="K104" s="8">
        <v>0</v>
      </c>
      <c r="L104" s="8">
        <v>124.19</v>
      </c>
      <c r="M104" s="8">
        <v>296.68</v>
      </c>
      <c r="N104" s="10">
        <v>2.3889202029148802</v>
      </c>
      <c r="O104" s="10">
        <v>2.3867209477050602</v>
      </c>
      <c r="P104" s="10">
        <v>2.3880627752016599</v>
      </c>
      <c r="Q104" s="10">
        <v>2.3873717497407201</v>
      </c>
      <c r="R104" s="8">
        <v>296.40687449549199</v>
      </c>
      <c r="S104" s="8">
        <v>296.55942691629502</v>
      </c>
      <c r="T104" s="8">
        <v>296.47121691360502</v>
      </c>
      <c r="U104" s="9">
        <v>-9.2103041075704099E-4</v>
      </c>
      <c r="V104" s="9">
        <v>-4.0649046537942799E-4</v>
      </c>
      <c r="W104" s="9">
        <v>-7.0397931948367701E-4</v>
      </c>
      <c r="X104" s="10">
        <v>2.3889202029148802</v>
      </c>
      <c r="Y104" s="10">
        <v>2.3867209477050602</v>
      </c>
      <c r="Z104" s="10">
        <v>2.3880627752016599</v>
      </c>
      <c r="AA104" s="10">
        <v>2.3873717497407201</v>
      </c>
      <c r="AB104" s="8">
        <v>296.40687449549199</v>
      </c>
      <c r="AC104" s="8">
        <v>296.55942691629502</v>
      </c>
      <c r="AD104" s="8">
        <v>296.47121691360502</v>
      </c>
      <c r="AE104" s="9">
        <v>-9.2103041075704099E-4</v>
      </c>
      <c r="AF104" s="9">
        <v>-4.0649046537942799E-4</v>
      </c>
      <c r="AG104" s="9">
        <v>-7.0397931948367701E-4</v>
      </c>
      <c r="AZ104" s="9"/>
      <c r="BB104">
        <f t="shared" si="22"/>
        <v>0</v>
      </c>
      <c r="BC104">
        <f t="shared" si="23"/>
        <v>0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1.3387788399909003E-3</v>
      </c>
      <c r="BL104" s="9"/>
      <c r="BN104">
        <f t="shared" si="30"/>
        <v>0</v>
      </c>
      <c r="BO104">
        <f t="shared" si="31"/>
        <v>1</v>
      </c>
      <c r="BP104">
        <f t="shared" si="32"/>
        <v>0</v>
      </c>
      <c r="BQ104">
        <f t="shared" si="21"/>
        <v>1</v>
      </c>
      <c r="BR104">
        <f t="shared" si="33"/>
        <v>0</v>
      </c>
      <c r="BS104" s="9">
        <f t="shared" si="34"/>
        <v>0</v>
      </c>
      <c r="BT104" s="9">
        <f t="shared" si="35"/>
        <v>0</v>
      </c>
      <c r="BU104" s="9">
        <f t="shared" si="36"/>
        <v>0</v>
      </c>
      <c r="BV104" s="12">
        <f t="shared" si="37"/>
        <v>0</v>
      </c>
      <c r="BX104" s="12">
        <f t="shared" si="38"/>
        <v>0</v>
      </c>
      <c r="BY104" s="12">
        <f t="shared" si="39"/>
        <v>1.3387788399909003E-3</v>
      </c>
    </row>
    <row r="105" spans="1:77" x14ac:dyDescent="0.3">
      <c r="A105" s="1">
        <v>46175</v>
      </c>
      <c r="B105" s="8">
        <v>125.77</v>
      </c>
      <c r="C105" s="8">
        <v>300.51</v>
      </c>
      <c r="D105" s="9">
        <v>1.2642191099122801E-2</v>
      </c>
      <c r="E105" s="9">
        <v>1.2826914423425101E-2</v>
      </c>
      <c r="F105" s="8">
        <v>0</v>
      </c>
      <c r="G105" s="8">
        <v>9.2999999999999999E-2</v>
      </c>
      <c r="H105" s="8">
        <v>0</v>
      </c>
      <c r="I105" s="8">
        <v>0.221</v>
      </c>
      <c r="J105" s="8">
        <v>0</v>
      </c>
      <c r="K105" s="8">
        <v>0</v>
      </c>
      <c r="L105" s="8">
        <v>125.77</v>
      </c>
      <c r="M105" s="8">
        <v>300.51</v>
      </c>
      <c r="N105" s="10">
        <v>2.3893615329569799</v>
      </c>
      <c r="O105" s="10">
        <v>2.3867209477050602</v>
      </c>
      <c r="P105" s="10">
        <v>2.3883027722501402</v>
      </c>
      <c r="Q105" s="10">
        <v>2.3875353957072898</v>
      </c>
      <c r="R105" s="8">
        <v>300.17789359286598</v>
      </c>
      <c r="S105" s="8">
        <v>300.346655237113</v>
      </c>
      <c r="T105" s="8">
        <v>300.25974496489101</v>
      </c>
      <c r="U105" s="9">
        <v>-1.1057537350592E-3</v>
      </c>
      <c r="V105" s="9">
        <v>-5.4370627498922901E-4</v>
      </c>
      <c r="W105" s="9">
        <v>-8.3311468888346203E-4</v>
      </c>
      <c r="X105" s="10">
        <v>2.3893615329569799</v>
      </c>
      <c r="Y105" s="10">
        <v>2.3867209477050602</v>
      </c>
      <c r="Z105" s="10">
        <v>2.3883027722501402</v>
      </c>
      <c r="AA105" s="10">
        <v>2.3875353957072898</v>
      </c>
      <c r="AB105" s="8">
        <v>300.17789359286598</v>
      </c>
      <c r="AC105" s="8">
        <v>300.346655237113</v>
      </c>
      <c r="AD105" s="8">
        <v>300.25974496489101</v>
      </c>
      <c r="AE105" s="9">
        <v>-1.1057537350592E-3</v>
      </c>
      <c r="AF105" s="9">
        <v>-5.4370627498922901E-4</v>
      </c>
      <c r="AG105" s="9">
        <v>-8.3311468888346203E-4</v>
      </c>
      <c r="AZ105" s="9"/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1.3387788399909003E-3</v>
      </c>
      <c r="BL105" s="9"/>
      <c r="BN105">
        <f t="shared" si="30"/>
        <v>0</v>
      </c>
      <c r="BO105">
        <f t="shared" si="31"/>
        <v>1</v>
      </c>
      <c r="BP105">
        <f t="shared" si="32"/>
        <v>0</v>
      </c>
      <c r="BQ105">
        <f t="shared" si="21"/>
        <v>1</v>
      </c>
      <c r="BR105">
        <f t="shared" si="33"/>
        <v>0</v>
      </c>
      <c r="BS105" s="9">
        <f t="shared" si="34"/>
        <v>0</v>
      </c>
      <c r="BT105" s="9">
        <f t="shared" si="35"/>
        <v>0</v>
      </c>
      <c r="BU105" s="9">
        <f t="shared" si="36"/>
        <v>0</v>
      </c>
      <c r="BV105" s="12">
        <f t="shared" si="37"/>
        <v>0</v>
      </c>
      <c r="BX105" s="12">
        <f t="shared" si="38"/>
        <v>0</v>
      </c>
      <c r="BY105" s="12">
        <f t="shared" si="39"/>
        <v>1.3387788399909003E-3</v>
      </c>
    </row>
    <row r="106" spans="1:77" x14ac:dyDescent="0.3">
      <c r="A106" s="1">
        <v>46176</v>
      </c>
      <c r="B106" s="8">
        <v>123.91</v>
      </c>
      <c r="C106" s="8">
        <v>296.02</v>
      </c>
      <c r="D106" s="9">
        <v>-1.48993464306626E-2</v>
      </c>
      <c r="E106" s="9">
        <v>-1.50540116827399E-2</v>
      </c>
      <c r="F106" s="8">
        <v>0</v>
      </c>
      <c r="G106" s="8">
        <v>9.2999999999999999E-2</v>
      </c>
      <c r="H106" s="8">
        <v>0</v>
      </c>
      <c r="I106" s="8">
        <v>0.221</v>
      </c>
      <c r="J106" s="8">
        <v>0</v>
      </c>
      <c r="K106" s="8">
        <v>0</v>
      </c>
      <c r="L106" s="8">
        <v>123.91</v>
      </c>
      <c r="M106" s="8">
        <v>296.02</v>
      </c>
      <c r="N106" s="10">
        <v>2.3889920103300701</v>
      </c>
      <c r="O106" s="10">
        <v>2.3867209477050602</v>
      </c>
      <c r="P106" s="10">
        <v>2.3885183290937699</v>
      </c>
      <c r="Q106" s="10">
        <v>2.3876750065224601</v>
      </c>
      <c r="R106" s="8">
        <v>295.73859263013401</v>
      </c>
      <c r="S106" s="8">
        <v>295.93459650951502</v>
      </c>
      <c r="T106" s="8">
        <v>295.83951088209102</v>
      </c>
      <c r="U106" s="9">
        <v>-9.5108848298209496E-4</v>
      </c>
      <c r="V106" s="9">
        <v>-2.8854743786159702E-4</v>
      </c>
      <c r="W106" s="9">
        <v>-6.0990529064722102E-4</v>
      </c>
      <c r="X106" s="10">
        <v>2.3889920103300701</v>
      </c>
      <c r="Y106" s="10">
        <v>2.3867209477050602</v>
      </c>
      <c r="Z106" s="10">
        <v>2.3885183290937699</v>
      </c>
      <c r="AA106" s="10">
        <v>2.3876750065224601</v>
      </c>
      <c r="AB106" s="8">
        <v>295.73859263013401</v>
      </c>
      <c r="AC106" s="8">
        <v>295.93459650951502</v>
      </c>
      <c r="AD106" s="8">
        <v>295.83951088209102</v>
      </c>
      <c r="AE106" s="9">
        <v>-9.5108848298209496E-4</v>
      </c>
      <c r="AF106" s="9">
        <v>-2.8854743786159702E-4</v>
      </c>
      <c r="AG106" s="9">
        <v>-6.0990529064722102E-4</v>
      </c>
      <c r="AZ106" s="9"/>
      <c r="BB106">
        <f t="shared" si="22"/>
        <v>0</v>
      </c>
      <c r="BC106">
        <f t="shared" si="23"/>
        <v>0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1.3387788399909003E-3</v>
      </c>
      <c r="BL106" s="9"/>
      <c r="BN106">
        <f t="shared" si="30"/>
        <v>0</v>
      </c>
      <c r="BO106">
        <f t="shared" si="31"/>
        <v>1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0</v>
      </c>
      <c r="BX106" s="12">
        <f t="shared" si="38"/>
        <v>0</v>
      </c>
      <c r="BY106" s="12">
        <f t="shared" si="39"/>
        <v>1.3387788399909003E-3</v>
      </c>
    </row>
    <row r="107" spans="1:77" x14ac:dyDescent="0.3">
      <c r="A107" s="1">
        <v>46177</v>
      </c>
      <c r="B107" s="8">
        <v>122.82</v>
      </c>
      <c r="C107" s="8">
        <v>293.42</v>
      </c>
      <c r="D107" s="9">
        <v>-8.8356267271483997E-3</v>
      </c>
      <c r="E107" s="9">
        <v>-8.8219898975445202E-3</v>
      </c>
      <c r="F107" s="8">
        <v>0</v>
      </c>
      <c r="G107" s="8">
        <v>9.2999999999999999E-2</v>
      </c>
      <c r="H107" s="8">
        <v>0</v>
      </c>
      <c r="I107" s="8">
        <v>0.221</v>
      </c>
      <c r="J107" s="8">
        <v>0</v>
      </c>
      <c r="K107" s="8">
        <v>0</v>
      </c>
      <c r="L107" s="8">
        <v>122.82</v>
      </c>
      <c r="M107" s="8">
        <v>293.42</v>
      </c>
      <c r="N107" s="10">
        <v>2.3890245888291801</v>
      </c>
      <c r="O107" s="10">
        <v>2.3867209477050602</v>
      </c>
      <c r="P107" s="10">
        <v>2.3886788043168399</v>
      </c>
      <c r="Q107" s="10">
        <v>2.3877852355988201</v>
      </c>
      <c r="R107" s="8">
        <v>293.13706679713601</v>
      </c>
      <c r="S107" s="8">
        <v>293.35782117929699</v>
      </c>
      <c r="T107" s="8">
        <v>293.25424430108899</v>
      </c>
      <c r="U107" s="9">
        <v>-9.6472531258579497E-4</v>
      </c>
      <c r="V107" s="9">
        <v>-2.11933098666031E-4</v>
      </c>
      <c r="W107" s="9">
        <v>-5.6506896265357703E-4</v>
      </c>
      <c r="X107" s="10">
        <v>2.3890245888291801</v>
      </c>
      <c r="Y107" s="10">
        <v>2.3867209477050602</v>
      </c>
      <c r="Z107" s="10">
        <v>2.3886788043168399</v>
      </c>
      <c r="AA107" s="10">
        <v>2.3877852355988201</v>
      </c>
      <c r="AB107" s="8">
        <v>293.13706679713601</v>
      </c>
      <c r="AC107" s="8">
        <v>293.35782117929699</v>
      </c>
      <c r="AD107" s="8">
        <v>293.25424430108899</v>
      </c>
      <c r="AE107" s="9">
        <v>-9.6472531258579497E-4</v>
      </c>
      <c r="AF107" s="9">
        <v>-2.11933098666031E-4</v>
      </c>
      <c r="AG107" s="9">
        <v>-5.6506896265357703E-4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1.3387788399909003E-3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0</v>
      </c>
      <c r="BX107" s="12">
        <f t="shared" si="38"/>
        <v>0</v>
      </c>
      <c r="BY107" s="12">
        <f t="shared" si="39"/>
        <v>1.3387788399909003E-3</v>
      </c>
    </row>
    <row r="108" spans="1:77" x14ac:dyDescent="0.3">
      <c r="A108" s="1">
        <v>46178</v>
      </c>
      <c r="B108" s="8">
        <v>115.28</v>
      </c>
      <c r="C108" s="8">
        <v>275.32</v>
      </c>
      <c r="D108" s="9">
        <v>-6.3355917209986401E-2</v>
      </c>
      <c r="E108" s="9">
        <v>-6.3670972181334495E-2</v>
      </c>
      <c r="F108" s="8">
        <v>0</v>
      </c>
      <c r="G108" s="8">
        <v>9.2999999999999999E-2</v>
      </c>
      <c r="H108" s="8">
        <v>0</v>
      </c>
      <c r="I108" s="8">
        <v>0.221</v>
      </c>
      <c r="J108" s="8">
        <v>0</v>
      </c>
      <c r="K108" s="8">
        <v>0</v>
      </c>
      <c r="L108" s="8">
        <v>115.28</v>
      </c>
      <c r="M108" s="8">
        <v>275.32</v>
      </c>
      <c r="N108" s="10">
        <v>2.3882720333102001</v>
      </c>
      <c r="O108" s="10">
        <v>2.3867209477050602</v>
      </c>
      <c r="P108" s="10">
        <v>2.38864671862699</v>
      </c>
      <c r="Q108" s="10">
        <v>2.3878655039310002</v>
      </c>
      <c r="R108" s="8">
        <v>275.14119085143898</v>
      </c>
      <c r="S108" s="8">
        <v>275.36689256164601</v>
      </c>
      <c r="T108" s="8">
        <v>275.26388195983202</v>
      </c>
      <c r="U108" s="9">
        <v>-6.4967034123779202E-4</v>
      </c>
      <c r="V108" s="9">
        <v>1.70305712349465E-4</v>
      </c>
      <c r="W108" s="9">
        <v>-2.0384919428350601E-4</v>
      </c>
      <c r="X108" s="10">
        <v>2.3882720333102001</v>
      </c>
      <c r="Y108" s="10">
        <v>2.3867209477050602</v>
      </c>
      <c r="Z108" s="10">
        <v>2.38864671862699</v>
      </c>
      <c r="AA108" s="10">
        <v>2.3878655039310002</v>
      </c>
      <c r="AB108" s="8">
        <v>275.14119085143898</v>
      </c>
      <c r="AC108" s="8">
        <v>275.36689256164601</v>
      </c>
      <c r="AD108" s="8">
        <v>275.26388195983202</v>
      </c>
      <c r="AE108" s="9">
        <v>-6.4967034123779202E-4</v>
      </c>
      <c r="AF108" s="9">
        <v>1.70305712349465E-4</v>
      </c>
      <c r="AG108" s="9">
        <v>-2.0384919428350601E-4</v>
      </c>
      <c r="AZ108" s="9"/>
      <c r="BB108">
        <f t="shared" si="22"/>
        <v>0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1.3387788399909003E-3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0</v>
      </c>
      <c r="BX108" s="12">
        <f t="shared" si="38"/>
        <v>0</v>
      </c>
      <c r="BY108" s="12">
        <f t="shared" si="39"/>
        <v>1.3387788399909003E-3</v>
      </c>
    </row>
    <row r="109" spans="1:77" x14ac:dyDescent="0.3">
      <c r="A109" s="1">
        <v>46181</v>
      </c>
      <c r="B109" s="8">
        <v>117.25</v>
      </c>
      <c r="C109" s="8">
        <v>280.08999999999997</v>
      </c>
      <c r="D109" s="9">
        <v>1.6944455635122001E-2</v>
      </c>
      <c r="E109" s="9">
        <v>1.7176922563418299E-2</v>
      </c>
      <c r="F109" s="8">
        <v>0</v>
      </c>
      <c r="G109" s="8">
        <v>9.2999999999999999E-2</v>
      </c>
      <c r="H109" s="8">
        <v>0</v>
      </c>
      <c r="I109" s="8">
        <v>0.221</v>
      </c>
      <c r="J109" s="8">
        <v>0</v>
      </c>
      <c r="K109" s="8">
        <v>0</v>
      </c>
      <c r="L109" s="8">
        <v>117.25</v>
      </c>
      <c r="M109" s="8">
        <v>280.08999999999997</v>
      </c>
      <c r="N109" s="10">
        <v>2.3888272921108702</v>
      </c>
      <c r="O109" s="10">
        <v>2.3867209477050602</v>
      </c>
      <c r="P109" s="10">
        <v>2.3887821476220901</v>
      </c>
      <c r="Q109" s="10">
        <v>2.3879676654059798</v>
      </c>
      <c r="R109" s="8">
        <v>279.84303111841803</v>
      </c>
      <c r="S109" s="8">
        <v>280.06882775901403</v>
      </c>
      <c r="T109" s="8">
        <v>279.97723033591001</v>
      </c>
      <c r="U109" s="9">
        <v>-8.8213726953390796E-4</v>
      </c>
      <c r="V109" s="9">
        <v>-7.5593706448642294E-5</v>
      </c>
      <c r="W109" s="9">
        <v>-4.0270045989343001E-4</v>
      </c>
      <c r="X109" s="10">
        <v>2.3888272921108702</v>
      </c>
      <c r="Y109" s="10">
        <v>2.3867209477050602</v>
      </c>
      <c r="Z109" s="10">
        <v>2.3887821476220901</v>
      </c>
      <c r="AA109" s="10">
        <v>2.3879676654059798</v>
      </c>
      <c r="AB109" s="8">
        <v>279.84303111841803</v>
      </c>
      <c r="AC109" s="8">
        <v>280.06882775901403</v>
      </c>
      <c r="AD109" s="8">
        <v>279.97723033591001</v>
      </c>
      <c r="AE109" s="9">
        <v>-8.8213726953390796E-4</v>
      </c>
      <c r="AF109" s="9">
        <v>-7.5593706448642294E-5</v>
      </c>
      <c r="AG109" s="9">
        <v>-4.0270045989343001E-4</v>
      </c>
      <c r="AZ109" s="9"/>
      <c r="BB109">
        <f t="shared" si="22"/>
        <v>0</v>
      </c>
      <c r="BC109">
        <f t="shared" si="23"/>
        <v>0</v>
      </c>
      <c r="BD109">
        <f t="shared" si="24"/>
        <v>0</v>
      </c>
      <c r="BE109">
        <f t="shared" si="20"/>
        <v>1</v>
      </c>
      <c r="BF109">
        <f t="shared" si="25"/>
        <v>0</v>
      </c>
      <c r="BG109" s="9">
        <f t="shared" si="26"/>
        <v>0</v>
      </c>
      <c r="BH109" s="9">
        <f t="shared" si="27"/>
        <v>0</v>
      </c>
      <c r="BI109" s="9">
        <f t="shared" si="28"/>
        <v>0</v>
      </c>
      <c r="BJ109" s="12">
        <f t="shared" si="29"/>
        <v>1.3387788399909003E-3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0</v>
      </c>
      <c r="BX109" s="12">
        <f t="shared" si="38"/>
        <v>0</v>
      </c>
      <c r="BY109" s="12">
        <f t="shared" si="39"/>
        <v>1.3387788399909003E-3</v>
      </c>
    </row>
    <row r="110" spans="1:77" x14ac:dyDescent="0.3">
      <c r="A110" s="1">
        <v>46182</v>
      </c>
      <c r="B110" s="8">
        <v>114.99</v>
      </c>
      <c r="C110" s="8">
        <v>274.63</v>
      </c>
      <c r="D110" s="9">
        <v>-1.9463239265815301E-2</v>
      </c>
      <c r="E110" s="9">
        <v>-1.9686242909120799E-2</v>
      </c>
      <c r="F110" s="8">
        <v>0</v>
      </c>
      <c r="G110" s="8">
        <v>9.2999999999999999E-2</v>
      </c>
      <c r="H110" s="8">
        <v>0</v>
      </c>
      <c r="I110" s="8">
        <v>0.221</v>
      </c>
      <c r="J110" s="8">
        <v>0</v>
      </c>
      <c r="K110" s="8">
        <v>0</v>
      </c>
      <c r="L110" s="8">
        <v>114.99</v>
      </c>
      <c r="M110" s="8">
        <v>274.63</v>
      </c>
      <c r="N110" s="10">
        <v>2.3882946343160198</v>
      </c>
      <c r="O110" s="10">
        <v>2.3867209477050602</v>
      </c>
      <c r="P110" s="10">
        <v>2.3887551942811398</v>
      </c>
      <c r="Q110" s="10">
        <v>2.3880278420743002</v>
      </c>
      <c r="R110" s="8">
        <v>274.44904177660499</v>
      </c>
      <c r="S110" s="8">
        <v>274.68605915506498</v>
      </c>
      <c r="T110" s="8">
        <v>274.59240184503398</v>
      </c>
      <c r="U110" s="9">
        <v>-6.5913362622833395E-4</v>
      </c>
      <c r="V110" s="9">
        <v>2.04105284472565E-4</v>
      </c>
      <c r="W110" s="9">
        <v>-1.36914134958154E-4</v>
      </c>
      <c r="X110" s="10">
        <v>2.3882946343160198</v>
      </c>
      <c r="Y110" s="10">
        <v>2.3867209477050602</v>
      </c>
      <c r="Z110" s="10">
        <v>2.3887551942811398</v>
      </c>
      <c r="AA110" s="10">
        <v>2.3880278420743002</v>
      </c>
      <c r="AB110" s="8">
        <v>274.44904177660499</v>
      </c>
      <c r="AC110" s="8">
        <v>274.68605915506498</v>
      </c>
      <c r="AD110" s="8">
        <v>274.59240184503398</v>
      </c>
      <c r="AE110" s="9">
        <v>-6.5913362622833395E-4</v>
      </c>
      <c r="AF110" s="9">
        <v>2.04105284472565E-4</v>
      </c>
      <c r="AG110" s="9">
        <v>-1.36914134958154E-4</v>
      </c>
      <c r="AZ110" s="9"/>
      <c r="BB110">
        <f t="shared" si="22"/>
        <v>0</v>
      </c>
      <c r="BC110">
        <f t="shared" si="23"/>
        <v>0</v>
      </c>
      <c r="BD110">
        <f t="shared" si="24"/>
        <v>0</v>
      </c>
      <c r="BE110">
        <f t="shared" si="20"/>
        <v>1</v>
      </c>
      <c r="BF110">
        <f t="shared" si="25"/>
        <v>0</v>
      </c>
      <c r="BG110" s="9">
        <f t="shared" si="26"/>
        <v>0</v>
      </c>
      <c r="BH110" s="9">
        <f t="shared" si="27"/>
        <v>0</v>
      </c>
      <c r="BI110" s="9">
        <f t="shared" si="28"/>
        <v>0</v>
      </c>
      <c r="BJ110" s="12">
        <f t="shared" si="29"/>
        <v>1.3387788399909003E-3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0</v>
      </c>
      <c r="BX110" s="12">
        <f t="shared" si="38"/>
        <v>0</v>
      </c>
      <c r="BY110" s="12">
        <f t="shared" si="39"/>
        <v>1.3387788399909003E-3</v>
      </c>
    </row>
    <row r="111" spans="1:77" x14ac:dyDescent="0.3">
      <c r="A111" s="1">
        <v>46183</v>
      </c>
      <c r="B111" s="8">
        <v>112.34</v>
      </c>
      <c r="C111" s="8">
        <v>268.43</v>
      </c>
      <c r="D111" s="9">
        <v>-2.33151809562866E-2</v>
      </c>
      <c r="E111" s="9">
        <v>-2.2834564860694E-2</v>
      </c>
      <c r="F111" s="8">
        <v>0</v>
      </c>
      <c r="G111" s="8">
        <v>9.2999999999999999E-2</v>
      </c>
      <c r="H111" s="8">
        <v>0</v>
      </c>
      <c r="I111" s="8">
        <v>0.221</v>
      </c>
      <c r="J111" s="8">
        <v>0</v>
      </c>
      <c r="K111" s="8">
        <v>0</v>
      </c>
      <c r="L111" s="8">
        <v>112.34</v>
      </c>
      <c r="M111" s="8">
        <v>268.43</v>
      </c>
      <c r="N111" s="10">
        <v>2.3894427630407602</v>
      </c>
      <c r="O111" s="10">
        <v>2.3867209477050602</v>
      </c>
      <c r="P111" s="10">
        <v>2.3888172078488101</v>
      </c>
      <c r="Q111" s="10">
        <v>2.38819900070719</v>
      </c>
      <c r="R111" s="8">
        <v>268.12423126518701</v>
      </c>
      <c r="S111" s="8">
        <v>268.352758525544</v>
      </c>
      <c r="T111" s="8">
        <v>268.27104777862701</v>
      </c>
      <c r="U111" s="9">
        <v>-1.13974972182114E-3</v>
      </c>
      <c r="V111" s="9">
        <v>-2.8779417282814098E-4</v>
      </c>
      <c r="W111" s="9">
        <v>-5.9233059699758599E-4</v>
      </c>
      <c r="X111" s="10">
        <v>2.3894427630407602</v>
      </c>
      <c r="Y111" s="10">
        <v>2.3867209477050602</v>
      </c>
      <c r="Z111" s="10">
        <v>2.3888172078488101</v>
      </c>
      <c r="AA111" s="10">
        <v>2.38819900070719</v>
      </c>
      <c r="AB111" s="8">
        <v>268.12423126518701</v>
      </c>
      <c r="AC111" s="8">
        <v>268.352758525544</v>
      </c>
      <c r="AD111" s="8">
        <v>268.27104777862701</v>
      </c>
      <c r="AE111" s="9">
        <v>-1.13974972182114E-3</v>
      </c>
      <c r="AF111" s="9">
        <v>-2.8779417282814098E-4</v>
      </c>
      <c r="AG111" s="9">
        <v>-5.9233059699758599E-4</v>
      </c>
      <c r="AZ111" s="9"/>
      <c r="BB111">
        <f t="shared" si="22"/>
        <v>0</v>
      </c>
      <c r="BC111">
        <f t="shared" si="23"/>
        <v>0</v>
      </c>
      <c r="BD111">
        <f t="shared" si="24"/>
        <v>0</v>
      </c>
      <c r="BE111">
        <f t="shared" si="20"/>
        <v>1</v>
      </c>
      <c r="BF111">
        <f t="shared" si="25"/>
        <v>0</v>
      </c>
      <c r="BG111" s="9">
        <f t="shared" si="26"/>
        <v>0</v>
      </c>
      <c r="BH111" s="9">
        <f t="shared" si="27"/>
        <v>0</v>
      </c>
      <c r="BI111" s="9">
        <f t="shared" si="28"/>
        <v>0</v>
      </c>
      <c r="BJ111" s="12">
        <f t="shared" si="29"/>
        <v>1.3387788399909003E-3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0</v>
      </c>
      <c r="BX111" s="12">
        <f t="shared" si="38"/>
        <v>0</v>
      </c>
      <c r="BY111" s="12">
        <f t="shared" si="39"/>
        <v>1.3387788399909003E-3</v>
      </c>
    </row>
    <row r="112" spans="1:77" x14ac:dyDescent="0.3">
      <c r="A112" s="1">
        <v>46184</v>
      </c>
      <c r="B112" s="8">
        <v>116.07</v>
      </c>
      <c r="C112" s="8">
        <v>277.23</v>
      </c>
      <c r="D112" s="9">
        <v>3.2663470276244597E-2</v>
      </c>
      <c r="E112" s="9">
        <v>3.2257314244291901E-2</v>
      </c>
      <c r="F112" s="8">
        <v>0</v>
      </c>
      <c r="G112" s="8">
        <v>9.2999999999999999E-2</v>
      </c>
      <c r="H112" s="8">
        <v>0</v>
      </c>
      <c r="I112" s="8">
        <v>0.221</v>
      </c>
      <c r="J112" s="8">
        <v>0</v>
      </c>
      <c r="K112" s="8">
        <v>0</v>
      </c>
      <c r="L112" s="8">
        <v>116.07</v>
      </c>
      <c r="M112" s="8">
        <v>277.23</v>
      </c>
      <c r="N112" s="10">
        <v>2.3884724735073601</v>
      </c>
      <c r="O112" s="10">
        <v>2.3867209477050602</v>
      </c>
      <c r="P112" s="10">
        <v>2.3888918616728501</v>
      </c>
      <c r="Q112" s="10">
        <v>2.3883013374720301</v>
      </c>
      <c r="R112" s="8">
        <v>277.026700400126</v>
      </c>
      <c r="S112" s="8">
        <v>277.270013315011</v>
      </c>
      <c r="T112" s="8">
        <v>277.19825801208401</v>
      </c>
      <c r="U112" s="9">
        <v>-7.3359368986865997E-4</v>
      </c>
      <c r="V112" s="9">
        <v>1.4432214290391001E-4</v>
      </c>
      <c r="W112" s="9">
        <v>-1.14503499745823E-4</v>
      </c>
      <c r="X112" s="10">
        <v>2.3884724735073601</v>
      </c>
      <c r="Y112" s="10">
        <v>2.3867209477050602</v>
      </c>
      <c r="Z112" s="10">
        <v>2.3888918616728501</v>
      </c>
      <c r="AA112" s="10">
        <v>2.3883013374720301</v>
      </c>
      <c r="AB112" s="8">
        <v>277.026700400126</v>
      </c>
      <c r="AC112" s="8">
        <v>277.270013315011</v>
      </c>
      <c r="AD112" s="8">
        <v>277.19825801208401</v>
      </c>
      <c r="AE112" s="9">
        <v>-7.3359368986865997E-4</v>
      </c>
      <c r="AF112" s="9">
        <v>1.4432214290391001E-4</v>
      </c>
      <c r="AG112" s="9">
        <v>-1.14503499745823E-4</v>
      </c>
      <c r="AZ112" s="9"/>
      <c r="BB112">
        <f t="shared" si="22"/>
        <v>0</v>
      </c>
      <c r="BC112">
        <f t="shared" si="23"/>
        <v>0</v>
      </c>
      <c r="BD112">
        <f t="shared" si="24"/>
        <v>0</v>
      </c>
      <c r="BE112">
        <f t="shared" si="20"/>
        <v>1</v>
      </c>
      <c r="BF112">
        <f t="shared" si="25"/>
        <v>0</v>
      </c>
      <c r="BG112" s="9">
        <f t="shared" si="26"/>
        <v>0</v>
      </c>
      <c r="BH112" s="9">
        <f t="shared" si="27"/>
        <v>0</v>
      </c>
      <c r="BI112" s="9">
        <f t="shared" si="28"/>
        <v>0</v>
      </c>
      <c r="BJ112" s="12">
        <f t="shared" si="29"/>
        <v>1.3387788399909003E-3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0</v>
      </c>
      <c r="BX112" s="12">
        <f t="shared" si="38"/>
        <v>0</v>
      </c>
      <c r="BY112" s="12">
        <f t="shared" si="39"/>
        <v>1.3387788399909003E-3</v>
      </c>
    </row>
    <row r="113" spans="1:77" x14ac:dyDescent="0.3">
      <c r="A113" s="1">
        <v>46185</v>
      </c>
      <c r="B113" s="8">
        <v>116.74</v>
      </c>
      <c r="C113" s="8">
        <v>278.92</v>
      </c>
      <c r="D113" s="9">
        <v>5.7557823951136199E-3</v>
      </c>
      <c r="E113" s="9">
        <v>6.0775157847512799E-3</v>
      </c>
      <c r="F113" s="8">
        <v>0</v>
      </c>
      <c r="G113" s="8">
        <v>9.2999999999999999E-2</v>
      </c>
      <c r="H113" s="8">
        <v>0</v>
      </c>
      <c r="I113" s="8">
        <v>0.221</v>
      </c>
      <c r="J113" s="8">
        <v>0</v>
      </c>
      <c r="K113" s="8">
        <v>0</v>
      </c>
      <c r="L113" s="8">
        <v>116.74</v>
      </c>
      <c r="M113" s="8">
        <v>278.92</v>
      </c>
      <c r="N113" s="10">
        <v>2.38924104848381</v>
      </c>
      <c r="O113" s="10">
        <v>2.3867209477050602</v>
      </c>
      <c r="P113" s="10">
        <v>2.3888848579800102</v>
      </c>
      <c r="Q113" s="10">
        <v>2.3884170924745698</v>
      </c>
      <c r="R113" s="8">
        <v>278.62580343508898</v>
      </c>
      <c r="S113" s="8">
        <v>278.87923593168898</v>
      </c>
      <c r="T113" s="8">
        <v>278.81029813648502</v>
      </c>
      <c r="U113" s="9">
        <v>-1.05532707950612E-3</v>
      </c>
      <c r="V113" s="9">
        <v>-1.4616035934611699E-4</v>
      </c>
      <c r="W113" s="9">
        <v>-3.9338678675369699E-4</v>
      </c>
      <c r="X113" s="10">
        <v>2.38924104848381</v>
      </c>
      <c r="Y113" s="10">
        <v>2.3867209477050602</v>
      </c>
      <c r="Z113" s="10">
        <v>2.3888848579800102</v>
      </c>
      <c r="AA113" s="10">
        <v>2.3884170924745698</v>
      </c>
      <c r="AB113" s="8">
        <v>278.62580343508898</v>
      </c>
      <c r="AC113" s="8">
        <v>278.87923593168898</v>
      </c>
      <c r="AD113" s="8">
        <v>278.81029813648502</v>
      </c>
      <c r="AE113" s="9">
        <v>-1.05532707950612E-3</v>
      </c>
      <c r="AF113" s="9">
        <v>-1.4616035934611699E-4</v>
      </c>
      <c r="AG113" s="9">
        <v>-3.9338678675369699E-4</v>
      </c>
      <c r="AZ113" s="9"/>
      <c r="BB113">
        <f t="shared" si="22"/>
        <v>0</v>
      </c>
      <c r="BC113">
        <f t="shared" si="23"/>
        <v>0</v>
      </c>
      <c r="BD113">
        <f t="shared" si="24"/>
        <v>0</v>
      </c>
      <c r="BE113">
        <f t="shared" si="20"/>
        <v>1</v>
      </c>
      <c r="BF113">
        <f t="shared" si="25"/>
        <v>0</v>
      </c>
      <c r="BG113" s="9">
        <f t="shared" si="26"/>
        <v>0</v>
      </c>
      <c r="BH113" s="9">
        <f t="shared" si="27"/>
        <v>0</v>
      </c>
      <c r="BI113" s="9">
        <f t="shared" si="28"/>
        <v>0</v>
      </c>
      <c r="BJ113" s="12">
        <f t="shared" si="29"/>
        <v>1.3387788399909003E-3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1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0</v>
      </c>
      <c r="BX113" s="12">
        <f t="shared" si="38"/>
        <v>0</v>
      </c>
      <c r="BY113" s="12">
        <f t="shared" si="39"/>
        <v>1.3387788399909003E-3</v>
      </c>
    </row>
    <row r="114" spans="1:77" x14ac:dyDescent="0.3">
      <c r="A114" s="1">
        <v>46188</v>
      </c>
      <c r="B114" s="8">
        <v>120.73</v>
      </c>
      <c r="C114" s="8">
        <v>288.36</v>
      </c>
      <c r="D114" s="9">
        <v>3.3607407568651097E-2</v>
      </c>
      <c r="E114" s="9">
        <v>3.3284697183567698E-2</v>
      </c>
      <c r="F114" s="8">
        <v>0</v>
      </c>
      <c r="G114" s="8">
        <v>9.2999999999999999E-2</v>
      </c>
      <c r="H114" s="8">
        <v>0</v>
      </c>
      <c r="I114" s="8">
        <v>0.221</v>
      </c>
      <c r="J114" s="8">
        <v>0</v>
      </c>
      <c r="K114" s="8">
        <v>0</v>
      </c>
      <c r="L114" s="8">
        <v>120.73</v>
      </c>
      <c r="M114" s="8">
        <v>288.36</v>
      </c>
      <c r="N114" s="10">
        <v>2.38847013998177</v>
      </c>
      <c r="O114" s="10">
        <v>2.3867209477050602</v>
      </c>
      <c r="P114" s="10">
        <v>2.3888398516867002</v>
      </c>
      <c r="Q114" s="10">
        <v>2.3884513134441798</v>
      </c>
      <c r="R114" s="8">
        <v>288.14882001643201</v>
      </c>
      <c r="S114" s="8">
        <v>288.41006890392703</v>
      </c>
      <c r="T114" s="8">
        <v>288.35359557445503</v>
      </c>
      <c r="U114" s="9">
        <v>-7.3261669442276696E-4</v>
      </c>
      <c r="V114" s="9">
        <v>1.7361824669054099E-4</v>
      </c>
      <c r="W114" s="9">
        <v>-2.2210073056056599E-5</v>
      </c>
      <c r="X114" s="10">
        <v>2.38847013998177</v>
      </c>
      <c r="Y114" s="10">
        <v>2.3867209477050602</v>
      </c>
      <c r="Z114" s="10">
        <v>2.3888398516867002</v>
      </c>
      <c r="AA114" s="10">
        <v>2.3884513134441798</v>
      </c>
      <c r="AB114" s="8">
        <v>288.14882001643201</v>
      </c>
      <c r="AC114" s="8">
        <v>288.41006890392703</v>
      </c>
      <c r="AD114" s="8">
        <v>288.35359557445503</v>
      </c>
      <c r="AE114" s="9">
        <v>-7.3261669442276696E-4</v>
      </c>
      <c r="AF114" s="9">
        <v>1.7361824669054099E-4</v>
      </c>
      <c r="AG114" s="9">
        <v>-2.2210073056056599E-5</v>
      </c>
      <c r="AZ114" s="9"/>
      <c r="BB114">
        <f t="shared" si="22"/>
        <v>0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1.3387788399909003E-3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0</v>
      </c>
      <c r="BX114" s="12">
        <f t="shared" si="38"/>
        <v>0</v>
      </c>
      <c r="BY114" s="12">
        <f t="shared" si="39"/>
        <v>1.3387788399909003E-3</v>
      </c>
    </row>
    <row r="115" spans="1:77" x14ac:dyDescent="0.3">
      <c r="A115" s="1">
        <v>46189</v>
      </c>
      <c r="B115" s="8">
        <v>117.81</v>
      </c>
      <c r="C115" s="8">
        <v>281.39</v>
      </c>
      <c r="D115" s="9">
        <v>-2.4483490086268E-2</v>
      </c>
      <c r="E115" s="9">
        <v>-2.4468092090230001E-2</v>
      </c>
      <c r="F115" s="8">
        <v>0</v>
      </c>
      <c r="G115" s="8">
        <v>9.2999999999999999E-2</v>
      </c>
      <c r="H115" s="8">
        <v>0</v>
      </c>
      <c r="I115" s="8">
        <v>0.221</v>
      </c>
      <c r="J115" s="8">
        <v>0</v>
      </c>
      <c r="K115" s="8">
        <v>0</v>
      </c>
      <c r="L115" s="8">
        <v>117.81</v>
      </c>
      <c r="M115" s="8">
        <v>281.39</v>
      </c>
      <c r="N115" s="10">
        <v>2.3885069179186802</v>
      </c>
      <c r="O115" s="10">
        <v>2.3867209477050602</v>
      </c>
      <c r="P115" s="10">
        <v>2.3887543901828701</v>
      </c>
      <c r="Q115" s="10">
        <v>2.38852858121651</v>
      </c>
      <c r="R115" s="8">
        <v>281.17959484913303</v>
      </c>
      <c r="S115" s="8">
        <v>281.42922292720999</v>
      </c>
      <c r="T115" s="8">
        <v>281.38344923685901</v>
      </c>
      <c r="U115" s="9">
        <v>-7.4801469046081696E-4</v>
      </c>
      <c r="V115" s="9">
        <v>1.39380197678549E-4</v>
      </c>
      <c r="W115" s="9">
        <v>-2.3280284987488599E-5</v>
      </c>
      <c r="X115" s="10">
        <v>2.3885069179186802</v>
      </c>
      <c r="Y115" s="10">
        <v>2.3867209477050602</v>
      </c>
      <c r="Z115" s="10">
        <v>2.3887543901828701</v>
      </c>
      <c r="AA115" s="10">
        <v>2.38852858121651</v>
      </c>
      <c r="AB115" s="8">
        <v>281.17959484913303</v>
      </c>
      <c r="AC115" s="8">
        <v>281.42922292720999</v>
      </c>
      <c r="AD115" s="8">
        <v>281.38344923685901</v>
      </c>
      <c r="AE115" s="9">
        <v>-7.4801469046081696E-4</v>
      </c>
      <c r="AF115" s="9">
        <v>1.39380197678549E-4</v>
      </c>
      <c r="AG115" s="9">
        <v>-2.3280284987488599E-5</v>
      </c>
      <c r="AZ115" s="9"/>
      <c r="BB115">
        <f t="shared" si="22"/>
        <v>0</v>
      </c>
      <c r="BC115">
        <f t="shared" si="23"/>
        <v>0</v>
      </c>
      <c r="BD115">
        <f t="shared" si="24"/>
        <v>0</v>
      </c>
      <c r="BE115">
        <f t="shared" si="20"/>
        <v>1</v>
      </c>
      <c r="BF115">
        <f t="shared" si="25"/>
        <v>0</v>
      </c>
      <c r="BG115" s="9">
        <f t="shared" si="26"/>
        <v>0</v>
      </c>
      <c r="BH115" s="9">
        <f t="shared" si="27"/>
        <v>0</v>
      </c>
      <c r="BI115" s="9">
        <f t="shared" si="28"/>
        <v>0</v>
      </c>
      <c r="BJ115" s="12">
        <f t="shared" si="29"/>
        <v>1.3387788399909003E-3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0</v>
      </c>
      <c r="BX115" s="12">
        <f t="shared" si="38"/>
        <v>0</v>
      </c>
      <c r="BY115" s="12">
        <f t="shared" si="39"/>
        <v>1.3387788399909003E-3</v>
      </c>
    </row>
    <row r="116" spans="1:77" x14ac:dyDescent="0.3">
      <c r="A116" s="1">
        <v>46190</v>
      </c>
      <c r="B116" s="8">
        <v>116.93</v>
      </c>
      <c r="C116" s="8">
        <v>279.20999999999998</v>
      </c>
      <c r="D116" s="9">
        <v>-7.4976921058008102E-3</v>
      </c>
      <c r="E116" s="9">
        <v>-7.77742058041914E-3</v>
      </c>
      <c r="F116" s="8">
        <v>0</v>
      </c>
      <c r="G116" s="8">
        <v>9.2999999999999999E-2</v>
      </c>
      <c r="H116" s="8">
        <v>0</v>
      </c>
      <c r="I116" s="8">
        <v>0.221</v>
      </c>
      <c r="J116" s="8">
        <v>0</v>
      </c>
      <c r="K116" s="8">
        <v>0</v>
      </c>
      <c r="L116" s="8">
        <v>116.93</v>
      </c>
      <c r="M116" s="8">
        <v>279.20999999999998</v>
      </c>
      <c r="N116" s="10">
        <v>2.3878388779611699</v>
      </c>
      <c r="O116" s="10">
        <v>2.3867209477050602</v>
      </c>
      <c r="P116" s="10">
        <v>2.3886390769459802</v>
      </c>
      <c r="Q116" s="10">
        <v>2.38857870301988</v>
      </c>
      <c r="R116" s="8">
        <v>279.07928041515299</v>
      </c>
      <c r="S116" s="8">
        <v>279.31705084408298</v>
      </c>
      <c r="T116" s="8">
        <v>279.29064700164599</v>
      </c>
      <c r="U116" s="9">
        <v>-4.6828621584248201E-4</v>
      </c>
      <c r="V116" s="9">
        <v>3.83332714979083E-4</v>
      </c>
      <c r="W116" s="9">
        <v>2.8879824093444101E-4</v>
      </c>
      <c r="X116" s="10">
        <v>2.3878388779611699</v>
      </c>
      <c r="Y116" s="10">
        <v>2.3867209477050602</v>
      </c>
      <c r="Z116" s="10">
        <v>2.3886390769459802</v>
      </c>
      <c r="AA116" s="10">
        <v>2.38857870301988</v>
      </c>
      <c r="AB116" s="8">
        <v>279.07928041515299</v>
      </c>
      <c r="AC116" s="8">
        <v>279.31705084408298</v>
      </c>
      <c r="AD116" s="8">
        <v>279.29064700164599</v>
      </c>
      <c r="AE116" s="9">
        <v>-4.6828621584248201E-4</v>
      </c>
      <c r="AF116" s="9">
        <v>3.83332714979083E-4</v>
      </c>
      <c r="AG116" s="9">
        <v>2.8879824093444101E-4</v>
      </c>
      <c r="AZ116" s="9"/>
      <c r="BB116">
        <f t="shared" si="22"/>
        <v>0</v>
      </c>
      <c r="BC116">
        <f t="shared" si="23"/>
        <v>1</v>
      </c>
      <c r="BD116">
        <f t="shared" si="24"/>
        <v>0</v>
      </c>
      <c r="BE116">
        <f t="shared" si="20"/>
        <v>0</v>
      </c>
      <c r="BF116">
        <f t="shared" si="25"/>
        <v>0</v>
      </c>
      <c r="BG116" s="9">
        <f t="shared" si="26"/>
        <v>0</v>
      </c>
      <c r="BH116" s="9">
        <f t="shared" si="27"/>
        <v>0</v>
      </c>
      <c r="BI116" s="9">
        <f t="shared" si="28"/>
        <v>0</v>
      </c>
      <c r="BJ116" s="12">
        <f t="shared" si="29"/>
        <v>1.3387788399909003E-3</v>
      </c>
      <c r="BL116" s="9"/>
      <c r="BN116">
        <f t="shared" si="30"/>
        <v>0</v>
      </c>
      <c r="BO116">
        <f t="shared" si="31"/>
        <v>0</v>
      </c>
      <c r="BP116">
        <f t="shared" si="32"/>
        <v>0</v>
      </c>
      <c r="BQ116">
        <f t="shared" si="21"/>
        <v>0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0</v>
      </c>
      <c r="BX116" s="12">
        <f t="shared" si="38"/>
        <v>0</v>
      </c>
      <c r="BY116" s="12">
        <f t="shared" si="39"/>
        <v>1.3387788399909003E-3</v>
      </c>
    </row>
    <row r="117" spans="1:77" x14ac:dyDescent="0.3">
      <c r="A117" s="1">
        <v>46191</v>
      </c>
      <c r="B117" s="8">
        <v>120.04</v>
      </c>
      <c r="C117" s="8">
        <v>286.54000000000002</v>
      </c>
      <c r="D117" s="9">
        <v>2.6249555419939102E-2</v>
      </c>
      <c r="E117" s="9">
        <v>2.59139555994976E-2</v>
      </c>
      <c r="F117" s="8">
        <v>0</v>
      </c>
      <c r="G117" s="8">
        <v>9.2999999999999999E-2</v>
      </c>
      <c r="H117" s="8">
        <v>0.28899999999999998</v>
      </c>
      <c r="I117" s="8">
        <v>0.51</v>
      </c>
      <c r="J117" s="8">
        <v>0</v>
      </c>
      <c r="K117" s="8">
        <v>0</v>
      </c>
      <c r="L117" s="8">
        <v>120.04</v>
      </c>
      <c r="M117" s="8">
        <v>286.54000000000002</v>
      </c>
      <c r="N117" s="10">
        <v>2.3870376541152898</v>
      </c>
      <c r="O117" s="10">
        <v>2.3867209477050602</v>
      </c>
      <c r="P117" s="10">
        <v>2.38844038347459</v>
      </c>
      <c r="Q117" s="10">
        <v>2.38855959389572</v>
      </c>
      <c r="R117" s="8">
        <v>286.50198256251599</v>
      </c>
      <c r="S117" s="8">
        <v>286.732234796596</v>
      </c>
      <c r="T117" s="8">
        <v>286.72498751050603</v>
      </c>
      <c r="U117" s="9">
        <v>-1.3268639540076101E-4</v>
      </c>
      <c r="V117" s="9">
        <v>6.7065799504379797E-4</v>
      </c>
      <c r="W117" s="9">
        <v>6.4538222622191599E-4</v>
      </c>
      <c r="X117" s="10">
        <v>2.3870376541152898</v>
      </c>
      <c r="Y117" s="10">
        <v>2.3867209477050602</v>
      </c>
      <c r="Z117" s="10">
        <v>2.38844038347459</v>
      </c>
      <c r="AA117" s="10">
        <v>2.38855959389572</v>
      </c>
      <c r="AB117" s="8">
        <v>286.50198256251599</v>
      </c>
      <c r="AC117" s="8">
        <v>286.732234796596</v>
      </c>
      <c r="AD117" s="8">
        <v>286.72498751050603</v>
      </c>
      <c r="AE117" s="9">
        <v>-1.3268639540076101E-4</v>
      </c>
      <c r="AF117" s="9">
        <v>6.7065799504379797E-4</v>
      </c>
      <c r="AG117" s="9">
        <v>6.4538222622191599E-4</v>
      </c>
      <c r="AZ117" s="9"/>
      <c r="BB117">
        <f t="shared" si="22"/>
        <v>0</v>
      </c>
      <c r="BC117">
        <f t="shared" si="23"/>
        <v>1</v>
      </c>
      <c r="BD117">
        <f t="shared" si="24"/>
        <v>0</v>
      </c>
      <c r="BE117">
        <f t="shared" si="20"/>
        <v>1</v>
      </c>
      <c r="BF117">
        <f t="shared" si="25"/>
        <v>0</v>
      </c>
      <c r="BG117" s="9">
        <f t="shared" si="26"/>
        <v>0</v>
      </c>
      <c r="BH117" s="9">
        <f t="shared" si="27"/>
        <v>0</v>
      </c>
      <c r="BI117" s="9">
        <f t="shared" si="28"/>
        <v>0</v>
      </c>
      <c r="BJ117" s="12">
        <f t="shared" si="29"/>
        <v>1.3387788399909003E-3</v>
      </c>
      <c r="BL117" s="9"/>
      <c r="BN117">
        <f t="shared" si="30"/>
        <v>0</v>
      </c>
      <c r="BO117">
        <f t="shared" si="31"/>
        <v>0</v>
      </c>
      <c r="BP117">
        <f t="shared" si="32"/>
        <v>0</v>
      </c>
      <c r="BQ117">
        <f t="shared" si="21"/>
        <v>1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0</v>
      </c>
      <c r="BX117" s="12">
        <f t="shared" si="38"/>
        <v>0</v>
      </c>
      <c r="BY117" s="12">
        <f t="shared" si="39"/>
        <v>1.3387788399909003E-3</v>
      </c>
    </row>
    <row r="118" spans="1:77" x14ac:dyDescent="0.3">
      <c r="A118" s="1">
        <v>46195</v>
      </c>
      <c r="B118" s="8">
        <v>120.51</v>
      </c>
      <c r="C118" s="8">
        <v>287.68</v>
      </c>
      <c r="D118" s="9">
        <v>3.9077164671342196E-3</v>
      </c>
      <c r="E118" s="9">
        <v>3.9706088180292498E-3</v>
      </c>
      <c r="F118" s="8">
        <v>0</v>
      </c>
      <c r="G118" s="8">
        <v>9.2999999999999999E-2</v>
      </c>
      <c r="H118" s="8">
        <v>0</v>
      </c>
      <c r="I118" s="8">
        <v>0.51</v>
      </c>
      <c r="J118" s="8">
        <v>0</v>
      </c>
      <c r="K118" s="8">
        <v>0</v>
      </c>
      <c r="L118" s="8">
        <v>120.51</v>
      </c>
      <c r="M118" s="8">
        <v>287.68</v>
      </c>
      <c r="N118" s="10">
        <v>2.3871877852460299</v>
      </c>
      <c r="O118" s="10">
        <v>2.3867209477050602</v>
      </c>
      <c r="P118" s="10">
        <v>2.3883319586681799</v>
      </c>
      <c r="Q118" s="10">
        <v>2.3884893386475801</v>
      </c>
      <c r="R118" s="8">
        <v>287.62374140793702</v>
      </c>
      <c r="S118" s="8">
        <v>287.830950612523</v>
      </c>
      <c r="T118" s="8">
        <v>287.84531666037299</v>
      </c>
      <c r="U118" s="9">
        <v>-1.95578746295772E-4</v>
      </c>
      <c r="V118" s="9">
        <v>5.24579474377353E-4</v>
      </c>
      <c r="W118" s="9">
        <v>5.7448963628417701E-4</v>
      </c>
      <c r="X118" s="10">
        <v>2.3871877852460299</v>
      </c>
      <c r="Y118" s="10">
        <v>2.3867209477050602</v>
      </c>
      <c r="Z118" s="10">
        <v>2.3883319586681799</v>
      </c>
      <c r="AA118" s="10">
        <v>2.3884893386475801</v>
      </c>
      <c r="AB118" s="8">
        <v>287.62374140793702</v>
      </c>
      <c r="AC118" s="8">
        <v>287.830950612523</v>
      </c>
      <c r="AD118" s="8">
        <v>287.84531666037299</v>
      </c>
      <c r="AE118" s="9">
        <v>-1.95578746295772E-4</v>
      </c>
      <c r="AF118" s="9">
        <v>5.24579474377353E-4</v>
      </c>
      <c r="AG118" s="9">
        <v>5.7448963628417701E-4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1.3387788399909003E-3</v>
      </c>
      <c r="BL118" s="9"/>
      <c r="BN118">
        <f t="shared" si="30"/>
        <v>0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0</v>
      </c>
      <c r="BX118" s="12">
        <f t="shared" si="38"/>
        <v>0</v>
      </c>
      <c r="BY118" s="12">
        <f t="shared" si="39"/>
        <v>1.3387788399909003E-3</v>
      </c>
    </row>
    <row r="119" spans="1:77" x14ac:dyDescent="0.3">
      <c r="A119" s="1">
        <v>46196</v>
      </c>
      <c r="B119" s="8">
        <v>116.07</v>
      </c>
      <c r="C119" s="8">
        <v>277.02999999999997</v>
      </c>
      <c r="D119" s="9">
        <v>-3.7539279658769201E-2</v>
      </c>
      <c r="E119" s="9">
        <v>-3.7722947711193E-2</v>
      </c>
      <c r="F119" s="8">
        <v>0</v>
      </c>
      <c r="G119" s="8">
        <v>9.2999999999999999E-2</v>
      </c>
      <c r="H119" s="8">
        <v>0</v>
      </c>
      <c r="I119" s="8">
        <v>0.51</v>
      </c>
      <c r="J119" s="8">
        <v>0</v>
      </c>
      <c r="K119" s="8">
        <v>0</v>
      </c>
      <c r="L119" s="8">
        <v>116.07</v>
      </c>
      <c r="M119" s="8">
        <v>277.02999999999997</v>
      </c>
      <c r="N119" s="10">
        <v>2.3867493753769198</v>
      </c>
      <c r="O119" s="10">
        <v>2.3867209477050602</v>
      </c>
      <c r="P119" s="10">
        <v>2.3881241669947801</v>
      </c>
      <c r="Q119" s="10">
        <v>2.3884531573084402</v>
      </c>
      <c r="R119" s="8">
        <v>277.026700400126</v>
      </c>
      <c r="S119" s="8">
        <v>277.21369044261502</v>
      </c>
      <c r="T119" s="8">
        <v>277.23195753682501</v>
      </c>
      <c r="U119" s="9">
        <v>-1.19106938721804E-5</v>
      </c>
      <c r="V119" s="9">
        <v>6.6285084524744602E-4</v>
      </c>
      <c r="W119" s="9">
        <v>7.2874402804298604E-4</v>
      </c>
      <c r="X119" s="10">
        <v>2.3867493753769198</v>
      </c>
      <c r="Y119" s="10">
        <v>2.3867209477050602</v>
      </c>
      <c r="Z119" s="10">
        <v>2.3881241669947801</v>
      </c>
      <c r="AA119" s="10">
        <v>2.3884531573084402</v>
      </c>
      <c r="AB119" s="8">
        <v>277.026700400126</v>
      </c>
      <c r="AC119" s="8">
        <v>277.21369044261502</v>
      </c>
      <c r="AD119" s="8">
        <v>277.23195753682501</v>
      </c>
      <c r="AE119" s="9">
        <v>-1.19106938721804E-5</v>
      </c>
      <c r="AF119" s="9">
        <v>6.6285084524744602E-4</v>
      </c>
      <c r="AG119" s="9">
        <v>7.2874402804298604E-4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0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1.3387788399909003E-3</v>
      </c>
      <c r="BL119" s="9"/>
      <c r="BN119">
        <f t="shared" si="30"/>
        <v>0</v>
      </c>
      <c r="BO119">
        <f t="shared" si="31"/>
        <v>0</v>
      </c>
      <c r="BP119">
        <f t="shared" si="32"/>
        <v>0</v>
      </c>
      <c r="BQ119">
        <f t="shared" si="21"/>
        <v>0</v>
      </c>
      <c r="BR119">
        <f t="shared" si="33"/>
        <v>0</v>
      </c>
      <c r="BS119" s="9">
        <f t="shared" si="34"/>
        <v>0</v>
      </c>
      <c r="BT119" s="9">
        <f t="shared" si="35"/>
        <v>0</v>
      </c>
      <c r="BU119" s="9">
        <f t="shared" si="36"/>
        <v>0</v>
      </c>
      <c r="BV119" s="12">
        <f t="shared" si="37"/>
        <v>0</v>
      </c>
      <c r="BX119" s="12">
        <f t="shared" si="38"/>
        <v>0</v>
      </c>
      <c r="BY119" s="12">
        <f t="shared" si="39"/>
        <v>1.3387788399909003E-3</v>
      </c>
    </row>
    <row r="120" spans="1:77" x14ac:dyDescent="0.3">
      <c r="A120" s="1">
        <v>46197</v>
      </c>
      <c r="B120" s="8">
        <v>115.13</v>
      </c>
      <c r="C120" s="8">
        <v>275.02</v>
      </c>
      <c r="D120" s="9">
        <v>-8.1315326949582007E-3</v>
      </c>
      <c r="E120" s="9">
        <v>-7.28198127726375E-3</v>
      </c>
      <c r="F120" s="8">
        <v>0.1384</v>
      </c>
      <c r="G120" s="8">
        <v>0.23139999999999999</v>
      </c>
      <c r="H120" s="8">
        <v>0</v>
      </c>
      <c r="I120" s="8">
        <v>0.51</v>
      </c>
      <c r="J120" s="8">
        <v>0</v>
      </c>
      <c r="K120" s="8">
        <v>0</v>
      </c>
      <c r="L120" s="8">
        <v>115.13</v>
      </c>
      <c r="M120" s="8">
        <v>275.02</v>
      </c>
      <c r="N120" s="10">
        <v>2.3887779032398102</v>
      </c>
      <c r="O120" s="10">
        <v>2.3867209477050602</v>
      </c>
      <c r="P120" s="10">
        <v>2.38817249388716</v>
      </c>
      <c r="Q120" s="10">
        <v>2.3884638440841499</v>
      </c>
      <c r="R120" s="8">
        <v>274.78318270928401</v>
      </c>
      <c r="S120" s="8">
        <v>274.94473534610898</v>
      </c>
      <c r="T120" s="8">
        <v>274.98261200092099</v>
      </c>
      <c r="U120" s="9">
        <v>-8.61462111566584E-4</v>
      </c>
      <c r="V120" s="9">
        <v>-2.7370720165459497E-4</v>
      </c>
      <c r="W120" s="9">
        <v>-1.35955714830354E-4</v>
      </c>
      <c r="X120" s="10">
        <v>2.3887779032398102</v>
      </c>
      <c r="Y120" s="10">
        <v>2.3867209477050602</v>
      </c>
      <c r="Z120" s="10">
        <v>2.38817249388716</v>
      </c>
      <c r="AA120" s="10">
        <v>2.3884638440841499</v>
      </c>
      <c r="AB120" s="8">
        <v>274.78318270928401</v>
      </c>
      <c r="AC120" s="8">
        <v>274.94473534610898</v>
      </c>
      <c r="AD120" s="8">
        <v>274.98261200092099</v>
      </c>
      <c r="AE120" s="9">
        <v>-8.61462111566584E-4</v>
      </c>
      <c r="AF120" s="9">
        <v>-2.7370720165459497E-4</v>
      </c>
      <c r="AG120" s="9">
        <v>-1.35955714830354E-4</v>
      </c>
      <c r="AZ120" s="9"/>
      <c r="BB120">
        <f t="shared" si="22"/>
        <v>0</v>
      </c>
      <c r="BC120">
        <f t="shared" si="23"/>
        <v>0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1.3387788399909003E-3</v>
      </c>
      <c r="BL120" s="9"/>
      <c r="BN120">
        <f t="shared" si="30"/>
        <v>0</v>
      </c>
      <c r="BO120">
        <f t="shared" si="31"/>
        <v>1</v>
      </c>
      <c r="BP120">
        <f t="shared" si="32"/>
        <v>0</v>
      </c>
      <c r="BQ120">
        <f t="shared" si="21"/>
        <v>1</v>
      </c>
      <c r="BR120">
        <f t="shared" si="33"/>
        <v>0</v>
      </c>
      <c r="BS120" s="9">
        <f t="shared" si="34"/>
        <v>0</v>
      </c>
      <c r="BT120" s="9">
        <f t="shared" si="35"/>
        <v>0</v>
      </c>
      <c r="BU120" s="9">
        <f t="shared" si="36"/>
        <v>0</v>
      </c>
      <c r="BV120" s="12">
        <f t="shared" si="37"/>
        <v>0</v>
      </c>
      <c r="BX120" s="12">
        <f t="shared" si="38"/>
        <v>0</v>
      </c>
      <c r="BY120" s="12">
        <f t="shared" si="39"/>
        <v>1.3387788399909003E-3</v>
      </c>
    </row>
    <row r="121" spans="1:77" x14ac:dyDescent="0.3">
      <c r="A121" s="1">
        <v>46198</v>
      </c>
      <c r="B121" s="8">
        <v>115.47</v>
      </c>
      <c r="C121" s="8">
        <v>275.85000000000002</v>
      </c>
      <c r="D121" s="9">
        <v>2.9488312781914298E-3</v>
      </c>
      <c r="E121" s="9">
        <v>3.0134174236413499E-3</v>
      </c>
      <c r="F121" s="8">
        <v>0</v>
      </c>
      <c r="G121" s="8">
        <v>0.23139999999999999</v>
      </c>
      <c r="H121" s="8">
        <v>0</v>
      </c>
      <c r="I121" s="8">
        <v>0.51</v>
      </c>
      <c r="J121" s="8">
        <v>0</v>
      </c>
      <c r="K121" s="8">
        <v>0</v>
      </c>
      <c r="L121" s="8">
        <v>115.47</v>
      </c>
      <c r="M121" s="8">
        <v>275.85000000000002</v>
      </c>
      <c r="N121" s="10">
        <v>2.38893219017926</v>
      </c>
      <c r="O121" s="10">
        <v>2.3867209477050602</v>
      </c>
      <c r="P121" s="10">
        <v>2.38812143660101</v>
      </c>
      <c r="Q121" s="10">
        <v>2.38846932222491</v>
      </c>
      <c r="R121" s="8">
        <v>275.59466783150299</v>
      </c>
      <c r="S121" s="8">
        <v>275.76227786915098</v>
      </c>
      <c r="T121" s="8">
        <v>275.79592007639701</v>
      </c>
      <c r="U121" s="9">
        <v>-9.2604825701646904E-4</v>
      </c>
      <c r="V121" s="9">
        <v>-3.1805721195100401E-4</v>
      </c>
      <c r="W121" s="9">
        <v>-1.9606752015223901E-4</v>
      </c>
      <c r="X121" s="10">
        <v>2.38893219017926</v>
      </c>
      <c r="Y121" s="10">
        <v>2.3867209477050602</v>
      </c>
      <c r="Z121" s="10">
        <v>2.38812143660101</v>
      </c>
      <c r="AA121" s="10">
        <v>2.38846932222491</v>
      </c>
      <c r="AB121" s="8">
        <v>275.59466783150299</v>
      </c>
      <c r="AC121" s="8">
        <v>275.76227786915098</v>
      </c>
      <c r="AD121" s="8">
        <v>275.79592007639701</v>
      </c>
      <c r="AE121" s="9">
        <v>-9.2604825701646904E-4</v>
      </c>
      <c r="AF121" s="9">
        <v>-3.1805721195100401E-4</v>
      </c>
      <c r="AG121" s="9">
        <v>-1.9606752015223901E-4</v>
      </c>
      <c r="AZ121" s="9"/>
      <c r="BB121">
        <f t="shared" si="22"/>
        <v>0</v>
      </c>
      <c r="BC121">
        <f t="shared" si="23"/>
        <v>0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1.3387788399909003E-3</v>
      </c>
      <c r="BL121" s="9"/>
      <c r="BN121">
        <f t="shared" si="30"/>
        <v>0</v>
      </c>
      <c r="BO121">
        <f t="shared" si="31"/>
        <v>1</v>
      </c>
      <c r="BP121">
        <f t="shared" si="32"/>
        <v>0</v>
      </c>
      <c r="BQ121">
        <f t="shared" si="21"/>
        <v>1</v>
      </c>
      <c r="BR121">
        <f t="shared" si="33"/>
        <v>0</v>
      </c>
      <c r="BS121" s="9">
        <f t="shared" si="34"/>
        <v>0</v>
      </c>
      <c r="BT121" s="9">
        <f t="shared" si="35"/>
        <v>0</v>
      </c>
      <c r="BU121" s="9">
        <f t="shared" si="36"/>
        <v>0</v>
      </c>
      <c r="BV121" s="12">
        <f t="shared" si="37"/>
        <v>0</v>
      </c>
      <c r="BX121" s="12">
        <f t="shared" si="38"/>
        <v>0</v>
      </c>
      <c r="BY121" s="12">
        <f t="shared" si="39"/>
        <v>1.3387788399909003E-3</v>
      </c>
    </row>
    <row r="122" spans="1:77" x14ac:dyDescent="0.3">
      <c r="A122" s="1">
        <v>46199</v>
      </c>
      <c r="B122" s="8">
        <v>113.86</v>
      </c>
      <c r="C122" s="8">
        <v>272.48</v>
      </c>
      <c r="D122" s="9">
        <v>-1.4041132440828601E-2</v>
      </c>
      <c r="E122" s="9">
        <v>-1.22920228040616E-2</v>
      </c>
      <c r="F122" s="8">
        <v>0</v>
      </c>
      <c r="G122" s="8">
        <v>0.23139999999999999</v>
      </c>
      <c r="H122" s="8">
        <v>0</v>
      </c>
      <c r="I122" s="8">
        <v>0.51</v>
      </c>
      <c r="J122" s="8">
        <v>0</v>
      </c>
      <c r="K122" s="8">
        <v>0</v>
      </c>
      <c r="L122" s="8">
        <v>113.86</v>
      </c>
      <c r="M122" s="8">
        <v>272.48</v>
      </c>
      <c r="N122" s="10">
        <v>2.3931143509573101</v>
      </c>
      <c r="O122" s="10">
        <v>2.3867209477050602</v>
      </c>
      <c r="P122" s="10">
        <v>2.38858562434601</v>
      </c>
      <c r="Q122" s="10">
        <v>2.38873874300943</v>
      </c>
      <c r="R122" s="8">
        <v>271.75204710569801</v>
      </c>
      <c r="S122" s="8">
        <v>271.91150677139098</v>
      </c>
      <c r="T122" s="8">
        <v>271.95111702852802</v>
      </c>
      <c r="U122" s="9">
        <v>-2.6751578937833699E-3</v>
      </c>
      <c r="V122" s="9">
        <v>-2.0885463060523902E-3</v>
      </c>
      <c r="W122" s="9">
        <v>-1.94288357626132E-3</v>
      </c>
      <c r="X122" s="10">
        <v>2.3931143509573101</v>
      </c>
      <c r="Y122" s="10">
        <v>2.3867209477050602</v>
      </c>
      <c r="Z122" s="10">
        <v>2.38858562434601</v>
      </c>
      <c r="AA122" s="10">
        <v>2.38873874300943</v>
      </c>
      <c r="AB122" s="8">
        <v>271.75204710569801</v>
      </c>
      <c r="AC122" s="8">
        <v>271.91150677139098</v>
      </c>
      <c r="AD122" s="8">
        <v>271.95111702852802</v>
      </c>
      <c r="AE122" s="9">
        <v>-2.6751578937833699E-3</v>
      </c>
      <c r="AF122" s="9">
        <v>-2.0885463060523902E-3</v>
      </c>
      <c r="AG122" s="9">
        <v>-1.94288357626132E-3</v>
      </c>
      <c r="AZ122" s="9"/>
      <c r="BB122">
        <f t="shared" si="22"/>
        <v>1</v>
      </c>
      <c r="BC122">
        <f t="shared" si="23"/>
        <v>0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1.3387788399909003E-3</v>
      </c>
      <c r="BL122" s="9"/>
      <c r="BN122">
        <f t="shared" si="30"/>
        <v>0</v>
      </c>
      <c r="BO122">
        <f t="shared" si="31"/>
        <v>1</v>
      </c>
      <c r="BP122">
        <f t="shared" si="32"/>
        <v>0</v>
      </c>
      <c r="BQ122">
        <f t="shared" si="21"/>
        <v>1</v>
      </c>
      <c r="BR122">
        <f t="shared" si="33"/>
        <v>0</v>
      </c>
      <c r="BS122" s="9">
        <f t="shared" si="34"/>
        <v>0</v>
      </c>
      <c r="BT122" s="9">
        <f t="shared" si="35"/>
        <v>0</v>
      </c>
      <c r="BU122" s="9">
        <f t="shared" si="36"/>
        <v>0</v>
      </c>
      <c r="BV122" s="12">
        <f t="shared" si="37"/>
        <v>0</v>
      </c>
      <c r="BX122" s="12">
        <f t="shared" si="38"/>
        <v>0</v>
      </c>
      <c r="BY122" s="12">
        <f t="shared" si="39"/>
        <v>1.3387788399909003E-3</v>
      </c>
    </row>
    <row r="123" spans="1:77" x14ac:dyDescent="0.3">
      <c r="A123" s="1">
        <v>46202</v>
      </c>
      <c r="B123" s="8">
        <v>116.5</v>
      </c>
      <c r="C123" s="8">
        <v>278.33999999999997</v>
      </c>
      <c r="D123" s="9">
        <v>2.2921649482819301E-2</v>
      </c>
      <c r="E123" s="9">
        <v>2.1278171077328999E-2</v>
      </c>
      <c r="F123" s="8">
        <v>0</v>
      </c>
      <c r="G123" s="8">
        <v>0.23139999999999999</v>
      </c>
      <c r="H123" s="8">
        <v>0</v>
      </c>
      <c r="I123" s="8">
        <v>0.51</v>
      </c>
      <c r="J123" s="8">
        <v>0</v>
      </c>
      <c r="K123" s="8">
        <v>0</v>
      </c>
      <c r="L123" s="8">
        <v>116.5</v>
      </c>
      <c r="M123" s="8">
        <v>278.33999999999997</v>
      </c>
      <c r="N123" s="10">
        <v>2.3891845493562198</v>
      </c>
      <c r="O123" s="10">
        <v>2.3867209477050602</v>
      </c>
      <c r="P123" s="10">
        <v>2.3885799744332501</v>
      </c>
      <c r="Q123" s="10">
        <v>2.3887324162066301</v>
      </c>
      <c r="R123" s="8">
        <v>278.05299040763998</v>
      </c>
      <c r="S123" s="8">
        <v>278.27022523631001</v>
      </c>
      <c r="T123" s="8">
        <v>278.288063560598</v>
      </c>
      <c r="U123" s="9">
        <v>-1.0316794882928701E-3</v>
      </c>
      <c r="V123" s="9">
        <v>-2.50713195308608E-4</v>
      </c>
      <c r="W123" s="9">
        <v>-1.8661092730220199E-4</v>
      </c>
      <c r="X123" s="10">
        <v>2.3891845493562198</v>
      </c>
      <c r="Y123" s="10">
        <v>2.3867209477050602</v>
      </c>
      <c r="Z123" s="10">
        <v>2.3885799744332501</v>
      </c>
      <c r="AA123" s="10">
        <v>2.3887324162066301</v>
      </c>
      <c r="AB123" s="8">
        <v>278.05299040763998</v>
      </c>
      <c r="AC123" s="8">
        <v>278.27022523631001</v>
      </c>
      <c r="AD123" s="8">
        <v>278.288063560598</v>
      </c>
      <c r="AE123" s="9">
        <v>-1.0316794882928701E-3</v>
      </c>
      <c r="AF123" s="9">
        <v>-2.50713195308608E-4</v>
      </c>
      <c r="AG123" s="9">
        <v>-1.8661092730220199E-4</v>
      </c>
      <c r="AZ123" s="9"/>
      <c r="BB123">
        <f t="shared" si="22"/>
        <v>0</v>
      </c>
      <c r="BC123">
        <f t="shared" si="23"/>
        <v>0</v>
      </c>
      <c r="BD123">
        <f t="shared" si="24"/>
        <v>1</v>
      </c>
      <c r="BE123">
        <f t="shared" si="20"/>
        <v>1</v>
      </c>
      <c r="BF123">
        <f t="shared" si="25"/>
        <v>1</v>
      </c>
      <c r="BG123" s="9">
        <f t="shared" si="26"/>
        <v>2.2921649482819301E-2</v>
      </c>
      <c r="BH123" s="9">
        <f t="shared" si="27"/>
        <v>-2.1278171077328999E-2</v>
      </c>
      <c r="BI123" s="9">
        <f t="shared" si="28"/>
        <v>1.6434784054903014E-3</v>
      </c>
      <c r="BJ123" s="12">
        <f t="shared" si="29"/>
        <v>2.9822572454812016E-3</v>
      </c>
      <c r="BL123" s="9"/>
      <c r="BN123">
        <f t="shared" si="30"/>
        <v>0</v>
      </c>
      <c r="BO123">
        <f t="shared" si="31"/>
        <v>1</v>
      </c>
      <c r="BP123">
        <f t="shared" si="32"/>
        <v>0</v>
      </c>
      <c r="BQ123">
        <f t="shared" si="21"/>
        <v>1</v>
      </c>
      <c r="BR123">
        <f t="shared" si="33"/>
        <v>0</v>
      </c>
      <c r="BS123" s="9">
        <f t="shared" si="34"/>
        <v>0</v>
      </c>
      <c r="BT123" s="9">
        <f t="shared" si="35"/>
        <v>0</v>
      </c>
      <c r="BU123" s="9">
        <f t="shared" si="36"/>
        <v>0</v>
      </c>
      <c r="BV123" s="12">
        <f t="shared" si="37"/>
        <v>0</v>
      </c>
      <c r="BX123" s="12">
        <f t="shared" si="38"/>
        <v>1.6434784054903014E-3</v>
      </c>
      <c r="BY123" s="12">
        <f t="shared" si="39"/>
        <v>2.9822572454812016E-3</v>
      </c>
    </row>
    <row r="124" spans="1:77" x14ac:dyDescent="0.3">
      <c r="A124" s="1">
        <v>46203</v>
      </c>
      <c r="B124" s="8">
        <v>119.52</v>
      </c>
      <c r="C124" s="8">
        <v>285.58</v>
      </c>
      <c r="D124" s="9">
        <v>2.5592448378751801E-2</v>
      </c>
      <c r="E124" s="9">
        <v>2.5678812010441799E-2</v>
      </c>
      <c r="F124" s="8">
        <v>0</v>
      </c>
      <c r="G124" s="8">
        <v>0.23139999999999999</v>
      </c>
      <c r="H124" s="8">
        <v>0</v>
      </c>
      <c r="I124" s="8">
        <v>0.51</v>
      </c>
      <c r="J124" s="8">
        <v>0</v>
      </c>
      <c r="K124" s="8">
        <v>0</v>
      </c>
      <c r="L124" s="8">
        <v>119.52</v>
      </c>
      <c r="M124" s="8">
        <v>285.58</v>
      </c>
      <c r="N124" s="10">
        <v>2.38939089692101</v>
      </c>
      <c r="O124" s="10">
        <v>2.3867209477050602</v>
      </c>
      <c r="P124" s="10">
        <v>2.3886720501271701</v>
      </c>
      <c r="Q124" s="10">
        <v>2.38875595090694</v>
      </c>
      <c r="R124" s="8">
        <v>285.26088766970901</v>
      </c>
      <c r="S124" s="8">
        <v>285.48307854426201</v>
      </c>
      <c r="T124" s="8">
        <v>285.50129838501698</v>
      </c>
      <c r="U124" s="9">
        <v>-1.11804311998293E-3</v>
      </c>
      <c r="V124" s="9">
        <v>-3.3944220983602E-4</v>
      </c>
      <c r="W124" s="9">
        <v>-2.7562315804705099E-4</v>
      </c>
      <c r="X124" s="10">
        <v>2.38939089692101</v>
      </c>
      <c r="Y124" s="10">
        <v>2.3867209477050602</v>
      </c>
      <c r="Z124" s="10">
        <v>2.3886720501271701</v>
      </c>
      <c r="AA124" s="10">
        <v>2.38875595090694</v>
      </c>
      <c r="AB124" s="8">
        <v>285.26088766970901</v>
      </c>
      <c r="AC124" s="8">
        <v>285.48307854426201</v>
      </c>
      <c r="AD124" s="8">
        <v>285.50129838501698</v>
      </c>
      <c r="AE124" s="9">
        <v>-1.11804311998293E-3</v>
      </c>
      <c r="AF124" s="9">
        <v>-3.3944220983602E-4</v>
      </c>
      <c r="AG124" s="9">
        <v>-2.7562315804705099E-4</v>
      </c>
      <c r="AZ124" s="9"/>
      <c r="BB124">
        <f t="shared" si="22"/>
        <v>0</v>
      </c>
      <c r="BC124">
        <f t="shared" si="23"/>
        <v>0</v>
      </c>
      <c r="BD124">
        <f t="shared" si="24"/>
        <v>1</v>
      </c>
      <c r="BE124">
        <f t="shared" si="20"/>
        <v>1</v>
      </c>
      <c r="BF124">
        <f t="shared" si="25"/>
        <v>1</v>
      </c>
      <c r="BG124" s="9">
        <f t="shared" si="26"/>
        <v>2.5592448378751801E-2</v>
      </c>
      <c r="BH124" s="9">
        <f t="shared" si="27"/>
        <v>-2.5678812010441799E-2</v>
      </c>
      <c r="BI124" s="9">
        <f t="shared" si="28"/>
        <v>-8.6363631689997944E-5</v>
      </c>
      <c r="BJ124" s="12">
        <f t="shared" si="29"/>
        <v>2.8958936137912037E-3</v>
      </c>
      <c r="BL124" s="9"/>
      <c r="BN124">
        <f t="shared" si="30"/>
        <v>0</v>
      </c>
      <c r="BO124">
        <f t="shared" si="31"/>
        <v>1</v>
      </c>
      <c r="BP124">
        <f t="shared" si="32"/>
        <v>0</v>
      </c>
      <c r="BQ124">
        <f t="shared" si="21"/>
        <v>1</v>
      </c>
      <c r="BR124">
        <f t="shared" si="33"/>
        <v>0</v>
      </c>
      <c r="BS124" s="9">
        <f t="shared" si="34"/>
        <v>0</v>
      </c>
      <c r="BT124" s="9">
        <f t="shared" si="35"/>
        <v>0</v>
      </c>
      <c r="BU124" s="9">
        <f t="shared" si="36"/>
        <v>0</v>
      </c>
      <c r="BV124" s="12">
        <f t="shared" si="37"/>
        <v>0</v>
      </c>
      <c r="BX124" s="12">
        <f t="shared" si="38"/>
        <v>-8.6363631689997944E-5</v>
      </c>
      <c r="BY124" s="12">
        <f t="shared" si="39"/>
        <v>2.8958936137912037E-3</v>
      </c>
    </row>
    <row r="125" spans="1:77" x14ac:dyDescent="0.3">
      <c r="A125" s="1">
        <v>46204</v>
      </c>
      <c r="B125" s="8">
        <v>117.22</v>
      </c>
      <c r="C125" s="8">
        <v>279.98</v>
      </c>
      <c r="D125" s="9">
        <v>-1.9431210336224001E-2</v>
      </c>
      <c r="E125" s="9">
        <v>-1.9804027955469899E-2</v>
      </c>
      <c r="F125" s="8">
        <v>0</v>
      </c>
      <c r="G125" s="8">
        <v>0.23139999999999999</v>
      </c>
      <c r="H125" s="8">
        <v>0</v>
      </c>
      <c r="I125" s="8">
        <v>0.51</v>
      </c>
      <c r="J125" s="8">
        <v>0</v>
      </c>
      <c r="K125" s="8">
        <v>0</v>
      </c>
      <c r="L125" s="8">
        <v>117.22</v>
      </c>
      <c r="M125" s="8">
        <v>279.98</v>
      </c>
      <c r="N125" s="10">
        <v>2.3885002559290198</v>
      </c>
      <c r="O125" s="10">
        <v>2.3867209477050602</v>
      </c>
      <c r="P125" s="10">
        <v>2.3886713839281999</v>
      </c>
      <c r="Q125" s="10">
        <v>2.3887128870555401</v>
      </c>
      <c r="R125" s="8">
        <v>279.77142948998699</v>
      </c>
      <c r="S125" s="8">
        <v>280.00013771590699</v>
      </c>
      <c r="T125" s="8">
        <v>280.00997256531099</v>
      </c>
      <c r="U125" s="9">
        <v>-7.4522550073701399E-4</v>
      </c>
      <c r="V125" s="9">
        <v>7.1922964976478302E-5</v>
      </c>
      <c r="W125" s="9">
        <v>1.0704679300941199E-4</v>
      </c>
      <c r="X125" s="10">
        <v>2.3885002559290198</v>
      </c>
      <c r="Y125" s="10">
        <v>2.3867209477050602</v>
      </c>
      <c r="Z125" s="10">
        <v>2.3886713839281999</v>
      </c>
      <c r="AA125" s="10">
        <v>2.3887128870555401</v>
      </c>
      <c r="AB125" s="8">
        <v>279.77142948998699</v>
      </c>
      <c r="AC125" s="8">
        <v>280.00013771590699</v>
      </c>
      <c r="AD125" s="8">
        <v>280.00997256531099</v>
      </c>
      <c r="AE125" s="9">
        <v>-7.4522550073701399E-4</v>
      </c>
      <c r="AF125" s="9">
        <v>7.1922964976478302E-5</v>
      </c>
      <c r="AG125" s="9">
        <v>1.0704679300941199E-4</v>
      </c>
      <c r="AZ125" s="9"/>
      <c r="BB125">
        <f t="shared" si="22"/>
        <v>0</v>
      </c>
      <c r="BC125">
        <f t="shared" si="23"/>
        <v>1</v>
      </c>
      <c r="BD125">
        <f t="shared" si="24"/>
        <v>1</v>
      </c>
      <c r="BE125">
        <f t="shared" si="20"/>
        <v>1</v>
      </c>
      <c r="BF125">
        <f t="shared" si="25"/>
        <v>1</v>
      </c>
      <c r="BG125" s="9">
        <f t="shared" si="26"/>
        <v>-1.9431210336224001E-2</v>
      </c>
      <c r="BH125" s="9">
        <f t="shared" si="27"/>
        <v>1.9804027955469899E-2</v>
      </c>
      <c r="BI125" s="9">
        <f t="shared" si="28"/>
        <v>3.728176192458986E-4</v>
      </c>
      <c r="BJ125" s="12">
        <f t="shared" si="29"/>
        <v>3.2687112330371023E-3</v>
      </c>
      <c r="BL125" s="9"/>
      <c r="BN125">
        <f t="shared" si="30"/>
        <v>0</v>
      </c>
      <c r="BO125">
        <f t="shared" si="31"/>
        <v>0</v>
      </c>
      <c r="BP125">
        <f t="shared" si="32"/>
        <v>0</v>
      </c>
      <c r="BQ125">
        <f t="shared" si="21"/>
        <v>1</v>
      </c>
      <c r="BR125">
        <f t="shared" si="33"/>
        <v>0</v>
      </c>
      <c r="BS125" s="9">
        <f t="shared" si="34"/>
        <v>0</v>
      </c>
      <c r="BT125" s="9">
        <f t="shared" si="35"/>
        <v>0</v>
      </c>
      <c r="BU125" s="9">
        <f t="shared" si="36"/>
        <v>0</v>
      </c>
      <c r="BV125" s="12">
        <f t="shared" si="37"/>
        <v>0</v>
      </c>
      <c r="BX125" s="12">
        <f t="shared" si="38"/>
        <v>3.728176192458986E-4</v>
      </c>
      <c r="BY125" s="12">
        <f t="shared" si="39"/>
        <v>3.2687112330371023E-3</v>
      </c>
    </row>
    <row r="126" spans="1:77" x14ac:dyDescent="0.3">
      <c r="A126" s="1">
        <v>46205</v>
      </c>
      <c r="B126" s="8">
        <v>114.64</v>
      </c>
      <c r="C126" s="8">
        <v>273.89</v>
      </c>
      <c r="D126" s="9">
        <v>-2.2255727528366701E-2</v>
      </c>
      <c r="E126" s="9">
        <v>-2.1991606119205E-2</v>
      </c>
      <c r="F126" s="8">
        <v>0</v>
      </c>
      <c r="G126" s="8">
        <v>0.23139999999999999</v>
      </c>
      <c r="H126" s="8">
        <v>0</v>
      </c>
      <c r="I126" s="8">
        <v>0.51</v>
      </c>
      <c r="J126" s="8">
        <v>0</v>
      </c>
      <c r="K126" s="8">
        <v>0</v>
      </c>
      <c r="L126" s="8">
        <v>114.64</v>
      </c>
      <c r="M126" s="8">
        <v>273.89</v>
      </c>
      <c r="N126" s="10">
        <v>2.3891311933007602</v>
      </c>
      <c r="O126" s="10">
        <v>2.3867209477050602</v>
      </c>
      <c r="P126" s="10">
        <v>2.3888006154621602</v>
      </c>
      <c r="Q126" s="10">
        <v>2.38871984620407</v>
      </c>
      <c r="R126" s="8">
        <v>273.613689444908</v>
      </c>
      <c r="S126" s="8">
        <v>273.83728745352897</v>
      </c>
      <c r="T126" s="8">
        <v>273.84204537204698</v>
      </c>
      <c r="U126" s="9">
        <v>-1.0093469098987401E-3</v>
      </c>
      <c r="V126" s="9">
        <v>-1.9247734352567699E-4</v>
      </c>
      <c r="W126" s="9">
        <v>-1.7510251036141199E-4</v>
      </c>
      <c r="X126" s="10">
        <v>2.3891311933007602</v>
      </c>
      <c r="Y126" s="10">
        <v>2.3867209477050602</v>
      </c>
      <c r="Z126" s="10">
        <v>2.3888006154621602</v>
      </c>
      <c r="AA126" s="10">
        <v>2.38871984620407</v>
      </c>
      <c r="AB126" s="8">
        <v>273.613689444908</v>
      </c>
      <c r="AC126" s="8">
        <v>273.83728745352897</v>
      </c>
      <c r="AD126" s="8">
        <v>273.84204537204698</v>
      </c>
      <c r="AE126" s="9">
        <v>-1.0093469098987401E-3</v>
      </c>
      <c r="AF126" s="9">
        <v>-1.9247734352567699E-4</v>
      </c>
      <c r="AG126" s="9">
        <v>-1.7510251036141199E-4</v>
      </c>
      <c r="AZ126" s="9"/>
      <c r="BB126">
        <f t="shared" si="22"/>
        <v>0</v>
      </c>
      <c r="BC126">
        <f t="shared" si="23"/>
        <v>0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3.2687112330371023E-3</v>
      </c>
      <c r="BL126" s="9"/>
      <c r="BN126">
        <f t="shared" si="30"/>
        <v>0</v>
      </c>
      <c r="BO126">
        <f t="shared" si="31"/>
        <v>1</v>
      </c>
      <c r="BP126">
        <f t="shared" si="32"/>
        <v>0</v>
      </c>
      <c r="BQ126">
        <f t="shared" si="21"/>
        <v>1</v>
      </c>
      <c r="BR126">
        <f t="shared" si="33"/>
        <v>0</v>
      </c>
      <c r="BS126" s="9">
        <f t="shared" si="34"/>
        <v>0</v>
      </c>
      <c r="BT126" s="9">
        <f t="shared" si="35"/>
        <v>0</v>
      </c>
      <c r="BU126" s="9">
        <f t="shared" si="36"/>
        <v>0</v>
      </c>
      <c r="BV126" s="12">
        <f t="shared" si="37"/>
        <v>0</v>
      </c>
      <c r="BX126" s="12">
        <f t="shared" si="38"/>
        <v>0</v>
      </c>
      <c r="BY126" s="12">
        <f t="shared" si="39"/>
        <v>3.2687112330371023E-3</v>
      </c>
    </row>
    <row r="127" spans="1:77" x14ac:dyDescent="0.3">
      <c r="A127" s="1">
        <v>46209</v>
      </c>
      <c r="B127" s="8">
        <v>116.37</v>
      </c>
      <c r="C127" s="8">
        <v>278.01</v>
      </c>
      <c r="D127" s="9">
        <v>1.4977986600069101E-2</v>
      </c>
      <c r="E127" s="9">
        <v>1.49305183392356E-2</v>
      </c>
      <c r="F127" s="8">
        <v>0</v>
      </c>
      <c r="G127" s="8">
        <v>0.23139999999999999</v>
      </c>
      <c r="H127" s="8">
        <v>0</v>
      </c>
      <c r="I127" s="8">
        <v>0.51</v>
      </c>
      <c r="J127" s="8">
        <v>0</v>
      </c>
      <c r="K127" s="8">
        <v>0</v>
      </c>
      <c r="L127" s="8">
        <v>116.37</v>
      </c>
      <c r="M127" s="8">
        <v>278.01</v>
      </c>
      <c r="N127" s="10">
        <v>2.3890177880897099</v>
      </c>
      <c r="O127" s="10">
        <v>2.3867209477050602</v>
      </c>
      <c r="P127" s="10">
        <v>2.3889986288596101</v>
      </c>
      <c r="Q127" s="10">
        <v>2.3887195061670998</v>
      </c>
      <c r="R127" s="8">
        <v>277.74271668443799</v>
      </c>
      <c r="S127" s="8">
        <v>277.98472762133201</v>
      </c>
      <c r="T127" s="8">
        <v>277.97532850276798</v>
      </c>
      <c r="U127" s="9">
        <v>-9.6187864906505398E-4</v>
      </c>
      <c r="V127" s="9">
        <v>-9.0908699055029403E-5</v>
      </c>
      <c r="W127" s="9">
        <v>-1.2472090718585501E-4</v>
      </c>
      <c r="X127" s="10">
        <v>2.3890177880897099</v>
      </c>
      <c r="Y127" s="10">
        <v>2.3867209477050602</v>
      </c>
      <c r="Z127" s="10">
        <v>2.3889986288596101</v>
      </c>
      <c r="AA127" s="10">
        <v>2.3887195061670998</v>
      </c>
      <c r="AB127" s="8">
        <v>277.74271668443799</v>
      </c>
      <c r="AC127" s="8">
        <v>277.98472762133201</v>
      </c>
      <c r="AD127" s="8">
        <v>277.97532850276798</v>
      </c>
      <c r="AE127" s="9">
        <v>-9.6187864906505398E-4</v>
      </c>
      <c r="AF127" s="9">
        <v>-9.0908699055029403E-5</v>
      </c>
      <c r="AG127" s="9">
        <v>-1.2472090718585501E-4</v>
      </c>
      <c r="AZ127" s="9"/>
      <c r="BB127">
        <f t="shared" si="22"/>
        <v>0</v>
      </c>
      <c r="BC127">
        <f t="shared" si="23"/>
        <v>0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3.2687112330371023E-3</v>
      </c>
      <c r="BL127" s="9"/>
      <c r="BN127">
        <f t="shared" si="30"/>
        <v>0</v>
      </c>
      <c r="BO127">
        <f t="shared" si="31"/>
        <v>1</v>
      </c>
      <c r="BP127">
        <f t="shared" si="32"/>
        <v>0</v>
      </c>
      <c r="BQ127">
        <f t="shared" si="21"/>
        <v>1</v>
      </c>
      <c r="BR127">
        <f t="shared" si="33"/>
        <v>0</v>
      </c>
      <c r="BS127" s="9">
        <f t="shared" si="34"/>
        <v>0</v>
      </c>
      <c r="BT127" s="9">
        <f t="shared" si="35"/>
        <v>0</v>
      </c>
      <c r="BU127" s="9">
        <f t="shared" si="36"/>
        <v>0</v>
      </c>
      <c r="BV127" s="12">
        <f t="shared" si="37"/>
        <v>0</v>
      </c>
      <c r="BX127" s="12">
        <f t="shared" si="38"/>
        <v>0</v>
      </c>
      <c r="BY127" s="12">
        <f t="shared" si="39"/>
        <v>3.2687112330371023E-3</v>
      </c>
    </row>
    <row r="128" spans="1:77" x14ac:dyDescent="0.3">
      <c r="A128" s="1">
        <v>46210</v>
      </c>
      <c r="B128" s="8">
        <v>114.06</v>
      </c>
      <c r="C128" s="8">
        <v>272.33999999999997</v>
      </c>
      <c r="D128" s="9">
        <v>-2.0050144391592702E-2</v>
      </c>
      <c r="E128" s="9">
        <v>-2.0605798570280501E-2</v>
      </c>
      <c r="F128" s="8">
        <v>0</v>
      </c>
      <c r="G128" s="8">
        <v>0.23139999999999999</v>
      </c>
      <c r="H128" s="8">
        <v>0</v>
      </c>
      <c r="I128" s="8">
        <v>0.51</v>
      </c>
      <c r="J128" s="8">
        <v>0</v>
      </c>
      <c r="K128" s="8">
        <v>0</v>
      </c>
      <c r="L128" s="8">
        <v>114.06</v>
      </c>
      <c r="M128" s="8">
        <v>272.33999999999997</v>
      </c>
      <c r="N128" s="10">
        <v>2.3876906891109901</v>
      </c>
      <c r="O128" s="10">
        <v>2.3867209477050602</v>
      </c>
      <c r="P128" s="10">
        <v>2.3890489192461</v>
      </c>
      <c r="Q128" s="10">
        <v>2.3886904389571399</v>
      </c>
      <c r="R128" s="8">
        <v>272.229391295239</v>
      </c>
      <c r="S128" s="8">
        <v>272.489183607727</v>
      </c>
      <c r="T128" s="8">
        <v>272.457346873419</v>
      </c>
      <c r="U128" s="9">
        <v>-4.0622447037719499E-4</v>
      </c>
      <c r="V128" s="9">
        <v>5.4763443642174105E-4</v>
      </c>
      <c r="W128" s="9">
        <v>4.3079092036033201E-4</v>
      </c>
      <c r="X128" s="10">
        <v>2.3876906891109901</v>
      </c>
      <c r="Y128" s="10">
        <v>2.3867209477050602</v>
      </c>
      <c r="Z128" s="10">
        <v>2.3890489192461</v>
      </c>
      <c r="AA128" s="10">
        <v>2.3886904389571399</v>
      </c>
      <c r="AB128" s="8">
        <v>272.229391295239</v>
      </c>
      <c r="AC128" s="8">
        <v>272.489183607727</v>
      </c>
      <c r="AD128" s="8">
        <v>272.457346873419</v>
      </c>
      <c r="AE128" s="9">
        <v>-4.0622447037719499E-4</v>
      </c>
      <c r="AF128" s="9">
        <v>5.4763443642174105E-4</v>
      </c>
      <c r="AG128" s="9">
        <v>4.3079092036033201E-4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3.2687112330371023E-3</v>
      </c>
      <c r="BL128" s="9"/>
      <c r="BN128">
        <f t="shared" si="30"/>
        <v>0</v>
      </c>
      <c r="BO128">
        <f t="shared" si="31"/>
        <v>0</v>
      </c>
      <c r="BP128">
        <f t="shared" si="32"/>
        <v>0</v>
      </c>
      <c r="BQ128">
        <f t="shared" si="21"/>
        <v>1</v>
      </c>
      <c r="BR128">
        <f t="shared" si="33"/>
        <v>0</v>
      </c>
      <c r="BS128" s="9">
        <f t="shared" si="34"/>
        <v>0</v>
      </c>
      <c r="BT128" s="9">
        <f t="shared" si="35"/>
        <v>0</v>
      </c>
      <c r="BU128" s="9">
        <f t="shared" si="36"/>
        <v>0</v>
      </c>
      <c r="BV128" s="12">
        <f t="shared" si="37"/>
        <v>0</v>
      </c>
      <c r="BX128" s="12">
        <f t="shared" si="38"/>
        <v>0</v>
      </c>
      <c r="BY128" s="12">
        <f t="shared" si="39"/>
        <v>3.2687112330371023E-3</v>
      </c>
    </row>
    <row r="129" spans="1:77" x14ac:dyDescent="0.3">
      <c r="A129" s="1">
        <v>46211</v>
      </c>
      <c r="B129" s="8">
        <v>115.47</v>
      </c>
      <c r="C129" s="8">
        <v>275.81</v>
      </c>
      <c r="D129" s="9">
        <v>1.2286130235371499E-2</v>
      </c>
      <c r="E129" s="9">
        <v>1.26609371635466E-2</v>
      </c>
      <c r="F129" s="8">
        <v>0</v>
      </c>
      <c r="G129" s="8">
        <v>0.23139999999999999</v>
      </c>
      <c r="H129" s="8">
        <v>0</v>
      </c>
      <c r="I129" s="8">
        <v>0.51</v>
      </c>
      <c r="J129" s="8">
        <v>0</v>
      </c>
      <c r="K129" s="8">
        <v>0</v>
      </c>
      <c r="L129" s="8">
        <v>115.47</v>
      </c>
      <c r="M129" s="8">
        <v>275.81</v>
      </c>
      <c r="N129" s="10">
        <v>2.3885857798562302</v>
      </c>
      <c r="O129" s="10">
        <v>2.3867209477050602</v>
      </c>
      <c r="P129" s="10">
        <v>2.38923255969403</v>
      </c>
      <c r="Q129" s="10">
        <v>2.3886783633444102</v>
      </c>
      <c r="R129" s="8">
        <v>275.59466783150299</v>
      </c>
      <c r="S129" s="8">
        <v>275.86347870534701</v>
      </c>
      <c r="T129" s="8">
        <v>275.82208498638101</v>
      </c>
      <c r="U129" s="9">
        <v>-7.81031398552477E-4</v>
      </c>
      <c r="V129" s="9">
        <v>1.93878109351575E-4</v>
      </c>
      <c r="W129" s="9">
        <v>4.3815386059903399E-5</v>
      </c>
      <c r="X129" s="10">
        <v>2.3885857798562302</v>
      </c>
      <c r="Y129" s="10">
        <v>2.3867209477050602</v>
      </c>
      <c r="Z129" s="10">
        <v>2.38923255969403</v>
      </c>
      <c r="AA129" s="10">
        <v>2.3886783633444102</v>
      </c>
      <c r="AB129" s="8">
        <v>275.59466783150299</v>
      </c>
      <c r="AC129" s="8">
        <v>275.86347870534701</v>
      </c>
      <c r="AD129" s="8">
        <v>275.82208498638101</v>
      </c>
      <c r="AE129" s="9">
        <v>-7.81031398552477E-4</v>
      </c>
      <c r="AF129" s="9">
        <v>1.93878109351575E-4</v>
      </c>
      <c r="AG129" s="9">
        <v>4.3815386059903399E-5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3.2687112330371023E-3</v>
      </c>
      <c r="BL129" s="9"/>
      <c r="BN129">
        <f t="shared" si="30"/>
        <v>0</v>
      </c>
      <c r="BO129">
        <f t="shared" si="31"/>
        <v>0</v>
      </c>
      <c r="BP129">
        <f t="shared" si="32"/>
        <v>0</v>
      </c>
      <c r="BQ129">
        <f t="shared" si="21"/>
        <v>1</v>
      </c>
      <c r="BR129">
        <f t="shared" si="33"/>
        <v>0</v>
      </c>
      <c r="BS129" s="9">
        <f t="shared" si="34"/>
        <v>0</v>
      </c>
      <c r="BT129" s="9">
        <f t="shared" si="35"/>
        <v>0</v>
      </c>
      <c r="BU129" s="9">
        <f t="shared" si="36"/>
        <v>0</v>
      </c>
      <c r="BV129" s="12">
        <f t="shared" si="37"/>
        <v>0</v>
      </c>
      <c r="BX129" s="12">
        <f t="shared" si="38"/>
        <v>0</v>
      </c>
      <c r="BY129" s="12">
        <f t="shared" si="39"/>
        <v>3.2687112330371023E-3</v>
      </c>
    </row>
    <row r="130" spans="1:77" x14ac:dyDescent="0.3">
      <c r="A130" s="1">
        <v>46212</v>
      </c>
      <c r="B130" s="8">
        <v>117.71</v>
      </c>
      <c r="C130" s="8">
        <v>281.24</v>
      </c>
      <c r="D130" s="9">
        <v>1.9213216460624599E-2</v>
      </c>
      <c r="E130" s="9">
        <v>1.94961744709846E-2</v>
      </c>
      <c r="F130" s="8">
        <v>0</v>
      </c>
      <c r="G130" s="8">
        <v>0.23139999999999999</v>
      </c>
      <c r="H130" s="8">
        <v>0</v>
      </c>
      <c r="I130" s="8">
        <v>0.51</v>
      </c>
      <c r="J130" s="8">
        <v>0</v>
      </c>
      <c r="K130" s="8">
        <v>0</v>
      </c>
      <c r="L130" s="8">
        <v>117.71</v>
      </c>
      <c r="M130" s="8">
        <v>281.24</v>
      </c>
      <c r="N130" s="10">
        <v>2.3892617449664399</v>
      </c>
      <c r="O130" s="10">
        <v>2.3867209477050602</v>
      </c>
      <c r="P130" s="10">
        <v>2.3892809438667002</v>
      </c>
      <c r="Q130" s="10">
        <v>2.3887267188769301</v>
      </c>
      <c r="R130" s="8">
        <v>280.94092275436299</v>
      </c>
      <c r="S130" s="8">
        <v>281.23656460158497</v>
      </c>
      <c r="T130" s="8">
        <v>281.17133014926998</v>
      </c>
      <c r="U130" s="9">
        <v>-1.0639894089121899E-3</v>
      </c>
      <c r="V130" s="9">
        <v>-1.22152588431892E-5</v>
      </c>
      <c r="W130" s="9">
        <v>-2.4419796469007601E-4</v>
      </c>
      <c r="X130" s="10">
        <v>2.3892617449664399</v>
      </c>
      <c r="Y130" s="10">
        <v>2.3867209477050602</v>
      </c>
      <c r="Z130" s="10">
        <v>2.3892809438667002</v>
      </c>
      <c r="AA130" s="10">
        <v>2.3887267188769301</v>
      </c>
      <c r="AB130" s="8">
        <v>280.94092275436299</v>
      </c>
      <c r="AC130" s="8">
        <v>281.23656460158497</v>
      </c>
      <c r="AD130" s="8">
        <v>281.17133014926998</v>
      </c>
      <c r="AE130" s="9">
        <v>-1.0639894089121899E-3</v>
      </c>
      <c r="AF130" s="9">
        <v>-1.22152588431892E-5</v>
      </c>
      <c r="AG130" s="9">
        <v>-2.4419796469007601E-4</v>
      </c>
      <c r="AZ130" s="9"/>
      <c r="BB130">
        <f t="shared" si="22"/>
        <v>0</v>
      </c>
      <c r="BC130">
        <f t="shared" si="23"/>
        <v>0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3.2687112330371023E-3</v>
      </c>
      <c r="BL130" s="9"/>
      <c r="BN130">
        <f t="shared" si="30"/>
        <v>0</v>
      </c>
      <c r="BO130">
        <f t="shared" si="31"/>
        <v>1</v>
      </c>
      <c r="BP130">
        <f t="shared" si="32"/>
        <v>0</v>
      </c>
      <c r="BQ130">
        <f t="shared" si="21"/>
        <v>1</v>
      </c>
      <c r="BR130">
        <f t="shared" si="33"/>
        <v>0</v>
      </c>
      <c r="BS130" s="9">
        <f t="shared" si="34"/>
        <v>0</v>
      </c>
      <c r="BT130" s="9">
        <f t="shared" si="35"/>
        <v>0</v>
      </c>
      <c r="BU130" s="9">
        <f t="shared" si="36"/>
        <v>0</v>
      </c>
      <c r="BV130" s="12">
        <f t="shared" si="37"/>
        <v>0</v>
      </c>
      <c r="BX130" s="12">
        <f t="shared" si="38"/>
        <v>0</v>
      </c>
      <c r="BY130" s="12">
        <f t="shared" si="39"/>
        <v>3.2687112330371023E-3</v>
      </c>
    </row>
    <row r="131" spans="1:77" x14ac:dyDescent="0.3">
      <c r="A131" s="1">
        <v>46213</v>
      </c>
      <c r="B131" s="8">
        <v>118.08</v>
      </c>
      <c r="C131" s="8">
        <v>282.07</v>
      </c>
      <c r="D131" s="9">
        <v>3.1383884277730802E-3</v>
      </c>
      <c r="E131" s="9">
        <v>2.9468697542954299E-3</v>
      </c>
      <c r="F131" s="8">
        <v>0</v>
      </c>
      <c r="G131" s="8">
        <v>0.23139999999999999</v>
      </c>
      <c r="H131" s="8">
        <v>0</v>
      </c>
      <c r="I131" s="8">
        <v>0.51</v>
      </c>
      <c r="J131" s="8">
        <v>0</v>
      </c>
      <c r="K131" s="8">
        <v>0</v>
      </c>
      <c r="L131" s="8">
        <v>118.08</v>
      </c>
      <c r="M131" s="8">
        <v>282.07</v>
      </c>
      <c r="N131" s="10">
        <v>2.3888042005419998</v>
      </c>
      <c r="O131" s="10">
        <v>2.3867209477050602</v>
      </c>
      <c r="P131" s="10">
        <v>2.38926814490297</v>
      </c>
      <c r="Q131" s="10">
        <v>2.3886947907519902</v>
      </c>
      <c r="R131" s="8">
        <v>281.82400950501398</v>
      </c>
      <c r="S131" s="8">
        <v>282.12629385178002</v>
      </c>
      <c r="T131" s="8">
        <v>282.06085096498799</v>
      </c>
      <c r="U131" s="9">
        <v>-8.7247073543456598E-4</v>
      </c>
      <c r="V131" s="9">
        <v>1.9955413596393101E-4</v>
      </c>
      <c r="W131" s="9">
        <v>-3.2435861279081099E-5</v>
      </c>
      <c r="X131" s="10">
        <v>2.3888042005419998</v>
      </c>
      <c r="Y131" s="10">
        <v>2.3867209477050602</v>
      </c>
      <c r="Z131" s="10">
        <v>2.38926814490297</v>
      </c>
      <c r="AA131" s="10">
        <v>2.3886947907519902</v>
      </c>
      <c r="AB131" s="8">
        <v>281.82400950501398</v>
      </c>
      <c r="AC131" s="8">
        <v>282.12629385178002</v>
      </c>
      <c r="AD131" s="8">
        <v>282.06085096498799</v>
      </c>
      <c r="AE131" s="9">
        <v>-8.7247073543456598E-4</v>
      </c>
      <c r="AF131" s="9">
        <v>1.9955413596393101E-4</v>
      </c>
      <c r="AG131" s="9">
        <v>-3.2435861279081099E-5</v>
      </c>
      <c r="AZ131" s="9"/>
      <c r="BB131">
        <f t="shared" si="22"/>
        <v>0</v>
      </c>
      <c r="BC131">
        <f t="shared" si="23"/>
        <v>0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3.2687112330371023E-3</v>
      </c>
      <c r="BL131" s="9"/>
      <c r="BN131">
        <f t="shared" si="30"/>
        <v>0</v>
      </c>
      <c r="BO131">
        <f t="shared" si="31"/>
        <v>1</v>
      </c>
      <c r="BP131">
        <f t="shared" si="32"/>
        <v>0</v>
      </c>
      <c r="BQ131">
        <f t="shared" si="21"/>
        <v>1</v>
      </c>
      <c r="BR131">
        <f t="shared" si="33"/>
        <v>0</v>
      </c>
      <c r="BS131" s="9">
        <f t="shared" si="34"/>
        <v>0</v>
      </c>
      <c r="BT131" s="9">
        <f t="shared" si="35"/>
        <v>0</v>
      </c>
      <c r="BU131" s="9">
        <f t="shared" si="36"/>
        <v>0</v>
      </c>
      <c r="BV131" s="12">
        <f t="shared" si="37"/>
        <v>0</v>
      </c>
      <c r="BX131" s="12">
        <f t="shared" si="38"/>
        <v>0</v>
      </c>
      <c r="BY131" s="12">
        <f t="shared" si="39"/>
        <v>3.2687112330371023E-3</v>
      </c>
    </row>
    <row r="132" spans="1:77" x14ac:dyDescent="0.3">
      <c r="A132" s="1">
        <v>46216</v>
      </c>
      <c r="B132" s="8">
        <v>115.58</v>
      </c>
      <c r="C132" s="8">
        <v>276.08</v>
      </c>
      <c r="D132" s="9">
        <v>-2.13994299625304E-2</v>
      </c>
      <c r="E132" s="9">
        <v>-2.14645882955081E-2</v>
      </c>
      <c r="F132" s="8">
        <v>0</v>
      </c>
      <c r="G132" s="8">
        <v>0.23139999999999999</v>
      </c>
      <c r="H132" s="8">
        <v>0</v>
      </c>
      <c r="I132" s="8">
        <v>0.51</v>
      </c>
      <c r="J132" s="8">
        <v>0</v>
      </c>
      <c r="K132" s="8">
        <v>0</v>
      </c>
      <c r="L132" s="8">
        <v>115.58</v>
      </c>
      <c r="M132" s="8">
        <v>276.08</v>
      </c>
      <c r="N132" s="10">
        <v>2.3886485551133401</v>
      </c>
      <c r="O132" s="10">
        <v>2.3867209477050602</v>
      </c>
      <c r="P132" s="10">
        <v>2.3888215653185698</v>
      </c>
      <c r="Q132" s="10">
        <v>2.3887035948322901</v>
      </c>
      <c r="R132" s="8">
        <v>275.85720713575103</v>
      </c>
      <c r="S132" s="8">
        <v>276.15161218788501</v>
      </c>
      <c r="T132" s="8">
        <v>276.085343915115</v>
      </c>
      <c r="U132" s="9">
        <v>-8.0731240245685498E-4</v>
      </c>
      <c r="V132" s="9">
        <v>2.5935562798893002E-4</v>
      </c>
      <c r="W132" s="9">
        <v>1.93562134044287E-5</v>
      </c>
      <c r="X132" s="10">
        <v>2.3886485551133401</v>
      </c>
      <c r="Y132" s="10">
        <v>2.3867209477050602</v>
      </c>
      <c r="Z132" s="10">
        <v>2.3888215653185698</v>
      </c>
      <c r="AA132" s="10">
        <v>2.3887035948322901</v>
      </c>
      <c r="AB132" s="8">
        <v>275.85720713575103</v>
      </c>
      <c r="AC132" s="8">
        <v>276.15161218788501</v>
      </c>
      <c r="AD132" s="8">
        <v>276.085343915115</v>
      </c>
      <c r="AE132" s="9">
        <v>-8.0731240245685498E-4</v>
      </c>
      <c r="AF132" s="9">
        <v>2.5935562798893002E-4</v>
      </c>
      <c r="AG132" s="9">
        <v>1.93562134044287E-5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3.2687112330371023E-3</v>
      </c>
      <c r="BL132" s="9"/>
      <c r="BN132">
        <f t="shared" si="30"/>
        <v>0</v>
      </c>
      <c r="BO132">
        <f t="shared" si="31"/>
        <v>0</v>
      </c>
      <c r="BP132">
        <f t="shared" si="32"/>
        <v>0</v>
      </c>
      <c r="BQ132">
        <f t="shared" si="21"/>
        <v>1</v>
      </c>
      <c r="BR132">
        <f t="shared" si="33"/>
        <v>0</v>
      </c>
      <c r="BS132" s="9">
        <f t="shared" si="34"/>
        <v>0</v>
      </c>
      <c r="BT132" s="9">
        <f t="shared" si="35"/>
        <v>0</v>
      </c>
      <c r="BU132" s="9">
        <f t="shared" si="36"/>
        <v>0</v>
      </c>
      <c r="BV132" s="12">
        <f t="shared" si="37"/>
        <v>0</v>
      </c>
      <c r="BX132" s="12">
        <f t="shared" si="38"/>
        <v>0</v>
      </c>
      <c r="BY132" s="12">
        <f t="shared" si="39"/>
        <v>3.2687112330371023E-3</v>
      </c>
    </row>
    <row r="133" spans="1:77" x14ac:dyDescent="0.3">
      <c r="A133" s="1">
        <v>46217</v>
      </c>
      <c r="B133" s="8">
        <v>117.11</v>
      </c>
      <c r="C133" s="8">
        <v>279.7</v>
      </c>
      <c r="D133" s="9">
        <v>1.3150733164413999E-2</v>
      </c>
      <c r="E133" s="9">
        <v>1.3026921418166099E-2</v>
      </c>
      <c r="F133" s="8">
        <v>0</v>
      </c>
      <c r="G133" s="8">
        <v>0.23139999999999999</v>
      </c>
      <c r="H133" s="8">
        <v>0</v>
      </c>
      <c r="I133" s="8">
        <v>0.51</v>
      </c>
      <c r="J133" s="8">
        <v>0</v>
      </c>
      <c r="K133" s="8">
        <v>0</v>
      </c>
      <c r="L133" s="8">
        <v>117.11</v>
      </c>
      <c r="M133" s="8">
        <v>279.7</v>
      </c>
      <c r="N133" s="10">
        <v>2.3883528306720101</v>
      </c>
      <c r="O133" s="10">
        <v>2.3867209477050602</v>
      </c>
      <c r="P133" s="10">
        <v>2.3887383934501498</v>
      </c>
      <c r="Q133" s="10">
        <v>2.3886591839417002</v>
      </c>
      <c r="R133" s="8">
        <v>279.50889018573997</v>
      </c>
      <c r="S133" s="8">
        <v>279.75489351445799</v>
      </c>
      <c r="T133" s="8">
        <v>279.741077990809</v>
      </c>
      <c r="U133" s="9">
        <v>-6.8350065620913995E-4</v>
      </c>
      <c r="V133" s="9">
        <v>1.96239286745396E-4</v>
      </c>
      <c r="W133" s="9">
        <v>1.4685368128954801E-4</v>
      </c>
      <c r="X133" s="10">
        <v>2.3883528306720101</v>
      </c>
      <c r="Y133" s="10">
        <v>2.3867209477050602</v>
      </c>
      <c r="Z133" s="10">
        <v>2.3887383934501498</v>
      </c>
      <c r="AA133" s="10">
        <v>2.3886591839417002</v>
      </c>
      <c r="AB133" s="8">
        <v>279.50889018573997</v>
      </c>
      <c r="AC133" s="8">
        <v>279.75489351445799</v>
      </c>
      <c r="AD133" s="8">
        <v>279.741077990809</v>
      </c>
      <c r="AE133" s="9">
        <v>-6.8350065620913995E-4</v>
      </c>
      <c r="AF133" s="9">
        <v>1.96239286745396E-4</v>
      </c>
      <c r="AG133" s="9">
        <v>1.4685368128954801E-4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3.2687112330371023E-3</v>
      </c>
      <c r="BL133" s="9"/>
      <c r="BN133">
        <f t="shared" si="30"/>
        <v>0</v>
      </c>
      <c r="BO133">
        <f t="shared" si="31"/>
        <v>0</v>
      </c>
      <c r="BP133">
        <f t="shared" si="32"/>
        <v>0</v>
      </c>
      <c r="BQ133">
        <f t="shared" si="21"/>
        <v>1</v>
      </c>
      <c r="BR133">
        <f t="shared" si="33"/>
        <v>0</v>
      </c>
      <c r="BS133" s="9">
        <f t="shared" si="34"/>
        <v>0</v>
      </c>
      <c r="BT133" s="9">
        <f t="shared" si="35"/>
        <v>0</v>
      </c>
      <c r="BU133" s="9">
        <f t="shared" si="36"/>
        <v>0</v>
      </c>
      <c r="BV133" s="12">
        <f t="shared" si="37"/>
        <v>0</v>
      </c>
      <c r="BX133" s="12">
        <f t="shared" si="38"/>
        <v>0</v>
      </c>
      <c r="BY133" s="12">
        <f t="shared" si="39"/>
        <v>3.2687112330371023E-3</v>
      </c>
    </row>
    <row r="134" spans="1:77" x14ac:dyDescent="0.3">
      <c r="A134" s="1">
        <v>46218</v>
      </c>
      <c r="B134" s="8">
        <v>116.5</v>
      </c>
      <c r="C134" s="8">
        <v>278.17</v>
      </c>
      <c r="D134" s="9">
        <v>-5.2223910482906699E-3</v>
      </c>
      <c r="E134" s="9">
        <v>-5.48516262244502E-3</v>
      </c>
      <c r="F134" s="8">
        <v>0</v>
      </c>
      <c r="G134" s="8">
        <v>0.23139999999999999</v>
      </c>
      <c r="H134" s="8">
        <v>0</v>
      </c>
      <c r="I134" s="8">
        <v>0.51</v>
      </c>
      <c r="J134" s="8">
        <v>0</v>
      </c>
      <c r="K134" s="8">
        <v>0</v>
      </c>
      <c r="L134" s="8">
        <v>116.5</v>
      </c>
      <c r="M134" s="8">
        <v>278.17</v>
      </c>
      <c r="N134" s="10">
        <v>2.3877253218884098</v>
      </c>
      <c r="O134" s="10">
        <v>2.3867209477050602</v>
      </c>
      <c r="P134" s="10">
        <v>2.3885718359468902</v>
      </c>
      <c r="Q134" s="10">
        <v>2.3886219430370299</v>
      </c>
      <c r="R134" s="8">
        <v>278.05299040763998</v>
      </c>
      <c r="S134" s="8">
        <v>278.28802283694301</v>
      </c>
      <c r="T134" s="8">
        <v>278.278794929208</v>
      </c>
      <c r="U134" s="9">
        <v>-4.2072908205465301E-4</v>
      </c>
      <c r="V134" s="9">
        <v>4.2419314258858098E-4</v>
      </c>
      <c r="W134" s="9">
        <v>3.9103303515517401E-4</v>
      </c>
      <c r="X134" s="10">
        <v>2.3877253218884098</v>
      </c>
      <c r="Y134" s="10">
        <v>2.3867209477050602</v>
      </c>
      <c r="Z134" s="10">
        <v>2.3885718359468902</v>
      </c>
      <c r="AA134" s="10">
        <v>2.3886219430370299</v>
      </c>
      <c r="AB134" s="8">
        <v>278.05299040763998</v>
      </c>
      <c r="AC134" s="8">
        <v>278.28802283694301</v>
      </c>
      <c r="AD134" s="8">
        <v>278.278794929208</v>
      </c>
      <c r="AE134" s="9">
        <v>-4.2072908205465301E-4</v>
      </c>
      <c r="AF134" s="9">
        <v>4.2419314258858098E-4</v>
      </c>
      <c r="AG134" s="9">
        <v>3.9103303515517401E-4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3.2687112330371023E-3</v>
      </c>
      <c r="BL134" s="9"/>
      <c r="BN134">
        <f t="shared" si="30"/>
        <v>0</v>
      </c>
      <c r="BO134">
        <f t="shared" si="31"/>
        <v>0</v>
      </c>
      <c r="BP134">
        <f t="shared" si="32"/>
        <v>0</v>
      </c>
      <c r="BQ134">
        <f t="shared" si="21"/>
        <v>1</v>
      </c>
      <c r="BR134">
        <f t="shared" si="33"/>
        <v>0</v>
      </c>
      <c r="BS134" s="9">
        <f t="shared" si="34"/>
        <v>0</v>
      </c>
      <c r="BT134" s="9">
        <f t="shared" si="35"/>
        <v>0</v>
      </c>
      <c r="BU134" s="9">
        <f t="shared" si="36"/>
        <v>0</v>
      </c>
      <c r="BV134" s="12">
        <f t="shared" si="37"/>
        <v>0</v>
      </c>
      <c r="BX134" s="12">
        <f t="shared" si="38"/>
        <v>0</v>
      </c>
      <c r="BY134" s="12">
        <f t="shared" si="39"/>
        <v>3.2687112330371023E-3</v>
      </c>
    </row>
    <row r="135" spans="1:77" x14ac:dyDescent="0.3">
      <c r="A135" s="1">
        <v>46219</v>
      </c>
      <c r="B135" s="8">
        <v>114.24</v>
      </c>
      <c r="C135" s="8">
        <v>272.8</v>
      </c>
      <c r="D135" s="9">
        <v>-1.9589774414480898E-2</v>
      </c>
      <c r="E135" s="9">
        <v>-1.9493511616161901E-2</v>
      </c>
      <c r="F135" s="8">
        <v>0</v>
      </c>
      <c r="G135" s="8">
        <v>0.23139999999999999</v>
      </c>
      <c r="H135" s="8">
        <v>0</v>
      </c>
      <c r="I135" s="8">
        <v>0.51</v>
      </c>
      <c r="J135" s="8">
        <v>0</v>
      </c>
      <c r="K135" s="8">
        <v>0</v>
      </c>
      <c r="L135" s="8">
        <v>114.24</v>
      </c>
      <c r="M135" s="8">
        <v>272.8</v>
      </c>
      <c r="N135" s="10">
        <v>2.3879551820728202</v>
      </c>
      <c r="O135" s="10">
        <v>2.3867209477050602</v>
      </c>
      <c r="P135" s="10">
        <v>2.38851732856127</v>
      </c>
      <c r="Q135" s="10">
        <v>2.3885943562447398</v>
      </c>
      <c r="R135" s="8">
        <v>272.65900106582598</v>
      </c>
      <c r="S135" s="8">
        <v>272.87044653857299</v>
      </c>
      <c r="T135" s="8">
        <v>272.87617077254998</v>
      </c>
      <c r="U135" s="9">
        <v>-5.1699188037384095E-4</v>
      </c>
      <c r="V135" s="9">
        <v>2.5820177512485E-4</v>
      </c>
      <c r="W135" s="9">
        <v>2.7917940025771597E-4</v>
      </c>
      <c r="X135" s="10">
        <v>2.3879551820728202</v>
      </c>
      <c r="Y135" s="10">
        <v>2.3867209477050602</v>
      </c>
      <c r="Z135" s="10">
        <v>2.38851732856127</v>
      </c>
      <c r="AA135" s="10">
        <v>2.3885943562447398</v>
      </c>
      <c r="AB135" s="8">
        <v>272.65900106582598</v>
      </c>
      <c r="AC135" s="8">
        <v>272.87044653857299</v>
      </c>
      <c r="AD135" s="8">
        <v>272.87617077254998</v>
      </c>
      <c r="AE135" s="9">
        <v>-5.1699188037384095E-4</v>
      </c>
      <c r="AF135" s="9">
        <v>2.5820177512485E-4</v>
      </c>
      <c r="AG135" s="9">
        <v>2.7917940025771597E-4</v>
      </c>
      <c r="AZ135" s="9"/>
      <c r="BB135">
        <f t="shared" si="22"/>
        <v>0</v>
      </c>
      <c r="BC135">
        <f t="shared" si="23"/>
        <v>1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3.2687112330371023E-3</v>
      </c>
      <c r="BL135" s="9"/>
      <c r="BN135">
        <f t="shared" si="30"/>
        <v>0</v>
      </c>
      <c r="BO135">
        <f t="shared" si="31"/>
        <v>0</v>
      </c>
      <c r="BP135">
        <f t="shared" si="32"/>
        <v>0</v>
      </c>
      <c r="BQ135">
        <f t="shared" si="21"/>
        <v>1</v>
      </c>
      <c r="BR135">
        <f t="shared" si="33"/>
        <v>0</v>
      </c>
      <c r="BS135" s="9">
        <f t="shared" si="34"/>
        <v>0</v>
      </c>
      <c r="BT135" s="9">
        <f t="shared" si="35"/>
        <v>0</v>
      </c>
      <c r="BU135" s="9">
        <f t="shared" si="36"/>
        <v>0</v>
      </c>
      <c r="BV135" s="12">
        <f t="shared" si="37"/>
        <v>0</v>
      </c>
      <c r="BX135" s="12">
        <f t="shared" si="38"/>
        <v>0</v>
      </c>
      <c r="BY135" s="12">
        <f t="shared" si="39"/>
        <v>3.2687112330371023E-3</v>
      </c>
    </row>
    <row r="136" spans="1:77" x14ac:dyDescent="0.3">
      <c r="A136" s="1">
        <v>46220</v>
      </c>
      <c r="B136" s="8">
        <v>113.1</v>
      </c>
      <c r="C136" s="8">
        <v>270.13</v>
      </c>
      <c r="D136" s="9">
        <v>-1.00291154691994E-2</v>
      </c>
      <c r="E136" s="9">
        <v>-9.8356013644664304E-3</v>
      </c>
      <c r="F136" s="8">
        <v>0</v>
      </c>
      <c r="G136" s="8">
        <v>0.23139999999999999</v>
      </c>
      <c r="H136" s="8">
        <v>0</v>
      </c>
      <c r="I136" s="8">
        <v>0.51</v>
      </c>
      <c r="J136" s="8">
        <v>0</v>
      </c>
      <c r="K136" s="8">
        <v>0</v>
      </c>
      <c r="L136" s="8">
        <v>113.1</v>
      </c>
      <c r="M136" s="8">
        <v>270.13</v>
      </c>
      <c r="N136" s="10">
        <v>2.3884173297966398</v>
      </c>
      <c r="O136" s="10">
        <v>2.3867209477050602</v>
      </c>
      <c r="P136" s="10">
        <v>2.3884459422108599</v>
      </c>
      <c r="Q136" s="10">
        <v>2.3886232788365098</v>
      </c>
      <c r="R136" s="8">
        <v>269.93813918544203</v>
      </c>
      <c r="S136" s="8">
        <v>270.14130986027999</v>
      </c>
      <c r="T136" s="8">
        <v>270.15002169128002</v>
      </c>
      <c r="U136" s="9">
        <v>-7.1050598510696502E-4</v>
      </c>
      <c r="V136" s="9">
        <v>4.1867336190588203E-5</v>
      </c>
      <c r="W136" s="9">
        <v>7.4115978699114499E-5</v>
      </c>
      <c r="X136" s="10">
        <v>2.3884173297966398</v>
      </c>
      <c r="Y136" s="10">
        <v>2.3867209477050602</v>
      </c>
      <c r="Z136" s="10">
        <v>2.3884459422108599</v>
      </c>
      <c r="AA136" s="10">
        <v>2.3886232788365098</v>
      </c>
      <c r="AB136" s="8">
        <v>269.93813918544203</v>
      </c>
      <c r="AC136" s="8">
        <v>270.14130986027999</v>
      </c>
      <c r="AD136" s="8">
        <v>270.15002169128002</v>
      </c>
      <c r="AE136" s="9">
        <v>-7.1050598510696502E-4</v>
      </c>
      <c r="AF136" s="9">
        <v>4.1867336190588203E-5</v>
      </c>
      <c r="AG136" s="9">
        <v>7.4115978699114499E-5</v>
      </c>
      <c r="AZ136" s="9"/>
      <c r="BB136">
        <f t="shared" si="22"/>
        <v>0</v>
      </c>
      <c r="BC136">
        <f t="shared" si="23"/>
        <v>1</v>
      </c>
      <c r="BD136">
        <f t="shared" si="24"/>
        <v>0</v>
      </c>
      <c r="BE136">
        <f t="shared" si="20"/>
        <v>1</v>
      </c>
      <c r="BF136">
        <f t="shared" si="25"/>
        <v>0</v>
      </c>
      <c r="BG136" s="9">
        <f t="shared" si="26"/>
        <v>0</v>
      </c>
      <c r="BH136" s="9">
        <f t="shared" si="27"/>
        <v>0</v>
      </c>
      <c r="BI136" s="9">
        <f t="shared" si="28"/>
        <v>0</v>
      </c>
      <c r="BJ136" s="12">
        <f t="shared" si="29"/>
        <v>3.2687112330371023E-3</v>
      </c>
      <c r="BL136" s="9"/>
      <c r="BN136">
        <f t="shared" si="30"/>
        <v>0</v>
      </c>
      <c r="BO136">
        <f t="shared" si="31"/>
        <v>0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0</v>
      </c>
      <c r="BX136" s="12">
        <f t="shared" si="38"/>
        <v>0</v>
      </c>
      <c r="BY136" s="12">
        <f t="shared" si="39"/>
        <v>3.2687112330371023E-3</v>
      </c>
    </row>
    <row r="137" spans="1:77" x14ac:dyDescent="0.3">
      <c r="A137" s="1">
        <v>46223</v>
      </c>
      <c r="B137" s="8">
        <v>113.23</v>
      </c>
      <c r="C137" s="8">
        <v>270.27999999999997</v>
      </c>
      <c r="D137" s="9">
        <v>1.1487652038735801E-3</v>
      </c>
      <c r="E137" s="9">
        <v>5.55134079133123E-4</v>
      </c>
      <c r="F137" s="8">
        <v>0</v>
      </c>
      <c r="G137" s="8">
        <v>0.23139999999999999</v>
      </c>
      <c r="H137" s="8">
        <v>0</v>
      </c>
      <c r="I137" s="8">
        <v>0.51</v>
      </c>
      <c r="J137" s="8">
        <v>0</v>
      </c>
      <c r="K137" s="8">
        <v>0</v>
      </c>
      <c r="L137" s="8">
        <v>113.23</v>
      </c>
      <c r="M137" s="8">
        <v>270.27999999999997</v>
      </c>
      <c r="N137" s="10">
        <v>2.38699991168418</v>
      </c>
      <c r="O137" s="10">
        <v>2.3867209477050602</v>
      </c>
      <c r="P137" s="10">
        <v>2.3882441545703101</v>
      </c>
      <c r="Q137" s="10">
        <v>2.3886213917149601</v>
      </c>
      <c r="R137" s="8">
        <v>270.24841290864401</v>
      </c>
      <c r="S137" s="8">
        <v>270.443734036536</v>
      </c>
      <c r="T137" s="8">
        <v>270.46381386265801</v>
      </c>
      <c r="U137" s="9">
        <v>-1.1687486036646901E-4</v>
      </c>
      <c r="V137" s="9">
        <v>6.05610707405647E-4</v>
      </c>
      <c r="W137" s="9">
        <v>6.7985565447612199E-4</v>
      </c>
      <c r="X137" s="10">
        <v>2.38699991168418</v>
      </c>
      <c r="Y137" s="10">
        <v>2.3867209477050602</v>
      </c>
      <c r="Z137" s="10">
        <v>2.3882441545703101</v>
      </c>
      <c r="AA137" s="10">
        <v>2.3886213917149601</v>
      </c>
      <c r="AB137" s="8">
        <v>270.24841290864401</v>
      </c>
      <c r="AC137" s="8">
        <v>270.443734036536</v>
      </c>
      <c r="AD137" s="8">
        <v>270.46381386265801</v>
      </c>
      <c r="AE137" s="9">
        <v>-1.1687486036646901E-4</v>
      </c>
      <c r="AF137" s="9">
        <v>6.05610707405647E-4</v>
      </c>
      <c r="AG137" s="9">
        <v>6.7985565447612199E-4</v>
      </c>
      <c r="AZ137" s="9"/>
      <c r="BB137">
        <f t="shared" si="22"/>
        <v>0</v>
      </c>
      <c r="BC137">
        <f t="shared" si="23"/>
        <v>1</v>
      </c>
      <c r="BD137">
        <f t="shared" si="24"/>
        <v>0</v>
      </c>
      <c r="BE137">
        <f t="shared" si="20"/>
        <v>1</v>
      </c>
      <c r="BF137">
        <f t="shared" si="25"/>
        <v>0</v>
      </c>
      <c r="BG137" s="9">
        <f t="shared" si="26"/>
        <v>0</v>
      </c>
      <c r="BH137" s="9">
        <f t="shared" si="27"/>
        <v>0</v>
      </c>
      <c r="BI137" s="9">
        <f t="shared" si="28"/>
        <v>0</v>
      </c>
      <c r="BJ137" s="12">
        <f t="shared" si="29"/>
        <v>3.2687112330371023E-3</v>
      </c>
      <c r="BL137" s="9"/>
      <c r="BN137">
        <f t="shared" si="30"/>
        <v>0</v>
      </c>
      <c r="BO137">
        <f t="shared" si="31"/>
        <v>0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0</v>
      </c>
      <c r="BX137" s="12">
        <f t="shared" si="38"/>
        <v>0</v>
      </c>
      <c r="BY137" s="12">
        <f t="shared" si="39"/>
        <v>3.2687112330371023E-3</v>
      </c>
    </row>
    <row r="138" spans="1:77" x14ac:dyDescent="0.3">
      <c r="A138" s="1">
        <v>46224</v>
      </c>
      <c r="B138" s="8">
        <v>116.01</v>
      </c>
      <c r="C138" s="8">
        <v>277.01</v>
      </c>
      <c r="D138" s="9">
        <v>2.4255245961367199E-2</v>
      </c>
      <c r="E138" s="9">
        <v>2.4595147934768701E-2</v>
      </c>
      <c r="F138" s="8">
        <v>0</v>
      </c>
      <c r="G138" s="8">
        <v>0.23139999999999999</v>
      </c>
      <c r="H138" s="8">
        <v>0</v>
      </c>
      <c r="I138" s="8">
        <v>0.51</v>
      </c>
      <c r="J138" s="8">
        <v>0</v>
      </c>
      <c r="K138" s="8">
        <v>0</v>
      </c>
      <c r="L138" s="8">
        <v>116.01</v>
      </c>
      <c r="M138" s="8">
        <v>277.01</v>
      </c>
      <c r="N138" s="10">
        <v>2.3878113955693401</v>
      </c>
      <c r="O138" s="10">
        <v>2.3867209477050602</v>
      </c>
      <c r="P138" s="10">
        <v>2.3882562252161401</v>
      </c>
      <c r="Q138" s="10">
        <v>2.3886525722311198</v>
      </c>
      <c r="R138" s="8">
        <v>276.88349714326398</v>
      </c>
      <c r="S138" s="8">
        <v>277.06020437170099</v>
      </c>
      <c r="T138" s="8">
        <v>277.10396765285202</v>
      </c>
      <c r="U138" s="9">
        <v>-4.5677683376805199E-4</v>
      </c>
      <c r="V138" s="9">
        <v>1.8122025491731201E-4</v>
      </c>
      <c r="W138" s="9">
        <v>3.3916363506013899E-4</v>
      </c>
      <c r="X138" s="10">
        <v>2.3878113955693401</v>
      </c>
      <c r="Y138" s="10">
        <v>2.3867209477050602</v>
      </c>
      <c r="Z138" s="10">
        <v>2.3882562252161401</v>
      </c>
      <c r="AA138" s="10">
        <v>2.3886525722311198</v>
      </c>
      <c r="AB138" s="8">
        <v>276.88349714326398</v>
      </c>
      <c r="AC138" s="8">
        <v>277.06020437170099</v>
      </c>
      <c r="AD138" s="8">
        <v>277.10396765285202</v>
      </c>
      <c r="AE138" s="9">
        <v>-4.5677683376805199E-4</v>
      </c>
      <c r="AF138" s="9">
        <v>1.8122025491731201E-4</v>
      </c>
      <c r="AG138" s="9">
        <v>3.3916363506013899E-4</v>
      </c>
      <c r="AZ138" s="9"/>
      <c r="BB138">
        <f t="shared" si="22"/>
        <v>0</v>
      </c>
      <c r="BC138">
        <f t="shared" si="23"/>
        <v>1</v>
      </c>
      <c r="BD138">
        <f t="shared" si="24"/>
        <v>0</v>
      </c>
      <c r="BE138">
        <f t="shared" si="20"/>
        <v>1</v>
      </c>
      <c r="BF138">
        <f t="shared" si="25"/>
        <v>0</v>
      </c>
      <c r="BG138" s="9">
        <f t="shared" si="26"/>
        <v>0</v>
      </c>
      <c r="BH138" s="9">
        <f t="shared" si="27"/>
        <v>0</v>
      </c>
      <c r="BI138" s="9">
        <f t="shared" si="28"/>
        <v>0</v>
      </c>
      <c r="BJ138" s="12">
        <f t="shared" si="29"/>
        <v>3.2687112330371023E-3</v>
      </c>
      <c r="BL138" s="9"/>
      <c r="BN138">
        <f t="shared" si="30"/>
        <v>0</v>
      </c>
      <c r="BO138">
        <f t="shared" si="31"/>
        <v>0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0</v>
      </c>
      <c r="BX138" s="12">
        <f t="shared" si="38"/>
        <v>0</v>
      </c>
      <c r="BY138" s="12">
        <f t="shared" si="39"/>
        <v>3.2687112330371023E-3</v>
      </c>
    </row>
    <row r="139" spans="1:77" x14ac:dyDescent="0.3">
      <c r="A139" s="1">
        <v>46225</v>
      </c>
      <c r="B139" s="8">
        <v>115.62</v>
      </c>
      <c r="C139" s="8">
        <v>276.23</v>
      </c>
      <c r="D139" s="9">
        <v>-3.3674426329853699E-3</v>
      </c>
      <c r="E139" s="9">
        <v>-2.8197545977005599E-3</v>
      </c>
      <c r="F139" s="8">
        <v>0</v>
      </c>
      <c r="G139" s="8">
        <v>0.23139999999999999</v>
      </c>
      <c r="H139" s="8">
        <v>0</v>
      </c>
      <c r="I139" s="8">
        <v>0.51</v>
      </c>
      <c r="J139" s="8">
        <v>0</v>
      </c>
      <c r="K139" s="8">
        <v>0</v>
      </c>
      <c r="L139" s="8">
        <v>115.62</v>
      </c>
      <c r="M139" s="8">
        <v>276.23</v>
      </c>
      <c r="N139" s="10">
        <v>2.38911952949316</v>
      </c>
      <c r="O139" s="10">
        <v>2.3867209477050602</v>
      </c>
      <c r="P139" s="10">
        <v>2.3883096001798299</v>
      </c>
      <c r="Q139" s="10">
        <v>2.3887710799369302</v>
      </c>
      <c r="R139" s="8">
        <v>275.95267597365898</v>
      </c>
      <c r="S139" s="8">
        <v>276.13018475949002</v>
      </c>
      <c r="T139" s="8">
        <v>276.17601040136202</v>
      </c>
      <c r="U139" s="9">
        <v>-1.0044648690528399E-3</v>
      </c>
      <c r="V139" s="9">
        <v>-3.6141360058092401E-4</v>
      </c>
      <c r="W139" s="9">
        <v>-1.95470714628467E-4</v>
      </c>
      <c r="X139" s="10">
        <v>2.38911952949316</v>
      </c>
      <c r="Y139" s="10">
        <v>2.3867209477050602</v>
      </c>
      <c r="Z139" s="10">
        <v>2.3883096001798299</v>
      </c>
      <c r="AA139" s="10">
        <v>2.3887710799369302</v>
      </c>
      <c r="AB139" s="8">
        <v>275.95267597365898</v>
      </c>
      <c r="AC139" s="8">
        <v>276.13018475949002</v>
      </c>
      <c r="AD139" s="8">
        <v>276.17601040136202</v>
      </c>
      <c r="AE139" s="9">
        <v>-1.0044648690528399E-3</v>
      </c>
      <c r="AF139" s="9">
        <v>-3.6141360058092401E-4</v>
      </c>
      <c r="AG139" s="9">
        <v>-1.95470714628467E-4</v>
      </c>
      <c r="AZ139" s="9"/>
      <c r="BB139">
        <f t="shared" si="22"/>
        <v>0</v>
      </c>
      <c r="BC139">
        <f t="shared" si="23"/>
        <v>0</v>
      </c>
      <c r="BD139">
        <f t="shared" si="24"/>
        <v>0</v>
      </c>
      <c r="BE139">
        <f t="shared" si="20"/>
        <v>1</v>
      </c>
      <c r="BF139">
        <f t="shared" si="25"/>
        <v>0</v>
      </c>
      <c r="BG139" s="9">
        <f t="shared" si="26"/>
        <v>0</v>
      </c>
      <c r="BH139" s="9">
        <f t="shared" si="27"/>
        <v>0</v>
      </c>
      <c r="BI139" s="9">
        <f t="shared" si="28"/>
        <v>0</v>
      </c>
      <c r="BJ139" s="12">
        <f t="shared" si="29"/>
        <v>3.2687112330371023E-3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0</v>
      </c>
      <c r="BX139" s="12">
        <f t="shared" si="38"/>
        <v>0</v>
      </c>
      <c r="BY139" s="12">
        <f t="shared" si="39"/>
        <v>3.2687112330371023E-3</v>
      </c>
    </row>
    <row r="140" spans="1:77" x14ac:dyDescent="0.3">
      <c r="A140" s="1">
        <v>46226</v>
      </c>
      <c r="B140" s="8">
        <v>114.39</v>
      </c>
      <c r="C140" s="8">
        <v>273.3</v>
      </c>
      <c r="D140" s="9">
        <v>-1.0695289116748E-2</v>
      </c>
      <c r="E140" s="9">
        <v>-1.0663759087019499E-2</v>
      </c>
      <c r="F140" s="8">
        <v>0</v>
      </c>
      <c r="G140" s="8">
        <v>0.23139999999999999</v>
      </c>
      <c r="H140" s="8">
        <v>0</v>
      </c>
      <c r="I140" s="8">
        <v>0.51</v>
      </c>
      <c r="J140" s="8">
        <v>0</v>
      </c>
      <c r="K140" s="8">
        <v>0</v>
      </c>
      <c r="L140" s="8">
        <v>114.39</v>
      </c>
      <c r="M140" s="8">
        <v>273.3</v>
      </c>
      <c r="N140" s="10">
        <v>2.3891948596905301</v>
      </c>
      <c r="O140" s="10">
        <v>2.3867209477050602</v>
      </c>
      <c r="P140" s="10">
        <v>2.3883029116522398</v>
      </c>
      <c r="Q140" s="10">
        <v>2.38879192775947</v>
      </c>
      <c r="R140" s="8">
        <v>273.01700920798203</v>
      </c>
      <c r="S140" s="8">
        <v>273.19873516457102</v>
      </c>
      <c r="T140" s="8">
        <v>273.25152383398603</v>
      </c>
      <c r="U140" s="9">
        <v>-1.0359948987813299E-3</v>
      </c>
      <c r="V140" s="9">
        <v>-3.7059495318585601E-4</v>
      </c>
      <c r="W140" s="9">
        <v>-1.77389190320823E-4</v>
      </c>
      <c r="X140" s="10">
        <v>2.3891948596905301</v>
      </c>
      <c r="Y140" s="10">
        <v>2.3867209477050602</v>
      </c>
      <c r="Z140" s="10">
        <v>2.3883029116522398</v>
      </c>
      <c r="AA140" s="10">
        <v>2.38879192775947</v>
      </c>
      <c r="AB140" s="8">
        <v>273.01700920798203</v>
      </c>
      <c r="AC140" s="8">
        <v>273.19873516457102</v>
      </c>
      <c r="AD140" s="8">
        <v>273.25152383398603</v>
      </c>
      <c r="AE140" s="9">
        <v>-1.0359948987813299E-3</v>
      </c>
      <c r="AF140" s="9">
        <v>-3.7059495318585601E-4</v>
      </c>
      <c r="AG140" s="9">
        <v>-1.77389190320823E-4</v>
      </c>
      <c r="AZ140" s="9"/>
      <c r="BB140">
        <f t="shared" si="22"/>
        <v>0</v>
      </c>
      <c r="BC140">
        <f t="shared" si="23"/>
        <v>0</v>
      </c>
      <c r="BD140">
        <f t="shared" si="24"/>
        <v>0</v>
      </c>
      <c r="BE140">
        <f t="shared" si="20"/>
        <v>1</v>
      </c>
      <c r="BF140">
        <f t="shared" si="25"/>
        <v>0</v>
      </c>
      <c r="BG140" s="9">
        <f t="shared" si="26"/>
        <v>0</v>
      </c>
      <c r="BH140" s="9">
        <f t="shared" si="27"/>
        <v>0</v>
      </c>
      <c r="BI140" s="9">
        <f t="shared" si="28"/>
        <v>0</v>
      </c>
      <c r="BJ140" s="12">
        <f t="shared" si="29"/>
        <v>3.2687112330371023E-3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0</v>
      </c>
      <c r="BX140" s="12">
        <f t="shared" si="38"/>
        <v>0</v>
      </c>
      <c r="BY140" s="12">
        <f t="shared" si="39"/>
        <v>3.2687112330371023E-3</v>
      </c>
    </row>
    <row r="141" spans="1:77" x14ac:dyDescent="0.3">
      <c r="A141" s="1">
        <v>46227</v>
      </c>
      <c r="B141" s="8">
        <v>113.3</v>
      </c>
      <c r="C141" s="8">
        <v>270.52</v>
      </c>
      <c r="D141" s="9">
        <v>-9.5744945036214599E-3</v>
      </c>
      <c r="E141" s="9">
        <v>-1.0224060227283199E-2</v>
      </c>
      <c r="F141" s="8">
        <v>0</v>
      </c>
      <c r="G141" s="8">
        <v>0.23139999999999999</v>
      </c>
      <c r="H141" s="8">
        <v>0</v>
      </c>
      <c r="I141" s="8">
        <v>0.51</v>
      </c>
      <c r="J141" s="8">
        <v>0</v>
      </c>
      <c r="K141" s="8">
        <v>0</v>
      </c>
      <c r="L141" s="8">
        <v>113.3</v>
      </c>
      <c r="M141" s="8">
        <v>270.52</v>
      </c>
      <c r="N141" s="10">
        <v>2.3876434245366198</v>
      </c>
      <c r="O141" s="10">
        <v>2.3867209477050602</v>
      </c>
      <c r="P141" s="10">
        <v>2.3881868340516998</v>
      </c>
      <c r="Q141" s="10">
        <v>2.3887274894773398</v>
      </c>
      <c r="R141" s="8">
        <v>270.41548337498301</v>
      </c>
      <c r="S141" s="8">
        <v>270.59471989019897</v>
      </c>
      <c r="T141" s="8">
        <v>270.65012541514801</v>
      </c>
      <c r="U141" s="9">
        <v>-3.8642917511943798E-4</v>
      </c>
      <c r="V141" s="9">
        <v>2.7617023868691101E-4</v>
      </c>
      <c r="W141" s="9">
        <v>4.8090392113361098E-4</v>
      </c>
      <c r="X141" s="10">
        <v>2.3876434245366198</v>
      </c>
      <c r="Y141" s="10">
        <v>2.3867209477050602</v>
      </c>
      <c r="Z141" s="10">
        <v>2.3881868340516998</v>
      </c>
      <c r="AA141" s="10">
        <v>2.3887274894773398</v>
      </c>
      <c r="AB141" s="8">
        <v>270.41548337498301</v>
      </c>
      <c r="AC141" s="8">
        <v>270.59471989019897</v>
      </c>
      <c r="AD141" s="8">
        <v>270.65012541514801</v>
      </c>
      <c r="AE141" s="9">
        <v>-3.8642917511943798E-4</v>
      </c>
      <c r="AF141" s="9">
        <v>2.7617023868691101E-4</v>
      </c>
      <c r="AG141" s="9">
        <v>4.8090392113361098E-4</v>
      </c>
      <c r="AZ141" s="9"/>
      <c r="BB141">
        <f t="shared" si="22"/>
        <v>0</v>
      </c>
      <c r="BC141">
        <f t="shared" si="23"/>
        <v>1</v>
      </c>
      <c r="BD141">
        <f t="shared" si="24"/>
        <v>0</v>
      </c>
      <c r="BE141">
        <f t="shared" si="20"/>
        <v>1</v>
      </c>
      <c r="BF141">
        <f t="shared" si="25"/>
        <v>0</v>
      </c>
      <c r="BG141" s="9">
        <f t="shared" si="26"/>
        <v>0</v>
      </c>
      <c r="BH141" s="9">
        <f t="shared" si="27"/>
        <v>0</v>
      </c>
      <c r="BI141" s="9">
        <f t="shared" si="28"/>
        <v>0</v>
      </c>
      <c r="BJ141" s="12">
        <f t="shared" si="29"/>
        <v>3.2687112330371023E-3</v>
      </c>
      <c r="BL141" s="9"/>
      <c r="BN141">
        <f t="shared" si="30"/>
        <v>0</v>
      </c>
      <c r="BO141">
        <f t="shared" si="31"/>
        <v>0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0</v>
      </c>
      <c r="BX141" s="12">
        <f t="shared" si="38"/>
        <v>0</v>
      </c>
      <c r="BY141" s="12">
        <f t="shared" si="39"/>
        <v>3.2687112330371023E-3</v>
      </c>
    </row>
    <row r="142" spans="1:77" x14ac:dyDescent="0.3">
      <c r="A142" s="1">
        <v>46230</v>
      </c>
      <c r="B142" s="8">
        <v>112.42</v>
      </c>
      <c r="C142" s="8">
        <v>268.44</v>
      </c>
      <c r="D142" s="9">
        <v>-7.79731046003161E-3</v>
      </c>
      <c r="E142" s="9">
        <v>-7.7186074167006E-3</v>
      </c>
      <c r="F142" s="8">
        <v>0</v>
      </c>
      <c r="G142" s="8">
        <v>0.23139999999999999</v>
      </c>
      <c r="H142" s="8">
        <v>0</v>
      </c>
      <c r="I142" s="8">
        <v>0.51</v>
      </c>
      <c r="J142" s="8">
        <v>0</v>
      </c>
      <c r="K142" s="8">
        <v>0</v>
      </c>
      <c r="L142" s="8">
        <v>112.42</v>
      </c>
      <c r="M142" s="8">
        <v>268.44</v>
      </c>
      <c r="N142" s="10">
        <v>2.3878313467354499</v>
      </c>
      <c r="O142" s="10">
        <v>2.3867209477050602</v>
      </c>
      <c r="P142" s="10">
        <v>2.3881051132139199</v>
      </c>
      <c r="Q142" s="10">
        <v>2.3884633392662402</v>
      </c>
      <c r="R142" s="8">
        <v>268.31516894100298</v>
      </c>
      <c r="S142" s="8">
        <v>268.47996388409302</v>
      </c>
      <c r="T142" s="8">
        <v>268.54074436704201</v>
      </c>
      <c r="U142" s="9">
        <v>-4.6513221845048003E-4</v>
      </c>
      <c r="V142" s="9">
        <v>1.48863468878765E-4</v>
      </c>
      <c r="W142" s="9">
        <v>3.7522525446830399E-4</v>
      </c>
      <c r="X142" s="10">
        <v>2.3878313467354499</v>
      </c>
      <c r="Y142" s="10">
        <v>2.3867209477050602</v>
      </c>
      <c r="Z142" s="10">
        <v>2.3881051132139199</v>
      </c>
      <c r="AA142" s="10">
        <v>2.3884633392662402</v>
      </c>
      <c r="AB142" s="8">
        <v>268.31516894100298</v>
      </c>
      <c r="AC142" s="8">
        <v>268.47996388409302</v>
      </c>
      <c r="AD142" s="8">
        <v>268.54074436704201</v>
      </c>
      <c r="AE142" s="9">
        <v>-4.6513221845048003E-4</v>
      </c>
      <c r="AF142" s="9">
        <v>1.48863468878765E-4</v>
      </c>
      <c r="AG142" s="9">
        <v>3.7522525446830399E-4</v>
      </c>
      <c r="AZ142" s="9"/>
      <c r="BB142">
        <f t="shared" si="22"/>
        <v>0</v>
      </c>
      <c r="BC142">
        <f t="shared" si="23"/>
        <v>1</v>
      </c>
      <c r="BD142">
        <f t="shared" si="24"/>
        <v>0</v>
      </c>
      <c r="BE142">
        <f t="shared" si="20"/>
        <v>1</v>
      </c>
      <c r="BF142">
        <f t="shared" si="25"/>
        <v>0</v>
      </c>
      <c r="BG142" s="9">
        <f t="shared" si="26"/>
        <v>0</v>
      </c>
      <c r="BH142" s="9">
        <f t="shared" si="27"/>
        <v>0</v>
      </c>
      <c r="BI142" s="9">
        <f t="shared" si="28"/>
        <v>0</v>
      </c>
      <c r="BJ142" s="12">
        <f t="shared" si="29"/>
        <v>3.2687112330371023E-3</v>
      </c>
      <c r="BL142" s="9"/>
      <c r="BN142">
        <f t="shared" si="30"/>
        <v>0</v>
      </c>
      <c r="BO142">
        <f t="shared" si="31"/>
        <v>0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0</v>
      </c>
      <c r="BX142" s="12">
        <f t="shared" si="38"/>
        <v>0</v>
      </c>
      <c r="BY142" s="12">
        <f t="shared" si="39"/>
        <v>3.2687112330371023E-3</v>
      </c>
    </row>
    <row r="143" spans="1:77" x14ac:dyDescent="0.3">
      <c r="A143" s="1">
        <v>46231</v>
      </c>
      <c r="B143" s="8">
        <v>110.87</v>
      </c>
      <c r="C143" s="8">
        <v>264.63</v>
      </c>
      <c r="D143" s="9">
        <v>-1.38835137896686E-2</v>
      </c>
      <c r="E143" s="9">
        <v>-1.4294801351253199E-2</v>
      </c>
      <c r="F143" s="8">
        <v>0</v>
      </c>
      <c r="G143" s="8">
        <v>0.23139999999999999</v>
      </c>
      <c r="H143" s="8">
        <v>0</v>
      </c>
      <c r="I143" s="8">
        <v>0.51</v>
      </c>
      <c r="J143" s="8">
        <v>0</v>
      </c>
      <c r="K143" s="8">
        <v>0</v>
      </c>
      <c r="L143" s="8">
        <v>110.87</v>
      </c>
      <c r="M143" s="8">
        <v>264.63</v>
      </c>
      <c r="N143" s="10">
        <v>2.3868494633354298</v>
      </c>
      <c r="O143" s="10">
        <v>2.3867209477050602</v>
      </c>
      <c r="P143" s="10">
        <v>2.3879547764802602</v>
      </c>
      <c r="Q143" s="10">
        <v>2.3883465849652099</v>
      </c>
      <c r="R143" s="8">
        <v>264.61575147206003</v>
      </c>
      <c r="S143" s="8">
        <v>264.76921390202699</v>
      </c>
      <c r="T143" s="8">
        <v>264.80893042444899</v>
      </c>
      <c r="U143" s="9">
        <v>-5.3844656865830102E-5</v>
      </c>
      <c r="V143" s="9">
        <v>5.2593166586051103E-4</v>
      </c>
      <c r="W143" s="9">
        <v>6.7592472324634698E-4</v>
      </c>
      <c r="X143" s="10">
        <v>2.3868494633354298</v>
      </c>
      <c r="Y143" s="10">
        <v>2.3867209477050602</v>
      </c>
      <c r="Z143" s="10">
        <v>2.3879547764802602</v>
      </c>
      <c r="AA143" s="10">
        <v>2.3883465849652099</v>
      </c>
      <c r="AB143" s="8">
        <v>264.61575147206003</v>
      </c>
      <c r="AC143" s="8">
        <v>264.76921390202699</v>
      </c>
      <c r="AD143" s="8">
        <v>264.80893042444899</v>
      </c>
      <c r="AE143" s="9">
        <v>-5.3844656865830102E-5</v>
      </c>
      <c r="AF143" s="9">
        <v>5.2593166586051103E-4</v>
      </c>
      <c r="AG143" s="9">
        <v>6.7592472324634698E-4</v>
      </c>
      <c r="AZ143" s="9"/>
      <c r="BB143">
        <f t="shared" si="22"/>
        <v>0</v>
      </c>
      <c r="BC143">
        <f t="shared" si="23"/>
        <v>1</v>
      </c>
      <c r="BD143">
        <f t="shared" si="24"/>
        <v>0</v>
      </c>
      <c r="BE143">
        <f t="shared" si="20"/>
        <v>1</v>
      </c>
      <c r="BF143">
        <f t="shared" si="25"/>
        <v>0</v>
      </c>
      <c r="BG143" s="9">
        <f t="shared" si="26"/>
        <v>0</v>
      </c>
      <c r="BH143" s="9">
        <f t="shared" si="27"/>
        <v>0</v>
      </c>
      <c r="BI143" s="9">
        <f t="shared" si="28"/>
        <v>0</v>
      </c>
      <c r="BJ143" s="12">
        <f t="shared" si="29"/>
        <v>3.2687112330371023E-3</v>
      </c>
      <c r="BL143" s="9"/>
      <c r="BN143">
        <f t="shared" si="30"/>
        <v>0</v>
      </c>
      <c r="BO143">
        <f t="shared" si="31"/>
        <v>0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0</v>
      </c>
      <c r="BX143" s="12">
        <f t="shared" si="38"/>
        <v>0</v>
      </c>
      <c r="BY143" s="12">
        <f t="shared" si="39"/>
        <v>3.2687112330371023E-3</v>
      </c>
    </row>
    <row r="144" spans="1:77" x14ac:dyDescent="0.3">
      <c r="A144" s="1">
        <v>46232</v>
      </c>
      <c r="B144" s="8">
        <v>108.2</v>
      </c>
      <c r="C144" s="8">
        <v>258.14</v>
      </c>
      <c r="D144" s="9">
        <v>-2.4376977371879001E-2</v>
      </c>
      <c r="E144" s="9">
        <v>-2.48305505317436E-2</v>
      </c>
      <c r="F144" s="8">
        <v>0</v>
      </c>
      <c r="G144" s="8">
        <v>0.23139999999999999</v>
      </c>
      <c r="H144" s="8">
        <v>0</v>
      </c>
      <c r="I144" s="8">
        <v>0.51</v>
      </c>
      <c r="J144" s="8">
        <v>0</v>
      </c>
      <c r="K144" s="8">
        <v>0</v>
      </c>
      <c r="L144" s="8">
        <v>108.2</v>
      </c>
      <c r="M144" s="8">
        <v>258.14</v>
      </c>
      <c r="N144" s="10">
        <v>2.38576709796672</v>
      </c>
      <c r="O144" s="10">
        <v>2.3867209477050602</v>
      </c>
      <c r="P144" s="10">
        <v>2.3877589540880901</v>
      </c>
      <c r="Q144" s="10">
        <v>2.3881653950174901</v>
      </c>
      <c r="R144" s="8">
        <v>258.24320654168798</v>
      </c>
      <c r="S144" s="8">
        <v>258.37670681516403</v>
      </c>
      <c r="T144" s="8">
        <v>258.41910049323502</v>
      </c>
      <c r="U144" s="9">
        <v>3.9972850299861001E-4</v>
      </c>
      <c r="V144" s="9">
        <v>9.1655053403708899E-4</v>
      </c>
      <c r="W144" s="9">
        <v>1.08061408705656E-3</v>
      </c>
      <c r="X144" s="10">
        <v>2.38576709796672</v>
      </c>
      <c r="Y144" s="10">
        <v>2.3867209477050602</v>
      </c>
      <c r="Z144" s="10">
        <v>2.3877589540880901</v>
      </c>
      <c r="AA144" s="10">
        <v>2.3881653950174901</v>
      </c>
      <c r="AB144" s="8">
        <v>258.24320654168798</v>
      </c>
      <c r="AC144" s="8">
        <v>258.37670681516403</v>
      </c>
      <c r="AD144" s="8">
        <v>258.41910049323502</v>
      </c>
      <c r="AE144" s="9">
        <v>3.9972850299861001E-4</v>
      </c>
      <c r="AF144" s="9">
        <v>9.1655053403708899E-4</v>
      </c>
      <c r="AG144" s="9">
        <v>1.08061408705656E-3</v>
      </c>
      <c r="AZ144" s="9"/>
      <c r="BB144">
        <f t="shared" si="22"/>
        <v>0</v>
      </c>
      <c r="BC144">
        <f t="shared" si="23"/>
        <v>1</v>
      </c>
      <c r="BD144">
        <f t="shared" si="24"/>
        <v>0</v>
      </c>
      <c r="BE144">
        <f t="shared" si="20"/>
        <v>1</v>
      </c>
      <c r="BF144">
        <f t="shared" si="25"/>
        <v>0</v>
      </c>
      <c r="BG144" s="9">
        <f t="shared" si="26"/>
        <v>0</v>
      </c>
      <c r="BH144" s="9">
        <f t="shared" si="27"/>
        <v>0</v>
      </c>
      <c r="BI144" s="9">
        <f t="shared" si="28"/>
        <v>0</v>
      </c>
      <c r="BJ144" s="12">
        <f t="shared" si="29"/>
        <v>3.2687112330371023E-3</v>
      </c>
      <c r="BL144" s="9"/>
      <c r="BN144">
        <f t="shared" si="30"/>
        <v>0</v>
      </c>
      <c r="BO144">
        <f t="shared" si="31"/>
        <v>0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0</v>
      </c>
      <c r="BX144" s="12">
        <f t="shared" si="38"/>
        <v>0</v>
      </c>
      <c r="BY144" s="12">
        <f t="shared" si="39"/>
        <v>3.2687112330371023E-3</v>
      </c>
    </row>
    <row r="145" spans="1:77" x14ac:dyDescent="0.3">
      <c r="A145" s="1">
        <v>46233</v>
      </c>
      <c r="B145" s="8">
        <v>113.58</v>
      </c>
      <c r="C145" s="8">
        <v>271.06</v>
      </c>
      <c r="D145" s="9">
        <v>4.8526068036905297E-2</v>
      </c>
      <c r="E145" s="9">
        <v>4.8838125180828203E-2</v>
      </c>
      <c r="F145" s="8">
        <v>0</v>
      </c>
      <c r="G145" s="8">
        <v>0.23139999999999999</v>
      </c>
      <c r="H145" s="8">
        <v>0</v>
      </c>
      <c r="I145" s="8">
        <v>0.51</v>
      </c>
      <c r="J145" s="8">
        <v>0</v>
      </c>
      <c r="K145" s="8">
        <v>0</v>
      </c>
      <c r="L145" s="8">
        <v>113.58</v>
      </c>
      <c r="M145" s="8">
        <v>271.06</v>
      </c>
      <c r="N145" s="10">
        <v>2.3865117098080599</v>
      </c>
      <c r="O145" s="10">
        <v>2.3867209477050602</v>
      </c>
      <c r="P145" s="10">
        <v>2.38761460686161</v>
      </c>
      <c r="Q145" s="10">
        <v>2.38806596771144</v>
      </c>
      <c r="R145" s="8">
        <v>271.08376524034099</v>
      </c>
      <c r="S145" s="8">
        <v>271.20166200532498</v>
      </c>
      <c r="T145" s="8">
        <v>271.24782556608699</v>
      </c>
      <c r="U145" s="9">
        <v>8.7671359075643197E-5</v>
      </c>
      <c r="V145" s="9">
        <v>5.2248579781435402E-4</v>
      </c>
      <c r="W145" s="9">
        <v>6.9268988844586497E-4</v>
      </c>
      <c r="X145" s="10">
        <v>2.3865117098080599</v>
      </c>
      <c r="Y145" s="10">
        <v>2.3867209477050602</v>
      </c>
      <c r="Z145" s="10">
        <v>2.38761460686161</v>
      </c>
      <c r="AA145" s="10">
        <v>2.38806596771144</v>
      </c>
      <c r="AB145" s="8">
        <v>271.08376524034099</v>
      </c>
      <c r="AC145" s="8">
        <v>271.20166200532498</v>
      </c>
      <c r="AD145" s="8">
        <v>271.24782556608699</v>
      </c>
      <c r="AE145" s="9">
        <v>8.7671359075643197E-5</v>
      </c>
      <c r="AF145" s="9">
        <v>5.2248579781435402E-4</v>
      </c>
      <c r="AG145" s="9">
        <v>6.9268988844586497E-4</v>
      </c>
      <c r="AZ145" s="9"/>
      <c r="BB145">
        <f t="shared" si="22"/>
        <v>0</v>
      </c>
      <c r="BC145">
        <f t="shared" si="23"/>
        <v>1</v>
      </c>
      <c r="BD145">
        <f t="shared" si="24"/>
        <v>0</v>
      </c>
      <c r="BE145">
        <f t="shared" si="20"/>
        <v>1</v>
      </c>
      <c r="BF145">
        <f t="shared" si="25"/>
        <v>0</v>
      </c>
      <c r="BG145" s="9">
        <f t="shared" si="26"/>
        <v>0</v>
      </c>
      <c r="BH145" s="9">
        <f t="shared" si="27"/>
        <v>0</v>
      </c>
      <c r="BI145" s="9">
        <f t="shared" si="28"/>
        <v>0</v>
      </c>
      <c r="BJ145" s="12">
        <f t="shared" si="29"/>
        <v>3.2687112330371023E-3</v>
      </c>
      <c r="BL145" s="9"/>
      <c r="BN145">
        <f t="shared" si="30"/>
        <v>0</v>
      </c>
      <c r="BO145">
        <f t="shared" si="31"/>
        <v>0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0</v>
      </c>
      <c r="BX145" s="12">
        <f t="shared" si="38"/>
        <v>0</v>
      </c>
      <c r="BY145" s="12">
        <f t="shared" si="39"/>
        <v>3.2687112330371023E-3</v>
      </c>
    </row>
    <row r="146" spans="1:77" x14ac:dyDescent="0.3">
      <c r="A146" s="1">
        <v>46234</v>
      </c>
      <c r="B146" s="8">
        <v>113.15</v>
      </c>
      <c r="C146" s="8">
        <v>270.10000000000002</v>
      </c>
      <c r="D146" s="9">
        <v>-3.7930623697400002E-3</v>
      </c>
      <c r="E146" s="9">
        <v>-3.54793778929986E-3</v>
      </c>
      <c r="F146" s="8">
        <v>0</v>
      </c>
      <c r="G146" s="8">
        <v>0.23139999999999999</v>
      </c>
      <c r="H146" s="8">
        <v>0</v>
      </c>
      <c r="I146" s="8">
        <v>0.51</v>
      </c>
      <c r="J146" s="8">
        <v>0</v>
      </c>
      <c r="K146" s="8">
        <v>0</v>
      </c>
      <c r="L146" s="8">
        <v>113.15</v>
      </c>
      <c r="M146" s="8">
        <v>270.10000000000002</v>
      </c>
      <c r="N146" s="10">
        <v>2.38709677419354</v>
      </c>
      <c r="O146" s="10">
        <v>2.3867209477050602</v>
      </c>
      <c r="P146" s="10">
        <v>2.3874825513013</v>
      </c>
      <c r="Q146" s="10">
        <v>2.3879642467560802</v>
      </c>
      <c r="R146" s="8">
        <v>270.05747523282798</v>
      </c>
      <c r="S146" s="8">
        <v>270.15859276639202</v>
      </c>
      <c r="T146" s="8">
        <v>270.20966424655001</v>
      </c>
      <c r="U146" s="9">
        <v>-1.5745322136458299E-4</v>
      </c>
      <c r="V146" s="9">
        <v>2.1690637559986401E-4</v>
      </c>
      <c r="W146" s="9">
        <v>4.0593109956316701E-4</v>
      </c>
      <c r="X146" s="10">
        <v>2.38709677419354</v>
      </c>
      <c r="Y146" s="10">
        <v>2.3867209477050602</v>
      </c>
      <c r="Z146" s="10">
        <v>2.3874825513013</v>
      </c>
      <c r="AA146" s="10">
        <v>2.3879642467560802</v>
      </c>
      <c r="AB146" s="8">
        <v>270.05747523282798</v>
      </c>
      <c r="AC146" s="8">
        <v>270.15859276639202</v>
      </c>
      <c r="AD146" s="8">
        <v>270.20966424655001</v>
      </c>
      <c r="AE146" s="9">
        <v>-1.5745322136458299E-4</v>
      </c>
      <c r="AF146" s="9">
        <v>2.1690637559986401E-4</v>
      </c>
      <c r="AG146" s="9">
        <v>4.0593109956316701E-4</v>
      </c>
      <c r="AZ146" s="9"/>
      <c r="BB146">
        <f t="shared" si="22"/>
        <v>0</v>
      </c>
      <c r="BC146">
        <f t="shared" si="23"/>
        <v>1</v>
      </c>
      <c r="BD146">
        <f t="shared" si="24"/>
        <v>0</v>
      </c>
      <c r="BE146">
        <f t="shared" si="20"/>
        <v>1</v>
      </c>
      <c r="BF146">
        <f t="shared" si="25"/>
        <v>0</v>
      </c>
      <c r="BG146" s="9">
        <f t="shared" si="26"/>
        <v>0</v>
      </c>
      <c r="BH146" s="9">
        <f t="shared" si="27"/>
        <v>0</v>
      </c>
      <c r="BI146" s="9">
        <f t="shared" si="28"/>
        <v>0</v>
      </c>
      <c r="BJ146" s="12">
        <f t="shared" si="29"/>
        <v>3.2687112330371023E-3</v>
      </c>
      <c r="BL146" s="9"/>
      <c r="BN146">
        <f t="shared" si="30"/>
        <v>0</v>
      </c>
      <c r="BO146">
        <f t="shared" si="31"/>
        <v>0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0</v>
      </c>
      <c r="BX146" s="12">
        <f t="shared" si="38"/>
        <v>0</v>
      </c>
      <c r="BY146" s="12">
        <f t="shared" si="39"/>
        <v>3.2687112330371023E-3</v>
      </c>
    </row>
    <row r="147" spans="1:77" x14ac:dyDescent="0.3">
      <c r="A147" s="1">
        <v>46237</v>
      </c>
      <c r="B147" s="8">
        <v>115.14</v>
      </c>
      <c r="C147" s="8">
        <v>274.73</v>
      </c>
      <c r="D147" s="9">
        <v>1.7434407168117099E-2</v>
      </c>
      <c r="E147" s="9">
        <v>1.6996536386999401E-2</v>
      </c>
      <c r="F147" s="8">
        <v>0</v>
      </c>
      <c r="G147" s="8">
        <v>0.23139999999999999</v>
      </c>
      <c r="H147" s="8">
        <v>0</v>
      </c>
      <c r="I147" s="8">
        <v>0.51</v>
      </c>
      <c r="J147" s="8">
        <v>0</v>
      </c>
      <c r="K147" s="8">
        <v>0</v>
      </c>
      <c r="L147" s="8">
        <v>115.14</v>
      </c>
      <c r="M147" s="8">
        <v>274.73</v>
      </c>
      <c r="N147" s="10">
        <v>2.3860517630710398</v>
      </c>
      <c r="O147" s="10">
        <v>2.3867209477050602</v>
      </c>
      <c r="P147" s="10">
        <v>2.3873877364399898</v>
      </c>
      <c r="Q147" s="10">
        <v>2.38781594550515</v>
      </c>
      <c r="R147" s="8">
        <v>274.80704991876098</v>
      </c>
      <c r="S147" s="8">
        <v>274.89474095683198</v>
      </c>
      <c r="T147" s="8">
        <v>274.95020337149498</v>
      </c>
      <c r="U147" s="9">
        <v>2.8041755975320698E-4</v>
      </c>
      <c r="V147" s="9">
        <v>5.9946705266370902E-4</v>
      </c>
      <c r="W147" s="9">
        <v>8.0120543517779499E-4</v>
      </c>
      <c r="X147" s="10">
        <v>2.3860517630710398</v>
      </c>
      <c r="Y147" s="10">
        <v>2.3867209477050602</v>
      </c>
      <c r="Z147" s="10">
        <v>2.3873877364399898</v>
      </c>
      <c r="AA147" s="10">
        <v>2.38781594550515</v>
      </c>
      <c r="AB147" s="8">
        <v>274.80704991876098</v>
      </c>
      <c r="AC147" s="8">
        <v>274.89474095683198</v>
      </c>
      <c r="AD147" s="8">
        <v>274.95020337149498</v>
      </c>
      <c r="AE147" s="9">
        <v>2.8041755975320698E-4</v>
      </c>
      <c r="AF147" s="9">
        <v>5.9946705266370902E-4</v>
      </c>
      <c r="AG147" s="9">
        <v>8.0120543517779499E-4</v>
      </c>
      <c r="AZ147" s="9"/>
      <c r="BB147">
        <f t="shared" si="22"/>
        <v>0</v>
      </c>
      <c r="BC147">
        <f t="shared" si="23"/>
        <v>1</v>
      </c>
      <c r="BD147">
        <f t="shared" si="24"/>
        <v>0</v>
      </c>
      <c r="BE147">
        <f t="shared" si="20"/>
        <v>1</v>
      </c>
      <c r="BF147">
        <f t="shared" si="25"/>
        <v>0</v>
      </c>
      <c r="BG147" s="9">
        <f t="shared" si="26"/>
        <v>0</v>
      </c>
      <c r="BH147" s="9">
        <f t="shared" si="27"/>
        <v>0</v>
      </c>
      <c r="BI147" s="9">
        <f t="shared" si="28"/>
        <v>0</v>
      </c>
      <c r="BJ147" s="12">
        <f t="shared" si="29"/>
        <v>3.2687112330371023E-3</v>
      </c>
      <c r="BL147" s="9"/>
      <c r="BN147">
        <f t="shared" si="30"/>
        <v>0</v>
      </c>
      <c r="BO147">
        <f t="shared" si="31"/>
        <v>0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0</v>
      </c>
      <c r="BX147" s="12">
        <f t="shared" si="38"/>
        <v>0</v>
      </c>
      <c r="BY147" s="12">
        <f t="shared" si="39"/>
        <v>3.2687112330371023E-3</v>
      </c>
    </row>
    <row r="148" spans="1:77" x14ac:dyDescent="0.3">
      <c r="A148" s="1">
        <v>46238</v>
      </c>
      <c r="B148" s="8">
        <v>120.15</v>
      </c>
      <c r="C148" s="8">
        <v>286.77</v>
      </c>
      <c r="D148" s="9">
        <v>4.2592182934814399E-2</v>
      </c>
      <c r="E148" s="9">
        <v>4.2891703558211203E-2</v>
      </c>
      <c r="F148" s="8">
        <v>0</v>
      </c>
      <c r="G148" s="8">
        <v>0.23139999999999999</v>
      </c>
      <c r="H148" s="8">
        <v>0</v>
      </c>
      <c r="I148" s="8">
        <v>0.51</v>
      </c>
      <c r="J148" s="8">
        <v>0</v>
      </c>
      <c r="K148" s="8">
        <v>0</v>
      </c>
      <c r="L148" s="8">
        <v>120.15</v>
      </c>
      <c r="M148" s="8">
        <v>286.77</v>
      </c>
      <c r="N148" s="10">
        <v>2.3867665418227202</v>
      </c>
      <c r="O148" s="10">
        <v>2.3867209477050602</v>
      </c>
      <c r="P148" s="10">
        <v>2.3872832510653299</v>
      </c>
      <c r="Q148" s="10">
        <v>2.3877697381407299</v>
      </c>
      <c r="R148" s="8">
        <v>286.764521866763</v>
      </c>
      <c r="S148" s="8">
        <v>286.84463653326497</v>
      </c>
      <c r="T148" s="8">
        <v>286.896085852444</v>
      </c>
      <c r="U148" s="9">
        <v>-1.9103063643812602E-5</v>
      </c>
      <c r="V148" s="9">
        <v>2.6023231951599499E-4</v>
      </c>
      <c r="W148" s="9">
        <v>4.39579252056154E-4</v>
      </c>
      <c r="X148" s="10">
        <v>2.3867665418227202</v>
      </c>
      <c r="Y148" s="10">
        <v>2.3867209477050602</v>
      </c>
      <c r="Z148" s="10">
        <v>2.3872832510653299</v>
      </c>
      <c r="AA148" s="10">
        <v>2.3877697381407299</v>
      </c>
      <c r="AB148" s="8">
        <v>286.764521866763</v>
      </c>
      <c r="AC148" s="8">
        <v>286.84463653326497</v>
      </c>
      <c r="AD148" s="8">
        <v>286.896085852444</v>
      </c>
      <c r="AE148" s="9">
        <v>-1.9103063643812602E-5</v>
      </c>
      <c r="AF148" s="9">
        <v>2.6023231951599499E-4</v>
      </c>
      <c r="AG148" s="9">
        <v>4.39579252056154E-4</v>
      </c>
      <c r="AZ148" s="9"/>
      <c r="BB148">
        <f t="shared" si="22"/>
        <v>0</v>
      </c>
      <c r="BC148">
        <f t="shared" si="23"/>
        <v>1</v>
      </c>
      <c r="BD148">
        <f t="shared" si="24"/>
        <v>0</v>
      </c>
      <c r="BE148">
        <f t="shared" si="20"/>
        <v>1</v>
      </c>
      <c r="BF148">
        <f t="shared" si="25"/>
        <v>0</v>
      </c>
      <c r="BG148" s="9">
        <f t="shared" si="26"/>
        <v>0</v>
      </c>
      <c r="BH148" s="9">
        <f t="shared" si="27"/>
        <v>0</v>
      </c>
      <c r="BI148" s="9">
        <f t="shared" si="28"/>
        <v>0</v>
      </c>
      <c r="BJ148" s="12">
        <f t="shared" si="29"/>
        <v>3.2687112330371023E-3</v>
      </c>
      <c r="BL148" s="9"/>
      <c r="BN148">
        <f t="shared" si="30"/>
        <v>0</v>
      </c>
      <c r="BO148">
        <f t="shared" si="31"/>
        <v>0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0</v>
      </c>
      <c r="BX148" s="12">
        <f t="shared" si="38"/>
        <v>0</v>
      </c>
      <c r="BY148" s="12">
        <f t="shared" si="39"/>
        <v>3.2687112330371023E-3</v>
      </c>
    </row>
    <row r="149" spans="1:77" x14ac:dyDescent="0.3">
      <c r="A149" s="1">
        <v>46239</v>
      </c>
      <c r="B149" s="8">
        <v>119.72</v>
      </c>
      <c r="C149" s="8">
        <v>285.70999999999998</v>
      </c>
      <c r="D149" s="9">
        <v>-3.5852791979798398E-3</v>
      </c>
      <c r="E149" s="9">
        <v>-3.7031903695129201E-3</v>
      </c>
      <c r="F149" s="8">
        <v>0</v>
      </c>
      <c r="G149" s="8">
        <v>0.23139999999999999</v>
      </c>
      <c r="H149" s="8">
        <v>0</v>
      </c>
      <c r="I149" s="8">
        <v>0.51</v>
      </c>
      <c r="J149" s="8">
        <v>0</v>
      </c>
      <c r="K149" s="8">
        <v>0</v>
      </c>
      <c r="L149" s="8">
        <v>119.72</v>
      </c>
      <c r="M149" s="8">
        <v>285.70999999999998</v>
      </c>
      <c r="N149" s="10">
        <v>2.3864851319746001</v>
      </c>
      <c r="O149" s="10">
        <v>2.3867209477050602</v>
      </c>
      <c r="P149" s="10">
        <v>2.3870198113134702</v>
      </c>
      <c r="Q149" s="10">
        <v>2.38766470574665</v>
      </c>
      <c r="R149" s="8">
        <v>285.73823185924999</v>
      </c>
      <c r="S149" s="8">
        <v>285.80555081754102</v>
      </c>
      <c r="T149" s="8">
        <v>285.86379305020898</v>
      </c>
      <c r="U149" s="9">
        <v>9.8808107889498598E-5</v>
      </c>
      <c r="V149" s="9">
        <v>3.3437696767914401E-4</v>
      </c>
      <c r="W149" s="9">
        <v>5.3813892725938697E-4</v>
      </c>
      <c r="X149" s="10">
        <v>2.3864851319746001</v>
      </c>
      <c r="Y149" s="10">
        <v>2.3867209477050602</v>
      </c>
      <c r="Z149" s="10">
        <v>2.3870198113134702</v>
      </c>
      <c r="AA149" s="10">
        <v>2.38766470574665</v>
      </c>
      <c r="AB149" s="8">
        <v>285.73823185924999</v>
      </c>
      <c r="AC149" s="8">
        <v>285.80555081754102</v>
      </c>
      <c r="AD149" s="8">
        <v>285.86379305020898</v>
      </c>
      <c r="AE149" s="9">
        <v>9.8808107889498598E-5</v>
      </c>
      <c r="AF149" s="9">
        <v>3.3437696767914401E-4</v>
      </c>
      <c r="AG149" s="9">
        <v>5.3813892725938697E-4</v>
      </c>
      <c r="AZ149" s="9"/>
      <c r="BB149">
        <f t="shared" si="22"/>
        <v>0</v>
      </c>
      <c r="BC149">
        <f t="shared" si="23"/>
        <v>1</v>
      </c>
      <c r="BD149">
        <f t="shared" si="24"/>
        <v>0</v>
      </c>
      <c r="BE149">
        <f t="shared" si="20"/>
        <v>1</v>
      </c>
      <c r="BF149">
        <f t="shared" si="25"/>
        <v>0</v>
      </c>
      <c r="BG149" s="9">
        <f t="shared" si="26"/>
        <v>0</v>
      </c>
      <c r="BH149" s="9">
        <f t="shared" si="27"/>
        <v>0</v>
      </c>
      <c r="BI149" s="9">
        <f t="shared" si="28"/>
        <v>0</v>
      </c>
      <c r="BJ149" s="12">
        <f t="shared" si="29"/>
        <v>3.2687112330371023E-3</v>
      </c>
      <c r="BL149" s="9"/>
      <c r="BN149">
        <f t="shared" si="30"/>
        <v>0</v>
      </c>
      <c r="BO149">
        <f t="shared" si="31"/>
        <v>0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0</v>
      </c>
      <c r="BX149" s="12">
        <f t="shared" si="38"/>
        <v>0</v>
      </c>
      <c r="BY149" s="12">
        <f t="shared" si="39"/>
        <v>3.2687112330371023E-3</v>
      </c>
    </row>
    <row r="150" spans="1:77" x14ac:dyDescent="0.3">
      <c r="A150" s="1">
        <v>46240</v>
      </c>
      <c r="B150" s="8">
        <v>119.6</v>
      </c>
      <c r="C150" s="8">
        <v>285.45</v>
      </c>
      <c r="D150" s="9">
        <v>-1.0028414679668801E-3</v>
      </c>
      <c r="E150" s="9">
        <v>-9.1042796399969995E-4</v>
      </c>
      <c r="F150" s="8">
        <v>0</v>
      </c>
      <c r="G150" s="8">
        <v>0.23139999999999999</v>
      </c>
      <c r="H150" s="8">
        <v>0</v>
      </c>
      <c r="I150" s="8">
        <v>0.51</v>
      </c>
      <c r="J150" s="8">
        <v>0</v>
      </c>
      <c r="K150" s="8">
        <v>0</v>
      </c>
      <c r="L150" s="8">
        <v>119.6</v>
      </c>
      <c r="M150" s="8">
        <v>285.45</v>
      </c>
      <c r="N150" s="10">
        <v>2.3867056856187201</v>
      </c>
      <c r="O150" s="10">
        <v>2.3867209477050602</v>
      </c>
      <c r="P150" s="10">
        <v>2.3867708939062902</v>
      </c>
      <c r="Q150" s="10">
        <v>2.3875369027792699</v>
      </c>
      <c r="R150" s="8">
        <v>285.45182534552498</v>
      </c>
      <c r="S150" s="8">
        <v>285.48756943309098</v>
      </c>
      <c r="T150" s="8">
        <v>285.56469880729998</v>
      </c>
      <c r="U150" s="9">
        <v>6.3946039222771197E-6</v>
      </c>
      <c r="V150" s="9">
        <v>1.3160609901130701E-4</v>
      </c>
      <c r="W150" s="9">
        <v>4.0173679970897399E-4</v>
      </c>
      <c r="X150" s="10">
        <v>2.3867056856187201</v>
      </c>
      <c r="Y150" s="10">
        <v>2.3867209477050602</v>
      </c>
      <c r="Z150" s="10">
        <v>2.3867708939062902</v>
      </c>
      <c r="AA150" s="10">
        <v>2.3875369027792699</v>
      </c>
      <c r="AB150" s="8">
        <v>285.45182534552498</v>
      </c>
      <c r="AC150" s="8">
        <v>285.48756943309098</v>
      </c>
      <c r="AD150" s="8">
        <v>285.56469880729998</v>
      </c>
      <c r="AE150" s="9">
        <v>6.3946039222771197E-6</v>
      </c>
      <c r="AF150" s="9">
        <v>1.3160609901130701E-4</v>
      </c>
      <c r="AG150" s="9">
        <v>4.0173679970897399E-4</v>
      </c>
      <c r="AZ150" s="9"/>
      <c r="BB150">
        <f t="shared" si="22"/>
        <v>0</v>
      </c>
      <c r="BC150">
        <f t="shared" si="23"/>
        <v>1</v>
      </c>
      <c r="BD150">
        <f t="shared" si="24"/>
        <v>0</v>
      </c>
      <c r="BE150">
        <f t="shared" ref="BE150:BE167" si="40">IF(F151+H151&gt;0,0,1)</f>
        <v>1</v>
      </c>
      <c r="BF150">
        <f t="shared" si="25"/>
        <v>0</v>
      </c>
      <c r="BG150" s="9">
        <f t="shared" si="26"/>
        <v>0</v>
      </c>
      <c r="BH150" s="9">
        <f t="shared" si="27"/>
        <v>0</v>
      </c>
      <c r="BI150" s="9">
        <f t="shared" si="28"/>
        <v>0</v>
      </c>
      <c r="BJ150" s="12">
        <f t="shared" si="29"/>
        <v>3.2687112330371023E-3</v>
      </c>
      <c r="BL150" s="9"/>
      <c r="BN150">
        <f t="shared" si="30"/>
        <v>0</v>
      </c>
      <c r="BO150">
        <f t="shared" si="31"/>
        <v>0</v>
      </c>
      <c r="BP150">
        <f t="shared" si="32"/>
        <v>0</v>
      </c>
      <c r="BQ150">
        <f t="shared" ref="BQ150:BQ167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0</v>
      </c>
      <c r="BX150" s="12">
        <f t="shared" si="38"/>
        <v>0</v>
      </c>
      <c r="BY150" s="12">
        <f t="shared" si="39"/>
        <v>3.2687112330371023E-3</v>
      </c>
    </row>
    <row r="151" spans="1:77" x14ac:dyDescent="0.3">
      <c r="A151" s="1">
        <v>46241</v>
      </c>
      <c r="B151" s="8">
        <v>121.45</v>
      </c>
      <c r="C151" s="8">
        <v>289.83999999999997</v>
      </c>
      <c r="D151" s="9">
        <v>1.53498139316502E-2</v>
      </c>
      <c r="E151" s="9">
        <v>1.52621641765536E-2</v>
      </c>
      <c r="F151" s="8">
        <v>0</v>
      </c>
      <c r="G151" s="8">
        <v>0.23139999999999999</v>
      </c>
      <c r="H151" s="8">
        <v>0</v>
      </c>
      <c r="I151" s="8">
        <v>0.51</v>
      </c>
      <c r="J151" s="8">
        <v>0</v>
      </c>
      <c r="K151" s="8">
        <v>0</v>
      </c>
      <c r="L151" s="8">
        <v>121.45</v>
      </c>
      <c r="M151" s="8">
        <v>289.83999999999997</v>
      </c>
      <c r="N151" s="10">
        <v>2.3864965006175298</v>
      </c>
      <c r="O151" s="10">
        <v>2.3867209477050602</v>
      </c>
      <c r="P151" s="10">
        <v>2.3866562015143802</v>
      </c>
      <c r="Q151" s="10">
        <v>2.3874215177830398</v>
      </c>
      <c r="R151" s="8">
        <v>289.86725909877998</v>
      </c>
      <c r="S151" s="8">
        <v>289.87332506491902</v>
      </c>
      <c r="T151" s="8">
        <v>289.96635684254198</v>
      </c>
      <c r="U151" s="9">
        <v>9.4044359018986899E-5</v>
      </c>
      <c r="V151" s="9">
        <v>1.14970843399936E-4</v>
      </c>
      <c r="W151" s="9">
        <v>4.3585877613042101E-4</v>
      </c>
      <c r="X151" s="10">
        <v>2.3864965006175298</v>
      </c>
      <c r="Y151" s="10">
        <v>2.3867209477050602</v>
      </c>
      <c r="Z151" s="10">
        <v>2.3866562015143802</v>
      </c>
      <c r="AA151" s="10">
        <v>2.3874215177830398</v>
      </c>
      <c r="AB151" s="8">
        <v>289.86725909877998</v>
      </c>
      <c r="AC151" s="8">
        <v>289.87332506491902</v>
      </c>
      <c r="AD151" s="8">
        <v>289.96635684254198</v>
      </c>
      <c r="AE151" s="9">
        <v>9.4044359018986899E-5</v>
      </c>
      <c r="AF151" s="9">
        <v>1.14970843399936E-4</v>
      </c>
      <c r="AG151" s="9">
        <v>4.3585877613042101E-4</v>
      </c>
      <c r="AZ151" s="9"/>
      <c r="BB151">
        <f t="shared" ref="BB151:BB167" si="42">IF($AG151&lt;BA$20,1,0)</f>
        <v>0</v>
      </c>
      <c r="BC151">
        <f t="shared" ref="BC151:BC167" si="43">IF($AG151&gt;BA$21,1,0)</f>
        <v>1</v>
      </c>
      <c r="BD151">
        <f t="shared" ref="BD151:BD167" si="44">BF151</f>
        <v>0</v>
      </c>
      <c r="BE151">
        <f t="shared" si="40"/>
        <v>1</v>
      </c>
      <c r="BF151">
        <f t="shared" ref="BF151:BF167" si="45">IF(BB150,1,IF(BC150,0,BD150))*BE150</f>
        <v>0</v>
      </c>
      <c r="BG151" s="9">
        <f t="shared" ref="BG151:BG167" si="46">BF151*D151</f>
        <v>0</v>
      </c>
      <c r="BH151" s="9">
        <f t="shared" ref="BH151:BH167" si="47">-BF151*$E151</f>
        <v>0</v>
      </c>
      <c r="BI151" s="9">
        <f t="shared" ref="BI151:BI167" si="48">BG151+BH151</f>
        <v>0</v>
      </c>
      <c r="BJ151" s="12">
        <f t="shared" ref="BJ151:BJ167" si="49">BJ150+BI151</f>
        <v>3.2687112330371023E-3</v>
      </c>
      <c r="BL151" s="9"/>
      <c r="BN151">
        <f t="shared" ref="BN151:BN167" si="50">IF($AG151&gt;BM$20,1,0)</f>
        <v>0</v>
      </c>
      <c r="BO151">
        <f t="shared" ref="BO151:BO167" si="51">IF($AG151&lt;BM$21,1,0)</f>
        <v>0</v>
      </c>
      <c r="BP151">
        <f t="shared" ref="BP151:BP167" si="52">BR151</f>
        <v>0</v>
      </c>
      <c r="BQ151">
        <f t="shared" si="41"/>
        <v>1</v>
      </c>
      <c r="BR151">
        <f t="shared" ref="BR151:BR167" si="53">IF(BN150,1,IF(BO150,0,BP150))*BQ150</f>
        <v>0</v>
      </c>
      <c r="BS151" s="9">
        <f t="shared" ref="BS151:BS167" si="54">-BR151*D151</f>
        <v>0</v>
      </c>
      <c r="BT151" s="9">
        <f t="shared" ref="BT151:BT167" si="55">BR151*$E151</f>
        <v>0</v>
      </c>
      <c r="BU151" s="9">
        <f t="shared" ref="BU151:BU167" si="56">BS151+BT151</f>
        <v>0</v>
      </c>
      <c r="BV151" s="12">
        <f t="shared" ref="BV151:BV167" si="57">BV150+BU151</f>
        <v>0</v>
      </c>
      <c r="BX151" s="12">
        <f t="shared" ref="BX151:BX167" si="58">BI151+BU151</f>
        <v>0</v>
      </c>
      <c r="BY151" s="12">
        <f t="shared" ref="BY151:BY167" si="59">BY150+BX151</f>
        <v>3.2687112330371023E-3</v>
      </c>
    </row>
    <row r="152" spans="1:77" x14ac:dyDescent="0.3">
      <c r="A152" s="1">
        <v>46244</v>
      </c>
      <c r="B152" s="8">
        <v>120.25</v>
      </c>
      <c r="C152" s="8">
        <v>286.99</v>
      </c>
      <c r="D152" s="9">
        <v>-9.9297464623110208E-3</v>
      </c>
      <c r="E152" s="9">
        <v>-9.8816746398140299E-3</v>
      </c>
      <c r="F152" s="8">
        <v>0</v>
      </c>
      <c r="G152" s="8">
        <v>0.23139999999999999</v>
      </c>
      <c r="H152" s="8">
        <v>0</v>
      </c>
      <c r="I152" s="8">
        <v>0.51</v>
      </c>
      <c r="J152" s="8">
        <v>0</v>
      </c>
      <c r="K152" s="8">
        <v>0</v>
      </c>
      <c r="L152" s="8">
        <v>120.25</v>
      </c>
      <c r="M152" s="8">
        <v>286.99</v>
      </c>
      <c r="N152" s="10">
        <v>2.3866112266112198</v>
      </c>
      <c r="O152" s="10">
        <v>2.3867209477050602</v>
      </c>
      <c r="P152" s="10">
        <v>2.3865341895019601</v>
      </c>
      <c r="Q152" s="10">
        <v>2.3873196513579402</v>
      </c>
      <c r="R152" s="8">
        <v>287.00319396153401</v>
      </c>
      <c r="S152" s="8">
        <v>286.99540823210498</v>
      </c>
      <c r="T152" s="8">
        <v>287.08743751341098</v>
      </c>
      <c r="U152" s="9">
        <v>4.5972536521932702E-5</v>
      </c>
      <c r="V152" s="9">
        <v>1.8844493353818801E-5</v>
      </c>
      <c r="W152" s="9">
        <v>3.39457738556243E-4</v>
      </c>
      <c r="X152" s="10">
        <v>2.3866112266112198</v>
      </c>
      <c r="Y152" s="10">
        <v>2.3867209477050602</v>
      </c>
      <c r="Z152" s="10">
        <v>2.3865341895019601</v>
      </c>
      <c r="AA152" s="10">
        <v>2.3873196513579402</v>
      </c>
      <c r="AB152" s="8">
        <v>287.00319396153401</v>
      </c>
      <c r="AC152" s="8">
        <v>286.99540823210498</v>
      </c>
      <c r="AD152" s="8">
        <v>287.08743751341098</v>
      </c>
      <c r="AE152" s="9">
        <v>4.5972536521932702E-5</v>
      </c>
      <c r="AF152" s="9">
        <v>1.8844493353818801E-5</v>
      </c>
      <c r="AG152" s="9">
        <v>3.39457738556243E-4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3.2687112330371023E-3</v>
      </c>
      <c r="BL152" s="9"/>
      <c r="BN152">
        <f t="shared" si="50"/>
        <v>0</v>
      </c>
      <c r="BO152">
        <f t="shared" si="51"/>
        <v>0</v>
      </c>
      <c r="BP152">
        <f t="shared" si="52"/>
        <v>0</v>
      </c>
      <c r="BQ152">
        <f t="shared" si="41"/>
        <v>1</v>
      </c>
      <c r="BR152">
        <f t="shared" si="53"/>
        <v>0</v>
      </c>
      <c r="BS152" s="9">
        <f t="shared" si="54"/>
        <v>0</v>
      </c>
      <c r="BT152" s="9">
        <f t="shared" si="55"/>
        <v>0</v>
      </c>
      <c r="BU152" s="9">
        <f t="shared" si="56"/>
        <v>0</v>
      </c>
      <c r="BV152" s="12">
        <f t="shared" si="57"/>
        <v>0</v>
      </c>
      <c r="BX152" s="12">
        <f t="shared" si="58"/>
        <v>0</v>
      </c>
      <c r="BY152" s="12">
        <f t="shared" si="59"/>
        <v>3.2687112330371023E-3</v>
      </c>
    </row>
    <row r="153" spans="1:77" x14ac:dyDescent="0.3">
      <c r="A153" s="1">
        <v>46245</v>
      </c>
      <c r="B153" s="8">
        <v>120.17</v>
      </c>
      <c r="C153" s="8">
        <v>286.79000000000002</v>
      </c>
      <c r="D153" s="9">
        <v>-6.6550206266210695E-4</v>
      </c>
      <c r="E153" s="9">
        <v>-6.9713133291460997E-4</v>
      </c>
      <c r="F153" s="8">
        <v>0</v>
      </c>
      <c r="G153" s="8">
        <v>0.23139999999999999</v>
      </c>
      <c r="H153" s="8">
        <v>0</v>
      </c>
      <c r="I153" s="8">
        <v>0.51</v>
      </c>
      <c r="J153" s="8">
        <v>0</v>
      </c>
      <c r="K153" s="8">
        <v>0</v>
      </c>
      <c r="L153" s="8">
        <v>120.17</v>
      </c>
      <c r="M153" s="8">
        <v>286.79000000000002</v>
      </c>
      <c r="N153" s="10">
        <v>2.3865357410335299</v>
      </c>
      <c r="O153" s="10">
        <v>2.3867209477050602</v>
      </c>
      <c r="P153" s="10">
        <v>2.3865028172717699</v>
      </c>
      <c r="Q153" s="10">
        <v>2.38722879687601</v>
      </c>
      <c r="R153" s="8">
        <v>286.81225628571701</v>
      </c>
      <c r="S153" s="8">
        <v>286.78981355245099</v>
      </c>
      <c r="T153" s="8">
        <v>286.88420250368398</v>
      </c>
      <c r="U153" s="9">
        <v>7.7601806774460597E-5</v>
      </c>
      <c r="V153" s="9">
        <v>-6.5011893573738898E-7</v>
      </c>
      <c r="W153" s="9">
        <v>3.2841813042850298E-4</v>
      </c>
      <c r="X153" s="10">
        <v>2.3865357410335299</v>
      </c>
      <c r="Y153" s="10">
        <v>2.3867209477050602</v>
      </c>
      <c r="Z153" s="10">
        <v>2.3865028172717699</v>
      </c>
      <c r="AA153" s="10">
        <v>2.38722879687601</v>
      </c>
      <c r="AB153" s="8">
        <v>286.81225628571701</v>
      </c>
      <c r="AC153" s="8">
        <v>286.78981355245099</v>
      </c>
      <c r="AD153" s="8">
        <v>286.88420250368398</v>
      </c>
      <c r="AE153" s="9">
        <v>7.7601806774460597E-5</v>
      </c>
      <c r="AF153" s="9">
        <v>-6.5011893573738898E-7</v>
      </c>
      <c r="AG153" s="9">
        <v>3.2841813042850298E-4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3.2687112330371023E-3</v>
      </c>
      <c r="BL153" s="9"/>
      <c r="BN153">
        <f t="shared" si="50"/>
        <v>0</v>
      </c>
      <c r="BO153">
        <f t="shared" si="51"/>
        <v>0</v>
      </c>
      <c r="BP153">
        <f t="shared" si="52"/>
        <v>0</v>
      </c>
      <c r="BQ153">
        <f t="shared" si="41"/>
        <v>1</v>
      </c>
      <c r="BR153">
        <f t="shared" si="53"/>
        <v>0</v>
      </c>
      <c r="BS153" s="9">
        <f t="shared" si="54"/>
        <v>0</v>
      </c>
      <c r="BT153" s="9">
        <f t="shared" si="55"/>
        <v>0</v>
      </c>
      <c r="BU153" s="9">
        <f t="shared" si="56"/>
        <v>0</v>
      </c>
      <c r="BV153" s="12">
        <f t="shared" si="57"/>
        <v>0</v>
      </c>
      <c r="BX153" s="12">
        <f t="shared" si="58"/>
        <v>0</v>
      </c>
      <c r="BY153" s="12">
        <f t="shared" si="59"/>
        <v>3.2687112330371023E-3</v>
      </c>
    </row>
    <row r="154" spans="1:77" x14ac:dyDescent="0.3">
      <c r="A154" s="1">
        <v>46246</v>
      </c>
      <c r="B154" s="8">
        <v>121.6</v>
      </c>
      <c r="C154" s="8">
        <v>290.2</v>
      </c>
      <c r="D154" s="9">
        <v>1.18295626088582E-2</v>
      </c>
      <c r="E154" s="9">
        <v>1.1820099835994399E-2</v>
      </c>
      <c r="F154" s="8">
        <v>0</v>
      </c>
      <c r="G154" s="8">
        <v>0.23139999999999999</v>
      </c>
      <c r="H154" s="8">
        <v>0</v>
      </c>
      <c r="I154" s="8">
        <v>0.51</v>
      </c>
      <c r="J154" s="8">
        <v>0</v>
      </c>
      <c r="K154" s="8">
        <v>0</v>
      </c>
      <c r="L154" s="8">
        <v>121.6</v>
      </c>
      <c r="M154" s="8">
        <v>290.2</v>
      </c>
      <c r="N154" s="10">
        <v>2.3865131578947301</v>
      </c>
      <c r="O154" s="10">
        <v>2.3867209477050602</v>
      </c>
      <c r="P154" s="10">
        <v>2.38657742326457</v>
      </c>
      <c r="Q154" s="10">
        <v>2.3871681886763301</v>
      </c>
      <c r="R154" s="8">
        <v>290.22526724093501</v>
      </c>
      <c r="S154" s="8">
        <v>290.19874258024703</v>
      </c>
      <c r="T154" s="8">
        <v>290.28702170012298</v>
      </c>
      <c r="U154" s="9">
        <v>8.7064579638314402E-5</v>
      </c>
      <c r="V154" s="9">
        <v>-4.3329513314606703E-6</v>
      </c>
      <c r="W154" s="9">
        <v>2.9982307105126199E-4</v>
      </c>
      <c r="X154" s="10">
        <v>2.3865131578947301</v>
      </c>
      <c r="Y154" s="10">
        <v>2.3867209477050602</v>
      </c>
      <c r="Z154" s="10">
        <v>2.38657742326457</v>
      </c>
      <c r="AA154" s="10">
        <v>2.3871681886763301</v>
      </c>
      <c r="AB154" s="8">
        <v>290.22526724093501</v>
      </c>
      <c r="AC154" s="8">
        <v>290.19874258024703</v>
      </c>
      <c r="AD154" s="8">
        <v>290.28702170012298</v>
      </c>
      <c r="AE154" s="9">
        <v>8.7064579638314402E-5</v>
      </c>
      <c r="AF154" s="9">
        <v>-4.3329513314606703E-6</v>
      </c>
      <c r="AG154" s="9">
        <v>2.9982307105126199E-4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3.2687112330371023E-3</v>
      </c>
      <c r="BL154" s="9"/>
      <c r="BN154">
        <f t="shared" si="50"/>
        <v>0</v>
      </c>
      <c r="BO154">
        <f t="shared" si="51"/>
        <v>0</v>
      </c>
      <c r="BP154">
        <f t="shared" si="52"/>
        <v>0</v>
      </c>
      <c r="BQ154">
        <f t="shared" si="41"/>
        <v>1</v>
      </c>
      <c r="BR154">
        <f t="shared" si="53"/>
        <v>0</v>
      </c>
      <c r="BS154" s="9">
        <f t="shared" si="54"/>
        <v>0</v>
      </c>
      <c r="BT154" s="9">
        <f t="shared" si="55"/>
        <v>0</v>
      </c>
      <c r="BU154" s="9">
        <f t="shared" si="56"/>
        <v>0</v>
      </c>
      <c r="BV154" s="12">
        <f t="shared" si="57"/>
        <v>0</v>
      </c>
      <c r="BX154" s="12">
        <f t="shared" si="58"/>
        <v>0</v>
      </c>
      <c r="BY154" s="12">
        <f t="shared" si="59"/>
        <v>3.2687112330371023E-3</v>
      </c>
    </row>
    <row r="155" spans="1:77" x14ac:dyDescent="0.3">
      <c r="A155" s="1">
        <v>46247</v>
      </c>
      <c r="B155" s="8">
        <v>122.99</v>
      </c>
      <c r="C155" s="8">
        <v>293.44</v>
      </c>
      <c r="D155" s="9">
        <v>1.13660817222524E-2</v>
      </c>
      <c r="E155" s="9">
        <v>1.1102848618012501E-2</v>
      </c>
      <c r="F155" s="8">
        <v>0</v>
      </c>
      <c r="G155" s="8">
        <v>0.23139999999999999</v>
      </c>
      <c r="H155" s="8">
        <v>0</v>
      </c>
      <c r="I155" s="8">
        <v>0.51</v>
      </c>
      <c r="J155" s="8">
        <v>0</v>
      </c>
      <c r="K155" s="8">
        <v>0</v>
      </c>
      <c r="L155" s="8">
        <v>122.99</v>
      </c>
      <c r="M155" s="8">
        <v>293.44</v>
      </c>
      <c r="N155" s="10">
        <v>2.3858850313033502</v>
      </c>
      <c r="O155" s="10">
        <v>2.3867209477050602</v>
      </c>
      <c r="P155" s="10">
        <v>2.3865147554141002</v>
      </c>
      <c r="Q155" s="10">
        <v>2.38706468113786</v>
      </c>
      <c r="R155" s="8">
        <v>293.54280935824499</v>
      </c>
      <c r="S155" s="8">
        <v>293.52515728730998</v>
      </c>
      <c r="T155" s="8">
        <v>293.597815525302</v>
      </c>
      <c r="U155" s="9">
        <v>3.5029768387831803E-4</v>
      </c>
      <c r="V155" s="9">
        <v>2.9016130463729601E-4</v>
      </c>
      <c r="W155" s="9">
        <v>5.3766733566585798E-4</v>
      </c>
      <c r="X155" s="10">
        <v>2.3858850313033502</v>
      </c>
      <c r="Y155" s="10">
        <v>2.3867209477050602</v>
      </c>
      <c r="Z155" s="10">
        <v>2.3865147554141002</v>
      </c>
      <c r="AA155" s="10">
        <v>2.38706468113786</v>
      </c>
      <c r="AB155" s="8">
        <v>293.54280935824499</v>
      </c>
      <c r="AC155" s="8">
        <v>293.52515728730998</v>
      </c>
      <c r="AD155" s="8">
        <v>293.597815525302</v>
      </c>
      <c r="AE155" s="9">
        <v>3.5029768387831803E-4</v>
      </c>
      <c r="AF155" s="9">
        <v>2.9016130463729601E-4</v>
      </c>
      <c r="AG155" s="9">
        <v>5.3766733566585798E-4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3.2687112330371023E-3</v>
      </c>
      <c r="BL155" s="9"/>
      <c r="BN155">
        <f t="shared" si="50"/>
        <v>0</v>
      </c>
      <c r="BO155">
        <f t="shared" si="51"/>
        <v>0</v>
      </c>
      <c r="BP155">
        <f t="shared" si="52"/>
        <v>0</v>
      </c>
      <c r="BQ155">
        <f t="shared" si="41"/>
        <v>1</v>
      </c>
      <c r="BR155">
        <f t="shared" si="53"/>
        <v>0</v>
      </c>
      <c r="BS155" s="9">
        <f t="shared" si="54"/>
        <v>0</v>
      </c>
      <c r="BT155" s="9">
        <f t="shared" si="55"/>
        <v>0</v>
      </c>
      <c r="BU155" s="9">
        <f t="shared" si="56"/>
        <v>0</v>
      </c>
      <c r="BV155" s="12">
        <f t="shared" si="57"/>
        <v>0</v>
      </c>
      <c r="BX155" s="12">
        <f t="shared" si="58"/>
        <v>0</v>
      </c>
      <c r="BY155" s="12">
        <f t="shared" si="59"/>
        <v>3.2687112330371023E-3</v>
      </c>
    </row>
    <row r="156" spans="1:77" x14ac:dyDescent="0.3">
      <c r="A156" s="1">
        <v>46248</v>
      </c>
      <c r="B156" s="8">
        <v>122.56</v>
      </c>
      <c r="C156" s="8">
        <v>292.5</v>
      </c>
      <c r="D156" s="9">
        <v>-3.5023452620379101E-3</v>
      </c>
      <c r="E156" s="9">
        <v>-3.20852239618888E-3</v>
      </c>
      <c r="F156" s="8">
        <v>0</v>
      </c>
      <c r="G156" s="8">
        <v>0.23139999999999999</v>
      </c>
      <c r="H156" s="8">
        <v>0</v>
      </c>
      <c r="I156" s="8">
        <v>0.51</v>
      </c>
      <c r="J156" s="8">
        <v>0</v>
      </c>
      <c r="K156" s="8">
        <v>0</v>
      </c>
      <c r="L156" s="8">
        <v>122.56</v>
      </c>
      <c r="M156" s="8">
        <v>292.5</v>
      </c>
      <c r="N156" s="10">
        <v>2.3865861618798898</v>
      </c>
      <c r="O156" s="10">
        <v>2.3867209477050602</v>
      </c>
      <c r="P156" s="10">
        <v>2.38646369418273</v>
      </c>
      <c r="Q156" s="10">
        <v>2.3869731227420199</v>
      </c>
      <c r="R156" s="8">
        <v>292.51651935073198</v>
      </c>
      <c r="S156" s="8">
        <v>292.49124842355201</v>
      </c>
      <c r="T156" s="8">
        <v>292.558647320256</v>
      </c>
      <c r="U156" s="9">
        <v>5.6474818029184797E-5</v>
      </c>
      <c r="V156" s="9">
        <v>-2.99203670877022E-5</v>
      </c>
      <c r="W156" s="9">
        <v>2.00483560823867E-4</v>
      </c>
      <c r="X156" s="10">
        <v>2.3865861618798898</v>
      </c>
      <c r="Y156" s="10">
        <v>2.3867209477050602</v>
      </c>
      <c r="Z156" s="10">
        <v>2.38646369418273</v>
      </c>
      <c r="AA156" s="10">
        <v>2.3869731227420199</v>
      </c>
      <c r="AB156" s="8">
        <v>292.51651935073198</v>
      </c>
      <c r="AC156" s="8">
        <v>292.49124842355201</v>
      </c>
      <c r="AD156" s="8">
        <v>292.558647320256</v>
      </c>
      <c r="AE156" s="9">
        <v>5.6474818029184797E-5</v>
      </c>
      <c r="AF156" s="9">
        <v>-2.99203670877022E-5</v>
      </c>
      <c r="AG156" s="9">
        <v>2.00483560823867E-4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3.2687112330371023E-3</v>
      </c>
      <c r="BL156" s="9"/>
      <c r="BN156">
        <f t="shared" si="50"/>
        <v>0</v>
      </c>
      <c r="BO156">
        <f t="shared" si="51"/>
        <v>0</v>
      </c>
      <c r="BP156">
        <f t="shared" si="52"/>
        <v>0</v>
      </c>
      <c r="BQ156">
        <f t="shared" si="41"/>
        <v>1</v>
      </c>
      <c r="BR156">
        <f t="shared" si="53"/>
        <v>0</v>
      </c>
      <c r="BS156" s="9">
        <f t="shared" si="54"/>
        <v>0</v>
      </c>
      <c r="BT156" s="9">
        <f t="shared" si="55"/>
        <v>0</v>
      </c>
      <c r="BU156" s="9">
        <f t="shared" si="56"/>
        <v>0</v>
      </c>
      <c r="BV156" s="12">
        <f t="shared" si="57"/>
        <v>0</v>
      </c>
      <c r="BX156" s="12">
        <f t="shared" si="58"/>
        <v>0</v>
      </c>
      <c r="BY156" s="12">
        <f t="shared" si="59"/>
        <v>3.2687112330371023E-3</v>
      </c>
    </row>
    <row r="157" spans="1:77" x14ac:dyDescent="0.3">
      <c r="A157" s="1">
        <v>46251</v>
      </c>
      <c r="B157" s="8">
        <v>122.54</v>
      </c>
      <c r="C157" s="8">
        <v>292.36</v>
      </c>
      <c r="D157" s="9">
        <v>-1.6319869477264101E-4</v>
      </c>
      <c r="E157" s="9">
        <v>-4.7874705972019202E-4</v>
      </c>
      <c r="F157" s="8">
        <v>0</v>
      </c>
      <c r="G157" s="8">
        <v>0.23139999999999999</v>
      </c>
      <c r="H157" s="8">
        <v>0</v>
      </c>
      <c r="I157" s="8">
        <v>0.51</v>
      </c>
      <c r="J157" s="8">
        <v>0</v>
      </c>
      <c r="K157" s="8">
        <v>0</v>
      </c>
      <c r="L157" s="8">
        <v>122.54</v>
      </c>
      <c r="M157" s="8">
        <v>292.36</v>
      </c>
      <c r="N157" s="10">
        <v>2.3858331973233202</v>
      </c>
      <c r="O157" s="10">
        <v>2.3867209477050602</v>
      </c>
      <c r="P157" s="10">
        <v>2.3864418376079599</v>
      </c>
      <c r="Q157" s="10">
        <v>2.3869147870239802</v>
      </c>
      <c r="R157" s="8">
        <v>292.46878493177798</v>
      </c>
      <c r="S157" s="8">
        <v>292.43726108515199</v>
      </c>
      <c r="T157" s="8">
        <v>292.49968646080703</v>
      </c>
      <c r="U157" s="9">
        <v>3.7202318297650799E-4</v>
      </c>
      <c r="V157" s="9">
        <v>2.6423203644630598E-4</v>
      </c>
      <c r="W157" s="9">
        <v>4.7767513028300102E-4</v>
      </c>
      <c r="X157" s="10">
        <v>2.3858331973233202</v>
      </c>
      <c r="Y157" s="10">
        <v>2.3867209477050602</v>
      </c>
      <c r="Z157" s="10">
        <v>2.3864418376079599</v>
      </c>
      <c r="AA157" s="10">
        <v>2.3869147870239802</v>
      </c>
      <c r="AB157" s="8">
        <v>292.46878493177798</v>
      </c>
      <c r="AC157" s="8">
        <v>292.43726108515199</v>
      </c>
      <c r="AD157" s="8">
        <v>292.49968646080703</v>
      </c>
      <c r="AE157" s="9">
        <v>3.7202318297650799E-4</v>
      </c>
      <c r="AF157" s="9">
        <v>2.6423203644630598E-4</v>
      </c>
      <c r="AG157" s="9">
        <v>4.7767513028300102E-4</v>
      </c>
      <c r="BB157">
        <f t="shared" si="42"/>
        <v>0</v>
      </c>
      <c r="BC157">
        <f t="shared" si="43"/>
        <v>1</v>
      </c>
      <c r="BD157">
        <f t="shared" si="44"/>
        <v>0</v>
      </c>
      <c r="BE157">
        <f t="shared" si="40"/>
        <v>1</v>
      </c>
      <c r="BF157">
        <f t="shared" si="45"/>
        <v>0</v>
      </c>
      <c r="BG157" s="9">
        <f t="shared" si="46"/>
        <v>0</v>
      </c>
      <c r="BH157" s="9">
        <f t="shared" si="47"/>
        <v>0</v>
      </c>
      <c r="BI157" s="9">
        <f t="shared" si="48"/>
        <v>0</v>
      </c>
      <c r="BJ157" s="12">
        <f t="shared" si="49"/>
        <v>3.2687112330371023E-3</v>
      </c>
      <c r="BL157" s="9"/>
      <c r="BN157">
        <f t="shared" si="50"/>
        <v>0</v>
      </c>
      <c r="BO157">
        <f t="shared" si="51"/>
        <v>0</v>
      </c>
      <c r="BP157">
        <f t="shared" si="52"/>
        <v>0</v>
      </c>
      <c r="BQ157">
        <f t="shared" si="41"/>
        <v>1</v>
      </c>
      <c r="BR157">
        <f t="shared" si="53"/>
        <v>0</v>
      </c>
      <c r="BS157" s="9">
        <f t="shared" si="54"/>
        <v>0</v>
      </c>
      <c r="BT157" s="9">
        <f t="shared" si="55"/>
        <v>0</v>
      </c>
      <c r="BU157" s="9">
        <f t="shared" si="56"/>
        <v>0</v>
      </c>
      <c r="BV157" s="12">
        <f t="shared" si="57"/>
        <v>0</v>
      </c>
      <c r="BX157" s="12">
        <f t="shared" si="58"/>
        <v>0</v>
      </c>
      <c r="BY157" s="12">
        <f t="shared" si="59"/>
        <v>3.2687112330371023E-3</v>
      </c>
    </row>
    <row r="158" spans="1:77" x14ac:dyDescent="0.3">
      <c r="A158" s="1">
        <v>46252</v>
      </c>
      <c r="B158" s="8">
        <v>119.79</v>
      </c>
      <c r="C158" s="8">
        <v>285.82</v>
      </c>
      <c r="D158" s="9">
        <v>-2.2697297554268799E-2</v>
      </c>
      <c r="E158" s="9">
        <v>-2.2623677558542301E-2</v>
      </c>
      <c r="F158" s="8">
        <v>0</v>
      </c>
      <c r="G158" s="8">
        <v>0.23139999999999999</v>
      </c>
      <c r="H158" s="8">
        <v>0</v>
      </c>
      <c r="I158" s="8">
        <v>0.51</v>
      </c>
      <c r="J158" s="8">
        <v>0</v>
      </c>
      <c r="K158" s="8">
        <v>0</v>
      </c>
      <c r="L158" s="8">
        <v>119.79</v>
      </c>
      <c r="M158" s="8">
        <v>285.82</v>
      </c>
      <c r="N158" s="10">
        <v>2.3860088488187601</v>
      </c>
      <c r="O158" s="10">
        <v>2.3867209477050602</v>
      </c>
      <c r="P158" s="10">
        <v>2.38636606830757</v>
      </c>
      <c r="Q158" s="10">
        <v>2.3868246596864502</v>
      </c>
      <c r="R158" s="8">
        <v>285.90530232558899</v>
      </c>
      <c r="S158" s="8">
        <v>285.87186772705797</v>
      </c>
      <c r="T158" s="8">
        <v>285.92852233760198</v>
      </c>
      <c r="U158" s="9">
        <v>2.98403187249919E-4</v>
      </c>
      <c r="V158" s="9">
        <v>1.8145343717040099E-4</v>
      </c>
      <c r="W158" s="9">
        <v>3.79615634028515E-4</v>
      </c>
      <c r="X158" s="10">
        <v>2.3860088488187601</v>
      </c>
      <c r="Y158" s="10">
        <v>2.3867209477050602</v>
      </c>
      <c r="Z158" s="10">
        <v>2.38636606830757</v>
      </c>
      <c r="AA158" s="10">
        <v>2.3868246596864502</v>
      </c>
      <c r="AB158" s="8">
        <v>285.90530232558899</v>
      </c>
      <c r="AC158" s="8">
        <v>285.87186772705797</v>
      </c>
      <c r="AD158" s="8">
        <v>285.92852233760198</v>
      </c>
      <c r="AE158" s="9">
        <v>2.98403187249919E-4</v>
      </c>
      <c r="AF158" s="9">
        <v>1.8145343717040099E-4</v>
      </c>
      <c r="AG158" s="9">
        <v>3.79615634028515E-4</v>
      </c>
      <c r="BB158">
        <f t="shared" si="42"/>
        <v>0</v>
      </c>
      <c r="BC158">
        <f t="shared" si="43"/>
        <v>1</v>
      </c>
      <c r="BD158">
        <f t="shared" si="44"/>
        <v>0</v>
      </c>
      <c r="BE158">
        <f t="shared" si="40"/>
        <v>1</v>
      </c>
      <c r="BF158">
        <f t="shared" si="45"/>
        <v>0</v>
      </c>
      <c r="BG158" s="9">
        <f t="shared" si="46"/>
        <v>0</v>
      </c>
      <c r="BH158" s="9">
        <f t="shared" si="47"/>
        <v>0</v>
      </c>
      <c r="BI158" s="9">
        <f t="shared" si="48"/>
        <v>0</v>
      </c>
      <c r="BJ158" s="12">
        <f t="shared" si="49"/>
        <v>3.2687112330371023E-3</v>
      </c>
      <c r="BL158" s="9"/>
      <c r="BN158">
        <f t="shared" si="50"/>
        <v>0</v>
      </c>
      <c r="BO158">
        <f t="shared" si="51"/>
        <v>0</v>
      </c>
      <c r="BP158">
        <f t="shared" si="52"/>
        <v>0</v>
      </c>
      <c r="BQ158">
        <f t="shared" si="41"/>
        <v>1</v>
      </c>
      <c r="BR158">
        <f t="shared" si="53"/>
        <v>0</v>
      </c>
      <c r="BS158" s="9">
        <f t="shared" si="54"/>
        <v>0</v>
      </c>
      <c r="BT158" s="9">
        <f t="shared" si="55"/>
        <v>0</v>
      </c>
      <c r="BU158" s="9">
        <f t="shared" si="56"/>
        <v>0</v>
      </c>
      <c r="BV158" s="12">
        <f t="shared" si="57"/>
        <v>0</v>
      </c>
      <c r="BX158" s="12">
        <f t="shared" si="58"/>
        <v>0</v>
      </c>
      <c r="BY158" s="12">
        <f t="shared" si="59"/>
        <v>3.2687112330371023E-3</v>
      </c>
    </row>
    <row r="159" spans="1:77" x14ac:dyDescent="0.3">
      <c r="A159" s="1">
        <v>46253</v>
      </c>
      <c r="B159" s="8">
        <v>118.8</v>
      </c>
      <c r="C159" s="8">
        <v>283.52999999999997</v>
      </c>
      <c r="D159" s="9">
        <v>-8.2988028146951699E-3</v>
      </c>
      <c r="E159" s="9">
        <v>-8.0443043785743198E-3</v>
      </c>
      <c r="F159" s="8">
        <v>0</v>
      </c>
      <c r="G159" s="8">
        <v>0.23139999999999999</v>
      </c>
      <c r="H159" s="8">
        <v>0</v>
      </c>
      <c r="I159" s="8">
        <v>0.51</v>
      </c>
      <c r="J159" s="8">
        <v>0</v>
      </c>
      <c r="K159" s="8">
        <v>0</v>
      </c>
      <c r="L159" s="8">
        <v>118.8</v>
      </c>
      <c r="M159" s="8">
        <v>283.52999999999997</v>
      </c>
      <c r="N159" s="10">
        <v>2.3866161616161601</v>
      </c>
      <c r="O159" s="10">
        <v>2.3867209477050602</v>
      </c>
      <c r="P159" s="10">
        <v>2.3863791712717202</v>
      </c>
      <c r="Q159" s="10">
        <v>2.3866994912926001</v>
      </c>
      <c r="R159" s="8">
        <v>283.54244858736098</v>
      </c>
      <c r="S159" s="8">
        <v>283.50028891493901</v>
      </c>
      <c r="T159" s="8">
        <v>283.55476957075001</v>
      </c>
      <c r="U159" s="9">
        <v>4.3904751129357401E-5</v>
      </c>
      <c r="V159" s="9">
        <v>-1.0479540747134301E-4</v>
      </c>
      <c r="W159" s="9">
        <v>8.7357559558659401E-5</v>
      </c>
      <c r="X159" s="10">
        <v>2.3866161616161601</v>
      </c>
      <c r="Y159" s="10">
        <v>2.3867209477050602</v>
      </c>
      <c r="Z159" s="10">
        <v>2.3863791712717202</v>
      </c>
      <c r="AA159" s="10">
        <v>2.3866994912926001</v>
      </c>
      <c r="AB159" s="8">
        <v>283.54244858736098</v>
      </c>
      <c r="AC159" s="8">
        <v>283.50028891493901</v>
      </c>
      <c r="AD159" s="8">
        <v>283.55476957075001</v>
      </c>
      <c r="AE159" s="9">
        <v>4.3904751129357401E-5</v>
      </c>
      <c r="AF159" s="9">
        <v>-1.0479540747134301E-4</v>
      </c>
      <c r="AG159" s="9">
        <v>8.7357559558659401E-5</v>
      </c>
      <c r="BB159">
        <f t="shared" si="42"/>
        <v>0</v>
      </c>
      <c r="BC159">
        <f t="shared" si="43"/>
        <v>1</v>
      </c>
      <c r="BD159">
        <f t="shared" si="44"/>
        <v>0</v>
      </c>
      <c r="BE159">
        <f t="shared" si="40"/>
        <v>1</v>
      </c>
      <c r="BF159">
        <f t="shared" si="45"/>
        <v>0</v>
      </c>
      <c r="BG159" s="9">
        <f t="shared" si="46"/>
        <v>0</v>
      </c>
      <c r="BH159" s="9">
        <f t="shared" si="47"/>
        <v>0</v>
      </c>
      <c r="BI159" s="9">
        <f t="shared" si="48"/>
        <v>0</v>
      </c>
      <c r="BJ159" s="12">
        <f t="shared" si="49"/>
        <v>3.2687112330371023E-3</v>
      </c>
      <c r="BL159" s="9"/>
      <c r="BN159">
        <f t="shared" si="50"/>
        <v>0</v>
      </c>
      <c r="BO159">
        <f t="shared" si="51"/>
        <v>0</v>
      </c>
      <c r="BP159">
        <f t="shared" si="52"/>
        <v>0</v>
      </c>
      <c r="BQ159">
        <f t="shared" si="41"/>
        <v>1</v>
      </c>
      <c r="BR159">
        <f t="shared" si="53"/>
        <v>0</v>
      </c>
      <c r="BS159" s="9">
        <f t="shared" si="54"/>
        <v>0</v>
      </c>
      <c r="BT159" s="9">
        <f t="shared" si="55"/>
        <v>0</v>
      </c>
      <c r="BU159" s="9">
        <f t="shared" si="56"/>
        <v>0</v>
      </c>
      <c r="BV159" s="12">
        <f t="shared" si="57"/>
        <v>0</v>
      </c>
      <c r="BX159" s="12">
        <f t="shared" si="58"/>
        <v>0</v>
      </c>
      <c r="BY159" s="12">
        <f t="shared" si="59"/>
        <v>3.2687112330371023E-3</v>
      </c>
    </row>
    <row r="160" spans="1:77" x14ac:dyDescent="0.3">
      <c r="A160" s="1">
        <v>46254</v>
      </c>
      <c r="B160" s="8">
        <v>118.36</v>
      </c>
      <c r="C160" s="8">
        <v>282.35000000000002</v>
      </c>
      <c r="D160" s="9">
        <v>-3.7105793965355998E-3</v>
      </c>
      <c r="E160" s="9">
        <v>-4.1705015562285702E-3</v>
      </c>
      <c r="F160" s="8">
        <v>0</v>
      </c>
      <c r="G160" s="8">
        <v>0.23139999999999999</v>
      </c>
      <c r="H160" s="8">
        <v>0</v>
      </c>
      <c r="I160" s="8">
        <v>0.51</v>
      </c>
      <c r="J160" s="8">
        <v>0</v>
      </c>
      <c r="K160" s="8">
        <v>0</v>
      </c>
      <c r="L160" s="8">
        <v>118.36</v>
      </c>
      <c r="M160" s="8">
        <v>282.35000000000002</v>
      </c>
      <c r="N160" s="10">
        <v>2.3855187563365998</v>
      </c>
      <c r="O160" s="10">
        <v>2.3867209477050602</v>
      </c>
      <c r="P160" s="10">
        <v>2.3862604783435102</v>
      </c>
      <c r="Q160" s="10">
        <v>2.3865156861249002</v>
      </c>
      <c r="R160" s="8">
        <v>282.49229137037099</v>
      </c>
      <c r="S160" s="8">
        <v>282.451838711721</v>
      </c>
      <c r="T160" s="8">
        <v>282.48975178939202</v>
      </c>
      <c r="U160" s="9">
        <v>5.0382691082226101E-4</v>
      </c>
      <c r="V160" s="9">
        <v>3.6061749748366801E-4</v>
      </c>
      <c r="W160" s="9">
        <v>4.9483695792072204E-4</v>
      </c>
      <c r="X160" s="10">
        <v>2.3855187563365998</v>
      </c>
      <c r="Y160" s="10">
        <v>2.3867209477050602</v>
      </c>
      <c r="Z160" s="10">
        <v>2.3862604783435102</v>
      </c>
      <c r="AA160" s="10">
        <v>2.3865156861249002</v>
      </c>
      <c r="AB160" s="8">
        <v>282.49229137037099</v>
      </c>
      <c r="AC160" s="8">
        <v>282.451838711721</v>
      </c>
      <c r="AD160" s="8">
        <v>282.48975178939202</v>
      </c>
      <c r="AE160" s="9">
        <v>5.0382691082226101E-4</v>
      </c>
      <c r="AF160" s="9">
        <v>3.6061749748366801E-4</v>
      </c>
      <c r="AG160" s="9">
        <v>4.9483695792072204E-4</v>
      </c>
      <c r="BB160">
        <f t="shared" si="42"/>
        <v>0</v>
      </c>
      <c r="BC160">
        <f t="shared" si="43"/>
        <v>1</v>
      </c>
      <c r="BD160">
        <f t="shared" si="44"/>
        <v>0</v>
      </c>
      <c r="BE160">
        <f t="shared" si="40"/>
        <v>1</v>
      </c>
      <c r="BF160">
        <f t="shared" si="45"/>
        <v>0</v>
      </c>
      <c r="BG160" s="9">
        <f t="shared" si="46"/>
        <v>0</v>
      </c>
      <c r="BH160" s="9">
        <f t="shared" si="47"/>
        <v>0</v>
      </c>
      <c r="BI160" s="9">
        <f t="shared" si="48"/>
        <v>0</v>
      </c>
      <c r="BJ160" s="12">
        <f t="shared" si="49"/>
        <v>3.2687112330371023E-3</v>
      </c>
      <c r="BL160" s="9"/>
      <c r="BN160">
        <f t="shared" si="50"/>
        <v>0</v>
      </c>
      <c r="BO160">
        <f t="shared" si="51"/>
        <v>0</v>
      </c>
      <c r="BP160">
        <f t="shared" si="52"/>
        <v>0</v>
      </c>
      <c r="BQ160">
        <f t="shared" si="41"/>
        <v>1</v>
      </c>
      <c r="BR160">
        <f t="shared" si="53"/>
        <v>0</v>
      </c>
      <c r="BS160" s="9">
        <f t="shared" si="54"/>
        <v>0</v>
      </c>
      <c r="BT160" s="9">
        <f t="shared" si="55"/>
        <v>0</v>
      </c>
      <c r="BU160" s="9">
        <f t="shared" si="56"/>
        <v>0</v>
      </c>
      <c r="BV160" s="12">
        <f t="shared" si="57"/>
        <v>0</v>
      </c>
      <c r="BX160" s="12">
        <f t="shared" si="58"/>
        <v>0</v>
      </c>
      <c r="BY160" s="12">
        <f t="shared" si="59"/>
        <v>3.2687112330371023E-3</v>
      </c>
    </row>
    <row r="161" spans="1:77" x14ac:dyDescent="0.3">
      <c r="A161" s="1">
        <v>46255</v>
      </c>
      <c r="B161" s="8">
        <v>118.42</v>
      </c>
      <c r="C161" s="8">
        <v>282.62</v>
      </c>
      <c r="D161" s="9">
        <v>5.0679957162122599E-4</v>
      </c>
      <c r="E161" s="9">
        <v>9.5580303575425304E-4</v>
      </c>
      <c r="F161" s="8">
        <v>0</v>
      </c>
      <c r="G161" s="8">
        <v>0.23139999999999999</v>
      </c>
      <c r="H161" s="8">
        <v>0</v>
      </c>
      <c r="I161" s="8">
        <v>0.51</v>
      </c>
      <c r="J161" s="8">
        <v>0</v>
      </c>
      <c r="K161" s="8">
        <v>0</v>
      </c>
      <c r="L161" s="8">
        <v>118.42</v>
      </c>
      <c r="M161" s="8">
        <v>282.62</v>
      </c>
      <c r="N161" s="10">
        <v>2.38659010302313</v>
      </c>
      <c r="O161" s="10">
        <v>2.3867209477050602</v>
      </c>
      <c r="P161" s="10">
        <v>2.3862698385840702</v>
      </c>
      <c r="Q161" s="10">
        <v>2.3864630200492298</v>
      </c>
      <c r="R161" s="8">
        <v>282.63549462723302</v>
      </c>
      <c r="S161" s="8">
        <v>282.58096584543802</v>
      </c>
      <c r="T161" s="8">
        <v>282.61118755091098</v>
      </c>
      <c r="U161" s="9">
        <v>5.4823446688964497E-5</v>
      </c>
      <c r="V161" s="9">
        <v>-1.3812486878803299E-4</v>
      </c>
      <c r="W161" s="9">
        <v>-3.1181751055276401E-5</v>
      </c>
      <c r="X161" s="10">
        <v>2.38659010302313</v>
      </c>
      <c r="Y161" s="10">
        <v>2.3867209477050602</v>
      </c>
      <c r="Z161" s="10">
        <v>2.3862698385840702</v>
      </c>
      <c r="AA161" s="10">
        <v>2.3864630200492298</v>
      </c>
      <c r="AB161" s="8">
        <v>282.63549462723302</v>
      </c>
      <c r="AC161" s="8">
        <v>282.58096584543802</v>
      </c>
      <c r="AD161" s="8">
        <v>282.61118755091098</v>
      </c>
      <c r="AE161" s="9">
        <v>5.4823446688964497E-5</v>
      </c>
      <c r="AF161" s="9">
        <v>-1.3812486878803299E-4</v>
      </c>
      <c r="AG161" s="9">
        <v>-3.1181751055276401E-5</v>
      </c>
      <c r="BB161">
        <f t="shared" si="42"/>
        <v>0</v>
      </c>
      <c r="BC161">
        <f t="shared" si="43"/>
        <v>0</v>
      </c>
      <c r="BD161">
        <f t="shared" si="44"/>
        <v>0</v>
      </c>
      <c r="BE161">
        <f t="shared" si="40"/>
        <v>1</v>
      </c>
      <c r="BF161">
        <f t="shared" si="45"/>
        <v>0</v>
      </c>
      <c r="BG161" s="9">
        <f t="shared" si="46"/>
        <v>0</v>
      </c>
      <c r="BH161" s="9">
        <f t="shared" si="47"/>
        <v>0</v>
      </c>
      <c r="BI161" s="9">
        <f t="shared" si="48"/>
        <v>0</v>
      </c>
      <c r="BJ161" s="12">
        <f t="shared" si="49"/>
        <v>3.2687112330371023E-3</v>
      </c>
      <c r="BL161" s="9"/>
      <c r="BN161">
        <f t="shared" si="50"/>
        <v>0</v>
      </c>
      <c r="BO161">
        <f t="shared" si="51"/>
        <v>1</v>
      </c>
      <c r="BP161">
        <f t="shared" si="52"/>
        <v>0</v>
      </c>
      <c r="BQ161">
        <f t="shared" si="41"/>
        <v>1</v>
      </c>
      <c r="BR161">
        <f t="shared" si="53"/>
        <v>0</v>
      </c>
      <c r="BS161" s="9">
        <f t="shared" si="54"/>
        <v>0</v>
      </c>
      <c r="BT161" s="9">
        <f t="shared" si="55"/>
        <v>0</v>
      </c>
      <c r="BU161" s="9">
        <f t="shared" si="56"/>
        <v>0</v>
      </c>
      <c r="BV161" s="12">
        <f t="shared" si="57"/>
        <v>0</v>
      </c>
      <c r="BX161" s="12">
        <f t="shared" si="58"/>
        <v>0</v>
      </c>
      <c r="BY161" s="12">
        <f t="shared" si="59"/>
        <v>3.2687112330371023E-3</v>
      </c>
    </row>
    <row r="162" spans="1:77" x14ac:dyDescent="0.3">
      <c r="A162" s="1">
        <v>46258</v>
      </c>
      <c r="B162" s="8">
        <v>116.42</v>
      </c>
      <c r="C162" s="8">
        <v>277.79000000000002</v>
      </c>
      <c r="D162" s="9">
        <v>-1.7033285260040502E-2</v>
      </c>
      <c r="E162" s="9">
        <v>-1.7237806602498799E-2</v>
      </c>
      <c r="F162" s="8">
        <v>0</v>
      </c>
      <c r="G162" s="8">
        <v>0.23139999999999999</v>
      </c>
      <c r="H162" s="8">
        <v>0</v>
      </c>
      <c r="I162" s="8">
        <v>0.51</v>
      </c>
      <c r="J162" s="8">
        <v>0</v>
      </c>
      <c r="K162" s="8">
        <v>0</v>
      </c>
      <c r="L162" s="8">
        <v>116.42</v>
      </c>
      <c r="M162" s="8">
        <v>277.79000000000002</v>
      </c>
      <c r="N162" s="10">
        <v>2.3861020443222798</v>
      </c>
      <c r="O162" s="10">
        <v>2.3867209477050602</v>
      </c>
      <c r="P162" s="10">
        <v>2.3862189203551698</v>
      </c>
      <c r="Q162" s="10">
        <v>2.38637655492857</v>
      </c>
      <c r="R162" s="8">
        <v>277.86205273182298</v>
      </c>
      <c r="S162" s="8">
        <v>277.809534607957</v>
      </c>
      <c r="T162" s="8">
        <v>277.83202479413097</v>
      </c>
      <c r="U162" s="9">
        <v>2.5934478914721898E-4</v>
      </c>
      <c r="V162" s="9">
        <v>7.0319022062427096E-5</v>
      </c>
      <c r="W162" s="9">
        <v>1.5127116037964801E-4</v>
      </c>
      <c r="X162" s="10">
        <v>2.3861020443222798</v>
      </c>
      <c r="Y162" s="10">
        <v>2.3867209477050602</v>
      </c>
      <c r="Z162" s="10">
        <v>2.3862189203551698</v>
      </c>
      <c r="AA162" s="10">
        <v>2.38637655492857</v>
      </c>
      <c r="AB162" s="8">
        <v>277.86205273182298</v>
      </c>
      <c r="AC162" s="8">
        <v>277.809534607957</v>
      </c>
      <c r="AD162" s="8">
        <v>277.83202479413097</v>
      </c>
      <c r="AE162" s="9">
        <v>2.5934478914721898E-4</v>
      </c>
      <c r="AF162" s="9">
        <v>7.0319022062427096E-5</v>
      </c>
      <c r="AG162" s="9">
        <v>1.5127116037964801E-4</v>
      </c>
      <c r="BB162">
        <f t="shared" si="42"/>
        <v>0</v>
      </c>
      <c r="BC162">
        <f t="shared" si="43"/>
        <v>1</v>
      </c>
      <c r="BD162">
        <f t="shared" si="44"/>
        <v>0</v>
      </c>
      <c r="BE162">
        <f t="shared" si="40"/>
        <v>1</v>
      </c>
      <c r="BF162">
        <f t="shared" si="45"/>
        <v>0</v>
      </c>
      <c r="BG162" s="9">
        <f t="shared" si="46"/>
        <v>0</v>
      </c>
      <c r="BH162" s="9">
        <f t="shared" si="47"/>
        <v>0</v>
      </c>
      <c r="BI162" s="9">
        <f t="shared" si="48"/>
        <v>0</v>
      </c>
      <c r="BJ162" s="12">
        <f t="shared" si="49"/>
        <v>3.2687112330371023E-3</v>
      </c>
      <c r="BL162" s="9"/>
      <c r="BN162">
        <f t="shared" si="50"/>
        <v>0</v>
      </c>
      <c r="BO162">
        <f t="shared" si="51"/>
        <v>0</v>
      </c>
      <c r="BP162">
        <f t="shared" si="52"/>
        <v>0</v>
      </c>
      <c r="BQ162">
        <f t="shared" si="41"/>
        <v>1</v>
      </c>
      <c r="BR162">
        <f t="shared" si="53"/>
        <v>0</v>
      </c>
      <c r="BS162" s="9">
        <f t="shared" si="54"/>
        <v>0</v>
      </c>
      <c r="BT162" s="9">
        <f t="shared" si="55"/>
        <v>0</v>
      </c>
      <c r="BU162" s="9">
        <f t="shared" si="56"/>
        <v>0</v>
      </c>
      <c r="BV162" s="12">
        <f t="shared" si="57"/>
        <v>0</v>
      </c>
      <c r="BX162" s="12">
        <f t="shared" si="58"/>
        <v>0</v>
      </c>
      <c r="BY162" s="12">
        <f t="shared" si="59"/>
        <v>3.2687112330371023E-3</v>
      </c>
    </row>
    <row r="163" spans="1:77" x14ac:dyDescent="0.3">
      <c r="A163" s="1">
        <v>46259</v>
      </c>
      <c r="B163" s="8">
        <v>117.51</v>
      </c>
      <c r="C163" s="8">
        <v>280.41000000000003</v>
      </c>
      <c r="D163" s="9">
        <v>9.3190945022601796E-3</v>
      </c>
      <c r="E163" s="9">
        <v>9.3873853105006008E-3</v>
      </c>
      <c r="F163" s="8">
        <v>0</v>
      </c>
      <c r="G163" s="8">
        <v>0.23139999999999999</v>
      </c>
      <c r="H163" s="8">
        <v>0</v>
      </c>
      <c r="I163" s="8">
        <v>0.51</v>
      </c>
      <c r="J163" s="8">
        <v>0</v>
      </c>
      <c r="K163" s="8">
        <v>0</v>
      </c>
      <c r="L163" s="8">
        <v>117.51</v>
      </c>
      <c r="M163" s="8">
        <v>280.41000000000003</v>
      </c>
      <c r="N163" s="10">
        <v>2.3862649987235098</v>
      </c>
      <c r="O163" s="10">
        <v>2.3867209477050602</v>
      </c>
      <c r="P163" s="10">
        <v>2.38619184612417</v>
      </c>
      <c r="Q163" s="10">
        <v>2.3863473316979702</v>
      </c>
      <c r="R163" s="8">
        <v>280.463578564822</v>
      </c>
      <c r="S163" s="8">
        <v>280.40458533093698</v>
      </c>
      <c r="T163" s="8">
        <v>280.42310896965603</v>
      </c>
      <c r="U163" s="9">
        <v>1.91053980906899E-4</v>
      </c>
      <c r="V163" s="9">
        <v>-1.9310015126837299E-5</v>
      </c>
      <c r="W163" s="9">
        <v>4.6748201734934198E-5</v>
      </c>
      <c r="X163" s="10">
        <v>2.3862649987235098</v>
      </c>
      <c r="Y163" s="10">
        <v>2.3867209477050602</v>
      </c>
      <c r="Z163" s="10">
        <v>2.38619184612417</v>
      </c>
      <c r="AA163" s="10">
        <v>2.3863473316979702</v>
      </c>
      <c r="AB163" s="8">
        <v>280.463578564822</v>
      </c>
      <c r="AC163" s="8">
        <v>280.40458533093698</v>
      </c>
      <c r="AD163" s="8">
        <v>280.42310896965603</v>
      </c>
      <c r="AE163" s="9">
        <v>1.91053980906899E-4</v>
      </c>
      <c r="AF163" s="9">
        <v>-1.9310015126837299E-5</v>
      </c>
      <c r="AG163" s="9">
        <v>4.6748201734934198E-5</v>
      </c>
      <c r="BB163">
        <f t="shared" si="42"/>
        <v>0</v>
      </c>
      <c r="BC163">
        <f t="shared" si="43"/>
        <v>1</v>
      </c>
      <c r="BD163">
        <f t="shared" si="44"/>
        <v>0</v>
      </c>
      <c r="BE163">
        <f t="shared" si="40"/>
        <v>1</v>
      </c>
      <c r="BF163">
        <f t="shared" si="45"/>
        <v>0</v>
      </c>
      <c r="BG163" s="9">
        <f t="shared" si="46"/>
        <v>0</v>
      </c>
      <c r="BH163" s="9">
        <f t="shared" si="47"/>
        <v>0</v>
      </c>
      <c r="BI163" s="9">
        <f t="shared" si="48"/>
        <v>0</v>
      </c>
      <c r="BJ163" s="12">
        <f t="shared" si="49"/>
        <v>3.2687112330371023E-3</v>
      </c>
      <c r="BL163" s="9"/>
      <c r="BN163">
        <f t="shared" si="50"/>
        <v>0</v>
      </c>
      <c r="BO163">
        <f t="shared" si="51"/>
        <v>0</v>
      </c>
      <c r="BP163">
        <f t="shared" si="52"/>
        <v>0</v>
      </c>
      <c r="BQ163">
        <f t="shared" si="41"/>
        <v>1</v>
      </c>
      <c r="BR163">
        <f t="shared" si="53"/>
        <v>0</v>
      </c>
      <c r="BS163" s="9">
        <f t="shared" si="54"/>
        <v>0</v>
      </c>
      <c r="BT163" s="9">
        <f t="shared" si="55"/>
        <v>0</v>
      </c>
      <c r="BU163" s="9">
        <f t="shared" si="56"/>
        <v>0</v>
      </c>
      <c r="BV163" s="12">
        <f t="shared" si="57"/>
        <v>0</v>
      </c>
      <c r="BX163" s="12">
        <f t="shared" si="58"/>
        <v>0</v>
      </c>
      <c r="BY163" s="12">
        <f t="shared" si="59"/>
        <v>3.2687112330371023E-3</v>
      </c>
    </row>
    <row r="164" spans="1:77" x14ac:dyDescent="0.3">
      <c r="A164" s="1">
        <v>46260</v>
      </c>
      <c r="B164" s="8">
        <v>117.99</v>
      </c>
      <c r="C164" s="8">
        <v>281.66000000000003</v>
      </c>
      <c r="D164" s="9">
        <v>4.0764387659780804E-3</v>
      </c>
      <c r="E164" s="9">
        <v>4.4478519073025396E-3</v>
      </c>
      <c r="F164" s="8">
        <v>0</v>
      </c>
      <c r="G164" s="8">
        <v>0.23139999999999999</v>
      </c>
      <c r="H164" s="8">
        <v>0</v>
      </c>
      <c r="I164" s="8">
        <v>0.51</v>
      </c>
      <c r="J164" s="8">
        <v>0</v>
      </c>
      <c r="K164" s="8">
        <v>0</v>
      </c>
      <c r="L164" s="8">
        <v>117.99</v>
      </c>
      <c r="M164" s="8">
        <v>281.66000000000003</v>
      </c>
      <c r="N164" s="10">
        <v>2.3871514535130101</v>
      </c>
      <c r="O164" s="10">
        <v>2.3867209477050602</v>
      </c>
      <c r="P164" s="10">
        <v>2.3862556756859998</v>
      </c>
      <c r="Q164" s="10">
        <v>2.3864165494752898</v>
      </c>
      <c r="R164" s="8">
        <v>281.60920461972</v>
      </c>
      <c r="S164" s="8">
        <v>281.54677592419102</v>
      </c>
      <c r="T164" s="8">
        <v>281.56512166704402</v>
      </c>
      <c r="U164" s="9">
        <v>-1.8035916041737101E-4</v>
      </c>
      <c r="V164" s="9">
        <v>-4.0206930091649503E-4</v>
      </c>
      <c r="W164" s="9">
        <v>-3.3691087348000501E-4</v>
      </c>
      <c r="X164" s="10">
        <v>2.3871514535130101</v>
      </c>
      <c r="Y164" s="10">
        <v>2.3867209477050602</v>
      </c>
      <c r="Z164" s="10">
        <v>2.3862556756859998</v>
      </c>
      <c r="AA164" s="10">
        <v>2.3864165494752898</v>
      </c>
      <c r="AB164" s="8">
        <v>281.60920461972</v>
      </c>
      <c r="AC164" s="8">
        <v>281.54677592419102</v>
      </c>
      <c r="AD164" s="8">
        <v>281.56512166704402</v>
      </c>
      <c r="AE164" s="9">
        <v>-1.8035916041737101E-4</v>
      </c>
      <c r="AF164" s="9">
        <v>-4.0206930091649503E-4</v>
      </c>
      <c r="AG164" s="9">
        <v>-3.3691087348000501E-4</v>
      </c>
      <c r="BB164">
        <f t="shared" si="42"/>
        <v>0</v>
      </c>
      <c r="BC164">
        <f t="shared" si="43"/>
        <v>0</v>
      </c>
      <c r="BD164">
        <f t="shared" si="44"/>
        <v>0</v>
      </c>
      <c r="BE164">
        <f t="shared" si="40"/>
        <v>1</v>
      </c>
      <c r="BF164">
        <f t="shared" si="45"/>
        <v>0</v>
      </c>
      <c r="BG164" s="9">
        <f t="shared" si="46"/>
        <v>0</v>
      </c>
      <c r="BH164" s="9">
        <f t="shared" si="47"/>
        <v>0</v>
      </c>
      <c r="BI164" s="9">
        <f t="shared" si="48"/>
        <v>0</v>
      </c>
      <c r="BJ164" s="12">
        <f t="shared" si="49"/>
        <v>3.2687112330371023E-3</v>
      </c>
      <c r="BL164" s="9"/>
      <c r="BN164">
        <f t="shared" si="50"/>
        <v>0</v>
      </c>
      <c r="BO164">
        <f t="shared" si="51"/>
        <v>1</v>
      </c>
      <c r="BP164">
        <f t="shared" si="52"/>
        <v>0</v>
      </c>
      <c r="BQ164">
        <f t="shared" si="41"/>
        <v>1</v>
      </c>
      <c r="BR164">
        <f t="shared" si="53"/>
        <v>0</v>
      </c>
      <c r="BS164" s="9">
        <f t="shared" si="54"/>
        <v>0</v>
      </c>
      <c r="BT164" s="9">
        <f t="shared" si="55"/>
        <v>0</v>
      </c>
      <c r="BU164" s="9">
        <f t="shared" si="56"/>
        <v>0</v>
      </c>
      <c r="BV164" s="12">
        <f t="shared" si="57"/>
        <v>0</v>
      </c>
      <c r="BX164" s="12">
        <f t="shared" si="58"/>
        <v>0</v>
      </c>
      <c r="BY164" s="12">
        <f t="shared" si="59"/>
        <v>3.2687112330371023E-3</v>
      </c>
    </row>
    <row r="165" spans="1:77" x14ac:dyDescent="0.3">
      <c r="A165" s="1">
        <v>46261</v>
      </c>
      <c r="B165" s="8">
        <v>121.91</v>
      </c>
      <c r="C165" s="8">
        <v>291.05</v>
      </c>
      <c r="D165" s="9">
        <v>3.2683192465227003E-2</v>
      </c>
      <c r="E165" s="9">
        <v>3.2794403947840202E-2</v>
      </c>
      <c r="F165" s="8">
        <v>0</v>
      </c>
      <c r="G165" s="8">
        <v>0.23139999999999999</v>
      </c>
      <c r="H165" s="8">
        <v>0</v>
      </c>
      <c r="I165" s="8">
        <v>0.51</v>
      </c>
      <c r="J165" s="8">
        <v>0</v>
      </c>
      <c r="K165" s="8">
        <v>0</v>
      </c>
      <c r="L165" s="8">
        <v>121.91</v>
      </c>
      <c r="M165" s="8">
        <v>291.05</v>
      </c>
      <c r="N165" s="10">
        <v>2.3874169469280599</v>
      </c>
      <c r="O165" s="10">
        <v>2.3867209477050602</v>
      </c>
      <c r="P165" s="10">
        <v>2.3864088672484698</v>
      </c>
      <c r="Q165" s="10">
        <v>2.3864618113312899</v>
      </c>
      <c r="R165" s="8">
        <v>290.96515073472398</v>
      </c>
      <c r="S165" s="8">
        <v>290.90842942287998</v>
      </c>
      <c r="T165" s="8">
        <v>290.92804154653197</v>
      </c>
      <c r="U165" s="9">
        <v>-2.9157064303053502E-4</v>
      </c>
      <c r="V165" s="9">
        <v>-4.8653158972955399E-4</v>
      </c>
      <c r="W165" s="9">
        <v>-4.1911703379249202E-4</v>
      </c>
      <c r="X165" s="10">
        <v>2.3874169469280599</v>
      </c>
      <c r="Y165" s="10">
        <v>2.3867209477050602</v>
      </c>
      <c r="Z165" s="10">
        <v>2.3864088672484698</v>
      </c>
      <c r="AA165" s="10">
        <v>2.3864618113312899</v>
      </c>
      <c r="AB165" s="8">
        <v>290.96515073472398</v>
      </c>
      <c r="AC165" s="8">
        <v>290.90842942287998</v>
      </c>
      <c r="AD165" s="8">
        <v>290.92804154653197</v>
      </c>
      <c r="AE165" s="9">
        <v>-2.9157064303053502E-4</v>
      </c>
      <c r="AF165" s="9">
        <v>-4.8653158972955399E-4</v>
      </c>
      <c r="AG165" s="9">
        <v>-4.1911703379249202E-4</v>
      </c>
      <c r="BB165">
        <f t="shared" si="42"/>
        <v>0</v>
      </c>
      <c r="BC165">
        <f t="shared" si="43"/>
        <v>0</v>
      </c>
      <c r="BD165">
        <f t="shared" si="44"/>
        <v>0</v>
      </c>
      <c r="BE165">
        <f t="shared" si="40"/>
        <v>1</v>
      </c>
      <c r="BF165">
        <f t="shared" si="45"/>
        <v>0</v>
      </c>
      <c r="BG165" s="9">
        <f t="shared" si="46"/>
        <v>0</v>
      </c>
      <c r="BH165" s="9">
        <f t="shared" si="47"/>
        <v>0</v>
      </c>
      <c r="BI165" s="9">
        <f t="shared" si="48"/>
        <v>0</v>
      </c>
      <c r="BJ165" s="12">
        <f t="shared" si="49"/>
        <v>3.2687112330371023E-3</v>
      </c>
      <c r="BL165" s="9"/>
      <c r="BN165">
        <f t="shared" si="50"/>
        <v>0</v>
      </c>
      <c r="BO165">
        <f t="shared" si="51"/>
        <v>1</v>
      </c>
      <c r="BP165">
        <f t="shared" si="52"/>
        <v>0</v>
      </c>
      <c r="BQ165">
        <f t="shared" si="41"/>
        <v>1</v>
      </c>
      <c r="BR165">
        <f t="shared" si="53"/>
        <v>0</v>
      </c>
      <c r="BS165" s="9">
        <f t="shared" si="54"/>
        <v>0</v>
      </c>
      <c r="BT165" s="9">
        <f t="shared" si="55"/>
        <v>0</v>
      </c>
      <c r="BU165" s="9">
        <f t="shared" si="56"/>
        <v>0</v>
      </c>
      <c r="BV165" s="12">
        <f t="shared" si="57"/>
        <v>0</v>
      </c>
      <c r="BX165" s="12">
        <f t="shared" si="58"/>
        <v>0</v>
      </c>
      <c r="BY165" s="12">
        <f t="shared" si="59"/>
        <v>3.2687112330371023E-3</v>
      </c>
    </row>
    <row r="166" spans="1:77" x14ac:dyDescent="0.3">
      <c r="A166" s="1">
        <v>46262</v>
      </c>
      <c r="B166" s="8">
        <v>120.07</v>
      </c>
      <c r="C166" s="8">
        <v>286.60000000000002</v>
      </c>
      <c r="D166" s="9">
        <v>-1.52081615344283E-2</v>
      </c>
      <c r="E166" s="9">
        <v>-1.5407558323672899E-2</v>
      </c>
      <c r="F166" s="8">
        <v>0</v>
      </c>
      <c r="G166" s="8">
        <v>0.23139999999999999</v>
      </c>
      <c r="H166" s="8">
        <v>0</v>
      </c>
      <c r="I166" s="8">
        <v>0.51</v>
      </c>
      <c r="J166" s="8">
        <v>0</v>
      </c>
      <c r="K166" s="8">
        <v>0</v>
      </c>
      <c r="L166" s="8">
        <v>120.07</v>
      </c>
      <c r="M166" s="8">
        <v>286.60000000000002</v>
      </c>
      <c r="N166" s="10">
        <v>2.3869409511118498</v>
      </c>
      <c r="O166" s="10">
        <v>2.3867209477050602</v>
      </c>
      <c r="P166" s="10">
        <v>2.38644434617167</v>
      </c>
      <c r="Q166" s="10">
        <v>2.3864540201772</v>
      </c>
      <c r="R166" s="8">
        <v>286.57358419094697</v>
      </c>
      <c r="S166" s="8">
        <v>286.53611269052402</v>
      </c>
      <c r="T166" s="8">
        <v>286.54246968654797</v>
      </c>
      <c r="U166" s="9">
        <v>-9.2173853785889901E-5</v>
      </c>
      <c r="V166" s="9">
        <v>-2.2293939720631701E-4</v>
      </c>
      <c r="W166" s="9">
        <v>-2.0075397196351699E-4</v>
      </c>
      <c r="X166" s="10">
        <v>2.3869409511118498</v>
      </c>
      <c r="Y166" s="10">
        <v>2.3867209477050602</v>
      </c>
      <c r="Z166" s="10">
        <v>2.38644434617167</v>
      </c>
      <c r="AA166" s="10">
        <v>2.3864540201772</v>
      </c>
      <c r="AB166" s="8">
        <v>286.57358419094697</v>
      </c>
      <c r="AC166" s="8">
        <v>286.53611269052402</v>
      </c>
      <c r="AD166" s="8">
        <v>286.54246968654797</v>
      </c>
      <c r="AE166" s="9">
        <v>-9.2173853785889901E-5</v>
      </c>
      <c r="AF166" s="9">
        <v>-2.2293939720631701E-4</v>
      </c>
      <c r="AG166" s="9">
        <v>-2.0075397196351699E-4</v>
      </c>
      <c r="BB166">
        <f t="shared" si="42"/>
        <v>0</v>
      </c>
      <c r="BC166">
        <f t="shared" si="43"/>
        <v>0</v>
      </c>
      <c r="BD166">
        <f t="shared" si="44"/>
        <v>0</v>
      </c>
      <c r="BE166">
        <f t="shared" si="40"/>
        <v>1</v>
      </c>
      <c r="BF166">
        <f t="shared" si="45"/>
        <v>0</v>
      </c>
      <c r="BG166" s="9">
        <f t="shared" si="46"/>
        <v>0</v>
      </c>
      <c r="BH166" s="9">
        <f t="shared" si="47"/>
        <v>0</v>
      </c>
      <c r="BI166" s="9">
        <f t="shared" si="48"/>
        <v>0</v>
      </c>
      <c r="BJ166" s="12">
        <f t="shared" si="49"/>
        <v>3.2687112330371023E-3</v>
      </c>
      <c r="BL166" s="9"/>
      <c r="BN166">
        <f t="shared" si="50"/>
        <v>0</v>
      </c>
      <c r="BO166">
        <f t="shared" si="51"/>
        <v>1</v>
      </c>
      <c r="BP166">
        <f t="shared" si="52"/>
        <v>0</v>
      </c>
      <c r="BQ166">
        <f t="shared" si="41"/>
        <v>1</v>
      </c>
      <c r="BR166">
        <f t="shared" si="53"/>
        <v>0</v>
      </c>
      <c r="BS166" s="9">
        <f t="shared" si="54"/>
        <v>0</v>
      </c>
      <c r="BT166" s="9">
        <f t="shared" si="55"/>
        <v>0</v>
      </c>
      <c r="BU166" s="9">
        <f t="shared" si="56"/>
        <v>0</v>
      </c>
      <c r="BV166" s="12">
        <f t="shared" si="57"/>
        <v>0</v>
      </c>
      <c r="BX166" s="12">
        <f t="shared" si="58"/>
        <v>0</v>
      </c>
      <c r="BY166" s="12">
        <f t="shared" si="59"/>
        <v>3.2687112330371023E-3</v>
      </c>
    </row>
    <row r="167" spans="1:77" x14ac:dyDescent="0.3">
      <c r="A167" s="1">
        <v>46265</v>
      </c>
      <c r="B167" s="8">
        <v>120.49</v>
      </c>
      <c r="C167" s="8">
        <v>287.56</v>
      </c>
      <c r="D167" s="9">
        <v>3.49185589255852E-3</v>
      </c>
      <c r="E167" s="9">
        <v>3.34401872159917E-3</v>
      </c>
      <c r="F167" s="8">
        <v>0</v>
      </c>
      <c r="G167" s="8">
        <v>0.23139999999999999</v>
      </c>
      <c r="H167" s="8">
        <v>0</v>
      </c>
      <c r="I167" s="8">
        <v>0.51</v>
      </c>
      <c r="J167" s="8">
        <v>0</v>
      </c>
      <c r="K167" s="8">
        <v>0</v>
      </c>
      <c r="L167" s="8">
        <v>120.49</v>
      </c>
      <c r="M167" s="8">
        <v>287.56</v>
      </c>
      <c r="N167" s="10">
        <v>2.38658809859739</v>
      </c>
      <c r="O167" s="10">
        <v>2.3867209477050602</v>
      </c>
      <c r="P167" s="10">
        <v>2.3865198362990698</v>
      </c>
      <c r="Q167" s="10">
        <v>2.38648083695352</v>
      </c>
      <c r="R167" s="8">
        <v>287.57600698898301</v>
      </c>
      <c r="S167" s="8">
        <v>287.54267927022403</v>
      </c>
      <c r="T167" s="8">
        <v>287.54384489115102</v>
      </c>
      <c r="U167" s="9">
        <v>5.56633171733301E-5</v>
      </c>
      <c r="V167" s="9">
        <v>-6.0235260258667402E-5</v>
      </c>
      <c r="W167" s="9">
        <v>-5.61815365915126E-5</v>
      </c>
      <c r="X167" s="10">
        <v>2.38658809859739</v>
      </c>
      <c r="Y167" s="10">
        <v>2.3867209477050602</v>
      </c>
      <c r="Z167" s="10">
        <v>2.3865198362990698</v>
      </c>
      <c r="AA167" s="10">
        <v>2.38648083695352</v>
      </c>
      <c r="AB167" s="8">
        <v>287.57600698898301</v>
      </c>
      <c r="AC167" s="8">
        <v>287.54267927022403</v>
      </c>
      <c r="AD167" s="8">
        <v>287.54384489115102</v>
      </c>
      <c r="AE167" s="9">
        <v>5.56633171733301E-5</v>
      </c>
      <c r="AF167" s="9">
        <v>-6.0235260258667402E-5</v>
      </c>
      <c r="AG167" s="9">
        <v>-5.61815365915126E-5</v>
      </c>
      <c r="BB167">
        <f t="shared" si="42"/>
        <v>0</v>
      </c>
      <c r="BC167">
        <f t="shared" si="43"/>
        <v>0</v>
      </c>
      <c r="BD167">
        <f t="shared" si="44"/>
        <v>0</v>
      </c>
      <c r="BE167">
        <f t="shared" si="40"/>
        <v>1</v>
      </c>
      <c r="BF167">
        <f t="shared" si="45"/>
        <v>0</v>
      </c>
      <c r="BG167" s="9">
        <f t="shared" si="46"/>
        <v>0</v>
      </c>
      <c r="BH167" s="9">
        <f t="shared" si="47"/>
        <v>0</v>
      </c>
      <c r="BI167" s="9">
        <f t="shared" si="48"/>
        <v>0</v>
      </c>
      <c r="BJ167" s="12">
        <f t="shared" si="49"/>
        <v>3.2687112330371023E-3</v>
      </c>
      <c r="BL167" s="9"/>
      <c r="BN167">
        <f t="shared" si="50"/>
        <v>0</v>
      </c>
      <c r="BO167">
        <f t="shared" si="51"/>
        <v>1</v>
      </c>
      <c r="BP167">
        <f t="shared" si="52"/>
        <v>0</v>
      </c>
      <c r="BQ167">
        <f t="shared" si="41"/>
        <v>1</v>
      </c>
      <c r="BR167">
        <f t="shared" si="53"/>
        <v>0</v>
      </c>
      <c r="BS167" s="9">
        <f t="shared" si="54"/>
        <v>0</v>
      </c>
      <c r="BT167" s="9">
        <f t="shared" si="55"/>
        <v>0</v>
      </c>
      <c r="BU167" s="9">
        <f t="shared" si="56"/>
        <v>0</v>
      </c>
      <c r="BV167" s="12">
        <f t="shared" si="57"/>
        <v>0</v>
      </c>
      <c r="BX167" s="12">
        <f t="shared" si="58"/>
        <v>0</v>
      </c>
      <c r="BY167" s="12">
        <f t="shared" si="59"/>
        <v>3.2687112330371023E-3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XLU_IDU_1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2026-09-03T20:52:47Z</dcterms:created>
  <dcterms:modified xsi:type="dcterms:W3CDTF">2026-09-04T02:25:50Z</dcterms:modified>
</cp:coreProperties>
</file>