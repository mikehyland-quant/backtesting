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1AF4E04F-71A2-408A-B366-857A52FF8E7E}" xr6:coauthVersionLast="47" xr6:coauthVersionMax="47" xr10:uidLastSave="{00000000-0000-0000-0000-000000000000}"/>
  <bookViews>
    <workbookView xWindow="255" yWindow="1785" windowWidth="28440" windowHeight="12225" xr2:uid="{2B5550BB-78F8-4285-BE1B-A81E261D8D6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N124" i="1" s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M116" i="1"/>
  <c r="AK116" i="1"/>
  <c r="AJ116" i="1"/>
  <c r="AN117" i="1" s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N99" i="1" s="1"/>
  <c r="AX97" i="1"/>
  <c r="AV97" i="1"/>
  <c r="AU97" i="1"/>
  <c r="AY98" i="1" s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N95" i="1" s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N83" i="1" s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N65" i="1" s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N61" i="1" s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M47" i="1"/>
  <c r="AK47" i="1"/>
  <c r="AJ47" i="1"/>
  <c r="AN48" i="1" s="1"/>
  <c r="AX46" i="1"/>
  <c r="AV46" i="1"/>
  <c r="AU46" i="1"/>
  <c r="AM46" i="1"/>
  <c r="AK46" i="1"/>
  <c r="AJ46" i="1"/>
  <c r="AN47" i="1" s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X28" i="1"/>
  <c r="AV28" i="1"/>
  <c r="AU28" i="1"/>
  <c r="AY29" i="1" s="1"/>
  <c r="AM28" i="1"/>
  <c r="AK28" i="1"/>
  <c r="AJ28" i="1"/>
  <c r="AX27" i="1"/>
  <c r="AV27" i="1"/>
  <c r="AU27" i="1"/>
  <c r="AY28" i="1" s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47" i="1" l="1"/>
  <c r="AN107" i="1"/>
  <c r="AN102" i="1"/>
  <c r="AN101" i="1"/>
  <c r="AN96" i="1"/>
  <c r="AN53" i="1"/>
  <c r="AN25" i="1"/>
  <c r="AN54" i="1"/>
  <c r="AN52" i="1"/>
  <c r="AN23" i="1"/>
  <c r="AN138" i="1"/>
  <c r="AN125" i="1"/>
  <c r="AN116" i="1"/>
  <c r="AN113" i="1"/>
  <c r="AN92" i="1"/>
  <c r="AY50" i="1"/>
  <c r="AY85" i="1"/>
  <c r="AY152" i="1"/>
  <c r="AN165" i="1"/>
  <c r="AN66" i="1"/>
  <c r="AY62" i="1"/>
  <c r="AZ176" i="1"/>
  <c r="BA176" i="1"/>
  <c r="AW176" i="1"/>
  <c r="AW175" i="1"/>
  <c r="AZ175" i="1"/>
  <c r="BA175" i="1"/>
  <c r="AZ174" i="1"/>
  <c r="AW174" i="1"/>
  <c r="BA174" i="1"/>
  <c r="BA173" i="1"/>
  <c r="AW173" i="1"/>
  <c r="AZ173" i="1"/>
  <c r="BB173" i="1" s="1"/>
  <c r="AL172" i="1"/>
  <c r="AN173" i="1" s="1"/>
  <c r="AP172" i="1"/>
  <c r="AO172" i="1"/>
  <c r="AQ172" i="1" s="1"/>
  <c r="BA171" i="1"/>
  <c r="AW171" i="1"/>
  <c r="AY172" i="1" s="1"/>
  <c r="AZ171" i="1"/>
  <c r="BB171" i="1" s="1"/>
  <c r="AW170" i="1"/>
  <c r="BA170" i="1"/>
  <c r="AZ170" i="1"/>
  <c r="BB170" i="1" s="1"/>
  <c r="BA169" i="1"/>
  <c r="AW169" i="1"/>
  <c r="AZ169" i="1"/>
  <c r="BB169" i="1" s="1"/>
  <c r="AW168" i="1"/>
  <c r="AZ168" i="1"/>
  <c r="BA168" i="1"/>
  <c r="AW167" i="1"/>
  <c r="AZ167" i="1"/>
  <c r="BA167" i="1"/>
  <c r="BA166" i="1"/>
  <c r="AZ166" i="1"/>
  <c r="BB166" i="1" s="1"/>
  <c r="AW166" i="1"/>
  <c r="AP165" i="1"/>
  <c r="AL165" i="1"/>
  <c r="AN166" i="1" s="1"/>
  <c r="AO165" i="1"/>
  <c r="AQ165" i="1" s="1"/>
  <c r="BA164" i="1"/>
  <c r="AZ164" i="1"/>
  <c r="BB164" i="1" s="1"/>
  <c r="AW164" i="1"/>
  <c r="AY165" i="1" s="1"/>
  <c r="BA163" i="1"/>
  <c r="AW163" i="1"/>
  <c r="AZ163" i="1"/>
  <c r="BB163" i="1" s="1"/>
  <c r="BA162" i="1"/>
  <c r="AW162" i="1"/>
  <c r="AZ162" i="1"/>
  <c r="BB162" i="1" s="1"/>
  <c r="AW161" i="1"/>
  <c r="AZ161" i="1"/>
  <c r="BA161" i="1"/>
  <c r="AL160" i="1"/>
  <c r="AN161" i="1" s="1"/>
  <c r="AO160" i="1"/>
  <c r="AP160" i="1"/>
  <c r="BA159" i="1"/>
  <c r="AW159" i="1"/>
  <c r="AY160" i="1" s="1"/>
  <c r="AZ159" i="1"/>
  <c r="BB159" i="1" s="1"/>
  <c r="BA158" i="1"/>
  <c r="AW158" i="1"/>
  <c r="AZ158" i="1"/>
  <c r="BB158" i="1" s="1"/>
  <c r="AW157" i="1"/>
  <c r="BA157" i="1"/>
  <c r="AZ157" i="1"/>
  <c r="BB157" i="1" s="1"/>
  <c r="BA156" i="1"/>
  <c r="AW156" i="1"/>
  <c r="AZ156" i="1"/>
  <c r="BB156" i="1" s="1"/>
  <c r="BA155" i="1"/>
  <c r="AW155" i="1"/>
  <c r="AZ155" i="1"/>
  <c r="BB155" i="1" s="1"/>
  <c r="AL154" i="1"/>
  <c r="AN155" i="1" s="1"/>
  <c r="AP154" i="1"/>
  <c r="AO154" i="1"/>
  <c r="AQ154" i="1" s="1"/>
  <c r="AW153" i="1"/>
  <c r="AY154" i="1" s="1"/>
  <c r="AZ153" i="1"/>
  <c r="BA153" i="1"/>
  <c r="BA152" i="1"/>
  <c r="AW152" i="1"/>
  <c r="AZ152" i="1"/>
  <c r="BB152" i="1" s="1"/>
  <c r="BA151" i="1"/>
  <c r="AW151" i="1"/>
  <c r="AZ151" i="1"/>
  <c r="BB151" i="1" s="1"/>
  <c r="AO150" i="1"/>
  <c r="AL150" i="1"/>
  <c r="AN151" i="1" s="1"/>
  <c r="AP150" i="1"/>
  <c r="AP149" i="1"/>
  <c r="AO149" i="1"/>
  <c r="AQ149" i="1" s="1"/>
  <c r="AL149" i="1"/>
  <c r="AO148" i="1"/>
  <c r="AL148" i="1"/>
  <c r="AP148" i="1"/>
  <c r="AL147" i="1"/>
  <c r="AO147" i="1"/>
  <c r="AP147" i="1"/>
  <c r="BA146" i="1"/>
  <c r="AW146" i="1"/>
  <c r="AY147" i="1" s="1"/>
  <c r="AZ146" i="1"/>
  <c r="BA145" i="1"/>
  <c r="AW145" i="1"/>
  <c r="AZ145" i="1"/>
  <c r="BB145" i="1" s="1"/>
  <c r="AW144" i="1"/>
  <c r="BA144" i="1"/>
  <c r="AZ144" i="1"/>
  <c r="BB144" i="1" s="1"/>
  <c r="AW143" i="1"/>
  <c r="BA143" i="1"/>
  <c r="AZ143" i="1"/>
  <c r="BB143" i="1" s="1"/>
  <c r="AL142" i="1"/>
  <c r="AN143" i="1" s="1"/>
  <c r="AP142" i="1"/>
  <c r="AO142" i="1"/>
  <c r="AQ142" i="1" s="1"/>
  <c r="AW141" i="1"/>
  <c r="AY142" i="1" s="1"/>
  <c r="BA141" i="1"/>
  <c r="AZ141" i="1"/>
  <c r="BB141" i="1" s="1"/>
  <c r="AZ140" i="1"/>
  <c r="AW140" i="1"/>
  <c r="BA140" i="1"/>
  <c r="AW139" i="1"/>
  <c r="BA139" i="1"/>
  <c r="AZ139" i="1"/>
  <c r="BB139" i="1" s="1"/>
  <c r="AO138" i="1"/>
  <c r="AL138" i="1"/>
  <c r="AN139" i="1" s="1"/>
  <c r="AP138" i="1"/>
  <c r="AW137" i="1"/>
  <c r="AY138" i="1" s="1"/>
  <c r="BA137" i="1"/>
  <c r="AZ137" i="1"/>
  <c r="BB137" i="1" s="1"/>
  <c r="BA136" i="1"/>
  <c r="AZ136" i="1"/>
  <c r="BB136" i="1" s="1"/>
  <c r="AW136" i="1"/>
  <c r="BA135" i="1"/>
  <c r="AW135" i="1"/>
  <c r="AZ135" i="1"/>
  <c r="BB135" i="1" s="1"/>
  <c r="AZ134" i="1"/>
  <c r="BA134" i="1"/>
  <c r="AW134" i="1"/>
  <c r="BA133" i="1"/>
  <c r="AW133" i="1"/>
  <c r="AZ133" i="1"/>
  <c r="BB133" i="1" s="1"/>
  <c r="BA132" i="1"/>
  <c r="AW132" i="1"/>
  <c r="AZ132" i="1"/>
  <c r="BB132" i="1" s="1"/>
  <c r="BA131" i="1"/>
  <c r="AZ131" i="1"/>
  <c r="BB131" i="1" s="1"/>
  <c r="AW131" i="1"/>
  <c r="AZ130" i="1"/>
  <c r="AW130" i="1"/>
  <c r="BA130" i="1"/>
  <c r="AZ129" i="1"/>
  <c r="BA129" i="1"/>
  <c r="AW129" i="1"/>
  <c r="AO128" i="1"/>
  <c r="AL128" i="1"/>
  <c r="AN129" i="1" s="1"/>
  <c r="AP128" i="1"/>
  <c r="AW127" i="1"/>
  <c r="AY128" i="1" s="1"/>
  <c r="AZ127" i="1"/>
  <c r="BA127" i="1"/>
  <c r="AO126" i="1"/>
  <c r="AP126" i="1"/>
  <c r="AL126" i="1"/>
  <c r="AN127" i="1" s="1"/>
  <c r="AO125" i="1"/>
  <c r="AP125" i="1"/>
  <c r="AL125" i="1"/>
  <c r="AP124" i="1"/>
  <c r="AL124" i="1"/>
  <c r="AO124" i="1"/>
  <c r="AQ124" i="1" s="1"/>
  <c r="AP123" i="1"/>
  <c r="AL123" i="1"/>
  <c r="AO123" i="1"/>
  <c r="AQ123" i="1" s="1"/>
  <c r="AL122" i="1"/>
  <c r="AP122" i="1"/>
  <c r="AO122" i="1"/>
  <c r="AQ122" i="1" s="1"/>
  <c r="BA120" i="1"/>
  <c r="AZ120" i="1"/>
  <c r="BB120" i="1" s="1"/>
  <c r="AW120" i="1"/>
  <c r="BA121" i="1"/>
  <c r="AW121" i="1"/>
  <c r="AY122" i="1" s="1"/>
  <c r="AZ121" i="1"/>
  <c r="BB121" i="1" s="1"/>
  <c r="AZ119" i="1"/>
  <c r="BA119" i="1"/>
  <c r="AW119" i="1"/>
  <c r="AZ118" i="1"/>
  <c r="BA118" i="1"/>
  <c r="AW118" i="1"/>
  <c r="AO117" i="1"/>
  <c r="AP117" i="1"/>
  <c r="AL117" i="1"/>
  <c r="AN118" i="1" s="1"/>
  <c r="AO116" i="1"/>
  <c r="AP116" i="1"/>
  <c r="AL116" i="1"/>
  <c r="AZ115" i="1"/>
  <c r="BA115" i="1"/>
  <c r="AW115" i="1"/>
  <c r="AY116" i="1" s="1"/>
  <c r="AZ114" i="1"/>
  <c r="BA114" i="1"/>
  <c r="AW114" i="1"/>
  <c r="AO113" i="1"/>
  <c r="AP113" i="1"/>
  <c r="AL113" i="1"/>
  <c r="AN114" i="1" s="1"/>
  <c r="AZ112" i="1"/>
  <c r="BA112" i="1"/>
  <c r="AW112" i="1"/>
  <c r="AY113" i="1" s="1"/>
  <c r="AZ111" i="1"/>
  <c r="BA111" i="1"/>
  <c r="AW111" i="1"/>
  <c r="AZ110" i="1"/>
  <c r="BA110" i="1"/>
  <c r="AW110" i="1"/>
  <c r="AZ109" i="1"/>
  <c r="BA109" i="1"/>
  <c r="AW109" i="1"/>
  <c r="AO108" i="1"/>
  <c r="AP108" i="1"/>
  <c r="AL108" i="1"/>
  <c r="AN109" i="1" s="1"/>
  <c r="AO107" i="1"/>
  <c r="AP107" i="1"/>
  <c r="AL107" i="1"/>
  <c r="AZ106" i="1"/>
  <c r="BA106" i="1"/>
  <c r="AW106" i="1"/>
  <c r="AY107" i="1" s="1"/>
  <c r="AZ105" i="1"/>
  <c r="BA105" i="1"/>
  <c r="AW105" i="1"/>
  <c r="AZ104" i="1"/>
  <c r="BA104" i="1"/>
  <c r="AW104" i="1"/>
  <c r="AZ103" i="1"/>
  <c r="BA103" i="1"/>
  <c r="AW103" i="1"/>
  <c r="AO102" i="1"/>
  <c r="AP102" i="1"/>
  <c r="AL102" i="1"/>
  <c r="AN103" i="1" s="1"/>
  <c r="AO101" i="1"/>
  <c r="AP101" i="1"/>
  <c r="AL101" i="1"/>
  <c r="AZ100" i="1"/>
  <c r="BA100" i="1"/>
  <c r="AW100" i="1"/>
  <c r="AY101" i="1" s="1"/>
  <c r="AO99" i="1"/>
  <c r="AP99" i="1"/>
  <c r="AL99" i="1"/>
  <c r="AN100" i="1" s="1"/>
  <c r="AZ98" i="1"/>
  <c r="BA98" i="1"/>
  <c r="AW98" i="1"/>
  <c r="AY99" i="1" s="1"/>
  <c r="AZ97" i="1"/>
  <c r="BA97" i="1"/>
  <c r="AW97" i="1"/>
  <c r="AO96" i="1"/>
  <c r="AP96" i="1"/>
  <c r="AL96" i="1"/>
  <c r="AN97" i="1" s="1"/>
  <c r="AL95" i="1"/>
  <c r="AP95" i="1"/>
  <c r="AO95" i="1"/>
  <c r="AQ95" i="1" s="1"/>
  <c r="AW94" i="1"/>
  <c r="AY95" i="1" s="1"/>
  <c r="BA94" i="1"/>
  <c r="AZ94" i="1"/>
  <c r="BB94" i="1" s="1"/>
  <c r="AO92" i="1"/>
  <c r="AL92" i="1"/>
  <c r="AP92" i="1"/>
  <c r="AO93" i="1"/>
  <c r="AL93" i="1"/>
  <c r="AN94" i="1" s="1"/>
  <c r="AP93" i="1"/>
  <c r="BA91" i="1"/>
  <c r="AZ91" i="1"/>
  <c r="BB91" i="1" s="1"/>
  <c r="AW91" i="1"/>
  <c r="AY92" i="1" s="1"/>
  <c r="BA90" i="1"/>
  <c r="AZ90" i="1"/>
  <c r="BB90" i="1" s="1"/>
  <c r="AW90" i="1"/>
  <c r="BA89" i="1"/>
  <c r="AZ89" i="1"/>
  <c r="BB89" i="1" s="1"/>
  <c r="AW89" i="1"/>
  <c r="BA88" i="1"/>
  <c r="AZ88" i="1"/>
  <c r="BB88" i="1" s="1"/>
  <c r="AW88" i="1"/>
  <c r="AZ87" i="1"/>
  <c r="BA87" i="1"/>
  <c r="AW87" i="1"/>
  <c r="AZ86" i="1"/>
  <c r="BA86" i="1"/>
  <c r="AW86" i="1"/>
  <c r="AZ85" i="1"/>
  <c r="BA85" i="1"/>
  <c r="AW85" i="1"/>
  <c r="BA84" i="1"/>
  <c r="AZ84" i="1"/>
  <c r="BB84" i="1" s="1"/>
  <c r="AW84" i="1"/>
  <c r="AP83" i="1"/>
  <c r="AO83" i="1"/>
  <c r="AL83" i="1"/>
  <c r="AN84" i="1" s="1"/>
  <c r="AZ82" i="1"/>
  <c r="BA82" i="1"/>
  <c r="AW82" i="1"/>
  <c r="AY83" i="1" s="1"/>
  <c r="BA81" i="1"/>
  <c r="AZ81" i="1"/>
  <c r="BB81" i="1" s="1"/>
  <c r="AW81" i="1"/>
  <c r="BA80" i="1"/>
  <c r="AZ80" i="1"/>
  <c r="BB80" i="1" s="1"/>
  <c r="AW80" i="1"/>
  <c r="AW79" i="1"/>
  <c r="AZ79" i="1"/>
  <c r="BA79" i="1"/>
  <c r="AZ78" i="1"/>
  <c r="AW78" i="1"/>
  <c r="BA78" i="1"/>
  <c r="AZ77" i="1"/>
  <c r="AW77" i="1"/>
  <c r="BA77" i="1"/>
  <c r="AW76" i="1"/>
  <c r="BA76" i="1"/>
  <c r="AZ76" i="1"/>
  <c r="BB76" i="1" s="1"/>
  <c r="AZ75" i="1"/>
  <c r="AW75" i="1"/>
  <c r="BA75" i="1"/>
  <c r="AW74" i="1"/>
  <c r="AZ74" i="1"/>
  <c r="BA74" i="1"/>
  <c r="AL73" i="1"/>
  <c r="AN74" i="1" s="1"/>
  <c r="AO73" i="1"/>
  <c r="AP73" i="1"/>
  <c r="AO72" i="1"/>
  <c r="AL72" i="1"/>
  <c r="AP72" i="1"/>
  <c r="AW71" i="1"/>
  <c r="AY72" i="1" s="1"/>
  <c r="BA71" i="1"/>
  <c r="AZ71" i="1"/>
  <c r="BB71" i="1" s="1"/>
  <c r="BA70" i="1"/>
  <c r="AW70" i="1"/>
  <c r="AZ70" i="1"/>
  <c r="BB70" i="1" s="1"/>
  <c r="BA69" i="1"/>
  <c r="AW69" i="1"/>
  <c r="AZ69" i="1"/>
  <c r="BB69" i="1" s="1"/>
  <c r="AW68" i="1"/>
  <c r="BA68" i="1"/>
  <c r="AZ68" i="1"/>
  <c r="BB68" i="1" s="1"/>
  <c r="AO67" i="1"/>
  <c r="AL67" i="1"/>
  <c r="AN68" i="1" s="1"/>
  <c r="AP67" i="1"/>
  <c r="AO65" i="1"/>
  <c r="AP65" i="1"/>
  <c r="AL65" i="1"/>
  <c r="AW64" i="1"/>
  <c r="AY65" i="1" s="1"/>
  <c r="BA64" i="1"/>
  <c r="AZ64" i="1"/>
  <c r="BB64" i="1" s="1"/>
  <c r="AO63" i="1"/>
  <c r="AP63" i="1"/>
  <c r="AL63" i="1"/>
  <c r="AN64" i="1" s="1"/>
  <c r="AP64" i="1"/>
  <c r="AZ62" i="1"/>
  <c r="BA62" i="1"/>
  <c r="AW62" i="1"/>
  <c r="AY63" i="1" s="1"/>
  <c r="AO61" i="1"/>
  <c r="AP61" i="1"/>
  <c r="AL61" i="1"/>
  <c r="AN62" i="1" s="1"/>
  <c r="AZ60" i="1"/>
  <c r="BA60" i="1"/>
  <c r="AW60" i="1"/>
  <c r="AY61" i="1" s="1"/>
  <c r="AZ59" i="1"/>
  <c r="BA59" i="1"/>
  <c r="AW59" i="1"/>
  <c r="AZ58" i="1"/>
  <c r="BA58" i="1"/>
  <c r="AW58" i="1"/>
  <c r="AZ57" i="1"/>
  <c r="BA57" i="1"/>
  <c r="AW57" i="1"/>
  <c r="AO56" i="1"/>
  <c r="AP56" i="1"/>
  <c r="AL56" i="1"/>
  <c r="AN57" i="1" s="1"/>
  <c r="AZ55" i="1"/>
  <c r="BA55" i="1"/>
  <c r="AW55" i="1"/>
  <c r="AY56" i="1" s="1"/>
  <c r="AO51" i="1"/>
  <c r="AP51" i="1"/>
  <c r="AL51" i="1"/>
  <c r="AZ50" i="1"/>
  <c r="BA50" i="1"/>
  <c r="AW50" i="1"/>
  <c r="AY51" i="1" s="1"/>
  <c r="AZ49" i="1"/>
  <c r="BA49" i="1"/>
  <c r="AW49" i="1"/>
  <c r="AO48" i="1"/>
  <c r="AP48" i="1"/>
  <c r="AL48" i="1"/>
  <c r="AN49" i="1" s="1"/>
  <c r="AO47" i="1"/>
  <c r="AP47" i="1"/>
  <c r="AL47" i="1"/>
  <c r="AZ46" i="1"/>
  <c r="BA46" i="1"/>
  <c r="AW46" i="1"/>
  <c r="AY47" i="1" s="1"/>
  <c r="AZ45" i="1"/>
  <c r="BA45" i="1"/>
  <c r="AW45" i="1"/>
  <c r="AZ44" i="1"/>
  <c r="BA44" i="1"/>
  <c r="AW44" i="1"/>
  <c r="AZ43" i="1"/>
  <c r="BA43" i="1"/>
  <c r="AW43" i="1"/>
  <c r="AZ42" i="1"/>
  <c r="BA42" i="1"/>
  <c r="AW42" i="1"/>
  <c r="AZ41" i="1"/>
  <c r="BA41" i="1"/>
  <c r="AW41" i="1"/>
  <c r="AZ40" i="1"/>
  <c r="BA40" i="1"/>
  <c r="AW40" i="1"/>
  <c r="AZ39" i="1"/>
  <c r="BA39" i="1"/>
  <c r="AW39" i="1"/>
  <c r="AZ38" i="1"/>
  <c r="BA38" i="1"/>
  <c r="AW38" i="1"/>
  <c r="AZ37" i="1"/>
  <c r="BA37" i="1"/>
  <c r="AW37" i="1"/>
  <c r="AZ36" i="1"/>
  <c r="BA36" i="1"/>
  <c r="AW36" i="1"/>
  <c r="AZ35" i="1"/>
  <c r="BA35" i="1"/>
  <c r="AW35" i="1"/>
  <c r="AZ34" i="1"/>
  <c r="BA34" i="1"/>
  <c r="AW34" i="1"/>
  <c r="AZ33" i="1"/>
  <c r="BA33" i="1"/>
  <c r="AW33" i="1"/>
  <c r="AZ32" i="1"/>
  <c r="BA32" i="1"/>
  <c r="AW32" i="1"/>
  <c r="AZ31" i="1"/>
  <c r="BA31" i="1"/>
  <c r="AW31" i="1"/>
  <c r="AZ30" i="1"/>
  <c r="BA30" i="1"/>
  <c r="AW30" i="1"/>
  <c r="AZ29" i="1"/>
  <c r="BA29" i="1"/>
  <c r="AW29" i="1"/>
  <c r="AZ28" i="1"/>
  <c r="BA28" i="1"/>
  <c r="AW28" i="1"/>
  <c r="AZ27" i="1"/>
  <c r="BA27" i="1"/>
  <c r="AW27" i="1"/>
  <c r="AZ26" i="1"/>
  <c r="BA26" i="1"/>
  <c r="AW26" i="1"/>
  <c r="AO25" i="1"/>
  <c r="AP25" i="1"/>
  <c r="AL25" i="1"/>
  <c r="AN26" i="1" s="1"/>
  <c r="AZ24" i="1"/>
  <c r="BA24" i="1"/>
  <c r="AW24" i="1"/>
  <c r="AY25" i="1" s="1"/>
  <c r="AZ23" i="1"/>
  <c r="BA23" i="1"/>
  <c r="AW23" i="1"/>
  <c r="AL23" i="1"/>
  <c r="AN24" i="1" s="1"/>
  <c r="AO23" i="1"/>
  <c r="AP23" i="1"/>
  <c r="AZ22" i="1"/>
  <c r="BA22" i="1"/>
  <c r="AP22" i="1"/>
  <c r="AO22" i="1"/>
  <c r="AQ22" i="1" s="1"/>
  <c r="AO53" i="1" l="1"/>
  <c r="AP53" i="1"/>
  <c r="AL53" i="1"/>
  <c r="AO54" i="1"/>
  <c r="AP54" i="1"/>
  <c r="AL54" i="1"/>
  <c r="AN55" i="1" s="1"/>
  <c r="AO52" i="1"/>
  <c r="AP52" i="1"/>
  <c r="AL52" i="1"/>
  <c r="AO66" i="1"/>
  <c r="AL66" i="1"/>
  <c r="AP66" i="1"/>
  <c r="BB146" i="1"/>
  <c r="AQ99" i="1"/>
  <c r="BB85" i="1"/>
  <c r="BB78" i="1"/>
  <c r="AQ73" i="1"/>
  <c r="AQ65" i="1"/>
  <c r="BB62" i="1"/>
  <c r="BB60" i="1"/>
  <c r="BB59" i="1"/>
  <c r="BB58" i="1"/>
  <c r="BB55" i="1"/>
  <c r="AQ54" i="1"/>
  <c r="BB23" i="1"/>
  <c r="BB22" i="1"/>
  <c r="AO173" i="1"/>
  <c r="AL173" i="1"/>
  <c r="AN174" i="1" s="1"/>
  <c r="AP173" i="1"/>
  <c r="AZ172" i="1"/>
  <c r="AW172" i="1"/>
  <c r="BA172" i="1"/>
  <c r="AO166" i="1"/>
  <c r="AL166" i="1"/>
  <c r="AN167" i="1" s="1"/>
  <c r="AP166" i="1"/>
  <c r="AZ165" i="1"/>
  <c r="AW165" i="1"/>
  <c r="BA165" i="1"/>
  <c r="AO161" i="1"/>
  <c r="AL161" i="1"/>
  <c r="AN162" i="1" s="1"/>
  <c r="AP161" i="1"/>
  <c r="BA160" i="1"/>
  <c r="AZ160" i="1"/>
  <c r="BB160" i="1" s="1"/>
  <c r="AW160" i="1"/>
  <c r="AO155" i="1"/>
  <c r="AP155" i="1"/>
  <c r="AL155" i="1"/>
  <c r="AN156" i="1" s="1"/>
  <c r="AW154" i="1"/>
  <c r="AZ154" i="1"/>
  <c r="BA154" i="1"/>
  <c r="AP151" i="1"/>
  <c r="AL151" i="1"/>
  <c r="AN152" i="1" s="1"/>
  <c r="AO151" i="1"/>
  <c r="AQ151" i="1" s="1"/>
  <c r="BE151" i="1" s="1"/>
  <c r="BA147" i="1"/>
  <c r="AZ147" i="1"/>
  <c r="AW147" i="1"/>
  <c r="AY148" i="1" s="1"/>
  <c r="AL143" i="1"/>
  <c r="AN144" i="1" s="1"/>
  <c r="AO143" i="1"/>
  <c r="AP143" i="1"/>
  <c r="AW142" i="1"/>
  <c r="BA142" i="1"/>
  <c r="AZ142" i="1"/>
  <c r="BB142" i="1" s="1"/>
  <c r="BE142" i="1" s="1"/>
  <c r="AO139" i="1"/>
  <c r="AP139" i="1"/>
  <c r="AL139" i="1"/>
  <c r="AN140" i="1" s="1"/>
  <c r="AW138" i="1"/>
  <c r="AZ138" i="1"/>
  <c r="BA138" i="1"/>
  <c r="AP129" i="1"/>
  <c r="AO129" i="1"/>
  <c r="AQ129" i="1" s="1"/>
  <c r="AL129" i="1"/>
  <c r="AN130" i="1" s="1"/>
  <c r="AW128" i="1"/>
  <c r="BA128" i="1"/>
  <c r="AZ128" i="1"/>
  <c r="BB128" i="1" s="1"/>
  <c r="AL127" i="1"/>
  <c r="AO127" i="1"/>
  <c r="AP127" i="1"/>
  <c r="AZ122" i="1"/>
  <c r="BA122" i="1"/>
  <c r="AW122" i="1"/>
  <c r="AY123" i="1" s="1"/>
  <c r="AL118" i="1"/>
  <c r="AN119" i="1" s="1"/>
  <c r="AP118" i="1"/>
  <c r="AO118" i="1"/>
  <c r="AQ118" i="1" s="1"/>
  <c r="AW116" i="1"/>
  <c r="AY117" i="1" s="1"/>
  <c r="BA116" i="1"/>
  <c r="AZ116" i="1"/>
  <c r="AL114" i="1"/>
  <c r="AN115" i="1" s="1"/>
  <c r="AP114" i="1"/>
  <c r="AO114" i="1"/>
  <c r="AW113" i="1"/>
  <c r="BA113" i="1"/>
  <c r="AZ113" i="1"/>
  <c r="BB113" i="1" s="1"/>
  <c r="AL109" i="1"/>
  <c r="AN110" i="1" s="1"/>
  <c r="AP109" i="1"/>
  <c r="AO109" i="1"/>
  <c r="AQ109" i="1" s="1"/>
  <c r="AW107" i="1"/>
  <c r="AY108" i="1" s="1"/>
  <c r="BA107" i="1"/>
  <c r="AZ107" i="1"/>
  <c r="BB107" i="1" s="1"/>
  <c r="AL103" i="1"/>
  <c r="AN104" i="1" s="1"/>
  <c r="AP103" i="1"/>
  <c r="AO103" i="1"/>
  <c r="AQ103" i="1" s="1"/>
  <c r="AW101" i="1"/>
  <c r="AY102" i="1" s="1"/>
  <c r="BA101" i="1"/>
  <c r="AZ101" i="1"/>
  <c r="BB101" i="1" s="1"/>
  <c r="AL100" i="1"/>
  <c r="AP100" i="1"/>
  <c r="AO100" i="1"/>
  <c r="AQ100" i="1" s="1"/>
  <c r="AW99" i="1"/>
  <c r="BA99" i="1"/>
  <c r="AZ99" i="1"/>
  <c r="AL97" i="1"/>
  <c r="AN98" i="1" s="1"/>
  <c r="AP97" i="1"/>
  <c r="AO97" i="1"/>
  <c r="AZ95" i="1"/>
  <c r="AW95" i="1"/>
  <c r="AY96" i="1" s="1"/>
  <c r="BA95" i="1"/>
  <c r="AP94" i="1"/>
  <c r="AO94" i="1"/>
  <c r="AQ94" i="1" s="1"/>
  <c r="BE94" i="1" s="1"/>
  <c r="AL94" i="1"/>
  <c r="BA92" i="1"/>
  <c r="AW92" i="1"/>
  <c r="AY93" i="1" s="1"/>
  <c r="AZ92" i="1"/>
  <c r="BB92" i="1" s="1"/>
  <c r="AL84" i="1"/>
  <c r="AN85" i="1" s="1"/>
  <c r="AO84" i="1"/>
  <c r="AP84" i="1"/>
  <c r="AW83" i="1"/>
  <c r="AZ83" i="1"/>
  <c r="BA83" i="1"/>
  <c r="AO74" i="1"/>
  <c r="AL74" i="1"/>
  <c r="AN75" i="1" s="1"/>
  <c r="AP74" i="1"/>
  <c r="AW72" i="1"/>
  <c r="AY73" i="1" s="1"/>
  <c r="AZ72" i="1"/>
  <c r="BA72" i="1"/>
  <c r="AL68" i="1"/>
  <c r="AN69" i="1" s="1"/>
  <c r="AO68" i="1"/>
  <c r="AP68" i="1"/>
  <c r="AZ65" i="1"/>
  <c r="AW65" i="1"/>
  <c r="AY66" i="1" s="1"/>
  <c r="BA65" i="1"/>
  <c r="AW63" i="1"/>
  <c r="AZ63" i="1"/>
  <c r="BA63" i="1"/>
  <c r="AL62" i="1"/>
  <c r="AP62" i="1"/>
  <c r="AO62" i="1"/>
  <c r="AQ62" i="1" s="1"/>
  <c r="BE62" i="1" s="1"/>
  <c r="AW61" i="1"/>
  <c r="BA61" i="1"/>
  <c r="AZ61" i="1"/>
  <c r="BB61" i="1" s="1"/>
  <c r="AL57" i="1"/>
  <c r="AN58" i="1" s="1"/>
  <c r="AP57" i="1"/>
  <c r="AO57" i="1"/>
  <c r="AQ57" i="1" s="1"/>
  <c r="AW56" i="1"/>
  <c r="BA56" i="1"/>
  <c r="AZ56" i="1"/>
  <c r="BB56" i="1" s="1"/>
  <c r="AL55" i="1"/>
  <c r="AP55" i="1"/>
  <c r="AO55" i="1"/>
  <c r="AQ55" i="1" s="1"/>
  <c r="BE55" i="1" s="1"/>
  <c r="AW51" i="1"/>
  <c r="AY52" i="1" s="1"/>
  <c r="BA51" i="1"/>
  <c r="AZ51" i="1"/>
  <c r="BB51" i="1" s="1"/>
  <c r="AL49" i="1"/>
  <c r="AN50" i="1" s="1"/>
  <c r="AP49" i="1"/>
  <c r="AO49" i="1"/>
  <c r="AW47" i="1"/>
  <c r="AY48" i="1" s="1"/>
  <c r="BA47" i="1"/>
  <c r="AZ47" i="1"/>
  <c r="BB47" i="1" s="1"/>
  <c r="AL26" i="1"/>
  <c r="AN27" i="1" s="1"/>
  <c r="AP26" i="1"/>
  <c r="AO26" i="1"/>
  <c r="AW25" i="1"/>
  <c r="BA25" i="1"/>
  <c r="AZ25" i="1"/>
  <c r="BB25" i="1" s="1"/>
  <c r="AL24" i="1"/>
  <c r="AP24" i="1"/>
  <c r="AO24" i="1"/>
  <c r="AQ24" i="1" s="1"/>
  <c r="AR22" i="1"/>
  <c r="AQ61" i="1"/>
  <c r="AQ53" i="1"/>
  <c r="AQ52" i="1"/>
  <c r="AQ51" i="1"/>
  <c r="BB50" i="1"/>
  <c r="BB49" i="1"/>
  <c r="AQ48" i="1"/>
  <c r="AQ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AQ25" i="1"/>
  <c r="BB24" i="1"/>
  <c r="AQ66" i="1"/>
  <c r="BB57" i="1"/>
  <c r="AQ83" i="1"/>
  <c r="BB79" i="1"/>
  <c r="BB75" i="1"/>
  <c r="BB176" i="1"/>
  <c r="BB175" i="1"/>
  <c r="BB174" i="1"/>
  <c r="BB168" i="1"/>
  <c r="BB167" i="1"/>
  <c r="BB161" i="1"/>
  <c r="AQ160" i="1"/>
  <c r="BB153" i="1"/>
  <c r="AQ150" i="1"/>
  <c r="AQ148" i="1"/>
  <c r="AQ147" i="1"/>
  <c r="BB140" i="1"/>
  <c r="AQ138" i="1"/>
  <c r="BB134" i="1"/>
  <c r="BB130" i="1"/>
  <c r="BB129" i="1"/>
  <c r="AQ128" i="1"/>
  <c r="BB127" i="1"/>
  <c r="AQ126" i="1"/>
  <c r="AQ125" i="1"/>
  <c r="BB119" i="1"/>
  <c r="BB118" i="1"/>
  <c r="AQ117" i="1"/>
  <c r="AQ116" i="1"/>
  <c r="BB115" i="1"/>
  <c r="BB114" i="1"/>
  <c r="AQ113" i="1"/>
  <c r="BB112" i="1"/>
  <c r="BB111" i="1"/>
  <c r="BB110" i="1"/>
  <c r="BB109" i="1"/>
  <c r="AQ108" i="1"/>
  <c r="AQ107" i="1"/>
  <c r="BB106" i="1"/>
  <c r="BB105" i="1"/>
  <c r="BB104" i="1"/>
  <c r="BB103" i="1"/>
  <c r="AQ102" i="1"/>
  <c r="AQ101" i="1"/>
  <c r="BB100" i="1"/>
  <c r="BB98" i="1"/>
  <c r="BB97" i="1"/>
  <c r="AQ96" i="1"/>
  <c r="AQ92" i="1"/>
  <c r="AQ93" i="1"/>
  <c r="BB87" i="1"/>
  <c r="BB86" i="1"/>
  <c r="BB82" i="1"/>
  <c r="BB77" i="1"/>
  <c r="BB74" i="1"/>
  <c r="AQ72" i="1"/>
  <c r="AQ67" i="1"/>
  <c r="AQ63" i="1"/>
  <c r="AQ56" i="1"/>
  <c r="AQ23" i="1"/>
  <c r="AL64" i="1"/>
  <c r="AO64" i="1"/>
  <c r="AQ64" i="1" s="1"/>
  <c r="BE64" i="1" s="1"/>
  <c r="AQ114" i="1" l="1"/>
  <c r="AQ84" i="1"/>
  <c r="BE84" i="1" s="1"/>
  <c r="BC22" i="1"/>
  <c r="BC23" i="1" s="1"/>
  <c r="BE22" i="1"/>
  <c r="BE118" i="1"/>
  <c r="BE109" i="1"/>
  <c r="BE100" i="1"/>
  <c r="AQ173" i="1"/>
  <c r="BE173" i="1" s="1"/>
  <c r="BE129" i="1"/>
  <c r="BB116" i="1"/>
  <c r="BE103" i="1"/>
  <c r="BE24" i="1"/>
  <c r="BE57" i="1"/>
  <c r="AQ49" i="1"/>
  <c r="BE49" i="1" s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E114" i="1"/>
  <c r="AO174" i="1"/>
  <c r="AL174" i="1"/>
  <c r="AN175" i="1" s="1"/>
  <c r="AP174" i="1"/>
  <c r="AP167" i="1"/>
  <c r="AL167" i="1"/>
  <c r="AN168" i="1" s="1"/>
  <c r="AO167" i="1"/>
  <c r="AQ167" i="1" s="1"/>
  <c r="BE167" i="1" s="1"/>
  <c r="AP162" i="1"/>
  <c r="AO162" i="1"/>
  <c r="AQ162" i="1" s="1"/>
  <c r="BE162" i="1" s="1"/>
  <c r="AL162" i="1"/>
  <c r="AN163" i="1" s="1"/>
  <c r="AP156" i="1"/>
  <c r="AO156" i="1"/>
  <c r="AL156" i="1"/>
  <c r="AN157" i="1" s="1"/>
  <c r="AP152" i="1"/>
  <c r="AO152" i="1"/>
  <c r="AQ152" i="1" s="1"/>
  <c r="BE152" i="1" s="1"/>
  <c r="AL152" i="1"/>
  <c r="AN153" i="1" s="1"/>
  <c r="AZ148" i="1"/>
  <c r="BA148" i="1"/>
  <c r="AW148" i="1"/>
  <c r="AY149" i="1" s="1"/>
  <c r="AO144" i="1"/>
  <c r="AL144" i="1"/>
  <c r="AN145" i="1" s="1"/>
  <c r="AP144" i="1"/>
  <c r="AL140" i="1"/>
  <c r="AN141" i="1" s="1"/>
  <c r="AP140" i="1"/>
  <c r="AO140" i="1"/>
  <c r="AQ140" i="1" s="1"/>
  <c r="BE140" i="1" s="1"/>
  <c r="AP130" i="1"/>
  <c r="AO130" i="1"/>
  <c r="AQ130" i="1" s="1"/>
  <c r="BE130" i="1" s="1"/>
  <c r="AL130" i="1"/>
  <c r="AN131" i="1" s="1"/>
  <c r="AZ123" i="1"/>
  <c r="AW123" i="1"/>
  <c r="AY124" i="1" s="1"/>
  <c r="BA123" i="1"/>
  <c r="AL119" i="1"/>
  <c r="AN120" i="1" s="1"/>
  <c r="AP119" i="1"/>
  <c r="AO119" i="1"/>
  <c r="AQ119" i="1" s="1"/>
  <c r="BE119" i="1" s="1"/>
  <c r="AW117" i="1"/>
  <c r="BA117" i="1"/>
  <c r="AZ117" i="1"/>
  <c r="BB117" i="1" s="1"/>
  <c r="BE117" i="1" s="1"/>
  <c r="AL115" i="1"/>
  <c r="AP115" i="1"/>
  <c r="AO115" i="1"/>
  <c r="AQ115" i="1" s="1"/>
  <c r="BE115" i="1" s="1"/>
  <c r="AL110" i="1"/>
  <c r="AN111" i="1" s="1"/>
  <c r="AP110" i="1"/>
  <c r="AO110" i="1"/>
  <c r="AQ110" i="1" s="1"/>
  <c r="BE110" i="1" s="1"/>
  <c r="AW108" i="1"/>
  <c r="BA108" i="1"/>
  <c r="AZ108" i="1"/>
  <c r="BB108" i="1" s="1"/>
  <c r="BE108" i="1" s="1"/>
  <c r="AL104" i="1"/>
  <c r="AN105" i="1" s="1"/>
  <c r="AP104" i="1"/>
  <c r="AO104" i="1"/>
  <c r="AQ104" i="1" s="1"/>
  <c r="BE104" i="1" s="1"/>
  <c r="AW102" i="1"/>
  <c r="BA102" i="1"/>
  <c r="AZ102" i="1"/>
  <c r="BB102" i="1" s="1"/>
  <c r="BE102" i="1" s="1"/>
  <c r="AL98" i="1"/>
  <c r="AP98" i="1"/>
  <c r="AO98" i="1"/>
  <c r="AQ98" i="1" s="1"/>
  <c r="BE98" i="1" s="1"/>
  <c r="AW96" i="1"/>
  <c r="BA96" i="1"/>
  <c r="AZ96" i="1"/>
  <c r="BB96" i="1" s="1"/>
  <c r="BE96" i="1" s="1"/>
  <c r="AZ93" i="1"/>
  <c r="AW93" i="1"/>
  <c r="BA93" i="1"/>
  <c r="AO85" i="1"/>
  <c r="AL85" i="1"/>
  <c r="AN86" i="1" s="1"/>
  <c r="AP85" i="1"/>
  <c r="AP75" i="1"/>
  <c r="AL75" i="1"/>
  <c r="AN76" i="1" s="1"/>
  <c r="AO75" i="1"/>
  <c r="AQ75" i="1" s="1"/>
  <c r="BE75" i="1" s="1"/>
  <c r="AW73" i="1"/>
  <c r="AZ73" i="1"/>
  <c r="BA73" i="1"/>
  <c r="AO69" i="1"/>
  <c r="AL69" i="1"/>
  <c r="AN70" i="1" s="1"/>
  <c r="AP69" i="1"/>
  <c r="BA66" i="1"/>
  <c r="AW66" i="1"/>
  <c r="AY67" i="1" s="1"/>
  <c r="AZ66" i="1"/>
  <c r="BB66" i="1" s="1"/>
  <c r="BE66" i="1" s="1"/>
  <c r="AL58" i="1"/>
  <c r="AN59" i="1" s="1"/>
  <c r="AP58" i="1"/>
  <c r="AO58" i="1"/>
  <c r="AQ58" i="1" s="1"/>
  <c r="BE58" i="1" s="1"/>
  <c r="AW52" i="1"/>
  <c r="AY53" i="1" s="1"/>
  <c r="BA52" i="1"/>
  <c r="AZ52" i="1"/>
  <c r="BB52" i="1" s="1"/>
  <c r="BE52" i="1" s="1"/>
  <c r="AL50" i="1"/>
  <c r="AP50" i="1"/>
  <c r="AO50" i="1"/>
  <c r="AQ50" i="1" s="1"/>
  <c r="BE50" i="1" s="1"/>
  <c r="AW48" i="1"/>
  <c r="BA48" i="1"/>
  <c r="AZ48" i="1"/>
  <c r="BB48" i="1" s="1"/>
  <c r="AL27" i="1"/>
  <c r="AN28" i="1" s="1"/>
  <c r="AP27" i="1"/>
  <c r="AO27" i="1"/>
  <c r="AQ27" i="1" s="1"/>
  <c r="BE27" i="1" s="1"/>
  <c r="BF22" i="1"/>
  <c r="AQ26" i="1"/>
  <c r="BE26" i="1" s="1"/>
  <c r="AR23" i="1"/>
  <c r="AR24" i="1" s="1"/>
  <c r="AR25" i="1" s="1"/>
  <c r="BE61" i="1"/>
  <c r="BE51" i="1"/>
  <c r="BE47" i="1"/>
  <c r="BE25" i="1"/>
  <c r="BE160" i="1"/>
  <c r="BE128" i="1"/>
  <c r="BE116" i="1"/>
  <c r="BE113" i="1"/>
  <c r="BE107" i="1"/>
  <c r="BE101" i="1"/>
  <c r="BE92" i="1"/>
  <c r="BE56" i="1"/>
  <c r="BB172" i="1"/>
  <c r="BE172" i="1" s="1"/>
  <c r="BB165" i="1"/>
  <c r="BE165" i="1" s="1"/>
  <c r="AQ161" i="1"/>
  <c r="BE161" i="1" s="1"/>
  <c r="AQ155" i="1"/>
  <c r="BE155" i="1" s="1"/>
  <c r="BB154" i="1"/>
  <c r="BE154" i="1" s="1"/>
  <c r="AQ139" i="1"/>
  <c r="BE139" i="1" s="1"/>
  <c r="BB138" i="1"/>
  <c r="BE138" i="1" s="1"/>
  <c r="AQ127" i="1"/>
  <c r="BE127" i="1" s="1"/>
  <c r="BB99" i="1"/>
  <c r="BE99" i="1" s="1"/>
  <c r="BB95" i="1"/>
  <c r="BE95" i="1" s="1"/>
  <c r="BB83" i="1"/>
  <c r="BE83" i="1" s="1"/>
  <c r="BB72" i="1"/>
  <c r="BE72" i="1" s="1"/>
  <c r="AQ166" i="1"/>
  <c r="BE166" i="1" s="1"/>
  <c r="BB147" i="1"/>
  <c r="BE147" i="1" s="1"/>
  <c r="AQ143" i="1"/>
  <c r="BE143" i="1" s="1"/>
  <c r="BB122" i="1"/>
  <c r="BE122" i="1" s="1"/>
  <c r="AQ97" i="1"/>
  <c r="BE97" i="1" s="1"/>
  <c r="AQ74" i="1"/>
  <c r="BE74" i="1" s="1"/>
  <c r="AQ68" i="1"/>
  <c r="BE68" i="1" s="1"/>
  <c r="BB65" i="1"/>
  <c r="BE65" i="1" s="1"/>
  <c r="BB63" i="1"/>
  <c r="BE63" i="1" s="1"/>
  <c r="BE23" i="1"/>
  <c r="AQ156" i="1" l="1"/>
  <c r="BE156" i="1" s="1"/>
  <c r="BF23" i="1"/>
  <c r="BF24" i="1" s="1"/>
  <c r="BF25" i="1" s="1"/>
  <c r="AP175" i="1"/>
  <c r="AO175" i="1"/>
  <c r="AQ175" i="1" s="1"/>
  <c r="BE175" i="1" s="1"/>
  <c r="AL175" i="1"/>
  <c r="AN176" i="1" s="1"/>
  <c r="AP168" i="1"/>
  <c r="AO168" i="1"/>
  <c r="AQ168" i="1" s="1"/>
  <c r="BE168" i="1" s="1"/>
  <c r="AL168" i="1"/>
  <c r="AN169" i="1" s="1"/>
  <c r="AP163" i="1"/>
  <c r="AO163" i="1"/>
  <c r="AQ163" i="1" s="1"/>
  <c r="BE163" i="1" s="1"/>
  <c r="AL163" i="1"/>
  <c r="AN164" i="1" s="1"/>
  <c r="AP157" i="1"/>
  <c r="AL157" i="1"/>
  <c r="AN158" i="1" s="1"/>
  <c r="AO157" i="1"/>
  <c r="AQ157" i="1" s="1"/>
  <c r="BE157" i="1" s="1"/>
  <c r="AP153" i="1"/>
  <c r="AL153" i="1"/>
  <c r="AO153" i="1"/>
  <c r="AQ153" i="1" s="1"/>
  <c r="BE153" i="1" s="1"/>
  <c r="AZ149" i="1"/>
  <c r="BA149" i="1"/>
  <c r="AW149" i="1"/>
  <c r="AY150" i="1" s="1"/>
  <c r="AP145" i="1"/>
  <c r="AO145" i="1"/>
  <c r="AQ145" i="1" s="1"/>
  <c r="BE145" i="1" s="1"/>
  <c r="AL145" i="1"/>
  <c r="AN146" i="1" s="1"/>
  <c r="AO141" i="1"/>
  <c r="AL141" i="1"/>
  <c r="AP141" i="1"/>
  <c r="AO131" i="1"/>
  <c r="AP131" i="1"/>
  <c r="AL131" i="1"/>
  <c r="AN132" i="1" s="1"/>
  <c r="AW124" i="1"/>
  <c r="AY125" i="1" s="1"/>
  <c r="AZ124" i="1"/>
  <c r="BA124" i="1"/>
  <c r="AO120" i="1"/>
  <c r="AL120" i="1"/>
  <c r="AN121" i="1" s="1"/>
  <c r="AP120" i="1"/>
  <c r="AL111" i="1"/>
  <c r="AN112" i="1" s="1"/>
  <c r="AP111" i="1"/>
  <c r="AO111" i="1"/>
  <c r="AL105" i="1"/>
  <c r="AN106" i="1" s="1"/>
  <c r="AP105" i="1"/>
  <c r="AO105" i="1"/>
  <c r="AQ105" i="1" s="1"/>
  <c r="BE105" i="1" s="1"/>
  <c r="AL86" i="1"/>
  <c r="AN87" i="1" s="1"/>
  <c r="AP86" i="1"/>
  <c r="AO86" i="1"/>
  <c r="AQ86" i="1" s="1"/>
  <c r="BE86" i="1" s="1"/>
  <c r="AO76" i="1"/>
  <c r="AP76" i="1"/>
  <c r="AL76" i="1"/>
  <c r="AN77" i="1" s="1"/>
  <c r="AP70" i="1"/>
  <c r="AL70" i="1"/>
  <c r="AN71" i="1" s="1"/>
  <c r="AO70" i="1"/>
  <c r="AQ70" i="1" s="1"/>
  <c r="BE70" i="1" s="1"/>
  <c r="AW67" i="1"/>
  <c r="BA67" i="1"/>
  <c r="AZ67" i="1"/>
  <c r="BB67" i="1" s="1"/>
  <c r="BE67" i="1" s="1"/>
  <c r="AL59" i="1"/>
  <c r="AN60" i="1" s="1"/>
  <c r="AP59" i="1"/>
  <c r="AO59" i="1"/>
  <c r="AQ59" i="1" s="1"/>
  <c r="BE59" i="1" s="1"/>
  <c r="AW53" i="1"/>
  <c r="AY54" i="1" s="1"/>
  <c r="BA53" i="1"/>
  <c r="AZ53" i="1"/>
  <c r="BB53" i="1" s="1"/>
  <c r="BE53" i="1" s="1"/>
  <c r="BC48" i="1"/>
  <c r="BC49" i="1" s="1"/>
  <c r="BC50" i="1" s="1"/>
  <c r="BC51" i="1" s="1"/>
  <c r="BC52" i="1" s="1"/>
  <c r="BC53" i="1" s="1"/>
  <c r="BE48" i="1"/>
  <c r="AL28" i="1"/>
  <c r="AN29" i="1" s="1"/>
  <c r="AP28" i="1"/>
  <c r="AO28" i="1"/>
  <c r="AQ144" i="1"/>
  <c r="BE144" i="1" s="1"/>
  <c r="BB73" i="1"/>
  <c r="BE73" i="1" s="1"/>
  <c r="AR26" i="1"/>
  <c r="AR27" i="1" s="1"/>
  <c r="AQ69" i="1"/>
  <c r="BE69" i="1" s="1"/>
  <c r="BF26" i="1"/>
  <c r="BF27" i="1" s="1"/>
  <c r="AQ174" i="1"/>
  <c r="BE174" i="1" s="1"/>
  <c r="BB148" i="1"/>
  <c r="BE148" i="1" s="1"/>
  <c r="BB123" i="1"/>
  <c r="BE123" i="1" s="1"/>
  <c r="BB93" i="1"/>
  <c r="BE93" i="1" s="1"/>
  <c r="AQ85" i="1"/>
  <c r="BE85" i="1" s="1"/>
  <c r="AQ111" i="1" l="1"/>
  <c r="BE111" i="1" s="1"/>
  <c r="AQ28" i="1"/>
  <c r="AR28" i="1" s="1"/>
  <c r="AO176" i="1"/>
  <c r="AL176" i="1"/>
  <c r="AP176" i="1"/>
  <c r="AP169" i="1"/>
  <c r="AO169" i="1"/>
  <c r="AL169" i="1"/>
  <c r="AN170" i="1" s="1"/>
  <c r="AO164" i="1"/>
  <c r="AL164" i="1"/>
  <c r="AP164" i="1"/>
  <c r="AO158" i="1"/>
  <c r="AL158" i="1"/>
  <c r="AN159" i="1" s="1"/>
  <c r="AP158" i="1"/>
  <c r="AZ150" i="1"/>
  <c r="AW150" i="1"/>
  <c r="BA150" i="1"/>
  <c r="AO146" i="1"/>
  <c r="AP146" i="1"/>
  <c r="AL146" i="1"/>
  <c r="AP132" i="1"/>
  <c r="AO132" i="1"/>
  <c r="AQ132" i="1" s="1"/>
  <c r="BE132" i="1" s="1"/>
  <c r="AL132" i="1"/>
  <c r="AN133" i="1" s="1"/>
  <c r="BA125" i="1"/>
  <c r="AW125" i="1"/>
  <c r="AY126" i="1" s="1"/>
  <c r="AZ125" i="1"/>
  <c r="BB125" i="1" s="1"/>
  <c r="BE125" i="1" s="1"/>
  <c r="AL121" i="1"/>
  <c r="AO121" i="1"/>
  <c r="AP121" i="1"/>
  <c r="AL112" i="1"/>
  <c r="AP112" i="1"/>
  <c r="AO112" i="1"/>
  <c r="AQ112" i="1" s="1"/>
  <c r="BE112" i="1" s="1"/>
  <c r="AL106" i="1"/>
  <c r="AP106" i="1"/>
  <c r="AO106" i="1"/>
  <c r="AQ106" i="1" s="1"/>
  <c r="BE106" i="1" s="1"/>
  <c r="AL87" i="1"/>
  <c r="AN88" i="1" s="1"/>
  <c r="AP87" i="1"/>
  <c r="AO87" i="1"/>
  <c r="AQ87" i="1" s="1"/>
  <c r="BE87" i="1" s="1"/>
  <c r="AP77" i="1"/>
  <c r="AL77" i="1"/>
  <c r="AN78" i="1" s="1"/>
  <c r="AO77" i="1"/>
  <c r="AQ77" i="1" s="1"/>
  <c r="BE77" i="1" s="1"/>
  <c r="AP71" i="1"/>
  <c r="AO71" i="1"/>
  <c r="AQ71" i="1" s="1"/>
  <c r="BE71" i="1" s="1"/>
  <c r="AL71" i="1"/>
  <c r="AL60" i="1"/>
  <c r="AP60" i="1"/>
  <c r="AO60" i="1"/>
  <c r="AW54" i="1"/>
  <c r="BA54" i="1"/>
  <c r="AZ54" i="1"/>
  <c r="BB54" i="1" s="1"/>
  <c r="AL29" i="1"/>
  <c r="AN30" i="1" s="1"/>
  <c r="AP29" i="1"/>
  <c r="AO29" i="1"/>
  <c r="AQ29" i="1" s="1"/>
  <c r="BE28" i="1"/>
  <c r="BB149" i="1"/>
  <c r="BE149" i="1" s="1"/>
  <c r="AQ141" i="1"/>
  <c r="BE141" i="1" s="1"/>
  <c r="AQ131" i="1"/>
  <c r="BE131" i="1" s="1"/>
  <c r="BB124" i="1"/>
  <c r="BE124" i="1" s="1"/>
  <c r="AQ120" i="1"/>
  <c r="BE120" i="1" s="1"/>
  <c r="AQ76" i="1"/>
  <c r="BE76" i="1" s="1"/>
  <c r="AQ169" i="1" l="1"/>
  <c r="BE169" i="1" s="1"/>
  <c r="AQ60" i="1"/>
  <c r="BE60" i="1" s="1"/>
  <c r="AP170" i="1"/>
  <c r="AO170" i="1"/>
  <c r="AQ170" i="1" s="1"/>
  <c r="BE170" i="1" s="1"/>
  <c r="AL170" i="1"/>
  <c r="AN171" i="1" s="1"/>
  <c r="AO159" i="1"/>
  <c r="AP159" i="1"/>
  <c r="AL159" i="1"/>
  <c r="AO133" i="1"/>
  <c r="AP133" i="1"/>
  <c r="AL133" i="1"/>
  <c r="AN134" i="1" s="1"/>
  <c r="AZ126" i="1"/>
  <c r="BA126" i="1"/>
  <c r="AW126" i="1"/>
  <c r="AL88" i="1"/>
  <c r="AN89" i="1" s="1"/>
  <c r="AP88" i="1"/>
  <c r="AO88" i="1"/>
  <c r="AQ88" i="1" s="1"/>
  <c r="BE88" i="1" s="1"/>
  <c r="AP78" i="1"/>
  <c r="AL78" i="1"/>
  <c r="AN79" i="1" s="1"/>
  <c r="AO78" i="1"/>
  <c r="AQ78" i="1" s="1"/>
  <c r="BE78" i="1" s="1"/>
  <c r="BC54" i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E54" i="1"/>
  <c r="AL30" i="1"/>
  <c r="AN31" i="1" s="1"/>
  <c r="AP30" i="1"/>
  <c r="AO30" i="1"/>
  <c r="AQ30" i="1" s="1"/>
  <c r="AR29" i="1"/>
  <c r="AR30" i="1" s="1"/>
  <c r="BE29" i="1"/>
  <c r="BF28" i="1"/>
  <c r="BF29" i="1" s="1"/>
  <c r="AQ176" i="1"/>
  <c r="BE176" i="1" s="1"/>
  <c r="AQ164" i="1"/>
  <c r="BE164" i="1" s="1"/>
  <c r="AQ158" i="1"/>
  <c r="BE158" i="1" s="1"/>
  <c r="BB150" i="1"/>
  <c r="BE150" i="1" s="1"/>
  <c r="AQ146" i="1"/>
  <c r="BE146" i="1" s="1"/>
  <c r="AQ121" i="1"/>
  <c r="BE121" i="1" s="1"/>
  <c r="AP171" i="1" l="1"/>
  <c r="AL171" i="1"/>
  <c r="AO171" i="1"/>
  <c r="AL134" i="1"/>
  <c r="AN135" i="1" s="1"/>
  <c r="AP134" i="1"/>
  <c r="AO134" i="1"/>
  <c r="AQ134" i="1" s="1"/>
  <c r="BE134" i="1" s="1"/>
  <c r="AL89" i="1"/>
  <c r="AN90" i="1" s="1"/>
  <c r="AO89" i="1"/>
  <c r="AP89" i="1"/>
  <c r="AO79" i="1"/>
  <c r="AP79" i="1"/>
  <c r="AL79" i="1"/>
  <c r="AN80" i="1" s="1"/>
  <c r="AL31" i="1"/>
  <c r="AN32" i="1" s="1"/>
  <c r="AP31" i="1"/>
  <c r="AO31" i="1"/>
  <c r="AQ31" i="1" s="1"/>
  <c r="BE30" i="1"/>
  <c r="AQ159" i="1"/>
  <c r="AQ133" i="1"/>
  <c r="BE133" i="1" s="1"/>
  <c r="BB126" i="1"/>
  <c r="AQ171" i="1" l="1"/>
  <c r="BE171" i="1" s="1"/>
  <c r="AO135" i="1"/>
  <c r="AP135" i="1"/>
  <c r="AL135" i="1"/>
  <c r="AN136" i="1" s="1"/>
  <c r="AL90" i="1"/>
  <c r="AN91" i="1" s="1"/>
  <c r="AO90" i="1"/>
  <c r="AP90" i="1"/>
  <c r="AO80" i="1"/>
  <c r="AL80" i="1"/>
  <c r="AN81" i="1" s="1"/>
  <c r="AP80" i="1"/>
  <c r="AL32" i="1"/>
  <c r="AN33" i="1" s="1"/>
  <c r="AP32" i="1"/>
  <c r="AO32" i="1"/>
  <c r="AQ32" i="1" s="1"/>
  <c r="BE32" i="1" s="1"/>
  <c r="AR31" i="1"/>
  <c r="AR32" i="1" s="1"/>
  <c r="BE31" i="1"/>
  <c r="BF30" i="1"/>
  <c r="BB15" i="1"/>
  <c r="BB19" i="1"/>
  <c r="BB14" i="1"/>
  <c r="BC126" i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26" i="1"/>
  <c r="AQ89" i="1"/>
  <c r="BE89" i="1" s="1"/>
  <c r="AQ79" i="1"/>
  <c r="BE79" i="1" s="1"/>
  <c r="BE159" i="1"/>
  <c r="BF31" i="1" l="1"/>
  <c r="BF32" i="1" s="1"/>
  <c r="BB16" i="1"/>
  <c r="AT1" i="1" s="1"/>
  <c r="AP136" i="1"/>
  <c r="AL136" i="1"/>
  <c r="AN137" i="1" s="1"/>
  <c r="AO136" i="1"/>
  <c r="AO91" i="1"/>
  <c r="AL91" i="1"/>
  <c r="AP91" i="1"/>
  <c r="AL81" i="1"/>
  <c r="AN82" i="1" s="1"/>
  <c r="AO81" i="1"/>
  <c r="AP81" i="1"/>
  <c r="AL33" i="1"/>
  <c r="AN34" i="1" s="1"/>
  <c r="AP33" i="1"/>
  <c r="AO33" i="1"/>
  <c r="AQ135" i="1"/>
  <c r="BE135" i="1" s="1"/>
  <c r="AQ90" i="1"/>
  <c r="BE90" i="1" s="1"/>
  <c r="AQ80" i="1"/>
  <c r="BE80" i="1" s="1"/>
  <c r="AQ136" i="1" l="1"/>
  <c r="BE136" i="1" s="1"/>
  <c r="AQ33" i="1"/>
  <c r="AP137" i="1"/>
  <c r="AO137" i="1"/>
  <c r="AQ137" i="1" s="1"/>
  <c r="BE137" i="1" s="1"/>
  <c r="AL137" i="1"/>
  <c r="AL82" i="1"/>
  <c r="AO82" i="1"/>
  <c r="AP82" i="1"/>
  <c r="AL34" i="1"/>
  <c r="AN35" i="1" s="1"/>
  <c r="AP34" i="1"/>
  <c r="AO34" i="1"/>
  <c r="AR33" i="1"/>
  <c r="BE33" i="1"/>
  <c r="BF33" i="1" s="1"/>
  <c r="AQ91" i="1"/>
  <c r="BE91" i="1" s="1"/>
  <c r="AQ81" i="1"/>
  <c r="BE81" i="1" s="1"/>
  <c r="AL35" i="1" l="1"/>
  <c r="AN36" i="1" s="1"/>
  <c r="AP35" i="1"/>
  <c r="AO35" i="1"/>
  <c r="AQ35" i="1" s="1"/>
  <c r="BE35" i="1" s="1"/>
  <c r="AQ82" i="1"/>
  <c r="BE82" i="1" s="1"/>
  <c r="AQ34" i="1"/>
  <c r="AL36" i="1" l="1"/>
  <c r="AN37" i="1" s="1"/>
  <c r="AP36" i="1"/>
  <c r="AO36" i="1"/>
  <c r="AQ36" i="1" s="1"/>
  <c r="BE36" i="1" s="1"/>
  <c r="AR34" i="1"/>
  <c r="AR35" i="1" s="1"/>
  <c r="BE34" i="1"/>
  <c r="AR36" i="1" l="1"/>
  <c r="AL37" i="1"/>
  <c r="AN38" i="1" s="1"/>
  <c r="AP37" i="1"/>
  <c r="AO37" i="1"/>
  <c r="AQ37" i="1" s="1"/>
  <c r="BF34" i="1"/>
  <c r="BF35" i="1" s="1"/>
  <c r="BF36" i="1" s="1"/>
  <c r="AL38" i="1" l="1"/>
  <c r="AN39" i="1" s="1"/>
  <c r="AP38" i="1"/>
  <c r="AO38" i="1"/>
  <c r="AR37" i="1"/>
  <c r="BE37" i="1"/>
  <c r="AQ38" i="1" l="1"/>
  <c r="AL39" i="1"/>
  <c r="AN40" i="1" s="1"/>
  <c r="AP39" i="1"/>
  <c r="AO39" i="1"/>
  <c r="AQ39" i="1" s="1"/>
  <c r="BF37" i="1"/>
  <c r="AR38" i="1" l="1"/>
  <c r="BE38" i="1"/>
  <c r="BF38" i="1" s="1"/>
  <c r="AL40" i="1"/>
  <c r="AN41" i="1" s="1"/>
  <c r="AP40" i="1"/>
  <c r="AO40" i="1"/>
  <c r="AQ40" i="1" s="1"/>
  <c r="BE40" i="1" s="1"/>
  <c r="AR39" i="1"/>
  <c r="BE39" i="1"/>
  <c r="AR40" i="1" l="1"/>
  <c r="AL41" i="1"/>
  <c r="AN42" i="1" s="1"/>
  <c r="AP41" i="1"/>
  <c r="AO41" i="1"/>
  <c r="AQ41" i="1" s="1"/>
  <c r="BF39" i="1"/>
  <c r="BF40" i="1" s="1"/>
  <c r="AL42" i="1" l="1"/>
  <c r="AN43" i="1" s="1"/>
  <c r="AP42" i="1"/>
  <c r="AO42" i="1"/>
  <c r="AQ42" i="1" s="1"/>
  <c r="BE42" i="1" s="1"/>
  <c r="AR41" i="1"/>
  <c r="BE41" i="1"/>
  <c r="BF41" i="1" s="1"/>
  <c r="AR42" i="1" l="1"/>
  <c r="AL43" i="1"/>
  <c r="AN44" i="1" s="1"/>
  <c r="AP43" i="1"/>
  <c r="AO43" i="1"/>
  <c r="AQ43" i="1" s="1"/>
  <c r="BF42" i="1"/>
  <c r="AL44" i="1" l="1"/>
  <c r="AN45" i="1" s="1"/>
  <c r="AP44" i="1"/>
  <c r="AO44" i="1"/>
  <c r="AR43" i="1"/>
  <c r="BE43" i="1"/>
  <c r="BF43" i="1" s="1"/>
  <c r="AQ44" i="1" l="1"/>
  <c r="AL45" i="1"/>
  <c r="AN46" i="1" s="1"/>
  <c r="AP45" i="1"/>
  <c r="AO45" i="1"/>
  <c r="AR44" i="1" l="1"/>
  <c r="AR45" i="1" s="1"/>
  <c r="BE44" i="1"/>
  <c r="BF44" i="1" s="1"/>
  <c r="AQ45" i="1"/>
  <c r="AL46" i="1"/>
  <c r="AP46" i="1"/>
  <c r="AO46" i="1"/>
  <c r="BE45" i="1"/>
  <c r="BF45" i="1" l="1"/>
  <c r="AQ46" i="1"/>
  <c r="AQ15" i="1"/>
  <c r="AQ14" i="1"/>
  <c r="AQ16" i="1" l="1"/>
  <c r="AI1" i="1" s="1"/>
  <c r="AR46" i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9" i="1"/>
  <c r="BE46" i="1"/>
  <c r="BE14" i="1" l="1"/>
  <c r="BF46" i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5" i="1"/>
  <c r="BE16" i="1" s="1"/>
</calcChain>
</file>

<file path=xl/sharedStrings.xml><?xml version="1.0" encoding="utf-8"?>
<sst xmlns="http://schemas.openxmlformats.org/spreadsheetml/2006/main" count="74" uniqueCount="53">
  <si>
    <t>date</t>
  </si>
  <si>
    <t>BSCQ</t>
  </si>
  <si>
    <t>IBDR</t>
  </si>
  <si>
    <t>BSCQ log rtn</t>
  </si>
  <si>
    <t>IBDR log rtn</t>
  </si>
  <si>
    <t>BSCQ div</t>
  </si>
  <si>
    <t>BSCQ div cumsum</t>
  </si>
  <si>
    <t>IBDR div</t>
  </si>
  <si>
    <t>IBDR div cumsum</t>
  </si>
  <si>
    <t>BSCQ div adjustment</t>
  </si>
  <si>
    <t>IBDR div adjustment</t>
  </si>
  <si>
    <t>BSCQ*</t>
  </si>
  <si>
    <t>IBDR*</t>
  </si>
  <si>
    <t>IBDR/BSCQ</t>
  </si>
  <si>
    <t>IBDR/BSCQ avg</t>
  </si>
  <si>
    <t>IBDR/BSCQ 10 dma</t>
  </si>
  <si>
    <t>IBDR/BSCQ 20 dma</t>
  </si>
  <si>
    <t>BSCQ x avg</t>
  </si>
  <si>
    <t>BSCQ x 10 dma</t>
  </si>
  <si>
    <t>BSCQ x 20 dma</t>
  </si>
  <si>
    <t>log diff BSCQ x avg / IBDR</t>
  </si>
  <si>
    <t>log diff BSCQ x 10 dma / IBDR</t>
  </si>
  <si>
    <t>log diff BSCQ x 20 dma / IBDR</t>
  </si>
  <si>
    <t>IBDR*/BSCQ*</t>
  </si>
  <si>
    <t>IBDR*/BSCQ* avg</t>
  </si>
  <si>
    <t>IBDR*/BSCQ* 10 dma</t>
  </si>
  <si>
    <t>IBDR*/BSCQ* 20 dma</t>
  </si>
  <si>
    <t>BSCQ* x avg</t>
  </si>
  <si>
    <t>BSCQ* x 10 dma</t>
  </si>
  <si>
    <t>BSCQ* x 20 dma</t>
  </si>
  <si>
    <t>log diff BSCQ* x avg / IBDR*</t>
  </si>
  <si>
    <t>log diff BSCQ* x 10 dma / IBDR*</t>
  </si>
  <si>
    <t>log diff BSCQ* x 20 dma / IBDR*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</si>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</sst>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IBDR/BSCQ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1.2388993693114601</c:v>
                </c:pt>
                <c:pt idx="1">
                  <c:v>1.2388993693114601</c:v>
                </c:pt>
                <c:pt idx="2">
                  <c:v>1.2388993693114601</c:v>
                </c:pt>
                <c:pt idx="3">
                  <c:v>1.2388993693114601</c:v>
                </c:pt>
                <c:pt idx="4">
                  <c:v>1.2388993693114601</c:v>
                </c:pt>
                <c:pt idx="5">
                  <c:v>1.2388993693114601</c:v>
                </c:pt>
                <c:pt idx="6">
                  <c:v>1.2388993693114601</c:v>
                </c:pt>
                <c:pt idx="7">
                  <c:v>1.2388993693114601</c:v>
                </c:pt>
                <c:pt idx="8">
                  <c:v>1.2388993693114601</c:v>
                </c:pt>
                <c:pt idx="9">
                  <c:v>1.2388993693114601</c:v>
                </c:pt>
                <c:pt idx="10">
                  <c:v>1.2388993693114601</c:v>
                </c:pt>
                <c:pt idx="11">
                  <c:v>1.2388993693114601</c:v>
                </c:pt>
                <c:pt idx="12">
                  <c:v>1.2388993693114601</c:v>
                </c:pt>
                <c:pt idx="13">
                  <c:v>1.2388993693114601</c:v>
                </c:pt>
                <c:pt idx="14">
                  <c:v>1.2388993693114601</c:v>
                </c:pt>
                <c:pt idx="15">
                  <c:v>1.2388993693114601</c:v>
                </c:pt>
                <c:pt idx="16">
                  <c:v>1.2388993693114601</c:v>
                </c:pt>
                <c:pt idx="17">
                  <c:v>1.2388993693114601</c:v>
                </c:pt>
                <c:pt idx="18">
                  <c:v>1.2388993693114601</c:v>
                </c:pt>
                <c:pt idx="19">
                  <c:v>1.2388993693114601</c:v>
                </c:pt>
                <c:pt idx="20">
                  <c:v>1.2388993693114601</c:v>
                </c:pt>
                <c:pt idx="21">
                  <c:v>1.2388993693114601</c:v>
                </c:pt>
                <c:pt idx="22">
                  <c:v>1.2388993693114601</c:v>
                </c:pt>
                <c:pt idx="23">
                  <c:v>1.2388993693114601</c:v>
                </c:pt>
                <c:pt idx="24">
                  <c:v>1.2388993693114601</c:v>
                </c:pt>
                <c:pt idx="25">
                  <c:v>1.2388993693114601</c:v>
                </c:pt>
                <c:pt idx="26">
                  <c:v>1.2388993693114601</c:v>
                </c:pt>
                <c:pt idx="27">
                  <c:v>1.2388993693114601</c:v>
                </c:pt>
                <c:pt idx="28">
                  <c:v>1.2388993693114601</c:v>
                </c:pt>
                <c:pt idx="29">
                  <c:v>1.2388993693114601</c:v>
                </c:pt>
                <c:pt idx="30">
                  <c:v>1.2388993693114601</c:v>
                </c:pt>
                <c:pt idx="31">
                  <c:v>1.2388993693114601</c:v>
                </c:pt>
                <c:pt idx="32">
                  <c:v>1.2388993693114601</c:v>
                </c:pt>
                <c:pt idx="33">
                  <c:v>1.2388993693114601</c:v>
                </c:pt>
                <c:pt idx="34">
                  <c:v>1.2388993693114601</c:v>
                </c:pt>
                <c:pt idx="35">
                  <c:v>1.2388993693114601</c:v>
                </c:pt>
                <c:pt idx="36">
                  <c:v>1.2388993693114601</c:v>
                </c:pt>
                <c:pt idx="37">
                  <c:v>1.2388993693114601</c:v>
                </c:pt>
                <c:pt idx="38">
                  <c:v>1.2388993693114601</c:v>
                </c:pt>
                <c:pt idx="39">
                  <c:v>1.2388993693114601</c:v>
                </c:pt>
                <c:pt idx="40">
                  <c:v>1.2388993693114601</c:v>
                </c:pt>
                <c:pt idx="41">
                  <c:v>1.2388993693114601</c:v>
                </c:pt>
                <c:pt idx="42">
                  <c:v>1.2388993693114601</c:v>
                </c:pt>
                <c:pt idx="43">
                  <c:v>1.2388993693114601</c:v>
                </c:pt>
                <c:pt idx="44">
                  <c:v>1.2388993693114601</c:v>
                </c:pt>
                <c:pt idx="45">
                  <c:v>1.2388993693114601</c:v>
                </c:pt>
                <c:pt idx="46">
                  <c:v>1.2388993693114601</c:v>
                </c:pt>
                <c:pt idx="47">
                  <c:v>1.2388993693114601</c:v>
                </c:pt>
                <c:pt idx="48">
                  <c:v>1.2388993693114601</c:v>
                </c:pt>
                <c:pt idx="49">
                  <c:v>1.2388993693114601</c:v>
                </c:pt>
                <c:pt idx="50">
                  <c:v>1.2388993693114601</c:v>
                </c:pt>
                <c:pt idx="51">
                  <c:v>1.2388993693114601</c:v>
                </c:pt>
                <c:pt idx="52">
                  <c:v>1.2388993693114601</c:v>
                </c:pt>
                <c:pt idx="53">
                  <c:v>1.2388993693114601</c:v>
                </c:pt>
                <c:pt idx="54">
                  <c:v>1.2388993693114601</c:v>
                </c:pt>
                <c:pt idx="55">
                  <c:v>1.2388993693114601</c:v>
                </c:pt>
                <c:pt idx="56">
                  <c:v>1.2388993693114601</c:v>
                </c:pt>
                <c:pt idx="57">
                  <c:v>1.2388993693114601</c:v>
                </c:pt>
                <c:pt idx="58">
                  <c:v>1.2388993693114601</c:v>
                </c:pt>
                <c:pt idx="59">
                  <c:v>1.2388993693114601</c:v>
                </c:pt>
                <c:pt idx="60">
                  <c:v>1.2388993693114601</c:v>
                </c:pt>
                <c:pt idx="61">
                  <c:v>1.2388993693114601</c:v>
                </c:pt>
                <c:pt idx="62">
                  <c:v>1.2388993693114601</c:v>
                </c:pt>
                <c:pt idx="63">
                  <c:v>1.2388993693114601</c:v>
                </c:pt>
                <c:pt idx="64">
                  <c:v>1.2388993693114601</c:v>
                </c:pt>
                <c:pt idx="65">
                  <c:v>1.2388993693114601</c:v>
                </c:pt>
                <c:pt idx="66">
                  <c:v>1.2388993693114601</c:v>
                </c:pt>
                <c:pt idx="67">
                  <c:v>1.2388993693114601</c:v>
                </c:pt>
                <c:pt idx="68">
                  <c:v>1.2388993693114601</c:v>
                </c:pt>
                <c:pt idx="69">
                  <c:v>1.2388993693114601</c:v>
                </c:pt>
                <c:pt idx="70">
                  <c:v>1.2388993693114601</c:v>
                </c:pt>
                <c:pt idx="71">
                  <c:v>1.2388993693114601</c:v>
                </c:pt>
                <c:pt idx="72">
                  <c:v>1.2388993693114601</c:v>
                </c:pt>
                <c:pt idx="73">
                  <c:v>1.2388993693114601</c:v>
                </c:pt>
                <c:pt idx="74">
                  <c:v>1.2388993693114601</c:v>
                </c:pt>
                <c:pt idx="75">
                  <c:v>1.2388993693114601</c:v>
                </c:pt>
                <c:pt idx="76">
                  <c:v>1.2388993693114601</c:v>
                </c:pt>
                <c:pt idx="77">
                  <c:v>1.2388993693114601</c:v>
                </c:pt>
                <c:pt idx="78">
                  <c:v>1.2388993693114601</c:v>
                </c:pt>
                <c:pt idx="79">
                  <c:v>1.2388993693114601</c:v>
                </c:pt>
                <c:pt idx="80">
                  <c:v>1.2388993693114601</c:v>
                </c:pt>
                <c:pt idx="81">
                  <c:v>1.2388993693114601</c:v>
                </c:pt>
                <c:pt idx="82">
                  <c:v>1.2388993693114601</c:v>
                </c:pt>
                <c:pt idx="83">
                  <c:v>1.2388993693114601</c:v>
                </c:pt>
                <c:pt idx="84">
                  <c:v>1.2388993693114601</c:v>
                </c:pt>
                <c:pt idx="85">
                  <c:v>1.2388993693114601</c:v>
                </c:pt>
                <c:pt idx="86">
                  <c:v>1.2388993693114601</c:v>
                </c:pt>
                <c:pt idx="87">
                  <c:v>1.2388993693114601</c:v>
                </c:pt>
                <c:pt idx="88">
                  <c:v>1.2388993693114601</c:v>
                </c:pt>
                <c:pt idx="89">
                  <c:v>1.2388993693114601</c:v>
                </c:pt>
                <c:pt idx="90">
                  <c:v>1.2388993693114601</c:v>
                </c:pt>
                <c:pt idx="91">
                  <c:v>1.2388993693114601</c:v>
                </c:pt>
                <c:pt idx="92">
                  <c:v>1.2388993693114601</c:v>
                </c:pt>
                <c:pt idx="93">
                  <c:v>1.2388993693114601</c:v>
                </c:pt>
                <c:pt idx="94">
                  <c:v>1.2388993693114601</c:v>
                </c:pt>
                <c:pt idx="95">
                  <c:v>1.2388993693114601</c:v>
                </c:pt>
                <c:pt idx="96">
                  <c:v>1.2388993693114601</c:v>
                </c:pt>
                <c:pt idx="97">
                  <c:v>1.2388993693114601</c:v>
                </c:pt>
                <c:pt idx="98">
                  <c:v>1.2388993693114601</c:v>
                </c:pt>
                <c:pt idx="99">
                  <c:v>1.2388993693114601</c:v>
                </c:pt>
                <c:pt idx="100">
                  <c:v>1.2388993693114601</c:v>
                </c:pt>
                <c:pt idx="101">
                  <c:v>1.2388993693114601</c:v>
                </c:pt>
                <c:pt idx="102">
                  <c:v>1.2388993693114601</c:v>
                </c:pt>
                <c:pt idx="103">
                  <c:v>1.2388993693114601</c:v>
                </c:pt>
                <c:pt idx="104">
                  <c:v>1.2388993693114601</c:v>
                </c:pt>
                <c:pt idx="105">
                  <c:v>1.2388993693114601</c:v>
                </c:pt>
                <c:pt idx="106">
                  <c:v>1.2388993693114601</c:v>
                </c:pt>
                <c:pt idx="107">
                  <c:v>1.2388993693114601</c:v>
                </c:pt>
                <c:pt idx="108">
                  <c:v>1.2388993693114601</c:v>
                </c:pt>
                <c:pt idx="109">
                  <c:v>1.2388993693114601</c:v>
                </c:pt>
                <c:pt idx="110">
                  <c:v>1.2388993693114601</c:v>
                </c:pt>
                <c:pt idx="111">
                  <c:v>1.2388993693114601</c:v>
                </c:pt>
                <c:pt idx="112">
                  <c:v>1.2388993693114601</c:v>
                </c:pt>
                <c:pt idx="113">
                  <c:v>1.2388993693114601</c:v>
                </c:pt>
                <c:pt idx="114">
                  <c:v>1.2388993693114601</c:v>
                </c:pt>
                <c:pt idx="115">
                  <c:v>1.2388993693114601</c:v>
                </c:pt>
                <c:pt idx="116">
                  <c:v>1.2388993693114601</c:v>
                </c:pt>
                <c:pt idx="117">
                  <c:v>1.2388993693114601</c:v>
                </c:pt>
                <c:pt idx="118">
                  <c:v>1.2388993693114601</c:v>
                </c:pt>
                <c:pt idx="119">
                  <c:v>1.2388993693114601</c:v>
                </c:pt>
                <c:pt idx="120">
                  <c:v>1.2388993693114601</c:v>
                </c:pt>
                <c:pt idx="121">
                  <c:v>1.2388993693114601</c:v>
                </c:pt>
                <c:pt idx="122">
                  <c:v>1.2388993693114601</c:v>
                </c:pt>
                <c:pt idx="123">
                  <c:v>1.2388993693114601</c:v>
                </c:pt>
                <c:pt idx="124">
                  <c:v>1.2388993693114601</c:v>
                </c:pt>
                <c:pt idx="125">
                  <c:v>1.2388993693114601</c:v>
                </c:pt>
                <c:pt idx="126">
                  <c:v>1.2388993693114601</c:v>
                </c:pt>
                <c:pt idx="127">
                  <c:v>1.2388993693114601</c:v>
                </c:pt>
                <c:pt idx="128">
                  <c:v>1.2388993693114601</c:v>
                </c:pt>
                <c:pt idx="129">
                  <c:v>1.2388993693114601</c:v>
                </c:pt>
                <c:pt idx="130">
                  <c:v>1.2388993693114601</c:v>
                </c:pt>
                <c:pt idx="131">
                  <c:v>1.2388993693114601</c:v>
                </c:pt>
                <c:pt idx="132">
                  <c:v>1.2388993693114601</c:v>
                </c:pt>
                <c:pt idx="133">
                  <c:v>1.2388993693114601</c:v>
                </c:pt>
                <c:pt idx="134">
                  <c:v>1.2388993693114601</c:v>
                </c:pt>
                <c:pt idx="135">
                  <c:v>1.2388993693114601</c:v>
                </c:pt>
                <c:pt idx="136">
                  <c:v>1.2388993693114601</c:v>
                </c:pt>
                <c:pt idx="137">
                  <c:v>1.2388993693114601</c:v>
                </c:pt>
                <c:pt idx="138">
                  <c:v>1.2388993693114601</c:v>
                </c:pt>
                <c:pt idx="139">
                  <c:v>1.2388993693114601</c:v>
                </c:pt>
                <c:pt idx="140">
                  <c:v>1.2388993693114601</c:v>
                </c:pt>
                <c:pt idx="141">
                  <c:v>1.2388993693114601</c:v>
                </c:pt>
                <c:pt idx="142">
                  <c:v>1.2388993693114601</c:v>
                </c:pt>
                <c:pt idx="143">
                  <c:v>1.2388993693114601</c:v>
                </c:pt>
                <c:pt idx="144">
                  <c:v>1.2388993693114601</c:v>
                </c:pt>
                <c:pt idx="145">
                  <c:v>1.2388993693114601</c:v>
                </c:pt>
                <c:pt idx="146">
                  <c:v>1.2388993693114601</c:v>
                </c:pt>
                <c:pt idx="147">
                  <c:v>1.2388993693114601</c:v>
                </c:pt>
                <c:pt idx="148">
                  <c:v>1.2388993693114601</c:v>
                </c:pt>
                <c:pt idx="149">
                  <c:v>1.2388993693114601</c:v>
                </c:pt>
                <c:pt idx="150">
                  <c:v>1.2388993693114601</c:v>
                </c:pt>
                <c:pt idx="151">
                  <c:v>1.2388993693114601</c:v>
                </c:pt>
                <c:pt idx="152">
                  <c:v>1.2388993693114601</c:v>
                </c:pt>
                <c:pt idx="153">
                  <c:v>1.2388993693114601</c:v>
                </c:pt>
                <c:pt idx="154">
                  <c:v>1.2388993693114601</c:v>
                </c:pt>
                <c:pt idx="155">
                  <c:v>1.2388993693114601</c:v>
                </c:pt>
                <c:pt idx="156">
                  <c:v>1.2388993693114601</c:v>
                </c:pt>
                <c:pt idx="157">
                  <c:v>1.2388993693114601</c:v>
                </c:pt>
                <c:pt idx="158">
                  <c:v>1.2388993693114601</c:v>
                </c:pt>
                <c:pt idx="159">
                  <c:v>1.2388993693114601</c:v>
                </c:pt>
                <c:pt idx="160">
                  <c:v>1.2388993693114601</c:v>
                </c:pt>
                <c:pt idx="161">
                  <c:v>1.2388993693114601</c:v>
                </c:pt>
                <c:pt idx="162">
                  <c:v>1.2388993693114601</c:v>
                </c:pt>
                <c:pt idx="163">
                  <c:v>1.2388993693114601</c:v>
                </c:pt>
                <c:pt idx="164">
                  <c:v>1.2388993693114601</c:v>
                </c:pt>
                <c:pt idx="165">
                  <c:v>1.2388993693114601</c:v>
                </c:pt>
                <c:pt idx="166">
                  <c:v>1.2388993693114601</c:v>
                </c:pt>
                <c:pt idx="167">
                  <c:v>1.2388993693114601</c:v>
                </c:pt>
                <c:pt idx="168">
                  <c:v>1.2388993693114601</c:v>
                </c:pt>
                <c:pt idx="169">
                  <c:v>1.2388993693114601</c:v>
                </c:pt>
                <c:pt idx="170">
                  <c:v>1.2388993693114601</c:v>
                </c:pt>
                <c:pt idx="171">
                  <c:v>1.2388993693114601</c:v>
                </c:pt>
                <c:pt idx="172">
                  <c:v>1.2388993693114601</c:v>
                </c:pt>
                <c:pt idx="173">
                  <c:v>1.2388993693114601</c:v>
                </c:pt>
                <c:pt idx="174">
                  <c:v>1.2388993693114601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E-415D-A1A8-2922BFFFE08F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IBDR/BSCQ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1.2376041055824401</c:v>
                </c:pt>
                <c:pt idx="10">
                  <c:v>1.2375045401422</c:v>
                </c:pt>
                <c:pt idx="11">
                  <c:v>1.2378602181835201</c:v>
                </c:pt>
                <c:pt idx="12">
                  <c:v>1.2383306450222</c:v>
                </c:pt>
                <c:pt idx="13">
                  <c:v>1.2386739934465301</c:v>
                </c:pt>
                <c:pt idx="14">
                  <c:v>1.2390684927659901</c:v>
                </c:pt>
                <c:pt idx="15">
                  <c:v>1.2394629920854601</c:v>
                </c:pt>
                <c:pt idx="16">
                  <c:v>1.2398575697770899</c:v>
                </c:pt>
                <c:pt idx="17">
                  <c:v>1.2402641919771999</c:v>
                </c:pt>
                <c:pt idx="18">
                  <c:v>1.24068292468768</c:v>
                </c:pt>
                <c:pt idx="19">
                  <c:v>1.24108965133066</c:v>
                </c:pt>
                <c:pt idx="20">
                  <c:v>1.24103592090989</c:v>
                </c:pt>
                <c:pt idx="21">
                  <c:v>1.2407045258166101</c:v>
                </c:pt>
                <c:pt idx="22">
                  <c:v>1.24013195393197</c:v>
                </c:pt>
                <c:pt idx="23">
                  <c:v>1.2397496421572001</c:v>
                </c:pt>
                <c:pt idx="24">
                  <c:v>1.2393551428377301</c:v>
                </c:pt>
                <c:pt idx="25">
                  <c:v>1.2390117160412499</c:v>
                </c:pt>
                <c:pt idx="26">
                  <c:v>1.23856606582664</c:v>
                </c:pt>
                <c:pt idx="27">
                  <c:v>1.23817156650717</c:v>
                </c:pt>
                <c:pt idx="28">
                  <c:v>1.2377770671877</c:v>
                </c:pt>
                <c:pt idx="29">
                  <c:v>1.23731929409244</c:v>
                </c:pt>
                <c:pt idx="30">
                  <c:v>1.23744827963485</c:v>
                </c:pt>
                <c:pt idx="31">
                  <c:v>1.2373997632958</c:v>
                </c:pt>
                <c:pt idx="32">
                  <c:v>1.2374776749507499</c:v>
                </c:pt>
                <c:pt idx="33">
                  <c:v>1.2375434253183499</c:v>
                </c:pt>
                <c:pt idx="34">
                  <c:v>1.23800145750502</c:v>
                </c:pt>
                <c:pt idx="35">
                  <c:v>1.2383448843015099</c:v>
                </c:pt>
                <c:pt idx="36">
                  <c:v>1.2387517394155001</c:v>
                </c:pt>
                <c:pt idx="37">
                  <c:v>1.2391585945295001</c:v>
                </c:pt>
                <c:pt idx="38">
                  <c:v>1.2395530938489701</c:v>
                </c:pt>
                <c:pt idx="39">
                  <c:v>1.2395505088879599</c:v>
                </c:pt>
                <c:pt idx="40">
                  <c:v>1.23956020092163</c:v>
                </c:pt>
                <c:pt idx="41">
                  <c:v>1.23963304991793</c:v>
                </c:pt>
                <c:pt idx="42">
                  <c:v>1.23964257546728</c:v>
                </c:pt>
                <c:pt idx="43">
                  <c:v>1.23970338239875</c:v>
                </c:pt>
                <c:pt idx="44">
                  <c:v>1.2392063868616401</c:v>
                </c:pt>
                <c:pt idx="45">
                  <c:v>1.23878504574584</c:v>
                </c:pt>
                <c:pt idx="46">
                  <c:v>1.2384146336853299</c:v>
                </c:pt>
                <c:pt idx="47">
                  <c:v>1.23799307072967</c:v>
                </c:pt>
                <c:pt idx="48">
                  <c:v>1.23750850943943</c:v>
                </c:pt>
                <c:pt idx="49">
                  <c:v>1.2374963754847501</c:v>
                </c:pt>
                <c:pt idx="50">
                  <c:v>1.23735769790868</c:v>
                </c:pt>
                <c:pt idx="51">
                  <c:v>1.23727011895294</c:v>
                </c:pt>
                <c:pt idx="52">
                  <c:v>1.2372579849982599</c:v>
                </c:pt>
                <c:pt idx="53">
                  <c:v>1.2371314276992</c:v>
                </c:pt>
                <c:pt idx="54">
                  <c:v>1.23762679606784</c:v>
                </c:pt>
                <c:pt idx="55">
                  <c:v>1.2381100428823799</c:v>
                </c:pt>
                <c:pt idx="56">
                  <c:v>1.2385300048471</c:v>
                </c:pt>
                <c:pt idx="57">
                  <c:v>1.23900111770696</c:v>
                </c:pt>
                <c:pt idx="58">
                  <c:v>1.2394715548514701</c:v>
                </c:pt>
                <c:pt idx="59">
                  <c:v>1.2399423951420601</c:v>
                </c:pt>
                <c:pt idx="60">
                  <c:v>1.2404004773974999</c:v>
                </c:pt>
                <c:pt idx="61">
                  <c:v>1.2404612093642899</c:v>
                </c:pt>
                <c:pt idx="62">
                  <c:v>1.2404343126205799</c:v>
                </c:pt>
                <c:pt idx="63">
                  <c:v>1.2404195374309701</c:v>
                </c:pt>
                <c:pt idx="64">
                  <c:v>1.23984612278083</c:v>
                </c:pt>
                <c:pt idx="65">
                  <c:v>1.23943833336792</c:v>
                </c:pt>
                <c:pt idx="66">
                  <c:v>1.23896722050806</c:v>
                </c:pt>
                <c:pt idx="67">
                  <c:v>1.2385472585433399</c:v>
                </c:pt>
                <c:pt idx="68">
                  <c:v>1.2381279200191699</c:v>
                </c:pt>
                <c:pt idx="69">
                  <c:v>1.23759385955413</c:v>
                </c:pt>
                <c:pt idx="70">
                  <c:v>1.23713577729869</c:v>
                </c:pt>
                <c:pt idx="71">
                  <c:v>1.2370871668860099</c:v>
                </c:pt>
                <c:pt idx="72">
                  <c:v>1.23710194207562</c:v>
                </c:pt>
                <c:pt idx="73">
                  <c:v>1.23754842334365</c:v>
                </c:pt>
                <c:pt idx="74">
                  <c:v>1.23804580814932</c:v>
                </c:pt>
                <c:pt idx="75">
                  <c:v>1.23837756771776</c:v>
                </c:pt>
                <c:pt idx="76">
                  <c:v>1.23888752981995</c:v>
                </c:pt>
                <c:pt idx="77">
                  <c:v>1.2393339209565899</c:v>
                </c:pt>
                <c:pt idx="78">
                  <c:v>1.2398557184971499</c:v>
                </c:pt>
                <c:pt idx="79">
                  <c:v>1.2404286146580601</c:v>
                </c:pt>
                <c:pt idx="80">
                  <c:v>1.2408743546701599</c:v>
                </c:pt>
                <c:pt idx="81">
                  <c:v>1.2413716233051699</c:v>
                </c:pt>
                <c:pt idx="82">
                  <c:v>1.24140802518823</c:v>
                </c:pt>
                <c:pt idx="83">
                  <c:v>1.2410005746185899</c:v>
                </c:pt>
                <c:pt idx="84">
                  <c:v>1.2406054916032001</c:v>
                </c:pt>
                <c:pt idx="85">
                  <c:v>1.2402104085878101</c:v>
                </c:pt>
                <c:pt idx="86">
                  <c:v>1.23975159738076</c:v>
                </c:pt>
                <c:pt idx="87">
                  <c:v>1.2393052062441201</c:v>
                </c:pt>
                <c:pt idx="88">
                  <c:v>1.2389099660026199</c:v>
                </c:pt>
                <c:pt idx="89">
                  <c:v>1.2384002900161599</c:v>
                </c:pt>
                <c:pt idx="90">
                  <c:v>1.2380056486244</c:v>
                </c:pt>
                <c:pt idx="91">
                  <c:v>1.23755950473377</c:v>
                </c:pt>
                <c:pt idx="92">
                  <c:v>1.23745992115518</c:v>
                </c:pt>
                <c:pt idx="93">
                  <c:v>1.2378161159585499</c:v>
                </c:pt>
                <c:pt idx="94">
                  <c:v>1.2382872288184099</c:v>
                </c:pt>
                <c:pt idx="95">
                  <c:v>1.2387583416782699</c:v>
                </c:pt>
                <c:pt idx="96">
                  <c:v>1.2391146413527701</c:v>
                </c:pt>
                <c:pt idx="97">
                  <c:v>1.2395098029812199</c:v>
                </c:pt>
                <c:pt idx="98">
                  <c:v>1.2397390260402401</c:v>
                </c:pt>
                <c:pt idx="99">
                  <c:v>1.24013388812123</c:v>
                </c:pt>
                <c:pt idx="100">
                  <c:v>1.2405920750333399</c:v>
                </c:pt>
                <c:pt idx="101">
                  <c:v>1.24098701564696</c:v>
                </c:pt>
                <c:pt idx="102">
                  <c:v>1.2411499613155199</c:v>
                </c:pt>
                <c:pt idx="103">
                  <c:v>1.2408692749764101</c:v>
                </c:pt>
                <c:pt idx="104">
                  <c:v>1.2402958603262599</c:v>
                </c:pt>
                <c:pt idx="105">
                  <c:v>1.23977359657126</c:v>
                </c:pt>
                <c:pt idx="106">
                  <c:v>1.2393661460016201</c:v>
                </c:pt>
                <c:pt idx="107">
                  <c:v>1.23897098437317</c:v>
                </c:pt>
                <c:pt idx="108">
                  <c:v>1.2386906104190101</c:v>
                </c:pt>
                <c:pt idx="109">
                  <c:v>1.23835903318784</c:v>
                </c:pt>
                <c:pt idx="110">
                  <c:v>1.23786184308546</c:v>
                </c:pt>
                <c:pt idx="111">
                  <c:v>1.23753021347242</c:v>
                </c:pt>
                <c:pt idx="112">
                  <c:v>1.2374936957978699</c:v>
                </c:pt>
                <c:pt idx="113">
                  <c:v>1.2373939318248299</c:v>
                </c:pt>
                <c:pt idx="114">
                  <c:v>1.23742087948599</c:v>
                </c:pt>
                <c:pt idx="115">
                  <c:v>1.23749887349268</c:v>
                </c:pt>
                <c:pt idx="116">
                  <c:v>1.23796998635254</c:v>
                </c:pt>
                <c:pt idx="117">
                  <c:v>1.2384412303685399</c:v>
                </c:pt>
                <c:pt idx="118">
                  <c:v>1.23886119233326</c:v>
                </c:pt>
                <c:pt idx="119">
                  <c:v>1.23915389494531</c:v>
                </c:pt>
                <c:pt idx="120">
                  <c:v>1.23954867849367</c:v>
                </c:pt>
                <c:pt idx="121">
                  <c:v>1.23977790155269</c:v>
                </c:pt>
                <c:pt idx="122">
                  <c:v>1.24007043561229</c:v>
                </c:pt>
                <c:pt idx="123">
                  <c:v>1.24006779303131</c:v>
                </c:pt>
                <c:pt idx="124">
                  <c:v>1.24015529353471</c:v>
                </c:pt>
                <c:pt idx="125">
                  <c:v>1.24008941972477</c:v>
                </c:pt>
                <c:pt idx="126">
                  <c:v>1.2396938153291699</c:v>
                </c:pt>
                <c:pt idx="127">
                  <c:v>1.2391835667923099</c:v>
                </c:pt>
                <c:pt idx="128">
                  <c:v>1.2387636048275901</c:v>
                </c:pt>
                <c:pt idx="129">
                  <c:v>1.2384197513204001</c:v>
                </c:pt>
                <c:pt idx="130">
                  <c:v>1.23808822647109</c:v>
                </c:pt>
                <c:pt idx="131">
                  <c:v>1.2377567016217901</c:v>
                </c:pt>
                <c:pt idx="132">
                  <c:v>1.2375274785627699</c:v>
                </c:pt>
                <c:pt idx="133">
                  <c:v>1.2376055275476701</c:v>
                </c:pt>
                <c:pt idx="134">
                  <c:v>1.2376202242849399</c:v>
                </c:pt>
                <c:pt idx="135">
                  <c:v>1.23801544978671</c:v>
                </c:pt>
                <c:pt idx="136">
                  <c:v>1.23835977213103</c:v>
                </c:pt>
                <c:pt idx="137">
                  <c:v>1.2388187386166101</c:v>
                </c:pt>
                <c:pt idx="138">
                  <c:v>1.23918741853004</c:v>
                </c:pt>
                <c:pt idx="139">
                  <c:v>1.23953127203723</c:v>
                </c:pt>
                <c:pt idx="140">
                  <c:v>1.2399263550526201</c:v>
                </c:pt>
                <c:pt idx="141">
                  <c:v>1.2403726675762099</c:v>
                </c:pt>
                <c:pt idx="142">
                  <c:v>1.24078032788812</c:v>
                </c:pt>
                <c:pt idx="143">
                  <c:v>1.2411631083963</c:v>
                </c:pt>
                <c:pt idx="144">
                  <c:v>1.24151899341106</c:v>
                </c:pt>
                <c:pt idx="145">
                  <c:v>1.2411237679092999</c:v>
                </c:pt>
                <c:pt idx="146">
                  <c:v>1.2406649064023301</c:v>
                </c:pt>
                <c:pt idx="147">
                  <c:v>1.2401547628440801</c:v>
                </c:pt>
                <c:pt idx="148">
                  <c:v>1.2397470784097799</c:v>
                </c:pt>
                <c:pt idx="149">
                  <c:v>1.2394032249025899</c:v>
                </c:pt>
                <c:pt idx="150">
                  <c:v>1.23902028826149</c:v>
                </c:pt>
                <c:pt idx="151">
                  <c:v>1.23852282484276</c:v>
                </c:pt>
                <c:pt idx="152">
                  <c:v>1.2380640136357099</c:v>
                </c:pt>
                <c:pt idx="153">
                  <c:v>1.23763008223239</c:v>
                </c:pt>
                <c:pt idx="154">
                  <c:v>1.23729850500121</c:v>
                </c:pt>
                <c:pt idx="155">
                  <c:v>1.23732540174493</c:v>
                </c:pt>
                <c:pt idx="156">
                  <c:v>1.23740342323302</c:v>
                </c:pt>
                <c:pt idx="157">
                  <c:v>1.23741819842262</c:v>
                </c:pt>
                <c:pt idx="158">
                  <c:v>1.2374450428380399</c:v>
                </c:pt>
                <c:pt idx="159">
                  <c:v>1.23752298456993</c:v>
                </c:pt>
                <c:pt idx="160">
                  <c:v>1.2379182887653</c:v>
                </c:pt>
                <c:pt idx="161">
                  <c:v>1.23836452267583</c:v>
                </c:pt>
                <c:pt idx="162">
                  <c:v>1.2386448966299901</c:v>
                </c:pt>
                <c:pt idx="163">
                  <c:v>1.23909120915358</c:v>
                </c:pt>
                <c:pt idx="164">
                  <c:v>1.23942278638475</c:v>
                </c:pt>
                <c:pt idx="165">
                  <c:v>1.2398688517427501</c:v>
                </c:pt>
                <c:pt idx="166">
                  <c:v>1.2398663374110599</c:v>
                </c:pt>
                <c:pt idx="167">
                  <c:v>1.23991489810709</c:v>
                </c:pt>
                <c:pt idx="168">
                  <c:v>1.2399002125046299</c:v>
                </c:pt>
                <c:pt idx="169">
                  <c:v>1.23978324007435</c:v>
                </c:pt>
                <c:pt idx="170">
                  <c:v>1.23943911295166</c:v>
                </c:pt>
                <c:pt idx="171">
                  <c:v>1.23910735338322</c:v>
                </c:pt>
                <c:pt idx="172">
                  <c:v>1.2387758285339201</c:v>
                </c:pt>
                <c:pt idx="173">
                  <c:v>1.23832951601033</c:v>
                </c:pt>
                <c:pt idx="174">
                  <c:v>1.23794678788402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E-415D-A1A8-2922BFFFE08F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IBDR/BSCQ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1.23934687845655</c:v>
                </c:pt>
                <c:pt idx="20">
                  <c:v>1.2392702305260399</c:v>
                </c:pt>
                <c:pt idx="21">
                  <c:v>1.2392823720000701</c:v>
                </c:pt>
                <c:pt idx="22">
                  <c:v>1.23923129947708</c:v>
                </c:pt>
                <c:pt idx="23">
                  <c:v>1.2392118178018601</c:v>
                </c:pt>
                <c:pt idx="24">
                  <c:v>1.2392118178018601</c:v>
                </c:pt>
                <c:pt idx="25">
                  <c:v>1.2392373540633499</c:v>
                </c:pt>
                <c:pt idx="26">
                  <c:v>1.2392118178018601</c:v>
                </c:pt>
                <c:pt idx="27">
                  <c:v>1.23921787924219</c:v>
                </c:pt>
                <c:pt idx="28">
                  <c:v>1.23922999593769</c:v>
                </c:pt>
                <c:pt idx="29">
                  <c:v>1.2392044727115501</c:v>
                </c:pt>
                <c:pt idx="30">
                  <c:v>1.2392421002723699</c:v>
                </c:pt>
                <c:pt idx="31">
                  <c:v>1.2390521445561999</c:v>
                </c:pt>
                <c:pt idx="32">
                  <c:v>1.2388048144413599</c:v>
                </c:pt>
                <c:pt idx="33">
                  <c:v>1.2386465337377801</c:v>
                </c:pt>
                <c:pt idx="34">
                  <c:v>1.2386783001713799</c:v>
                </c:pt>
                <c:pt idx="35">
                  <c:v>1.2386783001713799</c:v>
                </c:pt>
                <c:pt idx="36">
                  <c:v>1.2386589026210699</c:v>
                </c:pt>
                <c:pt idx="37">
                  <c:v>1.2386650805183299</c:v>
                </c:pt>
                <c:pt idx="38">
                  <c:v>1.2386650805183299</c:v>
                </c:pt>
                <c:pt idx="39">
                  <c:v>1.2384349014902001</c:v>
                </c:pt>
                <c:pt idx="40">
                  <c:v>1.23850424027824</c:v>
                </c:pt>
                <c:pt idx="41">
                  <c:v>1.2385164066068599</c:v>
                </c:pt>
                <c:pt idx="42">
                  <c:v>1.2385601252090199</c:v>
                </c:pt>
                <c:pt idx="43">
                  <c:v>1.23862340385855</c:v>
                </c:pt>
                <c:pt idx="44">
                  <c:v>1.23860392218333</c:v>
                </c:pt>
                <c:pt idx="45">
                  <c:v>1.2385649650236701</c:v>
                </c:pt>
                <c:pt idx="46">
                  <c:v>1.23858318655041</c:v>
                </c:pt>
                <c:pt idx="47">
                  <c:v>1.2385758326295899</c:v>
                </c:pt>
                <c:pt idx="48">
                  <c:v>1.2385308016442</c:v>
                </c:pt>
                <c:pt idx="49">
                  <c:v>1.23852344218635</c:v>
                </c:pt>
                <c:pt idx="50">
                  <c:v>1.2384589494151499</c:v>
                </c:pt>
                <c:pt idx="51">
                  <c:v>1.23845158443543</c:v>
                </c:pt>
                <c:pt idx="52">
                  <c:v>1.2384502802327699</c:v>
                </c:pt>
                <c:pt idx="53">
                  <c:v>1.23841740504897</c:v>
                </c:pt>
                <c:pt idx="54">
                  <c:v>1.23841659146474</c:v>
                </c:pt>
                <c:pt idx="55">
                  <c:v>1.2384475443141101</c:v>
                </c:pt>
                <c:pt idx="56">
                  <c:v>1.2384723192662099</c:v>
                </c:pt>
                <c:pt idx="57">
                  <c:v>1.23849709421832</c:v>
                </c:pt>
                <c:pt idx="58">
                  <c:v>1.2384900321454499</c:v>
                </c:pt>
                <c:pt idx="59">
                  <c:v>1.23871938531341</c:v>
                </c:pt>
                <c:pt idx="60">
                  <c:v>1.23887908765309</c:v>
                </c:pt>
                <c:pt idx="61">
                  <c:v>1.23886566415862</c:v>
                </c:pt>
                <c:pt idx="62">
                  <c:v>1.23884614880942</c:v>
                </c:pt>
                <c:pt idx="63">
                  <c:v>1.2387754825650801</c:v>
                </c:pt>
                <c:pt idx="64">
                  <c:v>1.23873645942434</c:v>
                </c:pt>
                <c:pt idx="65">
                  <c:v>1.2387741881251499</c:v>
                </c:pt>
                <c:pt idx="66">
                  <c:v>1.23874861267758</c:v>
                </c:pt>
                <c:pt idx="67">
                  <c:v>1.2387741881251499</c:v>
                </c:pt>
                <c:pt idx="68">
                  <c:v>1.2387997374353199</c:v>
                </c:pt>
                <c:pt idx="69">
                  <c:v>1.2387681273480999</c:v>
                </c:pt>
                <c:pt idx="70">
                  <c:v>1.2387681273480999</c:v>
                </c:pt>
                <c:pt idx="71">
                  <c:v>1.2387741881251499</c:v>
                </c:pt>
                <c:pt idx="72">
                  <c:v>1.2387681273480999</c:v>
                </c:pt>
                <c:pt idx="73">
                  <c:v>1.2389839803873099</c:v>
                </c:pt>
                <c:pt idx="74">
                  <c:v>1.2389459654650801</c:v>
                </c:pt>
                <c:pt idx="75">
                  <c:v>1.23890795054284</c:v>
                </c:pt>
                <c:pt idx="76">
                  <c:v>1.23892737516401</c:v>
                </c:pt>
                <c:pt idx="77">
                  <c:v>1.2389405897499699</c:v>
                </c:pt>
                <c:pt idx="78">
                  <c:v>1.2389918192581599</c:v>
                </c:pt>
                <c:pt idx="79">
                  <c:v>1.23901123710609</c:v>
                </c:pt>
                <c:pt idx="80">
                  <c:v>1.2390050659844301</c:v>
                </c:pt>
                <c:pt idx="81">
                  <c:v>1.2392293950955899</c:v>
                </c:pt>
                <c:pt idx="82">
                  <c:v>1.23925498363192</c:v>
                </c:pt>
                <c:pt idx="83">
                  <c:v>1.23927449898112</c:v>
                </c:pt>
                <c:pt idx="84">
                  <c:v>1.2393256498762599</c:v>
                </c:pt>
                <c:pt idx="85">
                  <c:v>1.23929398815278</c:v>
                </c:pt>
                <c:pt idx="86">
                  <c:v>1.23931956360035</c:v>
                </c:pt>
                <c:pt idx="87">
                  <c:v>1.23931956360035</c:v>
                </c:pt>
                <c:pt idx="88">
                  <c:v>1.23938284224989</c:v>
                </c:pt>
                <c:pt idx="89">
                  <c:v>1.23941445233711</c:v>
                </c:pt>
                <c:pt idx="90">
                  <c:v>1.23944000164728</c:v>
                </c:pt>
                <c:pt idx="91">
                  <c:v>1.2394655640194701</c:v>
                </c:pt>
                <c:pt idx="92">
                  <c:v>1.2394339731716999</c:v>
                </c:pt>
                <c:pt idx="93">
                  <c:v>1.23940834528857</c:v>
                </c:pt>
                <c:pt idx="94">
                  <c:v>1.2394463602107999</c:v>
                </c:pt>
                <c:pt idx="95">
                  <c:v>1.23948437513304</c:v>
                </c:pt>
                <c:pt idx="96">
                  <c:v>1.23943311936677</c:v>
                </c:pt>
                <c:pt idx="97">
                  <c:v>1.23940750461267</c:v>
                </c:pt>
                <c:pt idx="98">
                  <c:v>1.23932449602143</c:v>
                </c:pt>
                <c:pt idx="99">
                  <c:v>1.2392670890687001</c:v>
                </c:pt>
                <c:pt idx="100">
                  <c:v>1.2392988618288701</c:v>
                </c:pt>
                <c:pt idx="101">
                  <c:v>1.23927326019036</c:v>
                </c:pt>
                <c:pt idx="102">
                  <c:v>1.2393049412353501</c:v>
                </c:pt>
                <c:pt idx="103">
                  <c:v>1.23934269546748</c:v>
                </c:pt>
                <c:pt idx="104">
                  <c:v>1.23929154457234</c:v>
                </c:pt>
                <c:pt idx="105">
                  <c:v>1.2392659691247701</c:v>
                </c:pt>
                <c:pt idx="106">
                  <c:v>1.2392403936772001</c:v>
                </c:pt>
                <c:pt idx="107">
                  <c:v>1.2392403936772001</c:v>
                </c:pt>
                <c:pt idx="108">
                  <c:v>1.2392148182296301</c:v>
                </c:pt>
                <c:pt idx="109">
                  <c:v>1.2392464606545299</c:v>
                </c:pt>
                <c:pt idx="110">
                  <c:v>1.2392269590594001</c:v>
                </c:pt>
                <c:pt idx="111">
                  <c:v>1.23925861455969</c:v>
                </c:pt>
                <c:pt idx="112">
                  <c:v>1.23932182855669</c:v>
                </c:pt>
                <c:pt idx="113">
                  <c:v>1.2391316034006199</c:v>
                </c:pt>
                <c:pt idx="114">
                  <c:v>1.23885836990613</c:v>
                </c:pt>
                <c:pt idx="115">
                  <c:v>1.23863623503197</c:v>
                </c:pt>
                <c:pt idx="116">
                  <c:v>1.2386680661770799</c:v>
                </c:pt>
                <c:pt idx="117">
                  <c:v>1.2387061073708601</c:v>
                </c:pt>
                <c:pt idx="118">
                  <c:v>1.2387759013761399</c:v>
                </c:pt>
                <c:pt idx="119">
                  <c:v>1.23875646406657</c:v>
                </c:pt>
                <c:pt idx="120">
                  <c:v>1.2387052607895599</c:v>
                </c:pt>
                <c:pt idx="121">
                  <c:v>1.23865405751255</c:v>
                </c:pt>
                <c:pt idx="122">
                  <c:v>1.2387820657050801</c:v>
                </c:pt>
                <c:pt idx="123">
                  <c:v>1.23873086242807</c:v>
                </c:pt>
                <c:pt idx="124">
                  <c:v>1.23878808651035</c:v>
                </c:pt>
                <c:pt idx="125">
                  <c:v>1.23879414660873</c:v>
                </c:pt>
                <c:pt idx="126">
                  <c:v>1.2388319008408499</c:v>
                </c:pt>
                <c:pt idx="127">
                  <c:v>1.23881239858042</c:v>
                </c:pt>
                <c:pt idx="128">
                  <c:v>1.23881239858042</c:v>
                </c:pt>
                <c:pt idx="129">
                  <c:v>1.23878682313285</c:v>
                </c:pt>
                <c:pt idx="130">
                  <c:v>1.23881845248238</c:v>
                </c:pt>
                <c:pt idx="131">
                  <c:v>1.23876730158724</c:v>
                </c:pt>
                <c:pt idx="132">
                  <c:v>1.23879895708753</c:v>
                </c:pt>
                <c:pt idx="133">
                  <c:v>1.23883666028949</c:v>
                </c:pt>
                <c:pt idx="134">
                  <c:v>1.2388877589098299</c:v>
                </c:pt>
                <c:pt idx="135">
                  <c:v>1.2390524347557399</c:v>
                </c:pt>
                <c:pt idx="136">
                  <c:v>1.2390267937301001</c:v>
                </c:pt>
                <c:pt idx="137">
                  <c:v>1.23900115270446</c:v>
                </c:pt>
                <c:pt idx="138">
                  <c:v>1.2389755116788199</c:v>
                </c:pt>
                <c:pt idx="139">
                  <c:v>1.2389755116788199</c:v>
                </c:pt>
                <c:pt idx="140">
                  <c:v>1.2390072907618599</c:v>
                </c:pt>
                <c:pt idx="141">
                  <c:v>1.2390646845990001</c:v>
                </c:pt>
                <c:pt idx="142">
                  <c:v>1.2391539032254399</c:v>
                </c:pt>
                <c:pt idx="143">
                  <c:v>1.2393843179719899</c:v>
                </c:pt>
                <c:pt idx="144">
                  <c:v>1.2395696088479999</c:v>
                </c:pt>
                <c:pt idx="145">
                  <c:v>1.2395696088479999</c:v>
                </c:pt>
                <c:pt idx="146">
                  <c:v>1.23951233926668</c:v>
                </c:pt>
                <c:pt idx="147">
                  <c:v>1.23948675073034</c:v>
                </c:pt>
                <c:pt idx="148">
                  <c:v>1.2394672484699101</c:v>
                </c:pt>
                <c:pt idx="149">
                  <c:v>1.2394672484699101</c:v>
                </c:pt>
                <c:pt idx="150">
                  <c:v>1.2394733216570499</c:v>
                </c:pt>
                <c:pt idx="151">
                  <c:v>1.23944774620948</c:v>
                </c:pt>
                <c:pt idx="152">
                  <c:v>1.23942217076191</c:v>
                </c:pt>
                <c:pt idx="153">
                  <c:v>1.23939659531434</c:v>
                </c:pt>
                <c:pt idx="154">
                  <c:v>1.2394087492061401</c:v>
                </c:pt>
                <c:pt idx="155">
                  <c:v>1.23922458482711</c:v>
                </c:pt>
                <c:pt idx="156">
                  <c:v>1.2390341648176699</c:v>
                </c:pt>
                <c:pt idx="157">
                  <c:v>1.23878648063335</c:v>
                </c:pt>
                <c:pt idx="158">
                  <c:v>1.2385960606239099</c:v>
                </c:pt>
                <c:pt idx="159">
                  <c:v>1.23846310473626</c:v>
                </c:pt>
                <c:pt idx="160">
                  <c:v>1.2384692885133901</c:v>
                </c:pt>
                <c:pt idx="161">
                  <c:v>1.2384436737593001</c:v>
                </c:pt>
                <c:pt idx="162">
                  <c:v>1.23835445513285</c:v>
                </c:pt>
                <c:pt idx="163">
                  <c:v>1.2383606456929801</c:v>
                </c:pt>
                <c:pt idx="164">
                  <c:v>1.2383606456929801</c:v>
                </c:pt>
                <c:pt idx="165">
                  <c:v>1.23859712674384</c:v>
                </c:pt>
                <c:pt idx="166">
                  <c:v>1.2386348803220399</c:v>
                </c:pt>
                <c:pt idx="167">
                  <c:v>1.23866654826486</c:v>
                </c:pt>
                <c:pt idx="168">
                  <c:v>1.23867262767134</c:v>
                </c:pt>
                <c:pt idx="169">
                  <c:v>1.23865311232214</c:v>
                </c:pt>
                <c:pt idx="170">
                  <c:v>1.2386787008584801</c:v>
                </c:pt>
                <c:pt idx="171">
                  <c:v>1.23873593802952</c:v>
                </c:pt>
                <c:pt idx="172">
                  <c:v>1.23871036258195</c:v>
                </c:pt>
                <c:pt idx="173">
                  <c:v>1.23871036258195</c:v>
                </c:pt>
                <c:pt idx="174">
                  <c:v>1.23868478713438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5E-415D-A1A8-2922BFFFE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BSCQ* x 10 dma / IBDR*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3.8807433787387598E-4</c:v>
                </c:pt>
                <c:pt idx="11">
                  <c:v>5.9700304674248199E-4</c:v>
                </c:pt>
                <c:pt idx="12">
                  <c:v>-3.8370531041764398E-4</c:v>
                </c:pt>
                <c:pt idx="13">
                  <c:v>6.7025526419484897E-4</c:v>
                </c:pt>
                <c:pt idx="14">
                  <c:v>1.9009848264600501E-4</c:v>
                </c:pt>
                <c:pt idx="15">
                  <c:v>1.6325054801882499E-4</c:v>
                </c:pt>
                <c:pt idx="16">
                  <c:v>-2.7554456022705698E-4</c:v>
                </c:pt>
                <c:pt idx="17">
                  <c:v>1.0947342245814E-4</c:v>
                </c:pt>
                <c:pt idx="18">
                  <c:v>9.2421464356506902E-5</c:v>
                </c:pt>
                <c:pt idx="19">
                  <c:v>-3.26789023099517E-4</c:v>
                </c:pt>
                <c:pt idx="20">
                  <c:v>5.4007534418505502E-4</c:v>
                </c:pt>
                <c:pt idx="21">
                  <c:v>-4.256783745556E-4</c:v>
                </c:pt>
                <c:pt idx="22">
                  <c:v>6.6913465089252601E-4</c:v>
                </c:pt>
                <c:pt idx="23">
                  <c:v>4.2309151409616403E-5</c:v>
                </c:pt>
                <c:pt idx="24">
                  <c:v>-2.36354685902751E-4</c:v>
                </c:pt>
                <c:pt idx="25">
                  <c:v>-6.2221262191337E-4</c:v>
                </c:pt>
                <c:pt idx="26">
                  <c:v>-1.4450795613181499E-4</c:v>
                </c:pt>
                <c:pt idx="27">
                  <c:v>-1.6035333196087501E-4</c:v>
                </c:pt>
                <c:pt idx="28">
                  <c:v>-1.34999862259215E-4</c:v>
                </c:pt>
                <c:pt idx="29">
                  <c:v>-1.2021572920747701E-5</c:v>
                </c:pt>
                <c:pt idx="30">
                  <c:v>-4.4867404464796797E-4</c:v>
                </c:pt>
                <c:pt idx="31">
                  <c:v>1.6379087150834501E-4</c:v>
                </c:pt>
                <c:pt idx="32">
                  <c:v>1.2472068897764399E-4</c:v>
                </c:pt>
                <c:pt idx="33">
                  <c:v>-2.23406911382112E-4</c:v>
                </c:pt>
                <c:pt idx="34">
                  <c:v>-2.3395055425920599E-4</c:v>
                </c:pt>
                <c:pt idx="35">
                  <c:v>3.0211769569681902E-4</c:v>
                </c:pt>
                <c:pt idx="36">
                  <c:v>1.4066119364385899E-4</c:v>
                </c:pt>
                <c:pt idx="37">
                  <c:v>1.2751236270090101E-4</c:v>
                </c:pt>
                <c:pt idx="38">
                  <c:v>2.11801758440102E-4</c:v>
                </c:pt>
                <c:pt idx="39">
                  <c:v>1.53925743693651E-4</c:v>
                </c:pt>
                <c:pt idx="40">
                  <c:v>-3.6385093413912199E-4</c:v>
                </c:pt>
                <c:pt idx="41">
                  <c:v>-3.63773411846778E-4</c:v>
                </c:pt>
                <c:pt idx="42">
                  <c:v>1.9531141157355799E-4</c:v>
                </c:pt>
                <c:pt idx="43">
                  <c:v>-6.2544656032993305E-4</c:v>
                </c:pt>
                <c:pt idx="44">
                  <c:v>4.31207359275914E-4</c:v>
                </c:pt>
                <c:pt idx="45">
                  <c:v>2.67157907220268E-4</c:v>
                </c:pt>
                <c:pt idx="46">
                  <c:v>-2.4696551602185402E-4</c:v>
                </c:pt>
                <c:pt idx="47">
                  <c:v>1.9836708646509799E-4</c:v>
                </c:pt>
                <c:pt idx="48">
                  <c:v>7.97115170703289E-4</c:v>
                </c:pt>
                <c:pt idx="49">
                  <c:v>2.3251275599847401E-4</c:v>
                </c:pt>
                <c:pt idx="50">
                  <c:v>7.3040733888949402E-4</c:v>
                </c:pt>
                <c:pt idx="51">
                  <c:v>2.08751497747836E-4</c:v>
                </c:pt>
                <c:pt idx="52">
                  <c:v>4.1186840349336899E-5</c:v>
                </c:pt>
                <c:pt idx="53">
                  <c:v>1.2872432260199401E-4</c:v>
                </c:pt>
                <c:pt idx="54">
                  <c:v>-6.2719533886582102E-4</c:v>
                </c:pt>
                <c:pt idx="55">
                  <c:v>-5.6174540654993304E-4</c:v>
                </c:pt>
                <c:pt idx="56">
                  <c:v>-5.0602613410920499E-4</c:v>
                </c:pt>
                <c:pt idx="57">
                  <c:v>-5.0110743242563999E-4</c:v>
                </c:pt>
                <c:pt idx="58">
                  <c:v>1.4958747602575499E-4</c:v>
                </c:pt>
                <c:pt idx="59">
                  <c:v>-3.1167259590483999E-4</c:v>
                </c:pt>
                <c:pt idx="60">
                  <c:v>3.3865572653845802E-4</c:v>
                </c:pt>
                <c:pt idx="61">
                  <c:v>-1.7402044618527801E-4</c:v>
                </c:pt>
                <c:pt idx="62">
                  <c:v>4.8015568285492599E-4</c:v>
                </c:pt>
                <c:pt idx="63">
                  <c:v>4.6017371282107297E-4</c:v>
                </c:pt>
                <c:pt idx="64">
                  <c:v>9.5638322465734795E-4</c:v>
                </c:pt>
                <c:pt idx="65">
                  <c:v>-4.9522028667483295E-4</c:v>
                </c:pt>
                <c:pt idx="66">
                  <c:v>1.7438303902930098E-5</c:v>
                </c:pt>
                <c:pt idx="67">
                  <c:v>-4.3619286790436102E-4</c:v>
                </c:pt>
                <c:pt idx="68">
                  <c:v>1.63433874390905E-4</c:v>
                </c:pt>
                <c:pt idx="69">
                  <c:v>5.6904211348313897E-4</c:v>
                </c:pt>
                <c:pt idx="70">
                  <c:v>4.7403554742957897E-4</c:v>
                </c:pt>
                <c:pt idx="71">
                  <c:v>-6.6483639944680303E-5</c:v>
                </c:pt>
                <c:pt idx="72">
                  <c:v>-8.4077571040091594E-6</c:v>
                </c:pt>
                <c:pt idx="73">
                  <c:v>-1.7173659002962899E-4</c:v>
                </c:pt>
                <c:pt idx="74">
                  <c:v>-4.5464879591260698E-5</c:v>
                </c:pt>
                <c:pt idx="75">
                  <c:v>2.4817541727373998E-5</c:v>
                </c:pt>
                <c:pt idx="76">
                  <c:v>-9.5150038039851497E-4</c:v>
                </c:pt>
                <c:pt idx="77">
                  <c:v>-7.7437486155852503E-4</c:v>
                </c:pt>
                <c:pt idx="78">
                  <c:v>-7.4516745778813599E-4</c:v>
                </c:pt>
                <c:pt idx="79">
                  <c:v>-6.5563829468636196E-4</c:v>
                </c:pt>
                <c:pt idx="80">
                  <c:v>4.8515528465419401E-4</c:v>
                </c:pt>
                <c:pt idx="81">
                  <c:v>-3.9872805384287102E-4</c:v>
                </c:pt>
                <c:pt idx="82">
                  <c:v>1.68153203537961E-4</c:v>
                </c:pt>
                <c:pt idx="83">
                  <c:v>2.9507898056602301E-4</c:v>
                </c:pt>
                <c:pt idx="84">
                  <c:v>2.9799072328650701E-4</c:v>
                </c:pt>
                <c:pt idx="85">
                  <c:v>3.10590719132271E-4</c:v>
                </c:pt>
                <c:pt idx="86">
                  <c:v>-8.4633854272652103E-5</c:v>
                </c:pt>
                <c:pt idx="87">
                  <c:v>-1.2266546211962999E-4</c:v>
                </c:pt>
                <c:pt idx="88">
                  <c:v>-5.5862658292036595E-4</c:v>
                </c:pt>
                <c:pt idx="89">
                  <c:v>3.6606889571876499E-4</c:v>
                </c:pt>
                <c:pt idx="90">
                  <c:v>3.8396034634119501E-4</c:v>
                </c:pt>
                <c:pt idx="91">
                  <c:v>-1.0772777222400599E-4</c:v>
                </c:pt>
                <c:pt idx="92">
                  <c:v>8.7235379251984497E-4</c:v>
                </c:pt>
                <c:pt idx="93">
                  <c:v>5.9691638879070001E-4</c:v>
                </c:pt>
                <c:pt idx="94">
                  <c:v>-3.6484921504720302E-4</c:v>
                </c:pt>
                <c:pt idx="95">
                  <c:v>-3.2381821114011897E-4</c:v>
                </c:pt>
                <c:pt idx="96">
                  <c:v>2.2136179245734499E-4</c:v>
                </c:pt>
                <c:pt idx="97">
                  <c:v>-1.39402789663994E-4</c:v>
                </c:pt>
                <c:pt idx="98">
                  <c:v>7.5228235177465905E-4</c:v>
                </c:pt>
                <c:pt idx="99">
                  <c:v>1.9415097389580201E-4</c:v>
                </c:pt>
                <c:pt idx="100">
                  <c:v>-2.3186331465204101E-4</c:v>
                </c:pt>
                <c:pt idx="101">
                  <c:v>-2.00518705861524E-4</c:v>
                </c:pt>
                <c:pt idx="102">
                  <c:v>-6.3738273077354804E-4</c:v>
                </c:pt>
                <c:pt idx="103">
                  <c:v>-5.1386295020887601E-4</c:v>
                </c:pt>
                <c:pt idx="104">
                  <c:v>1.00340128099868E-3</c:v>
                </c:pt>
                <c:pt idx="105">
                  <c:v>4.68035992426358E-4</c:v>
                </c:pt>
                <c:pt idx="106">
                  <c:v>-2.6520841658495401E-5</c:v>
                </c:pt>
                <c:pt idx="107">
                  <c:v>-4.2983001532167603E-4</c:v>
                </c:pt>
                <c:pt idx="108">
                  <c:v>-4.1705048678395199E-4</c:v>
                </c:pt>
                <c:pt idx="109">
                  <c:v>-3.1321124841896398E-4</c:v>
                </c:pt>
                <c:pt idx="110">
                  <c:v>6.5930258829415998E-4</c:v>
                </c:pt>
                <c:pt idx="111">
                  <c:v>-7.2488128834197901E-4</c:v>
                </c:pt>
                <c:pt idx="112">
                  <c:v>-1.5890177828270399E-4</c:v>
                </c:pt>
                <c:pt idx="113">
                  <c:v>3.1472655323982898E-4</c:v>
                </c:pt>
                <c:pt idx="114">
                  <c:v>6.4178976369546595E-4</c:v>
                </c:pt>
                <c:pt idx="115">
                  <c:v>-1.4927220954730799E-4</c:v>
                </c:pt>
                <c:pt idx="116">
                  <c:v>-3.5514144310866701E-4</c:v>
                </c:pt>
                <c:pt idx="117">
                  <c:v>-7.1300141153143295E-4</c:v>
                </c:pt>
                <c:pt idx="118">
                  <c:v>-2.5889643256163299E-4</c:v>
                </c:pt>
                <c:pt idx="119">
                  <c:v>7.5336237297626602E-4</c:v>
                </c:pt>
                <c:pt idx="120">
                  <c:v>7.5640173582455501E-4</c:v>
                </c:pt>
                <c:pt idx="121">
                  <c:v>7.4475426228318002E-4</c:v>
                </c:pt>
                <c:pt idx="122">
                  <c:v>6.0152202034289605E-4</c:v>
                </c:pt>
                <c:pt idx="123">
                  <c:v>1.02596495663219E-4</c:v>
                </c:pt>
                <c:pt idx="124">
                  <c:v>-2.0889633614542299E-4</c:v>
                </c:pt>
                <c:pt idx="125">
                  <c:v>2.6609578853027601E-4</c:v>
                </c:pt>
                <c:pt idx="126">
                  <c:v>-6.93466047801167E-4</c:v>
                </c:pt>
                <c:pt idx="127">
                  <c:v>-1.8006396110229199E-4</c:v>
                </c:pt>
                <c:pt idx="128">
                  <c:v>-5.6826133192910099E-4</c:v>
                </c:pt>
                <c:pt idx="129">
                  <c:v>-1.7072547617847701E-4</c:v>
                </c:pt>
                <c:pt idx="130">
                  <c:v>-1.18407511451797E-4</c:v>
                </c:pt>
                <c:pt idx="131">
                  <c:v>-5.64962613173881E-5</c:v>
                </c:pt>
                <c:pt idx="132">
                  <c:v>-8.0477683971798503E-4</c:v>
                </c:pt>
                <c:pt idx="133">
                  <c:v>-2.5681841850451898E-4</c:v>
                </c:pt>
                <c:pt idx="134">
                  <c:v>-2.5858451924956501E-6</c:v>
                </c:pt>
                <c:pt idx="135">
                  <c:v>6.2827522309568903E-4</c:v>
                </c:pt>
                <c:pt idx="136">
                  <c:v>1.17678637652996E-4</c:v>
                </c:pt>
                <c:pt idx="137">
                  <c:v>-3.3752178555538102E-4</c:v>
                </c:pt>
                <c:pt idx="138">
                  <c:v>1.07646823134252E-4</c:v>
                </c:pt>
                <c:pt idx="139">
                  <c:v>6.7326478165788102E-4</c:v>
                </c:pt>
                <c:pt idx="140">
                  <c:v>2.18379140196945E-4</c:v>
                </c:pt>
                <c:pt idx="141">
                  <c:v>-1.9589271362922399E-4</c:v>
                </c:pt>
                <c:pt idx="142">
                  <c:v>-6.6583644680398297E-4</c:v>
                </c:pt>
                <c:pt idx="143">
                  <c:v>-6.9412246838343906E-5</c:v>
                </c:pt>
                <c:pt idx="144">
                  <c:v>3.1551899914317199E-4</c:v>
                </c:pt>
                <c:pt idx="145">
                  <c:v>3.6478785761736199E-4</c:v>
                </c:pt>
                <c:pt idx="146">
                  <c:v>3.7709577061778202E-4</c:v>
                </c:pt>
                <c:pt idx="147">
                  <c:v>3.3932596817546598E-4</c:v>
                </c:pt>
                <c:pt idx="148">
                  <c:v>-1.43133207185679E-4</c:v>
                </c:pt>
                <c:pt idx="149">
                  <c:v>-4.46249194160678E-5</c:v>
                </c:pt>
                <c:pt idx="150">
                  <c:v>-8.7777496655960997E-5</c:v>
                </c:pt>
                <c:pt idx="151">
                  <c:v>4.3395806848806902E-4</c:v>
                </c:pt>
                <c:pt idx="152">
                  <c:v>-4.4252819039173599E-4</c:v>
                </c:pt>
                <c:pt idx="153">
                  <c:v>-7.6561240082889497E-5</c:v>
                </c:pt>
                <c:pt idx="154">
                  <c:v>-4.9902057390348504E-4</c:v>
                </c:pt>
                <c:pt idx="155">
                  <c:v>6.2862902000553902E-5</c:v>
                </c:pt>
                <c:pt idx="156">
                  <c:v>-3.19587691162985E-4</c:v>
                </c:pt>
                <c:pt idx="157">
                  <c:v>2.4142952315512399E-4</c:v>
                </c:pt>
                <c:pt idx="158">
                  <c:v>-2.4628198652142298E-4</c:v>
                </c:pt>
                <c:pt idx="159">
                  <c:v>-5.3259439706761897E-4</c:v>
                </c:pt>
                <c:pt idx="160">
                  <c:v>2.8192816194069E-5</c:v>
                </c:pt>
                <c:pt idx="161">
                  <c:v>1.2594810510154999E-4</c:v>
                </c:pt>
                <c:pt idx="162">
                  <c:v>6.6723231043749605E-4</c:v>
                </c:pt>
                <c:pt idx="163">
                  <c:v>-3.2303419054851001E-4</c:v>
                </c:pt>
                <c:pt idx="164">
                  <c:v>2.1818762905259799E-4</c:v>
                </c:pt>
                <c:pt idx="165">
                  <c:v>-2.32765836305955E-4</c:v>
                </c:pt>
                <c:pt idx="166">
                  <c:v>-2.33704684775651E-4</c:v>
                </c:pt>
                <c:pt idx="167">
                  <c:v>-1.3159847528652801E-4</c:v>
                </c:pt>
                <c:pt idx="168">
                  <c:v>-8.4913170599504702E-5</c:v>
                </c:pt>
                <c:pt idx="169">
                  <c:v>4.1043699418421198E-4</c:v>
                </c:pt>
                <c:pt idx="170">
                  <c:v>-4.7908402489867802E-4</c:v>
                </c:pt>
                <c:pt idx="171">
                  <c:v>-4.3244506400203398E-4</c:v>
                </c:pt>
                <c:pt idx="172">
                  <c:v>1.2211272503228899E-4</c:v>
                </c:pt>
                <c:pt idx="173">
                  <c:v>1.7833881463879701E-4</c:v>
                </c:pt>
                <c:pt idx="174">
                  <c:v>1.4438282118449901E-4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E-4D1D-A571-DC5FBC7C5C17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BSCQ* x 20 dma / IBDR*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6.8752802620265004E-4</c:v>
                </c:pt>
                <c:pt idx="21">
                  <c:v>-2.9611720809329898E-4</c:v>
                </c:pt>
                <c:pt idx="22">
                  <c:v>7.3136757766802303E-4</c:v>
                </c:pt>
                <c:pt idx="23">
                  <c:v>1.80387160024781E-4</c:v>
                </c:pt>
                <c:pt idx="24">
                  <c:v>-1.4988906105323601E-4</c:v>
                </c:pt>
                <c:pt idx="25">
                  <c:v>-5.6185057885260097E-4</c:v>
                </c:pt>
                <c:pt idx="26">
                  <c:v>-1.3081763532822799E-4</c:v>
                </c:pt>
                <c:pt idx="27">
                  <c:v>-1.52204618804579E-4</c:v>
                </c:pt>
                <c:pt idx="28">
                  <c:v>-1.4805381100126499E-4</c:v>
                </c:pt>
                <c:pt idx="29">
                  <c:v>-4.1383606583385002E-5</c:v>
                </c:pt>
                <c:pt idx="30">
                  <c:v>-4.7378731011553301E-4</c:v>
                </c:pt>
                <c:pt idx="31">
                  <c:v>6.4402120175465293E-5</c:v>
                </c:pt>
                <c:pt idx="32">
                  <c:v>8.3041970540373295E-5</c:v>
                </c:pt>
                <c:pt idx="33">
                  <c:v>-3.5531553385373399E-4</c:v>
                </c:pt>
                <c:pt idx="34">
                  <c:v>-3.7474739339539702E-4</c:v>
                </c:pt>
                <c:pt idx="35">
                  <c:v>1.6003714553919501E-4</c:v>
                </c:pt>
                <c:pt idx="36">
                  <c:v>6.3828218289881599E-5</c:v>
                </c:pt>
                <c:pt idx="37">
                  <c:v>4.93312194087988E-5</c:v>
                </c:pt>
                <c:pt idx="38">
                  <c:v>1.5287053207985499E-4</c:v>
                </c:pt>
                <c:pt idx="39">
                  <c:v>1.19115601808295E-4</c:v>
                </c:pt>
                <c:pt idx="40">
                  <c:v>-4.0664904413567198E-4</c:v>
                </c:pt>
                <c:pt idx="41">
                  <c:v>-3.54668704258658E-4</c:v>
                </c:pt>
                <c:pt idx="42">
                  <c:v>1.59411753181855E-4</c:v>
                </c:pt>
                <c:pt idx="43">
                  <c:v>-6.3003342621684004E-4</c:v>
                </c:pt>
                <c:pt idx="44">
                  <c:v>4.32527342107143E-4</c:v>
                </c:pt>
                <c:pt idx="45">
                  <c:v>3.1582842473389799E-4</c:v>
                </c:pt>
                <c:pt idx="46">
                  <c:v>-2.2718682077354799E-4</c:v>
                </c:pt>
                <c:pt idx="47">
                  <c:v>1.9416672748790101E-4</c:v>
                </c:pt>
                <c:pt idx="48">
                  <c:v>7.8946251753980495E-4</c:v>
                </c:pt>
                <c:pt idx="49">
                  <c:v>2.4190093854267801E-4</c:v>
                </c:pt>
                <c:pt idx="50">
                  <c:v>7.3984701034693996E-4</c:v>
                </c:pt>
                <c:pt idx="51">
                  <c:v>2.7388230825583902E-4</c:v>
                </c:pt>
                <c:pt idx="52">
                  <c:v>1.6693867635762401E-4</c:v>
                </c:pt>
                <c:pt idx="53">
                  <c:v>2.5940549745873099E-4</c:v>
                </c:pt>
                <c:pt idx="54">
                  <c:v>-4.2513577086455002E-4</c:v>
                </c:pt>
                <c:pt idx="55">
                  <c:v>-4.2580973687084101E-4</c:v>
                </c:pt>
                <c:pt idx="56">
                  <c:v>-4.0107204927622398E-4</c:v>
                </c:pt>
                <c:pt idx="57">
                  <c:v>-3.8120656630825402E-4</c:v>
                </c:pt>
                <c:pt idx="58">
                  <c:v>2.43373299721699E-4</c:v>
                </c:pt>
                <c:pt idx="59">
                  <c:v>-2.69365883414131E-4</c:v>
                </c:pt>
                <c:pt idx="60">
                  <c:v>3.5311431569389699E-4</c:v>
                </c:pt>
                <c:pt idx="61">
                  <c:v>-2.3334247439163301E-4</c:v>
                </c:pt>
                <c:pt idx="62">
                  <c:v>3.6062525147944902E-4</c:v>
                </c:pt>
                <c:pt idx="63">
                  <c:v>3.4576544257137098E-4</c:v>
                </c:pt>
                <c:pt idx="64">
                  <c:v>7.9631249945789396E-4</c:v>
                </c:pt>
                <c:pt idx="65">
                  <c:v>-5.5942273792311103E-4</c:v>
                </c:pt>
                <c:pt idx="66">
                  <c:v>-2.2001417019361099E-5</c:v>
                </c:pt>
                <c:pt idx="67">
                  <c:v>-4.5093968627017299E-4</c:v>
                </c:pt>
                <c:pt idx="68">
                  <c:v>1.7344890553587701E-4</c:v>
                </c:pt>
                <c:pt idx="69">
                  <c:v>6.0374025523385496E-4</c:v>
                </c:pt>
                <c:pt idx="70">
                  <c:v>5.7922194140541802E-4</c:v>
                </c:pt>
                <c:pt idx="71">
                  <c:v>7.4121247483015096E-5</c:v>
                </c:pt>
                <c:pt idx="72">
                  <c:v>1.76714593404864E-4</c:v>
                </c:pt>
                <c:pt idx="73">
                  <c:v>-2.52535741877753E-6</c:v>
                </c:pt>
                <c:pt idx="74">
                  <c:v>1.03938306889988E-4</c:v>
                </c:pt>
                <c:pt idx="75">
                  <c:v>7.5915603946790196E-5</c:v>
                </c:pt>
                <c:pt idx="76">
                  <c:v>-8.6618291725031895E-4</c:v>
                </c:pt>
                <c:pt idx="77">
                  <c:v>-7.5123100177264604E-4</c:v>
                </c:pt>
                <c:pt idx="78">
                  <c:v>-7.3839938751361499E-4</c:v>
                </c:pt>
                <c:pt idx="79">
                  <c:v>-6.9532761398087702E-4</c:v>
                </c:pt>
                <c:pt idx="80">
                  <c:v>3.3277448652568599E-4</c:v>
                </c:pt>
                <c:pt idx="81">
                  <c:v>-5.8305940426060603E-4</c:v>
                </c:pt>
                <c:pt idx="82">
                  <c:v>-7.0655925341700298E-5</c:v>
                </c:pt>
                <c:pt idx="83">
                  <c:v>4.7138696589116997E-5</c:v>
                </c:pt>
                <c:pt idx="84">
                  <c:v>6.3267351642677395E-5</c:v>
                </c:pt>
                <c:pt idx="85">
                  <c:v>1.04702205631344E-4</c:v>
                </c:pt>
                <c:pt idx="86">
                  <c:v>-3.27935325299257E-4</c:v>
                </c:pt>
                <c:pt idx="87">
                  <c:v>-3.0702772517719599E-4</c:v>
                </c:pt>
                <c:pt idx="88">
                  <c:v>-7.1423855089310703E-4</c:v>
                </c:pt>
                <c:pt idx="89">
                  <c:v>2.4897783553861399E-4</c:v>
                </c:pt>
                <c:pt idx="90">
                  <c:v>3.7143973818620503E-4</c:v>
                </c:pt>
                <c:pt idx="91">
                  <c:v>-1.1188364250237099E-4</c:v>
                </c:pt>
                <c:pt idx="92">
                  <c:v>9.1738459313425301E-4</c:v>
                </c:pt>
                <c:pt idx="93">
                  <c:v>6.9669756291717904E-4</c:v>
                </c:pt>
                <c:pt idx="94">
                  <c:v>-2.3854773188666201E-4</c:v>
                </c:pt>
                <c:pt idx="95">
                  <c:v>-2.1173392629588499E-4</c:v>
                </c:pt>
                <c:pt idx="96">
                  <c:v>3.1922984349874403E-4</c:v>
                </c:pt>
                <c:pt idx="97">
                  <c:v>-3.54624516722461E-5</c:v>
                </c:pt>
                <c:pt idx="98">
                  <c:v>8.5162970582195504E-4</c:v>
                </c:pt>
                <c:pt idx="99">
                  <c:v>3.7523378974604898E-4</c:v>
                </c:pt>
                <c:pt idx="100">
                  <c:v>-8.0653775854545704E-5</c:v>
                </c:pt>
                <c:pt idx="101">
                  <c:v>-5.8673888819357502E-5</c:v>
                </c:pt>
                <c:pt idx="102">
                  <c:v>-5.0012985610447397E-4</c:v>
                </c:pt>
                <c:pt idx="103">
                  <c:v>-4.7807446011902599E-4</c:v>
                </c:pt>
                <c:pt idx="104">
                  <c:v>9.6217135391555696E-4</c:v>
                </c:pt>
                <c:pt idx="105">
                  <c:v>5.1159207525770095E-4</c:v>
                </c:pt>
                <c:pt idx="106">
                  <c:v>8.1503688487677604E-5</c:v>
                </c:pt>
                <c:pt idx="107">
                  <c:v>-3.48487765863573E-4</c:v>
                </c:pt>
                <c:pt idx="108">
                  <c:v>-3.5165813612815901E-4</c:v>
                </c:pt>
                <c:pt idx="109">
                  <c:v>-3.7522431539990499E-4</c:v>
                </c:pt>
                <c:pt idx="110">
                  <c:v>5.5621448215613302E-4</c:v>
                </c:pt>
                <c:pt idx="111">
                  <c:v>-7.7806171276309402E-4</c:v>
                </c:pt>
                <c:pt idx="112">
                  <c:v>-2.5317425366241399E-4</c:v>
                </c:pt>
                <c:pt idx="113">
                  <c:v>2.9671065797861598E-4</c:v>
                </c:pt>
                <c:pt idx="114">
                  <c:v>7.1536627221145297E-4</c:v>
                </c:pt>
                <c:pt idx="115">
                  <c:v>-1.5068386798846E-4</c:v>
                </c:pt>
                <c:pt idx="116">
                  <c:v>-4.3149971885813497E-4</c:v>
                </c:pt>
                <c:pt idx="117">
                  <c:v>-8.1183476707743498E-4</c:v>
                </c:pt>
                <c:pt idx="118">
                  <c:v>-3.7539130208060102E-4</c:v>
                </c:pt>
                <c:pt idx="119">
                  <c:v>6.85039392693085E-4</c:v>
                </c:pt>
                <c:pt idx="120">
                  <c:v>7.6612990875880101E-4</c:v>
                </c:pt>
                <c:pt idx="121">
                  <c:v>7.2606702198488803E-4</c:v>
                </c:pt>
                <c:pt idx="122">
                  <c:v>6.8600253011199402E-4</c:v>
                </c:pt>
                <c:pt idx="123">
                  <c:v>2.1904393146546201E-4</c:v>
                </c:pt>
                <c:pt idx="124">
                  <c:v>-1.31047854454683E-4</c:v>
                </c:pt>
                <c:pt idx="125">
                  <c:v>3.1991400302729302E-4</c:v>
                </c:pt>
                <c:pt idx="126">
                  <c:v>-5.8249185372649898E-4</c:v>
                </c:pt>
                <c:pt idx="127">
                  <c:v>-5.0841341312960103E-5</c:v>
                </c:pt>
                <c:pt idx="128">
                  <c:v>-3.75382626590837E-4</c:v>
                </c:pt>
                <c:pt idx="129">
                  <c:v>2.97180905912072E-5</c:v>
                </c:pt>
                <c:pt idx="130">
                  <c:v>9.3802474995617895E-6</c:v>
                </c:pt>
                <c:pt idx="131">
                  <c:v>3.4508112504784198E-5</c:v>
                </c:pt>
                <c:pt idx="132">
                  <c:v>-8.1634636914367301E-4</c:v>
                </c:pt>
                <c:pt idx="133">
                  <c:v>-3.8631755232208402E-4</c:v>
                </c:pt>
                <c:pt idx="134">
                  <c:v>-1.64036720042937E-4</c:v>
                </c:pt>
                <c:pt idx="135">
                  <c:v>4.9573332755327795E-4</c:v>
                </c:pt>
                <c:pt idx="136">
                  <c:v>-3.6159734254675701E-5</c:v>
                </c:pt>
                <c:pt idx="137">
                  <c:v>-4.6036513344305903E-4</c:v>
                </c:pt>
                <c:pt idx="138">
                  <c:v>-7.4940369803881999E-5</c:v>
                </c:pt>
                <c:pt idx="139">
                  <c:v>5.0239142539760997E-4</c:v>
                </c:pt>
                <c:pt idx="140">
                  <c:v>9.8758069398414104E-5</c:v>
                </c:pt>
                <c:pt idx="141">
                  <c:v>-2.7968609718058098E-4</c:v>
                </c:pt>
                <c:pt idx="142">
                  <c:v>-7.3402723478067195E-4</c:v>
                </c:pt>
                <c:pt idx="143">
                  <c:v>-6.6004323634759305E-5</c:v>
                </c:pt>
                <c:pt idx="144">
                  <c:v>3.5955962027600701E-4</c:v>
                </c:pt>
                <c:pt idx="145">
                  <c:v>4.3496781572094302E-4</c:v>
                </c:pt>
                <c:pt idx="146">
                  <c:v>4.3626994641187398E-4</c:v>
                </c:pt>
                <c:pt idx="147">
                  <c:v>3.9220847062543203E-4</c:v>
                </c:pt>
                <c:pt idx="148">
                  <c:v>-3.0951431885696201E-5</c:v>
                </c:pt>
                <c:pt idx="149">
                  <c:v>5.0697480093042902E-5</c:v>
                </c:pt>
                <c:pt idx="150">
                  <c:v>-4.3915659160296498E-5</c:v>
                </c:pt>
                <c:pt idx="151">
                  <c:v>4.6202224033976602E-4</c:v>
                </c:pt>
                <c:pt idx="152">
                  <c:v>-3.6481449170522101E-4</c:v>
                </c:pt>
                <c:pt idx="153">
                  <c:v>1.9975114257820999E-5</c:v>
                </c:pt>
                <c:pt idx="154">
                  <c:v>-4.0289968927627399E-4</c:v>
                </c:pt>
                <c:pt idx="155">
                  <c:v>1.0755259907661E-4</c:v>
                </c:pt>
                <c:pt idx="156">
                  <c:v>-2.7936969513366402E-4</c:v>
                </c:pt>
                <c:pt idx="157">
                  <c:v>2.31949995519072E-4</c:v>
                </c:pt>
                <c:pt idx="158">
                  <c:v>-3.0073513465407001E-4</c:v>
                </c:pt>
                <c:pt idx="159">
                  <c:v>-5.9632965034042001E-4</c:v>
                </c:pt>
                <c:pt idx="160">
                  <c:v>-3.99640893919122E-5</c:v>
                </c:pt>
                <c:pt idx="161">
                  <c:v>6.7694597245711199E-5</c:v>
                </c:pt>
                <c:pt idx="162">
                  <c:v>5.5346821280177901E-4</c:v>
                </c:pt>
                <c:pt idx="163">
                  <c:v>-4.1164670196515999E-4</c:v>
                </c:pt>
                <c:pt idx="164">
                  <c:v>9.9093703386589894E-5</c:v>
                </c:pt>
                <c:pt idx="165">
                  <c:v>-2.9679318166342497E-4</c:v>
                </c:pt>
                <c:pt idx="166">
                  <c:v>-3.0829020162879002E-4</c:v>
                </c:pt>
                <c:pt idx="167">
                  <c:v>-1.78539122449409E-4</c:v>
                </c:pt>
                <c:pt idx="168">
                  <c:v>-1.49354501737493E-4</c:v>
                </c:pt>
                <c:pt idx="169">
                  <c:v>3.5822349353840298E-4</c:v>
                </c:pt>
                <c:pt idx="170">
                  <c:v>-4.5858828827714598E-4</c:v>
                </c:pt>
                <c:pt idx="171">
                  <c:v>-4.34251649099179E-4</c:v>
                </c:pt>
                <c:pt idx="172">
                  <c:v>1.13420783500006E-4</c:v>
                </c:pt>
                <c:pt idx="173">
                  <c:v>9.7434122404894803E-5</c:v>
                </c:pt>
                <c:pt idx="174">
                  <c:v>1.01640964202407E-4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6E-4D1D-A571-DC5FBC7C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IBDR*/BSCQ*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1.23733334869304</c:v>
                </c:pt>
                <c:pt idx="1">
                  <c:v>1.23733334869304</c:v>
                </c:pt>
                <c:pt idx="2">
                  <c:v>1.23733334869304</c:v>
                </c:pt>
                <c:pt idx="3">
                  <c:v>1.23733334869304</c:v>
                </c:pt>
                <c:pt idx="4">
                  <c:v>1.23733334869304</c:v>
                </c:pt>
                <c:pt idx="5">
                  <c:v>1.23733334869304</c:v>
                </c:pt>
                <c:pt idx="6">
                  <c:v>1.23733334869304</c:v>
                </c:pt>
                <c:pt idx="7">
                  <c:v>1.23733334869304</c:v>
                </c:pt>
                <c:pt idx="8">
                  <c:v>1.23733334869304</c:v>
                </c:pt>
                <c:pt idx="9">
                  <c:v>1.23733334869304</c:v>
                </c:pt>
                <c:pt idx="10">
                  <c:v>1.23733334869304</c:v>
                </c:pt>
                <c:pt idx="11">
                  <c:v>1.23733334869304</c:v>
                </c:pt>
                <c:pt idx="12">
                  <c:v>1.23733334869304</c:v>
                </c:pt>
                <c:pt idx="13">
                  <c:v>1.23733334869304</c:v>
                </c:pt>
                <c:pt idx="14">
                  <c:v>1.23733334869304</c:v>
                </c:pt>
                <c:pt idx="15">
                  <c:v>1.23733334869304</c:v>
                </c:pt>
                <c:pt idx="16">
                  <c:v>1.23733334869304</c:v>
                </c:pt>
                <c:pt idx="17">
                  <c:v>1.23733334869304</c:v>
                </c:pt>
                <c:pt idx="18">
                  <c:v>1.23733334869304</c:v>
                </c:pt>
                <c:pt idx="19">
                  <c:v>1.23733334869304</c:v>
                </c:pt>
                <c:pt idx="20">
                  <c:v>1.23733334869304</c:v>
                </c:pt>
                <c:pt idx="21">
                  <c:v>1.23733334869304</c:v>
                </c:pt>
                <c:pt idx="22">
                  <c:v>1.23733334869304</c:v>
                </c:pt>
                <c:pt idx="23">
                  <c:v>1.23733334869304</c:v>
                </c:pt>
                <c:pt idx="24">
                  <c:v>1.23733334869304</c:v>
                </c:pt>
                <c:pt idx="25">
                  <c:v>1.23733334869304</c:v>
                </c:pt>
                <c:pt idx="26">
                  <c:v>1.23733334869304</c:v>
                </c:pt>
                <c:pt idx="27">
                  <c:v>1.23733334869304</c:v>
                </c:pt>
                <c:pt idx="28">
                  <c:v>1.23733334869304</c:v>
                </c:pt>
                <c:pt idx="29">
                  <c:v>1.23733334869304</c:v>
                </c:pt>
                <c:pt idx="30">
                  <c:v>1.23733334869304</c:v>
                </c:pt>
                <c:pt idx="31">
                  <c:v>1.23733334869304</c:v>
                </c:pt>
                <c:pt idx="32">
                  <c:v>1.23733334869304</c:v>
                </c:pt>
                <c:pt idx="33">
                  <c:v>1.23733334869304</c:v>
                </c:pt>
                <c:pt idx="34">
                  <c:v>1.23733334869304</c:v>
                </c:pt>
                <c:pt idx="35">
                  <c:v>1.23733334869304</c:v>
                </c:pt>
                <c:pt idx="36">
                  <c:v>1.23733334869304</c:v>
                </c:pt>
                <c:pt idx="37">
                  <c:v>1.23733334869304</c:v>
                </c:pt>
                <c:pt idx="38">
                  <c:v>1.23733334869304</c:v>
                </c:pt>
                <c:pt idx="39">
                  <c:v>1.23733334869304</c:v>
                </c:pt>
                <c:pt idx="40">
                  <c:v>1.23733334869304</c:v>
                </c:pt>
                <c:pt idx="41">
                  <c:v>1.23733334869304</c:v>
                </c:pt>
                <c:pt idx="42">
                  <c:v>1.23733334869304</c:v>
                </c:pt>
                <c:pt idx="43">
                  <c:v>1.23733334869304</c:v>
                </c:pt>
                <c:pt idx="44">
                  <c:v>1.23733334869304</c:v>
                </c:pt>
                <c:pt idx="45">
                  <c:v>1.23733334869304</c:v>
                </c:pt>
                <c:pt idx="46">
                  <c:v>1.23733334869304</c:v>
                </c:pt>
                <c:pt idx="47">
                  <c:v>1.23733334869304</c:v>
                </c:pt>
                <c:pt idx="48">
                  <c:v>1.23733334869304</c:v>
                </c:pt>
                <c:pt idx="49">
                  <c:v>1.23733334869304</c:v>
                </c:pt>
                <c:pt idx="50">
                  <c:v>1.23733334869304</c:v>
                </c:pt>
                <c:pt idx="51">
                  <c:v>1.23733334869304</c:v>
                </c:pt>
                <c:pt idx="52">
                  <c:v>1.23733334869304</c:v>
                </c:pt>
                <c:pt idx="53">
                  <c:v>1.23733334869304</c:v>
                </c:pt>
                <c:pt idx="54">
                  <c:v>1.23733334869304</c:v>
                </c:pt>
                <c:pt idx="55">
                  <c:v>1.23733334869304</c:v>
                </c:pt>
                <c:pt idx="56">
                  <c:v>1.23733334869304</c:v>
                </c:pt>
                <c:pt idx="57">
                  <c:v>1.23733334869304</c:v>
                </c:pt>
                <c:pt idx="58">
                  <c:v>1.23733334869304</c:v>
                </c:pt>
                <c:pt idx="59">
                  <c:v>1.23733334869304</c:v>
                </c:pt>
                <c:pt idx="60">
                  <c:v>1.23733334869304</c:v>
                </c:pt>
                <c:pt idx="61">
                  <c:v>1.23733334869304</c:v>
                </c:pt>
                <c:pt idx="62">
                  <c:v>1.23733334869304</c:v>
                </c:pt>
                <c:pt idx="63">
                  <c:v>1.23733334869304</c:v>
                </c:pt>
                <c:pt idx="64">
                  <c:v>1.23733334869304</c:v>
                </c:pt>
                <c:pt idx="65">
                  <c:v>1.23733334869304</c:v>
                </c:pt>
                <c:pt idx="66">
                  <c:v>1.23733334869304</c:v>
                </c:pt>
                <c:pt idx="67">
                  <c:v>1.23733334869304</c:v>
                </c:pt>
                <c:pt idx="68">
                  <c:v>1.23733334869304</c:v>
                </c:pt>
                <c:pt idx="69">
                  <c:v>1.23733334869304</c:v>
                </c:pt>
                <c:pt idx="70">
                  <c:v>1.23733334869304</c:v>
                </c:pt>
                <c:pt idx="71">
                  <c:v>1.23733334869304</c:v>
                </c:pt>
                <c:pt idx="72">
                  <c:v>1.23733334869304</c:v>
                </c:pt>
                <c:pt idx="73">
                  <c:v>1.23733334869304</c:v>
                </c:pt>
                <c:pt idx="74">
                  <c:v>1.23733334869304</c:v>
                </c:pt>
                <c:pt idx="75">
                  <c:v>1.23733334869304</c:v>
                </c:pt>
                <c:pt idx="76">
                  <c:v>1.23733334869304</c:v>
                </c:pt>
                <c:pt idx="77">
                  <c:v>1.23733334869304</c:v>
                </c:pt>
                <c:pt idx="78">
                  <c:v>1.23733334869304</c:v>
                </c:pt>
                <c:pt idx="79">
                  <c:v>1.23733334869304</c:v>
                </c:pt>
                <c:pt idx="80">
                  <c:v>1.23733334869304</c:v>
                </c:pt>
                <c:pt idx="81">
                  <c:v>1.23733334869304</c:v>
                </c:pt>
                <c:pt idx="82">
                  <c:v>1.23733334869304</c:v>
                </c:pt>
                <c:pt idx="83">
                  <c:v>1.23733334869304</c:v>
                </c:pt>
                <c:pt idx="84">
                  <c:v>1.23733334869304</c:v>
                </c:pt>
                <c:pt idx="85">
                  <c:v>1.23733334869304</c:v>
                </c:pt>
                <c:pt idx="86">
                  <c:v>1.23733334869304</c:v>
                </c:pt>
                <c:pt idx="87">
                  <c:v>1.23733334869304</c:v>
                </c:pt>
                <c:pt idx="88">
                  <c:v>1.23733334869304</c:v>
                </c:pt>
                <c:pt idx="89">
                  <c:v>1.23733334869304</c:v>
                </c:pt>
                <c:pt idx="90">
                  <c:v>1.23733334869304</c:v>
                </c:pt>
                <c:pt idx="91">
                  <c:v>1.23733334869304</c:v>
                </c:pt>
                <c:pt idx="92">
                  <c:v>1.23733334869304</c:v>
                </c:pt>
                <c:pt idx="93">
                  <c:v>1.23733334869304</c:v>
                </c:pt>
                <c:pt idx="94">
                  <c:v>1.23733334869304</c:v>
                </c:pt>
                <c:pt idx="95">
                  <c:v>1.23733334869304</c:v>
                </c:pt>
                <c:pt idx="96">
                  <c:v>1.23733334869304</c:v>
                </c:pt>
                <c:pt idx="97">
                  <c:v>1.23733334869304</c:v>
                </c:pt>
                <c:pt idx="98">
                  <c:v>1.23733334869304</c:v>
                </c:pt>
                <c:pt idx="99">
                  <c:v>1.23733334869304</c:v>
                </c:pt>
                <c:pt idx="100">
                  <c:v>1.23733334869304</c:v>
                </c:pt>
                <c:pt idx="101">
                  <c:v>1.23733334869304</c:v>
                </c:pt>
                <c:pt idx="102">
                  <c:v>1.23733334869304</c:v>
                </c:pt>
                <c:pt idx="103">
                  <c:v>1.23733334869304</c:v>
                </c:pt>
                <c:pt idx="104">
                  <c:v>1.23733334869304</c:v>
                </c:pt>
                <c:pt idx="105">
                  <c:v>1.23733334869304</c:v>
                </c:pt>
                <c:pt idx="106">
                  <c:v>1.23733334869304</c:v>
                </c:pt>
                <c:pt idx="107">
                  <c:v>1.23733334869304</c:v>
                </c:pt>
                <c:pt idx="108">
                  <c:v>1.23733334869304</c:v>
                </c:pt>
                <c:pt idx="109">
                  <c:v>1.23733334869304</c:v>
                </c:pt>
                <c:pt idx="110">
                  <c:v>1.23733334869304</c:v>
                </c:pt>
                <c:pt idx="111">
                  <c:v>1.23733334869304</c:v>
                </c:pt>
                <c:pt idx="112">
                  <c:v>1.23733334869304</c:v>
                </c:pt>
                <c:pt idx="113">
                  <c:v>1.23733334869304</c:v>
                </c:pt>
                <c:pt idx="114">
                  <c:v>1.23733334869304</c:v>
                </c:pt>
                <c:pt idx="115">
                  <c:v>1.23733334869304</c:v>
                </c:pt>
                <c:pt idx="116">
                  <c:v>1.23733334869304</c:v>
                </c:pt>
                <c:pt idx="117">
                  <c:v>1.23733334869304</c:v>
                </c:pt>
                <c:pt idx="118">
                  <c:v>1.23733334869304</c:v>
                </c:pt>
                <c:pt idx="119">
                  <c:v>1.23733334869304</c:v>
                </c:pt>
                <c:pt idx="120">
                  <c:v>1.23733334869304</c:v>
                </c:pt>
                <c:pt idx="121">
                  <c:v>1.23733334869304</c:v>
                </c:pt>
                <c:pt idx="122">
                  <c:v>1.23733334869304</c:v>
                </c:pt>
                <c:pt idx="123">
                  <c:v>1.23733334869304</c:v>
                </c:pt>
                <c:pt idx="124">
                  <c:v>1.23733334869304</c:v>
                </c:pt>
                <c:pt idx="125">
                  <c:v>1.23733334869304</c:v>
                </c:pt>
                <c:pt idx="126">
                  <c:v>1.23733334869304</c:v>
                </c:pt>
                <c:pt idx="127">
                  <c:v>1.23733334869304</c:v>
                </c:pt>
                <c:pt idx="128">
                  <c:v>1.23733334869304</c:v>
                </c:pt>
                <c:pt idx="129">
                  <c:v>1.23733334869304</c:v>
                </c:pt>
                <c:pt idx="130">
                  <c:v>1.23733334869304</c:v>
                </c:pt>
                <c:pt idx="131">
                  <c:v>1.23733334869304</c:v>
                </c:pt>
                <c:pt idx="132">
                  <c:v>1.23733334869304</c:v>
                </c:pt>
                <c:pt idx="133">
                  <c:v>1.23733334869304</c:v>
                </c:pt>
                <c:pt idx="134">
                  <c:v>1.23733334869304</c:v>
                </c:pt>
                <c:pt idx="135">
                  <c:v>1.23733334869304</c:v>
                </c:pt>
                <c:pt idx="136">
                  <c:v>1.23733334869304</c:v>
                </c:pt>
                <c:pt idx="137">
                  <c:v>1.23733334869304</c:v>
                </c:pt>
                <c:pt idx="138">
                  <c:v>1.23733334869304</c:v>
                </c:pt>
                <c:pt idx="139">
                  <c:v>1.23733334869304</c:v>
                </c:pt>
                <c:pt idx="140">
                  <c:v>1.23733334869304</c:v>
                </c:pt>
                <c:pt idx="141">
                  <c:v>1.23733334869304</c:v>
                </c:pt>
                <c:pt idx="142">
                  <c:v>1.23733334869304</c:v>
                </c:pt>
                <c:pt idx="143">
                  <c:v>1.23733334869304</c:v>
                </c:pt>
                <c:pt idx="144">
                  <c:v>1.23733334869304</c:v>
                </c:pt>
                <c:pt idx="145">
                  <c:v>1.23733334869304</c:v>
                </c:pt>
                <c:pt idx="146">
                  <c:v>1.23733334869304</c:v>
                </c:pt>
                <c:pt idx="147">
                  <c:v>1.23733334869304</c:v>
                </c:pt>
                <c:pt idx="148">
                  <c:v>1.23733334869304</c:v>
                </c:pt>
                <c:pt idx="149">
                  <c:v>1.23733334869304</c:v>
                </c:pt>
                <c:pt idx="150">
                  <c:v>1.23733334869304</c:v>
                </c:pt>
                <c:pt idx="151">
                  <c:v>1.23733334869304</c:v>
                </c:pt>
                <c:pt idx="152">
                  <c:v>1.23733334869304</c:v>
                </c:pt>
                <c:pt idx="153">
                  <c:v>1.23733334869304</c:v>
                </c:pt>
                <c:pt idx="154">
                  <c:v>1.23733334869304</c:v>
                </c:pt>
                <c:pt idx="155">
                  <c:v>1.23733334869304</c:v>
                </c:pt>
                <c:pt idx="156">
                  <c:v>1.23733334869304</c:v>
                </c:pt>
                <c:pt idx="157">
                  <c:v>1.23733334869304</c:v>
                </c:pt>
                <c:pt idx="158">
                  <c:v>1.23733334869304</c:v>
                </c:pt>
                <c:pt idx="159">
                  <c:v>1.23733334869304</c:v>
                </c:pt>
                <c:pt idx="160">
                  <c:v>1.23733334869304</c:v>
                </c:pt>
                <c:pt idx="161">
                  <c:v>1.23733334869304</c:v>
                </c:pt>
                <c:pt idx="162">
                  <c:v>1.23733334869304</c:v>
                </c:pt>
                <c:pt idx="163">
                  <c:v>1.23733334869304</c:v>
                </c:pt>
                <c:pt idx="164">
                  <c:v>1.23733334869304</c:v>
                </c:pt>
                <c:pt idx="165">
                  <c:v>1.23733334869304</c:v>
                </c:pt>
                <c:pt idx="166">
                  <c:v>1.23733334869304</c:v>
                </c:pt>
                <c:pt idx="167">
                  <c:v>1.23733334869304</c:v>
                </c:pt>
                <c:pt idx="168">
                  <c:v>1.23733334869304</c:v>
                </c:pt>
                <c:pt idx="169">
                  <c:v>1.23733334869304</c:v>
                </c:pt>
                <c:pt idx="170">
                  <c:v>1.23733334869304</c:v>
                </c:pt>
                <c:pt idx="171">
                  <c:v>1.23733334869304</c:v>
                </c:pt>
                <c:pt idx="172">
                  <c:v>1.23733334869304</c:v>
                </c:pt>
                <c:pt idx="173">
                  <c:v>1.23733334869304</c:v>
                </c:pt>
                <c:pt idx="174">
                  <c:v>1.23733334869304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1-4057-A817-18442D9AB2A0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IBDR*/BSCQ*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1.2376041055824401</c:v>
                </c:pt>
                <c:pt idx="10">
                  <c:v>1.2375045401422</c:v>
                </c:pt>
                <c:pt idx="11">
                  <c:v>1.23743241362014</c:v>
                </c:pt>
                <c:pt idx="12">
                  <c:v>1.2374744218445699</c:v>
                </c:pt>
                <c:pt idx="13">
                  <c:v>1.23739022625762</c:v>
                </c:pt>
                <c:pt idx="14">
                  <c:v>1.23735700533168</c:v>
                </c:pt>
                <c:pt idx="15">
                  <c:v>1.2373237844057301</c:v>
                </c:pt>
                <c:pt idx="16">
                  <c:v>1.2372904656178101</c:v>
                </c:pt>
                <c:pt idx="17">
                  <c:v>1.2372693675725099</c:v>
                </c:pt>
                <c:pt idx="18">
                  <c:v>1.2372603800375801</c:v>
                </c:pt>
                <c:pt idx="19">
                  <c:v>1.2372392102010099</c:v>
                </c:pt>
                <c:pt idx="20">
                  <c:v>1.2371839373857001</c:v>
                </c:pt>
                <c:pt idx="21">
                  <c:v>1.23727840991476</c:v>
                </c:pt>
                <c:pt idx="22">
                  <c:v>1.23713275660204</c:v>
                </c:pt>
                <c:pt idx="23">
                  <c:v>1.2371762705692799</c:v>
                </c:pt>
                <c:pt idx="24">
                  <c:v>1.23720764006204</c:v>
                </c:pt>
                <c:pt idx="25">
                  <c:v>1.2372899063823399</c:v>
                </c:pt>
                <c:pt idx="26">
                  <c:v>1.23727030121409</c:v>
                </c:pt>
                <c:pt idx="27">
                  <c:v>1.23730167070685</c:v>
                </c:pt>
                <c:pt idx="28">
                  <c:v>1.2373330401996001</c:v>
                </c:pt>
                <c:pt idx="29">
                  <c:v>1.2373013547754601</c:v>
                </c:pt>
                <c:pt idx="30">
                  <c:v>1.23742989838754</c:v>
                </c:pt>
                <c:pt idx="31">
                  <c:v>1.2373815527199901</c:v>
                </c:pt>
                <c:pt idx="32">
                  <c:v>1.2374591981477201</c:v>
                </c:pt>
                <c:pt idx="33">
                  <c:v>1.23752472517737</c:v>
                </c:pt>
                <c:pt idx="34">
                  <c:v>1.23755928128783</c:v>
                </c:pt>
                <c:pt idx="35">
                  <c:v>1.2374800576268401</c:v>
                </c:pt>
                <c:pt idx="36">
                  <c:v>1.23746378631774</c:v>
                </c:pt>
                <c:pt idx="37">
                  <c:v>1.2374475150086499</c:v>
                </c:pt>
                <c:pt idx="38">
                  <c:v>1.2374191881752099</c:v>
                </c:pt>
                <c:pt idx="39">
                  <c:v>1.2374072698938501</c:v>
                </c:pt>
                <c:pt idx="40">
                  <c:v>1.2374073658205</c:v>
                </c:pt>
                <c:pt idx="41">
                  <c:v>1.2374704006544801</c:v>
                </c:pt>
                <c:pt idx="42">
                  <c:v>1.23747055034459</c:v>
                </c:pt>
                <c:pt idx="43">
                  <c:v>1.2375214581610601</c:v>
                </c:pt>
                <c:pt idx="44">
                  <c:v>1.2374388247805299</c:v>
                </c:pt>
                <c:pt idx="45">
                  <c:v>1.23743110759722</c:v>
                </c:pt>
                <c:pt idx="46">
                  <c:v>1.2374741819674899</c:v>
                </c:pt>
                <c:pt idx="47">
                  <c:v>1.2374664547393399</c:v>
                </c:pt>
                <c:pt idx="48">
                  <c:v>1.23739595426795</c:v>
                </c:pt>
                <c:pt idx="49">
                  <c:v>1.2373839087884599</c:v>
                </c:pt>
                <c:pt idx="50">
                  <c:v>1.2372461948770199</c:v>
                </c:pt>
                <c:pt idx="51">
                  <c:v>1.2371592310003501</c:v>
                </c:pt>
                <c:pt idx="52">
                  <c:v>1.23714718552086</c:v>
                </c:pt>
                <c:pt idx="53">
                  <c:v>1.23702150359121</c:v>
                </c:pt>
                <c:pt idx="54">
                  <c:v>1.2371024692144601</c:v>
                </c:pt>
                <c:pt idx="55">
                  <c:v>1.23717140158439</c:v>
                </c:pt>
                <c:pt idx="56">
                  <c:v>1.23717748687641</c:v>
                </c:pt>
                <c:pt idx="57">
                  <c:v>1.2372343737668601</c:v>
                </c:pt>
                <c:pt idx="58">
                  <c:v>1.2372912606020801</c:v>
                </c:pt>
                <c:pt idx="59">
                  <c:v>1.23734812791334</c:v>
                </c:pt>
                <c:pt idx="60">
                  <c:v>1.23739299984747</c:v>
                </c:pt>
                <c:pt idx="61">
                  <c:v>1.2374550403904501</c:v>
                </c:pt>
                <c:pt idx="62">
                  <c:v>1.2374303138479601</c:v>
                </c:pt>
                <c:pt idx="63">
                  <c:v>1.2374176205587899</c:v>
                </c:pt>
                <c:pt idx="64">
                  <c:v>1.23726133453566</c:v>
                </c:pt>
                <c:pt idx="65">
                  <c:v>1.2372689947475699</c:v>
                </c:pt>
                <c:pt idx="66">
                  <c:v>1.2372139765469401</c:v>
                </c:pt>
                <c:pt idx="67">
                  <c:v>1.2372095922575601</c:v>
                </c:pt>
                <c:pt idx="68">
                  <c:v>1.2372054016557199</c:v>
                </c:pt>
                <c:pt idx="69">
                  <c:v>1.2370878646024901</c:v>
                </c:pt>
                <c:pt idx="70">
                  <c:v>1.2370451062144701</c:v>
                </c:pt>
                <c:pt idx="71">
                  <c:v>1.2369970064088001</c:v>
                </c:pt>
                <c:pt idx="72">
                  <c:v>1.2370116458965901</c:v>
                </c:pt>
                <c:pt idx="73">
                  <c:v>1.23704795513223</c:v>
                </c:pt>
                <c:pt idx="74">
                  <c:v>1.23713490091315</c:v>
                </c:pt>
                <c:pt idx="75">
                  <c:v>1.2370579004590201</c:v>
                </c:pt>
                <c:pt idx="76">
                  <c:v>1.2371567107213799</c:v>
                </c:pt>
                <c:pt idx="77">
                  <c:v>1.2371928453846499</c:v>
                </c:pt>
                <c:pt idx="78">
                  <c:v>1.23730361518318</c:v>
                </c:pt>
                <c:pt idx="79">
                  <c:v>1.23746496766898</c:v>
                </c:pt>
                <c:pt idx="80">
                  <c:v>1.2375012847350899</c:v>
                </c:pt>
                <c:pt idx="81">
                  <c:v>1.2375880304739599</c:v>
                </c:pt>
                <c:pt idx="82">
                  <c:v>1.23762528414944</c:v>
                </c:pt>
                <c:pt idx="83">
                  <c:v>1.2376288878010999</c:v>
                </c:pt>
                <c:pt idx="84">
                  <c:v>1.23764448201819</c:v>
                </c:pt>
                <c:pt idx="85">
                  <c:v>1.2376600762352801</c:v>
                </c:pt>
                <c:pt idx="86">
                  <c:v>1.2376130069276801</c:v>
                </c:pt>
                <c:pt idx="87">
                  <c:v>1.23757797930791</c:v>
                </c:pt>
                <c:pt idx="88">
                  <c:v>1.2375934204674</c:v>
                </c:pt>
                <c:pt idx="89">
                  <c:v>1.2374959558789</c:v>
                </c:pt>
                <c:pt idx="90">
                  <c:v>1.23751157058883</c:v>
                </c:pt>
                <c:pt idx="91">
                  <c:v>1.23747657884243</c:v>
                </c:pt>
                <c:pt idx="92">
                  <c:v>1.23737833770259</c:v>
                </c:pt>
                <c:pt idx="93">
                  <c:v>1.23731631829024</c:v>
                </c:pt>
                <c:pt idx="94">
                  <c:v>1.23736708766248</c:v>
                </c:pt>
                <c:pt idx="95">
                  <c:v>1.2374178570347301</c:v>
                </c:pt>
                <c:pt idx="96">
                  <c:v>1.2373557712051699</c:v>
                </c:pt>
                <c:pt idx="97">
                  <c:v>1.23733211575161</c:v>
                </c:pt>
                <c:pt idx="98">
                  <c:v>1.23714532837837</c:v>
                </c:pt>
                <c:pt idx="99">
                  <c:v>1.23712179835839</c:v>
                </c:pt>
                <c:pt idx="100">
                  <c:v>1.23716057606492</c:v>
                </c:pt>
                <c:pt idx="101">
                  <c:v>1.23713695432906</c:v>
                </c:pt>
                <c:pt idx="102">
                  <c:v>1.2372897746521601</c:v>
                </c:pt>
                <c:pt idx="103">
                  <c:v>1.23741835352375</c:v>
                </c:pt>
                <c:pt idx="104">
                  <c:v>1.2372593049776599</c:v>
                </c:pt>
                <c:pt idx="105">
                  <c:v>1.23715055738216</c:v>
                </c:pt>
                <c:pt idx="106">
                  <c:v>1.2371544971597901</c:v>
                </c:pt>
                <c:pt idx="107">
                  <c:v>1.23717030751202</c:v>
                </c:pt>
                <c:pt idx="108">
                  <c:v>1.2372987810046601</c:v>
                </c:pt>
                <c:pt idx="109">
                  <c:v>1.2373769028920401</c:v>
                </c:pt>
                <c:pt idx="110">
                  <c:v>1.2372921720114001</c:v>
                </c:pt>
                <c:pt idx="111">
                  <c:v>1.23737024324411</c:v>
                </c:pt>
                <c:pt idx="112">
                  <c:v>1.2373343576229401</c:v>
                </c:pt>
                <c:pt idx="113">
                  <c:v>1.23723628377386</c:v>
                </c:pt>
                <c:pt idx="114">
                  <c:v>1.2372627981601401</c:v>
                </c:pt>
                <c:pt idx="115">
                  <c:v>1.2373395123913</c:v>
                </c:pt>
                <c:pt idx="116">
                  <c:v>1.2373990776792301</c:v>
                </c:pt>
                <c:pt idx="117">
                  <c:v>1.2374586058767001</c:v>
                </c:pt>
                <c:pt idx="118">
                  <c:v>1.23746787021405</c:v>
                </c:pt>
                <c:pt idx="119">
                  <c:v>1.2373528284103401</c:v>
                </c:pt>
                <c:pt idx="120">
                  <c:v>1.2373384164599499</c:v>
                </c:pt>
                <c:pt idx="121">
                  <c:v>1.2371612023962</c:v>
                </c:pt>
                <c:pt idx="122">
                  <c:v>1.2370462391229</c:v>
                </c:pt>
                <c:pt idx="123">
                  <c:v>1.23704367233335</c:v>
                </c:pt>
                <c:pt idx="124">
                  <c:v>1.23712963436081</c:v>
                </c:pt>
                <c:pt idx="125">
                  <c:v>1.23706493258812</c:v>
                </c:pt>
                <c:pt idx="126">
                  <c:v>1.23707933975465</c:v>
                </c:pt>
                <c:pt idx="127">
                  <c:v>1.23698138511914</c:v>
                </c:pt>
                <c:pt idx="128">
                  <c:v>1.2369719343790899</c:v>
                </c:pt>
                <c:pt idx="129">
                  <c:v>1.2370366519260501</c:v>
                </c:pt>
                <c:pt idx="130">
                  <c:v>1.2371132407824701</c:v>
                </c:pt>
                <c:pt idx="131">
                  <c:v>1.2371898296388799</c:v>
                </c:pt>
                <c:pt idx="132">
                  <c:v>1.2373666942033501</c:v>
                </c:pt>
                <c:pt idx="133">
                  <c:v>1.23744321265794</c:v>
                </c:pt>
                <c:pt idx="134">
                  <c:v>1.2374576425861199</c:v>
                </c:pt>
                <c:pt idx="135">
                  <c:v>1.23744563654803</c:v>
                </c:pt>
                <c:pt idx="136">
                  <c:v>1.2373833297043699</c:v>
                </c:pt>
                <c:pt idx="137">
                  <c:v>1.2374332227852001</c:v>
                </c:pt>
                <c:pt idx="138">
                  <c:v>1.2373947738481199</c:v>
                </c:pt>
                <c:pt idx="139">
                  <c:v>1.23733265633609</c:v>
                </c:pt>
                <c:pt idx="140">
                  <c:v>1.23732059065273</c:v>
                </c:pt>
                <c:pt idx="141">
                  <c:v>1.23735857679804</c:v>
                </c:pt>
                <c:pt idx="142">
                  <c:v>1.2373582605451301</c:v>
                </c:pt>
                <c:pt idx="143">
                  <c:v>1.2373342243224299</c:v>
                </c:pt>
                <c:pt idx="144">
                  <c:v>1.2372839714175199</c:v>
                </c:pt>
                <c:pt idx="145">
                  <c:v>1.23729919989471</c:v>
                </c:pt>
                <c:pt idx="146">
                  <c:v>1.2372524682309001</c:v>
                </c:pt>
                <c:pt idx="147">
                  <c:v>1.2371556345845001</c:v>
                </c:pt>
                <c:pt idx="148">
                  <c:v>1.2371589046957501</c:v>
                </c:pt>
                <c:pt idx="149">
                  <c:v>1.2372241201092</c:v>
                </c:pt>
                <c:pt idx="150">
                  <c:v>1.2372511448207599</c:v>
                </c:pt>
                <c:pt idx="151">
                  <c:v>1.2371662797910901</c:v>
                </c:pt>
                <c:pt idx="152">
                  <c:v>1.23711939502315</c:v>
                </c:pt>
                <c:pt idx="153">
                  <c:v>1.23709639129325</c:v>
                </c:pt>
                <c:pt idx="154">
                  <c:v>1.2371733911384799</c:v>
                </c:pt>
                <c:pt idx="155">
                  <c:v>1.23719968250969</c:v>
                </c:pt>
                <c:pt idx="156">
                  <c:v>1.23727592570238</c:v>
                </c:pt>
                <c:pt idx="157">
                  <c:v>1.23729037962847</c:v>
                </c:pt>
                <c:pt idx="158">
                  <c:v>1.23731662104609</c:v>
                </c:pt>
                <c:pt idx="159">
                  <c:v>1.23739278808805</c:v>
                </c:pt>
                <c:pt idx="160">
                  <c:v>1.23739530585612</c:v>
                </c:pt>
                <c:pt idx="161">
                  <c:v>1.2374478180451001</c:v>
                </c:pt>
                <c:pt idx="162">
                  <c:v>1.23733867268215</c:v>
                </c:pt>
                <c:pt idx="163">
                  <c:v>1.2373911052722</c:v>
                </c:pt>
                <c:pt idx="164">
                  <c:v>1.2373318322112301</c:v>
                </c:pt>
                <c:pt idx="165">
                  <c:v>1.23738425751508</c:v>
                </c:pt>
                <c:pt idx="166">
                  <c:v>1.23739209094701</c:v>
                </c:pt>
                <c:pt idx="167">
                  <c:v>1.2374498603222699</c:v>
                </c:pt>
                <c:pt idx="168">
                  <c:v>1.2374458404309401</c:v>
                </c:pt>
                <c:pt idx="169">
                  <c:v>1.23734206709404</c:v>
                </c:pt>
                <c:pt idx="170">
                  <c:v>1.23739977678807</c:v>
                </c:pt>
                <c:pt idx="171">
                  <c:v>1.23746932997374</c:v>
                </c:pt>
                <c:pt idx="172">
                  <c:v>1.2375389099912599</c:v>
                </c:pt>
                <c:pt idx="173">
                  <c:v>1.2374968888415701</c:v>
                </c:pt>
                <c:pt idx="174">
                  <c:v>1.23751659655712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1-4057-A817-18442D9AB2A0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IBDR*/BSCQ*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1.2374216578917301</c:v>
                </c:pt>
                <c:pt idx="20">
                  <c:v>1.2373442387639499</c:v>
                </c:pt>
                <c:pt idx="21">
                  <c:v>1.2373554117674499</c:v>
                </c:pt>
                <c:pt idx="22">
                  <c:v>1.2373035892233</c:v>
                </c:pt>
                <c:pt idx="23">
                  <c:v>1.2372832484134499</c:v>
                </c:pt>
                <c:pt idx="24">
                  <c:v>1.2372823226968599</c:v>
                </c:pt>
                <c:pt idx="25">
                  <c:v>1.2373068453940399</c:v>
                </c:pt>
                <c:pt idx="26">
                  <c:v>1.23728038341595</c:v>
                </c:pt>
                <c:pt idx="27">
                  <c:v>1.2372855191396801</c:v>
                </c:pt>
                <c:pt idx="28">
                  <c:v>1.2372967101185901</c:v>
                </c:pt>
                <c:pt idx="29">
                  <c:v>1.23727028248823</c:v>
                </c:pt>
                <c:pt idx="30">
                  <c:v>1.2373069178866201</c:v>
                </c:pt>
                <c:pt idx="31">
                  <c:v>1.2373299813173799</c:v>
                </c:pt>
                <c:pt idx="32">
                  <c:v>1.23729597737488</c:v>
                </c:pt>
                <c:pt idx="33">
                  <c:v>1.2373504978733201</c:v>
                </c:pt>
                <c:pt idx="34">
                  <c:v>1.2373834606749301</c:v>
                </c:pt>
                <c:pt idx="35">
                  <c:v>1.2373849820045899</c:v>
                </c:pt>
                <c:pt idx="36">
                  <c:v>1.2373670437659201</c:v>
                </c:pt>
                <c:pt idx="37">
                  <c:v>1.23737459285775</c:v>
                </c:pt>
                <c:pt idx="38">
                  <c:v>1.23737611418741</c:v>
                </c:pt>
                <c:pt idx="39">
                  <c:v>1.23735431233465</c:v>
                </c:pt>
                <c:pt idx="40">
                  <c:v>1.2374186321040199</c:v>
                </c:pt>
                <c:pt idx="41">
                  <c:v>1.23742597668724</c:v>
                </c:pt>
                <c:pt idx="42">
                  <c:v>1.23746487424616</c:v>
                </c:pt>
                <c:pt idx="43">
                  <c:v>1.2375230916692099</c:v>
                </c:pt>
                <c:pt idx="44">
                  <c:v>1.2374990530341801</c:v>
                </c:pt>
                <c:pt idx="45">
                  <c:v>1.2374555826120299</c:v>
                </c:pt>
                <c:pt idx="46">
                  <c:v>1.2374689841426201</c:v>
                </c:pt>
                <c:pt idx="47">
                  <c:v>1.23745698487399</c:v>
                </c:pt>
                <c:pt idx="48">
                  <c:v>1.23740757122158</c:v>
                </c:pt>
                <c:pt idx="49">
                  <c:v>1.2373955893411599</c:v>
                </c:pt>
                <c:pt idx="50">
                  <c:v>1.23732678034876</c:v>
                </c:pt>
                <c:pt idx="51">
                  <c:v>1.2373148158274101</c:v>
                </c:pt>
                <c:pt idx="52">
                  <c:v>1.23730886793273</c:v>
                </c:pt>
                <c:pt idx="53">
                  <c:v>1.23727148087613</c:v>
                </c:pt>
                <c:pt idx="54">
                  <c:v>1.2372706469974899</c:v>
                </c:pt>
                <c:pt idx="55">
                  <c:v>1.23730125459081</c:v>
                </c:pt>
                <c:pt idx="56">
                  <c:v>1.23732583442195</c:v>
                </c:pt>
                <c:pt idx="57">
                  <c:v>1.2373504142531</c:v>
                </c:pt>
                <c:pt idx="58">
                  <c:v>1.2373436074350199</c:v>
                </c:pt>
                <c:pt idx="59">
                  <c:v>1.2373660183509001</c:v>
                </c:pt>
                <c:pt idx="60">
                  <c:v>1.2373195973622499</c:v>
                </c:pt>
                <c:pt idx="61">
                  <c:v>1.2373071356954</c:v>
                </c:pt>
                <c:pt idx="62">
                  <c:v>1.23728874968441</c:v>
                </c:pt>
                <c:pt idx="63">
                  <c:v>1.2372195620749999</c:v>
                </c:pt>
                <c:pt idx="64">
                  <c:v>1.2371819018750601</c:v>
                </c:pt>
                <c:pt idx="65">
                  <c:v>1.2372201981659801</c:v>
                </c:pt>
                <c:pt idx="66">
                  <c:v>1.23719573171168</c:v>
                </c:pt>
                <c:pt idx="67">
                  <c:v>1.23722198301221</c:v>
                </c:pt>
                <c:pt idx="68">
                  <c:v>1.2372483311289</c:v>
                </c:pt>
                <c:pt idx="69">
                  <c:v>1.23721799625791</c:v>
                </c:pt>
                <c:pt idx="70">
                  <c:v>1.2372190530309699</c:v>
                </c:pt>
                <c:pt idx="71">
                  <c:v>1.2372260233996299</c:v>
                </c:pt>
                <c:pt idx="72">
                  <c:v>1.23722097987228</c:v>
                </c:pt>
                <c:pt idx="73">
                  <c:v>1.2372327878455101</c:v>
                </c:pt>
                <c:pt idx="74">
                  <c:v>1.2371981177244</c:v>
                </c:pt>
                <c:pt idx="75">
                  <c:v>1.23716344760329</c:v>
                </c:pt>
                <c:pt idx="76">
                  <c:v>1.23718534363416</c:v>
                </c:pt>
                <c:pt idx="77">
                  <c:v>1.2372012188211099</c:v>
                </c:pt>
                <c:pt idx="78">
                  <c:v>1.2372545084194499</c:v>
                </c:pt>
                <c:pt idx="79">
                  <c:v>1.2372764161357299</c:v>
                </c:pt>
                <c:pt idx="80">
                  <c:v>1.23727319547478</c:v>
                </c:pt>
                <c:pt idx="81">
                  <c:v>1.2372925184413801</c:v>
                </c:pt>
                <c:pt idx="82">
                  <c:v>1.23731846502302</c:v>
                </c:pt>
                <c:pt idx="83">
                  <c:v>1.2373384214666601</c:v>
                </c:pt>
                <c:pt idx="84">
                  <c:v>1.2373896914656699</c:v>
                </c:pt>
                <c:pt idx="85">
                  <c:v>1.2373589883471501</c:v>
                </c:pt>
                <c:pt idx="86">
                  <c:v>1.23738485882453</c:v>
                </c:pt>
                <c:pt idx="87">
                  <c:v>1.23738541234628</c:v>
                </c:pt>
                <c:pt idx="88">
                  <c:v>1.2374485178252901</c:v>
                </c:pt>
                <c:pt idx="89">
                  <c:v>1.2374804617739401</c:v>
                </c:pt>
                <c:pt idx="90">
                  <c:v>1.2375064276619601</c:v>
                </c:pt>
                <c:pt idx="91">
                  <c:v>1.2375323046581901</c:v>
                </c:pt>
                <c:pt idx="92">
                  <c:v>1.2375018109260201</c:v>
                </c:pt>
                <c:pt idx="93">
                  <c:v>1.23747260304567</c:v>
                </c:pt>
                <c:pt idx="94">
                  <c:v>1.2375057848403399</c:v>
                </c:pt>
                <c:pt idx="95">
                  <c:v>1.2375389666350001</c:v>
                </c:pt>
                <c:pt idx="96">
                  <c:v>1.23748438906642</c:v>
                </c:pt>
                <c:pt idx="97">
                  <c:v>1.2374550475297601</c:v>
                </c:pt>
                <c:pt idx="98">
                  <c:v>1.23736937442289</c:v>
                </c:pt>
                <c:pt idx="99">
                  <c:v>1.23730887711864</c:v>
                </c:pt>
                <c:pt idx="100">
                  <c:v>1.2373360733268699</c:v>
                </c:pt>
                <c:pt idx="101">
                  <c:v>1.23730676658574</c:v>
                </c:pt>
                <c:pt idx="102">
                  <c:v>1.23733405617738</c:v>
                </c:pt>
                <c:pt idx="103">
                  <c:v>1.2373673359070001</c:v>
                </c:pt>
                <c:pt idx="104">
                  <c:v>1.2373131963200701</c:v>
                </c:pt>
                <c:pt idx="105">
                  <c:v>1.23728420720844</c:v>
                </c:pt>
                <c:pt idx="106">
                  <c:v>1.23725513418248</c:v>
                </c:pt>
                <c:pt idx="107">
                  <c:v>1.23725121163181</c:v>
                </c:pt>
                <c:pt idx="108">
                  <c:v>1.23722205469152</c:v>
                </c:pt>
                <c:pt idx="109">
                  <c:v>1.23724935062521</c:v>
                </c:pt>
                <c:pt idx="110">
                  <c:v>1.2372263740381599</c:v>
                </c:pt>
                <c:pt idx="111">
                  <c:v>1.23725359878658</c:v>
                </c:pt>
                <c:pt idx="112">
                  <c:v>1.2373120661375501</c:v>
                </c:pt>
                <c:pt idx="113">
                  <c:v>1.2373273186488101</c:v>
                </c:pt>
                <c:pt idx="114">
                  <c:v>1.2372610515689</c:v>
                </c:pt>
                <c:pt idx="115">
                  <c:v>1.2372450348867301</c:v>
                </c:pt>
                <c:pt idx="116">
                  <c:v>1.2372767874195101</c:v>
                </c:pt>
                <c:pt idx="117">
                  <c:v>1.2373144566943599</c:v>
                </c:pt>
                <c:pt idx="118">
                  <c:v>1.23738332560935</c:v>
                </c:pt>
                <c:pt idx="119">
                  <c:v>1.23736486565119</c:v>
                </c:pt>
                <c:pt idx="120">
                  <c:v>1.23731529423567</c:v>
                </c:pt>
                <c:pt idx="121">
                  <c:v>1.23726572282016</c:v>
                </c:pt>
                <c:pt idx="122">
                  <c:v>1.2371902983729199</c:v>
                </c:pt>
                <c:pt idx="123">
                  <c:v>1.2371399780536101</c:v>
                </c:pt>
                <c:pt idx="124">
                  <c:v>1.2371962162604799</c:v>
                </c:pt>
                <c:pt idx="125">
                  <c:v>1.2372022224897099</c:v>
                </c:pt>
                <c:pt idx="126">
                  <c:v>1.2372392087169399</c:v>
                </c:pt>
                <c:pt idx="127">
                  <c:v>1.2372199954979199</c:v>
                </c:pt>
                <c:pt idx="128">
                  <c:v>1.23721990229657</c:v>
                </c:pt>
                <c:pt idx="129">
                  <c:v>1.2371947401682</c:v>
                </c:pt>
                <c:pt idx="130">
                  <c:v>1.2372258286212101</c:v>
                </c:pt>
                <c:pt idx="131">
                  <c:v>1.2371755160175399</c:v>
                </c:pt>
                <c:pt idx="132">
                  <c:v>1.2372064666631299</c:v>
                </c:pt>
                <c:pt idx="133">
                  <c:v>1.23724344249565</c:v>
                </c:pt>
                <c:pt idx="134">
                  <c:v>1.2372936384734601</c:v>
                </c:pt>
                <c:pt idx="135">
                  <c:v>1.23725528456808</c:v>
                </c:pt>
                <c:pt idx="136">
                  <c:v>1.2372313347295101</c:v>
                </c:pt>
                <c:pt idx="137">
                  <c:v>1.23720730395217</c:v>
                </c:pt>
                <c:pt idx="138">
                  <c:v>1.2371833541135999</c:v>
                </c:pt>
                <c:pt idx="139">
                  <c:v>1.23718465413107</c:v>
                </c:pt>
                <c:pt idx="140">
                  <c:v>1.2372169157176001</c:v>
                </c:pt>
                <c:pt idx="141">
                  <c:v>1.23727420321846</c:v>
                </c:pt>
                <c:pt idx="142">
                  <c:v>1.23736247737424</c:v>
                </c:pt>
                <c:pt idx="143">
                  <c:v>1.23738871849018</c:v>
                </c:pt>
                <c:pt idx="144">
                  <c:v>1.2373708070018199</c:v>
                </c:pt>
                <c:pt idx="145">
                  <c:v>1.2373724182213699</c:v>
                </c:pt>
                <c:pt idx="146">
                  <c:v>1.2373178989676401</c:v>
                </c:pt>
                <c:pt idx="147">
                  <c:v>1.23729442868485</c:v>
                </c:pt>
                <c:pt idx="148">
                  <c:v>1.23727683927193</c:v>
                </c:pt>
                <c:pt idx="149">
                  <c:v>1.2372783882226399</c:v>
                </c:pt>
                <c:pt idx="150">
                  <c:v>1.23728586773674</c:v>
                </c:pt>
                <c:pt idx="151">
                  <c:v>1.2372624282945699</c:v>
                </c:pt>
                <c:pt idx="152">
                  <c:v>1.23723882778414</c:v>
                </c:pt>
                <c:pt idx="153">
                  <c:v>1.2372153078078401</c:v>
                </c:pt>
                <c:pt idx="154">
                  <c:v>1.237228681278</c:v>
                </c:pt>
                <c:pt idx="155">
                  <c:v>1.2372494412021999</c:v>
                </c:pt>
                <c:pt idx="156">
                  <c:v>1.23726419696664</c:v>
                </c:pt>
                <c:pt idx="157">
                  <c:v>1.23722300710648</c:v>
                </c:pt>
                <c:pt idx="158">
                  <c:v>1.2372377628709199</c:v>
                </c:pt>
                <c:pt idx="159">
                  <c:v>1.2373084540986301</c:v>
                </c:pt>
                <c:pt idx="160">
                  <c:v>1.2373232253384401</c:v>
                </c:pt>
                <c:pt idx="161">
                  <c:v>1.2373070489180999</c:v>
                </c:pt>
                <c:pt idx="162">
                  <c:v>1.2372290338526499</c:v>
                </c:pt>
                <c:pt idx="163">
                  <c:v>1.2372437482827301</c:v>
                </c:pt>
                <c:pt idx="164">
                  <c:v>1.2372526116748499</c:v>
                </c:pt>
                <c:pt idx="165">
                  <c:v>1.2372919700123901</c:v>
                </c:pt>
                <c:pt idx="166">
                  <c:v>1.23733400832469</c:v>
                </c:pt>
                <c:pt idx="167">
                  <c:v>1.2373701199753699</c:v>
                </c:pt>
                <c:pt idx="168">
                  <c:v>1.2373812307385099</c:v>
                </c:pt>
                <c:pt idx="169">
                  <c:v>1.23736742759104</c:v>
                </c:pt>
                <c:pt idx="170">
                  <c:v>1.2373975413220899</c:v>
                </c:pt>
                <c:pt idx="171">
                  <c:v>1.2374585740094199</c:v>
                </c:pt>
                <c:pt idx="172">
                  <c:v>1.23743879133671</c:v>
                </c:pt>
                <c:pt idx="173">
                  <c:v>1.23744399705689</c:v>
                </c:pt>
                <c:pt idx="174">
                  <c:v>1.2374242143841701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1-4057-A817-18442D9A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BSCQ x avg / IBDR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1.1404823419767301E-3</c:v>
                </c:pt>
                <c:pt idx="2">
                  <c:v>1.1404823419767301E-3</c:v>
                </c:pt>
                <c:pt idx="3">
                  <c:v>1.1404823419767301E-3</c:v>
                </c:pt>
                <c:pt idx="4">
                  <c:v>1.1404823419767301E-3</c:v>
                </c:pt>
                <c:pt idx="5">
                  <c:v>1.1404823419767301E-3</c:v>
                </c:pt>
                <c:pt idx="6">
                  <c:v>7.2785596929742901E-4</c:v>
                </c:pt>
                <c:pt idx="7">
                  <c:v>1.23845082338254E-3</c:v>
                </c:pt>
                <c:pt idx="8">
                  <c:v>1.33632892102614E-3</c:v>
                </c:pt>
                <c:pt idx="9">
                  <c:v>8.2599464100393801E-4</c:v>
                </c:pt>
                <c:pt idx="10">
                  <c:v>1.4341167603976E-3</c:v>
                </c:pt>
                <c:pt idx="11">
                  <c:v>-1.7295907008089001E-3</c:v>
                </c:pt>
                <c:pt idx="12">
                  <c:v>-2.6537785592697901E-3</c:v>
                </c:pt>
                <c:pt idx="13">
                  <c:v>-1.63023701648254E-3</c:v>
                </c:pt>
                <c:pt idx="14">
                  <c:v>-2.0423532390884498E-3</c:v>
                </c:pt>
                <c:pt idx="15">
                  <c:v>-2.0423532390884498E-3</c:v>
                </c:pt>
                <c:pt idx="16">
                  <c:v>-2.4542996918759299E-3</c:v>
                </c:pt>
                <c:pt idx="17">
                  <c:v>-2.0423532390884498E-3</c:v>
                </c:pt>
                <c:pt idx="18">
                  <c:v>-2.0423532390884498E-3</c:v>
                </c:pt>
                <c:pt idx="19">
                  <c:v>-2.4542996918759299E-3</c:v>
                </c:pt>
                <c:pt idx="20">
                  <c:v>1.8685283133910999E-3</c:v>
                </c:pt>
                <c:pt idx="21">
                  <c:v>9.4427372475070295E-4</c:v>
                </c:pt>
                <c:pt idx="22">
                  <c:v>1.9662462204438399E-3</c:v>
                </c:pt>
                <c:pt idx="23">
                  <c:v>1.45539052606444E-3</c:v>
                </c:pt>
                <c:pt idx="24">
                  <c:v>1.1404823419767301E-3</c:v>
                </c:pt>
                <c:pt idx="25">
                  <c:v>7.2785596929742901E-4</c:v>
                </c:pt>
                <c:pt idx="26">
                  <c:v>1.1404823419767301E-3</c:v>
                </c:pt>
                <c:pt idx="27">
                  <c:v>1.1404823419767301E-3</c:v>
                </c:pt>
                <c:pt idx="28">
                  <c:v>1.1404823419767301E-3</c:v>
                </c:pt>
                <c:pt idx="29">
                  <c:v>1.23845082338254E-3</c:v>
                </c:pt>
                <c:pt idx="30">
                  <c:v>8.2599464100393801E-4</c:v>
                </c:pt>
                <c:pt idx="31">
                  <c:v>1.33632892102614E-3</c:v>
                </c:pt>
                <c:pt idx="32">
                  <c:v>1.33632892102614E-3</c:v>
                </c:pt>
                <c:pt idx="33">
                  <c:v>9.2404278861426897E-4</c:v>
                </c:pt>
                <c:pt idx="34">
                  <c:v>-2.5539930558266199E-3</c:v>
                </c:pt>
                <c:pt idx="35">
                  <c:v>-2.0423532390884498E-3</c:v>
                </c:pt>
                <c:pt idx="36">
                  <c:v>-2.1418768332208201E-3</c:v>
                </c:pt>
                <c:pt idx="37">
                  <c:v>-2.1418768332208201E-3</c:v>
                </c:pt>
                <c:pt idx="38">
                  <c:v>-2.0423532390884498E-3</c:v>
                </c:pt>
                <c:pt idx="39">
                  <c:v>1.2593418774856399E-3</c:v>
                </c:pt>
                <c:pt idx="40">
                  <c:v>7.4770206074728496E-4</c:v>
                </c:pt>
                <c:pt idx="41">
                  <c:v>7.4770206074728496E-4</c:v>
                </c:pt>
                <c:pt idx="42">
                  <c:v>1.2593418774856399E-3</c:v>
                </c:pt>
                <c:pt idx="43">
                  <c:v>4.32895549454491E-4</c:v>
                </c:pt>
                <c:pt idx="44">
                  <c:v>1.45539052606444E-3</c:v>
                </c:pt>
                <c:pt idx="45">
                  <c:v>1.3574115120773399E-3</c:v>
                </c:pt>
                <c:pt idx="46">
                  <c:v>8.4603333678089402E-4</c:v>
                </c:pt>
                <c:pt idx="47">
                  <c:v>1.2593418774856399E-3</c:v>
                </c:pt>
                <c:pt idx="48">
                  <c:v>1.8685283133910999E-3</c:v>
                </c:pt>
                <c:pt idx="49">
                  <c:v>1.3574115120773399E-3</c:v>
                </c:pt>
                <c:pt idx="50">
                  <c:v>1.8685283133910999E-3</c:v>
                </c:pt>
                <c:pt idx="51">
                  <c:v>1.45539052606444E-3</c:v>
                </c:pt>
                <c:pt idx="52">
                  <c:v>1.3574115120773399E-3</c:v>
                </c:pt>
                <c:pt idx="53">
                  <c:v>1.45539052606444E-3</c:v>
                </c:pt>
                <c:pt idx="54">
                  <c:v>-2.5408924871983202E-3</c:v>
                </c:pt>
                <c:pt idx="55">
                  <c:v>-2.5408924871983202E-3</c:v>
                </c:pt>
                <c:pt idx="56">
                  <c:v>-2.5408924871983202E-3</c:v>
                </c:pt>
                <c:pt idx="57">
                  <c:v>-2.5408924871983202E-3</c:v>
                </c:pt>
                <c:pt idx="58">
                  <c:v>-1.9285737754411701E-3</c:v>
                </c:pt>
                <c:pt idx="59">
                  <c:v>-2.4410001253676599E-3</c:v>
                </c:pt>
                <c:pt idx="60">
                  <c:v>-1.8290362444792899E-3</c:v>
                </c:pt>
                <c:pt idx="61">
                  <c:v>9.64587986378991E-4</c:v>
                </c:pt>
                <c:pt idx="62">
                  <c:v>1.5748319672916301E-3</c:v>
                </c:pt>
                <c:pt idx="63">
                  <c:v>1.5748319672916301E-3</c:v>
                </c:pt>
                <c:pt idx="64">
                  <c:v>2.0864717840299199E-3</c:v>
                </c:pt>
                <c:pt idx="65">
                  <c:v>7.4770206074728496E-4</c:v>
                </c:pt>
                <c:pt idx="66">
                  <c:v>1.2593418774856399E-3</c:v>
                </c:pt>
                <c:pt idx="67">
                  <c:v>8.4603333678089402E-4</c:v>
                </c:pt>
                <c:pt idx="68">
                  <c:v>1.45539052606444E-3</c:v>
                </c:pt>
                <c:pt idx="69">
                  <c:v>1.8685283133910999E-3</c:v>
                </c:pt>
                <c:pt idx="70">
                  <c:v>1.8685283133910999E-3</c:v>
                </c:pt>
                <c:pt idx="71">
                  <c:v>1.3574115120773399E-3</c:v>
                </c:pt>
                <c:pt idx="72">
                  <c:v>1.45539052606444E-3</c:v>
                </c:pt>
                <c:pt idx="73">
                  <c:v>-2.02820342187942E-3</c:v>
                </c:pt>
                <c:pt idx="74">
                  <c:v>-1.9285737754411701E-3</c:v>
                </c:pt>
                <c:pt idx="75">
                  <c:v>-1.9285737754411701E-3</c:v>
                </c:pt>
                <c:pt idx="76">
                  <c:v>-2.8536264980468999E-3</c:v>
                </c:pt>
                <c:pt idx="77">
                  <c:v>-2.7536563304990402E-3</c:v>
                </c:pt>
                <c:pt idx="78">
                  <c:v>-2.7536563304990402E-3</c:v>
                </c:pt>
                <c:pt idx="79">
                  <c:v>-2.7536563304990402E-3</c:v>
                </c:pt>
                <c:pt idx="80">
                  <c:v>-1.7295907008089001E-3</c:v>
                </c:pt>
                <c:pt idx="81">
                  <c:v>-2.6537785592697901E-3</c:v>
                </c:pt>
                <c:pt idx="82">
                  <c:v>1.1611814960366799E-3</c:v>
                </c:pt>
                <c:pt idx="83">
                  <c:v>1.2593418774856399E-3</c:v>
                </c:pt>
                <c:pt idx="84">
                  <c:v>1.2593418774856399E-3</c:v>
                </c:pt>
                <c:pt idx="85">
                  <c:v>1.2593418774856399E-3</c:v>
                </c:pt>
                <c:pt idx="86">
                  <c:v>8.4603333678089402E-4</c:v>
                </c:pt>
                <c:pt idx="87">
                  <c:v>8.4603333678089402E-4</c:v>
                </c:pt>
                <c:pt idx="88">
                  <c:v>4.32895549454491E-4</c:v>
                </c:pt>
                <c:pt idx="89">
                  <c:v>1.3574115120773399E-3</c:v>
                </c:pt>
                <c:pt idx="90">
                  <c:v>1.45539052606444E-3</c:v>
                </c:pt>
                <c:pt idx="91">
                  <c:v>9.4427372475070295E-4</c:v>
                </c:pt>
                <c:pt idx="92">
                  <c:v>1.9662462204438399E-3</c:v>
                </c:pt>
                <c:pt idx="93">
                  <c:v>-1.6152362469004E-3</c:v>
                </c:pt>
                <c:pt idx="94">
                  <c:v>-2.5408924871983202E-3</c:v>
                </c:pt>
                <c:pt idx="95">
                  <c:v>-2.5408924871983202E-3</c:v>
                </c:pt>
                <c:pt idx="96">
                  <c:v>-2.02820342187942E-3</c:v>
                </c:pt>
                <c:pt idx="97">
                  <c:v>-2.3412001481204802E-3</c:v>
                </c:pt>
                <c:pt idx="98">
                  <c:v>-1.41640987180001E-3</c:v>
                </c:pt>
                <c:pt idx="99">
                  <c:v>-1.8290362444792899E-3</c:v>
                </c:pt>
                <c:pt idx="100">
                  <c:v>-2.2414924268578502E-3</c:v>
                </c:pt>
                <c:pt idx="101">
                  <c:v>-2.2414924268578502E-3</c:v>
                </c:pt>
                <c:pt idx="102">
                  <c:v>6.4927976998778295E-4</c:v>
                </c:pt>
                <c:pt idx="103">
                  <c:v>6.4927976998778295E-4</c:v>
                </c:pt>
                <c:pt idx="104">
                  <c:v>2.0864717840299199E-3</c:v>
                </c:pt>
                <c:pt idx="105">
                  <c:v>1.67282131277501E-3</c:v>
                </c:pt>
                <c:pt idx="106">
                  <c:v>1.2593418774856399E-3</c:v>
                </c:pt>
                <c:pt idx="107">
                  <c:v>8.4603333678089402E-4</c:v>
                </c:pt>
                <c:pt idx="108">
                  <c:v>8.4603333678089402E-4</c:v>
                </c:pt>
                <c:pt idx="109">
                  <c:v>8.4603333678089402E-4</c:v>
                </c:pt>
                <c:pt idx="110">
                  <c:v>1.7707200527819599E-3</c:v>
                </c:pt>
                <c:pt idx="111">
                  <c:v>4.32895549454491E-4</c:v>
                </c:pt>
                <c:pt idx="112">
                  <c:v>9.4427372475070295E-4</c:v>
                </c:pt>
                <c:pt idx="113">
                  <c:v>1.45539052606444E-3</c:v>
                </c:pt>
                <c:pt idx="114">
                  <c:v>1.8685283133910999E-3</c:v>
                </c:pt>
                <c:pt idx="115">
                  <c:v>1.0424233510854899E-3</c:v>
                </c:pt>
                <c:pt idx="116">
                  <c:v>-2.5408924871983202E-3</c:v>
                </c:pt>
                <c:pt idx="117">
                  <c:v>-2.9536891906865202E-3</c:v>
                </c:pt>
                <c:pt idx="118">
                  <c:v>-2.5408924871983202E-3</c:v>
                </c:pt>
                <c:pt idx="119">
                  <c:v>-1.5157770719528901E-3</c:v>
                </c:pt>
                <c:pt idx="120">
                  <c:v>-1.41640987180001E-3</c:v>
                </c:pt>
                <c:pt idx="121">
                  <c:v>-1.41640987180001E-3</c:v>
                </c:pt>
                <c:pt idx="122">
                  <c:v>-1.41640987180001E-3</c:v>
                </c:pt>
                <c:pt idx="123">
                  <c:v>1.4767518900202299E-3</c:v>
                </c:pt>
                <c:pt idx="124">
                  <c:v>1.1611814960366799E-3</c:v>
                </c:pt>
                <c:pt idx="125">
                  <c:v>1.5748319672916301E-3</c:v>
                </c:pt>
                <c:pt idx="126">
                  <c:v>6.4927976998778295E-4</c:v>
                </c:pt>
                <c:pt idx="127">
                  <c:v>1.1611814960366799E-3</c:v>
                </c:pt>
                <c:pt idx="128">
                  <c:v>8.4603333678089402E-4</c:v>
                </c:pt>
                <c:pt idx="129">
                  <c:v>1.2593418774856399E-3</c:v>
                </c:pt>
                <c:pt idx="130">
                  <c:v>1.2593418774856399E-3</c:v>
                </c:pt>
                <c:pt idx="131">
                  <c:v>1.2593418774856399E-3</c:v>
                </c:pt>
                <c:pt idx="132">
                  <c:v>4.32895549454491E-4</c:v>
                </c:pt>
                <c:pt idx="133">
                  <c:v>8.4603333678089402E-4</c:v>
                </c:pt>
                <c:pt idx="134">
                  <c:v>1.0424233510854899E-3</c:v>
                </c:pt>
                <c:pt idx="135">
                  <c:v>-1.6152362469004E-3</c:v>
                </c:pt>
                <c:pt idx="136">
                  <c:v>-2.12792531221929E-3</c:v>
                </c:pt>
                <c:pt idx="137">
                  <c:v>-2.5408924871983202E-3</c:v>
                </c:pt>
                <c:pt idx="138">
                  <c:v>-2.12792531221929E-3</c:v>
                </c:pt>
                <c:pt idx="139">
                  <c:v>-1.5157770719528901E-3</c:v>
                </c:pt>
                <c:pt idx="140">
                  <c:v>-1.9285737754411701E-3</c:v>
                </c:pt>
                <c:pt idx="141">
                  <c:v>-2.3412001481204802E-3</c:v>
                </c:pt>
                <c:pt idx="142">
                  <c:v>-2.8536264980468999E-3</c:v>
                </c:pt>
                <c:pt idx="143">
                  <c:v>-2.2414924268578502E-3</c:v>
                </c:pt>
                <c:pt idx="144">
                  <c:v>-1.8290362444792899E-3</c:v>
                </c:pt>
                <c:pt idx="145">
                  <c:v>1.5748319672916301E-3</c:v>
                </c:pt>
                <c:pt idx="146">
                  <c:v>1.5748319672916301E-3</c:v>
                </c:pt>
                <c:pt idx="147">
                  <c:v>1.5748319672916301E-3</c:v>
                </c:pt>
                <c:pt idx="148">
                  <c:v>1.1611814960366799E-3</c:v>
                </c:pt>
                <c:pt idx="149">
                  <c:v>1.2593418774856399E-3</c:v>
                </c:pt>
                <c:pt idx="150">
                  <c:v>1.1611814960366799E-3</c:v>
                </c:pt>
                <c:pt idx="151">
                  <c:v>1.67282131277501E-3</c:v>
                </c:pt>
                <c:pt idx="152">
                  <c:v>8.4603333678089402E-4</c:v>
                </c:pt>
                <c:pt idx="153">
                  <c:v>1.2593418774856399E-3</c:v>
                </c:pt>
                <c:pt idx="154">
                  <c:v>8.4603333678089402E-4</c:v>
                </c:pt>
                <c:pt idx="155">
                  <c:v>1.3574115120773399E-3</c:v>
                </c:pt>
                <c:pt idx="156">
                  <c:v>9.4427372475070295E-4</c:v>
                </c:pt>
                <c:pt idx="157">
                  <c:v>1.45539052606444E-3</c:v>
                </c:pt>
                <c:pt idx="158">
                  <c:v>9.4427372475070295E-4</c:v>
                </c:pt>
                <c:pt idx="159">
                  <c:v>6.2962664759725403E-4</c:v>
                </c:pt>
                <c:pt idx="160">
                  <c:v>-2.02820342187942E-3</c:v>
                </c:pt>
                <c:pt idx="161">
                  <c:v>-1.9285737754411701E-3</c:v>
                </c:pt>
                <c:pt idx="162">
                  <c:v>-1.41640987180001E-3</c:v>
                </c:pt>
                <c:pt idx="163">
                  <c:v>-2.3412001481204802E-3</c:v>
                </c:pt>
                <c:pt idx="164">
                  <c:v>-1.8290362444792899E-3</c:v>
                </c:pt>
                <c:pt idx="165">
                  <c:v>-2.2414924268578502E-3</c:v>
                </c:pt>
                <c:pt idx="166">
                  <c:v>9.64587986378991E-4</c:v>
                </c:pt>
                <c:pt idx="167">
                  <c:v>1.0629302412425499E-3</c:v>
                </c:pt>
                <c:pt idx="168">
                  <c:v>1.0629302412425499E-3</c:v>
                </c:pt>
                <c:pt idx="169">
                  <c:v>1.5748319672916301E-3</c:v>
                </c:pt>
                <c:pt idx="170">
                  <c:v>7.4770206074728496E-4</c:v>
                </c:pt>
                <c:pt idx="171">
                  <c:v>7.4770206074728496E-4</c:v>
                </c:pt>
                <c:pt idx="172">
                  <c:v>1.2593418774856399E-3</c:v>
                </c:pt>
                <c:pt idx="173">
                  <c:v>1.2593418774856399E-3</c:v>
                </c:pt>
                <c:pt idx="174">
                  <c:v>1.2593418774856399E-3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4-489C-9272-7A9567B90C2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BSCQ x 10 dma / IBDR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3.8807433787387598E-4</c:v>
                </c:pt>
                <c:pt idx="11">
                  <c:v>-2.85608651309739E-3</c:v>
                </c:pt>
                <c:pt idx="12">
                  <c:v>-3.4929001229141699E-3</c:v>
                </c:pt>
                <c:pt idx="13">
                  <c:v>-2.0893984960106099E-3</c:v>
                </c:pt>
                <c:pt idx="14">
                  <c:v>-2.2242859874348499E-3</c:v>
                </c:pt>
                <c:pt idx="15">
                  <c:v>-1.9058515052421501E-3</c:v>
                </c:pt>
                <c:pt idx="16">
                  <c:v>-1.9994648440783201E-3</c:v>
                </c:pt>
                <c:pt idx="17">
                  <c:v>-1.26922337044733E-3</c:v>
                </c:pt>
                <c:pt idx="18">
                  <c:v>-9.4131833769517696E-4</c:v>
                </c:pt>
                <c:pt idx="19">
                  <c:v>-1.0157060318630999E-3</c:v>
                </c:pt>
                <c:pt idx="20">
                  <c:v>3.6348930597279098E-3</c:v>
                </c:pt>
                <c:pt idx="21">
                  <c:v>2.6673445931457598E-3</c:v>
                </c:pt>
                <c:pt idx="22">
                  <c:v>3.4222504053041101E-3</c:v>
                </c:pt>
                <c:pt idx="23">
                  <c:v>2.4497988746157101E-3</c:v>
                </c:pt>
                <c:pt idx="24">
                  <c:v>1.8265600199017899E-3</c:v>
                </c:pt>
                <c:pt idx="25">
                  <c:v>1.0956741487245E-3</c:v>
                </c:pt>
                <c:pt idx="26">
                  <c:v>1.2311609224348501E-3</c:v>
                </c:pt>
                <c:pt idx="27">
                  <c:v>8.7141421928231501E-4</c:v>
                </c:pt>
                <c:pt idx="28">
                  <c:v>5.5285054289258399E-4</c:v>
                </c:pt>
                <c:pt idx="29">
                  <c:v>3.32153832752948E-4</c:v>
                </c:pt>
                <c:pt idx="30">
                  <c:v>-4.5020560481751098E-4</c:v>
                </c:pt>
                <c:pt idx="31">
                  <c:v>1.6436920582196899E-4</c:v>
                </c:pt>
                <c:pt idx="32">
                  <c:v>1.25161676134793E-4</c:v>
                </c:pt>
                <c:pt idx="33">
                  <c:v>-2.24162425285403E-4</c:v>
                </c:pt>
                <c:pt idx="34">
                  <c:v>-3.6490671124963501E-3</c:v>
                </c:pt>
                <c:pt idx="35">
                  <c:v>-2.7673817392653002E-3</c:v>
                </c:pt>
                <c:pt idx="36">
                  <c:v>-2.5895396088301899E-3</c:v>
                </c:pt>
                <c:pt idx="37">
                  <c:v>-2.2610460702584901E-3</c:v>
                </c:pt>
                <c:pt idx="38">
                  <c:v>-1.83313681012502E-3</c:v>
                </c:pt>
                <c:pt idx="39">
                  <c:v>1.78686827743026E-3</c:v>
                </c:pt>
                <c:pt idx="40">
                  <c:v>1.2731430609475001E-3</c:v>
                </c:pt>
                <c:pt idx="41">
                  <c:v>1.28096202089354E-3</c:v>
                </c:pt>
                <c:pt idx="42">
                  <c:v>1.8513701456682699E-3</c:v>
                </c:pt>
                <c:pt idx="43">
                  <c:v>1.0326079567078499E-3</c:v>
                </c:pt>
                <c:pt idx="44">
                  <c:v>2.1041537172855501E-3</c:v>
                </c:pt>
                <c:pt idx="45">
                  <c:v>1.6051955713187E-3</c:v>
                </c:pt>
                <c:pt idx="46">
                  <c:v>7.5375074823877603E-4</c:v>
                </c:pt>
                <c:pt idx="47">
                  <c:v>8.6800219932083999E-4</c:v>
                </c:pt>
                <c:pt idx="48">
                  <c:v>1.1367253431977E-3</c:v>
                </c:pt>
                <c:pt idx="49">
                  <c:v>2.3412319578922899E-4</c:v>
                </c:pt>
                <c:pt idx="50">
                  <c:v>7.3543480055601295E-4</c:v>
                </c:pt>
                <c:pt idx="51">
                  <c:v>2.1022771774242401E-4</c:v>
                </c:pt>
                <c:pt idx="52">
                  <c:v>4.1467186489152403E-5</c:v>
                </c:pt>
                <c:pt idx="53">
                  <c:v>1.29639114708363E-4</c:v>
                </c:pt>
                <c:pt idx="54">
                  <c:v>-3.9689376592101904E-3</c:v>
                </c:pt>
                <c:pt idx="55">
                  <c:v>-3.5686008743862499E-3</c:v>
                </c:pt>
                <c:pt idx="56">
                  <c:v>-3.1782146159844101E-3</c:v>
                </c:pt>
                <c:pt idx="57">
                  <c:v>-2.8390761375212499E-3</c:v>
                </c:pt>
                <c:pt idx="58">
                  <c:v>-1.8464490928040199E-3</c:v>
                </c:pt>
                <c:pt idx="59">
                  <c:v>-1.9792568531313E-3</c:v>
                </c:pt>
                <c:pt idx="60">
                  <c:v>-9.8749330526369094E-4</c:v>
                </c:pt>
                <c:pt idx="61">
                  <c:v>2.17550103624735E-3</c:v>
                </c:pt>
                <c:pt idx="62">
                  <c:v>2.83470539824902E-3</c:v>
                </c:pt>
                <c:pt idx="63">
                  <c:v>2.8130223056097399E-3</c:v>
                </c:pt>
                <c:pt idx="64">
                  <c:v>3.3127507478780899E-3</c:v>
                </c:pt>
                <c:pt idx="65">
                  <c:v>1.51159937769722E-3</c:v>
                </c:pt>
                <c:pt idx="66">
                  <c:v>1.6942818490423501E-3</c:v>
                </c:pt>
                <c:pt idx="67">
                  <c:v>9.0079915580852405E-4</c:v>
                </c:pt>
                <c:pt idx="68">
                  <c:v>1.1711375645425E-3</c:v>
                </c:pt>
                <c:pt idx="69">
                  <c:v>1.24564513357631E-3</c:v>
                </c:pt>
                <c:pt idx="70">
                  <c:v>8.1420693423362703E-4</c:v>
                </c:pt>
                <c:pt idx="71">
                  <c:v>-6.7117791085499301E-5</c:v>
                </c:pt>
                <c:pt idx="72">
                  <c:v>-8.4322553243452505E-6</c:v>
                </c:pt>
                <c:pt idx="73">
                  <c:v>-3.48008274304274E-3</c:v>
                </c:pt>
                <c:pt idx="74">
                  <c:v>-3.0196091736642201E-3</c:v>
                </c:pt>
                <c:pt idx="75">
                  <c:v>-2.6177785295032098E-3</c:v>
                </c:pt>
                <c:pt idx="76">
                  <c:v>-3.2748967998238402E-3</c:v>
                </c:pt>
                <c:pt idx="77">
                  <c:v>-2.7632128355533098E-3</c:v>
                </c:pt>
                <c:pt idx="78">
                  <c:v>-2.4029616228718699E-3</c:v>
                </c:pt>
                <c:pt idx="79">
                  <c:v>-1.9820196021683402E-3</c:v>
                </c:pt>
                <c:pt idx="80">
                  <c:v>-4.9599389521422905E-4</c:v>
                </c:pt>
                <c:pt idx="81">
                  <c:v>-1.0609027600116301E-3</c:v>
                </c:pt>
                <c:pt idx="82">
                  <c:v>3.1547175409538798E-3</c:v>
                </c:pt>
                <c:pt idx="83">
                  <c:v>3.2822014131844899E-3</c:v>
                </c:pt>
                <c:pt idx="84">
                  <c:v>2.9539310604815099E-3</c:v>
                </c:pt>
                <c:pt idx="85">
                  <c:v>2.63552192689431E-3</c:v>
                </c:pt>
                <c:pt idx="86">
                  <c:v>1.90370283593313E-3</c:v>
                </c:pt>
                <c:pt idx="87">
                  <c:v>1.53368812507546E-3</c:v>
                </c:pt>
                <c:pt idx="88">
                  <c:v>7.6042051675270295E-4</c:v>
                </c:pt>
                <c:pt idx="89">
                  <c:v>1.3659647861373101E-3</c:v>
                </c:pt>
                <c:pt idx="90">
                  <c:v>1.0524684974982199E-3</c:v>
                </c:pt>
                <c:pt idx="91">
                  <c:v>2.2263061015560299E-4</c:v>
                </c:pt>
                <c:pt idx="92">
                  <c:v>8.8416509042618099E-4</c:v>
                </c:pt>
                <c:pt idx="93">
                  <c:v>-2.77778832401584E-3</c:v>
                </c:pt>
                <c:pt idx="94">
                  <c:v>-3.41564247639203E-3</c:v>
                </c:pt>
                <c:pt idx="95">
                  <c:v>-3.0351148489501101E-3</c:v>
                </c:pt>
                <c:pt idx="96">
                  <c:v>-2.1420429023862701E-3</c:v>
                </c:pt>
                <c:pt idx="97">
                  <c:v>-2.1674545268873099E-3</c:v>
                </c:pt>
                <c:pt idx="98">
                  <c:v>-9.2380865895482097E-4</c:v>
                </c:pt>
                <c:pt idx="99">
                  <c:v>-1.15152171676823E-3</c:v>
                </c:pt>
                <c:pt idx="100">
                  <c:v>-1.2455244154452099E-3</c:v>
                </c:pt>
                <c:pt idx="101">
                  <c:v>-8.7612696959836597E-4</c:v>
                </c:pt>
                <c:pt idx="102">
                  <c:v>2.3329430549815702E-3</c:v>
                </c:pt>
                <c:pt idx="103">
                  <c:v>2.4642377178545299E-3</c:v>
                </c:pt>
                <c:pt idx="104">
                  <c:v>3.6752539342154202E-3</c:v>
                </c:pt>
                <c:pt idx="105">
                  <c:v>2.7993894392412799E-3</c:v>
                </c:pt>
                <c:pt idx="106">
                  <c:v>1.9647413457374598E-3</c:v>
                </c:pt>
                <c:pt idx="107">
                  <c:v>1.22272961309989E-3</c:v>
                </c:pt>
                <c:pt idx="108">
                  <c:v>9.0383705651528399E-4</c:v>
                </c:pt>
                <c:pt idx="109">
                  <c:v>6.7751562831884797E-4</c:v>
                </c:pt>
                <c:pt idx="110">
                  <c:v>1.3344828547175701E-3</c:v>
                </c:pt>
                <c:pt idx="111">
                  <c:v>-4.04913345077532E-4</c:v>
                </c:pt>
                <c:pt idx="112">
                  <c:v>-1.6147625341458399E-4</c:v>
                </c:pt>
                <c:pt idx="113">
                  <c:v>3.2013160099932098E-4</c:v>
                </c:pt>
                <c:pt idx="114">
                  <c:v>6.5264837589691497E-4</c:v>
                </c:pt>
                <c:pt idx="115">
                  <c:v>-1.5167906912712099E-4</c:v>
                </c:pt>
                <c:pt idx="116">
                  <c:v>-3.6719674038921202E-3</c:v>
                </c:pt>
                <c:pt idx="117">
                  <c:v>-3.7041389472831101E-3</c:v>
                </c:pt>
                <c:pt idx="118">
                  <c:v>-2.91075599987286E-3</c:v>
                </c:pt>
                <c:pt idx="119">
                  <c:v>-1.5465927841703301E-3</c:v>
                </c:pt>
                <c:pt idx="120">
                  <c:v>-1.21098601072855E-3</c:v>
                </c:pt>
                <c:pt idx="121">
                  <c:v>-8.92445532395618E-4</c:v>
                </c:pt>
                <c:pt idx="122">
                  <c:v>-7.0753801636251796E-4</c:v>
                </c:pt>
                <c:pt idx="123">
                  <c:v>2.4215527388367201E-3</c:v>
                </c:pt>
                <c:pt idx="124">
                  <c:v>2.1038513499356702E-3</c:v>
                </c:pt>
                <c:pt idx="125">
                  <c:v>2.5880603962741299E-3</c:v>
                </c:pt>
                <c:pt idx="126">
                  <c:v>1.60938940016226E-3</c:v>
                </c:pt>
                <c:pt idx="127">
                  <c:v>1.8022274327657E-3</c:v>
                </c:pt>
                <c:pt idx="128">
                  <c:v>1.07540215890374E-3</c:v>
                </c:pt>
                <c:pt idx="129">
                  <c:v>1.14975111762102E-3</c:v>
                </c:pt>
                <c:pt idx="130">
                  <c:v>8.72134599210621E-4</c:v>
                </c:pt>
                <c:pt idx="131">
                  <c:v>6.0439885657843895E-4</c:v>
                </c:pt>
                <c:pt idx="132">
                  <c:v>-4.8985491571047301E-4</c:v>
                </c:pt>
                <c:pt idx="133">
                  <c:v>-2.6192661787431698E-4</c:v>
                </c:pt>
                <c:pt idx="134">
                  <c:v>-2.4701059407156499E-6</c:v>
                </c:pt>
                <c:pt idx="135">
                  <c:v>-2.6482546357545198E-3</c:v>
                </c:pt>
                <c:pt idx="136">
                  <c:v>-2.8416515618782498E-3</c:v>
                </c:pt>
                <c:pt idx="137">
                  <c:v>-2.9765329738484802E-3</c:v>
                </c:pt>
                <c:pt idx="138">
                  <c:v>-2.1930099516918201E-3</c:v>
                </c:pt>
                <c:pt idx="139">
                  <c:v>-1.2832999680101899E-3</c:v>
                </c:pt>
                <c:pt idx="140">
                  <c:v>-1.4186521105608099E-3</c:v>
                </c:pt>
                <c:pt idx="141">
                  <c:v>-1.5125934495339201E-3</c:v>
                </c:pt>
                <c:pt idx="142">
                  <c:v>-1.66513373384562E-3</c:v>
                </c:pt>
                <c:pt idx="143">
                  <c:v>-7.2439411811582805E-4</c:v>
                </c:pt>
                <c:pt idx="144">
                  <c:v>-3.4856917245787598E-6</c:v>
                </c:pt>
                <c:pt idx="145">
                  <c:v>3.6870765087283798E-3</c:v>
                </c:pt>
                <c:pt idx="146">
                  <c:v>3.3686855494971801E-3</c:v>
                </c:pt>
                <c:pt idx="147">
                  <c:v>2.9989026449767E-3</c:v>
                </c:pt>
                <c:pt idx="148">
                  <c:v>2.1739820022018E-3</c:v>
                </c:pt>
                <c:pt idx="149">
                  <c:v>1.9433515975097E-3</c:v>
                </c:pt>
                <c:pt idx="150">
                  <c:v>1.5677949574023E-3</c:v>
                </c:pt>
                <c:pt idx="151">
                  <c:v>1.77041846428119E-3</c:v>
                </c:pt>
                <c:pt idx="152">
                  <c:v>5.4205247111469696E-4</c:v>
                </c:pt>
                <c:pt idx="153">
                  <c:v>5.8484203370465801E-4</c:v>
                </c:pt>
                <c:pt idx="154">
                  <c:v>-1.79019839490762E-4</c:v>
                </c:pt>
                <c:pt idx="155">
                  <c:v>6.4409405992442599E-5</c:v>
                </c:pt>
                <c:pt idx="156">
                  <c:v>-3.2699033569188801E-4</c:v>
                </c:pt>
                <c:pt idx="157">
                  <c:v>2.4718104140360501E-4</c:v>
                </c:pt>
                <c:pt idx="158">
                  <c:v>-2.5199535218370698E-4</c:v>
                </c:pt>
                <c:pt idx="159">
                  <c:v>-5.4494877372587402E-4</c:v>
                </c:pt>
                <c:pt idx="160">
                  <c:v>-3.1397948118510699E-3</c:v>
                </c:pt>
                <c:pt idx="161">
                  <c:v>-2.72078437219109E-3</c:v>
                </c:pt>
                <c:pt idx="162">
                  <c:v>-1.8482142069577E-3</c:v>
                </c:pt>
                <c:pt idx="163">
                  <c:v>-2.5466234665768501E-3</c:v>
                </c:pt>
                <c:pt idx="164">
                  <c:v>-1.6742012389200801E-3</c:v>
                </c:pt>
                <c:pt idx="165">
                  <c:v>-1.8190961053263801E-3</c:v>
                </c:pt>
                <c:pt idx="166">
                  <c:v>1.7468172182078701E-3</c:v>
                </c:pt>
                <c:pt idx="167">
                  <c:v>1.8431315696876499E-3</c:v>
                </c:pt>
                <c:pt idx="168">
                  <c:v>1.8822968761592299E-3</c:v>
                </c:pt>
                <c:pt idx="169">
                  <c:v>2.3823544914174199E-3</c:v>
                </c:pt>
                <c:pt idx="170">
                  <c:v>1.46087993757904E-3</c:v>
                </c:pt>
                <c:pt idx="171">
                  <c:v>1.1832710135675801E-3</c:v>
                </c:pt>
                <c:pt idx="172">
                  <c:v>1.4272058871689899E-3</c:v>
                </c:pt>
                <c:pt idx="173">
                  <c:v>1.15961873560256E-3</c:v>
                </c:pt>
                <c:pt idx="174">
                  <c:v>7.9926867669466797E-4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4-489C-9272-7A9567B90C2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BSCQ x 20 dma / IBDR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2.22967817923236E-3</c:v>
                </c:pt>
                <c:pt idx="21">
                  <c:v>1.24357625624403E-3</c:v>
                </c:pt>
                <c:pt idx="22">
                  <c:v>2.2753459811824298E-3</c:v>
                </c:pt>
                <c:pt idx="23">
                  <c:v>1.7232780687081899E-3</c:v>
                </c:pt>
                <c:pt idx="24">
                  <c:v>1.39264898702559E-3</c:v>
                </c:pt>
                <c:pt idx="25">
                  <c:v>9.800226143461641E-4</c:v>
                </c:pt>
                <c:pt idx="26">
                  <c:v>1.4132556323279599E-3</c:v>
                </c:pt>
                <c:pt idx="27">
                  <c:v>1.3926489870253701E-3</c:v>
                </c:pt>
                <c:pt idx="28">
                  <c:v>1.3975403424919799E-3</c:v>
                </c:pt>
                <c:pt idx="29">
                  <c:v>1.5052864719373399E-3</c:v>
                </c:pt>
                <c:pt idx="30">
                  <c:v>1.07223404103177E-3</c:v>
                </c:pt>
                <c:pt idx="31">
                  <c:v>1.6129321475154899E-3</c:v>
                </c:pt>
                <c:pt idx="32">
                  <c:v>1.4596366161767401E-3</c:v>
                </c:pt>
                <c:pt idx="33">
                  <c:v>8.4771820494008098E-4</c:v>
                </c:pt>
                <c:pt idx="34">
                  <c:v>-2.7580946825634602E-3</c:v>
                </c:pt>
                <c:pt idx="35">
                  <c:v>-2.2208091102374401E-3</c:v>
                </c:pt>
                <c:pt idx="36">
                  <c:v>-2.32033270436979E-3</c:v>
                </c:pt>
                <c:pt idx="37">
                  <c:v>-2.3359927043771502E-3</c:v>
                </c:pt>
                <c:pt idx="38">
                  <c:v>-2.23148155326356E-3</c:v>
                </c:pt>
                <c:pt idx="39">
                  <c:v>1.0702135633104E-3</c:v>
                </c:pt>
                <c:pt idx="40">
                  <c:v>3.7272817677926599E-4</c:v>
                </c:pt>
                <c:pt idx="41">
                  <c:v>4.2871565494196202E-4</c:v>
                </c:pt>
                <c:pt idx="42">
                  <c:v>9.5017882833356502E-4</c:v>
                </c:pt>
                <c:pt idx="43">
                  <c:v>1.59031048084125E-4</c:v>
                </c:pt>
                <c:pt idx="44">
                  <c:v>1.23261521433547E-3</c:v>
                </c:pt>
                <c:pt idx="45">
                  <c:v>1.1189075871391901E-3</c:v>
                </c:pt>
                <c:pt idx="46">
                  <c:v>5.7607644158965603E-4</c:v>
                </c:pt>
                <c:pt idx="47">
                  <c:v>1.0040966794780299E-3</c:v>
                </c:pt>
                <c:pt idx="48">
                  <c:v>1.6073457324606399E-3</c:v>
                </c:pt>
                <c:pt idx="49">
                  <c:v>1.05987120252046E-3</c:v>
                </c:pt>
                <c:pt idx="50">
                  <c:v>1.5650458991255799E-3</c:v>
                </c:pt>
                <c:pt idx="51">
                  <c:v>1.0998344503676E-3</c:v>
                </c:pt>
                <c:pt idx="52">
                  <c:v>9.95908528232847E-4</c:v>
                </c:pt>
                <c:pt idx="53">
                  <c:v>1.09283445030624E-3</c:v>
                </c:pt>
                <c:pt idx="54">
                  <c:v>-2.9299943360682501E-3</c:v>
                </c:pt>
                <c:pt idx="55">
                  <c:v>-2.9306512910626998E-3</c:v>
                </c:pt>
                <c:pt idx="56">
                  <c:v>-2.9056577123503101E-3</c:v>
                </c:pt>
                <c:pt idx="57">
                  <c:v>-2.88565306668643E-3</c:v>
                </c:pt>
                <c:pt idx="58">
                  <c:v>-2.2533301094433298E-3</c:v>
                </c:pt>
                <c:pt idx="59">
                  <c:v>-2.7714586067844201E-3</c:v>
                </c:pt>
                <c:pt idx="60">
                  <c:v>-1.9743241327281201E-3</c:v>
                </c:pt>
                <c:pt idx="61">
                  <c:v>9.4821714554044201E-4</c:v>
                </c:pt>
                <c:pt idx="62">
                  <c:v>1.5476258743864701E-3</c:v>
                </c:pt>
                <c:pt idx="63">
                  <c:v>1.5318731552094701E-3</c:v>
                </c:pt>
                <c:pt idx="64">
                  <c:v>1.98646935926654E-3</c:v>
                </c:pt>
                <c:pt idx="65">
                  <c:v>6.1619775694967197E-4</c:v>
                </c:pt>
                <c:pt idx="66">
                  <c:v>1.15829451711551E-3</c:v>
                </c:pt>
                <c:pt idx="67">
                  <c:v>7.2433999279909495E-4</c:v>
                </c:pt>
                <c:pt idx="68">
                  <c:v>1.3543431656942201E-3</c:v>
                </c:pt>
                <c:pt idx="69">
                  <c:v>1.7881054114120801E-3</c:v>
                </c:pt>
                <c:pt idx="70">
                  <c:v>1.76258838104194E-3</c:v>
                </c:pt>
                <c:pt idx="71">
                  <c:v>1.2514715797284099E-3</c:v>
                </c:pt>
                <c:pt idx="72">
                  <c:v>1.35434316569444E-3</c:v>
                </c:pt>
                <c:pt idx="73">
                  <c:v>-2.1341433542283201E-3</c:v>
                </c:pt>
                <c:pt idx="74">
                  <c:v>-1.86028074954732E-3</c:v>
                </c:pt>
                <c:pt idx="75">
                  <c:v>-1.89096355581697E-3</c:v>
                </c:pt>
                <c:pt idx="76">
                  <c:v>-2.8467000261558802E-3</c:v>
                </c:pt>
                <c:pt idx="77">
                  <c:v>-2.7310511563422598E-3</c:v>
                </c:pt>
                <c:pt idx="78">
                  <c:v>-2.7203850626296802E-3</c:v>
                </c:pt>
                <c:pt idx="79">
                  <c:v>-2.6790364705389798E-3</c:v>
                </c:pt>
                <c:pt idx="80">
                  <c:v>-1.63929866653042E-3</c:v>
                </c:pt>
                <c:pt idx="81">
                  <c:v>-2.5684672199596599E-3</c:v>
                </c:pt>
                <c:pt idx="82">
                  <c:v>1.4275322933134499E-3</c:v>
                </c:pt>
                <c:pt idx="83">
                  <c:v>1.5463412102594901E-3</c:v>
                </c:pt>
                <c:pt idx="84">
                  <c:v>1.56208873259677E-3</c:v>
                </c:pt>
                <c:pt idx="85">
                  <c:v>1.60336275186255E-3</c:v>
                </c:pt>
                <c:pt idx="86">
                  <c:v>1.16450634331043E-3</c:v>
                </c:pt>
                <c:pt idx="87">
                  <c:v>1.18514324134819E-3</c:v>
                </c:pt>
                <c:pt idx="88">
                  <c:v>7.7200545402180505E-4</c:v>
                </c:pt>
                <c:pt idx="89">
                  <c:v>1.7475793003157399E-3</c:v>
                </c:pt>
                <c:pt idx="90">
                  <c:v>1.8710626887779901E-3</c:v>
                </c:pt>
                <c:pt idx="91">
                  <c:v>1.38055969165814E-3</c:v>
                </c:pt>
                <c:pt idx="92">
                  <c:v>2.42315610505344E-3</c:v>
                </c:pt>
                <c:pt idx="93">
                  <c:v>-1.1838141622519699E-3</c:v>
                </c:pt>
                <c:pt idx="94">
                  <c:v>-2.13014770255144E-3</c:v>
                </c:pt>
                <c:pt idx="95">
                  <c:v>-2.0994763427860199E-3</c:v>
                </c:pt>
                <c:pt idx="96">
                  <c:v>-1.5561168584055101E-3</c:v>
                </c:pt>
                <c:pt idx="97">
                  <c:v>-1.9104669305281101E-3</c:v>
                </c:pt>
                <c:pt idx="98">
                  <c:v>-1.0063433754573599E-3</c:v>
                </c:pt>
                <c:pt idx="99">
                  <c:v>-1.48594640494994E-3</c:v>
                </c:pt>
                <c:pt idx="100">
                  <c:v>-1.9447248237867E-3</c:v>
                </c:pt>
                <c:pt idx="101">
                  <c:v>-1.91908680502714E-3</c:v>
                </c:pt>
                <c:pt idx="102">
                  <c:v>9.5102701494233395E-4</c:v>
                </c:pt>
                <c:pt idx="103">
                  <c:v>9.7659090069784102E-4</c:v>
                </c:pt>
                <c:pt idx="104">
                  <c:v>2.4442464881590902E-3</c:v>
                </c:pt>
                <c:pt idx="105">
                  <c:v>1.9893225653221098E-3</c:v>
                </c:pt>
                <c:pt idx="106">
                  <c:v>1.55520576541265E-3</c:v>
                </c:pt>
                <c:pt idx="107">
                  <c:v>1.1212594341781E-3</c:v>
                </c:pt>
                <c:pt idx="108">
                  <c:v>1.1212594341781E-3</c:v>
                </c:pt>
                <c:pt idx="109">
                  <c:v>1.1006212177207899E-3</c:v>
                </c:pt>
                <c:pt idx="110">
                  <c:v>2.0508418609043802E-3</c:v>
                </c:pt>
                <c:pt idx="111">
                  <c:v>6.97280577848556E-4</c:v>
                </c:pt>
                <c:pt idx="112">
                  <c:v>1.23420298114375E-3</c:v>
                </c:pt>
                <c:pt idx="113">
                  <c:v>1.7963280095204799E-3</c:v>
                </c:pt>
                <c:pt idx="114">
                  <c:v>2.05596268559269E-3</c:v>
                </c:pt>
                <c:pt idx="115">
                  <c:v>1.0093293930348501E-3</c:v>
                </c:pt>
                <c:pt idx="116">
                  <c:v>-2.7533086317079502E-3</c:v>
                </c:pt>
                <c:pt idx="117">
                  <c:v>-3.1404071235612199E-3</c:v>
                </c:pt>
                <c:pt idx="118">
                  <c:v>-2.6968995212607802E-3</c:v>
                </c:pt>
                <c:pt idx="119">
                  <c:v>-1.6154414120625399E-3</c:v>
                </c:pt>
                <c:pt idx="120">
                  <c:v>-1.53176507418294E-3</c:v>
                </c:pt>
                <c:pt idx="121">
                  <c:v>-1.5731003460891101E-3</c:v>
                </c:pt>
                <c:pt idx="122">
                  <c:v>-1.61443732667071E-3</c:v>
                </c:pt>
                <c:pt idx="123">
                  <c:v>1.38206368288126E-3</c:v>
                </c:pt>
                <c:pt idx="124">
                  <c:v>1.02515887127612E-3</c:v>
                </c:pt>
                <c:pt idx="125">
                  <c:v>1.48500401023771E-3</c:v>
                </c:pt>
                <c:pt idx="126">
                  <c:v>5.6434375822976405E-4</c:v>
                </c:pt>
                <c:pt idx="127">
                  <c:v>1.1067216186165299E-3</c:v>
                </c:pt>
                <c:pt idx="128">
                  <c:v>7.7583087642838899E-4</c:v>
                </c:pt>
                <c:pt idx="129">
                  <c:v>1.1891394171331499E-3</c:v>
                </c:pt>
                <c:pt idx="130">
                  <c:v>1.16849407034155E-3</c:v>
                </c:pt>
                <c:pt idx="131">
                  <c:v>1.1940262645444299E-3</c:v>
                </c:pt>
                <c:pt idx="132">
                  <c:v>3.2628901847831302E-4</c:v>
                </c:pt>
                <c:pt idx="133">
                  <c:v>7.6498051213342796E-4</c:v>
                </c:pt>
                <c:pt idx="134">
                  <c:v>9.9180535042984802E-4</c:v>
                </c:pt>
                <c:pt idx="135">
                  <c:v>-1.62460783617278E-3</c:v>
                </c:pt>
                <c:pt idx="136">
                  <c:v>-2.0043834061831498E-3</c:v>
                </c:pt>
                <c:pt idx="137">
                  <c:v>-2.4380448554590802E-3</c:v>
                </c:pt>
                <c:pt idx="138">
                  <c:v>-2.0457723830388901E-3</c:v>
                </c:pt>
                <c:pt idx="139">
                  <c:v>-1.45431927361094E-3</c:v>
                </c:pt>
                <c:pt idx="140">
                  <c:v>-1.8671159770991101E-3</c:v>
                </c:pt>
                <c:pt idx="141">
                  <c:v>-2.25409319433479E-3</c:v>
                </c:pt>
                <c:pt idx="142">
                  <c:v>-2.72019818013527E-3</c:v>
                </c:pt>
                <c:pt idx="143">
                  <c:v>-2.0360618837012298E-3</c:v>
                </c:pt>
                <c:pt idx="144">
                  <c:v>-1.4376777658668999E-3</c:v>
                </c:pt>
                <c:pt idx="145">
                  <c:v>2.1156816279358399E-3</c:v>
                </c:pt>
                <c:pt idx="146">
                  <c:v>2.1156816279358399E-3</c:v>
                </c:pt>
                <c:pt idx="147">
                  <c:v>2.06947937844865E-3</c:v>
                </c:pt>
                <c:pt idx="148">
                  <c:v>1.6351846589242899E-3</c:v>
                </c:pt>
                <c:pt idx="149">
                  <c:v>1.71761077468174E-3</c:v>
                </c:pt>
                <c:pt idx="150">
                  <c:v>1.6194503932330101E-3</c:v>
                </c:pt>
                <c:pt idx="151">
                  <c:v>2.1359900346896699E-3</c:v>
                </c:pt>
                <c:pt idx="152">
                  <c:v>1.2885677207145499E-3</c:v>
                </c:pt>
                <c:pt idx="153">
                  <c:v>1.68124149765358E-3</c:v>
                </c:pt>
                <c:pt idx="154">
                  <c:v>1.2472977673809501E-3</c:v>
                </c:pt>
                <c:pt idx="155">
                  <c:v>1.7684821921441899E-3</c:v>
                </c:pt>
                <c:pt idx="156">
                  <c:v>1.2067428534430101E-3</c:v>
                </c:pt>
                <c:pt idx="157">
                  <c:v>1.56418723468305E-3</c:v>
                </c:pt>
                <c:pt idx="158">
                  <c:v>8.5314943779473697E-4</c:v>
                </c:pt>
                <c:pt idx="159">
                  <c:v>3.8477558922643101E-4</c:v>
                </c:pt>
                <c:pt idx="160">
                  <c:v>-2.3804042679638699E-3</c:v>
                </c:pt>
                <c:pt idx="161">
                  <c:v>-2.2757815283375401E-3</c:v>
                </c:pt>
                <c:pt idx="162">
                  <c:v>-1.7843004298571199E-3</c:v>
                </c:pt>
                <c:pt idx="163">
                  <c:v>-2.7811342251408701E-3</c:v>
                </c:pt>
                <c:pt idx="164">
                  <c:v>-2.2639713128304799E-3</c:v>
                </c:pt>
                <c:pt idx="165">
                  <c:v>-2.6764274952090499E-3</c:v>
                </c:pt>
                <c:pt idx="166">
                  <c:v>7.2059767631696403E-4</c:v>
                </c:pt>
                <c:pt idx="167">
                  <c:v>8.4942038524858502E-4</c:v>
                </c:pt>
                <c:pt idx="168">
                  <c:v>8.74986868563124E-4</c:v>
                </c:pt>
                <c:pt idx="169">
                  <c:v>1.3917966076457901E-3</c:v>
                </c:pt>
                <c:pt idx="170">
                  <c:v>5.4891152697945195E-4</c:v>
                </c:pt>
                <c:pt idx="171">
                  <c:v>5.69569669098654E-4</c:v>
                </c:pt>
                <c:pt idx="172">
                  <c:v>1.1274166650134499E-3</c:v>
                </c:pt>
                <c:pt idx="173">
                  <c:v>1.10677004388175E-3</c:v>
                </c:pt>
                <c:pt idx="174">
                  <c:v>1.10677004388175E-3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4-489C-9272-7A9567B9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8-44BA-ADED-6F445DAE8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A-4E78-85FA-3DBD5102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9-43BD-8C49-714F2D384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62C62-BFF8-4EB7-8549-86960F97E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1304E2-0A96-4040-B79B-D640D7910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1EACC8-2D1C-4C86-B12A-62F09C7A0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407410-6570-4E43-83DF-DF5337E75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194FBA-237B-43EB-B09A-56951D3D5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B049CD-D02C-47EE-8767-A7A040A03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DC651A-8A04-4071-8453-6924118A7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9885-2C55-4D6C-B8E0-EC86279C5560}">
  <dimension ref="A1:DZ183"/>
  <sheetViews>
    <sheetView tabSelected="1" topLeftCell="AB4" workbookViewId="0">
      <selection activeCell="AB4" sqref="A1:XFD104857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 t="e">
        <f>AQ16</f>
        <v>#DIV/0!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 t="e">
        <f>BB16</f>
        <v>#DIV/0!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19.57</v>
      </c>
      <c r="C2" s="33">
        <v>24.23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19.57</v>
      </c>
      <c r="M2" s="33">
        <v>24.23</v>
      </c>
      <c r="N2" s="34">
        <v>1.23811957077158</v>
      </c>
      <c r="O2" s="34">
        <v>1.2388993693114601</v>
      </c>
      <c r="X2" s="34">
        <v>1.23811957077158</v>
      </c>
      <c r="Y2" s="34">
        <v>1.23733334869304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19.579999999999998</v>
      </c>
      <c r="C3" s="33">
        <v>24.23</v>
      </c>
      <c r="D3" s="15">
        <v>5.1085569437926204E-4</v>
      </c>
      <c r="E3" s="15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19.579999999999998</v>
      </c>
      <c r="M3" s="33">
        <v>24.23</v>
      </c>
      <c r="N3" s="34">
        <v>1.23748723186925</v>
      </c>
      <c r="O3" s="34">
        <v>1.2388993693114601</v>
      </c>
      <c r="R3" s="33">
        <v>24.257649651118498</v>
      </c>
      <c r="U3" s="15">
        <v>1.1404823419767301E-3</v>
      </c>
      <c r="X3" s="34">
        <v>1.23748723186925</v>
      </c>
      <c r="Y3" s="34">
        <v>1.23733334869304</v>
      </c>
      <c r="AB3" s="33">
        <v>24.226986967409701</v>
      </c>
      <c r="AE3" s="15">
        <v>-1.2435905666820899E-4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19.579999999999998</v>
      </c>
      <c r="C4" s="33">
        <v>24.23</v>
      </c>
      <c r="D4" s="15">
        <v>0</v>
      </c>
      <c r="E4" s="15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19.579999999999998</v>
      </c>
      <c r="M4" s="33">
        <v>24.23</v>
      </c>
      <c r="N4" s="34">
        <v>1.23748723186925</v>
      </c>
      <c r="O4" s="34">
        <v>1.2388993693114601</v>
      </c>
      <c r="R4" s="33">
        <v>24.257649651118498</v>
      </c>
      <c r="U4" s="15">
        <v>1.1404823419767301E-3</v>
      </c>
      <c r="X4" s="34">
        <v>1.23748723186925</v>
      </c>
      <c r="Y4" s="34">
        <v>1.23733334869304</v>
      </c>
      <c r="AB4" s="33">
        <v>24.226986967409701</v>
      </c>
      <c r="AE4" s="15">
        <v>-1.2435905666820899E-4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19.579999999999998</v>
      </c>
      <c r="C5" s="33">
        <v>24.23</v>
      </c>
      <c r="D5" s="15">
        <v>0</v>
      </c>
      <c r="E5" s="15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19.579999999999998</v>
      </c>
      <c r="M5" s="33">
        <v>24.23</v>
      </c>
      <c r="N5" s="34">
        <v>1.23748723186925</v>
      </c>
      <c r="O5" s="34">
        <v>1.2388993693114601</v>
      </c>
      <c r="R5" s="33">
        <v>24.257649651118498</v>
      </c>
      <c r="U5" s="15">
        <v>1.1404823419767301E-3</v>
      </c>
      <c r="X5" s="34">
        <v>1.23748723186925</v>
      </c>
      <c r="Y5" s="34">
        <v>1.23733334869304</v>
      </c>
      <c r="AB5" s="33">
        <v>24.226986967409701</v>
      </c>
      <c r="AE5" s="15">
        <v>-1.2435905666820899E-4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19.579999999999998</v>
      </c>
      <c r="C6" s="33">
        <v>24.23</v>
      </c>
      <c r="D6" s="15">
        <v>0</v>
      </c>
      <c r="E6" s="15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19.579999999999998</v>
      </c>
      <c r="M6" s="33">
        <v>24.23</v>
      </c>
      <c r="N6" s="34">
        <v>1.23748723186925</v>
      </c>
      <c r="O6" s="34">
        <v>1.2388993693114601</v>
      </c>
      <c r="R6" s="33">
        <v>24.257649651118498</v>
      </c>
      <c r="U6" s="15">
        <v>1.1404823419767301E-3</v>
      </c>
      <c r="X6" s="34">
        <v>1.23748723186925</v>
      </c>
      <c r="Y6" s="34">
        <v>1.23733334869304</v>
      </c>
      <c r="AB6" s="33">
        <v>24.226986967409701</v>
      </c>
      <c r="AE6" s="15">
        <v>-1.2435905666820899E-4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19.579999999999998</v>
      </c>
      <c r="C7" s="33">
        <v>24.23</v>
      </c>
      <c r="D7" s="15">
        <v>0</v>
      </c>
      <c r="E7" s="15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19.579999999999998</v>
      </c>
      <c r="M7" s="33">
        <v>24.23</v>
      </c>
      <c r="N7" s="34">
        <v>1.23748723186925</v>
      </c>
      <c r="O7" s="34">
        <v>1.2388993693114601</v>
      </c>
      <c r="R7" s="33">
        <v>24.257649651118498</v>
      </c>
      <c r="U7" s="15">
        <v>1.1404823419767301E-3</v>
      </c>
      <c r="X7" s="34">
        <v>1.23748723186925</v>
      </c>
      <c r="Y7" s="34">
        <v>1.23733334869304</v>
      </c>
      <c r="AB7" s="33">
        <v>24.226986967409701</v>
      </c>
      <c r="AE7" s="15">
        <v>-1.2435905666820899E-4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19.579999999999998</v>
      </c>
      <c r="C8" s="33">
        <v>24.24</v>
      </c>
      <c r="D8" s="15">
        <v>0</v>
      </c>
      <c r="E8" s="15">
        <v>4.1262637267935502E-4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19.579999999999998</v>
      </c>
      <c r="M8" s="33">
        <v>24.24</v>
      </c>
      <c r="N8" s="34">
        <v>1.23799795709908</v>
      </c>
      <c r="O8" s="34">
        <v>1.2388993693114601</v>
      </c>
      <c r="R8" s="33">
        <v>24.257649651118498</v>
      </c>
      <c r="U8" s="15">
        <v>7.2785596929742901E-4</v>
      </c>
      <c r="X8" s="34">
        <v>1.23799795709908</v>
      </c>
      <c r="Y8" s="34">
        <v>1.23733334869304</v>
      </c>
      <c r="AB8" s="33">
        <v>24.226986967409701</v>
      </c>
      <c r="AE8" s="15">
        <v>-5.3698542934751297E-4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19.59</v>
      </c>
      <c r="C9" s="33">
        <v>24.24</v>
      </c>
      <c r="D9" s="15">
        <v>5.10594854085132E-4</v>
      </c>
      <c r="E9" s="15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19.59</v>
      </c>
      <c r="M9" s="33">
        <v>24.24</v>
      </c>
      <c r="N9" s="34">
        <v>1.23736600306278</v>
      </c>
      <c r="O9" s="34">
        <v>1.2388993693114601</v>
      </c>
      <c r="R9" s="33">
        <v>24.270038644811599</v>
      </c>
      <c r="U9" s="15">
        <v>1.23845082338254E-3</v>
      </c>
      <c r="X9" s="34">
        <v>1.23736600306278</v>
      </c>
      <c r="Y9" s="34">
        <v>1.23733334869304</v>
      </c>
      <c r="AB9" s="33">
        <v>24.2393603008966</v>
      </c>
      <c r="AE9" s="15">
        <v>-2.6390575262380001E-5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19.600000000000001</v>
      </c>
      <c r="C10" s="33">
        <v>24.25</v>
      </c>
      <c r="D10" s="15">
        <v>5.1033428002234698E-4</v>
      </c>
      <c r="E10" s="15">
        <v>4.1245618237846401E-4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19.600000000000001</v>
      </c>
      <c r="M10" s="33">
        <v>24.25</v>
      </c>
      <c r="N10" s="34">
        <v>1.2372448979591799</v>
      </c>
      <c r="O10" s="34">
        <v>1.2388993693114601</v>
      </c>
      <c r="R10" s="33">
        <v>24.2824276385047</v>
      </c>
      <c r="U10" s="15">
        <v>1.33632892102614E-3</v>
      </c>
      <c r="X10" s="34">
        <v>1.2372448979591799</v>
      </c>
      <c r="Y10" s="34">
        <v>1.23733334869304</v>
      </c>
      <c r="AB10" s="33">
        <v>24.251733634383601</v>
      </c>
      <c r="AE10" s="15">
        <v>7.1487522381222102E-5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19.59</v>
      </c>
      <c r="C11" s="33">
        <v>24.25</v>
      </c>
      <c r="D11" s="15">
        <v>-5.10334280022221E-4</v>
      </c>
      <c r="E11" s="15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19.59</v>
      </c>
      <c r="M11" s="33">
        <v>24.25</v>
      </c>
      <c r="N11" s="34">
        <v>1.2378764675855001</v>
      </c>
      <c r="O11" s="34">
        <v>1.2388993693114601</v>
      </c>
      <c r="P11" s="34">
        <v>1.2376041055824401</v>
      </c>
      <c r="R11" s="33">
        <v>24.270038644811599</v>
      </c>
      <c r="U11" s="15">
        <v>8.2599464100393801E-4</v>
      </c>
      <c r="X11" s="34">
        <v>1.2378764675855001</v>
      </c>
      <c r="Y11" s="34">
        <v>1.23733334869304</v>
      </c>
      <c r="Z11" s="34">
        <v>1.2376041055824401</v>
      </c>
      <c r="AB11" s="33">
        <v>24.2393603008966</v>
      </c>
      <c r="AE11" s="15">
        <v>-4.3884675764096999E-4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19.61</v>
      </c>
      <c r="C12" s="33">
        <v>24.26</v>
      </c>
      <c r="D12" s="15">
        <v>1.02040825180545E-3</v>
      </c>
      <c r="E12" s="15">
        <v>4.1228613241195601E-4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19.61</v>
      </c>
      <c r="M12" s="33">
        <v>24.26</v>
      </c>
      <c r="N12" s="34">
        <v>1.2371239163691901</v>
      </c>
      <c r="O12" s="34">
        <v>1.2388993693114601</v>
      </c>
      <c r="P12" s="34">
        <v>1.2375045401422</v>
      </c>
      <c r="R12" s="33">
        <v>24.294816632197801</v>
      </c>
      <c r="S12" s="33">
        <v>24.269416510471601</v>
      </c>
      <c r="U12" s="15">
        <v>1.4341167603976E-3</v>
      </c>
      <c r="V12" s="15">
        <v>3.8807433787387598E-4</v>
      </c>
      <c r="X12" s="34">
        <v>1.2371239163691901</v>
      </c>
      <c r="Y12" s="34">
        <v>1.23733334869304</v>
      </c>
      <c r="Z12" s="34">
        <v>1.2375045401422</v>
      </c>
      <c r="AB12" s="33">
        <v>24.2641069678705</v>
      </c>
      <c r="AC12" s="33">
        <v>24.269416510471601</v>
      </c>
      <c r="AE12" s="15">
        <v>1.69275361752543E-4</v>
      </c>
      <c r="AF12" s="15">
        <v>3.8807433787387598E-4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19.54</v>
      </c>
      <c r="C13" s="33">
        <v>24.25</v>
      </c>
      <c r="D13" s="15">
        <v>-3.5759935936182001E-3</v>
      </c>
      <c r="E13" s="15">
        <v>-4.1228613241193102E-4</v>
      </c>
      <c r="F13" s="33">
        <v>6.7589999999999997E-2</v>
      </c>
      <c r="G13" s="33">
        <v>6.7589999999999997E-2</v>
      </c>
      <c r="H13" s="33">
        <v>0</v>
      </c>
      <c r="I13" s="33">
        <v>0</v>
      </c>
      <c r="J13" s="33">
        <v>6.7589999999999997E-2</v>
      </c>
      <c r="K13" s="33">
        <v>0</v>
      </c>
      <c r="L13" s="33">
        <v>19.607589999999998</v>
      </c>
      <c r="M13" s="33">
        <v>24.25</v>
      </c>
      <c r="N13" s="34">
        <v>1.24104401228249</v>
      </c>
      <c r="O13" s="34">
        <v>1.2388993693114601</v>
      </c>
      <c r="P13" s="34">
        <v>1.2378602181835201</v>
      </c>
      <c r="R13" s="33">
        <v>24.208093676346</v>
      </c>
      <c r="S13" s="33">
        <v>24.180838714378599</v>
      </c>
      <c r="U13" s="15">
        <v>-1.7295907008089001E-3</v>
      </c>
      <c r="V13" s="15">
        <v>-2.85608651309739E-3</v>
      </c>
      <c r="X13" s="34">
        <v>1.2367659666486199</v>
      </c>
      <c r="Y13" s="34">
        <v>1.23733334869304</v>
      </c>
      <c r="Z13" s="34">
        <v>1.23743241362014</v>
      </c>
      <c r="AB13" s="33">
        <v>24.261124994500101</v>
      </c>
      <c r="AC13" s="33">
        <v>24.2644816462468</v>
      </c>
      <c r="AE13" s="15">
        <v>4.5865746038595701E-4</v>
      </c>
      <c r="AF13" s="15">
        <v>5.9700304674248199E-4</v>
      </c>
    </row>
    <row r="14" spans="1:130" x14ac:dyDescent="0.25">
      <c r="A14" s="1">
        <v>46043</v>
      </c>
      <c r="B14" s="33">
        <v>19.53</v>
      </c>
      <c r="C14" s="33">
        <v>24.26</v>
      </c>
      <c r="D14" s="15">
        <v>-5.1190172604906098E-4</v>
      </c>
      <c r="E14" s="15">
        <v>4.1228613241195601E-4</v>
      </c>
      <c r="F14" s="33">
        <v>0</v>
      </c>
      <c r="G14" s="33">
        <v>6.7589999999999997E-2</v>
      </c>
      <c r="H14" s="33">
        <v>0</v>
      </c>
      <c r="I14" s="33">
        <v>0</v>
      </c>
      <c r="J14" s="33">
        <v>6.7589999999999997E-2</v>
      </c>
      <c r="K14" s="33">
        <v>0</v>
      </c>
      <c r="L14" s="33">
        <v>19.59759</v>
      </c>
      <c r="M14" s="33">
        <v>24.26</v>
      </c>
      <c r="N14" s="34">
        <v>1.24219150025601</v>
      </c>
      <c r="O14" s="34">
        <v>1.2388993693114601</v>
      </c>
      <c r="P14" s="34">
        <v>1.2383306450222</v>
      </c>
      <c r="R14" s="33">
        <v>24.195704682652899</v>
      </c>
      <c r="S14" s="33">
        <v>24.1754100611242</v>
      </c>
      <c r="U14" s="15">
        <v>-2.6537785592697901E-3</v>
      </c>
      <c r="V14" s="15">
        <v>-3.4929001229141699E-3</v>
      </c>
      <c r="X14" s="34">
        <v>1.2379073141136201</v>
      </c>
      <c r="Y14" s="34">
        <v>1.23733334869304</v>
      </c>
      <c r="Z14" s="34">
        <v>1.2374744218445699</v>
      </c>
      <c r="AB14" s="33">
        <v>24.248751661013198</v>
      </c>
      <c r="AC14" s="33">
        <v>24.250693094837899</v>
      </c>
      <c r="AE14" s="15">
        <v>-4.6376535380431E-4</v>
      </c>
      <c r="AF14" s="15">
        <v>-3.8370531041764398E-4</v>
      </c>
      <c r="AQ14" s="20">
        <f>AVERAGE(AQ22:AQ176)</f>
        <v>0</v>
      </c>
      <c r="AR14" s="21" t="s">
        <v>41</v>
      </c>
      <c r="BB14" s="20">
        <f>AVERAGE(BB22:BB176)</f>
        <v>0</v>
      </c>
      <c r="BC14" s="21" t="s">
        <v>41</v>
      </c>
      <c r="BD14" s="22"/>
      <c r="BE14" s="20">
        <f>AVERAGE(BE22:BE176)</f>
        <v>0</v>
      </c>
      <c r="BF14" s="21" t="s">
        <v>41</v>
      </c>
    </row>
    <row r="15" spans="1:130" x14ac:dyDescent="0.25">
      <c r="A15" s="1">
        <v>46044</v>
      </c>
      <c r="B15" s="33">
        <v>19.55</v>
      </c>
      <c r="C15" s="33">
        <v>24.26</v>
      </c>
      <c r="D15" s="15">
        <v>1.0235415427871501E-3</v>
      </c>
      <c r="E15" s="15">
        <v>0</v>
      </c>
      <c r="F15" s="33">
        <v>0</v>
      </c>
      <c r="G15" s="33">
        <v>6.7589999999999997E-2</v>
      </c>
      <c r="H15" s="33">
        <v>0</v>
      </c>
      <c r="I15" s="33">
        <v>0</v>
      </c>
      <c r="J15" s="33">
        <v>6.7589999999999997E-2</v>
      </c>
      <c r="K15" s="33">
        <v>0</v>
      </c>
      <c r="L15" s="33">
        <v>19.61759</v>
      </c>
      <c r="M15" s="33">
        <v>24.26</v>
      </c>
      <c r="N15" s="34">
        <v>1.24092071611253</v>
      </c>
      <c r="O15" s="34">
        <v>1.2388993693114601</v>
      </c>
      <c r="P15" s="34">
        <v>1.2386739934465301</v>
      </c>
      <c r="R15" s="33">
        <v>24.2204826700391</v>
      </c>
      <c r="S15" s="33">
        <v>24.209364110184001</v>
      </c>
      <c r="U15" s="15">
        <v>-1.63023701648254E-3</v>
      </c>
      <c r="V15" s="15">
        <v>-2.0893984960106099E-3</v>
      </c>
      <c r="X15" s="34">
        <v>1.2366452759997499</v>
      </c>
      <c r="Y15" s="34">
        <v>1.23733334869304</v>
      </c>
      <c r="Z15" s="34">
        <v>1.23739022625762</v>
      </c>
      <c r="AB15" s="33">
        <v>24.273498327987099</v>
      </c>
      <c r="AC15" s="33">
        <v>24.276265843233901</v>
      </c>
      <c r="AE15" s="15">
        <v>5.5624790300312697E-4</v>
      </c>
      <c r="AF15" s="15">
        <v>6.7025526419484897E-4</v>
      </c>
      <c r="AQ15" s="20">
        <f>STDEV(AQ22:AQ176)</f>
        <v>0</v>
      </c>
      <c r="AR15" s="21" t="s">
        <v>42</v>
      </c>
      <c r="BB15" s="20">
        <f>STDEV(BB22:BB176)</f>
        <v>0</v>
      </c>
      <c r="BC15" s="21" t="s">
        <v>42</v>
      </c>
      <c r="BD15" s="22"/>
      <c r="BE15" s="20">
        <f>STDEV(BE22:BE176)</f>
        <v>0</v>
      </c>
      <c r="BF15" s="21" t="s">
        <v>42</v>
      </c>
    </row>
    <row r="16" spans="1:130" x14ac:dyDescent="0.25">
      <c r="A16" s="1">
        <v>46045</v>
      </c>
      <c r="B16" s="33">
        <v>19.55</v>
      </c>
      <c r="C16" s="33">
        <v>24.27</v>
      </c>
      <c r="D16" s="15">
        <v>0</v>
      </c>
      <c r="E16" s="15">
        <v>4.1211622260589202E-4</v>
      </c>
      <c r="F16" s="33">
        <v>0</v>
      </c>
      <c r="G16" s="33">
        <v>6.7589999999999997E-2</v>
      </c>
      <c r="H16" s="33">
        <v>0</v>
      </c>
      <c r="I16" s="33">
        <v>0</v>
      </c>
      <c r="J16" s="33">
        <v>6.7589999999999997E-2</v>
      </c>
      <c r="K16" s="33">
        <v>0</v>
      </c>
      <c r="L16" s="33">
        <v>19.61759</v>
      </c>
      <c r="M16" s="33">
        <v>24.27</v>
      </c>
      <c r="N16" s="34">
        <v>1.24143222506393</v>
      </c>
      <c r="O16" s="34">
        <v>1.2388993693114601</v>
      </c>
      <c r="P16" s="34">
        <v>1.2390684927659901</v>
      </c>
      <c r="R16" s="33">
        <v>24.2204826700391</v>
      </c>
      <c r="S16" s="33">
        <v>24.216076571879601</v>
      </c>
      <c r="U16" s="15">
        <v>-2.0423532390884498E-3</v>
      </c>
      <c r="V16" s="15">
        <v>-2.2242859874348499E-3</v>
      </c>
      <c r="X16" s="34">
        <v>1.23715502260981</v>
      </c>
      <c r="Y16" s="34">
        <v>1.23733334869304</v>
      </c>
      <c r="Z16" s="34">
        <v>1.23735700533168</v>
      </c>
      <c r="AB16" s="33">
        <v>24.273498327987099</v>
      </c>
      <c r="AC16" s="33">
        <v>24.274614128729301</v>
      </c>
      <c r="AE16" s="15">
        <v>1.44131680397252E-4</v>
      </c>
      <c r="AF16" s="15">
        <v>1.9009848264600501E-4</v>
      </c>
      <c r="AQ16" s="23" t="e">
        <f>SQRT(252)*AQ14/AQ15</f>
        <v>#DIV/0!</v>
      </c>
      <c r="AR16" s="21" t="s">
        <v>43</v>
      </c>
      <c r="BB16" s="23" t="e">
        <f>SQRT(252)*BB14/BB15</f>
        <v>#DIV/0!</v>
      </c>
      <c r="BC16" s="21" t="s">
        <v>43</v>
      </c>
      <c r="BD16" s="22"/>
      <c r="BE16" s="23" t="e">
        <f>SQRT(252)*BE14/BE15</f>
        <v>#DIV/0!</v>
      </c>
      <c r="BF16" s="21" t="s">
        <v>43</v>
      </c>
    </row>
    <row r="17" spans="1:124" x14ac:dyDescent="0.25">
      <c r="A17" s="1">
        <v>46048</v>
      </c>
      <c r="B17" s="33">
        <v>19.55</v>
      </c>
      <c r="C17" s="33">
        <v>24.27</v>
      </c>
      <c r="D17" s="15">
        <v>0</v>
      </c>
      <c r="E17" s="15">
        <v>0</v>
      </c>
      <c r="F17" s="33">
        <v>0</v>
      </c>
      <c r="G17" s="33">
        <v>6.7589999999999997E-2</v>
      </c>
      <c r="H17" s="33">
        <v>0</v>
      </c>
      <c r="I17" s="33">
        <v>0</v>
      </c>
      <c r="J17" s="33">
        <v>6.7589999999999997E-2</v>
      </c>
      <c r="K17" s="33">
        <v>0</v>
      </c>
      <c r="L17" s="33">
        <v>19.61759</v>
      </c>
      <c r="M17" s="33">
        <v>24.27</v>
      </c>
      <c r="N17" s="34">
        <v>1.24143222506393</v>
      </c>
      <c r="O17" s="34">
        <v>1.2388993693114601</v>
      </c>
      <c r="P17" s="34">
        <v>1.2394629920854601</v>
      </c>
      <c r="R17" s="33">
        <v>24.2204826700391</v>
      </c>
      <c r="S17" s="33">
        <v>24.223789033575201</v>
      </c>
      <c r="U17" s="15">
        <v>-2.0423532390884498E-3</v>
      </c>
      <c r="V17" s="15">
        <v>-1.9058515052421501E-3</v>
      </c>
      <c r="X17" s="34">
        <v>1.23715502260981</v>
      </c>
      <c r="Y17" s="34">
        <v>1.23733334869304</v>
      </c>
      <c r="Z17" s="34">
        <v>1.2373237844057301</v>
      </c>
      <c r="AB17" s="33">
        <v>24.273498327987099</v>
      </c>
      <c r="AC17" s="33">
        <v>24.273962414224702</v>
      </c>
      <c r="AE17" s="15">
        <v>1.44131680397252E-4</v>
      </c>
      <c r="AF17" s="15">
        <v>1.6325054801882499E-4</v>
      </c>
    </row>
    <row r="18" spans="1:124" x14ac:dyDescent="0.25">
      <c r="A18" s="1">
        <v>46049</v>
      </c>
      <c r="B18" s="33">
        <v>19.55</v>
      </c>
      <c r="C18" s="33">
        <v>24.28</v>
      </c>
      <c r="D18" s="15">
        <v>0</v>
      </c>
      <c r="E18" s="15">
        <v>4.1194645278766397E-4</v>
      </c>
      <c r="F18" s="33">
        <v>0</v>
      </c>
      <c r="G18" s="33">
        <v>6.7589999999999997E-2</v>
      </c>
      <c r="H18" s="33">
        <v>0</v>
      </c>
      <c r="I18" s="33">
        <v>0</v>
      </c>
      <c r="J18" s="33">
        <v>6.7589999999999997E-2</v>
      </c>
      <c r="K18" s="33">
        <v>0</v>
      </c>
      <c r="L18" s="33">
        <v>19.61759</v>
      </c>
      <c r="M18" s="33">
        <v>24.28</v>
      </c>
      <c r="N18" s="34">
        <v>1.2419437340153401</v>
      </c>
      <c r="O18" s="34">
        <v>1.2388993693114601</v>
      </c>
      <c r="P18" s="34">
        <v>1.2398575697770899</v>
      </c>
      <c r="R18" s="33">
        <v>24.2204826700391</v>
      </c>
      <c r="S18" s="33">
        <v>24.231501495270798</v>
      </c>
      <c r="U18" s="15">
        <v>-2.4542996918759299E-3</v>
      </c>
      <c r="V18" s="15">
        <v>-1.9994648440783201E-3</v>
      </c>
      <c r="X18" s="34">
        <v>1.2376647692198599</v>
      </c>
      <c r="Y18" s="34">
        <v>1.23733334869304</v>
      </c>
      <c r="Z18" s="34">
        <v>1.2372904656178101</v>
      </c>
      <c r="AB18" s="33">
        <v>24.273498327987099</v>
      </c>
      <c r="AC18" s="33">
        <v>24.273310699720099</v>
      </c>
      <c r="AE18" s="15">
        <v>-2.6781477239026601E-4</v>
      </c>
      <c r="AF18" s="15">
        <v>-2.7554456022705698E-4</v>
      </c>
      <c r="BE18" s="24">
        <f>SUM(BE22:BE176)</f>
        <v>0</v>
      </c>
      <c r="BF18" s="20">
        <f>BF176</f>
        <v>0</v>
      </c>
    </row>
    <row r="19" spans="1:124" x14ac:dyDescent="0.25">
      <c r="A19" s="1">
        <v>46050</v>
      </c>
      <c r="B19" s="33">
        <v>19.55</v>
      </c>
      <c r="C19" s="33">
        <v>24.27</v>
      </c>
      <c r="D19" s="15">
        <v>0</v>
      </c>
      <c r="E19" s="15">
        <v>-4.1194645278754802E-4</v>
      </c>
      <c r="F19" s="33">
        <v>0</v>
      </c>
      <c r="G19" s="33">
        <v>6.7589999999999997E-2</v>
      </c>
      <c r="H19" s="33">
        <v>0</v>
      </c>
      <c r="I19" s="33">
        <v>0</v>
      </c>
      <c r="J19" s="33">
        <v>6.7589999999999997E-2</v>
      </c>
      <c r="K19" s="33">
        <v>0</v>
      </c>
      <c r="L19" s="33">
        <v>19.61759</v>
      </c>
      <c r="M19" s="33">
        <v>24.27</v>
      </c>
      <c r="N19" s="34">
        <v>1.24143222506393</v>
      </c>
      <c r="O19" s="34">
        <v>1.2388993693114601</v>
      </c>
      <c r="P19" s="34">
        <v>1.2402641919771999</v>
      </c>
      <c r="R19" s="33">
        <v>24.2204826700391</v>
      </c>
      <c r="S19" s="33">
        <v>24.239215489142101</v>
      </c>
      <c r="U19" s="15">
        <v>-2.0423532390884498E-3</v>
      </c>
      <c r="V19" s="15">
        <v>-1.26922337044733E-3</v>
      </c>
      <c r="X19" s="34">
        <v>1.23715502260981</v>
      </c>
      <c r="Y19" s="34">
        <v>1.23733334869304</v>
      </c>
      <c r="Z19" s="34">
        <v>1.2372693675725099</v>
      </c>
      <c r="AB19" s="33">
        <v>24.273498327987099</v>
      </c>
      <c r="AC19" s="33">
        <v>24.2726570653994</v>
      </c>
      <c r="AE19" s="15">
        <v>1.44131680397252E-4</v>
      </c>
      <c r="AF19" s="15">
        <v>1.0947342245814E-4</v>
      </c>
      <c r="AI19" s="12"/>
      <c r="AJ19"/>
      <c r="AK19"/>
      <c r="AL19"/>
      <c r="AM19"/>
      <c r="AN19"/>
      <c r="AO19"/>
      <c r="AP19"/>
      <c r="AQ19" s="24">
        <f>SUM(AQ22:AQ176)</f>
        <v>0</v>
      </c>
      <c r="AR19" s="24">
        <f>AR176</f>
        <v>0</v>
      </c>
      <c r="AU19"/>
      <c r="AV19"/>
      <c r="AW19"/>
      <c r="AX19"/>
      <c r="AY19"/>
      <c r="AZ19"/>
      <c r="BA19"/>
      <c r="BB19" s="24">
        <f>SUM(BB22:BB176)</f>
        <v>0</v>
      </c>
      <c r="BC19" s="24">
        <f>BC176</f>
        <v>0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19.55</v>
      </c>
      <c r="C20" s="33">
        <v>24.27</v>
      </c>
      <c r="D20" s="15">
        <v>0</v>
      </c>
      <c r="E20" s="15">
        <v>0</v>
      </c>
      <c r="F20" s="33">
        <v>0</v>
      </c>
      <c r="G20" s="33">
        <v>6.7589999999999997E-2</v>
      </c>
      <c r="H20" s="33">
        <v>0</v>
      </c>
      <c r="I20" s="33">
        <v>0</v>
      </c>
      <c r="J20" s="33">
        <v>6.7589999999999997E-2</v>
      </c>
      <c r="K20" s="33">
        <v>0</v>
      </c>
      <c r="L20" s="33">
        <v>19.61759</v>
      </c>
      <c r="M20" s="33">
        <v>24.27</v>
      </c>
      <c r="N20" s="34">
        <v>1.24143222506393</v>
      </c>
      <c r="O20" s="34">
        <v>1.2388993693114601</v>
      </c>
      <c r="P20" s="34">
        <v>1.24068292468768</v>
      </c>
      <c r="R20" s="33">
        <v>24.2204826700391</v>
      </c>
      <c r="S20" s="33">
        <v>24.2471649531544</v>
      </c>
      <c r="U20" s="15">
        <v>-2.0423532390884498E-3</v>
      </c>
      <c r="V20" s="15">
        <v>-9.4131833769517696E-4</v>
      </c>
      <c r="X20" s="34">
        <v>1.23715502260981</v>
      </c>
      <c r="Y20" s="34">
        <v>1.23733334869304</v>
      </c>
      <c r="Z20" s="34">
        <v>1.2372603800375801</v>
      </c>
      <c r="AB20" s="33">
        <v>24.273498327987099</v>
      </c>
      <c r="AC20" s="33">
        <v>24.272243172596902</v>
      </c>
      <c r="AE20" s="15">
        <v>1.44131680397252E-4</v>
      </c>
      <c r="AF20" s="15">
        <v>9.2421464356506902E-5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BSCQ log rtn</v>
      </c>
      <c r="AP20" s="7" t="str">
        <f>E1</f>
        <v>IBDR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BSCQ log rtn</v>
      </c>
      <c r="BA20" s="24" t="str">
        <f>E1</f>
        <v>IBDR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19.55</v>
      </c>
      <c r="C21" s="33">
        <v>24.28</v>
      </c>
      <c r="D21" s="15">
        <v>0</v>
      </c>
      <c r="E21" s="15">
        <v>4.1194645278766397E-4</v>
      </c>
      <c r="F21" s="33">
        <v>0</v>
      </c>
      <c r="G21" s="33">
        <v>6.7589999999999997E-2</v>
      </c>
      <c r="H21" s="33">
        <v>0</v>
      </c>
      <c r="I21" s="33">
        <v>0</v>
      </c>
      <c r="J21" s="33">
        <v>6.7589999999999997E-2</v>
      </c>
      <c r="K21" s="33">
        <v>0</v>
      </c>
      <c r="L21" s="33">
        <v>19.61759</v>
      </c>
      <c r="M21" s="33">
        <v>24.28</v>
      </c>
      <c r="N21" s="34">
        <v>1.2419437340153401</v>
      </c>
      <c r="O21" s="34">
        <v>1.2388993693114601</v>
      </c>
      <c r="P21" s="34">
        <v>1.24108965133066</v>
      </c>
      <c r="Q21" s="34">
        <v>1.23934687845655</v>
      </c>
      <c r="R21" s="33">
        <v>24.2204826700391</v>
      </c>
      <c r="S21" s="33">
        <v>24.255351177644201</v>
      </c>
      <c r="U21" s="15">
        <v>-2.4542996918759299E-3</v>
      </c>
      <c r="V21" s="15">
        <v>-1.0157060318630999E-3</v>
      </c>
      <c r="X21" s="34">
        <v>1.2376647692198599</v>
      </c>
      <c r="Y21" s="34">
        <v>1.23733334869304</v>
      </c>
      <c r="Z21" s="34">
        <v>1.2372392102010099</v>
      </c>
      <c r="AA21" s="34">
        <v>1.2374216578917301</v>
      </c>
      <c r="AB21" s="33">
        <v>24.273498327987099</v>
      </c>
      <c r="AC21" s="33">
        <v>24.2720668588214</v>
      </c>
      <c r="AE21" s="15">
        <v>-2.6781477239026601E-4</v>
      </c>
      <c r="AF21" s="15">
        <v>-3.26789023099517E-4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19.57</v>
      </c>
      <c r="C22" s="33">
        <v>24.2</v>
      </c>
      <c r="D22" s="15">
        <v>1.02249497661001E-3</v>
      </c>
      <c r="E22" s="15">
        <v>-3.3003330286568498E-3</v>
      </c>
      <c r="F22" s="33">
        <v>0</v>
      </c>
      <c r="G22" s="33">
        <v>6.7589999999999997E-2</v>
      </c>
      <c r="H22" s="33">
        <v>8.3278000000000005E-2</v>
      </c>
      <c r="I22" s="33">
        <v>8.3278000000000005E-2</v>
      </c>
      <c r="J22" s="33">
        <v>6.7589999999999997E-2</v>
      </c>
      <c r="K22" s="33">
        <v>8.3278000000000005E-2</v>
      </c>
      <c r="L22" s="33">
        <v>19.637589999999999</v>
      </c>
      <c r="M22" s="33">
        <v>24.283277999999999</v>
      </c>
      <c r="N22" s="34">
        <v>1.2365866121614699</v>
      </c>
      <c r="O22" s="34">
        <v>1.2388993693114601</v>
      </c>
      <c r="P22" s="34">
        <v>1.24103592090989</v>
      </c>
      <c r="Q22" s="34">
        <v>1.2392702305260399</v>
      </c>
      <c r="R22" s="33">
        <v>24.245260657425401</v>
      </c>
      <c r="S22" s="33">
        <v>24.2881244765411</v>
      </c>
      <c r="T22" s="33">
        <v>24.2540184113947</v>
      </c>
      <c r="U22" s="15">
        <v>1.8685283133910999E-3</v>
      </c>
      <c r="V22" s="15">
        <v>3.6348930597279098E-3</v>
      </c>
      <c r="W22" s="15">
        <v>2.22967817923236E-3</v>
      </c>
      <c r="X22" s="34">
        <v>1.2365711882160599</v>
      </c>
      <c r="Y22" s="34">
        <v>1.23733334869304</v>
      </c>
      <c r="Z22" s="34">
        <v>1.2371839373857001</v>
      </c>
      <c r="AA22" s="34">
        <v>1.2373442387639499</v>
      </c>
      <c r="AB22" s="33">
        <v>24.2982449949609</v>
      </c>
      <c r="AC22" s="33">
        <v>24.296396341851398</v>
      </c>
      <c r="AD22" s="33">
        <v>24.299979174798001</v>
      </c>
      <c r="AE22" s="15">
        <v>6.1615999301060497E-4</v>
      </c>
      <c r="AF22" s="15">
        <v>5.4007534418505502E-4</v>
      </c>
      <c r="AG22" s="15">
        <v>6.8752802620265004E-4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19.559999999999999</v>
      </c>
      <c r="C23" s="33">
        <v>24.21</v>
      </c>
      <c r="D23" s="15">
        <v>-5.1111680131371996E-4</v>
      </c>
      <c r="E23" s="15">
        <v>4.13137787326395E-4</v>
      </c>
      <c r="F23" s="33">
        <v>0</v>
      </c>
      <c r="G23" s="33">
        <v>6.7589999999999997E-2</v>
      </c>
      <c r="H23" s="33">
        <v>0</v>
      </c>
      <c r="I23" s="33">
        <v>8.3278000000000005E-2</v>
      </c>
      <c r="J23" s="33">
        <v>6.7589999999999997E-2</v>
      </c>
      <c r="K23" s="33">
        <v>8.3278000000000005E-2</v>
      </c>
      <c r="L23" s="33">
        <v>19.627589999999898</v>
      </c>
      <c r="M23" s="33">
        <v>24.293278000000001</v>
      </c>
      <c r="N23" s="34">
        <v>1.23773006134969</v>
      </c>
      <c r="O23" s="34">
        <v>1.2388993693114601</v>
      </c>
      <c r="P23" s="34">
        <v>1.2407045258166101</v>
      </c>
      <c r="Q23" s="34">
        <v>1.2392823720000701</v>
      </c>
      <c r="R23" s="33">
        <v>24.232871663732301</v>
      </c>
      <c r="S23" s="33">
        <v>24.274662612997499</v>
      </c>
      <c r="T23" s="33">
        <v>24.240125709089501</v>
      </c>
      <c r="U23" s="15">
        <v>9.4427372475070295E-4</v>
      </c>
      <c r="V23" s="15">
        <v>2.6673445931457598E-3</v>
      </c>
      <c r="W23" s="15">
        <v>1.24357625624403E-3</v>
      </c>
      <c r="X23" s="34">
        <v>1.23771069193925</v>
      </c>
      <c r="Y23" s="34">
        <v>1.23733334869304</v>
      </c>
      <c r="Z23" s="34">
        <v>1.23727840991476</v>
      </c>
      <c r="AA23" s="34">
        <v>1.2373554117674499</v>
      </c>
      <c r="AB23" s="33">
        <v>24.285871661474001</v>
      </c>
      <c r="AC23" s="33">
        <v>24.2829390775922</v>
      </c>
      <c r="AD23" s="33">
        <v>24.2860854073209</v>
      </c>
      <c r="AE23" s="15">
        <v>-3.0491841190874799E-4</v>
      </c>
      <c r="AF23" s="15">
        <v>-4.256783745556E-4</v>
      </c>
      <c r="AG23" s="15">
        <v>-2.9611720809329898E-4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19.579999999999998</v>
      </c>
      <c r="C24" s="33">
        <v>24.21</v>
      </c>
      <c r="D24" s="15">
        <v>1.0219724956929601E-3</v>
      </c>
      <c r="E24" s="15">
        <v>0</v>
      </c>
      <c r="F24" s="33">
        <v>0</v>
      </c>
      <c r="G24" s="33">
        <v>6.7589999999999997E-2</v>
      </c>
      <c r="H24" s="33">
        <v>0</v>
      </c>
      <c r="I24" s="33">
        <v>8.3278000000000005E-2</v>
      </c>
      <c r="J24" s="33">
        <v>6.7589999999999997E-2</v>
      </c>
      <c r="K24" s="33">
        <v>8.3278000000000005E-2</v>
      </c>
      <c r="L24" s="33">
        <v>19.647589999999902</v>
      </c>
      <c r="M24" s="33">
        <v>24.293278000000001</v>
      </c>
      <c r="N24" s="34">
        <v>1.2364657814096001</v>
      </c>
      <c r="O24" s="34">
        <v>1.2388993693114601</v>
      </c>
      <c r="P24" s="34">
        <v>1.24013195393197</v>
      </c>
      <c r="Q24" s="34">
        <v>1.23923129947708</v>
      </c>
      <c r="R24" s="33">
        <v>24.257649651118498</v>
      </c>
      <c r="S24" s="33">
        <v>24.292994615489299</v>
      </c>
      <c r="T24" s="33">
        <v>24.265148843761299</v>
      </c>
      <c r="U24" s="15">
        <v>1.9662462204438399E-3</v>
      </c>
      <c r="V24" s="15">
        <v>3.4222504053041101E-3</v>
      </c>
      <c r="W24" s="15">
        <v>2.2753459811824298E-3</v>
      </c>
      <c r="X24" s="34">
        <v>1.2364507809863701</v>
      </c>
      <c r="Y24" s="34">
        <v>1.23733334869304</v>
      </c>
      <c r="Z24" s="34">
        <v>1.23713275660204</v>
      </c>
      <c r="AA24" s="34">
        <v>1.2373035892233</v>
      </c>
      <c r="AB24" s="33">
        <v>24.310618328447902</v>
      </c>
      <c r="AC24" s="33">
        <v>24.309538913857299</v>
      </c>
      <c r="AD24" s="33">
        <v>24.311051814688099</v>
      </c>
      <c r="AE24" s="15">
        <v>7.1353658836128099E-4</v>
      </c>
      <c r="AF24" s="15">
        <v>6.6913465089252601E-4</v>
      </c>
      <c r="AG24" s="15">
        <v>7.3136757766802303E-4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19.57</v>
      </c>
      <c r="C25" s="33">
        <v>24.21</v>
      </c>
      <c r="D25" s="15">
        <v>-5.1085569437930997E-4</v>
      </c>
      <c r="E25" s="15">
        <v>0</v>
      </c>
      <c r="F25" s="33">
        <v>0</v>
      </c>
      <c r="G25" s="33">
        <v>6.7589999999999997E-2</v>
      </c>
      <c r="H25" s="33">
        <v>0</v>
      </c>
      <c r="I25" s="33">
        <v>8.3278000000000005E-2</v>
      </c>
      <c r="J25" s="33">
        <v>6.7589999999999997E-2</v>
      </c>
      <c r="K25" s="33">
        <v>8.3278000000000005E-2</v>
      </c>
      <c r="L25" s="33">
        <v>19.637589999999999</v>
      </c>
      <c r="M25" s="33">
        <v>24.293278000000001</v>
      </c>
      <c r="N25" s="34">
        <v>1.23709759836484</v>
      </c>
      <c r="O25" s="34">
        <v>1.2388993693114601</v>
      </c>
      <c r="P25" s="34">
        <v>1.2397496421572001</v>
      </c>
      <c r="Q25" s="34">
        <v>1.2392118178018601</v>
      </c>
      <c r="R25" s="33">
        <v>24.245260657425401</v>
      </c>
      <c r="S25" s="33">
        <v>24.2693823384487</v>
      </c>
      <c r="T25" s="33">
        <v>24.251756530766599</v>
      </c>
      <c r="U25" s="15">
        <v>1.45539052606444E-3</v>
      </c>
      <c r="V25" s="15">
        <v>2.4497988746157101E-3</v>
      </c>
      <c r="W25" s="15">
        <v>1.7232780687081899E-3</v>
      </c>
      <c r="X25" s="34">
        <v>1.23708041567218</v>
      </c>
      <c r="Y25" s="34">
        <v>1.23733334869304</v>
      </c>
      <c r="Z25" s="34">
        <v>1.2371762705692799</v>
      </c>
      <c r="AA25" s="34">
        <v>1.2372832484134499</v>
      </c>
      <c r="AB25" s="33">
        <v>24.2982449949609</v>
      </c>
      <c r="AC25" s="33">
        <v>24.294305849720701</v>
      </c>
      <c r="AD25" s="33">
        <v>24.297660590695699</v>
      </c>
      <c r="AE25" s="15">
        <v>2.0443874454410899E-4</v>
      </c>
      <c r="AF25" s="15">
        <v>4.2309151409616403E-5</v>
      </c>
      <c r="AG25" s="15">
        <v>1.80387160024781E-4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19.579999999999998</v>
      </c>
      <c r="C26" s="33">
        <v>24.23</v>
      </c>
      <c r="D26" s="15">
        <v>5.1085569437926204E-4</v>
      </c>
      <c r="E26" s="15">
        <v>8.2576387846719599E-4</v>
      </c>
      <c r="F26" s="33">
        <v>0</v>
      </c>
      <c r="G26" s="33">
        <v>6.7589999999999997E-2</v>
      </c>
      <c r="H26" s="33">
        <v>0</v>
      </c>
      <c r="I26" s="33">
        <v>8.3278000000000005E-2</v>
      </c>
      <c r="J26" s="33">
        <v>6.7589999999999997E-2</v>
      </c>
      <c r="K26" s="33">
        <v>8.3278000000000005E-2</v>
      </c>
      <c r="L26" s="33">
        <v>19.647589999999902</v>
      </c>
      <c r="M26" s="33">
        <v>24.313278</v>
      </c>
      <c r="N26" s="34">
        <v>1.23748723186925</v>
      </c>
      <c r="O26" s="34">
        <v>1.2388993693114601</v>
      </c>
      <c r="P26" s="34">
        <v>1.2393551428377301</v>
      </c>
      <c r="Q26" s="34">
        <v>1.2392118178018601</v>
      </c>
      <c r="R26" s="33">
        <v>24.257649651118498</v>
      </c>
      <c r="S26" s="33">
        <v>24.274297993438001</v>
      </c>
      <c r="T26" s="33">
        <v>24.263767392560499</v>
      </c>
      <c r="U26" s="15">
        <v>1.1404823419767301E-3</v>
      </c>
      <c r="V26" s="15">
        <v>1.8265600199017899E-3</v>
      </c>
      <c r="W26" s="15">
        <v>1.39264898702559E-3</v>
      </c>
      <c r="X26" s="34">
        <v>1.23746871753736</v>
      </c>
      <c r="Y26" s="34">
        <v>1.23733334869304</v>
      </c>
      <c r="Z26" s="34">
        <v>1.23720764006204</v>
      </c>
      <c r="AA26" s="34">
        <v>1.2372823226968599</v>
      </c>
      <c r="AB26" s="33">
        <v>24.310618328447902</v>
      </c>
      <c r="AC26" s="33">
        <v>24.307532121874399</v>
      </c>
      <c r="AD26" s="33">
        <v>24.3096339786957</v>
      </c>
      <c r="AE26" s="15">
        <v>-1.09397714110312E-4</v>
      </c>
      <c r="AF26" s="15">
        <v>-2.36354685902751E-4</v>
      </c>
      <c r="AG26" s="15">
        <v>-1.4988906105323601E-4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19.579999999999998</v>
      </c>
      <c r="C27" s="33">
        <v>24.24</v>
      </c>
      <c r="D27" s="15">
        <v>0</v>
      </c>
      <c r="E27" s="15">
        <v>4.1262637267935502E-4</v>
      </c>
      <c r="F27" s="33">
        <v>0</v>
      </c>
      <c r="G27" s="33">
        <v>6.7589999999999997E-2</v>
      </c>
      <c r="H27" s="33">
        <v>0</v>
      </c>
      <c r="I27" s="33">
        <v>8.3278000000000005E-2</v>
      </c>
      <c r="J27" s="33">
        <v>6.7589999999999997E-2</v>
      </c>
      <c r="K27" s="33">
        <v>8.3278000000000005E-2</v>
      </c>
      <c r="L27" s="33">
        <v>19.647589999999902</v>
      </c>
      <c r="M27" s="33">
        <v>24.323277999999998</v>
      </c>
      <c r="N27" s="34">
        <v>1.23799795709908</v>
      </c>
      <c r="O27" s="34">
        <v>1.2388993693114601</v>
      </c>
      <c r="P27" s="34">
        <v>1.2390117160412499</v>
      </c>
      <c r="Q27" s="34">
        <v>1.2392373540633499</v>
      </c>
      <c r="R27" s="33">
        <v>24.257649651118498</v>
      </c>
      <c r="S27" s="33">
        <v>24.266573696762801</v>
      </c>
      <c r="T27" s="33">
        <v>24.263767392560499</v>
      </c>
      <c r="U27" s="15">
        <v>7.2785596929742901E-4</v>
      </c>
      <c r="V27" s="15">
        <v>1.0956741487245E-3</v>
      </c>
      <c r="W27" s="15">
        <v>9.800226143461641E-4</v>
      </c>
      <c r="X27" s="34">
        <v>1.2379776858128599</v>
      </c>
      <c r="Y27" s="34">
        <v>1.23733334869304</v>
      </c>
      <c r="Z27" s="34">
        <v>1.2372899063823399</v>
      </c>
      <c r="AA27" s="34">
        <v>1.2373068453940399</v>
      </c>
      <c r="AB27" s="33">
        <v>24.310618328447902</v>
      </c>
      <c r="AC27" s="33">
        <v>24.308148456806499</v>
      </c>
      <c r="AD27" s="33">
        <v>24.309615790595601</v>
      </c>
      <c r="AE27" s="15">
        <v>-5.2061104676937595E-4</v>
      </c>
      <c r="AF27" s="15">
        <v>-6.2221262191337E-4</v>
      </c>
      <c r="AG27" s="15">
        <v>-5.6185057885260097E-4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19.579999999999998</v>
      </c>
      <c r="C28" s="33">
        <v>24.23</v>
      </c>
      <c r="D28" s="15">
        <v>0</v>
      </c>
      <c r="E28" s="15">
        <v>-4.1262637267930102E-4</v>
      </c>
      <c r="F28" s="33">
        <v>0</v>
      </c>
      <c r="G28" s="33">
        <v>6.7589999999999997E-2</v>
      </c>
      <c r="H28" s="33">
        <v>0</v>
      </c>
      <c r="I28" s="33">
        <v>8.3278000000000005E-2</v>
      </c>
      <c r="J28" s="33">
        <v>6.7589999999999997E-2</v>
      </c>
      <c r="K28" s="33">
        <v>8.3278000000000005E-2</v>
      </c>
      <c r="L28" s="33">
        <v>19.647589999999902</v>
      </c>
      <c r="M28" s="33">
        <v>24.313278</v>
      </c>
      <c r="N28" s="34">
        <v>1.23748723186925</v>
      </c>
      <c r="O28" s="34">
        <v>1.2388993693114601</v>
      </c>
      <c r="P28" s="34">
        <v>1.23856606582664</v>
      </c>
      <c r="Q28" s="34">
        <v>1.2392118178018601</v>
      </c>
      <c r="R28" s="33">
        <v>24.257649651118498</v>
      </c>
      <c r="S28" s="33">
        <v>24.259849400087699</v>
      </c>
      <c r="T28" s="33">
        <v>24.264267392560502</v>
      </c>
      <c r="U28" s="15">
        <v>1.1404823419767301E-3</v>
      </c>
      <c r="V28" s="15">
        <v>1.2311609224348501E-3</v>
      </c>
      <c r="W28" s="15">
        <v>1.4132556323279599E-3</v>
      </c>
      <c r="X28" s="34">
        <v>1.23746871753736</v>
      </c>
      <c r="Y28" s="34">
        <v>1.23733334869304</v>
      </c>
      <c r="Z28" s="34">
        <v>1.23727030121409</v>
      </c>
      <c r="AA28" s="34">
        <v>1.23728038341595</v>
      </c>
      <c r="AB28" s="33">
        <v>24.310618328447902</v>
      </c>
      <c r="AC28" s="33">
        <v>24.309764791738701</v>
      </c>
      <c r="AD28" s="33">
        <v>24.3100976024955</v>
      </c>
      <c r="AE28" s="15">
        <v>-1.09397714110312E-4</v>
      </c>
      <c r="AF28" s="15">
        <v>-1.4450795613181499E-4</v>
      </c>
      <c r="AG28" s="15">
        <v>-1.3081763532822799E-4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19.579999999999998</v>
      </c>
      <c r="C29" s="33">
        <v>24.23</v>
      </c>
      <c r="D29" s="15">
        <v>0</v>
      </c>
      <c r="E29" s="15">
        <v>0</v>
      </c>
      <c r="F29" s="33">
        <v>0</v>
      </c>
      <c r="G29" s="33">
        <v>6.7589999999999997E-2</v>
      </c>
      <c r="H29" s="33">
        <v>0</v>
      </c>
      <c r="I29" s="33">
        <v>8.3278000000000005E-2</v>
      </c>
      <c r="J29" s="33">
        <v>6.7589999999999997E-2</v>
      </c>
      <c r="K29" s="33">
        <v>8.3278000000000005E-2</v>
      </c>
      <c r="L29" s="33">
        <v>19.647589999999902</v>
      </c>
      <c r="M29" s="33">
        <v>24.313278</v>
      </c>
      <c r="N29" s="34">
        <v>1.23748723186925</v>
      </c>
      <c r="O29" s="34">
        <v>1.2388993693114601</v>
      </c>
      <c r="P29" s="34">
        <v>1.23817156650717</v>
      </c>
      <c r="Q29" s="34">
        <v>1.23921787924219</v>
      </c>
      <c r="R29" s="33">
        <v>24.257649651118498</v>
      </c>
      <c r="S29" s="33">
        <v>24.2511235688856</v>
      </c>
      <c r="T29" s="33">
        <v>24.263767392560499</v>
      </c>
      <c r="U29" s="15">
        <v>1.1404823419767301E-3</v>
      </c>
      <c r="V29" s="15">
        <v>8.7141421928231501E-4</v>
      </c>
      <c r="W29" s="15">
        <v>1.3926489870253701E-3</v>
      </c>
      <c r="X29" s="34">
        <v>1.23746871753736</v>
      </c>
      <c r="Y29" s="34">
        <v>1.23733334869304</v>
      </c>
      <c r="Z29" s="34">
        <v>1.23730167070685</v>
      </c>
      <c r="AA29" s="34">
        <v>1.2372855191396801</v>
      </c>
      <c r="AB29" s="33">
        <v>24.310618328447902</v>
      </c>
      <c r="AC29" s="33">
        <v>24.309379597431001</v>
      </c>
      <c r="AD29" s="33">
        <v>24.3095776883995</v>
      </c>
      <c r="AE29" s="15">
        <v>-1.09397714110312E-4</v>
      </c>
      <c r="AF29" s="15">
        <v>-1.6035333196087501E-4</v>
      </c>
      <c r="AG29" s="15">
        <v>-1.52204618804579E-4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19.579999999999998</v>
      </c>
      <c r="C30" s="33">
        <v>24.23</v>
      </c>
      <c r="D30" s="15">
        <v>0</v>
      </c>
      <c r="E30" s="15">
        <v>0</v>
      </c>
      <c r="F30" s="33">
        <v>0</v>
      </c>
      <c r="G30" s="33">
        <v>6.7589999999999997E-2</v>
      </c>
      <c r="H30" s="33">
        <v>0</v>
      </c>
      <c r="I30" s="33">
        <v>8.3278000000000005E-2</v>
      </c>
      <c r="J30" s="33">
        <v>6.7589999999999997E-2</v>
      </c>
      <c r="K30" s="33">
        <v>8.3278000000000005E-2</v>
      </c>
      <c r="L30" s="33">
        <v>19.647589999999902</v>
      </c>
      <c r="M30" s="33">
        <v>24.313278</v>
      </c>
      <c r="N30" s="34">
        <v>1.23748723186925</v>
      </c>
      <c r="O30" s="34">
        <v>1.2388993693114601</v>
      </c>
      <c r="P30" s="34">
        <v>1.2377770671877</v>
      </c>
      <c r="Q30" s="34">
        <v>1.23922999593769</v>
      </c>
      <c r="R30" s="33">
        <v>24.257649651118498</v>
      </c>
      <c r="S30" s="33">
        <v>24.2433992722104</v>
      </c>
      <c r="T30" s="33">
        <v>24.263886075562102</v>
      </c>
      <c r="U30" s="15">
        <v>1.1404823419767301E-3</v>
      </c>
      <c r="V30" s="15">
        <v>5.5285054289258399E-4</v>
      </c>
      <c r="W30" s="15">
        <v>1.3975403424919799E-3</v>
      </c>
      <c r="X30" s="34">
        <v>1.23746871753736</v>
      </c>
      <c r="Y30" s="34">
        <v>1.23733334869304</v>
      </c>
      <c r="Z30" s="34">
        <v>1.2373330401996001</v>
      </c>
      <c r="AA30" s="34">
        <v>1.2372967101185901</v>
      </c>
      <c r="AB30" s="33">
        <v>24.310618328447902</v>
      </c>
      <c r="AC30" s="33">
        <v>24.309995932363201</v>
      </c>
      <c r="AD30" s="33">
        <v>24.309678592993698</v>
      </c>
      <c r="AE30" s="15">
        <v>-1.09397714110312E-4</v>
      </c>
      <c r="AF30" s="15">
        <v>-1.34999862259215E-4</v>
      </c>
      <c r="AG30" s="15">
        <v>-1.4805381100126499E-4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19.59</v>
      </c>
      <c r="C31" s="33">
        <v>24.24</v>
      </c>
      <c r="D31" s="15">
        <v>5.10594854085132E-4</v>
      </c>
      <c r="E31" s="15">
        <v>4.1262637267935502E-4</v>
      </c>
      <c r="F31" s="33">
        <v>0</v>
      </c>
      <c r="G31" s="33">
        <v>6.7589999999999997E-2</v>
      </c>
      <c r="H31" s="33">
        <v>0</v>
      </c>
      <c r="I31" s="33">
        <v>8.3278000000000005E-2</v>
      </c>
      <c r="J31" s="33">
        <v>6.7589999999999997E-2</v>
      </c>
      <c r="K31" s="33">
        <v>8.3278000000000005E-2</v>
      </c>
      <c r="L31" s="33">
        <v>19.657589999999999</v>
      </c>
      <c r="M31" s="33">
        <v>24.323277999999998</v>
      </c>
      <c r="N31" s="34">
        <v>1.23736600306278</v>
      </c>
      <c r="O31" s="34">
        <v>1.2388993693114601</v>
      </c>
      <c r="P31" s="34">
        <v>1.23731929409244</v>
      </c>
      <c r="Q31" s="34">
        <v>1.2392044727115501</v>
      </c>
      <c r="R31" s="33">
        <v>24.270038644811599</v>
      </c>
      <c r="S31" s="33">
        <v>24.248052746207101</v>
      </c>
      <c r="T31" s="33">
        <v>24.276515620419399</v>
      </c>
      <c r="U31" s="15">
        <v>1.23845082338254E-3</v>
      </c>
      <c r="V31" s="15">
        <v>3.32153832752948E-4</v>
      </c>
      <c r="W31" s="15">
        <v>1.5052864719373399E-3</v>
      </c>
      <c r="X31" s="34">
        <v>1.2373479149783799</v>
      </c>
      <c r="Y31" s="34">
        <v>1.23733334869304</v>
      </c>
      <c r="Z31" s="34">
        <v>1.2373013547754601</v>
      </c>
      <c r="AA31" s="34">
        <v>1.23727028248823</v>
      </c>
      <c r="AB31" s="33">
        <v>24.3229916619348</v>
      </c>
      <c r="AC31" s="33">
        <v>24.3229855976974</v>
      </c>
      <c r="AD31" s="33">
        <v>24.322271435860198</v>
      </c>
      <c r="AE31" s="15">
        <v>-1.17722516913557E-5</v>
      </c>
      <c r="AF31" s="15">
        <v>-1.2021572920747701E-5</v>
      </c>
      <c r="AG31" s="15">
        <v>-4.1383606583385002E-5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19.59</v>
      </c>
      <c r="C32" s="33">
        <v>24.25</v>
      </c>
      <c r="D32" s="15">
        <v>0</v>
      </c>
      <c r="E32" s="15">
        <v>4.1245618237846401E-4</v>
      </c>
      <c r="F32" s="33">
        <v>0</v>
      </c>
      <c r="G32" s="33">
        <v>6.7589999999999997E-2</v>
      </c>
      <c r="H32" s="33">
        <v>0</v>
      </c>
      <c r="I32" s="33">
        <v>8.3278000000000005E-2</v>
      </c>
      <c r="J32" s="33">
        <v>6.7589999999999997E-2</v>
      </c>
      <c r="K32" s="33">
        <v>8.3278000000000005E-2</v>
      </c>
      <c r="L32" s="33">
        <v>19.657589999999999</v>
      </c>
      <c r="M32" s="33">
        <v>24.333278</v>
      </c>
      <c r="N32" s="34">
        <v>1.2378764675855001</v>
      </c>
      <c r="O32" s="34">
        <v>1.2388993693114601</v>
      </c>
      <c r="P32" s="34">
        <v>1.23744827963485</v>
      </c>
      <c r="Q32" s="34">
        <v>1.2392421002723699</v>
      </c>
      <c r="R32" s="33">
        <v>24.270038644811599</v>
      </c>
      <c r="S32" s="33">
        <v>24.239084971271001</v>
      </c>
      <c r="T32" s="33">
        <v>24.2760156204194</v>
      </c>
      <c r="U32" s="15">
        <v>8.2599464100393801E-4</v>
      </c>
      <c r="V32" s="15">
        <v>-4.5020560481751098E-4</v>
      </c>
      <c r="W32" s="15">
        <v>1.07223404103177E-3</v>
      </c>
      <c r="X32" s="34">
        <v>1.23785662433696</v>
      </c>
      <c r="Y32" s="34">
        <v>1.23733334869304</v>
      </c>
      <c r="Z32" s="34">
        <v>1.23742989838754</v>
      </c>
      <c r="AA32" s="34">
        <v>1.2373069178866201</v>
      </c>
      <c r="AB32" s="33">
        <v>24.3229916619348</v>
      </c>
      <c r="AC32" s="33">
        <v>24.322362738620502</v>
      </c>
      <c r="AD32" s="33">
        <v>24.3217519323379</v>
      </c>
      <c r="AE32" s="15">
        <v>-4.22816557449394E-4</v>
      </c>
      <c r="AF32" s="15">
        <v>-4.4867404464796797E-4</v>
      </c>
      <c r="AG32" s="15">
        <v>-4.7378731011553301E-4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19.600000000000001</v>
      </c>
      <c r="C33" s="33">
        <v>24.25</v>
      </c>
      <c r="D33" s="15">
        <v>5.1033428002234698E-4</v>
      </c>
      <c r="E33" s="15">
        <v>0</v>
      </c>
      <c r="F33" s="33">
        <v>0</v>
      </c>
      <c r="G33" s="33">
        <v>6.7589999999999997E-2</v>
      </c>
      <c r="H33" s="33">
        <v>0</v>
      </c>
      <c r="I33" s="33">
        <v>8.3278000000000005E-2</v>
      </c>
      <c r="J33" s="33">
        <v>6.7589999999999997E-2</v>
      </c>
      <c r="K33" s="33">
        <v>8.3278000000000005E-2</v>
      </c>
      <c r="L33" s="33">
        <v>19.667590000000001</v>
      </c>
      <c r="M33" s="33">
        <v>24.333278</v>
      </c>
      <c r="N33" s="34">
        <v>1.2372448979591799</v>
      </c>
      <c r="O33" s="34">
        <v>1.2388993693114601</v>
      </c>
      <c r="P33" s="34">
        <v>1.2373997632958</v>
      </c>
      <c r="Q33" s="34">
        <v>1.2390521445561999</v>
      </c>
      <c r="R33" s="33">
        <v>24.2824276385047</v>
      </c>
      <c r="S33" s="33">
        <v>24.253986280843101</v>
      </c>
      <c r="T33" s="33">
        <v>24.2891451653385</v>
      </c>
      <c r="U33" s="15">
        <v>1.33632892102614E-3</v>
      </c>
      <c r="V33" s="15">
        <v>1.6436920582196899E-4</v>
      </c>
      <c r="W33" s="15">
        <v>1.6129321475154899E-3</v>
      </c>
      <c r="X33" s="34">
        <v>1.2372272352636999</v>
      </c>
      <c r="Y33" s="34">
        <v>1.23733334869304</v>
      </c>
      <c r="Z33" s="34">
        <v>1.2373815527199901</v>
      </c>
      <c r="AA33" s="34">
        <v>1.2373299813173799</v>
      </c>
      <c r="AB33" s="33">
        <v>24.335364995421699</v>
      </c>
      <c r="AC33" s="33">
        <v>24.337263895227899</v>
      </c>
      <c r="AD33" s="33">
        <v>24.334845165157802</v>
      </c>
      <c r="AE33" s="15">
        <v>8.5763452383697802E-5</v>
      </c>
      <c r="AF33" s="15">
        <v>1.6379087150834501E-4</v>
      </c>
      <c r="AG33" s="15">
        <v>6.4402120175465293E-5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19.600000000000001</v>
      </c>
      <c r="C34" s="33">
        <v>24.25</v>
      </c>
      <c r="D34" s="15">
        <v>0</v>
      </c>
      <c r="E34" s="15">
        <v>0</v>
      </c>
      <c r="F34" s="33">
        <v>0</v>
      </c>
      <c r="G34" s="33">
        <v>6.7589999999999997E-2</v>
      </c>
      <c r="H34" s="33">
        <v>0</v>
      </c>
      <c r="I34" s="33">
        <v>8.3278000000000005E-2</v>
      </c>
      <c r="J34" s="33">
        <v>6.7589999999999997E-2</v>
      </c>
      <c r="K34" s="33">
        <v>8.3278000000000005E-2</v>
      </c>
      <c r="L34" s="33">
        <v>19.667590000000001</v>
      </c>
      <c r="M34" s="33">
        <v>24.333278</v>
      </c>
      <c r="N34" s="34">
        <v>1.2372448979591799</v>
      </c>
      <c r="O34" s="34">
        <v>1.2388993693114601</v>
      </c>
      <c r="P34" s="34">
        <v>1.2374776749507499</v>
      </c>
      <c r="Q34" s="34">
        <v>1.2388048144413599</v>
      </c>
      <c r="R34" s="33">
        <v>24.2824276385047</v>
      </c>
      <c r="S34" s="33">
        <v>24.2530353605977</v>
      </c>
      <c r="T34" s="33">
        <v>24.2854220333016</v>
      </c>
      <c r="U34" s="15">
        <v>1.33632892102614E-3</v>
      </c>
      <c r="V34" s="15">
        <v>1.25161676134793E-4</v>
      </c>
      <c r="W34" s="15">
        <v>1.4596366161767401E-3</v>
      </c>
      <c r="X34" s="34">
        <v>1.2372272352636999</v>
      </c>
      <c r="Y34" s="34">
        <v>1.23733334869304</v>
      </c>
      <c r="Z34" s="34">
        <v>1.2374591981477201</v>
      </c>
      <c r="AA34" s="34">
        <v>1.23729597737488</v>
      </c>
      <c r="AB34" s="33">
        <v>24.335364995421699</v>
      </c>
      <c r="AC34" s="33">
        <v>24.336313052460198</v>
      </c>
      <c r="AD34" s="33">
        <v>24.3352987672579</v>
      </c>
      <c r="AE34" s="15">
        <v>8.5763452383697802E-5</v>
      </c>
      <c r="AF34" s="15">
        <v>1.2472068897764399E-4</v>
      </c>
      <c r="AG34" s="15">
        <v>8.3041970540373295E-5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19.600000000000001</v>
      </c>
      <c r="C35" s="33">
        <v>24.26</v>
      </c>
      <c r="D35" s="15">
        <v>0</v>
      </c>
      <c r="E35" s="15">
        <v>4.1228613241195601E-4</v>
      </c>
      <c r="F35" s="33">
        <v>0</v>
      </c>
      <c r="G35" s="33">
        <v>6.7589999999999997E-2</v>
      </c>
      <c r="H35" s="33">
        <v>0</v>
      </c>
      <c r="I35" s="33">
        <v>8.3278000000000005E-2</v>
      </c>
      <c r="J35" s="33">
        <v>6.7589999999999997E-2</v>
      </c>
      <c r="K35" s="33">
        <v>8.3278000000000005E-2</v>
      </c>
      <c r="L35" s="33">
        <v>19.667590000000001</v>
      </c>
      <c r="M35" s="33">
        <v>24.343278000000002</v>
      </c>
      <c r="N35" s="34">
        <v>1.23775510204081</v>
      </c>
      <c r="O35" s="34">
        <v>1.2388993693114601</v>
      </c>
      <c r="P35" s="34">
        <v>1.2375434253183499</v>
      </c>
      <c r="Q35" s="34">
        <v>1.2386465337377801</v>
      </c>
      <c r="R35" s="33">
        <v>24.2824276385047</v>
      </c>
      <c r="S35" s="33">
        <v>24.254562429034799</v>
      </c>
      <c r="T35" s="33">
        <v>24.2805743630508</v>
      </c>
      <c r="U35" s="15">
        <v>9.2404278861426897E-4</v>
      </c>
      <c r="V35" s="15">
        <v>-2.24162425285403E-4</v>
      </c>
      <c r="W35" s="15">
        <v>8.4771820494008098E-4</v>
      </c>
      <c r="X35" s="34">
        <v>1.2377356859686399</v>
      </c>
      <c r="Y35" s="34">
        <v>1.23733334869304</v>
      </c>
      <c r="Z35" s="34">
        <v>1.23752472517737</v>
      </c>
      <c r="AA35" s="34">
        <v>1.2373504978733201</v>
      </c>
      <c r="AB35" s="33">
        <v>24.335364995421699</v>
      </c>
      <c r="AC35" s="33">
        <v>24.337840150898199</v>
      </c>
      <c r="AD35" s="33">
        <v>24.334629991658499</v>
      </c>
      <c r="AE35" s="15">
        <v>-3.2511196537114001E-4</v>
      </c>
      <c r="AF35" s="15">
        <v>-2.23406911382112E-4</v>
      </c>
      <c r="AG35" s="15">
        <v>-3.5531553385373399E-4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19.54</v>
      </c>
      <c r="C36" s="33">
        <v>24.27</v>
      </c>
      <c r="D36" s="15">
        <v>-3.06591962183501E-3</v>
      </c>
      <c r="E36" s="15">
        <v>4.1211622260589202E-4</v>
      </c>
      <c r="F36" s="33">
        <v>6.6830000000000001E-2</v>
      </c>
      <c r="G36" s="33">
        <v>0.13441999999999901</v>
      </c>
      <c r="H36" s="33">
        <v>0</v>
      </c>
      <c r="I36" s="33">
        <v>8.3278000000000005E-2</v>
      </c>
      <c r="J36" s="33">
        <v>0.13441999999999901</v>
      </c>
      <c r="K36" s="33">
        <v>8.3278000000000005E-2</v>
      </c>
      <c r="L36" s="33">
        <v>19.674419999999898</v>
      </c>
      <c r="M36" s="33">
        <v>24.353278</v>
      </c>
      <c r="N36" s="34">
        <v>1.24206755373592</v>
      </c>
      <c r="O36" s="34">
        <v>1.2388993693114601</v>
      </c>
      <c r="P36" s="34">
        <v>1.23800145750502</v>
      </c>
      <c r="Q36" s="34">
        <v>1.2386783001713799</v>
      </c>
      <c r="R36" s="33">
        <v>24.208093676346</v>
      </c>
      <c r="S36" s="33">
        <v>24.181598530720699</v>
      </c>
      <c r="T36" s="33">
        <v>24.2031532692362</v>
      </c>
      <c r="U36" s="15">
        <v>-2.5539930558266199E-3</v>
      </c>
      <c r="V36" s="15">
        <v>-3.6490671124963501E-3</v>
      </c>
      <c r="W36" s="15">
        <v>-2.7580946825634602E-3</v>
      </c>
      <c r="X36" s="34">
        <v>1.2378142786420101</v>
      </c>
      <c r="Y36" s="34">
        <v>1.23733334869304</v>
      </c>
      <c r="Z36" s="34">
        <v>1.23755928128783</v>
      </c>
      <c r="AA36" s="34">
        <v>1.2373834606749301</v>
      </c>
      <c r="AB36" s="33">
        <v>24.343815982193298</v>
      </c>
      <c r="AC36" s="33">
        <v>24.3475812035242</v>
      </c>
      <c r="AD36" s="33">
        <v>24.344153382368901</v>
      </c>
      <c r="AE36" s="15">
        <v>-3.88607087280536E-4</v>
      </c>
      <c r="AF36" s="15">
        <v>-2.3395055425920599E-4</v>
      </c>
      <c r="AG36" s="15">
        <v>-3.7474739339539702E-4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19.55</v>
      </c>
      <c r="C37" s="33">
        <v>24.27</v>
      </c>
      <c r="D37" s="15">
        <v>5.11639816738263E-4</v>
      </c>
      <c r="E37" s="15">
        <v>0</v>
      </c>
      <c r="F37" s="33">
        <v>0</v>
      </c>
      <c r="G37" s="33">
        <v>0.13441999999999901</v>
      </c>
      <c r="H37" s="33">
        <v>0</v>
      </c>
      <c r="I37" s="33">
        <v>8.3278000000000005E-2</v>
      </c>
      <c r="J37" s="33">
        <v>0.13441999999999901</v>
      </c>
      <c r="K37" s="33">
        <v>8.3278000000000005E-2</v>
      </c>
      <c r="L37" s="33">
        <v>19.684419999999999</v>
      </c>
      <c r="M37" s="33">
        <v>24.353278</v>
      </c>
      <c r="N37" s="34">
        <v>1.24143222506393</v>
      </c>
      <c r="O37" s="34">
        <v>1.2388993693114601</v>
      </c>
      <c r="P37" s="34">
        <v>1.2383448843015099</v>
      </c>
      <c r="Q37" s="34">
        <v>1.2386783001713799</v>
      </c>
      <c r="R37" s="33">
        <v>24.2204826700391</v>
      </c>
      <c r="S37" s="33">
        <v>24.202928494223201</v>
      </c>
      <c r="T37" s="33">
        <v>24.216160768350399</v>
      </c>
      <c r="U37" s="15">
        <v>-2.0423532390884498E-3</v>
      </c>
      <c r="V37" s="15">
        <v>-2.7673817392653002E-3</v>
      </c>
      <c r="W37" s="15">
        <v>-2.2208091102374401E-3</v>
      </c>
      <c r="X37" s="34">
        <v>1.2371854492029699</v>
      </c>
      <c r="Y37" s="34">
        <v>1.23733334869304</v>
      </c>
      <c r="Z37" s="34">
        <v>1.2374800576268401</v>
      </c>
      <c r="AA37" s="34">
        <v>1.2373849820045899</v>
      </c>
      <c r="AB37" s="33">
        <v>24.356189315680201</v>
      </c>
      <c r="AC37" s="33">
        <v>24.360636667767899</v>
      </c>
      <c r="AD37" s="33">
        <v>24.357175740978899</v>
      </c>
      <c r="AE37" s="15">
        <v>1.19537980774311E-4</v>
      </c>
      <c r="AF37" s="15">
        <v>3.0211769569681902E-4</v>
      </c>
      <c r="AG37" s="15">
        <v>1.6003714553919501E-4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19.54</v>
      </c>
      <c r="C38" s="33">
        <v>24.26</v>
      </c>
      <c r="D38" s="15">
        <v>-5.1163981673817095E-4</v>
      </c>
      <c r="E38" s="15">
        <v>-4.1211622260588199E-4</v>
      </c>
      <c r="F38" s="33">
        <v>0</v>
      </c>
      <c r="G38" s="33">
        <v>0.13441999999999901</v>
      </c>
      <c r="H38" s="33">
        <v>0</v>
      </c>
      <c r="I38" s="33">
        <v>8.3278000000000005E-2</v>
      </c>
      <c r="J38" s="33">
        <v>0.13441999999999901</v>
      </c>
      <c r="K38" s="33">
        <v>8.3278000000000005E-2</v>
      </c>
      <c r="L38" s="33">
        <v>19.674419999999898</v>
      </c>
      <c r="M38" s="33">
        <v>24.343278000000002</v>
      </c>
      <c r="N38" s="34">
        <v>1.2415557830092101</v>
      </c>
      <c r="O38" s="34">
        <v>1.2388993693114601</v>
      </c>
      <c r="P38" s="34">
        <v>1.2387517394155001</v>
      </c>
      <c r="Q38" s="34">
        <v>1.2386589026210699</v>
      </c>
      <c r="R38" s="33">
        <v>24.208093676346</v>
      </c>
      <c r="S38" s="33">
        <v>24.197259039251499</v>
      </c>
      <c r="T38" s="33">
        <v>24.2037739853487</v>
      </c>
      <c r="U38" s="15">
        <v>-2.1418768332208201E-3</v>
      </c>
      <c r="V38" s="15">
        <v>-2.5895396088301899E-3</v>
      </c>
      <c r="W38" s="15">
        <v>-2.32033270436979E-3</v>
      </c>
      <c r="X38" s="34">
        <v>1.2373060044463799</v>
      </c>
      <c r="Y38" s="34">
        <v>1.23733334869304</v>
      </c>
      <c r="Z38" s="34">
        <v>1.23746378631774</v>
      </c>
      <c r="AA38" s="34">
        <v>1.2373670437659201</v>
      </c>
      <c r="AB38" s="33">
        <v>24.343815982193298</v>
      </c>
      <c r="AC38" s="33">
        <v>24.346702395374798</v>
      </c>
      <c r="AD38" s="33">
        <v>24.344831837650801</v>
      </c>
      <c r="AE38" s="15">
        <v>2.2099581197706301E-5</v>
      </c>
      <c r="AF38" s="15">
        <v>1.4066119364385899E-4</v>
      </c>
      <c r="AG38" s="15">
        <v>6.3828218289881599E-5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19.54</v>
      </c>
      <c r="C39" s="33">
        <v>24.26</v>
      </c>
      <c r="D39" s="15">
        <v>0</v>
      </c>
      <c r="E39" s="15">
        <v>0</v>
      </c>
      <c r="F39" s="33">
        <v>0</v>
      </c>
      <c r="G39" s="33">
        <v>0.13441999999999901</v>
      </c>
      <c r="H39" s="33">
        <v>0</v>
      </c>
      <c r="I39" s="33">
        <v>8.3278000000000005E-2</v>
      </c>
      <c r="J39" s="33">
        <v>0.13441999999999901</v>
      </c>
      <c r="K39" s="33">
        <v>8.3278000000000005E-2</v>
      </c>
      <c r="L39" s="33">
        <v>19.674419999999898</v>
      </c>
      <c r="M39" s="33">
        <v>24.343278000000002</v>
      </c>
      <c r="N39" s="34">
        <v>1.2415557830092101</v>
      </c>
      <c r="O39" s="34">
        <v>1.2388993693114601</v>
      </c>
      <c r="P39" s="34">
        <v>1.2391585945295001</v>
      </c>
      <c r="Q39" s="34">
        <v>1.2386650805183299</v>
      </c>
      <c r="R39" s="33">
        <v>24.208093676346</v>
      </c>
      <c r="S39" s="33">
        <v>24.205208988178899</v>
      </c>
      <c r="T39" s="33">
        <v>24.2033949572157</v>
      </c>
      <c r="U39" s="15">
        <v>-2.1418768332208201E-3</v>
      </c>
      <c r="V39" s="15">
        <v>-2.2610460702584901E-3</v>
      </c>
      <c r="W39" s="15">
        <v>-2.3359927043771502E-3</v>
      </c>
      <c r="X39" s="34">
        <v>1.2373060044463799</v>
      </c>
      <c r="Y39" s="34">
        <v>1.23733334869304</v>
      </c>
      <c r="Z39" s="34">
        <v>1.2374475150086499</v>
      </c>
      <c r="AA39" s="34">
        <v>1.23737459285775</v>
      </c>
      <c r="AB39" s="33">
        <v>24.343815982193298</v>
      </c>
      <c r="AC39" s="33">
        <v>24.346382266805598</v>
      </c>
      <c r="AD39" s="33">
        <v>24.344478913209102</v>
      </c>
      <c r="AE39" s="15">
        <v>2.2099581197706301E-5</v>
      </c>
      <c r="AF39" s="15">
        <v>1.2751236270090101E-4</v>
      </c>
      <c r="AG39" s="15">
        <v>4.93312194087988E-5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19.55</v>
      </c>
      <c r="C40" s="33">
        <v>24.27</v>
      </c>
      <c r="D40" s="15">
        <v>5.11639816738263E-4</v>
      </c>
      <c r="E40" s="15">
        <v>4.1211622260589202E-4</v>
      </c>
      <c r="F40" s="33">
        <v>0</v>
      </c>
      <c r="G40" s="33">
        <v>0.13441999999999901</v>
      </c>
      <c r="H40" s="33">
        <v>0</v>
      </c>
      <c r="I40" s="33">
        <v>8.3278000000000005E-2</v>
      </c>
      <c r="J40" s="33">
        <v>0.13441999999999901</v>
      </c>
      <c r="K40" s="33">
        <v>8.3278000000000005E-2</v>
      </c>
      <c r="L40" s="33">
        <v>19.684419999999999</v>
      </c>
      <c r="M40" s="33">
        <v>24.353278</v>
      </c>
      <c r="N40" s="34">
        <v>1.24143222506393</v>
      </c>
      <c r="O40" s="34">
        <v>1.2388993693114601</v>
      </c>
      <c r="P40" s="34">
        <v>1.2395530938489701</v>
      </c>
      <c r="Q40" s="34">
        <v>1.2386650805183299</v>
      </c>
      <c r="R40" s="33">
        <v>24.2204826700391</v>
      </c>
      <c r="S40" s="33">
        <v>24.225550523051702</v>
      </c>
      <c r="T40" s="33">
        <v>24.215902324133499</v>
      </c>
      <c r="U40" s="15">
        <v>-2.0423532390884498E-3</v>
      </c>
      <c r="V40" s="15">
        <v>-1.83313681012502E-3</v>
      </c>
      <c r="W40" s="15">
        <v>-2.23148155326356E-3</v>
      </c>
      <c r="X40" s="34">
        <v>1.2371854492029699</v>
      </c>
      <c r="Y40" s="34">
        <v>1.23733334869304</v>
      </c>
      <c r="Z40" s="34">
        <v>1.2374191881752099</v>
      </c>
      <c r="AA40" s="34">
        <v>1.23737611418741</v>
      </c>
      <c r="AB40" s="33">
        <v>24.356189315680201</v>
      </c>
      <c r="AC40" s="33">
        <v>24.358436613386498</v>
      </c>
      <c r="AD40" s="33">
        <v>24.357001183140898</v>
      </c>
      <c r="AE40" s="15">
        <v>1.19537980774311E-4</v>
      </c>
      <c r="AF40" s="15">
        <v>2.11801758440102E-4</v>
      </c>
      <c r="AG40" s="15">
        <v>1.5287053207985499E-4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19.55</v>
      </c>
      <c r="C41" s="33">
        <v>24.19</v>
      </c>
      <c r="D41" s="15">
        <v>0</v>
      </c>
      <c r="E41" s="15">
        <v>-3.3016951165741001E-3</v>
      </c>
      <c r="F41" s="33">
        <v>0</v>
      </c>
      <c r="G41" s="33">
        <v>0.13441999999999901</v>
      </c>
      <c r="H41" s="33">
        <v>8.0851999999999993E-2</v>
      </c>
      <c r="I41" s="33">
        <v>0.16413</v>
      </c>
      <c r="J41" s="33">
        <v>0.13441999999999901</v>
      </c>
      <c r="K41" s="33">
        <v>0.16413</v>
      </c>
      <c r="L41" s="33">
        <v>19.684419999999999</v>
      </c>
      <c r="M41" s="33">
        <v>24.354130000000001</v>
      </c>
      <c r="N41" s="34">
        <v>1.23734015345268</v>
      </c>
      <c r="O41" s="34">
        <v>1.2388993693114601</v>
      </c>
      <c r="P41" s="34">
        <v>1.2395505088879599</v>
      </c>
      <c r="Q41" s="34">
        <v>1.2384349014902001</v>
      </c>
      <c r="R41" s="33">
        <v>24.2204826700391</v>
      </c>
      <c r="S41" s="33">
        <v>24.233262984747299</v>
      </c>
      <c r="T41" s="33">
        <v>24.215902324133499</v>
      </c>
      <c r="U41" s="15">
        <v>1.2593418774856399E-3</v>
      </c>
      <c r="V41" s="15">
        <v>1.78686827743026E-3</v>
      </c>
      <c r="W41" s="15">
        <v>1.0702135633104E-3</v>
      </c>
      <c r="X41" s="34">
        <v>1.2372287321648201</v>
      </c>
      <c r="Y41" s="34">
        <v>1.23733334869304</v>
      </c>
      <c r="Z41" s="34">
        <v>1.2374072698938501</v>
      </c>
      <c r="AA41" s="34">
        <v>1.23735431233465</v>
      </c>
      <c r="AB41" s="33">
        <v>24.356189315680201</v>
      </c>
      <c r="AC41" s="33">
        <v>24.357879016099901</v>
      </c>
      <c r="AD41" s="33">
        <v>24.357031129632901</v>
      </c>
      <c r="AE41" s="15">
        <v>8.4553569364348801E-5</v>
      </c>
      <c r="AF41" s="15">
        <v>1.53925743693651E-4</v>
      </c>
      <c r="AG41" s="15">
        <v>1.19115601808295E-4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19.54</v>
      </c>
      <c r="C42" s="33">
        <v>24.19</v>
      </c>
      <c r="D42" s="15">
        <v>-5.1163981673817095E-4</v>
      </c>
      <c r="E42" s="15">
        <v>0</v>
      </c>
      <c r="F42" s="33">
        <v>0</v>
      </c>
      <c r="G42" s="33">
        <v>0.13441999999999901</v>
      </c>
      <c r="H42" s="33">
        <v>0</v>
      </c>
      <c r="I42" s="33">
        <v>0.16413</v>
      </c>
      <c r="J42" s="33">
        <v>0.13441999999999901</v>
      </c>
      <c r="K42" s="33">
        <v>0.16413</v>
      </c>
      <c r="L42" s="33">
        <v>19.674419999999898</v>
      </c>
      <c r="M42" s="33">
        <v>24.354130000000001</v>
      </c>
      <c r="N42" s="34">
        <v>1.2379733879222099</v>
      </c>
      <c r="O42" s="34">
        <v>1.2388993693114601</v>
      </c>
      <c r="P42" s="34">
        <v>1.23956020092163</v>
      </c>
      <c r="Q42" s="34">
        <v>1.23850424027824</v>
      </c>
      <c r="R42" s="33">
        <v>24.208093676346</v>
      </c>
      <c r="S42" s="33">
        <v>24.220816943670702</v>
      </c>
      <c r="T42" s="33">
        <v>24.199017975118601</v>
      </c>
      <c r="U42" s="15">
        <v>7.4770206074728496E-4</v>
      </c>
      <c r="V42" s="15">
        <v>1.2731430609475001E-3</v>
      </c>
      <c r="W42" s="15">
        <v>3.7272817677926599E-4</v>
      </c>
      <c r="X42" s="34">
        <v>1.23785758360348</v>
      </c>
      <c r="Y42" s="34">
        <v>1.23733334869304</v>
      </c>
      <c r="Z42" s="34">
        <v>1.2374073658205</v>
      </c>
      <c r="AA42" s="34">
        <v>1.2374186321040199</v>
      </c>
      <c r="AB42" s="33">
        <v>24.343815982193298</v>
      </c>
      <c r="AC42" s="33">
        <v>24.345270338944999</v>
      </c>
      <c r="AD42" s="33">
        <v>24.344228429683199</v>
      </c>
      <c r="AE42" s="15">
        <v>-4.2359149869039E-4</v>
      </c>
      <c r="AF42" s="15">
        <v>-3.6385093413912199E-4</v>
      </c>
      <c r="AG42" s="15">
        <v>-4.0664904413567198E-4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19.54</v>
      </c>
      <c r="C43" s="33">
        <v>24.19</v>
      </c>
      <c r="D43" s="15">
        <v>0</v>
      </c>
      <c r="E43" s="15">
        <v>0</v>
      </c>
      <c r="F43" s="33">
        <v>0</v>
      </c>
      <c r="G43" s="33">
        <v>0.13441999999999901</v>
      </c>
      <c r="H43" s="33">
        <v>0</v>
      </c>
      <c r="I43" s="33">
        <v>0.16413</v>
      </c>
      <c r="J43" s="33">
        <v>0.13441999999999901</v>
      </c>
      <c r="K43" s="33">
        <v>0.16413</v>
      </c>
      <c r="L43" s="33">
        <v>19.674419999999898</v>
      </c>
      <c r="M43" s="33">
        <v>24.354130000000001</v>
      </c>
      <c r="N43" s="34">
        <v>1.2379733879222099</v>
      </c>
      <c r="O43" s="34">
        <v>1.2388993693114601</v>
      </c>
      <c r="P43" s="34">
        <v>1.23963304991793</v>
      </c>
      <c r="Q43" s="34">
        <v>1.2385164066068599</v>
      </c>
      <c r="R43" s="33">
        <v>24.208093676346</v>
      </c>
      <c r="S43" s="33">
        <v>24.221006326008599</v>
      </c>
      <c r="T43" s="33">
        <v>24.2003728550368</v>
      </c>
      <c r="U43" s="15">
        <v>7.4770206074728496E-4</v>
      </c>
      <c r="V43" s="15">
        <v>1.28096202089354E-3</v>
      </c>
      <c r="W43" s="15">
        <v>4.2871565494196202E-4</v>
      </c>
      <c r="X43" s="34">
        <v>1.23785758360348</v>
      </c>
      <c r="Y43" s="34">
        <v>1.23733334869304</v>
      </c>
      <c r="Z43" s="34">
        <v>1.2374704006544801</v>
      </c>
      <c r="AA43" s="34">
        <v>1.23742597668724</v>
      </c>
      <c r="AB43" s="33">
        <v>24.343815982193298</v>
      </c>
      <c r="AC43" s="33">
        <v>24.345272226246301</v>
      </c>
      <c r="AD43" s="33">
        <v>24.345493883840099</v>
      </c>
      <c r="AE43" s="15">
        <v>-4.2359149869039E-4</v>
      </c>
      <c r="AF43" s="15">
        <v>-3.63773411846778E-4</v>
      </c>
      <c r="AG43" s="15">
        <v>-3.54668704258658E-4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19.55</v>
      </c>
      <c r="C44" s="33">
        <v>24.19</v>
      </c>
      <c r="D44" s="15">
        <v>5.11639816738263E-4</v>
      </c>
      <c r="E44" s="15">
        <v>0</v>
      </c>
      <c r="F44" s="33">
        <v>0</v>
      </c>
      <c r="G44" s="33">
        <v>0.13441999999999901</v>
      </c>
      <c r="H44" s="33">
        <v>0</v>
      </c>
      <c r="I44" s="33">
        <v>0.16413</v>
      </c>
      <c r="J44" s="33">
        <v>0.13441999999999901</v>
      </c>
      <c r="K44" s="33">
        <v>0.16413</v>
      </c>
      <c r="L44" s="33">
        <v>19.684419999999999</v>
      </c>
      <c r="M44" s="33">
        <v>24.354130000000001</v>
      </c>
      <c r="N44" s="34">
        <v>1.23734015345268</v>
      </c>
      <c r="O44" s="34">
        <v>1.2388993693114601</v>
      </c>
      <c r="P44" s="34">
        <v>1.23964257546728</v>
      </c>
      <c r="Q44" s="34">
        <v>1.2385601252090199</v>
      </c>
      <c r="R44" s="33">
        <v>24.2204826700391</v>
      </c>
      <c r="S44" s="33">
        <v>24.234826125895601</v>
      </c>
      <c r="T44" s="33">
        <v>24.2129957491642</v>
      </c>
      <c r="U44" s="15">
        <v>1.2593418774856399E-3</v>
      </c>
      <c r="V44" s="15">
        <v>1.8513701456682699E-3</v>
      </c>
      <c r="W44" s="15">
        <v>9.5017882833356502E-4</v>
      </c>
      <c r="X44" s="34">
        <v>1.2372287321648201</v>
      </c>
      <c r="Y44" s="34">
        <v>1.23733334869304</v>
      </c>
      <c r="Z44" s="34">
        <v>1.23747055034459</v>
      </c>
      <c r="AA44" s="34">
        <v>1.23746487424616</v>
      </c>
      <c r="AB44" s="33">
        <v>24.356189315680201</v>
      </c>
      <c r="AC44" s="33">
        <v>24.358887104051099</v>
      </c>
      <c r="AD44" s="33">
        <v>24.358012644021802</v>
      </c>
      <c r="AE44" s="15">
        <v>8.4553569364348801E-5</v>
      </c>
      <c r="AF44" s="15">
        <v>1.9531141157355799E-4</v>
      </c>
      <c r="AG44" s="15">
        <v>1.59411753181855E-4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19.55</v>
      </c>
      <c r="C45" s="33">
        <v>24.21</v>
      </c>
      <c r="D45" s="15">
        <v>0</v>
      </c>
      <c r="E45" s="15">
        <v>8.26446328031118E-4</v>
      </c>
      <c r="F45" s="33">
        <v>0</v>
      </c>
      <c r="G45" s="33">
        <v>0.13441999999999901</v>
      </c>
      <c r="H45" s="33">
        <v>0</v>
      </c>
      <c r="I45" s="33">
        <v>0.16413</v>
      </c>
      <c r="J45" s="33">
        <v>0.13441999999999901</v>
      </c>
      <c r="K45" s="33">
        <v>0.16413</v>
      </c>
      <c r="L45" s="33">
        <v>19.684419999999999</v>
      </c>
      <c r="M45" s="33">
        <v>24.374130000000001</v>
      </c>
      <c r="N45" s="34">
        <v>1.2383631713554899</v>
      </c>
      <c r="O45" s="34">
        <v>1.2388993693114601</v>
      </c>
      <c r="P45" s="34">
        <v>1.23970338239875</v>
      </c>
      <c r="Q45" s="34">
        <v>1.23862340385855</v>
      </c>
      <c r="R45" s="33">
        <v>24.2204826700391</v>
      </c>
      <c r="S45" s="33">
        <v>24.235012350385301</v>
      </c>
      <c r="T45" s="33">
        <v>24.2138504478363</v>
      </c>
      <c r="U45" s="15">
        <v>4.32895549454491E-4</v>
      </c>
      <c r="V45" s="15">
        <v>1.0326079567078499E-3</v>
      </c>
      <c r="W45" s="15">
        <v>1.59031048084125E-4</v>
      </c>
      <c r="X45" s="34">
        <v>1.2382447641332499</v>
      </c>
      <c r="Y45" s="34">
        <v>1.23733334869304</v>
      </c>
      <c r="Z45" s="34">
        <v>1.2375214581610601</v>
      </c>
      <c r="AA45" s="34">
        <v>1.2375230916692099</v>
      </c>
      <c r="AB45" s="33">
        <v>24.356189315680201</v>
      </c>
      <c r="AC45" s="33">
        <v>24.3588900506142</v>
      </c>
      <c r="AD45" s="33">
        <v>24.358778319908598</v>
      </c>
      <c r="AE45" s="15">
        <v>-7.3632536713240002E-4</v>
      </c>
      <c r="AF45" s="15">
        <v>-6.2544656032993305E-4</v>
      </c>
      <c r="AG45" s="15">
        <v>-6.3003342621684004E-4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19.57</v>
      </c>
      <c r="C46" s="33">
        <v>24.21</v>
      </c>
      <c r="D46" s="15">
        <v>1.02249497661001E-3</v>
      </c>
      <c r="E46" s="15">
        <v>0</v>
      </c>
      <c r="F46" s="33">
        <v>0</v>
      </c>
      <c r="G46" s="33">
        <v>0.13441999999999901</v>
      </c>
      <c r="H46" s="33">
        <v>0</v>
      </c>
      <c r="I46" s="33">
        <v>0.16413</v>
      </c>
      <c r="J46" s="33">
        <v>0.13441999999999901</v>
      </c>
      <c r="K46" s="33">
        <v>0.16413</v>
      </c>
      <c r="L46" s="33">
        <v>19.704419999999999</v>
      </c>
      <c r="M46" s="33">
        <v>24.374130000000001</v>
      </c>
      <c r="N46" s="34">
        <v>1.23709759836484</v>
      </c>
      <c r="O46" s="34">
        <v>1.2388993693114601</v>
      </c>
      <c r="P46" s="34">
        <v>1.2392063868616401</v>
      </c>
      <c r="Q46" s="34">
        <v>1.23860392218333</v>
      </c>
      <c r="R46" s="33">
        <v>24.245260657425401</v>
      </c>
      <c r="S46" s="33">
        <v>24.260995193543501</v>
      </c>
      <c r="T46" s="33">
        <v>24.239860013511901</v>
      </c>
      <c r="U46" s="15">
        <v>1.45539052606444E-3</v>
      </c>
      <c r="V46" s="15">
        <v>2.1041537172855501E-3</v>
      </c>
      <c r="W46" s="15">
        <v>1.23261521433547E-3</v>
      </c>
      <c r="X46" s="34">
        <v>1.23698794483674</v>
      </c>
      <c r="Y46" s="34">
        <v>1.23733334869304</v>
      </c>
      <c r="Z46" s="34">
        <v>1.2374388247805299</v>
      </c>
      <c r="AA46" s="34">
        <v>1.2374990530341801</v>
      </c>
      <c r="AB46" s="33">
        <v>24.380935982654101</v>
      </c>
      <c r="AC46" s="33">
        <v>24.384642570617899</v>
      </c>
      <c r="AD46" s="33">
        <v>24.384674757948702</v>
      </c>
      <c r="AE46" s="15">
        <v>2.7919079017450999E-4</v>
      </c>
      <c r="AF46" s="15">
        <v>4.31207359275914E-4</v>
      </c>
      <c r="AG46" s="15">
        <v>4.32527342107143E-4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19.559999999999999</v>
      </c>
      <c r="C47" s="33">
        <v>24.2</v>
      </c>
      <c r="D47" s="15">
        <v>-5.1111680131371996E-4</v>
      </c>
      <c r="E47" s="15">
        <v>-4.1313778732649501E-4</v>
      </c>
      <c r="F47" s="33">
        <v>0</v>
      </c>
      <c r="G47" s="33">
        <v>0.13441999999999901</v>
      </c>
      <c r="H47" s="33">
        <v>0</v>
      </c>
      <c r="I47" s="33">
        <v>0.16413</v>
      </c>
      <c r="J47" s="33">
        <v>0.13441999999999901</v>
      </c>
      <c r="K47" s="33">
        <v>0.16413</v>
      </c>
      <c r="L47" s="33">
        <v>19.694419999999901</v>
      </c>
      <c r="M47" s="33">
        <v>24.364129999999999</v>
      </c>
      <c r="N47" s="34">
        <v>1.2372188139059299</v>
      </c>
      <c r="O47" s="34">
        <v>1.2388993693114601</v>
      </c>
      <c r="P47" s="34">
        <v>1.23878504574584</v>
      </c>
      <c r="Q47" s="34">
        <v>1.2385649650236701</v>
      </c>
      <c r="R47" s="33">
        <v>24.232871663732301</v>
      </c>
      <c r="S47" s="33">
        <v>24.238876927013699</v>
      </c>
      <c r="T47" s="33">
        <v>24.227092717906</v>
      </c>
      <c r="U47" s="15">
        <v>1.3574115120773399E-3</v>
      </c>
      <c r="V47" s="15">
        <v>1.6051955713187E-3</v>
      </c>
      <c r="W47" s="15">
        <v>1.1189075871391901E-3</v>
      </c>
      <c r="X47" s="34">
        <v>1.23710827736993</v>
      </c>
      <c r="Y47" s="34">
        <v>1.23733334869304</v>
      </c>
      <c r="Z47" s="34">
        <v>1.23743110759722</v>
      </c>
      <c r="AA47" s="34">
        <v>1.2374555826120299</v>
      </c>
      <c r="AB47" s="33">
        <v>24.368562649167199</v>
      </c>
      <c r="AC47" s="33">
        <v>24.3706399395342</v>
      </c>
      <c r="AD47" s="33">
        <v>24.3718261000575</v>
      </c>
      <c r="AE47" s="15">
        <v>1.81916858620926E-4</v>
      </c>
      <c r="AF47" s="15">
        <v>2.67157907220268E-4</v>
      </c>
      <c r="AG47" s="15">
        <v>3.1582842473389799E-4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19.55</v>
      </c>
      <c r="C48" s="33">
        <v>24.2</v>
      </c>
      <c r="D48" s="15">
        <v>-5.1137817529634704E-4</v>
      </c>
      <c r="E48" s="15">
        <v>0</v>
      </c>
      <c r="F48" s="33">
        <v>0</v>
      </c>
      <c r="G48" s="33">
        <v>0.13441999999999901</v>
      </c>
      <c r="H48" s="33">
        <v>0</v>
      </c>
      <c r="I48" s="33">
        <v>0.16413</v>
      </c>
      <c r="J48" s="33">
        <v>0.13441999999999901</v>
      </c>
      <c r="K48" s="33">
        <v>0.16413</v>
      </c>
      <c r="L48" s="33">
        <v>19.684419999999999</v>
      </c>
      <c r="M48" s="33">
        <v>24.364129999999999</v>
      </c>
      <c r="N48" s="34">
        <v>1.2378516624040901</v>
      </c>
      <c r="O48" s="34">
        <v>1.2388993693114601</v>
      </c>
      <c r="P48" s="34">
        <v>1.2384146336853299</v>
      </c>
      <c r="Q48" s="34">
        <v>1.23858318655041</v>
      </c>
      <c r="R48" s="33">
        <v>24.2204826700391</v>
      </c>
      <c r="S48" s="33">
        <v>24.2182476443312</v>
      </c>
      <c r="T48" s="33">
        <v>24.213945066212801</v>
      </c>
      <c r="U48" s="15">
        <v>8.4603333678089402E-4</v>
      </c>
      <c r="V48" s="15">
        <v>7.5375074823877603E-4</v>
      </c>
      <c r="W48" s="15">
        <v>5.7607644158965603E-4</v>
      </c>
      <c r="X48" s="34">
        <v>1.23773674814904</v>
      </c>
      <c r="Y48" s="34">
        <v>1.23733334869304</v>
      </c>
      <c r="Z48" s="34">
        <v>1.2374741819674899</v>
      </c>
      <c r="AA48" s="34">
        <v>1.2374689841426201</v>
      </c>
      <c r="AB48" s="33">
        <v>24.356189315680201</v>
      </c>
      <c r="AC48" s="33">
        <v>24.358113643008998</v>
      </c>
      <c r="AD48" s="33">
        <v>24.35859541948</v>
      </c>
      <c r="AE48" s="15">
        <v>-3.2597012916000899E-4</v>
      </c>
      <c r="AF48" s="15">
        <v>-2.4696551602185402E-4</v>
      </c>
      <c r="AG48" s="15">
        <v>-2.2718682077354799E-4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19.55</v>
      </c>
      <c r="C49" s="33">
        <v>24.19</v>
      </c>
      <c r="D49" s="15">
        <v>0</v>
      </c>
      <c r="E49" s="15">
        <v>-4.13308540704703E-4</v>
      </c>
      <c r="F49" s="33">
        <v>0</v>
      </c>
      <c r="G49" s="33">
        <v>0.13441999999999901</v>
      </c>
      <c r="H49" s="33">
        <v>0</v>
      </c>
      <c r="I49" s="33">
        <v>0.16413</v>
      </c>
      <c r="J49" s="33">
        <v>0.13441999999999901</v>
      </c>
      <c r="K49" s="33">
        <v>0.16413</v>
      </c>
      <c r="L49" s="33">
        <v>19.684419999999999</v>
      </c>
      <c r="M49" s="33">
        <v>24.354130000000001</v>
      </c>
      <c r="N49" s="34">
        <v>1.23734015345268</v>
      </c>
      <c r="O49" s="34">
        <v>1.2388993693114601</v>
      </c>
      <c r="P49" s="34">
        <v>1.23799307072967</v>
      </c>
      <c r="Q49" s="34">
        <v>1.2385758326295899</v>
      </c>
      <c r="R49" s="33">
        <v>24.2204826700391</v>
      </c>
      <c r="S49" s="33">
        <v>24.211006088548199</v>
      </c>
      <c r="T49" s="33">
        <v>24.214301297060601</v>
      </c>
      <c r="U49" s="15">
        <v>1.2593418774856399E-3</v>
      </c>
      <c r="V49" s="15">
        <v>8.6800219932083999E-4</v>
      </c>
      <c r="W49" s="15">
        <v>1.0040966794780299E-3</v>
      </c>
      <c r="X49" s="34">
        <v>1.2372287321648201</v>
      </c>
      <c r="Y49" s="34">
        <v>1.23733334869304</v>
      </c>
      <c r="Z49" s="34">
        <v>1.2374664547393399</v>
      </c>
      <c r="AA49" s="34">
        <v>1.23745698487399</v>
      </c>
      <c r="AB49" s="33">
        <v>24.356189315680201</v>
      </c>
      <c r="AC49" s="33">
        <v>24.3589615370046</v>
      </c>
      <c r="AD49" s="33">
        <v>24.358859220836699</v>
      </c>
      <c r="AE49" s="15">
        <v>8.4553569364348801E-5</v>
      </c>
      <c r="AF49" s="15">
        <v>1.9836708646509799E-4</v>
      </c>
      <c r="AG49" s="15">
        <v>1.9416672748790101E-4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19.57</v>
      </c>
      <c r="C50" s="33">
        <v>24.2</v>
      </c>
      <c r="D50" s="15">
        <v>1.02249497661001E-3</v>
      </c>
      <c r="E50" s="15">
        <v>4.13308540704658E-4</v>
      </c>
      <c r="F50" s="33">
        <v>0</v>
      </c>
      <c r="G50" s="33">
        <v>0.13441999999999901</v>
      </c>
      <c r="H50" s="33">
        <v>0</v>
      </c>
      <c r="I50" s="33">
        <v>0.16413</v>
      </c>
      <c r="J50" s="33">
        <v>0.13441999999999901</v>
      </c>
      <c r="K50" s="33">
        <v>0.16413</v>
      </c>
      <c r="L50" s="33">
        <v>19.704419999999999</v>
      </c>
      <c r="M50" s="33">
        <v>24.364129999999999</v>
      </c>
      <c r="N50" s="34">
        <v>1.2365866121614699</v>
      </c>
      <c r="O50" s="34">
        <v>1.2388993693114601</v>
      </c>
      <c r="P50" s="34">
        <v>1.23750850943943</v>
      </c>
      <c r="Q50" s="34">
        <v>1.2385308016442</v>
      </c>
      <c r="R50" s="33">
        <v>24.245260657425401</v>
      </c>
      <c r="S50" s="33">
        <v>24.227524394179799</v>
      </c>
      <c r="T50" s="33">
        <v>24.238929044561001</v>
      </c>
      <c r="U50" s="15">
        <v>1.8685283133910999E-3</v>
      </c>
      <c r="V50" s="15">
        <v>1.1367253431977E-3</v>
      </c>
      <c r="W50" s="15">
        <v>1.6073457324606399E-3</v>
      </c>
      <c r="X50" s="34">
        <v>1.2364804444891</v>
      </c>
      <c r="Y50" s="34">
        <v>1.23733334869304</v>
      </c>
      <c r="Z50" s="34">
        <v>1.23739595426795</v>
      </c>
      <c r="AA50" s="34">
        <v>1.23740757122158</v>
      </c>
      <c r="AB50" s="33">
        <v>24.380935982654101</v>
      </c>
      <c r="AC50" s="33">
        <v>24.3835587600949</v>
      </c>
      <c r="AD50" s="33">
        <v>24.383372161890801</v>
      </c>
      <c r="AE50" s="15">
        <v>6.8954602814683499E-4</v>
      </c>
      <c r="AF50" s="15">
        <v>7.97115170703289E-4</v>
      </c>
      <c r="AG50" s="15">
        <v>7.8946251753980495E-4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19.559999999999999</v>
      </c>
      <c r="C51" s="33">
        <v>24.2</v>
      </c>
      <c r="D51" s="15">
        <v>-5.1111680131371996E-4</v>
      </c>
      <c r="E51" s="15">
        <v>0</v>
      </c>
      <c r="F51" s="33">
        <v>0</v>
      </c>
      <c r="G51" s="33">
        <v>0.13441999999999901</v>
      </c>
      <c r="H51" s="33">
        <v>0</v>
      </c>
      <c r="I51" s="33">
        <v>0.16413</v>
      </c>
      <c r="J51" s="33">
        <v>0.13441999999999901</v>
      </c>
      <c r="K51" s="33">
        <v>0.16413</v>
      </c>
      <c r="L51" s="33">
        <v>19.694419999999901</v>
      </c>
      <c r="M51" s="33">
        <v>24.364129999999999</v>
      </c>
      <c r="N51" s="34">
        <v>1.2372188139059299</v>
      </c>
      <c r="O51" s="34">
        <v>1.2388993693114601</v>
      </c>
      <c r="P51" s="34">
        <v>1.2374963754847501</v>
      </c>
      <c r="Q51" s="34">
        <v>1.23852344218635</v>
      </c>
      <c r="R51" s="33">
        <v>24.232871663732301</v>
      </c>
      <c r="S51" s="33">
        <v>24.205666444635199</v>
      </c>
      <c r="T51" s="33">
        <v>24.225662480160501</v>
      </c>
      <c r="U51" s="15">
        <v>1.3574115120773399E-3</v>
      </c>
      <c r="V51" s="15">
        <v>2.3412319578922899E-4</v>
      </c>
      <c r="W51" s="15">
        <v>1.05987120252046E-3</v>
      </c>
      <c r="X51" s="34">
        <v>1.23710827736993</v>
      </c>
      <c r="Y51" s="34">
        <v>1.23733334869304</v>
      </c>
      <c r="Z51" s="34">
        <v>1.2373839087884599</v>
      </c>
      <c r="AA51" s="34">
        <v>1.2373955893411599</v>
      </c>
      <c r="AB51" s="33">
        <v>24.368562649167199</v>
      </c>
      <c r="AC51" s="33">
        <v>24.369795629653801</v>
      </c>
      <c r="AD51" s="33">
        <v>24.3700244188177</v>
      </c>
      <c r="AE51" s="15">
        <v>1.81916858620926E-4</v>
      </c>
      <c r="AF51" s="15">
        <v>2.3251275599847401E-4</v>
      </c>
      <c r="AG51" s="15">
        <v>2.4190093854267801E-4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19.57</v>
      </c>
      <c r="C52" s="33">
        <v>24.2</v>
      </c>
      <c r="D52" s="15">
        <v>5.1111680131376799E-4</v>
      </c>
      <c r="E52" s="15">
        <v>0</v>
      </c>
      <c r="F52" s="33">
        <v>0</v>
      </c>
      <c r="G52" s="33">
        <v>0.13441999999999901</v>
      </c>
      <c r="H52" s="33">
        <v>0</v>
      </c>
      <c r="I52" s="33">
        <v>0.16413</v>
      </c>
      <c r="J52" s="33">
        <v>0.13441999999999901</v>
      </c>
      <c r="K52" s="33">
        <v>0.16413</v>
      </c>
      <c r="L52" s="33">
        <v>19.704419999999999</v>
      </c>
      <c r="M52" s="33">
        <v>24.364129999999999</v>
      </c>
      <c r="N52" s="34">
        <v>1.2365866121614699</v>
      </c>
      <c r="O52" s="34">
        <v>1.2388993693114601</v>
      </c>
      <c r="P52" s="34">
        <v>1.23735769790868</v>
      </c>
      <c r="Q52" s="34">
        <v>1.2384589494151499</v>
      </c>
      <c r="R52" s="33">
        <v>24.245260657425401</v>
      </c>
      <c r="S52" s="33">
        <v>24.2178040682366</v>
      </c>
      <c r="T52" s="33">
        <v>24.237903763586999</v>
      </c>
      <c r="U52" s="15">
        <v>1.8685283133910999E-3</v>
      </c>
      <c r="V52" s="15">
        <v>7.3543480055601295E-4</v>
      </c>
      <c r="W52" s="15">
        <v>1.5650458991255799E-3</v>
      </c>
      <c r="X52" s="34">
        <v>1.2364804444891</v>
      </c>
      <c r="Y52" s="34">
        <v>1.23733334869304</v>
      </c>
      <c r="Z52" s="34">
        <v>1.2372461948770199</v>
      </c>
      <c r="AA52" s="34">
        <v>1.23732678034876</v>
      </c>
      <c r="AB52" s="33">
        <v>24.380935982654101</v>
      </c>
      <c r="AC52" s="33">
        <v>24.381932240009501</v>
      </c>
      <c r="AD52" s="33">
        <v>24.382162398525701</v>
      </c>
      <c r="AE52" s="15">
        <v>6.8954602814683499E-4</v>
      </c>
      <c r="AF52" s="15">
        <v>7.3040733888949402E-4</v>
      </c>
      <c r="AG52" s="15">
        <v>7.3984701034693996E-4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19.57</v>
      </c>
      <c r="C53" s="33">
        <v>24.21</v>
      </c>
      <c r="D53" s="15">
        <v>0</v>
      </c>
      <c r="E53" s="15">
        <v>4.13137787326395E-4</v>
      </c>
      <c r="F53" s="33">
        <v>0</v>
      </c>
      <c r="G53" s="33">
        <v>0.13441999999999901</v>
      </c>
      <c r="H53" s="33">
        <v>0</v>
      </c>
      <c r="I53" s="33">
        <v>0.16413</v>
      </c>
      <c r="J53" s="33">
        <v>0.13441999999999901</v>
      </c>
      <c r="K53" s="33">
        <v>0.16413</v>
      </c>
      <c r="L53" s="33">
        <v>19.704419999999999</v>
      </c>
      <c r="M53" s="33">
        <v>24.374130000000001</v>
      </c>
      <c r="N53" s="34">
        <v>1.23709759836484</v>
      </c>
      <c r="O53" s="34">
        <v>1.2388993693114601</v>
      </c>
      <c r="P53" s="34">
        <v>1.23727011895294</v>
      </c>
      <c r="Q53" s="34">
        <v>1.23845158443543</v>
      </c>
      <c r="R53" s="33">
        <v>24.245260657425401</v>
      </c>
      <c r="S53" s="33">
        <v>24.2150901480729</v>
      </c>
      <c r="T53" s="33">
        <v>24.2366416400546</v>
      </c>
      <c r="U53" s="15">
        <v>1.45539052606444E-3</v>
      </c>
      <c r="V53" s="15">
        <v>2.1022771774242401E-4</v>
      </c>
      <c r="W53" s="15">
        <v>1.0998344503676E-3</v>
      </c>
      <c r="X53" s="34">
        <v>1.23698794483674</v>
      </c>
      <c r="Y53" s="34">
        <v>1.23733334869304</v>
      </c>
      <c r="Z53" s="34">
        <v>1.2371592310003501</v>
      </c>
      <c r="AA53" s="34">
        <v>1.2373148158274101</v>
      </c>
      <c r="AB53" s="33">
        <v>24.380935982654101</v>
      </c>
      <c r="AC53" s="33">
        <v>24.379218667258701</v>
      </c>
      <c r="AD53" s="33">
        <v>24.380806557239801</v>
      </c>
      <c r="AE53" s="15">
        <v>2.7919079017450999E-4</v>
      </c>
      <c r="AF53" s="15">
        <v>2.08751497747836E-4</v>
      </c>
      <c r="AG53" s="15">
        <v>2.7388230825583902E-4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19.559999999999999</v>
      </c>
      <c r="C54" s="33">
        <v>24.2</v>
      </c>
      <c r="D54" s="15">
        <v>-5.1111680131371996E-4</v>
      </c>
      <c r="E54" s="15">
        <v>-4.1313778732649501E-4</v>
      </c>
      <c r="F54" s="33">
        <v>0</v>
      </c>
      <c r="G54" s="33">
        <v>0.13441999999999901</v>
      </c>
      <c r="H54" s="33">
        <v>0</v>
      </c>
      <c r="I54" s="33">
        <v>0.16413</v>
      </c>
      <c r="J54" s="33">
        <v>0.13441999999999901</v>
      </c>
      <c r="K54" s="33">
        <v>0.16413</v>
      </c>
      <c r="L54" s="33">
        <v>19.694419999999901</v>
      </c>
      <c r="M54" s="33">
        <v>24.364129999999999</v>
      </c>
      <c r="N54" s="34">
        <v>1.2372188139059299</v>
      </c>
      <c r="O54" s="34">
        <v>1.2388993693114601</v>
      </c>
      <c r="P54" s="34">
        <v>1.2372579849982599</v>
      </c>
      <c r="Q54" s="34">
        <v>1.2384502802327699</v>
      </c>
      <c r="R54" s="33">
        <v>24.232871663732301</v>
      </c>
      <c r="S54" s="33">
        <v>24.2010035267196</v>
      </c>
      <c r="T54" s="33">
        <v>24.224112991557099</v>
      </c>
      <c r="U54" s="15">
        <v>1.3574115120773399E-3</v>
      </c>
      <c r="V54" s="15">
        <v>4.1467186489152403E-5</v>
      </c>
      <c r="W54" s="15">
        <v>9.95908528232847E-4</v>
      </c>
      <c r="X54" s="34">
        <v>1.23710827736993</v>
      </c>
      <c r="Y54" s="34">
        <v>1.23733334869304</v>
      </c>
      <c r="Z54" s="34">
        <v>1.23714718552086</v>
      </c>
      <c r="AA54" s="34">
        <v>1.23730886793273</v>
      </c>
      <c r="AB54" s="33">
        <v>24.368562649167199</v>
      </c>
      <c r="AC54" s="33">
        <v>24.365133502197899</v>
      </c>
      <c r="AD54" s="33">
        <v>24.368197655127801</v>
      </c>
      <c r="AE54" s="15">
        <v>1.81916858620926E-4</v>
      </c>
      <c r="AF54" s="15">
        <v>4.1186840349336899E-5</v>
      </c>
      <c r="AG54" s="15">
        <v>1.6693867635762401E-4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19.57</v>
      </c>
      <c r="C55" s="33">
        <v>24.21</v>
      </c>
      <c r="D55" s="15">
        <v>5.1111680131376799E-4</v>
      </c>
      <c r="E55" s="15">
        <v>4.13137787326395E-4</v>
      </c>
      <c r="F55" s="33">
        <v>0</v>
      </c>
      <c r="G55" s="33">
        <v>0.13441999999999901</v>
      </c>
      <c r="H55" s="33">
        <v>0</v>
      </c>
      <c r="I55" s="33">
        <v>0.16413</v>
      </c>
      <c r="J55" s="33">
        <v>0.13441999999999901</v>
      </c>
      <c r="K55" s="33">
        <v>0.16413</v>
      </c>
      <c r="L55" s="33">
        <v>19.704419999999999</v>
      </c>
      <c r="M55" s="33">
        <v>24.374130000000001</v>
      </c>
      <c r="N55" s="34">
        <v>1.23709759836484</v>
      </c>
      <c r="O55" s="34">
        <v>1.2388993693114601</v>
      </c>
      <c r="P55" s="34">
        <v>1.2371314276992</v>
      </c>
      <c r="Q55" s="34">
        <v>1.23841740504897</v>
      </c>
      <c r="R55" s="33">
        <v>24.245260657425401</v>
      </c>
      <c r="S55" s="33">
        <v>24.213138766416101</v>
      </c>
      <c r="T55" s="33">
        <v>24.236471984155401</v>
      </c>
      <c r="U55" s="15">
        <v>1.45539052606444E-3</v>
      </c>
      <c r="V55" s="15">
        <v>1.29639114708363E-4</v>
      </c>
      <c r="W55" s="15">
        <v>1.09283445030624E-3</v>
      </c>
      <c r="X55" s="34">
        <v>1.23698794483674</v>
      </c>
      <c r="Y55" s="34">
        <v>1.23733334869304</v>
      </c>
      <c r="Z55" s="34">
        <v>1.23702150359121</v>
      </c>
      <c r="AA55" s="34">
        <v>1.23727148087613</v>
      </c>
      <c r="AB55" s="33">
        <v>24.380935982654101</v>
      </c>
      <c r="AC55" s="33">
        <v>24.377267745320999</v>
      </c>
      <c r="AD55" s="33">
        <v>24.380453603471</v>
      </c>
      <c r="AE55" s="15">
        <v>2.7919079017450999E-4</v>
      </c>
      <c r="AF55" s="15">
        <v>1.2872432260199401E-4</v>
      </c>
      <c r="AG55" s="15">
        <v>2.5940549745873099E-4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19.5</v>
      </c>
      <c r="C56" s="33">
        <v>24.22</v>
      </c>
      <c r="D56" s="15">
        <v>-3.5833158382837902E-3</v>
      </c>
      <c r="E56" s="15">
        <v>4.12967174978938E-4</v>
      </c>
      <c r="F56" s="33">
        <v>6.5189999999999998E-2</v>
      </c>
      <c r="G56" s="33">
        <v>0.19960999999999901</v>
      </c>
      <c r="H56" s="33">
        <v>0</v>
      </c>
      <c r="I56" s="33">
        <v>0.16413</v>
      </c>
      <c r="J56" s="33">
        <v>0.19960999999999901</v>
      </c>
      <c r="K56" s="33">
        <v>0.16413</v>
      </c>
      <c r="L56" s="33">
        <v>19.69961</v>
      </c>
      <c r="M56" s="33">
        <v>24.384129999999999</v>
      </c>
      <c r="N56" s="34">
        <v>1.2420512820512799</v>
      </c>
      <c r="O56" s="34">
        <v>1.2388993693114601</v>
      </c>
      <c r="P56" s="34">
        <v>1.23762679606784</v>
      </c>
      <c r="Q56" s="34">
        <v>1.23841659146474</v>
      </c>
      <c r="R56" s="33">
        <v>24.1585377015736</v>
      </c>
      <c r="S56" s="33">
        <v>24.1240628401344</v>
      </c>
      <c r="T56" s="33">
        <v>24.149139398454999</v>
      </c>
      <c r="U56" s="15">
        <v>-2.5408924871983202E-3</v>
      </c>
      <c r="V56" s="15">
        <v>-3.9689376592101904E-3</v>
      </c>
      <c r="W56" s="15">
        <v>-2.9299943360682501E-3</v>
      </c>
      <c r="X56" s="34">
        <v>1.23779760106925</v>
      </c>
      <c r="Y56" s="34">
        <v>1.23733334869304</v>
      </c>
      <c r="Z56" s="34">
        <v>1.2371024692144601</v>
      </c>
      <c r="AA56" s="34">
        <v>1.2372706469974899</v>
      </c>
      <c r="AB56" s="33">
        <v>24.374984409246899</v>
      </c>
      <c r="AC56" s="33">
        <v>24.368841182360399</v>
      </c>
      <c r="AD56" s="33">
        <v>24.373765637382299</v>
      </c>
      <c r="AE56" s="15">
        <v>-3.7513359178574399E-4</v>
      </c>
      <c r="AF56" s="15">
        <v>-6.2719533886582102E-4</v>
      </c>
      <c r="AG56" s="15">
        <v>-4.2513577086455002E-4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19.5</v>
      </c>
      <c r="C57" s="33">
        <v>24.22</v>
      </c>
      <c r="D57" s="15">
        <v>0</v>
      </c>
      <c r="E57" s="15">
        <v>0</v>
      </c>
      <c r="F57" s="33">
        <v>0</v>
      </c>
      <c r="G57" s="33">
        <v>0.19960999999999901</v>
      </c>
      <c r="H57" s="33">
        <v>0</v>
      </c>
      <c r="I57" s="33">
        <v>0.16413</v>
      </c>
      <c r="J57" s="33">
        <v>0.19960999999999901</v>
      </c>
      <c r="K57" s="33">
        <v>0.16413</v>
      </c>
      <c r="L57" s="33">
        <v>19.69961</v>
      </c>
      <c r="M57" s="33">
        <v>24.384129999999999</v>
      </c>
      <c r="N57" s="34">
        <v>1.2420512820512799</v>
      </c>
      <c r="O57" s="34">
        <v>1.2388993693114601</v>
      </c>
      <c r="P57" s="34">
        <v>1.2381100428823799</v>
      </c>
      <c r="Q57" s="34">
        <v>1.2384475443141101</v>
      </c>
      <c r="R57" s="33">
        <v>24.1585377015736</v>
      </c>
      <c r="S57" s="33">
        <v>24.133722523323001</v>
      </c>
      <c r="T57" s="33">
        <v>24.149123533562499</v>
      </c>
      <c r="U57" s="15">
        <v>-2.5408924871983202E-3</v>
      </c>
      <c r="V57" s="15">
        <v>-3.5686008743862499E-3</v>
      </c>
      <c r="W57" s="15">
        <v>-2.9306512910626998E-3</v>
      </c>
      <c r="X57" s="34">
        <v>1.23779760106925</v>
      </c>
      <c r="Y57" s="34">
        <v>1.23733334869304</v>
      </c>
      <c r="Z57" s="34">
        <v>1.23717140158439</v>
      </c>
      <c r="AA57" s="34">
        <v>1.23730125459081</v>
      </c>
      <c r="AB57" s="33">
        <v>24.374984409246899</v>
      </c>
      <c r="AC57" s="33">
        <v>24.370436173561899</v>
      </c>
      <c r="AD57" s="33">
        <v>24.3737492102983</v>
      </c>
      <c r="AE57" s="15">
        <v>-3.7513359178574399E-4</v>
      </c>
      <c r="AF57" s="15">
        <v>-5.6174540654993304E-4</v>
      </c>
      <c r="AG57" s="15">
        <v>-4.2580973687084101E-4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B58" s="33">
        <v>19.5</v>
      </c>
      <c r="C58" s="33">
        <v>24.22</v>
      </c>
      <c r="D58" s="15">
        <v>0</v>
      </c>
      <c r="E58" s="15">
        <v>0</v>
      </c>
      <c r="F58" s="33">
        <v>0</v>
      </c>
      <c r="G58" s="33">
        <v>0.19960999999999901</v>
      </c>
      <c r="H58" s="33">
        <v>0</v>
      </c>
      <c r="I58" s="33">
        <v>0.16413</v>
      </c>
      <c r="J58" s="33">
        <v>0.19960999999999901</v>
      </c>
      <c r="K58" s="33">
        <v>0.16413</v>
      </c>
      <c r="L58" s="33">
        <v>19.69961</v>
      </c>
      <c r="M58" s="33">
        <v>24.384129999999999</v>
      </c>
      <c r="N58" s="34">
        <v>1.2420512820512799</v>
      </c>
      <c r="O58" s="34">
        <v>1.2388993693114601</v>
      </c>
      <c r="P58" s="34">
        <v>1.2385300048471</v>
      </c>
      <c r="Q58" s="34">
        <v>1.2384723192662099</v>
      </c>
      <c r="R58" s="33">
        <v>24.1585377015736</v>
      </c>
      <c r="S58" s="33">
        <v>24.143145836206401</v>
      </c>
      <c r="T58" s="33">
        <v>24.149727114125199</v>
      </c>
      <c r="U58" s="15">
        <v>-2.5408924871983202E-3</v>
      </c>
      <c r="V58" s="15">
        <v>-3.1782146159844101E-3</v>
      </c>
      <c r="W58" s="15">
        <v>-2.9056577123503101E-3</v>
      </c>
      <c r="X58" s="34">
        <v>1.23779760106925</v>
      </c>
      <c r="Y58" s="34">
        <v>1.23733334869304</v>
      </c>
      <c r="Z58" s="34">
        <v>1.23717748687641</v>
      </c>
      <c r="AA58" s="34">
        <v>1.23732583442195</v>
      </c>
      <c r="AB58" s="33">
        <v>24.374984409246899</v>
      </c>
      <c r="AC58" s="33">
        <v>24.371794114365901</v>
      </c>
      <c r="AD58" s="33">
        <v>24.374352167949699</v>
      </c>
      <c r="AE58" s="15">
        <v>-3.7513359178574399E-4</v>
      </c>
      <c r="AF58" s="15">
        <v>-5.0602613410920499E-4</v>
      </c>
      <c r="AG58" s="15">
        <v>-4.0107204927622398E-4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0</v>
      </c>
      <c r="BH58" s="29"/>
    </row>
    <row r="59" spans="1:60" x14ac:dyDescent="0.25">
      <c r="A59" s="1">
        <v>46107</v>
      </c>
      <c r="B59" s="33">
        <v>19.5</v>
      </c>
      <c r="C59" s="33">
        <v>24.22</v>
      </c>
      <c r="D59" s="15">
        <v>0</v>
      </c>
      <c r="E59" s="15">
        <v>0</v>
      </c>
      <c r="F59" s="33">
        <v>0</v>
      </c>
      <c r="G59" s="33">
        <v>0.19960999999999901</v>
      </c>
      <c r="H59" s="33">
        <v>0</v>
      </c>
      <c r="I59" s="33">
        <v>0.16413</v>
      </c>
      <c r="J59" s="33">
        <v>0.19960999999999901</v>
      </c>
      <c r="K59" s="33">
        <v>0.16413</v>
      </c>
      <c r="L59" s="33">
        <v>19.69961</v>
      </c>
      <c r="M59" s="33">
        <v>24.384129999999999</v>
      </c>
      <c r="N59" s="34">
        <v>1.2420512820512799</v>
      </c>
      <c r="O59" s="34">
        <v>1.2388993693114601</v>
      </c>
      <c r="P59" s="34">
        <v>1.23900111770696</v>
      </c>
      <c r="Q59" s="34">
        <v>1.23849709421832</v>
      </c>
      <c r="R59" s="33">
        <v>24.1585377015736</v>
      </c>
      <c r="S59" s="33">
        <v>24.151335094518402</v>
      </c>
      <c r="T59" s="33">
        <v>24.1502102256912</v>
      </c>
      <c r="U59" s="15">
        <v>-2.5408924871983202E-3</v>
      </c>
      <c r="V59" s="15">
        <v>-2.8390761375212499E-3</v>
      </c>
      <c r="W59" s="15">
        <v>-2.88565306668643E-3</v>
      </c>
      <c r="X59" s="34">
        <v>1.23779760106925</v>
      </c>
      <c r="Y59" s="34">
        <v>1.23733334869304</v>
      </c>
      <c r="Z59" s="34">
        <v>1.2372343737668601</v>
      </c>
      <c r="AA59" s="34">
        <v>1.2373504142531</v>
      </c>
      <c r="AB59" s="33">
        <v>24.374984409246899</v>
      </c>
      <c r="AC59" s="33">
        <v>24.371913992245499</v>
      </c>
      <c r="AD59" s="33">
        <v>24.374836381037099</v>
      </c>
      <c r="AE59" s="15">
        <v>-3.7513359178574399E-4</v>
      </c>
      <c r="AF59" s="15">
        <v>-5.0110743242563999E-4</v>
      </c>
      <c r="AG59" s="15">
        <v>-3.8120656630825402E-4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0</v>
      </c>
      <c r="BH59" s="29"/>
    </row>
    <row r="60" spans="1:60" x14ac:dyDescent="0.25">
      <c r="A60" s="1">
        <v>46108</v>
      </c>
      <c r="B60" s="33">
        <v>19.52</v>
      </c>
      <c r="C60" s="33">
        <v>24.23</v>
      </c>
      <c r="D60" s="15">
        <v>1.0251154152453501E-3</v>
      </c>
      <c r="E60" s="15">
        <v>4.1279670348812598E-4</v>
      </c>
      <c r="F60" s="33">
        <v>0</v>
      </c>
      <c r="G60" s="33">
        <v>0.19960999999999901</v>
      </c>
      <c r="H60" s="33">
        <v>0</v>
      </c>
      <c r="I60" s="33">
        <v>0.16413</v>
      </c>
      <c r="J60" s="33">
        <v>0.19960999999999901</v>
      </c>
      <c r="K60" s="33">
        <v>0.16413</v>
      </c>
      <c r="L60" s="33">
        <v>19.719609999999999</v>
      </c>
      <c r="M60" s="33">
        <v>24.394130000000001</v>
      </c>
      <c r="N60" s="34">
        <v>1.24129098360655</v>
      </c>
      <c r="O60" s="34">
        <v>1.2388993693114601</v>
      </c>
      <c r="P60" s="34">
        <v>1.2394715548514701</v>
      </c>
      <c r="Q60" s="34">
        <v>1.2384900321454499</v>
      </c>
      <c r="R60" s="33">
        <v>24.183315688959802</v>
      </c>
      <c r="S60" s="33">
        <v>24.1853018176398</v>
      </c>
      <c r="T60" s="33">
        <v>24.175463279141599</v>
      </c>
      <c r="U60" s="15">
        <v>-1.9285737754411701E-3</v>
      </c>
      <c r="V60" s="15">
        <v>-1.8464490928040199E-3</v>
      </c>
      <c r="W60" s="15">
        <v>-2.2533301094433298E-3</v>
      </c>
      <c r="X60" s="34">
        <v>1.23704931284137</v>
      </c>
      <c r="Y60" s="34">
        <v>1.23733334869304</v>
      </c>
      <c r="Z60" s="34">
        <v>1.2372912606020801</v>
      </c>
      <c r="AA60" s="34">
        <v>1.2373436074350199</v>
      </c>
      <c r="AB60" s="33">
        <v>24.3997310762207</v>
      </c>
      <c r="AC60" s="33">
        <v>24.397779329276698</v>
      </c>
      <c r="AD60" s="33">
        <v>24.4000676024095</v>
      </c>
      <c r="AE60" s="15">
        <v>2.2958118590542199E-4</v>
      </c>
      <c r="AF60" s="15">
        <v>1.4958747602575499E-4</v>
      </c>
      <c r="AG60" s="15">
        <v>2.43373299721699E-4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0</v>
      </c>
      <c r="BH60" s="29"/>
    </row>
    <row r="61" spans="1:60" x14ac:dyDescent="0.25">
      <c r="A61" s="1">
        <v>46111</v>
      </c>
      <c r="B61" s="33">
        <v>19.510000000000002</v>
      </c>
      <c r="C61" s="33">
        <v>24.23</v>
      </c>
      <c r="D61" s="15">
        <v>-5.1242634992652197E-4</v>
      </c>
      <c r="E61" s="15">
        <v>0</v>
      </c>
      <c r="F61" s="33">
        <v>0</v>
      </c>
      <c r="G61" s="33">
        <v>0.19960999999999901</v>
      </c>
      <c r="H61" s="33">
        <v>0</v>
      </c>
      <c r="I61" s="33">
        <v>0.16413</v>
      </c>
      <c r="J61" s="33">
        <v>0.19960999999999901</v>
      </c>
      <c r="K61" s="33">
        <v>0.16413</v>
      </c>
      <c r="L61" s="33">
        <v>19.709610000000001</v>
      </c>
      <c r="M61" s="33">
        <v>24.394130000000001</v>
      </c>
      <c r="N61" s="34">
        <v>1.24192721681189</v>
      </c>
      <c r="O61" s="34">
        <v>1.2388993693114601</v>
      </c>
      <c r="P61" s="34">
        <v>1.2399423951420601</v>
      </c>
      <c r="Q61" s="34">
        <v>1.23871938531341</v>
      </c>
      <c r="R61" s="33">
        <v>24.170926695266701</v>
      </c>
      <c r="S61" s="33">
        <v>24.1820900351521</v>
      </c>
      <c r="T61" s="33">
        <v>24.162940527157701</v>
      </c>
      <c r="U61" s="15">
        <v>-2.4410001253676599E-3</v>
      </c>
      <c r="V61" s="15">
        <v>-1.9792568531313E-3</v>
      </c>
      <c r="W61" s="15">
        <v>-2.7714586067844201E-3</v>
      </c>
      <c r="X61" s="34">
        <v>1.23767695048253</v>
      </c>
      <c r="Y61" s="34">
        <v>1.23733334869304</v>
      </c>
      <c r="Z61" s="34">
        <v>1.23734812791334</v>
      </c>
      <c r="AA61" s="34">
        <v>1.2373660183509001</v>
      </c>
      <c r="AB61" s="33">
        <v>24.387357742733801</v>
      </c>
      <c r="AC61" s="33">
        <v>24.3865282028755</v>
      </c>
      <c r="AD61" s="33">
        <v>24.387559938537301</v>
      </c>
      <c r="AE61" s="15">
        <v>-2.77656858083492E-4</v>
      </c>
      <c r="AF61" s="15">
        <v>-3.1167259590483999E-4</v>
      </c>
      <c r="AG61" s="15">
        <v>-2.69365883414131E-4</v>
      </c>
      <c r="AI61" s="12"/>
      <c r="AJ61">
        <f t="shared" si="6"/>
        <v>0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0</v>
      </c>
      <c r="BH61" s="29"/>
    </row>
    <row r="62" spans="1:60" x14ac:dyDescent="0.25">
      <c r="A62" s="1">
        <v>46112</v>
      </c>
      <c r="B62" s="33">
        <v>19.53</v>
      </c>
      <c r="C62" s="33">
        <v>24.24</v>
      </c>
      <c r="D62" s="15">
        <v>1.0245902535677199E-3</v>
      </c>
      <c r="E62" s="15">
        <v>4.1262637267935502E-4</v>
      </c>
      <c r="F62" s="33">
        <v>0</v>
      </c>
      <c r="G62" s="33">
        <v>0.19960999999999901</v>
      </c>
      <c r="H62" s="33">
        <v>0</v>
      </c>
      <c r="I62" s="33">
        <v>0.16413</v>
      </c>
      <c r="J62" s="33">
        <v>0.19960999999999901</v>
      </c>
      <c r="K62" s="33">
        <v>0.16413</v>
      </c>
      <c r="L62" s="33">
        <v>19.729610000000001</v>
      </c>
      <c r="M62" s="33">
        <v>24.404129999999999</v>
      </c>
      <c r="N62" s="34">
        <v>1.2411674347158199</v>
      </c>
      <c r="O62" s="34">
        <v>1.2388993693114601</v>
      </c>
      <c r="P62" s="34">
        <v>1.2404004773974999</v>
      </c>
      <c r="Q62" s="34">
        <v>1.23887908765309</v>
      </c>
      <c r="R62" s="33">
        <v>24.195704682652899</v>
      </c>
      <c r="S62" s="33">
        <v>24.216074977124499</v>
      </c>
      <c r="T62" s="33">
        <v>24.192189595170898</v>
      </c>
      <c r="U62" s="15">
        <v>-1.8290362444792899E-3</v>
      </c>
      <c r="V62" s="15">
        <v>-9.8749330526369094E-4</v>
      </c>
      <c r="W62" s="15">
        <v>-1.9743241327281201E-3</v>
      </c>
      <c r="X62" s="34">
        <v>1.2369291638304001</v>
      </c>
      <c r="Y62" s="34">
        <v>1.23733334869304</v>
      </c>
      <c r="Z62" s="34">
        <v>1.23739299984747</v>
      </c>
      <c r="AA62" s="34">
        <v>1.2373195973622499</v>
      </c>
      <c r="AB62" s="33">
        <v>24.412104409707698</v>
      </c>
      <c r="AC62" s="33">
        <v>24.412395997960399</v>
      </c>
      <c r="AD62" s="33">
        <v>24.412748969316201</v>
      </c>
      <c r="AE62" s="15">
        <v>3.26711385058184E-4</v>
      </c>
      <c r="AF62" s="15">
        <v>3.3865572653845802E-4</v>
      </c>
      <c r="AG62" s="15">
        <v>3.5311431569389699E-4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0</v>
      </c>
      <c r="BH62" s="29"/>
    </row>
    <row r="63" spans="1:60" x14ac:dyDescent="0.25">
      <c r="A63" s="1">
        <v>46113</v>
      </c>
      <c r="B63" s="33">
        <v>19.52</v>
      </c>
      <c r="C63" s="33">
        <v>24.16</v>
      </c>
      <c r="D63" s="15">
        <v>-5.1216390364122201E-4</v>
      </c>
      <c r="E63" s="15">
        <v>-3.3057881344994299E-3</v>
      </c>
      <c r="F63" s="33">
        <v>0</v>
      </c>
      <c r="G63" s="33">
        <v>0.19960999999999901</v>
      </c>
      <c r="H63" s="33">
        <v>8.1023999999999999E-2</v>
      </c>
      <c r="I63" s="33">
        <v>0.24515399999999901</v>
      </c>
      <c r="J63" s="33">
        <v>0.19960999999999901</v>
      </c>
      <c r="K63" s="33">
        <v>0.24515399999999901</v>
      </c>
      <c r="L63" s="33">
        <v>19.719609999999999</v>
      </c>
      <c r="M63" s="33">
        <v>24.405154</v>
      </c>
      <c r="N63" s="34">
        <v>1.2377049180327799</v>
      </c>
      <c r="O63" s="34">
        <v>1.2388993693114601</v>
      </c>
      <c r="P63" s="34">
        <v>1.2404612093642899</v>
      </c>
      <c r="Q63" s="34">
        <v>1.23886566415862</v>
      </c>
      <c r="R63" s="33">
        <v>24.183315688959802</v>
      </c>
      <c r="S63" s="33">
        <v>24.2126173187992</v>
      </c>
      <c r="T63" s="33">
        <v>24.182919790988301</v>
      </c>
      <c r="U63" s="15">
        <v>9.64587986378991E-4</v>
      </c>
      <c r="V63" s="15">
        <v>2.17550103624735E-3</v>
      </c>
      <c r="W63" s="15">
        <v>9.4821714554044201E-4</v>
      </c>
      <c r="X63" s="34">
        <v>1.23760835026656</v>
      </c>
      <c r="Y63" s="34">
        <v>1.23733334869304</v>
      </c>
      <c r="Z63" s="34">
        <v>1.2374550403904501</v>
      </c>
      <c r="AA63" s="34">
        <v>1.2373071356954</v>
      </c>
      <c r="AB63" s="33">
        <v>24.3997310762207</v>
      </c>
      <c r="AC63" s="33">
        <v>24.400907373722301</v>
      </c>
      <c r="AD63" s="33">
        <v>24.399459905340599</v>
      </c>
      <c r="AE63" s="15">
        <v>-2.22228729482977E-4</v>
      </c>
      <c r="AF63" s="15">
        <v>-1.7402044618527801E-4</v>
      </c>
      <c r="AG63" s="15">
        <v>-2.3334247439163301E-4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0</v>
      </c>
      <c r="BH63" s="29"/>
    </row>
    <row r="64" spans="1:60" x14ac:dyDescent="0.25">
      <c r="A64" s="1">
        <v>46114</v>
      </c>
      <c r="B64" s="33">
        <v>19.54</v>
      </c>
      <c r="C64" s="33">
        <v>24.17</v>
      </c>
      <c r="D64" s="15">
        <v>1.0240656296901299E-3</v>
      </c>
      <c r="E64" s="15">
        <v>4.1382164877743302E-4</v>
      </c>
      <c r="F64" s="33">
        <v>0</v>
      </c>
      <c r="G64" s="33">
        <v>0.19960999999999901</v>
      </c>
      <c r="H64" s="33">
        <v>0</v>
      </c>
      <c r="I64" s="33">
        <v>0.24515399999999901</v>
      </c>
      <c r="J64" s="33">
        <v>0.19960999999999901</v>
      </c>
      <c r="K64" s="33">
        <v>0.24515399999999901</v>
      </c>
      <c r="L64" s="33">
        <v>19.739609999999999</v>
      </c>
      <c r="M64" s="33">
        <v>24.415154000000001</v>
      </c>
      <c r="N64" s="34">
        <v>1.23694984646878</v>
      </c>
      <c r="O64" s="34">
        <v>1.2388993693114601</v>
      </c>
      <c r="P64" s="34">
        <v>1.2404343126205799</v>
      </c>
      <c r="Q64" s="34">
        <v>1.23884614880942</v>
      </c>
      <c r="R64" s="33">
        <v>24.208093676346</v>
      </c>
      <c r="S64" s="33">
        <v>24.238612030978299</v>
      </c>
      <c r="T64" s="33">
        <v>24.207435077659401</v>
      </c>
      <c r="U64" s="15">
        <v>1.5748319672916301E-3</v>
      </c>
      <c r="V64" s="15">
        <v>2.83470539824902E-3</v>
      </c>
      <c r="W64" s="15">
        <v>1.5476258743864701E-3</v>
      </c>
      <c r="X64" s="34">
        <v>1.2368610119450101</v>
      </c>
      <c r="Y64" s="34">
        <v>1.23733334869304</v>
      </c>
      <c r="Z64" s="34">
        <v>1.2374303138479601</v>
      </c>
      <c r="AA64" s="34">
        <v>1.23728874968441</v>
      </c>
      <c r="AB64" s="33">
        <v>24.424477743194601</v>
      </c>
      <c r="AC64" s="33">
        <v>24.426879889841899</v>
      </c>
      <c r="AD64" s="33">
        <v>24.4239603088443</v>
      </c>
      <c r="AE64" s="15">
        <v>3.8181054914360402E-4</v>
      </c>
      <c r="AF64" s="15">
        <v>4.8015568285492599E-4</v>
      </c>
      <c r="AG64" s="15">
        <v>3.6062525147944902E-4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0</v>
      </c>
      <c r="BH64" s="29"/>
    </row>
    <row r="65" spans="1:60" x14ac:dyDescent="0.25">
      <c r="A65" s="1">
        <v>46118</v>
      </c>
      <c r="B65" s="33">
        <v>19.54</v>
      </c>
      <c r="C65" s="33">
        <v>24.17</v>
      </c>
      <c r="D65" s="15">
        <v>0</v>
      </c>
      <c r="E65" s="15">
        <v>0</v>
      </c>
      <c r="F65" s="33">
        <v>0</v>
      </c>
      <c r="G65" s="33">
        <v>0.19960999999999901</v>
      </c>
      <c r="H65" s="33">
        <v>0</v>
      </c>
      <c r="I65" s="33">
        <v>0.24515399999999901</v>
      </c>
      <c r="J65" s="33">
        <v>0.19960999999999901</v>
      </c>
      <c r="K65" s="33">
        <v>0.24515399999999901</v>
      </c>
      <c r="L65" s="33">
        <v>19.739609999999999</v>
      </c>
      <c r="M65" s="33">
        <v>24.415154000000001</v>
      </c>
      <c r="N65" s="34">
        <v>1.23694984646878</v>
      </c>
      <c r="O65" s="34">
        <v>1.2388993693114601</v>
      </c>
      <c r="P65" s="34">
        <v>1.2404195374309701</v>
      </c>
      <c r="Q65" s="34">
        <v>1.2387754825650801</v>
      </c>
      <c r="R65" s="33">
        <v>24.208093676346</v>
      </c>
      <c r="S65" s="33">
        <v>24.238086468606099</v>
      </c>
      <c r="T65" s="33">
        <v>24.207053747736101</v>
      </c>
      <c r="U65" s="15">
        <v>1.5748319672916301E-3</v>
      </c>
      <c r="V65" s="15">
        <v>2.8130223056097399E-3</v>
      </c>
      <c r="W65" s="15">
        <v>1.5318731552094701E-3</v>
      </c>
      <c r="X65" s="34">
        <v>1.2368610119450101</v>
      </c>
      <c r="Y65" s="34">
        <v>1.23733334869304</v>
      </c>
      <c r="Z65" s="34">
        <v>1.2374176205587899</v>
      </c>
      <c r="AA65" s="34">
        <v>1.2372195620749999</v>
      </c>
      <c r="AB65" s="33">
        <v>24.424477743194601</v>
      </c>
      <c r="AC65" s="33">
        <v>24.4263917975364</v>
      </c>
      <c r="AD65" s="33">
        <v>24.4235973761579</v>
      </c>
      <c r="AE65" s="15">
        <v>3.8181054914360402E-4</v>
      </c>
      <c r="AF65" s="15">
        <v>4.6017371282107297E-4</v>
      </c>
      <c r="AG65" s="15">
        <v>3.4576544257137098E-4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0</v>
      </c>
      <c r="BH65" s="29"/>
    </row>
    <row r="66" spans="1:60" x14ac:dyDescent="0.25">
      <c r="A66" s="1">
        <v>46119</v>
      </c>
      <c r="B66" s="33">
        <v>19.55</v>
      </c>
      <c r="C66" s="33">
        <v>24.17</v>
      </c>
      <c r="D66" s="15">
        <v>5.11639816738263E-4</v>
      </c>
      <c r="E66" s="15">
        <v>0</v>
      </c>
      <c r="F66" s="33">
        <v>0</v>
      </c>
      <c r="G66" s="33">
        <v>0.19960999999999901</v>
      </c>
      <c r="H66" s="33">
        <v>0</v>
      </c>
      <c r="I66" s="33">
        <v>0.24515399999999901</v>
      </c>
      <c r="J66" s="33">
        <v>0.19960999999999901</v>
      </c>
      <c r="K66" s="33">
        <v>0.24515399999999901</v>
      </c>
      <c r="L66" s="33">
        <v>19.749610000000001</v>
      </c>
      <c r="M66" s="33">
        <v>24.415154000000001</v>
      </c>
      <c r="N66" s="34">
        <v>1.2363171355498701</v>
      </c>
      <c r="O66" s="34">
        <v>1.2388993693114601</v>
      </c>
      <c r="P66" s="34">
        <v>1.23984612278083</v>
      </c>
      <c r="Q66" s="34">
        <v>1.23873645942434</v>
      </c>
      <c r="R66" s="33">
        <v>24.2204826700391</v>
      </c>
      <c r="S66" s="33">
        <v>24.250201956775499</v>
      </c>
      <c r="T66" s="33">
        <v>24.218060684147499</v>
      </c>
      <c r="U66" s="15">
        <v>2.0864717840299199E-3</v>
      </c>
      <c r="V66" s="15">
        <v>3.3127507478780899E-3</v>
      </c>
      <c r="W66" s="15">
        <v>1.98646935926654E-3</v>
      </c>
      <c r="X66" s="34">
        <v>1.23623474083792</v>
      </c>
      <c r="Y66" s="34">
        <v>1.23733334869304</v>
      </c>
      <c r="Z66" s="34">
        <v>1.23726133453566</v>
      </c>
      <c r="AA66" s="34">
        <v>1.2371819018750601</v>
      </c>
      <c r="AB66" s="33">
        <v>24.436851076681499</v>
      </c>
      <c r="AC66" s="33">
        <v>24.438515413164101</v>
      </c>
      <c r="AD66" s="33">
        <v>24.4346038353521</v>
      </c>
      <c r="AE66" s="15">
        <v>8.8827789459930504E-4</v>
      </c>
      <c r="AF66" s="15">
        <v>9.5638322465734795E-4</v>
      </c>
      <c r="AG66" s="15">
        <v>7.9631249945789396E-4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0</v>
      </c>
      <c r="BH66" s="29"/>
    </row>
    <row r="67" spans="1:60" x14ac:dyDescent="0.25">
      <c r="A67" s="1">
        <v>46120</v>
      </c>
      <c r="B67" s="33">
        <v>19.54</v>
      </c>
      <c r="C67" s="33">
        <v>24.19</v>
      </c>
      <c r="D67" s="15">
        <v>-5.1163981673817095E-4</v>
      </c>
      <c r="E67" s="15">
        <v>8.2712990654411496E-4</v>
      </c>
      <c r="F67" s="33">
        <v>0</v>
      </c>
      <c r="G67" s="33">
        <v>0.19960999999999901</v>
      </c>
      <c r="H67" s="33">
        <v>0</v>
      </c>
      <c r="I67" s="33">
        <v>0.24515399999999901</v>
      </c>
      <c r="J67" s="33">
        <v>0.19960999999999901</v>
      </c>
      <c r="K67" s="33">
        <v>0.24515399999999901</v>
      </c>
      <c r="L67" s="33">
        <v>19.739609999999999</v>
      </c>
      <c r="M67" s="33">
        <v>24.435154000000001</v>
      </c>
      <c r="N67" s="34">
        <v>1.2379733879222099</v>
      </c>
      <c r="O67" s="34">
        <v>1.2388993693114601</v>
      </c>
      <c r="P67" s="34">
        <v>1.23943833336792</v>
      </c>
      <c r="Q67" s="34">
        <v>1.2387741881251499</v>
      </c>
      <c r="R67" s="33">
        <v>24.208093676346</v>
      </c>
      <c r="S67" s="33">
        <v>24.226593239137401</v>
      </c>
      <c r="T67" s="33">
        <v>24.204910417151599</v>
      </c>
      <c r="U67" s="15">
        <v>7.4770206074728496E-4</v>
      </c>
      <c r="V67" s="15">
        <v>1.51159937769722E-3</v>
      </c>
      <c r="W67" s="15">
        <v>6.1619775694967197E-4</v>
      </c>
      <c r="X67" s="34">
        <v>1.23787420318841</v>
      </c>
      <c r="Y67" s="34">
        <v>1.23733334869304</v>
      </c>
      <c r="Z67" s="34">
        <v>1.2372689947475699</v>
      </c>
      <c r="AA67" s="34">
        <v>1.2372201981659801</v>
      </c>
      <c r="AB67" s="33">
        <v>24.424477743194601</v>
      </c>
      <c r="AC67" s="33">
        <v>24.4230562118134</v>
      </c>
      <c r="AD67" s="33">
        <v>24.421488242072002</v>
      </c>
      <c r="AE67" s="15">
        <v>-4.3701749662697001E-4</v>
      </c>
      <c r="AF67" s="15">
        <v>-4.9522028667483295E-4</v>
      </c>
      <c r="AG67" s="15">
        <v>-5.5942273792311103E-4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0</v>
      </c>
      <c r="BH67" s="29"/>
    </row>
    <row r="68" spans="1:60" x14ac:dyDescent="0.25">
      <c r="A68" s="1">
        <v>46121</v>
      </c>
      <c r="B68" s="33">
        <v>19.55</v>
      </c>
      <c r="C68" s="33">
        <v>24.19</v>
      </c>
      <c r="D68" s="15">
        <v>5.11639816738263E-4</v>
      </c>
      <c r="E68" s="15">
        <v>0</v>
      </c>
      <c r="F68" s="33">
        <v>0</v>
      </c>
      <c r="G68" s="33">
        <v>0.19960999999999901</v>
      </c>
      <c r="H68" s="33">
        <v>0</v>
      </c>
      <c r="I68" s="33">
        <v>0.24515399999999901</v>
      </c>
      <c r="J68" s="33">
        <v>0.19960999999999901</v>
      </c>
      <c r="K68" s="33">
        <v>0.24515399999999901</v>
      </c>
      <c r="L68" s="33">
        <v>19.749610000000001</v>
      </c>
      <c r="M68" s="33">
        <v>24.435154000000001</v>
      </c>
      <c r="N68" s="34">
        <v>1.23734015345268</v>
      </c>
      <c r="O68" s="34">
        <v>1.2388993693114601</v>
      </c>
      <c r="P68" s="34">
        <v>1.23896722050806</v>
      </c>
      <c r="Q68" s="34">
        <v>1.23874861267758</v>
      </c>
      <c r="R68" s="33">
        <v>24.2204826700391</v>
      </c>
      <c r="S68" s="33">
        <v>24.2310194173429</v>
      </c>
      <c r="T68" s="33">
        <v>24.2180353778467</v>
      </c>
      <c r="U68" s="15">
        <v>1.2593418774856399E-3</v>
      </c>
      <c r="V68" s="15">
        <v>1.6942818490423501E-3</v>
      </c>
      <c r="W68" s="15">
        <v>1.15829451711551E-3</v>
      </c>
      <c r="X68" s="34">
        <v>1.2372474190629501</v>
      </c>
      <c r="Y68" s="34">
        <v>1.23733334869304</v>
      </c>
      <c r="Z68" s="34">
        <v>1.2372139765469401</v>
      </c>
      <c r="AA68" s="34">
        <v>1.23719573171168</v>
      </c>
      <c r="AB68" s="33">
        <v>24.436851076681499</v>
      </c>
      <c r="AC68" s="33">
        <v>24.4355801113566</v>
      </c>
      <c r="AD68" s="33">
        <v>24.4346163979009</v>
      </c>
      <c r="AE68" s="15">
        <v>6.9449848828767398E-5</v>
      </c>
      <c r="AF68" s="15">
        <v>1.7438303902930098E-5</v>
      </c>
      <c r="AG68" s="15">
        <v>-2.2001417019361099E-5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0</v>
      </c>
      <c r="BH68" s="29"/>
    </row>
    <row r="69" spans="1:60" x14ac:dyDescent="0.25">
      <c r="A69" s="1">
        <v>46122</v>
      </c>
      <c r="B69" s="33">
        <v>19.55</v>
      </c>
      <c r="C69" s="33">
        <v>24.2</v>
      </c>
      <c r="D69" s="15">
        <v>0</v>
      </c>
      <c r="E69" s="15">
        <v>4.13308540704658E-4</v>
      </c>
      <c r="F69" s="33">
        <v>0</v>
      </c>
      <c r="G69" s="33">
        <v>0.19960999999999901</v>
      </c>
      <c r="H69" s="33">
        <v>0</v>
      </c>
      <c r="I69" s="33">
        <v>0.24515399999999901</v>
      </c>
      <c r="J69" s="33">
        <v>0.19960999999999901</v>
      </c>
      <c r="K69" s="33">
        <v>0.24515399999999901</v>
      </c>
      <c r="L69" s="33">
        <v>19.749610000000001</v>
      </c>
      <c r="M69" s="33">
        <v>24.445153999999999</v>
      </c>
      <c r="N69" s="34">
        <v>1.2378516624040901</v>
      </c>
      <c r="O69" s="34">
        <v>1.2388993693114601</v>
      </c>
      <c r="P69" s="34">
        <v>1.2385472585433399</v>
      </c>
      <c r="Q69" s="34">
        <v>1.2387741881251499</v>
      </c>
      <c r="R69" s="33">
        <v>24.2204826700391</v>
      </c>
      <c r="S69" s="33">
        <v>24.2218091609327</v>
      </c>
      <c r="T69" s="33">
        <v>24.217535377846701</v>
      </c>
      <c r="U69" s="15">
        <v>8.4603333678089402E-4</v>
      </c>
      <c r="V69" s="15">
        <v>9.0079915580852405E-4</v>
      </c>
      <c r="W69" s="15">
        <v>7.2433999279909495E-4</v>
      </c>
      <c r="X69" s="34">
        <v>1.2377537581754701</v>
      </c>
      <c r="Y69" s="34">
        <v>1.23733334869304</v>
      </c>
      <c r="Z69" s="34">
        <v>1.2372095922575601</v>
      </c>
      <c r="AA69" s="34">
        <v>1.23722198301221</v>
      </c>
      <c r="AB69" s="33">
        <v>24.436851076681499</v>
      </c>
      <c r="AC69" s="33">
        <v>24.4344935233513</v>
      </c>
      <c r="AD69" s="33">
        <v>24.4341331949703</v>
      </c>
      <c r="AE69" s="15">
        <v>-3.39712881467932E-4</v>
      </c>
      <c r="AF69" s="15">
        <v>-4.3619286790436102E-4</v>
      </c>
      <c r="AG69" s="15">
        <v>-4.5093968627017299E-4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0</v>
      </c>
      <c r="BH69" s="29"/>
    </row>
    <row r="70" spans="1:60" x14ac:dyDescent="0.25">
      <c r="A70" s="1">
        <v>46125</v>
      </c>
      <c r="B70" s="33">
        <v>19.57</v>
      </c>
      <c r="C70" s="33">
        <v>24.21</v>
      </c>
      <c r="D70" s="15">
        <v>1.02249497661001E-3</v>
      </c>
      <c r="E70" s="15">
        <v>4.13137787326395E-4</v>
      </c>
      <c r="F70" s="33">
        <v>0</v>
      </c>
      <c r="G70" s="33">
        <v>0.19960999999999901</v>
      </c>
      <c r="H70" s="33">
        <v>0</v>
      </c>
      <c r="I70" s="33">
        <v>0.24515399999999901</v>
      </c>
      <c r="J70" s="33">
        <v>0.19960999999999901</v>
      </c>
      <c r="K70" s="33">
        <v>0.24515399999999901</v>
      </c>
      <c r="L70" s="33">
        <v>19.76961</v>
      </c>
      <c r="M70" s="33">
        <v>24.455154</v>
      </c>
      <c r="N70" s="34">
        <v>1.23709759836484</v>
      </c>
      <c r="O70" s="34">
        <v>1.2388993693114601</v>
      </c>
      <c r="P70" s="34">
        <v>1.2381279200191699</v>
      </c>
      <c r="Q70" s="34">
        <v>1.2387997374353199</v>
      </c>
      <c r="R70" s="33">
        <v>24.245260657425401</v>
      </c>
      <c r="S70" s="33">
        <v>24.238369849693299</v>
      </c>
      <c r="T70" s="33">
        <v>24.2428108616092</v>
      </c>
      <c r="U70" s="15">
        <v>1.45539052606444E-3</v>
      </c>
      <c r="V70" s="15">
        <v>1.1711375645425E-3</v>
      </c>
      <c r="W70" s="15">
        <v>1.3543431656942201E-3</v>
      </c>
      <c r="X70" s="34">
        <v>1.23700740682289</v>
      </c>
      <c r="Y70" s="34">
        <v>1.23733334869304</v>
      </c>
      <c r="Z70" s="34">
        <v>1.2372054016557199</v>
      </c>
      <c r="AA70" s="34">
        <v>1.2372483311289</v>
      </c>
      <c r="AB70" s="33">
        <v>24.4615977436554</v>
      </c>
      <c r="AC70" s="33">
        <v>24.459151127191099</v>
      </c>
      <c r="AD70" s="33">
        <v>24.459396087578099</v>
      </c>
      <c r="AE70" s="15">
        <v>2.6345754626085299E-4</v>
      </c>
      <c r="AF70" s="15">
        <v>1.63433874390905E-4</v>
      </c>
      <c r="AG70" s="15">
        <v>1.7344890553587701E-4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0</v>
      </c>
      <c r="BH70" s="29"/>
    </row>
    <row r="71" spans="1:60" x14ac:dyDescent="0.25">
      <c r="A71" s="1">
        <v>46126</v>
      </c>
      <c r="B71" s="33">
        <v>19.57</v>
      </c>
      <c r="C71" s="33">
        <v>24.2</v>
      </c>
      <c r="D71" s="15">
        <v>0</v>
      </c>
      <c r="E71" s="15">
        <v>-4.1313778732649501E-4</v>
      </c>
      <c r="F71" s="33">
        <v>0</v>
      </c>
      <c r="G71" s="33">
        <v>0.19960999999999901</v>
      </c>
      <c r="H71" s="33">
        <v>0</v>
      </c>
      <c r="I71" s="33">
        <v>0.24515399999999901</v>
      </c>
      <c r="J71" s="33">
        <v>0.19960999999999901</v>
      </c>
      <c r="K71" s="33">
        <v>0.24515399999999901</v>
      </c>
      <c r="L71" s="33">
        <v>19.76961</v>
      </c>
      <c r="M71" s="33">
        <v>24.445153999999999</v>
      </c>
      <c r="N71" s="34">
        <v>1.2365866121614699</v>
      </c>
      <c r="O71" s="34">
        <v>1.2388993693114601</v>
      </c>
      <c r="P71" s="34">
        <v>1.23759385955413</v>
      </c>
      <c r="Q71" s="34">
        <v>1.2387681273480999</v>
      </c>
      <c r="R71" s="33">
        <v>24.245260657425401</v>
      </c>
      <c r="S71" s="33">
        <v>24.2301633947752</v>
      </c>
      <c r="T71" s="33">
        <v>24.243310861609199</v>
      </c>
      <c r="U71" s="15">
        <v>1.8685283133910999E-3</v>
      </c>
      <c r="V71" s="15">
        <v>1.24564513357631E-3</v>
      </c>
      <c r="W71" s="15">
        <v>1.7881054114120801E-3</v>
      </c>
      <c r="X71" s="34">
        <v>1.2365015799502299</v>
      </c>
      <c r="Y71" s="34">
        <v>1.23733334869304</v>
      </c>
      <c r="Z71" s="34">
        <v>1.2370878646024901</v>
      </c>
      <c r="AA71" s="34">
        <v>1.23721799625791</v>
      </c>
      <c r="AB71" s="33">
        <v>24.4615977436554</v>
      </c>
      <c r="AC71" s="33">
        <v>24.459068280626902</v>
      </c>
      <c r="AD71" s="33">
        <v>24.459916979569201</v>
      </c>
      <c r="AE71" s="15">
        <v>6.7245293088696E-4</v>
      </c>
      <c r="AF71" s="15">
        <v>5.6904211348313897E-4</v>
      </c>
      <c r="AG71" s="15">
        <v>6.0374025523385496E-4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0</v>
      </c>
      <c r="BH71" s="29"/>
    </row>
    <row r="72" spans="1:60" x14ac:dyDescent="0.25">
      <c r="A72" s="1">
        <v>46127</v>
      </c>
      <c r="B72" s="33">
        <v>19.57</v>
      </c>
      <c r="C72" s="33">
        <v>24.2</v>
      </c>
      <c r="D72" s="15">
        <v>0</v>
      </c>
      <c r="E72" s="15">
        <v>0</v>
      </c>
      <c r="F72" s="33">
        <v>0</v>
      </c>
      <c r="G72" s="33">
        <v>0.19960999999999901</v>
      </c>
      <c r="H72" s="33">
        <v>0</v>
      </c>
      <c r="I72" s="33">
        <v>0.24515399999999901</v>
      </c>
      <c r="J72" s="33">
        <v>0.19960999999999901</v>
      </c>
      <c r="K72" s="33">
        <v>0.24515399999999901</v>
      </c>
      <c r="L72" s="33">
        <v>19.76961</v>
      </c>
      <c r="M72" s="33">
        <v>24.445153999999999</v>
      </c>
      <c r="N72" s="34">
        <v>1.2365866121614699</v>
      </c>
      <c r="O72" s="34">
        <v>1.2388993693114601</v>
      </c>
      <c r="P72" s="34">
        <v>1.23713577729869</v>
      </c>
      <c r="Q72" s="34">
        <v>1.2387681273480999</v>
      </c>
      <c r="R72" s="33">
        <v>24.245260657425401</v>
      </c>
      <c r="S72" s="33">
        <v>24.219711831474399</v>
      </c>
      <c r="T72" s="33">
        <v>24.2426922522023</v>
      </c>
      <c r="U72" s="15">
        <v>1.8685283133910999E-3</v>
      </c>
      <c r="V72" s="15">
        <v>8.1420693423362703E-4</v>
      </c>
      <c r="W72" s="15">
        <v>1.76258838104194E-3</v>
      </c>
      <c r="X72" s="34">
        <v>1.2365015799502299</v>
      </c>
      <c r="Y72" s="34">
        <v>1.23733334869304</v>
      </c>
      <c r="Z72" s="34">
        <v>1.2370451062144701</v>
      </c>
      <c r="AA72" s="34">
        <v>1.2372190530309699</v>
      </c>
      <c r="AB72" s="33">
        <v>24.4615977436554</v>
      </c>
      <c r="AC72" s="33">
        <v>24.456744618923999</v>
      </c>
      <c r="AD72" s="33">
        <v>24.459317271000501</v>
      </c>
      <c r="AE72" s="15">
        <v>6.7245293088696E-4</v>
      </c>
      <c r="AF72" s="15">
        <v>4.7403554742957897E-4</v>
      </c>
      <c r="AG72" s="15">
        <v>5.7922194140541802E-4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0</v>
      </c>
      <c r="BH72" s="29"/>
    </row>
    <row r="73" spans="1:60" x14ac:dyDescent="0.25">
      <c r="A73" s="1">
        <v>46128</v>
      </c>
      <c r="B73" s="33">
        <v>19.559999999999999</v>
      </c>
      <c r="C73" s="33">
        <v>24.2</v>
      </c>
      <c r="D73" s="15">
        <v>-5.1111680131371996E-4</v>
      </c>
      <c r="E73" s="15">
        <v>0</v>
      </c>
      <c r="F73" s="33">
        <v>0</v>
      </c>
      <c r="G73" s="33">
        <v>0.19960999999999901</v>
      </c>
      <c r="H73" s="33">
        <v>0</v>
      </c>
      <c r="I73" s="33">
        <v>0.24515399999999901</v>
      </c>
      <c r="J73" s="33">
        <v>0.19960999999999901</v>
      </c>
      <c r="K73" s="33">
        <v>0.24515399999999901</v>
      </c>
      <c r="L73" s="33">
        <v>19.759609999999999</v>
      </c>
      <c r="M73" s="33">
        <v>24.445153999999999</v>
      </c>
      <c r="N73" s="34">
        <v>1.2372188139059299</v>
      </c>
      <c r="O73" s="34">
        <v>1.2388993693114601</v>
      </c>
      <c r="P73" s="34">
        <v>1.2370871668860099</v>
      </c>
      <c r="Q73" s="34">
        <v>1.2387741881251499</v>
      </c>
      <c r="R73" s="33">
        <v>24.232871663732301</v>
      </c>
      <c r="S73" s="33">
        <v>24.198375803962499</v>
      </c>
      <c r="T73" s="33">
        <v>24.230304570928801</v>
      </c>
      <c r="U73" s="15">
        <v>1.3574115120773399E-3</v>
      </c>
      <c r="V73" s="15">
        <v>-6.7117791085499301E-5</v>
      </c>
      <c r="W73" s="15">
        <v>1.2514715797284099E-3</v>
      </c>
      <c r="X73" s="34">
        <v>1.23712735220988</v>
      </c>
      <c r="Y73" s="34">
        <v>1.23733334869304</v>
      </c>
      <c r="Z73" s="34">
        <v>1.2369970064088001</v>
      </c>
      <c r="AA73" s="34">
        <v>1.2372260233996299</v>
      </c>
      <c r="AB73" s="33">
        <v>24.449224410168501</v>
      </c>
      <c r="AC73" s="33">
        <v>24.443528851206501</v>
      </c>
      <c r="AD73" s="33">
        <v>24.4469659724613</v>
      </c>
      <c r="AE73" s="15">
        <v>1.6649808465812001E-4</v>
      </c>
      <c r="AF73" s="15">
        <v>-6.6483639944680303E-5</v>
      </c>
      <c r="AG73" s="15">
        <v>7.4121247483015096E-5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0</v>
      </c>
      <c r="BH73" s="29"/>
    </row>
    <row r="74" spans="1:60" x14ac:dyDescent="0.25">
      <c r="A74" s="1">
        <v>46129</v>
      </c>
      <c r="B74" s="33">
        <v>19.57</v>
      </c>
      <c r="C74" s="33">
        <v>24.21</v>
      </c>
      <c r="D74" s="15">
        <v>5.1111680131376799E-4</v>
      </c>
      <c r="E74" s="15">
        <v>4.13137787326395E-4</v>
      </c>
      <c r="F74" s="33">
        <v>0</v>
      </c>
      <c r="G74" s="33">
        <v>0.19960999999999901</v>
      </c>
      <c r="H74" s="33">
        <v>0</v>
      </c>
      <c r="I74" s="33">
        <v>0.24515399999999901</v>
      </c>
      <c r="J74" s="33">
        <v>0.19960999999999901</v>
      </c>
      <c r="K74" s="33">
        <v>0.24515399999999901</v>
      </c>
      <c r="L74" s="33">
        <v>19.76961</v>
      </c>
      <c r="M74" s="33">
        <v>24.455154</v>
      </c>
      <c r="N74" s="34">
        <v>1.23709759836484</v>
      </c>
      <c r="O74" s="34">
        <v>1.2388993693114601</v>
      </c>
      <c r="P74" s="34">
        <v>1.23710194207562</v>
      </c>
      <c r="Q74" s="34">
        <v>1.2387681273480999</v>
      </c>
      <c r="R74" s="33">
        <v>24.245260657425401</v>
      </c>
      <c r="S74" s="33">
        <v>24.2097958559592</v>
      </c>
      <c r="T74" s="33">
        <v>24.2428108616092</v>
      </c>
      <c r="U74" s="15">
        <v>1.45539052606444E-3</v>
      </c>
      <c r="V74" s="15">
        <v>-8.4322553243452505E-6</v>
      </c>
      <c r="W74" s="15">
        <v>1.35434316569444E-3</v>
      </c>
      <c r="X74" s="34">
        <v>1.23700740682289</v>
      </c>
      <c r="Y74" s="34">
        <v>1.23733334869304</v>
      </c>
      <c r="Z74" s="34">
        <v>1.2370116458965901</v>
      </c>
      <c r="AA74" s="34">
        <v>1.23722097987228</v>
      </c>
      <c r="AB74" s="33">
        <v>24.4615977436554</v>
      </c>
      <c r="AC74" s="33">
        <v>24.4549483878695</v>
      </c>
      <c r="AD74" s="33">
        <v>24.4594759644616</v>
      </c>
      <c r="AE74" s="15">
        <v>2.6345754626085299E-4</v>
      </c>
      <c r="AF74" s="15">
        <v>-8.4077571040091594E-6</v>
      </c>
      <c r="AG74" s="15">
        <v>1.76714593404864E-4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0</v>
      </c>
      <c r="BH74" s="29"/>
    </row>
    <row r="75" spans="1:60" x14ac:dyDescent="0.25">
      <c r="A75" s="1">
        <v>46132</v>
      </c>
      <c r="B75" s="33">
        <v>19.510000000000002</v>
      </c>
      <c r="C75" s="33">
        <v>24.22</v>
      </c>
      <c r="D75" s="15">
        <v>-3.0706267729649298E-3</v>
      </c>
      <c r="E75" s="15">
        <v>4.12967174978938E-4</v>
      </c>
      <c r="F75" s="33">
        <v>6.4619999999999997E-2</v>
      </c>
      <c r="G75" s="33">
        <v>0.26422999999999902</v>
      </c>
      <c r="H75" s="33">
        <v>0</v>
      </c>
      <c r="I75" s="33">
        <v>0.24515399999999901</v>
      </c>
      <c r="J75" s="33">
        <v>0.26422999999999902</v>
      </c>
      <c r="K75" s="33">
        <v>0.24515399999999901</v>
      </c>
      <c r="L75" s="33">
        <v>19.774229999999999</v>
      </c>
      <c r="M75" s="33">
        <v>24.465153999999998</v>
      </c>
      <c r="N75" s="34">
        <v>1.2414146591491499</v>
      </c>
      <c r="O75" s="34">
        <v>1.2388993693114601</v>
      </c>
      <c r="P75" s="34">
        <v>1.23754842334365</v>
      </c>
      <c r="Q75" s="34">
        <v>1.2389839803873099</v>
      </c>
      <c r="R75" s="33">
        <v>24.170926695266701</v>
      </c>
      <c r="S75" s="33">
        <v>24.135858889895299</v>
      </c>
      <c r="T75" s="33">
        <v>24.168366164561402</v>
      </c>
      <c r="U75" s="15">
        <v>-2.02820342187942E-3</v>
      </c>
      <c r="V75" s="15">
        <v>-3.48008274304274E-3</v>
      </c>
      <c r="W75" s="15">
        <v>-2.1341433542283201E-3</v>
      </c>
      <c r="X75" s="34">
        <v>1.2372241043014001</v>
      </c>
      <c r="Y75" s="34">
        <v>1.23733334869304</v>
      </c>
      <c r="Z75" s="34">
        <v>1.23704795513223</v>
      </c>
      <c r="AA75" s="34">
        <v>1.2372327878455101</v>
      </c>
      <c r="AB75" s="33">
        <v>24.467314223726401</v>
      </c>
      <c r="AC75" s="33">
        <v>24.460952798637798</v>
      </c>
      <c r="AD75" s="33">
        <v>24.465092216819802</v>
      </c>
      <c r="AE75" s="15">
        <v>8.8294083917403495E-5</v>
      </c>
      <c r="AF75" s="15">
        <v>-1.7173659002962899E-4</v>
      </c>
      <c r="AG75" s="15">
        <v>-2.52535741877753E-6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0</v>
      </c>
      <c r="BH75" s="29"/>
    </row>
    <row r="76" spans="1:60" x14ac:dyDescent="0.25">
      <c r="A76" s="1">
        <v>46133</v>
      </c>
      <c r="B76" s="33">
        <v>19.52</v>
      </c>
      <c r="C76" s="33">
        <v>24.23</v>
      </c>
      <c r="D76" s="15">
        <v>5.1242634992647198E-4</v>
      </c>
      <c r="E76" s="15">
        <v>4.1279670348812598E-4</v>
      </c>
      <c r="F76" s="33">
        <v>0</v>
      </c>
      <c r="G76" s="33">
        <v>0.26422999999999902</v>
      </c>
      <c r="H76" s="33">
        <v>0</v>
      </c>
      <c r="I76" s="33">
        <v>0.24515399999999901</v>
      </c>
      <c r="J76" s="33">
        <v>0.26422999999999902</v>
      </c>
      <c r="K76" s="33">
        <v>0.24515399999999901</v>
      </c>
      <c r="L76" s="33">
        <v>19.784230000000001</v>
      </c>
      <c r="M76" s="33">
        <v>24.475154</v>
      </c>
      <c r="N76" s="34">
        <v>1.24129098360655</v>
      </c>
      <c r="O76" s="34">
        <v>1.2388993693114601</v>
      </c>
      <c r="P76" s="34">
        <v>1.23804580814932</v>
      </c>
      <c r="Q76" s="34">
        <v>1.2389459654650801</v>
      </c>
      <c r="R76" s="33">
        <v>24.183315688959802</v>
      </c>
      <c r="S76" s="33">
        <v>24.156945223668199</v>
      </c>
      <c r="T76" s="33">
        <v>24.184967297160402</v>
      </c>
      <c r="U76" s="15">
        <v>-1.9285737754411701E-3</v>
      </c>
      <c r="V76" s="15">
        <v>-3.0196091736642201E-3</v>
      </c>
      <c r="W76" s="15">
        <v>-1.86028074954732E-3</v>
      </c>
      <c r="X76" s="34">
        <v>1.2371041986471001</v>
      </c>
      <c r="Y76" s="34">
        <v>1.23733334869304</v>
      </c>
      <c r="Z76" s="34">
        <v>1.23713490091315</v>
      </c>
      <c r="AA76" s="34">
        <v>1.2371981177244</v>
      </c>
      <c r="AB76" s="33">
        <v>24.4796875572133</v>
      </c>
      <c r="AC76" s="33">
        <v>24.474041265365699</v>
      </c>
      <c r="AD76" s="33">
        <v>24.477698038276799</v>
      </c>
      <c r="AE76" s="15">
        <v>1.8521384533543299E-4</v>
      </c>
      <c r="AF76" s="15">
        <v>-4.5464879591260698E-5</v>
      </c>
      <c r="AG76" s="15">
        <v>1.03938306889988E-4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0</v>
      </c>
      <c r="BH76" s="29"/>
    </row>
    <row r="77" spans="1:60" x14ac:dyDescent="0.25">
      <c r="A77" s="1">
        <v>46134</v>
      </c>
      <c r="B77" s="33">
        <v>19.52</v>
      </c>
      <c r="C77" s="33">
        <v>24.23</v>
      </c>
      <c r="D77" s="15">
        <v>0</v>
      </c>
      <c r="E77" s="15">
        <v>0</v>
      </c>
      <c r="F77" s="33">
        <v>0</v>
      </c>
      <c r="G77" s="33">
        <v>0.26422999999999902</v>
      </c>
      <c r="H77" s="33">
        <v>0</v>
      </c>
      <c r="I77" s="33">
        <v>0.24515399999999901</v>
      </c>
      <c r="J77" s="33">
        <v>0.26422999999999902</v>
      </c>
      <c r="K77" s="33">
        <v>0.24515399999999901</v>
      </c>
      <c r="L77" s="33">
        <v>19.784230000000001</v>
      </c>
      <c r="M77" s="33">
        <v>24.475154</v>
      </c>
      <c r="N77" s="34">
        <v>1.24129098360655</v>
      </c>
      <c r="O77" s="34">
        <v>1.2388993693114601</v>
      </c>
      <c r="P77" s="34">
        <v>1.23837756771776</v>
      </c>
      <c r="Q77" s="34">
        <v>1.23890795054284</v>
      </c>
      <c r="R77" s="33">
        <v>24.183315688959802</v>
      </c>
      <c r="S77" s="33">
        <v>24.1666541750748</v>
      </c>
      <c r="T77" s="33">
        <v>24.184225245878299</v>
      </c>
      <c r="U77" s="15">
        <v>-1.9285737754411701E-3</v>
      </c>
      <c r="V77" s="15">
        <v>-2.6177785295032098E-3</v>
      </c>
      <c r="W77" s="15">
        <v>-1.89096355581697E-3</v>
      </c>
      <c r="X77" s="34">
        <v>1.2371041986471001</v>
      </c>
      <c r="Y77" s="34">
        <v>1.23733334869304</v>
      </c>
      <c r="Z77" s="34">
        <v>1.2370579004590201</v>
      </c>
      <c r="AA77" s="34">
        <v>1.23716344760329</v>
      </c>
      <c r="AB77" s="33">
        <v>24.4796875572133</v>
      </c>
      <c r="AC77" s="33">
        <v>24.475761420692901</v>
      </c>
      <c r="AD77" s="33">
        <v>24.4770121166267</v>
      </c>
      <c r="AE77" s="15">
        <v>1.8521384533543299E-4</v>
      </c>
      <c r="AF77" s="15">
        <v>2.4817541727373998E-5</v>
      </c>
      <c r="AG77" s="15">
        <v>7.5915603946790196E-5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0</v>
      </c>
      <c r="BH77" s="29"/>
    </row>
    <row r="78" spans="1:60" x14ac:dyDescent="0.25">
      <c r="A78" s="1">
        <v>46135</v>
      </c>
      <c r="B78" s="33">
        <v>19.510000000000002</v>
      </c>
      <c r="C78" s="33">
        <v>24.24</v>
      </c>
      <c r="D78" s="15">
        <v>-5.1242634992652197E-4</v>
      </c>
      <c r="E78" s="15">
        <v>4.1262637267935502E-4</v>
      </c>
      <c r="F78" s="33">
        <v>0</v>
      </c>
      <c r="G78" s="33">
        <v>0.26422999999999902</v>
      </c>
      <c r="H78" s="33">
        <v>0</v>
      </c>
      <c r="I78" s="33">
        <v>0.24515399999999901</v>
      </c>
      <c r="J78" s="33">
        <v>0.26422999999999902</v>
      </c>
      <c r="K78" s="33">
        <v>0.24515399999999901</v>
      </c>
      <c r="L78" s="33">
        <v>19.774229999999999</v>
      </c>
      <c r="M78" s="33">
        <v>24.485153999999898</v>
      </c>
      <c r="N78" s="34">
        <v>1.2424397744746201</v>
      </c>
      <c r="O78" s="34">
        <v>1.2388993693114601</v>
      </c>
      <c r="P78" s="34">
        <v>1.23888752981995</v>
      </c>
      <c r="Q78" s="34">
        <v>1.23892737516401</v>
      </c>
      <c r="R78" s="33">
        <v>24.170926695266701</v>
      </c>
      <c r="S78" s="33">
        <v>24.1607463461735</v>
      </c>
      <c r="T78" s="33">
        <v>24.171094115090799</v>
      </c>
      <c r="U78" s="15">
        <v>-2.8536264980468999E-3</v>
      </c>
      <c r="V78" s="15">
        <v>-3.2748967998238402E-3</v>
      </c>
      <c r="W78" s="15">
        <v>-2.8467000261558802E-3</v>
      </c>
      <c r="X78" s="34">
        <v>1.2382355216865499</v>
      </c>
      <c r="Y78" s="34">
        <v>1.23733334869304</v>
      </c>
      <c r="Z78" s="34">
        <v>1.2371567107213799</v>
      </c>
      <c r="AA78" s="34">
        <v>1.23718534363416</v>
      </c>
      <c r="AB78" s="33">
        <v>24.467314223726401</v>
      </c>
      <c r="AC78" s="33">
        <v>24.461867446993701</v>
      </c>
      <c r="AD78" s="33">
        <v>24.4639545605005</v>
      </c>
      <c r="AE78" s="15">
        <v>-7.2886118762464198E-4</v>
      </c>
      <c r="AF78" s="15">
        <v>-9.5150038039851497E-4</v>
      </c>
      <c r="AG78" s="15">
        <v>-8.6618291725031895E-4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0</v>
      </c>
      <c r="BH78" s="29"/>
    </row>
    <row r="79" spans="1:60" x14ac:dyDescent="0.25">
      <c r="A79" s="1">
        <v>46136</v>
      </c>
      <c r="B79" s="33">
        <v>19.52</v>
      </c>
      <c r="C79" s="33">
        <v>24.25</v>
      </c>
      <c r="D79" s="15">
        <v>5.1242634992647198E-4</v>
      </c>
      <c r="E79" s="15">
        <v>4.1245618237846401E-4</v>
      </c>
      <c r="F79" s="33">
        <v>0</v>
      </c>
      <c r="G79" s="33">
        <v>0.26422999999999902</v>
      </c>
      <c r="H79" s="33">
        <v>0</v>
      </c>
      <c r="I79" s="33">
        <v>0.24515399999999901</v>
      </c>
      <c r="J79" s="33">
        <v>0.26422999999999902</v>
      </c>
      <c r="K79" s="33">
        <v>0.24515399999999901</v>
      </c>
      <c r="L79" s="33">
        <v>19.784230000000001</v>
      </c>
      <c r="M79" s="33">
        <v>24.495153999999999</v>
      </c>
      <c r="N79" s="34">
        <v>1.2423155737704901</v>
      </c>
      <c r="O79" s="34">
        <v>1.2388993693114601</v>
      </c>
      <c r="P79" s="34">
        <v>1.2393339209565899</v>
      </c>
      <c r="Q79" s="34">
        <v>1.2389405897499699</v>
      </c>
      <c r="R79" s="33">
        <v>24.183315688959802</v>
      </c>
      <c r="S79" s="33">
        <v>24.183084582085499</v>
      </c>
      <c r="T79" s="33">
        <v>24.183862363201399</v>
      </c>
      <c r="U79" s="15">
        <v>-2.7536563304990402E-3</v>
      </c>
      <c r="V79" s="15">
        <v>-2.7632128355533098E-3</v>
      </c>
      <c r="W79" s="15">
        <v>-2.7310511563422598E-3</v>
      </c>
      <c r="X79" s="34">
        <v>1.23811510480822</v>
      </c>
      <c r="Y79" s="34">
        <v>1.23733334869304</v>
      </c>
      <c r="Z79" s="34">
        <v>1.2371928453846499</v>
      </c>
      <c r="AA79" s="34">
        <v>1.2372012188211099</v>
      </c>
      <c r="AB79" s="33">
        <v>24.4796875572133</v>
      </c>
      <c r="AC79" s="33">
        <v>24.476192910955199</v>
      </c>
      <c r="AD79" s="33">
        <v>24.476759391087299</v>
      </c>
      <c r="AE79" s="15">
        <v>-6.3160769117590195E-4</v>
      </c>
      <c r="AF79" s="15">
        <v>-7.7437486155852503E-4</v>
      </c>
      <c r="AG79" s="15">
        <v>-7.5123100177264604E-4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0</v>
      </c>
      <c r="BH79" s="29"/>
    </row>
    <row r="80" spans="1:60" x14ac:dyDescent="0.25">
      <c r="A80" s="1">
        <v>46139</v>
      </c>
      <c r="B80" s="33">
        <v>19.52</v>
      </c>
      <c r="C80" s="33">
        <v>24.25</v>
      </c>
      <c r="D80" s="15">
        <v>0</v>
      </c>
      <c r="E80" s="15">
        <v>0</v>
      </c>
      <c r="F80" s="33">
        <v>0</v>
      </c>
      <c r="G80" s="33">
        <v>0.26422999999999902</v>
      </c>
      <c r="H80" s="33">
        <v>0</v>
      </c>
      <c r="I80" s="33">
        <v>0.24515399999999901</v>
      </c>
      <c r="J80" s="33">
        <v>0.26422999999999902</v>
      </c>
      <c r="K80" s="33">
        <v>0.24515399999999901</v>
      </c>
      <c r="L80" s="33">
        <v>19.784230000000001</v>
      </c>
      <c r="M80" s="33">
        <v>24.495153999999999</v>
      </c>
      <c r="N80" s="34">
        <v>1.2423155737704901</v>
      </c>
      <c r="O80" s="34">
        <v>1.2388993693114601</v>
      </c>
      <c r="P80" s="34">
        <v>1.2398557184971499</v>
      </c>
      <c r="Q80" s="34">
        <v>1.2389918192581599</v>
      </c>
      <c r="R80" s="33">
        <v>24.183315688959802</v>
      </c>
      <c r="S80" s="33">
        <v>24.191798137072698</v>
      </c>
      <c r="T80" s="33">
        <v>24.184120311919401</v>
      </c>
      <c r="U80" s="15">
        <v>-2.7536563304990402E-3</v>
      </c>
      <c r="V80" s="15">
        <v>-2.4029616228718699E-3</v>
      </c>
      <c r="W80" s="15">
        <v>-2.7203850626296802E-3</v>
      </c>
      <c r="X80" s="34">
        <v>1.23811510480822</v>
      </c>
      <c r="Y80" s="34">
        <v>1.23733334869304</v>
      </c>
      <c r="Z80" s="34">
        <v>1.23730361518318</v>
      </c>
      <c r="AA80" s="34">
        <v>1.2372545084194499</v>
      </c>
      <c r="AB80" s="33">
        <v>24.4796875572133</v>
      </c>
      <c r="AC80" s="33">
        <v>24.476907807444402</v>
      </c>
      <c r="AD80" s="33">
        <v>24.477073469437201</v>
      </c>
      <c r="AE80" s="15">
        <v>-6.3160769117590195E-4</v>
      </c>
      <c r="AF80" s="15">
        <v>-7.4516745778813599E-4</v>
      </c>
      <c r="AG80" s="15">
        <v>-7.3839938751361499E-4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0</v>
      </c>
      <c r="BH80" s="29"/>
    </row>
    <row r="81" spans="1:60" x14ac:dyDescent="0.25">
      <c r="A81" s="1">
        <v>46140</v>
      </c>
      <c r="B81" s="33">
        <v>19.52</v>
      </c>
      <c r="C81" s="33">
        <v>24.25</v>
      </c>
      <c r="D81" s="15">
        <v>0</v>
      </c>
      <c r="E81" s="15">
        <v>0</v>
      </c>
      <c r="F81" s="33">
        <v>0</v>
      </c>
      <c r="G81" s="33">
        <v>0.26422999999999902</v>
      </c>
      <c r="H81" s="33">
        <v>0</v>
      </c>
      <c r="I81" s="33">
        <v>0.24515399999999901</v>
      </c>
      <c r="J81" s="33">
        <v>0.26422999999999902</v>
      </c>
      <c r="K81" s="33">
        <v>0.24515399999999901</v>
      </c>
      <c r="L81" s="33">
        <v>19.784230000000001</v>
      </c>
      <c r="M81" s="33">
        <v>24.495153999999999</v>
      </c>
      <c r="N81" s="34">
        <v>1.2423155737704901</v>
      </c>
      <c r="O81" s="34">
        <v>1.2388993693114601</v>
      </c>
      <c r="P81" s="34">
        <v>1.2404286146580601</v>
      </c>
      <c r="Q81" s="34">
        <v>1.23901123710609</v>
      </c>
      <c r="R81" s="33">
        <v>24.183315688959802</v>
      </c>
      <c r="S81" s="33">
        <v>24.2019836250645</v>
      </c>
      <c r="T81" s="33">
        <v>24.185120311919398</v>
      </c>
      <c r="U81" s="15">
        <v>-2.7536563304990402E-3</v>
      </c>
      <c r="V81" s="15">
        <v>-1.9820196021683402E-3</v>
      </c>
      <c r="W81" s="15">
        <v>-2.6790364705389798E-3</v>
      </c>
      <c r="X81" s="34">
        <v>1.23811510480822</v>
      </c>
      <c r="Y81" s="34">
        <v>1.23733334869304</v>
      </c>
      <c r="Z81" s="34">
        <v>1.23746496766898</v>
      </c>
      <c r="AA81" s="34">
        <v>1.2372764161357299</v>
      </c>
      <c r="AB81" s="33">
        <v>24.4796875572133</v>
      </c>
      <c r="AC81" s="33">
        <v>24.479099302615602</v>
      </c>
      <c r="AD81" s="33">
        <v>24.478127763107398</v>
      </c>
      <c r="AE81" s="15">
        <v>-6.3160769117590195E-4</v>
      </c>
      <c r="AF81" s="15">
        <v>-6.5563829468636196E-4</v>
      </c>
      <c r="AG81" s="15">
        <v>-6.9532761398087702E-4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0</v>
      </c>
      <c r="BH81" s="29"/>
    </row>
    <row r="82" spans="1:60" x14ac:dyDescent="0.25">
      <c r="A82" s="1">
        <v>46141</v>
      </c>
      <c r="B82" s="33">
        <v>19.54</v>
      </c>
      <c r="C82" s="33">
        <v>24.25</v>
      </c>
      <c r="D82" s="15">
        <v>1.0240656296901299E-3</v>
      </c>
      <c r="E82" s="15">
        <v>0</v>
      </c>
      <c r="F82" s="33">
        <v>0</v>
      </c>
      <c r="G82" s="33">
        <v>0.26422999999999902</v>
      </c>
      <c r="H82" s="33">
        <v>0</v>
      </c>
      <c r="I82" s="33">
        <v>0.24515399999999901</v>
      </c>
      <c r="J82" s="33">
        <v>0.26422999999999902</v>
      </c>
      <c r="K82" s="33">
        <v>0.24515399999999901</v>
      </c>
      <c r="L82" s="33">
        <v>19.80423</v>
      </c>
      <c r="M82" s="33">
        <v>24.495153999999999</v>
      </c>
      <c r="N82" s="34">
        <v>1.24104401228249</v>
      </c>
      <c r="O82" s="34">
        <v>1.2388993693114601</v>
      </c>
      <c r="P82" s="34">
        <v>1.2408743546701599</v>
      </c>
      <c r="Q82" s="34">
        <v>1.2390050659844301</v>
      </c>
      <c r="R82" s="33">
        <v>24.208093676346</v>
      </c>
      <c r="S82" s="33">
        <v>24.237975130418501</v>
      </c>
      <c r="T82" s="33">
        <v>24.2102795730531</v>
      </c>
      <c r="U82" s="15">
        <v>-1.7295907008089001E-3</v>
      </c>
      <c r="V82" s="15">
        <v>-4.9599389521422905E-4</v>
      </c>
      <c r="W82" s="15">
        <v>-1.63929866653042E-3</v>
      </c>
      <c r="X82" s="34">
        <v>1.2368647506113499</v>
      </c>
      <c r="Y82" s="34">
        <v>1.23733334869304</v>
      </c>
      <c r="Z82" s="34">
        <v>1.2375012847350899</v>
      </c>
      <c r="AA82" s="34">
        <v>1.23727319547478</v>
      </c>
      <c r="AB82" s="33">
        <v>24.5044342241872</v>
      </c>
      <c r="AC82" s="33">
        <v>24.507040836659101</v>
      </c>
      <c r="AD82" s="33">
        <v>24.503306718727799</v>
      </c>
      <c r="AE82" s="15">
        <v>3.7878784840820898E-4</v>
      </c>
      <c r="AF82" s="15">
        <v>4.8515528465419401E-4</v>
      </c>
      <c r="AG82" s="15">
        <v>3.3277448652568599E-4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0</v>
      </c>
      <c r="BH82" s="29"/>
    </row>
    <row r="83" spans="1:60" x14ac:dyDescent="0.25">
      <c r="A83" s="1">
        <v>46142</v>
      </c>
      <c r="B83" s="33">
        <v>19.53</v>
      </c>
      <c r="C83" s="33">
        <v>24.26</v>
      </c>
      <c r="D83" s="15">
        <v>-5.1190172604906098E-4</v>
      </c>
      <c r="E83" s="15">
        <v>4.1228613241195601E-4</v>
      </c>
      <c r="F83" s="33">
        <v>0</v>
      </c>
      <c r="G83" s="33">
        <v>0.26422999999999902</v>
      </c>
      <c r="H83" s="33">
        <v>0</v>
      </c>
      <c r="I83" s="33">
        <v>0.24515399999999901</v>
      </c>
      <c r="J83" s="33">
        <v>0.26422999999999902</v>
      </c>
      <c r="K83" s="33">
        <v>0.24515399999999901</v>
      </c>
      <c r="L83" s="33">
        <v>19.794229999999999</v>
      </c>
      <c r="M83" s="33">
        <v>24.505154000000001</v>
      </c>
      <c r="N83" s="34">
        <v>1.24219150025601</v>
      </c>
      <c r="O83" s="34">
        <v>1.2388993693114601</v>
      </c>
      <c r="P83" s="34">
        <v>1.2413716233051699</v>
      </c>
      <c r="Q83" s="34">
        <v>1.2392293950955899</v>
      </c>
      <c r="R83" s="33">
        <v>24.195704682652899</v>
      </c>
      <c r="S83" s="33">
        <v>24.2342761467083</v>
      </c>
      <c r="T83" s="33">
        <v>24.1977689386759</v>
      </c>
      <c r="U83" s="15">
        <v>-2.6537785592697901E-3</v>
      </c>
      <c r="V83" s="15">
        <v>-1.0609027600116301E-3</v>
      </c>
      <c r="W83" s="15">
        <v>-2.5684672199596599E-3</v>
      </c>
      <c r="X83" s="34">
        <v>1.23799480959855</v>
      </c>
      <c r="Y83" s="34">
        <v>1.23733334869304</v>
      </c>
      <c r="Z83" s="34">
        <v>1.2375880304739599</v>
      </c>
      <c r="AA83" s="34">
        <v>1.2372925184413801</v>
      </c>
      <c r="AB83" s="33">
        <v>24.492060890700198</v>
      </c>
      <c r="AC83" s="33">
        <v>24.495385055341998</v>
      </c>
      <c r="AD83" s="33">
        <v>24.490870204062801</v>
      </c>
      <c r="AE83" s="15">
        <v>-5.3444301438699095E-4</v>
      </c>
      <c r="AF83" s="15">
        <v>-3.9872805384287102E-4</v>
      </c>
      <c r="AG83" s="15">
        <v>-5.8305940426060603E-4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0</v>
      </c>
      <c r="BH83" s="29"/>
    </row>
    <row r="84" spans="1:60" x14ac:dyDescent="0.25">
      <c r="A84" s="1">
        <v>46143</v>
      </c>
      <c r="B84" s="33">
        <v>19.54</v>
      </c>
      <c r="C84" s="33">
        <v>24.18</v>
      </c>
      <c r="D84" s="15">
        <v>5.1190172604897804E-4</v>
      </c>
      <c r="E84" s="15">
        <v>-3.3030583292575099E-3</v>
      </c>
      <c r="F84" s="33">
        <v>0</v>
      </c>
      <c r="G84" s="33">
        <v>0.26422999999999902</v>
      </c>
      <c r="H84" s="33">
        <v>8.0202999999999997E-2</v>
      </c>
      <c r="I84" s="33">
        <v>0.32535700000000001</v>
      </c>
      <c r="J84" s="33">
        <v>0.26422999999999902</v>
      </c>
      <c r="K84" s="33">
        <v>0.32535700000000001</v>
      </c>
      <c r="L84" s="33">
        <v>19.80423</v>
      </c>
      <c r="M84" s="33">
        <v>24.505357</v>
      </c>
      <c r="N84" s="34">
        <v>1.23746161719549</v>
      </c>
      <c r="O84" s="34">
        <v>1.2388993693114601</v>
      </c>
      <c r="P84" s="34">
        <v>1.24140802518823</v>
      </c>
      <c r="Q84" s="34">
        <v>1.23925498363192</v>
      </c>
      <c r="R84" s="33">
        <v>24.208093676346</v>
      </c>
      <c r="S84" s="33">
        <v>24.256401519383001</v>
      </c>
      <c r="T84" s="33">
        <v>24.214542380167899</v>
      </c>
      <c r="U84" s="15">
        <v>1.1611814960366799E-3</v>
      </c>
      <c r="V84" s="15">
        <v>3.1547175409538798E-3</v>
      </c>
      <c r="W84" s="15">
        <v>1.4275322933134499E-3</v>
      </c>
      <c r="X84" s="34">
        <v>1.23737994357771</v>
      </c>
      <c r="Y84" s="34">
        <v>1.23733334869304</v>
      </c>
      <c r="Z84" s="34">
        <v>1.23762528414944</v>
      </c>
      <c r="AA84" s="34">
        <v>1.23731846502302</v>
      </c>
      <c r="AB84" s="33">
        <v>24.5044342241872</v>
      </c>
      <c r="AC84" s="33">
        <v>24.509478000753401</v>
      </c>
      <c r="AD84" s="33">
        <v>24.503625612492399</v>
      </c>
      <c r="AE84" s="15">
        <v>-3.76567942796871E-5</v>
      </c>
      <c r="AF84" s="15">
        <v>1.68153203537961E-4</v>
      </c>
      <c r="AG84" s="15">
        <v>-7.0655925341700298E-5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0</v>
      </c>
      <c r="BH84" s="29"/>
    </row>
    <row r="85" spans="1:60" x14ac:dyDescent="0.25">
      <c r="A85" s="1">
        <v>46146</v>
      </c>
      <c r="B85" s="33">
        <v>19.55</v>
      </c>
      <c r="C85" s="33">
        <v>24.19</v>
      </c>
      <c r="D85" s="15">
        <v>5.11639816738263E-4</v>
      </c>
      <c r="E85" s="15">
        <v>4.1347943528944199E-4</v>
      </c>
      <c r="F85" s="33">
        <v>0</v>
      </c>
      <c r="G85" s="33">
        <v>0.26422999999999902</v>
      </c>
      <c r="H85" s="33">
        <v>0</v>
      </c>
      <c r="I85" s="33">
        <v>0.32535700000000001</v>
      </c>
      <c r="J85" s="33">
        <v>0.26422999999999902</v>
      </c>
      <c r="K85" s="33">
        <v>0.32535700000000001</v>
      </c>
      <c r="L85" s="33">
        <v>19.814229999999998</v>
      </c>
      <c r="M85" s="33">
        <v>24.515357000000002</v>
      </c>
      <c r="N85" s="34">
        <v>1.23734015345268</v>
      </c>
      <c r="O85" s="34">
        <v>1.2388993693114601</v>
      </c>
      <c r="P85" s="34">
        <v>1.2410005746185899</v>
      </c>
      <c r="Q85" s="34">
        <v>1.23927449898112</v>
      </c>
      <c r="R85" s="33">
        <v>24.2204826700391</v>
      </c>
      <c r="S85" s="33">
        <v>24.269526892430001</v>
      </c>
      <c r="T85" s="33">
        <v>24.2274349300042</v>
      </c>
      <c r="U85" s="15">
        <v>1.2593418774856399E-3</v>
      </c>
      <c r="V85" s="15">
        <v>3.2822014131844899E-3</v>
      </c>
      <c r="W85" s="15">
        <v>1.5463412102594901E-3</v>
      </c>
      <c r="X85" s="34">
        <v>1.23726014081798</v>
      </c>
      <c r="Y85" s="34">
        <v>1.23733334869304</v>
      </c>
      <c r="Z85" s="34">
        <v>1.2376288878010999</v>
      </c>
      <c r="AA85" s="34">
        <v>1.2373384214666601</v>
      </c>
      <c r="AB85" s="33">
        <v>24.516807557674099</v>
      </c>
      <c r="AC85" s="33">
        <v>24.5225920339524</v>
      </c>
      <c r="AD85" s="33">
        <v>24.516512649212999</v>
      </c>
      <c r="AE85" s="15">
        <v>5.9167596928931202E-5</v>
      </c>
      <c r="AF85" s="15">
        <v>2.9507898056602301E-4</v>
      </c>
      <c r="AG85" s="15">
        <v>4.7138696589116997E-5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0</v>
      </c>
      <c r="BH85" s="29"/>
    </row>
    <row r="86" spans="1:60" x14ac:dyDescent="0.25">
      <c r="A86" s="1">
        <v>46147</v>
      </c>
      <c r="B86" s="33">
        <v>19.55</v>
      </c>
      <c r="C86" s="33">
        <v>24.19</v>
      </c>
      <c r="D86" s="15">
        <v>0</v>
      </c>
      <c r="E86" s="15">
        <v>0</v>
      </c>
      <c r="F86" s="33">
        <v>0</v>
      </c>
      <c r="G86" s="33">
        <v>0.26422999999999902</v>
      </c>
      <c r="H86" s="33">
        <v>0</v>
      </c>
      <c r="I86" s="33">
        <v>0.32535700000000001</v>
      </c>
      <c r="J86" s="33">
        <v>0.26422999999999902</v>
      </c>
      <c r="K86" s="33">
        <v>0.32535700000000001</v>
      </c>
      <c r="L86" s="33">
        <v>19.814229999999998</v>
      </c>
      <c r="M86" s="33">
        <v>24.515357000000002</v>
      </c>
      <c r="N86" s="34">
        <v>1.23734015345268</v>
      </c>
      <c r="O86" s="34">
        <v>1.2388993693114601</v>
      </c>
      <c r="P86" s="34">
        <v>1.2406054916032001</v>
      </c>
      <c r="Q86" s="34">
        <v>1.2393256498762599</v>
      </c>
      <c r="R86" s="33">
        <v>24.2204826700391</v>
      </c>
      <c r="S86" s="33">
        <v>24.261561233793401</v>
      </c>
      <c r="T86" s="33">
        <v>24.227816455080902</v>
      </c>
      <c r="U86" s="15">
        <v>1.2593418774856399E-3</v>
      </c>
      <c r="V86" s="15">
        <v>2.9539310604815099E-3</v>
      </c>
      <c r="W86" s="15">
        <v>1.56208873259677E-3</v>
      </c>
      <c r="X86" s="34">
        <v>1.23726014081798</v>
      </c>
      <c r="Y86" s="34">
        <v>1.23733334869304</v>
      </c>
      <c r="Z86" s="34">
        <v>1.23764448201819</v>
      </c>
      <c r="AA86" s="34">
        <v>1.2373896914656699</v>
      </c>
      <c r="AB86" s="33">
        <v>24.516807557674099</v>
      </c>
      <c r="AC86" s="33">
        <v>24.522663437535201</v>
      </c>
      <c r="AD86" s="33">
        <v>24.5169080707775</v>
      </c>
      <c r="AE86" s="15">
        <v>5.9167596928931202E-5</v>
      </c>
      <c r="AF86" s="15">
        <v>2.9799072328650701E-4</v>
      </c>
      <c r="AG86" s="15">
        <v>6.3267351642677395E-5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0</v>
      </c>
      <c r="BH86" s="29"/>
    </row>
    <row r="87" spans="1:60" x14ac:dyDescent="0.25">
      <c r="A87" s="1">
        <v>46148</v>
      </c>
      <c r="B87" s="33">
        <v>19.55</v>
      </c>
      <c r="C87" s="33">
        <v>24.19</v>
      </c>
      <c r="D87" s="15">
        <v>0</v>
      </c>
      <c r="E87" s="15">
        <v>0</v>
      </c>
      <c r="F87" s="33">
        <v>0</v>
      </c>
      <c r="G87" s="33">
        <v>0.26422999999999902</v>
      </c>
      <c r="H87" s="33">
        <v>0</v>
      </c>
      <c r="I87" s="33">
        <v>0.32535700000000001</v>
      </c>
      <c r="J87" s="33">
        <v>0.26422999999999902</v>
      </c>
      <c r="K87" s="33">
        <v>0.32535700000000001</v>
      </c>
      <c r="L87" s="33">
        <v>19.814229999999998</v>
      </c>
      <c r="M87" s="33">
        <v>24.515357000000002</v>
      </c>
      <c r="N87" s="34">
        <v>1.23734015345268</v>
      </c>
      <c r="O87" s="34">
        <v>1.2388993693114601</v>
      </c>
      <c r="P87" s="34">
        <v>1.2402104085878101</v>
      </c>
      <c r="Q87" s="34">
        <v>1.23929398815278</v>
      </c>
      <c r="R87" s="33">
        <v>24.2204826700391</v>
      </c>
      <c r="S87" s="33">
        <v>24.253837360842599</v>
      </c>
      <c r="T87" s="33">
        <v>24.228816455080899</v>
      </c>
      <c r="U87" s="15">
        <v>1.2593418774856399E-3</v>
      </c>
      <c r="V87" s="15">
        <v>2.63552192689431E-3</v>
      </c>
      <c r="W87" s="15">
        <v>1.60336275186255E-3</v>
      </c>
      <c r="X87" s="34">
        <v>1.23726014081798</v>
      </c>
      <c r="Y87" s="34">
        <v>1.23733334869304</v>
      </c>
      <c r="Z87" s="34">
        <v>1.2376600762352801</v>
      </c>
      <c r="AA87" s="34">
        <v>1.2373589883471501</v>
      </c>
      <c r="AB87" s="33">
        <v>24.516807557674099</v>
      </c>
      <c r="AC87" s="33">
        <v>24.522972424939301</v>
      </c>
      <c r="AD87" s="33">
        <v>24.517923946329802</v>
      </c>
      <c r="AE87" s="15">
        <v>5.9167596928931202E-5</v>
      </c>
      <c r="AF87" s="15">
        <v>3.10590719132271E-4</v>
      </c>
      <c r="AG87" s="15">
        <v>1.04702205631344E-4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0</v>
      </c>
      <c r="BH87" s="29"/>
    </row>
    <row r="88" spans="1:60" x14ac:dyDescent="0.25">
      <c r="A88" s="1">
        <v>46149</v>
      </c>
      <c r="B88" s="33">
        <v>19.55</v>
      </c>
      <c r="C88" s="33">
        <v>24.2</v>
      </c>
      <c r="D88" s="15">
        <v>0</v>
      </c>
      <c r="E88" s="15">
        <v>4.13308540704658E-4</v>
      </c>
      <c r="F88" s="33">
        <v>0</v>
      </c>
      <c r="G88" s="33">
        <v>0.26422999999999902</v>
      </c>
      <c r="H88" s="33">
        <v>0</v>
      </c>
      <c r="I88" s="33">
        <v>0.32535700000000001</v>
      </c>
      <c r="J88" s="33">
        <v>0.26422999999999902</v>
      </c>
      <c r="K88" s="33">
        <v>0.32535700000000001</v>
      </c>
      <c r="L88" s="33">
        <v>19.814229999999998</v>
      </c>
      <c r="M88" s="33">
        <v>24.525357</v>
      </c>
      <c r="N88" s="34">
        <v>1.2378516624040901</v>
      </c>
      <c r="O88" s="34">
        <v>1.2388993693114601</v>
      </c>
      <c r="P88" s="34">
        <v>1.23975159738076</v>
      </c>
      <c r="Q88" s="34">
        <v>1.23931956360035</v>
      </c>
      <c r="R88" s="33">
        <v>24.2204826700391</v>
      </c>
      <c r="S88" s="33">
        <v>24.246113487891801</v>
      </c>
      <c r="T88" s="33">
        <v>24.228197468386998</v>
      </c>
      <c r="U88" s="15">
        <v>8.4603333678089402E-4</v>
      </c>
      <c r="V88" s="15">
        <v>1.90370283593313E-3</v>
      </c>
      <c r="W88" s="15">
        <v>1.16450634331043E-3</v>
      </c>
      <c r="X88" s="34">
        <v>1.23776482861054</v>
      </c>
      <c r="Y88" s="34">
        <v>1.23733334869304</v>
      </c>
      <c r="Z88" s="34">
        <v>1.2376130069276801</v>
      </c>
      <c r="AA88" s="34">
        <v>1.23738485882453</v>
      </c>
      <c r="AB88" s="33">
        <v>24.516807557674099</v>
      </c>
      <c r="AC88" s="33">
        <v>24.523281412343401</v>
      </c>
      <c r="AD88" s="33">
        <v>24.5173155876777</v>
      </c>
      <c r="AE88" s="15">
        <v>-3.4865681356383498E-4</v>
      </c>
      <c r="AF88" s="15">
        <v>-8.4633854272652103E-5</v>
      </c>
      <c r="AG88" s="15">
        <v>-3.27935325299257E-4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0</v>
      </c>
      <c r="BH88" s="29"/>
    </row>
    <row r="89" spans="1:60" x14ac:dyDescent="0.25">
      <c r="A89" s="1">
        <v>46150</v>
      </c>
      <c r="B89" s="33">
        <v>19.55</v>
      </c>
      <c r="C89" s="33">
        <v>24.2</v>
      </c>
      <c r="D89" s="15">
        <v>0</v>
      </c>
      <c r="E89" s="15">
        <v>0</v>
      </c>
      <c r="F89" s="33">
        <v>0</v>
      </c>
      <c r="G89" s="33">
        <v>0.26422999999999902</v>
      </c>
      <c r="H89" s="33">
        <v>0</v>
      </c>
      <c r="I89" s="33">
        <v>0.32535700000000001</v>
      </c>
      <c r="J89" s="33">
        <v>0.26422999999999902</v>
      </c>
      <c r="K89" s="33">
        <v>0.32535700000000001</v>
      </c>
      <c r="L89" s="33">
        <v>19.814229999999998</v>
      </c>
      <c r="M89" s="33">
        <v>24.525357</v>
      </c>
      <c r="N89" s="34">
        <v>1.2378516624040901</v>
      </c>
      <c r="O89" s="34">
        <v>1.2388993693114601</v>
      </c>
      <c r="P89" s="34">
        <v>1.2393052062441201</v>
      </c>
      <c r="Q89" s="34">
        <v>1.23931956360035</v>
      </c>
      <c r="R89" s="33">
        <v>24.2204826700391</v>
      </c>
      <c r="S89" s="33">
        <v>24.2371437287939</v>
      </c>
      <c r="T89" s="33">
        <v>24.228697468387001</v>
      </c>
      <c r="U89" s="15">
        <v>8.4603333678089402E-4</v>
      </c>
      <c r="V89" s="15">
        <v>1.53368812507546E-3</v>
      </c>
      <c r="W89" s="15">
        <v>1.18514324134819E-3</v>
      </c>
      <c r="X89" s="34">
        <v>1.23776482861054</v>
      </c>
      <c r="Y89" s="34">
        <v>1.23733334869304</v>
      </c>
      <c r="Z89" s="34">
        <v>1.23757797930791</v>
      </c>
      <c r="AA89" s="34">
        <v>1.23738541234628</v>
      </c>
      <c r="AB89" s="33">
        <v>24.516807557674099</v>
      </c>
      <c r="AC89" s="33">
        <v>24.522348770256599</v>
      </c>
      <c r="AD89" s="33">
        <v>24.517828191266702</v>
      </c>
      <c r="AE89" s="15">
        <v>-3.4865681356383498E-4</v>
      </c>
      <c r="AF89" s="15">
        <v>-1.2266546211962999E-4</v>
      </c>
      <c r="AG89" s="15">
        <v>-3.0702772517719599E-4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0</v>
      </c>
      <c r="BH89" s="29"/>
    </row>
    <row r="90" spans="1:60" x14ac:dyDescent="0.25">
      <c r="A90" s="1">
        <v>46153</v>
      </c>
      <c r="B90" s="33">
        <v>19.55</v>
      </c>
      <c r="C90" s="33">
        <v>24.21</v>
      </c>
      <c r="D90" s="15">
        <v>0</v>
      </c>
      <c r="E90" s="15">
        <v>4.13137787326395E-4</v>
      </c>
      <c r="F90" s="33">
        <v>0</v>
      </c>
      <c r="G90" s="33">
        <v>0.26422999999999902</v>
      </c>
      <c r="H90" s="33">
        <v>0</v>
      </c>
      <c r="I90" s="33">
        <v>0.32535700000000001</v>
      </c>
      <c r="J90" s="33">
        <v>0.26422999999999902</v>
      </c>
      <c r="K90" s="33">
        <v>0.32535700000000001</v>
      </c>
      <c r="L90" s="33">
        <v>19.814229999999998</v>
      </c>
      <c r="M90" s="33">
        <v>24.535357000000001</v>
      </c>
      <c r="N90" s="34">
        <v>1.2383631713554899</v>
      </c>
      <c r="O90" s="34">
        <v>1.2388993693114601</v>
      </c>
      <c r="P90" s="34">
        <v>1.2389099660026199</v>
      </c>
      <c r="Q90" s="34">
        <v>1.23938284224989</v>
      </c>
      <c r="R90" s="33">
        <v>24.2204826700391</v>
      </c>
      <c r="S90" s="33">
        <v>24.2284167820726</v>
      </c>
      <c r="T90" s="33">
        <v>24.228697468387001</v>
      </c>
      <c r="U90" s="15">
        <v>4.32895549454491E-4</v>
      </c>
      <c r="V90" s="15">
        <v>7.6042051675270295E-4</v>
      </c>
      <c r="W90" s="15">
        <v>7.7200545402180505E-4</v>
      </c>
      <c r="X90" s="34">
        <v>1.2382695164031099</v>
      </c>
      <c r="Y90" s="34">
        <v>1.23733334869304</v>
      </c>
      <c r="Z90" s="34">
        <v>1.2375934204674</v>
      </c>
      <c r="AA90" s="34">
        <v>1.2374485178252901</v>
      </c>
      <c r="AB90" s="33">
        <v>24.516807557674099</v>
      </c>
      <c r="AC90" s="33">
        <v>24.521654724942199</v>
      </c>
      <c r="AD90" s="33">
        <v>24.5178391588741</v>
      </c>
      <c r="AE90" s="15">
        <v>-7.5631497110668E-4</v>
      </c>
      <c r="AF90" s="15">
        <v>-5.5862658292036595E-4</v>
      </c>
      <c r="AG90" s="15">
        <v>-7.1423855089310703E-4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0</v>
      </c>
      <c r="BH90" s="29"/>
    </row>
    <row r="91" spans="1:60" x14ac:dyDescent="0.25">
      <c r="A91" s="1">
        <v>46154</v>
      </c>
      <c r="B91" s="33">
        <v>19.559999999999999</v>
      </c>
      <c r="C91" s="33">
        <v>24.2</v>
      </c>
      <c r="D91" s="15">
        <v>5.1137817529635203E-4</v>
      </c>
      <c r="E91" s="15">
        <v>-4.1313778732649501E-4</v>
      </c>
      <c r="F91" s="33">
        <v>0</v>
      </c>
      <c r="G91" s="33">
        <v>0.26422999999999902</v>
      </c>
      <c r="H91" s="33">
        <v>0</v>
      </c>
      <c r="I91" s="33">
        <v>0.32535700000000001</v>
      </c>
      <c r="J91" s="33">
        <v>0.26422999999999902</v>
      </c>
      <c r="K91" s="33">
        <v>0.32535700000000001</v>
      </c>
      <c r="L91" s="33">
        <v>19.82423</v>
      </c>
      <c r="M91" s="33">
        <v>24.525357</v>
      </c>
      <c r="N91" s="34">
        <v>1.2372188139059299</v>
      </c>
      <c r="O91" s="34">
        <v>1.2388993693114601</v>
      </c>
      <c r="P91" s="34">
        <v>1.2384002900161599</v>
      </c>
      <c r="Q91" s="34">
        <v>1.23941445233711</v>
      </c>
      <c r="R91" s="33">
        <v>24.232871663732301</v>
      </c>
      <c r="S91" s="33">
        <v>24.233078935011299</v>
      </c>
      <c r="T91" s="33">
        <v>24.242328394407799</v>
      </c>
      <c r="U91" s="15">
        <v>1.3574115120773399E-3</v>
      </c>
      <c r="V91" s="15">
        <v>1.3659647861373101E-3</v>
      </c>
      <c r="W91" s="15">
        <v>1.7475793003157399E-3</v>
      </c>
      <c r="X91" s="34">
        <v>1.23714045892324</v>
      </c>
      <c r="Y91" s="34">
        <v>1.23733334869304</v>
      </c>
      <c r="Z91" s="34">
        <v>1.2374959558789</v>
      </c>
      <c r="AA91" s="34">
        <v>1.2374804617739401</v>
      </c>
      <c r="AB91" s="33">
        <v>24.529180891161001</v>
      </c>
      <c r="AC91" s="33">
        <v>24.534336613832401</v>
      </c>
      <c r="AD91" s="33">
        <v>24.531464030527701</v>
      </c>
      <c r="AE91" s="15">
        <v>1.55903666946801E-4</v>
      </c>
      <c r="AF91" s="15">
        <v>3.6606889571876499E-4</v>
      </c>
      <c r="AG91" s="15">
        <v>2.4897783553861399E-4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0</v>
      </c>
      <c r="BH91" s="29"/>
    </row>
    <row r="92" spans="1:60" x14ac:dyDescent="0.25">
      <c r="A92" s="1">
        <v>46155</v>
      </c>
      <c r="B92" s="33">
        <v>19.57</v>
      </c>
      <c r="C92" s="33">
        <v>24.21</v>
      </c>
      <c r="D92" s="15">
        <v>5.1111680131376799E-4</v>
      </c>
      <c r="E92" s="15">
        <v>4.13137787326395E-4</v>
      </c>
      <c r="F92" s="33">
        <v>0</v>
      </c>
      <c r="G92" s="33">
        <v>0.26422999999999902</v>
      </c>
      <c r="H92" s="33">
        <v>0</v>
      </c>
      <c r="I92" s="33">
        <v>0.32535700000000001</v>
      </c>
      <c r="J92" s="33">
        <v>0.26422999999999902</v>
      </c>
      <c r="K92" s="33">
        <v>0.32535700000000001</v>
      </c>
      <c r="L92" s="33">
        <v>19.834230000000002</v>
      </c>
      <c r="M92" s="33">
        <v>24.535357000000001</v>
      </c>
      <c r="N92" s="34">
        <v>1.23709759836484</v>
      </c>
      <c r="O92" s="34">
        <v>1.2388993693114601</v>
      </c>
      <c r="P92" s="34">
        <v>1.2380056486244</v>
      </c>
      <c r="Q92" s="34">
        <v>1.23944000164728</v>
      </c>
      <c r="R92" s="33">
        <v>24.245260657425401</v>
      </c>
      <c r="S92" s="33">
        <v>24.2354936756164</v>
      </c>
      <c r="T92" s="33">
        <v>24.255340832237302</v>
      </c>
      <c r="U92" s="15">
        <v>1.45539052606444E-3</v>
      </c>
      <c r="V92" s="15">
        <v>1.0524684974982199E-3</v>
      </c>
      <c r="W92" s="15">
        <v>1.8710626887779901E-3</v>
      </c>
      <c r="X92" s="34">
        <v>1.23702089771067</v>
      </c>
      <c r="Y92" s="34">
        <v>1.23733334869304</v>
      </c>
      <c r="Z92" s="34">
        <v>1.23751157058883</v>
      </c>
      <c r="AA92" s="34">
        <v>1.2375064276619601</v>
      </c>
      <c r="AB92" s="33">
        <v>24.5415542246479</v>
      </c>
      <c r="AC92" s="33">
        <v>24.544779412972002</v>
      </c>
      <c r="AD92" s="33">
        <v>24.544472099330601</v>
      </c>
      <c r="AE92" s="15">
        <v>2.5255153701768802E-4</v>
      </c>
      <c r="AF92" s="15">
        <v>3.8396034634119501E-4</v>
      </c>
      <c r="AG92" s="15">
        <v>3.7143973818620503E-4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0</v>
      </c>
      <c r="BH92" s="29"/>
    </row>
    <row r="93" spans="1:60" x14ac:dyDescent="0.25">
      <c r="A93" s="1">
        <v>46156</v>
      </c>
      <c r="B93" s="33">
        <v>19.559999999999999</v>
      </c>
      <c r="C93" s="33">
        <v>24.21</v>
      </c>
      <c r="D93" s="15">
        <v>-5.1111680131371996E-4</v>
      </c>
      <c r="E93" s="15">
        <v>0</v>
      </c>
      <c r="F93" s="33">
        <v>0</v>
      </c>
      <c r="G93" s="33">
        <v>0.26422999999999902</v>
      </c>
      <c r="H93" s="33">
        <v>0</v>
      </c>
      <c r="I93" s="33">
        <v>0.32535700000000001</v>
      </c>
      <c r="J93" s="33">
        <v>0.26422999999999902</v>
      </c>
      <c r="K93" s="33">
        <v>0.32535700000000001</v>
      </c>
      <c r="L93" s="33">
        <v>19.82423</v>
      </c>
      <c r="M93" s="33">
        <v>24.535357000000001</v>
      </c>
      <c r="N93" s="34">
        <v>1.23773006134969</v>
      </c>
      <c r="O93" s="34">
        <v>1.2388993693114601</v>
      </c>
      <c r="P93" s="34">
        <v>1.23755950473377</v>
      </c>
      <c r="Q93" s="34">
        <v>1.2394655640194701</v>
      </c>
      <c r="R93" s="33">
        <v>24.232871663732301</v>
      </c>
      <c r="S93" s="33">
        <v>24.215390487093298</v>
      </c>
      <c r="T93" s="33">
        <v>24.2434464322208</v>
      </c>
      <c r="U93" s="15">
        <v>9.4427372475070295E-4</v>
      </c>
      <c r="V93" s="15">
        <v>2.2263061015560299E-4</v>
      </c>
      <c r="W93" s="15">
        <v>1.38055969165814E-3</v>
      </c>
      <c r="X93" s="34">
        <v>1.23764489213452</v>
      </c>
      <c r="Y93" s="34">
        <v>1.23733334869304</v>
      </c>
      <c r="Z93" s="34">
        <v>1.23747657884243</v>
      </c>
      <c r="AA93" s="34">
        <v>1.2375323046581901</v>
      </c>
      <c r="AB93" s="33">
        <v>24.529180891161001</v>
      </c>
      <c r="AC93" s="33">
        <v>24.532714003014298</v>
      </c>
      <c r="AD93" s="33">
        <v>24.532612048449199</v>
      </c>
      <c r="AE93" s="15">
        <v>-2.5175449059604499E-4</v>
      </c>
      <c r="AF93" s="15">
        <v>-1.0772777222400599E-4</v>
      </c>
      <c r="AG93" s="15">
        <v>-1.1188364250237099E-4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0</v>
      </c>
      <c r="BH93" s="29"/>
    </row>
    <row r="94" spans="1:60" x14ac:dyDescent="0.25">
      <c r="A94" s="1">
        <v>46157</v>
      </c>
      <c r="B94" s="33">
        <v>19.579999999999998</v>
      </c>
      <c r="C94" s="33">
        <v>24.21</v>
      </c>
      <c r="D94" s="15">
        <v>1.0219724956929601E-3</v>
      </c>
      <c r="E94" s="15">
        <v>0</v>
      </c>
      <c r="F94" s="33">
        <v>0</v>
      </c>
      <c r="G94" s="33">
        <v>0.26422999999999902</v>
      </c>
      <c r="H94" s="33">
        <v>0</v>
      </c>
      <c r="I94" s="33">
        <v>0.32535700000000001</v>
      </c>
      <c r="J94" s="33">
        <v>0.26422999999999902</v>
      </c>
      <c r="K94" s="33">
        <v>0.32535700000000001</v>
      </c>
      <c r="L94" s="33">
        <v>19.84423</v>
      </c>
      <c r="M94" s="33">
        <v>24.535357000000001</v>
      </c>
      <c r="N94" s="34">
        <v>1.2364657814096001</v>
      </c>
      <c r="O94" s="34">
        <v>1.2388993693114601</v>
      </c>
      <c r="P94" s="34">
        <v>1.23745992115518</v>
      </c>
      <c r="Q94" s="34">
        <v>1.2394339731716999</v>
      </c>
      <c r="R94" s="33">
        <v>24.257649651118498</v>
      </c>
      <c r="S94" s="33">
        <v>24.231415102687201</v>
      </c>
      <c r="T94" s="33">
        <v>24.2687357435012</v>
      </c>
      <c r="U94" s="15">
        <v>1.9662462204438399E-3</v>
      </c>
      <c r="V94" s="15">
        <v>8.8416509042618099E-4</v>
      </c>
      <c r="W94" s="15">
        <v>2.42315610505344E-3</v>
      </c>
      <c r="X94" s="34">
        <v>1.2363975321793701</v>
      </c>
      <c r="Y94" s="34">
        <v>1.23733334869304</v>
      </c>
      <c r="Z94" s="34">
        <v>1.23737833770259</v>
      </c>
      <c r="AA94" s="34">
        <v>1.2375018109260201</v>
      </c>
      <c r="AB94" s="33">
        <v>24.553927558134902</v>
      </c>
      <c r="AC94" s="33">
        <v>24.556769850162301</v>
      </c>
      <c r="AD94" s="33">
        <v>24.557875686067302</v>
      </c>
      <c r="AE94" s="15">
        <v>7.5660336824898405E-4</v>
      </c>
      <c r="AF94" s="15">
        <v>8.7235379251984497E-4</v>
      </c>
      <c r="AG94" s="15">
        <v>9.1738459313425301E-4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0</v>
      </c>
      <c r="BH94" s="29"/>
    </row>
    <row r="95" spans="1:60" x14ac:dyDescent="0.25">
      <c r="A95" s="1">
        <v>46160</v>
      </c>
      <c r="B95" s="33">
        <v>19.510000000000002</v>
      </c>
      <c r="C95" s="33">
        <v>24.21</v>
      </c>
      <c r="D95" s="15">
        <v>-3.5814824673443099E-3</v>
      </c>
      <c r="E95" s="15">
        <v>0</v>
      </c>
      <c r="F95" s="33">
        <v>6.6110000000000002E-2</v>
      </c>
      <c r="G95" s="33">
        <v>0.33033999999999902</v>
      </c>
      <c r="H95" s="33">
        <v>0</v>
      </c>
      <c r="I95" s="33">
        <v>0.32535700000000001</v>
      </c>
      <c r="J95" s="33">
        <v>0.33033999999999902</v>
      </c>
      <c r="K95" s="33">
        <v>0.32535700000000001</v>
      </c>
      <c r="L95" s="33">
        <v>19.840340000000001</v>
      </c>
      <c r="M95" s="33">
        <v>24.535357000000001</v>
      </c>
      <c r="N95" s="34">
        <v>1.2409021014864099</v>
      </c>
      <c r="O95" s="34">
        <v>1.2388993693114601</v>
      </c>
      <c r="P95" s="34">
        <v>1.2378161159585499</v>
      </c>
      <c r="Q95" s="34">
        <v>1.23940834528857</v>
      </c>
      <c r="R95" s="33">
        <v>24.170926695266701</v>
      </c>
      <c r="S95" s="33">
        <v>24.142843061737501</v>
      </c>
      <c r="T95" s="33">
        <v>24.181356816579999</v>
      </c>
      <c r="U95" s="15">
        <v>-1.6152362469004E-3</v>
      </c>
      <c r="V95" s="15">
        <v>-2.77778832401584E-3</v>
      </c>
      <c r="W95" s="15">
        <v>-1.1838141622519699E-3</v>
      </c>
      <c r="X95" s="34">
        <v>1.23663994669446</v>
      </c>
      <c r="Y95" s="34">
        <v>1.23733334869304</v>
      </c>
      <c r="Z95" s="34">
        <v>1.23731631829024</v>
      </c>
      <c r="AA95" s="34">
        <v>1.23747260304567</v>
      </c>
      <c r="AB95" s="33">
        <v>24.5491143314085</v>
      </c>
      <c r="AC95" s="33">
        <v>24.550006928654302</v>
      </c>
      <c r="AD95" s="33">
        <v>24.552456679388001</v>
      </c>
      <c r="AE95" s="15">
        <v>5.6055739811712503E-4</v>
      </c>
      <c r="AF95" s="15">
        <v>5.9691638879070001E-4</v>
      </c>
      <c r="AG95" s="15">
        <v>6.9669756291717904E-4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0</v>
      </c>
      <c r="BH95" s="29"/>
    </row>
    <row r="96" spans="1:60" x14ac:dyDescent="0.25">
      <c r="A96" s="1">
        <v>46161</v>
      </c>
      <c r="B96" s="33">
        <v>19.5</v>
      </c>
      <c r="C96" s="33">
        <v>24.22</v>
      </c>
      <c r="D96" s="15">
        <v>-5.1268906531883398E-4</v>
      </c>
      <c r="E96" s="15">
        <v>4.12967174978938E-4</v>
      </c>
      <c r="F96" s="33">
        <v>0</v>
      </c>
      <c r="G96" s="33">
        <v>0.33033999999999902</v>
      </c>
      <c r="H96" s="33">
        <v>0</v>
      </c>
      <c r="I96" s="33">
        <v>0.32535700000000001</v>
      </c>
      <c r="J96" s="33">
        <v>0.33033999999999902</v>
      </c>
      <c r="K96" s="33">
        <v>0.32535700000000001</v>
      </c>
      <c r="L96" s="33">
        <v>19.83034</v>
      </c>
      <c r="M96" s="33">
        <v>24.545356999999999</v>
      </c>
      <c r="N96" s="34">
        <v>1.2420512820512799</v>
      </c>
      <c r="O96" s="34">
        <v>1.2388993693114601</v>
      </c>
      <c r="P96" s="34">
        <v>1.2382872288184099</v>
      </c>
      <c r="Q96" s="34">
        <v>1.2394463602107999</v>
      </c>
      <c r="R96" s="33">
        <v>24.1585377015736</v>
      </c>
      <c r="S96" s="33">
        <v>24.1374142611918</v>
      </c>
      <c r="T96" s="33">
        <v>24.1684627331271</v>
      </c>
      <c r="U96" s="15">
        <v>-2.5408924871983202E-3</v>
      </c>
      <c r="V96" s="15">
        <v>-3.41564247639203E-3</v>
      </c>
      <c r="W96" s="15">
        <v>-2.13014770255144E-3</v>
      </c>
      <c r="X96" s="34">
        <v>1.2377678345404</v>
      </c>
      <c r="Y96" s="34">
        <v>1.23733334869304</v>
      </c>
      <c r="Z96" s="34">
        <v>1.23736708766248</v>
      </c>
      <c r="AA96" s="34">
        <v>1.2375057848403399</v>
      </c>
      <c r="AB96" s="33">
        <v>24.536740997921498</v>
      </c>
      <c r="AC96" s="33">
        <v>24.5364032792438</v>
      </c>
      <c r="AD96" s="33">
        <v>24.539502459080701</v>
      </c>
      <c r="AE96" s="15">
        <v>-3.5108532513387301E-4</v>
      </c>
      <c r="AF96" s="15">
        <v>-3.6484921504720302E-4</v>
      </c>
      <c r="AG96" s="15">
        <v>-2.3854773188666201E-4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0</v>
      </c>
      <c r="BH96" s="29"/>
    </row>
    <row r="97" spans="1:60" x14ac:dyDescent="0.25">
      <c r="A97" s="1">
        <v>46162</v>
      </c>
      <c r="B97" s="33">
        <v>19.5</v>
      </c>
      <c r="C97" s="33">
        <v>24.22</v>
      </c>
      <c r="D97" s="15">
        <v>0</v>
      </c>
      <c r="E97" s="15">
        <v>0</v>
      </c>
      <c r="F97" s="33">
        <v>0</v>
      </c>
      <c r="G97" s="33">
        <v>0.33033999999999902</v>
      </c>
      <c r="H97" s="33">
        <v>0</v>
      </c>
      <c r="I97" s="33">
        <v>0.32535700000000001</v>
      </c>
      <c r="J97" s="33">
        <v>0.33033999999999902</v>
      </c>
      <c r="K97" s="33">
        <v>0.32535700000000001</v>
      </c>
      <c r="L97" s="33">
        <v>19.83034</v>
      </c>
      <c r="M97" s="33">
        <v>24.545356999999999</v>
      </c>
      <c r="N97" s="34">
        <v>1.2420512820512799</v>
      </c>
      <c r="O97" s="34">
        <v>1.2388993693114601</v>
      </c>
      <c r="P97" s="34">
        <v>1.2387583416782699</v>
      </c>
      <c r="Q97" s="34">
        <v>1.23948437513304</v>
      </c>
      <c r="R97" s="33">
        <v>24.1585377015736</v>
      </c>
      <c r="S97" s="33">
        <v>24.146600961958999</v>
      </c>
      <c r="T97" s="33">
        <v>24.169204024110702</v>
      </c>
      <c r="U97" s="15">
        <v>-2.5408924871983202E-3</v>
      </c>
      <c r="V97" s="15">
        <v>-3.0351148489501101E-3</v>
      </c>
      <c r="W97" s="15">
        <v>-2.0994763427860199E-3</v>
      </c>
      <c r="X97" s="34">
        <v>1.2377678345404</v>
      </c>
      <c r="Y97" s="34">
        <v>1.23733334869304</v>
      </c>
      <c r="Z97" s="34">
        <v>1.2374178570347301</v>
      </c>
      <c r="AA97" s="34">
        <v>1.2375389666350001</v>
      </c>
      <c r="AB97" s="33">
        <v>24.536740997921498</v>
      </c>
      <c r="AC97" s="33">
        <v>24.537410053156901</v>
      </c>
      <c r="AD97" s="33">
        <v>24.540160465350802</v>
      </c>
      <c r="AE97" s="15">
        <v>-3.5108532513387301E-4</v>
      </c>
      <c r="AF97" s="15">
        <v>-3.2381821114011897E-4</v>
      </c>
      <c r="AG97" s="15">
        <v>-2.1173392629588499E-4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0</v>
      </c>
      <c r="BE97" s="29">
        <f t="shared" si="42"/>
        <v>0</v>
      </c>
      <c r="BF97" s="29">
        <f t="shared" si="43"/>
        <v>0</v>
      </c>
      <c r="BH97" s="29"/>
    </row>
    <row r="98" spans="1:60" x14ac:dyDescent="0.25">
      <c r="A98" s="1">
        <v>46163</v>
      </c>
      <c r="B98" s="33">
        <v>19.510000000000002</v>
      </c>
      <c r="C98" s="33">
        <v>24.22</v>
      </c>
      <c r="D98" s="15">
        <v>5.1268906531885599E-4</v>
      </c>
      <c r="E98" s="15">
        <v>0</v>
      </c>
      <c r="F98" s="33">
        <v>0</v>
      </c>
      <c r="G98" s="33">
        <v>0.33033999999999902</v>
      </c>
      <c r="H98" s="33">
        <v>0</v>
      </c>
      <c r="I98" s="33">
        <v>0.32535700000000001</v>
      </c>
      <c r="J98" s="33">
        <v>0.33033999999999902</v>
      </c>
      <c r="K98" s="33">
        <v>0.32535700000000001</v>
      </c>
      <c r="L98" s="33">
        <v>19.840340000000001</v>
      </c>
      <c r="M98" s="33">
        <v>24.545356999999999</v>
      </c>
      <c r="N98" s="34">
        <v>1.2414146591491499</v>
      </c>
      <c r="O98" s="34">
        <v>1.2388993693114601</v>
      </c>
      <c r="P98" s="34">
        <v>1.2391146413527701</v>
      </c>
      <c r="Q98" s="34">
        <v>1.23943311936677</v>
      </c>
      <c r="R98" s="33">
        <v>24.170926695266701</v>
      </c>
      <c r="S98" s="33">
        <v>24.1681752461431</v>
      </c>
      <c r="T98" s="33">
        <v>24.182340158845701</v>
      </c>
      <c r="U98" s="15">
        <v>-2.02820342187942E-3</v>
      </c>
      <c r="V98" s="15">
        <v>-2.1420429023862701E-3</v>
      </c>
      <c r="W98" s="15">
        <v>-1.5561168584055101E-3</v>
      </c>
      <c r="X98" s="34">
        <v>1.23714397031502</v>
      </c>
      <c r="Y98" s="34">
        <v>1.23733334869304</v>
      </c>
      <c r="Z98" s="34">
        <v>1.2373557712051699</v>
      </c>
      <c r="AA98" s="34">
        <v>1.23748438906642</v>
      </c>
      <c r="AB98" s="33">
        <v>24.5491143314085</v>
      </c>
      <c r="AC98" s="33">
        <v>24.550791005640399</v>
      </c>
      <c r="AD98" s="33">
        <v>24.553193861287099</v>
      </c>
      <c r="AE98" s="15">
        <v>1.53065358030981E-4</v>
      </c>
      <c r="AF98" s="15">
        <v>2.2136179245734499E-4</v>
      </c>
      <c r="AG98" s="15">
        <v>3.1922984349874403E-4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</v>
      </c>
      <c r="AT98" s="12"/>
      <c r="AU98">
        <f t="shared" si="30"/>
        <v>0</v>
      </c>
      <c r="AV98">
        <f t="shared" si="31"/>
        <v>0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0</v>
      </c>
      <c r="BE98" s="29">
        <f t="shared" si="42"/>
        <v>0</v>
      </c>
      <c r="BF98" s="29">
        <f t="shared" si="43"/>
        <v>0</v>
      </c>
      <c r="BH98" s="29"/>
    </row>
    <row r="99" spans="1:60" x14ac:dyDescent="0.25">
      <c r="A99" s="1">
        <v>46164</v>
      </c>
      <c r="B99" s="33">
        <v>19.52</v>
      </c>
      <c r="C99" s="33">
        <v>24.24</v>
      </c>
      <c r="D99" s="15">
        <v>5.1242634992647198E-4</v>
      </c>
      <c r="E99" s="15">
        <v>8.2542307616742105E-4</v>
      </c>
      <c r="F99" s="33">
        <v>0</v>
      </c>
      <c r="G99" s="33">
        <v>0.33033999999999902</v>
      </c>
      <c r="H99" s="33">
        <v>0</v>
      </c>
      <c r="I99" s="33">
        <v>0.32535700000000001</v>
      </c>
      <c r="J99" s="33">
        <v>0.33033999999999902</v>
      </c>
      <c r="K99" s="33">
        <v>0.32535700000000001</v>
      </c>
      <c r="L99" s="33">
        <v>19.850339999999999</v>
      </c>
      <c r="M99" s="33">
        <v>24.565356999999999</v>
      </c>
      <c r="N99" s="34">
        <v>1.24180327868852</v>
      </c>
      <c r="O99" s="34">
        <v>1.2388993693114601</v>
      </c>
      <c r="P99" s="34">
        <v>1.2395098029812199</v>
      </c>
      <c r="Q99" s="34">
        <v>1.23940750461267</v>
      </c>
      <c r="R99" s="33">
        <v>24.183315688959802</v>
      </c>
      <c r="S99" s="33">
        <v>24.187517799206201</v>
      </c>
      <c r="T99" s="33">
        <v>24.193734490039301</v>
      </c>
      <c r="U99" s="15">
        <v>-2.3412001481204802E-3</v>
      </c>
      <c r="V99" s="15">
        <v>-2.1674545268873099E-3</v>
      </c>
      <c r="W99" s="15">
        <v>-1.9104669305281101E-3</v>
      </c>
      <c r="X99" s="34">
        <v>1.2375282740749001</v>
      </c>
      <c r="Y99" s="34">
        <v>1.23733334869304</v>
      </c>
      <c r="Z99" s="34">
        <v>1.23733211575161</v>
      </c>
      <c r="AA99" s="34">
        <v>1.2374550475297601</v>
      </c>
      <c r="AB99" s="33">
        <v>24.561487664895399</v>
      </c>
      <c r="AC99" s="33">
        <v>24.561932759384899</v>
      </c>
      <c r="AD99" s="33">
        <v>24.564485867660899</v>
      </c>
      <c r="AE99" s="15">
        <v>-1.5752426759586499E-4</v>
      </c>
      <c r="AF99" s="15">
        <v>-1.39402789663994E-4</v>
      </c>
      <c r="AG99" s="15">
        <v>-3.54624516722461E-5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0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0</v>
      </c>
      <c r="BE99" s="29">
        <f t="shared" si="42"/>
        <v>0</v>
      </c>
      <c r="BF99" s="29">
        <f t="shared" si="43"/>
        <v>0</v>
      </c>
      <c r="BH99" s="29"/>
    </row>
    <row r="100" spans="1:60" x14ac:dyDescent="0.25">
      <c r="A100" s="1">
        <v>46168</v>
      </c>
      <c r="B100" s="33">
        <v>19.53</v>
      </c>
      <c r="C100" s="33">
        <v>24.23</v>
      </c>
      <c r="D100" s="15">
        <v>5.1216390364129801E-4</v>
      </c>
      <c r="E100" s="15">
        <v>-4.1262637267930102E-4</v>
      </c>
      <c r="F100" s="33">
        <v>0</v>
      </c>
      <c r="G100" s="33">
        <v>0.33033999999999902</v>
      </c>
      <c r="H100" s="33">
        <v>0</v>
      </c>
      <c r="I100" s="33">
        <v>0.32535700000000001</v>
      </c>
      <c r="J100" s="33">
        <v>0.33033999999999902</v>
      </c>
      <c r="K100" s="33">
        <v>0.32535700000000001</v>
      </c>
      <c r="L100" s="33">
        <v>19.860340000000001</v>
      </c>
      <c r="M100" s="33">
        <v>24.555357000000001</v>
      </c>
      <c r="N100" s="34">
        <v>1.2406554019457201</v>
      </c>
      <c r="O100" s="34">
        <v>1.2388993693114601</v>
      </c>
      <c r="P100" s="34">
        <v>1.2397390260402401</v>
      </c>
      <c r="Q100" s="34">
        <v>1.23932449602143</v>
      </c>
      <c r="R100" s="33">
        <v>24.195704682652899</v>
      </c>
      <c r="S100" s="33">
        <v>24.207626452223199</v>
      </c>
      <c r="T100" s="33">
        <v>24.205628565085501</v>
      </c>
      <c r="U100" s="15">
        <v>-1.41640987180001E-3</v>
      </c>
      <c r="V100" s="15">
        <v>-9.2380865895482097E-4</v>
      </c>
      <c r="W100" s="15">
        <v>-1.0063433754573599E-3</v>
      </c>
      <c r="X100" s="34">
        <v>1.23640164267077</v>
      </c>
      <c r="Y100" s="34">
        <v>1.23733334869304</v>
      </c>
      <c r="Z100" s="34">
        <v>1.23714532837837</v>
      </c>
      <c r="AA100" s="34">
        <v>1.23736937442289</v>
      </c>
      <c r="AB100" s="33">
        <v>24.573860998382301</v>
      </c>
      <c r="AC100" s="33">
        <v>24.5738365117464</v>
      </c>
      <c r="AD100" s="33">
        <v>24.576277978657199</v>
      </c>
      <c r="AE100" s="15">
        <v>7.5327880276654803E-4</v>
      </c>
      <c r="AF100" s="15">
        <v>7.5228235177465905E-4</v>
      </c>
      <c r="AG100" s="15">
        <v>8.5162970582195504E-4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0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0</v>
      </c>
      <c r="BE100" s="29">
        <f t="shared" si="42"/>
        <v>0</v>
      </c>
      <c r="BF100" s="29">
        <f t="shared" si="43"/>
        <v>0</v>
      </c>
      <c r="BH100" s="29"/>
    </row>
    <row r="101" spans="1:60" x14ac:dyDescent="0.25">
      <c r="A101" s="1">
        <v>46169</v>
      </c>
      <c r="B101" s="33">
        <v>19.53</v>
      </c>
      <c r="C101" s="33">
        <v>24.24</v>
      </c>
      <c r="D101" s="15">
        <v>0</v>
      </c>
      <c r="E101" s="15">
        <v>4.1262637267935502E-4</v>
      </c>
      <c r="F101" s="33">
        <v>0</v>
      </c>
      <c r="G101" s="33">
        <v>0.33033999999999902</v>
      </c>
      <c r="H101" s="33">
        <v>0</v>
      </c>
      <c r="I101" s="33">
        <v>0.32535700000000001</v>
      </c>
      <c r="J101" s="33">
        <v>0.33033999999999902</v>
      </c>
      <c r="K101" s="33">
        <v>0.32535700000000001</v>
      </c>
      <c r="L101" s="33">
        <v>19.860340000000001</v>
      </c>
      <c r="M101" s="33">
        <v>24.565356999999999</v>
      </c>
      <c r="N101" s="34">
        <v>1.2411674347158199</v>
      </c>
      <c r="O101" s="34">
        <v>1.2388993693114601</v>
      </c>
      <c r="P101" s="34">
        <v>1.24013388812123</v>
      </c>
      <c r="Q101" s="34">
        <v>1.2392670890687001</v>
      </c>
      <c r="R101" s="33">
        <v>24.195704682652899</v>
      </c>
      <c r="S101" s="33">
        <v>24.212103178565901</v>
      </c>
      <c r="T101" s="33">
        <v>24.204007407298601</v>
      </c>
      <c r="U101" s="15">
        <v>-1.8290362444792899E-3</v>
      </c>
      <c r="V101" s="15">
        <v>-1.15152171676823E-3</v>
      </c>
      <c r="W101" s="15">
        <v>-1.48594640494994E-3</v>
      </c>
      <c r="X101" s="34">
        <v>1.2369051587233599</v>
      </c>
      <c r="Y101" s="34">
        <v>1.23733334869304</v>
      </c>
      <c r="Z101" s="34">
        <v>1.23712179835839</v>
      </c>
      <c r="AA101" s="34">
        <v>1.23730887711864</v>
      </c>
      <c r="AB101" s="33">
        <v>24.573860998382301</v>
      </c>
      <c r="AC101" s="33">
        <v>24.570126851006201</v>
      </c>
      <c r="AD101" s="33">
        <v>24.5745764816259</v>
      </c>
      <c r="AE101" s="15">
        <v>3.4611859177500402E-4</v>
      </c>
      <c r="AF101" s="15">
        <v>1.9415097389580201E-4</v>
      </c>
      <c r="AG101" s="15">
        <v>3.7523378974604898E-4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0</v>
      </c>
      <c r="AT101" s="12"/>
      <c r="AU101">
        <f t="shared" si="30"/>
        <v>0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0</v>
      </c>
      <c r="BE101" s="29">
        <f t="shared" si="42"/>
        <v>0</v>
      </c>
      <c r="BF101" s="29">
        <f t="shared" si="43"/>
        <v>0</v>
      </c>
      <c r="BH101" s="29"/>
    </row>
    <row r="102" spans="1:60" x14ac:dyDescent="0.25">
      <c r="A102" s="1">
        <v>46170</v>
      </c>
      <c r="B102" s="33">
        <v>19.53</v>
      </c>
      <c r="C102" s="33">
        <v>24.25</v>
      </c>
      <c r="D102" s="15">
        <v>0</v>
      </c>
      <c r="E102" s="15">
        <v>4.1245618237846401E-4</v>
      </c>
      <c r="F102" s="33">
        <v>0</v>
      </c>
      <c r="G102" s="33">
        <v>0.33033999999999902</v>
      </c>
      <c r="H102" s="33">
        <v>0</v>
      </c>
      <c r="I102" s="33">
        <v>0.32535700000000001</v>
      </c>
      <c r="J102" s="33">
        <v>0.33033999999999902</v>
      </c>
      <c r="K102" s="33">
        <v>0.32535700000000001</v>
      </c>
      <c r="L102" s="33">
        <v>19.860340000000001</v>
      </c>
      <c r="M102" s="33">
        <v>24.575357</v>
      </c>
      <c r="N102" s="34">
        <v>1.24167946748591</v>
      </c>
      <c r="O102" s="34">
        <v>1.2388993693114601</v>
      </c>
      <c r="P102" s="34">
        <v>1.2405920750333399</v>
      </c>
      <c r="Q102" s="34">
        <v>1.2392988618288701</v>
      </c>
      <c r="R102" s="33">
        <v>24.195704682652899</v>
      </c>
      <c r="S102" s="33">
        <v>24.2198148350077</v>
      </c>
      <c r="T102" s="33">
        <v>24.2028862495117</v>
      </c>
      <c r="U102" s="15">
        <v>-2.2414924268578502E-3</v>
      </c>
      <c r="V102" s="15">
        <v>-1.2455244154452099E-3</v>
      </c>
      <c r="W102" s="15">
        <v>-1.9447248237867E-3</v>
      </c>
      <c r="X102" s="34">
        <v>1.2374086747759601</v>
      </c>
      <c r="Y102" s="34">
        <v>1.23733334869304</v>
      </c>
      <c r="Z102" s="34">
        <v>1.23716057606492</v>
      </c>
      <c r="AA102" s="34">
        <v>1.2373360733268699</v>
      </c>
      <c r="AB102" s="33">
        <v>24.573860998382301</v>
      </c>
      <c r="AC102" s="33">
        <v>24.569659536808999</v>
      </c>
      <c r="AD102" s="33">
        <v>24.573374984594501</v>
      </c>
      <c r="AE102" s="15">
        <v>-6.08759072482905E-5</v>
      </c>
      <c r="AF102" s="15">
        <v>-2.3186331465204101E-4</v>
      </c>
      <c r="AG102" s="15">
        <v>-8.0653775854545704E-5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0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0</v>
      </c>
      <c r="BE102" s="29">
        <f t="shared" si="42"/>
        <v>0</v>
      </c>
      <c r="BF102" s="29">
        <f t="shared" si="43"/>
        <v>0</v>
      </c>
      <c r="BH102" s="29"/>
    </row>
    <row r="103" spans="1:60" x14ac:dyDescent="0.25">
      <c r="A103" s="1">
        <v>46171</v>
      </c>
      <c r="B103" s="33">
        <v>19.53</v>
      </c>
      <c r="C103" s="33">
        <v>24.25</v>
      </c>
      <c r="D103" s="15">
        <v>0</v>
      </c>
      <c r="E103" s="15">
        <v>0</v>
      </c>
      <c r="F103" s="33">
        <v>0</v>
      </c>
      <c r="G103" s="33">
        <v>0.33033999999999902</v>
      </c>
      <c r="H103" s="33">
        <v>0</v>
      </c>
      <c r="I103" s="33">
        <v>0.32535700000000001</v>
      </c>
      <c r="J103" s="33">
        <v>0.33033999999999902</v>
      </c>
      <c r="K103" s="33">
        <v>0.32535700000000001</v>
      </c>
      <c r="L103" s="33">
        <v>19.860340000000001</v>
      </c>
      <c r="M103" s="33">
        <v>24.575357</v>
      </c>
      <c r="N103" s="34">
        <v>1.24167946748591</v>
      </c>
      <c r="O103" s="34">
        <v>1.2388993693114601</v>
      </c>
      <c r="P103" s="34">
        <v>1.24098701564696</v>
      </c>
      <c r="Q103" s="34">
        <v>1.23927326019036</v>
      </c>
      <c r="R103" s="33">
        <v>24.195704682652899</v>
      </c>
      <c r="S103" s="33">
        <v>24.228763225401099</v>
      </c>
      <c r="T103" s="33">
        <v>24.203506771517802</v>
      </c>
      <c r="U103" s="15">
        <v>-2.2414924268578502E-3</v>
      </c>
      <c r="V103" s="15">
        <v>-8.7612696959836597E-4</v>
      </c>
      <c r="W103" s="15">
        <v>-1.91908680502714E-3</v>
      </c>
      <c r="X103" s="34">
        <v>1.2374086747759601</v>
      </c>
      <c r="Y103" s="34">
        <v>1.23733334869304</v>
      </c>
      <c r="Z103" s="34">
        <v>1.23713695432906</v>
      </c>
      <c r="AA103" s="34">
        <v>1.23730676658574</v>
      </c>
      <c r="AB103" s="33">
        <v>24.573860998382301</v>
      </c>
      <c r="AC103" s="33">
        <v>24.570429675245101</v>
      </c>
      <c r="AD103" s="33">
        <v>24.573915110536699</v>
      </c>
      <c r="AE103" s="15">
        <v>-6.08759072482905E-5</v>
      </c>
      <c r="AF103" s="15">
        <v>-2.00518705861524E-4</v>
      </c>
      <c r="AG103" s="15">
        <v>-5.8673888819357502E-5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0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0</v>
      </c>
      <c r="BE103" s="29">
        <f t="shared" si="42"/>
        <v>0</v>
      </c>
      <c r="BF103" s="29">
        <f t="shared" si="43"/>
        <v>0</v>
      </c>
      <c r="BH103" s="29"/>
    </row>
    <row r="104" spans="1:60" x14ac:dyDescent="0.25">
      <c r="A104" s="1">
        <v>46174</v>
      </c>
      <c r="B104" s="33">
        <v>19.53</v>
      </c>
      <c r="C104" s="33">
        <v>24.18</v>
      </c>
      <c r="D104" s="15">
        <v>0</v>
      </c>
      <c r="E104" s="15">
        <v>-2.8907721968456398E-3</v>
      </c>
      <c r="F104" s="33">
        <v>0</v>
      </c>
      <c r="G104" s="33">
        <v>0.33033999999999902</v>
      </c>
      <c r="H104" s="33">
        <v>8.0268999999999993E-2</v>
      </c>
      <c r="I104" s="33">
        <v>0.40562599999999999</v>
      </c>
      <c r="J104" s="33">
        <v>0.33033999999999902</v>
      </c>
      <c r="K104" s="33">
        <v>0.40562599999999999</v>
      </c>
      <c r="L104" s="33">
        <v>19.860340000000001</v>
      </c>
      <c r="M104" s="33">
        <v>24.585626000000001</v>
      </c>
      <c r="N104" s="34">
        <v>1.2380952380952299</v>
      </c>
      <c r="O104" s="34">
        <v>1.2388993693114601</v>
      </c>
      <c r="P104" s="34">
        <v>1.2411499613155199</v>
      </c>
      <c r="Q104" s="34">
        <v>1.2393049412353501</v>
      </c>
      <c r="R104" s="33">
        <v>24.195704682652899</v>
      </c>
      <c r="S104" s="33">
        <v>24.236476415585201</v>
      </c>
      <c r="T104" s="33">
        <v>24.203006771517799</v>
      </c>
      <c r="U104" s="15">
        <v>6.4927976998778295E-4</v>
      </c>
      <c r="V104" s="15">
        <v>2.3329430549815702E-3</v>
      </c>
      <c r="W104" s="15">
        <v>9.5102701494233395E-4</v>
      </c>
      <c r="X104" s="34">
        <v>1.2379257354103701</v>
      </c>
      <c r="Y104" s="34">
        <v>1.23733334869304</v>
      </c>
      <c r="Z104" s="34">
        <v>1.2372897746521601</v>
      </c>
      <c r="AA104" s="34">
        <v>1.23733405617738</v>
      </c>
      <c r="AB104" s="33">
        <v>24.573860998382301</v>
      </c>
      <c r="AC104" s="33">
        <v>24.569960539539601</v>
      </c>
      <c r="AD104" s="33">
        <v>24.5733330686936</v>
      </c>
      <c r="AE104" s="15">
        <v>-4.7864624147270403E-4</v>
      </c>
      <c r="AF104" s="15">
        <v>-6.3738273077354804E-4</v>
      </c>
      <c r="AG104" s="15">
        <v>-5.0012985610447397E-4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0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0</v>
      </c>
      <c r="BE104" s="29">
        <f t="shared" si="42"/>
        <v>0</v>
      </c>
      <c r="BF104" s="29">
        <f t="shared" si="43"/>
        <v>0</v>
      </c>
      <c r="BH104" s="29"/>
    </row>
    <row r="105" spans="1:60" x14ac:dyDescent="0.25">
      <c r="A105" s="1">
        <v>46175</v>
      </c>
      <c r="B105" s="33">
        <v>19.53</v>
      </c>
      <c r="C105" s="33">
        <v>24.18</v>
      </c>
      <c r="D105" s="15">
        <v>0</v>
      </c>
      <c r="E105" s="15">
        <v>0</v>
      </c>
      <c r="F105" s="33">
        <v>0</v>
      </c>
      <c r="G105" s="33">
        <v>0.33033999999999902</v>
      </c>
      <c r="H105" s="33">
        <v>0</v>
      </c>
      <c r="I105" s="33">
        <v>0.40562599999999999</v>
      </c>
      <c r="J105" s="33">
        <v>0.33033999999999902</v>
      </c>
      <c r="K105" s="33">
        <v>0.40562599999999999</v>
      </c>
      <c r="L105" s="33">
        <v>19.860340000000001</v>
      </c>
      <c r="M105" s="33">
        <v>24.585626000000001</v>
      </c>
      <c r="N105" s="34">
        <v>1.2380952380952299</v>
      </c>
      <c r="O105" s="34">
        <v>1.2388993693114601</v>
      </c>
      <c r="P105" s="34">
        <v>1.2408692749764101</v>
      </c>
      <c r="Q105" s="34">
        <v>1.23934269546748</v>
      </c>
      <c r="R105" s="33">
        <v>24.195704682652899</v>
      </c>
      <c r="S105" s="33">
        <v>24.2396587444922</v>
      </c>
      <c r="T105" s="33">
        <v>24.2036255023264</v>
      </c>
      <c r="U105" s="15">
        <v>6.4927976998778295E-4</v>
      </c>
      <c r="V105" s="15">
        <v>2.4642377178545299E-3</v>
      </c>
      <c r="W105" s="15">
        <v>9.7659090069784102E-4</v>
      </c>
      <c r="X105" s="34">
        <v>1.2379257354103701</v>
      </c>
      <c r="Y105" s="34">
        <v>1.23733334869304</v>
      </c>
      <c r="Z105" s="34">
        <v>1.23741835352375</v>
      </c>
      <c r="AA105" s="34">
        <v>1.2373673359070001</v>
      </c>
      <c r="AB105" s="33">
        <v>24.573860998382301</v>
      </c>
      <c r="AC105" s="33">
        <v>24.572995603115299</v>
      </c>
      <c r="AD105" s="33">
        <v>24.573875049261801</v>
      </c>
      <c r="AE105" s="15">
        <v>-4.7864624147270403E-4</v>
      </c>
      <c r="AF105" s="15">
        <v>-5.1386295020887601E-4</v>
      </c>
      <c r="AG105" s="15">
        <v>-4.7807446011902599E-4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0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0</v>
      </c>
      <c r="BE105" s="29">
        <f t="shared" si="42"/>
        <v>0</v>
      </c>
      <c r="BF105" s="29">
        <f t="shared" si="43"/>
        <v>0</v>
      </c>
      <c r="BH105" s="29"/>
    </row>
    <row r="106" spans="1:60" x14ac:dyDescent="0.25">
      <c r="A106" s="1">
        <v>46176</v>
      </c>
      <c r="B106" s="33">
        <v>19.55</v>
      </c>
      <c r="C106" s="33">
        <v>24.17</v>
      </c>
      <c r="D106" s="15">
        <v>1.0235415427871501E-3</v>
      </c>
      <c r="E106" s="15">
        <v>-4.1365047125491898E-4</v>
      </c>
      <c r="F106" s="33">
        <v>0</v>
      </c>
      <c r="G106" s="33">
        <v>0.33033999999999902</v>
      </c>
      <c r="H106" s="33">
        <v>0</v>
      </c>
      <c r="I106" s="33">
        <v>0.40562599999999999</v>
      </c>
      <c r="J106" s="33">
        <v>0.33033999999999902</v>
      </c>
      <c r="K106" s="33">
        <v>0.40562599999999999</v>
      </c>
      <c r="L106" s="33">
        <v>19.88034</v>
      </c>
      <c r="M106" s="33">
        <v>24.575626</v>
      </c>
      <c r="N106" s="34">
        <v>1.2363171355498701</v>
      </c>
      <c r="O106" s="34">
        <v>1.2388993693114601</v>
      </c>
      <c r="P106" s="34">
        <v>1.2402958603262599</v>
      </c>
      <c r="Q106" s="34">
        <v>1.23929154457234</v>
      </c>
      <c r="R106" s="33">
        <v>24.2204826700391</v>
      </c>
      <c r="S106" s="33">
        <v>24.258994325788802</v>
      </c>
      <c r="T106" s="33">
        <v>24.2291496963892</v>
      </c>
      <c r="U106" s="15">
        <v>2.0864717840299199E-3</v>
      </c>
      <c r="V106" s="15">
        <v>3.6752539342154202E-3</v>
      </c>
      <c r="W106" s="15">
        <v>2.4442464881590902E-3</v>
      </c>
      <c r="X106" s="34">
        <v>1.23617734907954</v>
      </c>
      <c r="Y106" s="34">
        <v>1.23733334869304</v>
      </c>
      <c r="Z106" s="34">
        <v>1.2372593049776599</v>
      </c>
      <c r="AA106" s="34">
        <v>1.2373131963200701</v>
      </c>
      <c r="AB106" s="33">
        <v>24.598607665356202</v>
      </c>
      <c r="AC106" s="33">
        <v>24.600297590292399</v>
      </c>
      <c r="AD106" s="33">
        <v>24.5992833427253</v>
      </c>
      <c r="AE106" s="15">
        <v>9.3470361676892396E-4</v>
      </c>
      <c r="AF106" s="15">
        <v>1.00340128099868E-3</v>
      </c>
      <c r="AG106" s="15">
        <v>9.6217135391555696E-4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0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0</v>
      </c>
      <c r="BE106" s="29">
        <f t="shared" si="42"/>
        <v>0</v>
      </c>
      <c r="BF106" s="29">
        <f t="shared" si="43"/>
        <v>0</v>
      </c>
      <c r="BH106" s="29"/>
    </row>
    <row r="107" spans="1:60" x14ac:dyDescent="0.25">
      <c r="A107" s="1">
        <v>46177</v>
      </c>
      <c r="B107" s="33">
        <v>19.55</v>
      </c>
      <c r="C107" s="33">
        <v>24.18</v>
      </c>
      <c r="D107" s="15">
        <v>0</v>
      </c>
      <c r="E107" s="15">
        <v>4.13650471254907E-4</v>
      </c>
      <c r="F107" s="33">
        <v>0</v>
      </c>
      <c r="G107" s="33">
        <v>0.33033999999999902</v>
      </c>
      <c r="H107" s="33">
        <v>0</v>
      </c>
      <c r="I107" s="33">
        <v>0.40562599999999999</v>
      </c>
      <c r="J107" s="33">
        <v>0.33033999999999902</v>
      </c>
      <c r="K107" s="33">
        <v>0.40562599999999999</v>
      </c>
      <c r="L107" s="33">
        <v>19.88034</v>
      </c>
      <c r="M107" s="33">
        <v>24.585626000000001</v>
      </c>
      <c r="N107" s="34">
        <v>1.2368286445012699</v>
      </c>
      <c r="O107" s="34">
        <v>1.2388993693114601</v>
      </c>
      <c r="P107" s="34">
        <v>1.23977359657126</v>
      </c>
      <c r="Q107" s="34">
        <v>1.2392659691247701</v>
      </c>
      <c r="R107" s="33">
        <v>24.2204826700391</v>
      </c>
      <c r="S107" s="33">
        <v>24.247784069378501</v>
      </c>
      <c r="T107" s="33">
        <v>24.228149696389199</v>
      </c>
      <c r="U107" s="15">
        <v>1.67282131277501E-3</v>
      </c>
      <c r="V107" s="15">
        <v>2.7993894392412799E-3</v>
      </c>
      <c r="W107" s="15">
        <v>1.9893225653221098E-3</v>
      </c>
      <c r="X107" s="34">
        <v>1.23668035858541</v>
      </c>
      <c r="Y107" s="34">
        <v>1.23733334869304</v>
      </c>
      <c r="Z107" s="34">
        <v>1.23715055738216</v>
      </c>
      <c r="AA107" s="34">
        <v>1.23728420720844</v>
      </c>
      <c r="AB107" s="33">
        <v>24.598607665356202</v>
      </c>
      <c r="AC107" s="33">
        <v>24.5971356511197</v>
      </c>
      <c r="AD107" s="33">
        <v>24.598207029329899</v>
      </c>
      <c r="AE107" s="15">
        <v>5.2787914704547799E-4</v>
      </c>
      <c r="AF107" s="15">
        <v>4.68035992426358E-4</v>
      </c>
      <c r="AG107" s="15">
        <v>5.1159207525770095E-4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0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0</v>
      </c>
      <c r="BE107" s="29">
        <f t="shared" si="42"/>
        <v>0</v>
      </c>
      <c r="BF107" s="29">
        <f t="shared" si="43"/>
        <v>0</v>
      </c>
      <c r="BH107" s="29"/>
    </row>
    <row r="108" spans="1:60" x14ac:dyDescent="0.25">
      <c r="A108" s="1">
        <v>46178</v>
      </c>
      <c r="B108" s="33">
        <v>19.55</v>
      </c>
      <c r="C108" s="33">
        <v>24.19</v>
      </c>
      <c r="D108" s="15">
        <v>0</v>
      </c>
      <c r="E108" s="15">
        <v>4.1347943528944199E-4</v>
      </c>
      <c r="F108" s="33">
        <v>0</v>
      </c>
      <c r="G108" s="33">
        <v>0.33033999999999902</v>
      </c>
      <c r="H108" s="33">
        <v>0</v>
      </c>
      <c r="I108" s="33">
        <v>0.40562599999999999</v>
      </c>
      <c r="J108" s="33">
        <v>0.33033999999999902</v>
      </c>
      <c r="K108" s="33">
        <v>0.40562599999999999</v>
      </c>
      <c r="L108" s="33">
        <v>19.88034</v>
      </c>
      <c r="M108" s="33">
        <v>24.595625999999999</v>
      </c>
      <c r="N108" s="34">
        <v>1.23734015345268</v>
      </c>
      <c r="O108" s="34">
        <v>1.2388993693114601</v>
      </c>
      <c r="P108" s="34">
        <v>1.2393661460016201</v>
      </c>
      <c r="Q108" s="34">
        <v>1.2392403936772001</v>
      </c>
      <c r="R108" s="33">
        <v>24.2204826700391</v>
      </c>
      <c r="S108" s="33">
        <v>24.2375738129683</v>
      </c>
      <c r="T108" s="33">
        <v>24.2276496963892</v>
      </c>
      <c r="U108" s="15">
        <v>1.2593418774856399E-3</v>
      </c>
      <c r="V108" s="15">
        <v>1.9647413457374598E-3</v>
      </c>
      <c r="W108" s="15">
        <v>1.55520576541265E-3</v>
      </c>
      <c r="X108" s="34">
        <v>1.23718336809129</v>
      </c>
      <c r="Y108" s="34">
        <v>1.23733334869304</v>
      </c>
      <c r="Z108" s="34">
        <v>1.2371544971597901</v>
      </c>
      <c r="AA108" s="34">
        <v>1.23725513418248</v>
      </c>
      <c r="AB108" s="33">
        <v>24.598607665356202</v>
      </c>
      <c r="AC108" s="33">
        <v>24.594973711946999</v>
      </c>
      <c r="AD108" s="33">
        <v>24.5976307159344</v>
      </c>
      <c r="AE108" s="15">
        <v>1.2122011616880799E-4</v>
      </c>
      <c r="AF108" s="15">
        <v>-2.6520841658495401E-5</v>
      </c>
      <c r="AG108" s="15">
        <v>8.1503688487677604E-5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0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0</v>
      </c>
      <c r="BE108" s="29">
        <f t="shared" si="42"/>
        <v>0</v>
      </c>
      <c r="BF108" s="29">
        <f t="shared" si="43"/>
        <v>0</v>
      </c>
      <c r="BH108" s="29"/>
    </row>
    <row r="109" spans="1:60" x14ac:dyDescent="0.25">
      <c r="A109" s="1">
        <v>46181</v>
      </c>
      <c r="B109" s="33">
        <v>19.55</v>
      </c>
      <c r="C109" s="33">
        <v>24.2</v>
      </c>
      <c r="D109" s="15">
        <v>0</v>
      </c>
      <c r="E109" s="15">
        <v>4.13308540704658E-4</v>
      </c>
      <c r="F109" s="33">
        <v>0</v>
      </c>
      <c r="G109" s="33">
        <v>0.33033999999999902</v>
      </c>
      <c r="H109" s="33">
        <v>0</v>
      </c>
      <c r="I109" s="33">
        <v>0.40562599999999999</v>
      </c>
      <c r="J109" s="33">
        <v>0.33033999999999902</v>
      </c>
      <c r="K109" s="33">
        <v>0.40562599999999999</v>
      </c>
      <c r="L109" s="33">
        <v>19.88034</v>
      </c>
      <c r="M109" s="33">
        <v>24.605626000000001</v>
      </c>
      <c r="N109" s="34">
        <v>1.2378516624040901</v>
      </c>
      <c r="O109" s="34">
        <v>1.2388993693114601</v>
      </c>
      <c r="P109" s="34">
        <v>1.23897098437317</v>
      </c>
      <c r="Q109" s="34">
        <v>1.2392403936772001</v>
      </c>
      <c r="R109" s="33">
        <v>24.2204826700391</v>
      </c>
      <c r="S109" s="33">
        <v>24.2296081543317</v>
      </c>
      <c r="T109" s="33">
        <v>24.227149696389201</v>
      </c>
      <c r="U109" s="15">
        <v>8.4603333678089402E-4</v>
      </c>
      <c r="V109" s="15">
        <v>1.22272961309989E-3</v>
      </c>
      <c r="W109" s="15">
        <v>1.1212594341781E-3</v>
      </c>
      <c r="X109" s="34">
        <v>1.23768637759716</v>
      </c>
      <c r="Y109" s="34">
        <v>1.23733334869304</v>
      </c>
      <c r="Z109" s="34">
        <v>1.23717030751202</v>
      </c>
      <c r="AA109" s="34">
        <v>1.23725121163181</v>
      </c>
      <c r="AB109" s="33">
        <v>24.598607665356202</v>
      </c>
      <c r="AC109" s="33">
        <v>24.595052036065699</v>
      </c>
      <c r="AD109" s="33">
        <v>24.597052734293399</v>
      </c>
      <c r="AE109" s="15">
        <v>-2.8527361036053501E-4</v>
      </c>
      <c r="AF109" s="15">
        <v>-4.2983001532167603E-4</v>
      </c>
      <c r="AG109" s="15">
        <v>-3.48487765863573E-4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0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0</v>
      </c>
      <c r="BE109" s="29">
        <f t="shared" si="42"/>
        <v>0</v>
      </c>
      <c r="BF109" s="29">
        <f t="shared" si="43"/>
        <v>0</v>
      </c>
      <c r="BH109" s="29"/>
    </row>
    <row r="110" spans="1:60" x14ac:dyDescent="0.25">
      <c r="A110" s="1">
        <v>46182</v>
      </c>
      <c r="B110" s="33">
        <v>19.55</v>
      </c>
      <c r="C110" s="33">
        <v>24.2</v>
      </c>
      <c r="D110" s="15">
        <v>0</v>
      </c>
      <c r="E110" s="15">
        <v>0</v>
      </c>
      <c r="F110" s="33">
        <v>0</v>
      </c>
      <c r="G110" s="33">
        <v>0.33033999999999902</v>
      </c>
      <c r="H110" s="33">
        <v>0</v>
      </c>
      <c r="I110" s="33">
        <v>0.40562599999999999</v>
      </c>
      <c r="J110" s="33">
        <v>0.33033999999999902</v>
      </c>
      <c r="K110" s="33">
        <v>0.40562599999999999</v>
      </c>
      <c r="L110" s="33">
        <v>19.88034</v>
      </c>
      <c r="M110" s="33">
        <v>24.605626000000001</v>
      </c>
      <c r="N110" s="34">
        <v>1.2378516624040901</v>
      </c>
      <c r="O110" s="34">
        <v>1.2388993693114601</v>
      </c>
      <c r="P110" s="34">
        <v>1.2386906104190101</v>
      </c>
      <c r="Q110" s="34">
        <v>1.2392148182296301</v>
      </c>
      <c r="R110" s="33">
        <v>24.2204826700391</v>
      </c>
      <c r="S110" s="33">
        <v>24.221882744495598</v>
      </c>
      <c r="T110" s="33">
        <v>24.227149696389201</v>
      </c>
      <c r="U110" s="15">
        <v>8.4603333678089402E-4</v>
      </c>
      <c r="V110" s="15">
        <v>9.0383705651528399E-4</v>
      </c>
      <c r="W110" s="15">
        <v>1.1212594341781E-3</v>
      </c>
      <c r="X110" s="34">
        <v>1.23768637759716</v>
      </c>
      <c r="Y110" s="34">
        <v>1.23733334869304</v>
      </c>
      <c r="Z110" s="34">
        <v>1.2372987810046601</v>
      </c>
      <c r="AA110" s="34">
        <v>1.23722205469152</v>
      </c>
      <c r="AB110" s="33">
        <v>24.598607665356202</v>
      </c>
      <c r="AC110" s="33">
        <v>24.595366351243499</v>
      </c>
      <c r="AD110" s="33">
        <v>24.5969747526524</v>
      </c>
      <c r="AE110" s="15">
        <v>-2.8527361036053501E-4</v>
      </c>
      <c r="AF110" s="15">
        <v>-4.1705048678395199E-4</v>
      </c>
      <c r="AG110" s="15">
        <v>-3.5165813612815901E-4</v>
      </c>
      <c r="AI110" s="12"/>
      <c r="AJ110">
        <f t="shared" si="26"/>
        <v>0</v>
      </c>
      <c r="AK110">
        <f t="shared" si="27"/>
        <v>0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0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0</v>
      </c>
      <c r="BE110" s="29">
        <f t="shared" si="42"/>
        <v>0</v>
      </c>
      <c r="BF110" s="29">
        <f t="shared" si="43"/>
        <v>0</v>
      </c>
      <c r="BH110" s="29"/>
    </row>
    <row r="111" spans="1:60" x14ac:dyDescent="0.25">
      <c r="A111" s="1">
        <v>46183</v>
      </c>
      <c r="B111" s="33">
        <v>19.55</v>
      </c>
      <c r="C111" s="33">
        <v>24.2</v>
      </c>
      <c r="D111" s="15">
        <v>0</v>
      </c>
      <c r="E111" s="15">
        <v>0</v>
      </c>
      <c r="F111" s="33">
        <v>0</v>
      </c>
      <c r="G111" s="33">
        <v>0.33033999999999902</v>
      </c>
      <c r="H111" s="33">
        <v>0</v>
      </c>
      <c r="I111" s="33">
        <v>0.40562599999999999</v>
      </c>
      <c r="J111" s="33">
        <v>0.33033999999999902</v>
      </c>
      <c r="K111" s="33">
        <v>0.40562599999999999</v>
      </c>
      <c r="L111" s="33">
        <v>19.88034</v>
      </c>
      <c r="M111" s="33">
        <v>24.605626000000001</v>
      </c>
      <c r="N111" s="34">
        <v>1.2378516624040901</v>
      </c>
      <c r="O111" s="34">
        <v>1.2388993693114601</v>
      </c>
      <c r="P111" s="34">
        <v>1.23835903318784</v>
      </c>
      <c r="Q111" s="34">
        <v>1.2392464606545299</v>
      </c>
      <c r="R111" s="33">
        <v>24.2204826700391</v>
      </c>
      <c r="S111" s="33">
        <v>24.216401433691701</v>
      </c>
      <c r="T111" s="33">
        <v>24.226649696389199</v>
      </c>
      <c r="U111" s="15">
        <v>8.4603333678089402E-4</v>
      </c>
      <c r="V111" s="15">
        <v>6.7751562831884797E-4</v>
      </c>
      <c r="W111" s="15">
        <v>1.1006212177207899E-3</v>
      </c>
      <c r="X111" s="34">
        <v>1.23768637759716</v>
      </c>
      <c r="Y111" s="34">
        <v>1.23733334869304</v>
      </c>
      <c r="Z111" s="34">
        <v>1.2373769028920401</v>
      </c>
      <c r="AA111" s="34">
        <v>1.23724935062521</v>
      </c>
      <c r="AB111" s="33">
        <v>24.598607665356202</v>
      </c>
      <c r="AC111" s="33">
        <v>24.597920447958099</v>
      </c>
      <c r="AD111" s="33">
        <v>24.596395102765999</v>
      </c>
      <c r="AE111" s="15">
        <v>-2.8527361036053501E-4</v>
      </c>
      <c r="AF111" s="15">
        <v>-3.1321124841896398E-4</v>
      </c>
      <c r="AG111" s="15">
        <v>-3.7522431539990499E-4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0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0</v>
      </c>
      <c r="BE111" s="29">
        <f t="shared" si="42"/>
        <v>0</v>
      </c>
      <c r="BF111" s="29">
        <f t="shared" si="43"/>
        <v>0</v>
      </c>
      <c r="BH111" s="29"/>
    </row>
    <row r="112" spans="1:60" x14ac:dyDescent="0.25">
      <c r="A112" s="1">
        <v>46184</v>
      </c>
      <c r="B112" s="33">
        <v>19.559999999999999</v>
      </c>
      <c r="C112" s="33">
        <v>24.19</v>
      </c>
      <c r="D112" s="15">
        <v>5.1137817529635203E-4</v>
      </c>
      <c r="E112" s="15">
        <v>-4.13308540704703E-4</v>
      </c>
      <c r="F112" s="33">
        <v>0</v>
      </c>
      <c r="G112" s="33">
        <v>0.33033999999999902</v>
      </c>
      <c r="H112" s="33">
        <v>0</v>
      </c>
      <c r="I112" s="33">
        <v>0.40562599999999999</v>
      </c>
      <c r="J112" s="33">
        <v>0.33033999999999902</v>
      </c>
      <c r="K112" s="33">
        <v>0.40562599999999999</v>
      </c>
      <c r="L112" s="33">
        <v>19.890339999999998</v>
      </c>
      <c r="M112" s="33">
        <v>24.595625999999999</v>
      </c>
      <c r="N112" s="34">
        <v>1.2367075664621601</v>
      </c>
      <c r="O112" s="34">
        <v>1.2388993693114601</v>
      </c>
      <c r="P112" s="34">
        <v>1.23786184308546</v>
      </c>
      <c r="Q112" s="34">
        <v>1.2392269590594001</v>
      </c>
      <c r="R112" s="33">
        <v>24.232871663732301</v>
      </c>
      <c r="S112" s="33">
        <v>24.222302689154201</v>
      </c>
      <c r="T112" s="33">
        <v>24.239660770402701</v>
      </c>
      <c r="U112" s="15">
        <v>1.7707200527819599E-3</v>
      </c>
      <c r="V112" s="15">
        <v>1.3344828547175701E-3</v>
      </c>
      <c r="W112" s="15">
        <v>2.0508418609043802E-3</v>
      </c>
      <c r="X112" s="34">
        <v>1.23656136596961</v>
      </c>
      <c r="Y112" s="34">
        <v>1.23733334869304</v>
      </c>
      <c r="Z112" s="34">
        <v>1.2372921720114001</v>
      </c>
      <c r="AA112" s="34">
        <v>1.2372263740381599</v>
      </c>
      <c r="AB112" s="33">
        <v>24.6109809988431</v>
      </c>
      <c r="AC112" s="33">
        <v>24.611847306669599</v>
      </c>
      <c r="AD112" s="33">
        <v>24.609310248714699</v>
      </c>
      <c r="AE112" s="15">
        <v>6.2410315516829801E-4</v>
      </c>
      <c r="AF112" s="15">
        <v>6.5930258829415998E-4</v>
      </c>
      <c r="AG112" s="15">
        <v>5.5621448215613302E-4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0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0</v>
      </c>
      <c r="BE112" s="29">
        <f t="shared" si="42"/>
        <v>0</v>
      </c>
      <c r="BF112" s="29">
        <f t="shared" si="43"/>
        <v>0</v>
      </c>
      <c r="BH112" s="29"/>
    </row>
    <row r="113" spans="1:60" x14ac:dyDescent="0.25">
      <c r="A113" s="1">
        <v>46185</v>
      </c>
      <c r="B113" s="33">
        <v>19.55</v>
      </c>
      <c r="C113" s="33">
        <v>24.21</v>
      </c>
      <c r="D113" s="15">
        <v>-5.1137817529634704E-4</v>
      </c>
      <c r="E113" s="15">
        <v>8.26446328031118E-4</v>
      </c>
      <c r="F113" s="33">
        <v>0</v>
      </c>
      <c r="G113" s="33">
        <v>0.33033999999999902</v>
      </c>
      <c r="H113" s="33">
        <v>0</v>
      </c>
      <c r="I113" s="33">
        <v>0.40562599999999999</v>
      </c>
      <c r="J113" s="33">
        <v>0.33033999999999902</v>
      </c>
      <c r="K113" s="33">
        <v>0.40562599999999999</v>
      </c>
      <c r="L113" s="33">
        <v>19.88034</v>
      </c>
      <c r="M113" s="33">
        <v>24.615625999999999</v>
      </c>
      <c r="N113" s="34">
        <v>1.2383631713554899</v>
      </c>
      <c r="O113" s="34">
        <v>1.2388993693114601</v>
      </c>
      <c r="P113" s="34">
        <v>1.23753021347242</v>
      </c>
      <c r="Q113" s="34">
        <v>1.23925861455969</v>
      </c>
      <c r="R113" s="33">
        <v>24.2204826700391</v>
      </c>
      <c r="S113" s="33">
        <v>24.2001990323208</v>
      </c>
      <c r="T113" s="33">
        <v>24.2268870496113</v>
      </c>
      <c r="U113" s="15">
        <v>4.32895549454491E-4</v>
      </c>
      <c r="V113" s="15">
        <v>-4.04913345077532E-4</v>
      </c>
      <c r="W113" s="15">
        <v>6.97280577848556E-4</v>
      </c>
      <c r="X113" s="34">
        <v>1.2381893871030301</v>
      </c>
      <c r="Y113" s="34">
        <v>1.23733334869304</v>
      </c>
      <c r="Z113" s="34">
        <v>1.23737024324411</v>
      </c>
      <c r="AA113" s="34">
        <v>1.23725359878658</v>
      </c>
      <c r="AB113" s="33">
        <v>24.598607665356202</v>
      </c>
      <c r="AC113" s="33">
        <v>24.597789058925201</v>
      </c>
      <c r="AD113" s="33">
        <v>24.5964809728458</v>
      </c>
      <c r="AE113" s="15">
        <v>-6.9160216687869102E-4</v>
      </c>
      <c r="AF113" s="15">
        <v>-7.2488128834197901E-4</v>
      </c>
      <c r="AG113" s="15">
        <v>-7.7806171276309402E-4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0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0</v>
      </c>
      <c r="BE113" s="29">
        <f t="shared" si="42"/>
        <v>0</v>
      </c>
      <c r="BF113" s="29">
        <f t="shared" si="43"/>
        <v>0</v>
      </c>
      <c r="BH113" s="29"/>
    </row>
    <row r="114" spans="1:60" x14ac:dyDescent="0.25">
      <c r="A114" s="1">
        <v>46188</v>
      </c>
      <c r="B114" s="33">
        <v>19.559999999999999</v>
      </c>
      <c r="C114" s="33">
        <v>24.21</v>
      </c>
      <c r="D114" s="15">
        <v>5.1137817529635203E-4</v>
      </c>
      <c r="E114" s="15">
        <v>0</v>
      </c>
      <c r="F114" s="33">
        <v>0</v>
      </c>
      <c r="G114" s="33">
        <v>0.33033999999999902</v>
      </c>
      <c r="H114" s="33">
        <v>0</v>
      </c>
      <c r="I114" s="33">
        <v>0.40562599999999999</v>
      </c>
      <c r="J114" s="33">
        <v>0.33033999999999902</v>
      </c>
      <c r="K114" s="33">
        <v>0.40562599999999999</v>
      </c>
      <c r="L114" s="33">
        <v>19.890339999999998</v>
      </c>
      <c r="M114" s="33">
        <v>24.615625999999999</v>
      </c>
      <c r="N114" s="34">
        <v>1.23773006134969</v>
      </c>
      <c r="O114" s="34">
        <v>1.2388993693114601</v>
      </c>
      <c r="P114" s="34">
        <v>1.2374936957978699</v>
      </c>
      <c r="Q114" s="34">
        <v>1.23932182855669</v>
      </c>
      <c r="R114" s="33">
        <v>24.232871663732301</v>
      </c>
      <c r="S114" s="33">
        <v>24.206090975520599</v>
      </c>
      <c r="T114" s="33">
        <v>24.2398985007876</v>
      </c>
      <c r="U114" s="15">
        <v>9.4427372475070295E-4</v>
      </c>
      <c r="V114" s="15">
        <v>-1.6147625341458399E-4</v>
      </c>
      <c r="W114" s="15">
        <v>1.23420298114375E-3</v>
      </c>
      <c r="X114" s="34">
        <v>1.2375668791986401</v>
      </c>
      <c r="Y114" s="34">
        <v>1.23733334869304</v>
      </c>
      <c r="Z114" s="34">
        <v>1.2373343576229401</v>
      </c>
      <c r="AA114" s="34">
        <v>1.2373120661375501</v>
      </c>
      <c r="AB114" s="33">
        <v>24.6109809988431</v>
      </c>
      <c r="AC114" s="33">
        <v>24.611714844008102</v>
      </c>
      <c r="AD114" s="33">
        <v>24.6093947460888</v>
      </c>
      <c r="AE114" s="15">
        <v>-1.88719127879157E-4</v>
      </c>
      <c r="AF114" s="15">
        <v>-1.5890177828270399E-4</v>
      </c>
      <c r="AG114" s="15">
        <v>-2.5317425366241399E-4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0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0</v>
      </c>
      <c r="BE114" s="29">
        <f t="shared" si="42"/>
        <v>0</v>
      </c>
      <c r="BF114" s="29">
        <f t="shared" si="43"/>
        <v>0</v>
      </c>
      <c r="BH114" s="29"/>
    </row>
    <row r="115" spans="1:60" x14ac:dyDescent="0.25">
      <c r="A115" s="1">
        <v>46189</v>
      </c>
      <c r="B115" s="33">
        <v>19.57</v>
      </c>
      <c r="C115" s="33">
        <v>24.21</v>
      </c>
      <c r="D115" s="15">
        <v>5.1111680131376799E-4</v>
      </c>
      <c r="E115" s="15">
        <v>0</v>
      </c>
      <c r="F115" s="33">
        <v>0</v>
      </c>
      <c r="G115" s="33">
        <v>0.33033999999999902</v>
      </c>
      <c r="H115" s="33">
        <v>0</v>
      </c>
      <c r="I115" s="33">
        <v>0.40562599999999999</v>
      </c>
      <c r="J115" s="33">
        <v>0.33033999999999902</v>
      </c>
      <c r="K115" s="33">
        <v>0.40562599999999999</v>
      </c>
      <c r="L115" s="33">
        <v>19.90034</v>
      </c>
      <c r="M115" s="33">
        <v>24.615625999999999</v>
      </c>
      <c r="N115" s="34">
        <v>1.23709759836484</v>
      </c>
      <c r="O115" s="34">
        <v>1.2388993693114601</v>
      </c>
      <c r="P115" s="34">
        <v>1.2373939318248299</v>
      </c>
      <c r="Q115" s="34">
        <v>1.2391316034006199</v>
      </c>
      <c r="R115" s="33">
        <v>24.245260657425401</v>
      </c>
      <c r="S115" s="33">
        <v>24.217751626764301</v>
      </c>
      <c r="T115" s="33">
        <v>24.253528184854598</v>
      </c>
      <c r="U115" s="15">
        <v>1.45539052606444E-3</v>
      </c>
      <c r="V115" s="15">
        <v>3.2013160099932098E-4</v>
      </c>
      <c r="W115" s="15">
        <v>1.7963280095204799E-3</v>
      </c>
      <c r="X115" s="34">
        <v>1.23694499691965</v>
      </c>
      <c r="Y115" s="34">
        <v>1.23733334869304</v>
      </c>
      <c r="Z115" s="34">
        <v>1.23723628377386</v>
      </c>
      <c r="AA115" s="34">
        <v>1.2373273186488101</v>
      </c>
      <c r="AB115" s="33">
        <v>24.623354332329999</v>
      </c>
      <c r="AC115" s="33">
        <v>24.623374410378101</v>
      </c>
      <c r="AD115" s="33">
        <v>24.622930802239701</v>
      </c>
      <c r="AE115" s="15">
        <v>3.1391114687543499E-4</v>
      </c>
      <c r="AF115" s="15">
        <v>3.1472655323982898E-4</v>
      </c>
      <c r="AG115" s="15">
        <v>2.9671065797861598E-4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0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0</v>
      </c>
      <c r="BE115" s="29">
        <f t="shared" si="42"/>
        <v>0</v>
      </c>
      <c r="BF115" s="29">
        <f t="shared" si="43"/>
        <v>0</v>
      </c>
      <c r="BH115" s="29"/>
    </row>
    <row r="116" spans="1:60" x14ac:dyDescent="0.25">
      <c r="A116" s="1">
        <v>46190</v>
      </c>
      <c r="B116" s="33">
        <v>19.57</v>
      </c>
      <c r="C116" s="33">
        <v>24.2</v>
      </c>
      <c r="D116" s="15">
        <v>0</v>
      </c>
      <c r="E116" s="15">
        <v>-4.1313778732649501E-4</v>
      </c>
      <c r="F116" s="33">
        <v>0</v>
      </c>
      <c r="G116" s="33">
        <v>0.33033999999999902</v>
      </c>
      <c r="H116" s="33">
        <v>0</v>
      </c>
      <c r="I116" s="33">
        <v>0.40562599999999999</v>
      </c>
      <c r="J116" s="33">
        <v>0.33033999999999902</v>
      </c>
      <c r="K116" s="33">
        <v>0.40562599999999999</v>
      </c>
      <c r="L116" s="33">
        <v>19.90034</v>
      </c>
      <c r="M116" s="33">
        <v>24.605626000000001</v>
      </c>
      <c r="N116" s="34">
        <v>1.2365866121614699</v>
      </c>
      <c r="O116" s="34">
        <v>1.2388993693114601</v>
      </c>
      <c r="P116" s="34">
        <v>1.23742087948599</v>
      </c>
      <c r="Q116" s="34">
        <v>1.23885836990613</v>
      </c>
      <c r="R116" s="33">
        <v>24.245260657425401</v>
      </c>
      <c r="S116" s="33">
        <v>24.215799245811901</v>
      </c>
      <c r="T116" s="33">
        <v>24.249805478550101</v>
      </c>
      <c r="U116" s="15">
        <v>1.8685283133910999E-3</v>
      </c>
      <c r="V116" s="15">
        <v>6.5264837589691497E-4</v>
      </c>
      <c r="W116" s="15">
        <v>2.05596268559269E-3</v>
      </c>
      <c r="X116" s="34">
        <v>1.2364424929423301</v>
      </c>
      <c r="Y116" s="34">
        <v>1.23733334869304</v>
      </c>
      <c r="Z116" s="34">
        <v>1.2372627981601401</v>
      </c>
      <c r="AA116" s="34">
        <v>1.2372610515689</v>
      </c>
      <c r="AB116" s="33">
        <v>24.623354332329999</v>
      </c>
      <c r="AC116" s="33">
        <v>24.621422707436398</v>
      </c>
      <c r="AD116" s="33">
        <v>24.623234332399601</v>
      </c>
      <c r="AE116" s="15">
        <v>7.2023970339354904E-4</v>
      </c>
      <c r="AF116" s="15">
        <v>6.4178976369546595E-4</v>
      </c>
      <c r="AG116" s="15">
        <v>7.1536627221145297E-4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0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0</v>
      </c>
      <c r="BE116" s="29">
        <f t="shared" si="42"/>
        <v>0</v>
      </c>
      <c r="BF116" s="29">
        <f t="shared" si="43"/>
        <v>0</v>
      </c>
      <c r="BH116" s="29"/>
    </row>
    <row r="117" spans="1:60" x14ac:dyDescent="0.25">
      <c r="A117" s="1">
        <v>46191</v>
      </c>
      <c r="B117" s="33">
        <v>19.57</v>
      </c>
      <c r="C117" s="33">
        <v>24.22</v>
      </c>
      <c r="D117" s="15">
        <v>0</v>
      </c>
      <c r="E117" s="15">
        <v>8.2610496230545497E-4</v>
      </c>
      <c r="F117" s="33">
        <v>0</v>
      </c>
      <c r="G117" s="33">
        <v>0.33033999999999902</v>
      </c>
      <c r="H117" s="33">
        <v>0</v>
      </c>
      <c r="I117" s="33">
        <v>0.40562599999999999</v>
      </c>
      <c r="J117" s="33">
        <v>0.33033999999999902</v>
      </c>
      <c r="K117" s="33">
        <v>0.40562599999999999</v>
      </c>
      <c r="L117" s="33">
        <v>19.90034</v>
      </c>
      <c r="M117" s="33">
        <v>24.625626</v>
      </c>
      <c r="N117" s="34">
        <v>1.2376085845682101</v>
      </c>
      <c r="O117" s="34">
        <v>1.2388993693114601</v>
      </c>
      <c r="P117" s="34">
        <v>1.23749887349268</v>
      </c>
      <c r="Q117" s="34">
        <v>1.23863623503197</v>
      </c>
      <c r="R117" s="33">
        <v>24.245260657425401</v>
      </c>
      <c r="S117" s="33">
        <v>24.216326611540801</v>
      </c>
      <c r="T117" s="33">
        <v>24.244458299062899</v>
      </c>
      <c r="U117" s="15">
        <v>1.0424233510854899E-3</v>
      </c>
      <c r="V117" s="15">
        <v>-1.5167906912712099E-4</v>
      </c>
      <c r="W117" s="15">
        <v>1.0093293930348501E-3</v>
      </c>
      <c r="X117" s="34">
        <v>1.2374475008969601</v>
      </c>
      <c r="Y117" s="34">
        <v>1.23733334869304</v>
      </c>
      <c r="Z117" s="34">
        <v>1.2373395123913</v>
      </c>
      <c r="AA117" s="34">
        <v>1.2372450348867301</v>
      </c>
      <c r="AB117" s="33">
        <v>24.623354332329999</v>
      </c>
      <c r="AC117" s="33">
        <v>24.621950352738299</v>
      </c>
      <c r="AD117" s="33">
        <v>24.621915594978699</v>
      </c>
      <c r="AE117" s="15">
        <v>-9.2252373803299902E-5</v>
      </c>
      <c r="AF117" s="15">
        <v>-1.4927220954730799E-4</v>
      </c>
      <c r="AG117" s="15">
        <v>-1.5068386798846E-4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0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0</v>
      </c>
      <c r="BE117" s="29">
        <f t="shared" si="42"/>
        <v>0</v>
      </c>
      <c r="BF117" s="29">
        <f t="shared" si="43"/>
        <v>0</v>
      </c>
      <c r="BH117" s="29"/>
    </row>
    <row r="118" spans="1:60" x14ac:dyDescent="0.25">
      <c r="A118" s="1">
        <v>46195</v>
      </c>
      <c r="B118" s="33">
        <v>19.5</v>
      </c>
      <c r="C118" s="33">
        <v>24.22</v>
      </c>
      <c r="D118" s="15">
        <v>-3.5833158382837902E-3</v>
      </c>
      <c r="E118" s="15">
        <v>0</v>
      </c>
      <c r="F118" s="33">
        <v>6.4670000000000005E-2</v>
      </c>
      <c r="G118" s="33">
        <v>0.39500999999999997</v>
      </c>
      <c r="H118" s="33">
        <v>0</v>
      </c>
      <c r="I118" s="33">
        <v>0.40562599999999999</v>
      </c>
      <c r="J118" s="33">
        <v>0.39500999999999997</v>
      </c>
      <c r="K118" s="33">
        <v>0.40562599999999999</v>
      </c>
      <c r="L118" s="33">
        <v>19.895009999999999</v>
      </c>
      <c r="M118" s="33">
        <v>24.625626</v>
      </c>
      <c r="N118" s="34">
        <v>1.2420512820512799</v>
      </c>
      <c r="O118" s="34">
        <v>1.2388993693114601</v>
      </c>
      <c r="P118" s="34">
        <v>1.23796998635254</v>
      </c>
      <c r="Q118" s="34">
        <v>1.2386680661770799</v>
      </c>
      <c r="R118" s="33">
        <v>24.1585377015736</v>
      </c>
      <c r="S118" s="33">
        <v>24.131228033107298</v>
      </c>
      <c r="T118" s="33">
        <v>24.153406583123498</v>
      </c>
      <c r="U118" s="15">
        <v>-2.5408924871983202E-3</v>
      </c>
      <c r="V118" s="15">
        <v>-3.6719674038921202E-3</v>
      </c>
      <c r="W118" s="15">
        <v>-2.7533086317079502E-3</v>
      </c>
      <c r="X118" s="34">
        <v>1.2377790209705799</v>
      </c>
      <c r="Y118" s="34">
        <v>1.23733334869304</v>
      </c>
      <c r="Z118" s="34">
        <v>1.2373990776792301</v>
      </c>
      <c r="AA118" s="34">
        <v>1.2372767874195101</v>
      </c>
      <c r="AB118" s="33">
        <v>24.616759345581499</v>
      </c>
      <c r="AC118" s="33">
        <v>24.61688197242</v>
      </c>
      <c r="AD118" s="33">
        <v>24.615002341521901</v>
      </c>
      <c r="AE118" s="15">
        <v>-3.60122867811778E-4</v>
      </c>
      <c r="AF118" s="15">
        <v>-3.5514144310866701E-4</v>
      </c>
      <c r="AG118" s="15">
        <v>-4.3149971885813497E-4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0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0</v>
      </c>
      <c r="BE118" s="29">
        <f t="shared" si="42"/>
        <v>0</v>
      </c>
      <c r="BF118" s="29">
        <f t="shared" si="43"/>
        <v>0</v>
      </c>
      <c r="BH118" s="29"/>
    </row>
    <row r="119" spans="1:60" x14ac:dyDescent="0.25">
      <c r="A119" s="1">
        <v>46196</v>
      </c>
      <c r="B119" s="33">
        <v>19.5</v>
      </c>
      <c r="C119" s="33">
        <v>24.23</v>
      </c>
      <c r="D119" s="15">
        <v>0</v>
      </c>
      <c r="E119" s="15">
        <v>4.1279670348812598E-4</v>
      </c>
      <c r="F119" s="33">
        <v>0</v>
      </c>
      <c r="G119" s="33">
        <v>0.39500999999999997</v>
      </c>
      <c r="H119" s="33">
        <v>0</v>
      </c>
      <c r="I119" s="33">
        <v>0.40562599999999999</v>
      </c>
      <c r="J119" s="33">
        <v>0.39500999999999997</v>
      </c>
      <c r="K119" s="33">
        <v>0.40562599999999999</v>
      </c>
      <c r="L119" s="33">
        <v>19.895009999999999</v>
      </c>
      <c r="M119" s="33">
        <v>24.635625999999998</v>
      </c>
      <c r="N119" s="34">
        <v>1.2425641025641001</v>
      </c>
      <c r="O119" s="34">
        <v>1.2388993693114601</v>
      </c>
      <c r="P119" s="34">
        <v>1.2384412303685399</v>
      </c>
      <c r="Q119" s="34">
        <v>1.2387061073708601</v>
      </c>
      <c r="R119" s="33">
        <v>24.1585377015736</v>
      </c>
      <c r="S119" s="33">
        <v>24.1404147338746</v>
      </c>
      <c r="T119" s="33">
        <v>24.154027290453101</v>
      </c>
      <c r="U119" s="15">
        <v>-2.9536891906865202E-3</v>
      </c>
      <c r="V119" s="15">
        <v>-3.7041389472831101E-3</v>
      </c>
      <c r="W119" s="15">
        <v>-3.1404071235612199E-3</v>
      </c>
      <c r="X119" s="34">
        <v>1.2382816595719199</v>
      </c>
      <c r="Y119" s="34">
        <v>1.23733334869304</v>
      </c>
      <c r="Z119" s="34">
        <v>1.2374586058767001</v>
      </c>
      <c r="AA119" s="34">
        <v>1.2373144566943599</v>
      </c>
      <c r="AB119" s="33">
        <v>24.616759345581499</v>
      </c>
      <c r="AC119" s="33">
        <v>24.618067024419101</v>
      </c>
      <c r="AD119" s="33">
        <v>24.615634058478999</v>
      </c>
      <c r="AE119" s="15">
        <v>-7.6612148665996095E-4</v>
      </c>
      <c r="AF119" s="15">
        <v>-7.1300141153143295E-4</v>
      </c>
      <c r="AG119" s="15">
        <v>-8.1183476707743498E-4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0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0</v>
      </c>
      <c r="BE119" s="29">
        <f t="shared" si="42"/>
        <v>0</v>
      </c>
      <c r="BF119" s="29">
        <f t="shared" si="43"/>
        <v>0</v>
      </c>
      <c r="BH119" s="29"/>
    </row>
    <row r="120" spans="1:60" x14ac:dyDescent="0.25">
      <c r="A120" s="1">
        <v>46197</v>
      </c>
      <c r="B120" s="33">
        <v>19.5</v>
      </c>
      <c r="C120" s="33">
        <v>24.22</v>
      </c>
      <c r="D120" s="15">
        <v>0</v>
      </c>
      <c r="E120" s="15">
        <v>-4.1279670348818703E-4</v>
      </c>
      <c r="F120" s="33">
        <v>0</v>
      </c>
      <c r="G120" s="33">
        <v>0.39500999999999997</v>
      </c>
      <c r="H120" s="33">
        <v>0</v>
      </c>
      <c r="I120" s="33">
        <v>0.40562599999999999</v>
      </c>
      <c r="J120" s="33">
        <v>0.39500999999999997</v>
      </c>
      <c r="K120" s="33">
        <v>0.40562599999999999</v>
      </c>
      <c r="L120" s="33">
        <v>19.895009999999999</v>
      </c>
      <c r="M120" s="33">
        <v>24.625626</v>
      </c>
      <c r="N120" s="34">
        <v>1.2420512820512799</v>
      </c>
      <c r="O120" s="34">
        <v>1.2388993693114601</v>
      </c>
      <c r="P120" s="34">
        <v>1.23886119233326</v>
      </c>
      <c r="Q120" s="34">
        <v>1.2387759013761399</v>
      </c>
      <c r="R120" s="33">
        <v>24.1585377015736</v>
      </c>
      <c r="S120" s="33">
        <v>24.149603992186599</v>
      </c>
      <c r="T120" s="33">
        <v>24.154769093731801</v>
      </c>
      <c r="U120" s="15">
        <v>-2.5408924871983202E-3</v>
      </c>
      <c r="V120" s="15">
        <v>-2.91075599987286E-3</v>
      </c>
      <c r="W120" s="15">
        <v>-2.6968995212607802E-3</v>
      </c>
      <c r="X120" s="34">
        <v>1.2377790209705799</v>
      </c>
      <c r="Y120" s="34">
        <v>1.23733334869304</v>
      </c>
      <c r="Z120" s="34">
        <v>1.23746787021405</v>
      </c>
      <c r="AA120" s="34">
        <v>1.23738332560935</v>
      </c>
      <c r="AB120" s="33">
        <v>24.616759345581499</v>
      </c>
      <c r="AC120" s="33">
        <v>24.619251338503101</v>
      </c>
      <c r="AD120" s="33">
        <v>24.616383489078899</v>
      </c>
      <c r="AE120" s="15">
        <v>-3.60122867811778E-4</v>
      </c>
      <c r="AF120" s="15">
        <v>-2.5889643256163299E-4</v>
      </c>
      <c r="AG120" s="15">
        <v>-3.7539130208060102E-4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0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0</v>
      </c>
      <c r="BE120" s="29">
        <f t="shared" si="42"/>
        <v>0</v>
      </c>
      <c r="BF120" s="29">
        <f t="shared" si="43"/>
        <v>0</v>
      </c>
      <c r="BH120" s="29"/>
    </row>
    <row r="121" spans="1:60" x14ac:dyDescent="0.25">
      <c r="A121" s="1">
        <v>46198</v>
      </c>
      <c r="B121" s="33">
        <v>19.52</v>
      </c>
      <c r="C121" s="33">
        <v>24.22</v>
      </c>
      <c r="D121" s="15">
        <v>1.0251154152453501E-3</v>
      </c>
      <c r="E121" s="15">
        <v>0</v>
      </c>
      <c r="F121" s="33">
        <v>0</v>
      </c>
      <c r="G121" s="33">
        <v>0.39500999999999997</v>
      </c>
      <c r="H121" s="33">
        <v>0</v>
      </c>
      <c r="I121" s="33">
        <v>0.40562599999999999</v>
      </c>
      <c r="J121" s="33">
        <v>0.39500999999999997</v>
      </c>
      <c r="K121" s="33">
        <v>0.40562599999999999</v>
      </c>
      <c r="L121" s="33">
        <v>19.915009999999999</v>
      </c>
      <c r="M121" s="33">
        <v>24.625626</v>
      </c>
      <c r="N121" s="34">
        <v>1.2407786885245899</v>
      </c>
      <c r="O121" s="34">
        <v>1.2388993693114601</v>
      </c>
      <c r="P121" s="34">
        <v>1.23915389494531</v>
      </c>
      <c r="Q121" s="34">
        <v>1.23875646406657</v>
      </c>
      <c r="R121" s="33">
        <v>24.183315688959802</v>
      </c>
      <c r="S121" s="33">
        <v>24.182570474345301</v>
      </c>
      <c r="T121" s="33">
        <v>24.1809055948622</v>
      </c>
      <c r="U121" s="15">
        <v>-1.5157770719528901E-3</v>
      </c>
      <c r="V121" s="15">
        <v>-1.5465927841703301E-3</v>
      </c>
      <c r="W121" s="15">
        <v>-1.6154414120625399E-3</v>
      </c>
      <c r="X121" s="34">
        <v>1.2365359595601499</v>
      </c>
      <c r="Y121" s="34">
        <v>1.23733334869304</v>
      </c>
      <c r="Z121" s="34">
        <v>1.2373528284103401</v>
      </c>
      <c r="AA121" s="34">
        <v>1.23736486565119</v>
      </c>
      <c r="AB121" s="33">
        <v>24.6415060125554</v>
      </c>
      <c r="AC121" s="33">
        <v>24.644185009991499</v>
      </c>
      <c r="AD121" s="33">
        <v>24.642501303343501</v>
      </c>
      <c r="AE121" s="15">
        <v>6.44649382119928E-4</v>
      </c>
      <c r="AF121" s="15">
        <v>7.5336237297626602E-4</v>
      </c>
      <c r="AG121" s="15">
        <v>6.85039392693085E-4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0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0</v>
      </c>
      <c r="BE121" s="29">
        <f t="shared" si="42"/>
        <v>0</v>
      </c>
      <c r="BF121" s="29">
        <f t="shared" si="43"/>
        <v>0</v>
      </c>
      <c r="BH121" s="29"/>
    </row>
    <row r="122" spans="1:60" x14ac:dyDescent="0.25">
      <c r="A122" s="1">
        <v>46199</v>
      </c>
      <c r="B122" s="33">
        <v>19.53</v>
      </c>
      <c r="C122" s="33">
        <v>24.23</v>
      </c>
      <c r="D122" s="15">
        <v>5.1216390364129801E-4</v>
      </c>
      <c r="E122" s="15">
        <v>4.1279670348812598E-4</v>
      </c>
      <c r="F122" s="33">
        <v>0</v>
      </c>
      <c r="G122" s="33">
        <v>0.39500999999999997</v>
      </c>
      <c r="H122" s="33">
        <v>0</v>
      </c>
      <c r="I122" s="33">
        <v>0.40562599999999999</v>
      </c>
      <c r="J122" s="33">
        <v>0.39500999999999997</v>
      </c>
      <c r="K122" s="33">
        <v>0.40562599999999999</v>
      </c>
      <c r="L122" s="33">
        <v>19.92501</v>
      </c>
      <c r="M122" s="33">
        <v>24.635625999999998</v>
      </c>
      <c r="N122" s="34">
        <v>1.2406554019457201</v>
      </c>
      <c r="O122" s="34">
        <v>1.2388993693114601</v>
      </c>
      <c r="P122" s="34">
        <v>1.23954867849367</v>
      </c>
      <c r="Q122" s="34">
        <v>1.2387052607895599</v>
      </c>
      <c r="R122" s="33">
        <v>24.195704682652899</v>
      </c>
      <c r="S122" s="33">
        <v>24.200675568281898</v>
      </c>
      <c r="T122" s="33">
        <v>24.192913743220199</v>
      </c>
      <c r="U122" s="15">
        <v>-1.41640987180001E-3</v>
      </c>
      <c r="V122" s="15">
        <v>-1.21098601072855E-3</v>
      </c>
      <c r="W122" s="15">
        <v>-1.53176507418294E-3</v>
      </c>
      <c r="X122" s="34">
        <v>1.23641724646562</v>
      </c>
      <c r="Y122" s="34">
        <v>1.23733334869304</v>
      </c>
      <c r="Z122" s="34">
        <v>1.2373384164599499</v>
      </c>
      <c r="AA122" s="34">
        <v>1.23731529423567</v>
      </c>
      <c r="AB122" s="33">
        <v>24.653879346042299</v>
      </c>
      <c r="AC122" s="33">
        <v>24.6542674796044</v>
      </c>
      <c r="AD122" s="33">
        <v>24.654507321748699</v>
      </c>
      <c r="AE122" s="15">
        <v>7.4065855393096701E-4</v>
      </c>
      <c r="AF122" s="15">
        <v>7.5640173582455501E-4</v>
      </c>
      <c r="AG122" s="15">
        <v>7.6612990875880101E-4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0</v>
      </c>
      <c r="AT122" s="12"/>
      <c r="AU122">
        <f t="shared" si="30"/>
        <v>0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0</v>
      </c>
      <c r="BE122" s="29">
        <f t="shared" si="42"/>
        <v>0</v>
      </c>
      <c r="BF122" s="29">
        <f t="shared" si="43"/>
        <v>0</v>
      </c>
      <c r="BH122" s="29"/>
    </row>
    <row r="123" spans="1:60" x14ac:dyDescent="0.25">
      <c r="A123" s="1">
        <v>46202</v>
      </c>
      <c r="B123" s="33">
        <v>19.53</v>
      </c>
      <c r="C123" s="33">
        <v>24.23</v>
      </c>
      <c r="D123" s="15">
        <v>0</v>
      </c>
      <c r="E123" s="15">
        <v>0</v>
      </c>
      <c r="F123" s="33">
        <v>0</v>
      </c>
      <c r="G123" s="33">
        <v>0.39500999999999997</v>
      </c>
      <c r="H123" s="33">
        <v>0</v>
      </c>
      <c r="I123" s="33">
        <v>0.40562599999999999</v>
      </c>
      <c r="J123" s="33">
        <v>0.39500999999999997</v>
      </c>
      <c r="K123" s="33">
        <v>0.40562599999999999</v>
      </c>
      <c r="L123" s="33">
        <v>19.92501</v>
      </c>
      <c r="M123" s="33">
        <v>24.635625999999998</v>
      </c>
      <c r="N123" s="34">
        <v>1.2406554019457201</v>
      </c>
      <c r="O123" s="34">
        <v>1.2388993693114601</v>
      </c>
      <c r="P123" s="34">
        <v>1.23977790155269</v>
      </c>
      <c r="Q123" s="34">
        <v>1.23865405751255</v>
      </c>
      <c r="R123" s="33">
        <v>24.195704682652899</v>
      </c>
      <c r="S123" s="33">
        <v>24.208385690981299</v>
      </c>
      <c r="T123" s="33">
        <v>24.191913743220201</v>
      </c>
      <c r="U123" s="15">
        <v>-1.41640987180001E-3</v>
      </c>
      <c r="V123" s="15">
        <v>-8.92445532395618E-4</v>
      </c>
      <c r="W123" s="15">
        <v>-1.5731003460891101E-3</v>
      </c>
      <c r="X123" s="34">
        <v>1.23641724646562</v>
      </c>
      <c r="Y123" s="34">
        <v>1.23733334869304</v>
      </c>
      <c r="Z123" s="34">
        <v>1.2371612023962</v>
      </c>
      <c r="AA123" s="34">
        <v>1.23726572282016</v>
      </c>
      <c r="AB123" s="33">
        <v>24.653879346042299</v>
      </c>
      <c r="AC123" s="33">
        <v>24.653980321348602</v>
      </c>
      <c r="AD123" s="33">
        <v>24.653519610798799</v>
      </c>
      <c r="AE123" s="15">
        <v>7.4065855393096701E-4</v>
      </c>
      <c r="AF123" s="15">
        <v>7.4475426228318002E-4</v>
      </c>
      <c r="AG123" s="15">
        <v>7.2606702198488803E-4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0</v>
      </c>
      <c r="AT123" s="12"/>
      <c r="AU123">
        <f t="shared" si="30"/>
        <v>0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0</v>
      </c>
      <c r="BE123" s="29">
        <f t="shared" si="42"/>
        <v>0</v>
      </c>
      <c r="BF123" s="29">
        <f t="shared" si="43"/>
        <v>0</v>
      </c>
      <c r="BH123" s="29"/>
    </row>
    <row r="124" spans="1:60" x14ac:dyDescent="0.25">
      <c r="A124" s="1">
        <v>46203</v>
      </c>
      <c r="B124" s="33">
        <v>19.53</v>
      </c>
      <c r="C124" s="33">
        <v>24.23</v>
      </c>
      <c r="D124" s="15">
        <v>0</v>
      </c>
      <c r="E124" s="15">
        <v>0</v>
      </c>
      <c r="F124" s="33">
        <v>0</v>
      </c>
      <c r="G124" s="33">
        <v>0.39500999999999997</v>
      </c>
      <c r="H124" s="33">
        <v>0</v>
      </c>
      <c r="I124" s="33">
        <v>0.40562599999999999</v>
      </c>
      <c r="J124" s="33">
        <v>0.39500999999999997</v>
      </c>
      <c r="K124" s="33">
        <v>0.40562599999999999</v>
      </c>
      <c r="L124" s="33">
        <v>19.92501</v>
      </c>
      <c r="M124" s="33">
        <v>24.635625999999998</v>
      </c>
      <c r="N124" s="34">
        <v>1.2406554019457201</v>
      </c>
      <c r="O124" s="34">
        <v>1.2388993693114601</v>
      </c>
      <c r="P124" s="34">
        <v>1.24007043561229</v>
      </c>
      <c r="Q124" s="34">
        <v>1.2387820657050801</v>
      </c>
      <c r="R124" s="33">
        <v>24.195704682652899</v>
      </c>
      <c r="S124" s="33">
        <v>24.2128624173241</v>
      </c>
      <c r="T124" s="33">
        <v>24.1909137432202</v>
      </c>
      <c r="U124" s="15">
        <v>-1.41640987180001E-3</v>
      </c>
      <c r="V124" s="15">
        <v>-7.0753801636251796E-4</v>
      </c>
      <c r="W124" s="15">
        <v>-1.61443732667071E-3</v>
      </c>
      <c r="X124" s="34">
        <v>1.23641724646562</v>
      </c>
      <c r="Y124" s="34">
        <v>1.23733334869304</v>
      </c>
      <c r="Z124" s="34">
        <v>1.2370462391229</v>
      </c>
      <c r="AA124" s="34">
        <v>1.2371902983729199</v>
      </c>
      <c r="AB124" s="33">
        <v>24.653879346042299</v>
      </c>
      <c r="AC124" s="33">
        <v>24.650449329356402</v>
      </c>
      <c r="AD124" s="33">
        <v>24.652531899848899</v>
      </c>
      <c r="AE124" s="15">
        <v>7.4065855393096701E-4</v>
      </c>
      <c r="AF124" s="15">
        <v>6.0152202034289605E-4</v>
      </c>
      <c r="AG124" s="15">
        <v>6.8600253011199402E-4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0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0</v>
      </c>
      <c r="BE124" s="29">
        <f t="shared" si="42"/>
        <v>0</v>
      </c>
      <c r="BF124" s="29">
        <f t="shared" si="43"/>
        <v>0</v>
      </c>
      <c r="BH124" s="29"/>
    </row>
    <row r="125" spans="1:60" x14ac:dyDescent="0.25">
      <c r="A125" s="1">
        <v>46204</v>
      </c>
      <c r="B125" s="33">
        <v>19.53</v>
      </c>
      <c r="C125" s="33">
        <v>24.16</v>
      </c>
      <c r="D125" s="15">
        <v>0</v>
      </c>
      <c r="E125" s="15">
        <v>-2.8931617618201699E-3</v>
      </c>
      <c r="F125" s="33">
        <v>0</v>
      </c>
      <c r="G125" s="33">
        <v>0.39500999999999997</v>
      </c>
      <c r="H125" s="33">
        <v>8.0004000000000006E-2</v>
      </c>
      <c r="I125" s="33">
        <v>0.48563000000000001</v>
      </c>
      <c r="J125" s="33">
        <v>0.39500999999999997</v>
      </c>
      <c r="K125" s="33">
        <v>0.48563000000000001</v>
      </c>
      <c r="L125" s="33">
        <v>19.92501</v>
      </c>
      <c r="M125" s="33">
        <v>24.645630000000001</v>
      </c>
      <c r="N125" s="34">
        <v>1.2370711725550401</v>
      </c>
      <c r="O125" s="34">
        <v>1.2388993693114601</v>
      </c>
      <c r="P125" s="34">
        <v>1.24006779303131</v>
      </c>
      <c r="Q125" s="34">
        <v>1.23873086242807</v>
      </c>
      <c r="R125" s="33">
        <v>24.195704682652899</v>
      </c>
      <c r="S125" s="33">
        <v>24.2185756075081</v>
      </c>
      <c r="T125" s="33">
        <v>24.193413743220201</v>
      </c>
      <c r="U125" s="15">
        <v>1.4767518900202299E-3</v>
      </c>
      <c r="V125" s="15">
        <v>2.4215527388367201E-3</v>
      </c>
      <c r="W125" s="15">
        <v>1.38206368288126E-3</v>
      </c>
      <c r="X125" s="34">
        <v>1.23691932902417</v>
      </c>
      <c r="Y125" s="34">
        <v>1.23733334869304</v>
      </c>
      <c r="Z125" s="34">
        <v>1.23704367233335</v>
      </c>
      <c r="AA125" s="34">
        <v>1.2371399780536101</v>
      </c>
      <c r="AB125" s="33">
        <v>24.653879346042299</v>
      </c>
      <c r="AC125" s="33">
        <v>24.648158684986299</v>
      </c>
      <c r="AD125" s="33">
        <v>24.651029066983401</v>
      </c>
      <c r="AE125" s="15">
        <v>3.3466240247679701E-4</v>
      </c>
      <c r="AF125" s="15">
        <v>1.02596495663219E-4</v>
      </c>
      <c r="AG125" s="15">
        <v>2.1904393146546201E-4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0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0</v>
      </c>
      <c r="BE125" s="29">
        <f t="shared" si="42"/>
        <v>0</v>
      </c>
      <c r="BF125" s="29">
        <f t="shared" si="43"/>
        <v>0</v>
      </c>
      <c r="BH125" s="29"/>
    </row>
    <row r="126" spans="1:60" x14ac:dyDescent="0.25">
      <c r="A126" s="1">
        <v>46205</v>
      </c>
      <c r="B126" s="33">
        <v>19.54</v>
      </c>
      <c r="C126" s="33">
        <v>24.18</v>
      </c>
      <c r="D126" s="15">
        <v>5.1190172604897804E-4</v>
      </c>
      <c r="E126" s="15">
        <v>8.2747212003239201E-4</v>
      </c>
      <c r="F126" s="33">
        <v>0</v>
      </c>
      <c r="G126" s="33">
        <v>0.39500999999999997</v>
      </c>
      <c r="H126" s="33">
        <v>0</v>
      </c>
      <c r="I126" s="33">
        <v>0.48563000000000001</v>
      </c>
      <c r="J126" s="33">
        <v>0.39500999999999997</v>
      </c>
      <c r="K126" s="33">
        <v>0.48563000000000001</v>
      </c>
      <c r="L126" s="33">
        <v>19.935009999999998</v>
      </c>
      <c r="M126" s="33">
        <v>24.66563</v>
      </c>
      <c r="N126" s="34">
        <v>1.23746161719549</v>
      </c>
      <c r="O126" s="34">
        <v>1.2388993693114601</v>
      </c>
      <c r="P126" s="34">
        <v>1.24015529353471</v>
      </c>
      <c r="Q126" s="34">
        <v>1.23878808651035</v>
      </c>
      <c r="R126" s="33">
        <v>24.208093676346</v>
      </c>
      <c r="S126" s="33">
        <v>24.230924675831901</v>
      </c>
      <c r="T126" s="33">
        <v>24.204801051844498</v>
      </c>
      <c r="U126" s="15">
        <v>1.1611814960366799E-3</v>
      </c>
      <c r="V126" s="15">
        <v>2.1038513499356702E-3</v>
      </c>
      <c r="W126" s="15">
        <v>1.02515887127612E-3</v>
      </c>
      <c r="X126" s="34">
        <v>1.23730211321689</v>
      </c>
      <c r="Y126" s="34">
        <v>1.23733334869304</v>
      </c>
      <c r="Z126" s="34">
        <v>1.23712963436081</v>
      </c>
      <c r="AA126" s="34">
        <v>1.2371962162604799</v>
      </c>
      <c r="AB126" s="33">
        <v>24.666252679529201</v>
      </c>
      <c r="AC126" s="33">
        <v>24.660477978402199</v>
      </c>
      <c r="AD126" s="33">
        <v>24.662397833898499</v>
      </c>
      <c r="AE126" s="15">
        <v>2.5244507019989501E-5</v>
      </c>
      <c r="AF126" s="15">
        <v>-2.0889633614542299E-4</v>
      </c>
      <c r="AG126" s="15">
        <v>-1.31047854454683E-4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0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0</v>
      </c>
      <c r="BE126" s="29">
        <f t="shared" si="42"/>
        <v>0</v>
      </c>
      <c r="BF126" s="29">
        <f t="shared" si="43"/>
        <v>0</v>
      </c>
      <c r="BH126" s="29"/>
    </row>
    <row r="127" spans="1:60" x14ac:dyDescent="0.25">
      <c r="A127" s="1">
        <v>46209</v>
      </c>
      <c r="B127" s="33">
        <v>19.54</v>
      </c>
      <c r="C127" s="33">
        <v>24.17</v>
      </c>
      <c r="D127" s="15">
        <v>0</v>
      </c>
      <c r="E127" s="15">
        <v>-4.1365047125491898E-4</v>
      </c>
      <c r="F127" s="33">
        <v>0</v>
      </c>
      <c r="G127" s="33">
        <v>0.39500999999999997</v>
      </c>
      <c r="H127" s="33">
        <v>0</v>
      </c>
      <c r="I127" s="33">
        <v>0.48563000000000001</v>
      </c>
      <c r="J127" s="33">
        <v>0.39500999999999997</v>
      </c>
      <c r="K127" s="33">
        <v>0.48563000000000001</v>
      </c>
      <c r="L127" s="33">
        <v>19.935009999999998</v>
      </c>
      <c r="M127" s="33">
        <v>24.655629999999999</v>
      </c>
      <c r="N127" s="34">
        <v>1.23694984646878</v>
      </c>
      <c r="O127" s="34">
        <v>1.2388993693114601</v>
      </c>
      <c r="P127" s="34">
        <v>1.24008941972477</v>
      </c>
      <c r="Q127" s="34">
        <v>1.23879414660873</v>
      </c>
      <c r="R127" s="33">
        <v>24.208093676346</v>
      </c>
      <c r="S127" s="33">
        <v>24.232634435668398</v>
      </c>
      <c r="T127" s="33">
        <v>24.205919210412301</v>
      </c>
      <c r="U127" s="15">
        <v>1.5748319672916301E-3</v>
      </c>
      <c r="V127" s="15">
        <v>2.5880603962741299E-3</v>
      </c>
      <c r="W127" s="15">
        <v>1.48500401023771E-3</v>
      </c>
      <c r="X127" s="34">
        <v>1.2368004831700601</v>
      </c>
      <c r="Y127" s="34">
        <v>1.23733334869304</v>
      </c>
      <c r="Z127" s="34">
        <v>1.23706493258812</v>
      </c>
      <c r="AA127" s="34">
        <v>1.2372022224897099</v>
      </c>
      <c r="AB127" s="33">
        <v>24.666252679529201</v>
      </c>
      <c r="AC127" s="33">
        <v>24.6621916322792</v>
      </c>
      <c r="AD127" s="33">
        <v>24.663518943114799</v>
      </c>
      <c r="AE127" s="15">
        <v>4.3074915702376201E-4</v>
      </c>
      <c r="AF127" s="15">
        <v>2.6609578853027601E-4</v>
      </c>
      <c r="AG127" s="15">
        <v>3.1991400302729302E-4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0</v>
      </c>
      <c r="AT127" s="12"/>
      <c r="AU127">
        <f t="shared" si="30"/>
        <v>0</v>
      </c>
      <c r="AV127">
        <f t="shared" si="31"/>
        <v>0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0</v>
      </c>
      <c r="BE127" s="29">
        <f t="shared" si="42"/>
        <v>0</v>
      </c>
      <c r="BF127" s="29">
        <f t="shared" si="43"/>
        <v>0</v>
      </c>
      <c r="BH127" s="29"/>
    </row>
    <row r="128" spans="1:60" x14ac:dyDescent="0.25">
      <c r="A128" s="1">
        <v>46210</v>
      </c>
      <c r="B128" s="33">
        <v>19.53</v>
      </c>
      <c r="C128" s="33">
        <v>24.18</v>
      </c>
      <c r="D128" s="15">
        <v>-5.1190172604906098E-4</v>
      </c>
      <c r="E128" s="15">
        <v>4.13650471254907E-4</v>
      </c>
      <c r="F128" s="33">
        <v>0</v>
      </c>
      <c r="G128" s="33">
        <v>0.39500999999999997</v>
      </c>
      <c r="H128" s="33">
        <v>0</v>
      </c>
      <c r="I128" s="33">
        <v>0.48563000000000001</v>
      </c>
      <c r="J128" s="33">
        <v>0.39500999999999997</v>
      </c>
      <c r="K128" s="33">
        <v>0.48563000000000001</v>
      </c>
      <c r="L128" s="33">
        <v>19.92501</v>
      </c>
      <c r="M128" s="33">
        <v>24.66563</v>
      </c>
      <c r="N128" s="34">
        <v>1.2380952380952299</v>
      </c>
      <c r="O128" s="34">
        <v>1.2388993693114601</v>
      </c>
      <c r="P128" s="34">
        <v>1.2396938153291699</v>
      </c>
      <c r="Q128" s="34">
        <v>1.2388319008408499</v>
      </c>
      <c r="R128" s="33">
        <v>24.195704682652899</v>
      </c>
      <c r="S128" s="33">
        <v>24.218946367224799</v>
      </c>
      <c r="T128" s="33">
        <v>24.1936496832685</v>
      </c>
      <c r="U128" s="15">
        <v>6.4927976998778295E-4</v>
      </c>
      <c r="V128" s="15">
        <v>1.60938940016226E-3</v>
      </c>
      <c r="W128" s="15">
        <v>5.6434375822976405E-4</v>
      </c>
      <c r="X128" s="34">
        <v>1.23792309263583</v>
      </c>
      <c r="Y128" s="34">
        <v>1.23733334869304</v>
      </c>
      <c r="Z128" s="34">
        <v>1.23707933975465</v>
      </c>
      <c r="AA128" s="34">
        <v>1.2372392087169399</v>
      </c>
      <c r="AB128" s="33">
        <v>24.653879346042299</v>
      </c>
      <c r="AC128" s="33">
        <v>24.648531152467701</v>
      </c>
      <c r="AD128" s="33">
        <v>24.6512666551297</v>
      </c>
      <c r="AE128" s="15">
        <v>-4.7651139826042599E-4</v>
      </c>
      <c r="AF128" s="15">
        <v>-6.93466047801167E-4</v>
      </c>
      <c r="AG128" s="15">
        <v>-5.8249185372649898E-4</v>
      </c>
      <c r="AI128" s="12"/>
      <c r="AJ128">
        <f t="shared" si="26"/>
        <v>0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0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0</v>
      </c>
      <c r="BE128" s="29">
        <f t="shared" si="42"/>
        <v>0</v>
      </c>
      <c r="BF128" s="29">
        <f t="shared" si="43"/>
        <v>0</v>
      </c>
      <c r="BH128" s="29"/>
    </row>
    <row r="129" spans="1:60" x14ac:dyDescent="0.25">
      <c r="A129" s="1">
        <v>46211</v>
      </c>
      <c r="B129" s="33">
        <v>19.54</v>
      </c>
      <c r="C129" s="33">
        <v>24.18</v>
      </c>
      <c r="D129" s="15">
        <v>5.1190172604897804E-4</v>
      </c>
      <c r="E129" s="15">
        <v>0</v>
      </c>
      <c r="F129" s="33">
        <v>0</v>
      </c>
      <c r="G129" s="33">
        <v>0.39500999999999997</v>
      </c>
      <c r="H129" s="33">
        <v>0</v>
      </c>
      <c r="I129" s="33">
        <v>0.48563000000000001</v>
      </c>
      <c r="J129" s="33">
        <v>0.39500999999999997</v>
      </c>
      <c r="K129" s="33">
        <v>0.48563000000000001</v>
      </c>
      <c r="L129" s="33">
        <v>19.935009999999998</v>
      </c>
      <c r="M129" s="33">
        <v>24.66563</v>
      </c>
      <c r="N129" s="34">
        <v>1.23746161719549</v>
      </c>
      <c r="O129" s="34">
        <v>1.2388993693114601</v>
      </c>
      <c r="P129" s="34">
        <v>1.2391835667923099</v>
      </c>
      <c r="Q129" s="34">
        <v>1.23881239858042</v>
      </c>
      <c r="R129" s="33">
        <v>24.208093676346</v>
      </c>
      <c r="S129" s="33">
        <v>24.223617151531901</v>
      </c>
      <c r="T129" s="33">
        <v>24.206775342430301</v>
      </c>
      <c r="U129" s="15">
        <v>1.1611814960366799E-3</v>
      </c>
      <c r="V129" s="15">
        <v>1.8022274327657E-3</v>
      </c>
      <c r="W129" s="15">
        <v>1.1067216186165299E-3</v>
      </c>
      <c r="X129" s="34">
        <v>1.23730211321689</v>
      </c>
      <c r="Y129" s="34">
        <v>1.23733334869304</v>
      </c>
      <c r="Z129" s="34">
        <v>1.23698138511914</v>
      </c>
      <c r="AA129" s="34">
        <v>1.2372199954979199</v>
      </c>
      <c r="AB129" s="33">
        <v>24.666252679529201</v>
      </c>
      <c r="AC129" s="33">
        <v>24.6611890088023</v>
      </c>
      <c r="AD129" s="33">
        <v>24.664375998164299</v>
      </c>
      <c r="AE129" s="15">
        <v>2.5244507019989501E-5</v>
      </c>
      <c r="AF129" s="15">
        <v>-1.8006396110229199E-4</v>
      </c>
      <c r="AG129" s="15">
        <v>-5.0841341312960103E-5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0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0</v>
      </c>
      <c r="BE129" s="29">
        <f t="shared" si="42"/>
        <v>0</v>
      </c>
      <c r="BF129" s="29">
        <f t="shared" si="43"/>
        <v>0</v>
      </c>
      <c r="BH129" s="29"/>
    </row>
    <row r="130" spans="1:60" x14ac:dyDescent="0.25">
      <c r="A130" s="1">
        <v>46212</v>
      </c>
      <c r="B130" s="33">
        <v>19.55</v>
      </c>
      <c r="C130" s="33">
        <v>24.2</v>
      </c>
      <c r="D130" s="15">
        <v>5.11639816738263E-4</v>
      </c>
      <c r="E130" s="15">
        <v>8.2678797599399498E-4</v>
      </c>
      <c r="F130" s="33">
        <v>0</v>
      </c>
      <c r="G130" s="33">
        <v>0.39500999999999997</v>
      </c>
      <c r="H130" s="33">
        <v>0</v>
      </c>
      <c r="I130" s="33">
        <v>0.48563000000000001</v>
      </c>
      <c r="J130" s="33">
        <v>0.39500999999999997</v>
      </c>
      <c r="K130" s="33">
        <v>0.48563000000000001</v>
      </c>
      <c r="L130" s="33">
        <v>19.94501</v>
      </c>
      <c r="M130" s="33">
        <v>24.68563</v>
      </c>
      <c r="N130" s="34">
        <v>1.2378516624040901</v>
      </c>
      <c r="O130" s="34">
        <v>1.2388993693114601</v>
      </c>
      <c r="P130" s="34">
        <v>1.2387636048275901</v>
      </c>
      <c r="Q130" s="34">
        <v>1.23881239858042</v>
      </c>
      <c r="R130" s="33">
        <v>24.2204826700391</v>
      </c>
      <c r="S130" s="33">
        <v>24.2260387307896</v>
      </c>
      <c r="T130" s="33">
        <v>24.218782392247299</v>
      </c>
      <c r="U130" s="15">
        <v>8.4603333678089402E-4</v>
      </c>
      <c r="V130" s="15">
        <v>1.07540215890374E-3</v>
      </c>
      <c r="W130" s="15">
        <v>7.7583087642838899E-4</v>
      </c>
      <c r="X130" s="34">
        <v>1.23768451357006</v>
      </c>
      <c r="Y130" s="34">
        <v>1.23733334869304</v>
      </c>
      <c r="Z130" s="34">
        <v>1.2369719343790899</v>
      </c>
      <c r="AA130" s="34">
        <v>1.23721990229657</v>
      </c>
      <c r="AB130" s="33">
        <v>24.678626013016199</v>
      </c>
      <c r="AC130" s="33">
        <v>24.6716060960152</v>
      </c>
      <c r="AD130" s="33">
        <v>24.676365182406101</v>
      </c>
      <c r="AE130" s="15">
        <v>-2.8376755152339199E-4</v>
      </c>
      <c r="AF130" s="15">
        <v>-5.6826133192910099E-4</v>
      </c>
      <c r="AG130" s="15">
        <v>-3.75382626590837E-4</v>
      </c>
      <c r="AI130" s="12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0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0</v>
      </c>
      <c r="BE130" s="29">
        <f t="shared" si="42"/>
        <v>0</v>
      </c>
      <c r="BF130" s="29">
        <f t="shared" si="43"/>
        <v>0</v>
      </c>
      <c r="BH130" s="29"/>
    </row>
    <row r="131" spans="1:60" x14ac:dyDescent="0.25">
      <c r="A131" s="1">
        <v>46213</v>
      </c>
      <c r="B131" s="33">
        <v>19.55</v>
      </c>
      <c r="C131" s="33">
        <v>24.19</v>
      </c>
      <c r="D131" s="15">
        <v>0</v>
      </c>
      <c r="E131" s="15">
        <v>-4.13308540704703E-4</v>
      </c>
      <c r="F131" s="33">
        <v>0</v>
      </c>
      <c r="G131" s="33">
        <v>0.39500999999999997</v>
      </c>
      <c r="H131" s="33">
        <v>0</v>
      </c>
      <c r="I131" s="33">
        <v>0.48563000000000001</v>
      </c>
      <c r="J131" s="33">
        <v>0.39500999999999997</v>
      </c>
      <c r="K131" s="33">
        <v>0.48563000000000001</v>
      </c>
      <c r="L131" s="33">
        <v>19.94501</v>
      </c>
      <c r="M131" s="33">
        <v>24.675630000000002</v>
      </c>
      <c r="N131" s="34">
        <v>1.23734015345268</v>
      </c>
      <c r="O131" s="34">
        <v>1.2388993693114601</v>
      </c>
      <c r="P131" s="34">
        <v>1.2384197513204001</v>
      </c>
      <c r="Q131" s="34">
        <v>1.23878682313285</v>
      </c>
      <c r="R131" s="33">
        <v>24.2204826700391</v>
      </c>
      <c r="S131" s="33">
        <v>24.217828474379399</v>
      </c>
      <c r="T131" s="33">
        <v>24.218782392247299</v>
      </c>
      <c r="U131" s="15">
        <v>1.2593418774856399E-3</v>
      </c>
      <c r="V131" s="15">
        <v>1.14975111762102E-3</v>
      </c>
      <c r="W131" s="15">
        <v>1.1891394171331499E-3</v>
      </c>
      <c r="X131" s="34">
        <v>1.23718313502976</v>
      </c>
      <c r="Y131" s="34">
        <v>1.23733334869304</v>
      </c>
      <c r="Z131" s="34">
        <v>1.2370366519260501</v>
      </c>
      <c r="AA131" s="34">
        <v>1.2371947401682</v>
      </c>
      <c r="AB131" s="33">
        <v>24.678626013016199</v>
      </c>
      <c r="AC131" s="33">
        <v>24.671417600910399</v>
      </c>
      <c r="AD131" s="33">
        <v>24.676363323504098</v>
      </c>
      <c r="AE131" s="15">
        <v>1.21408496932624E-4</v>
      </c>
      <c r="AF131" s="15">
        <v>-1.7072547617847701E-4</v>
      </c>
      <c r="AG131" s="15">
        <v>2.97180905912072E-5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0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0</v>
      </c>
      <c r="BE131" s="29">
        <f t="shared" si="42"/>
        <v>0</v>
      </c>
      <c r="BF131" s="29">
        <f t="shared" si="43"/>
        <v>0</v>
      </c>
      <c r="BH131" s="29"/>
    </row>
    <row r="132" spans="1:60" x14ac:dyDescent="0.25">
      <c r="A132" s="1">
        <v>46216</v>
      </c>
      <c r="B132" s="33">
        <v>19.55</v>
      </c>
      <c r="C132" s="33">
        <v>24.19</v>
      </c>
      <c r="D132" s="15">
        <v>0</v>
      </c>
      <c r="E132" s="15">
        <v>0</v>
      </c>
      <c r="F132" s="33">
        <v>0</v>
      </c>
      <c r="G132" s="33">
        <v>0.39500999999999997</v>
      </c>
      <c r="H132" s="33">
        <v>0</v>
      </c>
      <c r="I132" s="33">
        <v>0.48563000000000001</v>
      </c>
      <c r="J132" s="33">
        <v>0.39500999999999997</v>
      </c>
      <c r="K132" s="33">
        <v>0.48563000000000001</v>
      </c>
      <c r="L132" s="33">
        <v>19.94501</v>
      </c>
      <c r="M132" s="33">
        <v>24.675630000000002</v>
      </c>
      <c r="N132" s="34">
        <v>1.23734015345268</v>
      </c>
      <c r="O132" s="34">
        <v>1.2388993693114601</v>
      </c>
      <c r="P132" s="34">
        <v>1.23808822647109</v>
      </c>
      <c r="Q132" s="34">
        <v>1.23881845248238</v>
      </c>
      <c r="R132" s="33">
        <v>24.2204826700391</v>
      </c>
      <c r="S132" s="33">
        <v>24.211106138313799</v>
      </c>
      <c r="T132" s="33">
        <v>24.2182823922473</v>
      </c>
      <c r="U132" s="15">
        <v>1.2593418774856399E-3</v>
      </c>
      <c r="V132" s="15">
        <v>8.72134599210621E-4</v>
      </c>
      <c r="W132" s="15">
        <v>1.16849407034155E-3</v>
      </c>
      <c r="X132" s="34">
        <v>1.23718313502976</v>
      </c>
      <c r="Y132" s="34">
        <v>1.23733334869304</v>
      </c>
      <c r="Z132" s="34">
        <v>1.2371132407824701</v>
      </c>
      <c r="AA132" s="34">
        <v>1.2372258286212101</v>
      </c>
      <c r="AB132" s="33">
        <v>24.678626013016199</v>
      </c>
      <c r="AC132" s="33">
        <v>24.672708393031701</v>
      </c>
      <c r="AD132" s="33">
        <v>24.6758614646022</v>
      </c>
      <c r="AE132" s="15">
        <v>1.21408496932624E-4</v>
      </c>
      <c r="AF132" s="15">
        <v>-1.18407511451797E-4</v>
      </c>
      <c r="AG132" s="15">
        <v>9.3802474995617895E-6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0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0</v>
      </c>
      <c r="BE132" s="29">
        <f t="shared" si="42"/>
        <v>0</v>
      </c>
      <c r="BF132" s="29">
        <f t="shared" si="43"/>
        <v>0</v>
      </c>
      <c r="BH132" s="29"/>
    </row>
    <row r="133" spans="1:60" x14ac:dyDescent="0.25">
      <c r="A133" s="1">
        <v>46217</v>
      </c>
      <c r="B133" s="33">
        <v>19.55</v>
      </c>
      <c r="C133" s="33">
        <v>24.19</v>
      </c>
      <c r="D133" s="15">
        <v>0</v>
      </c>
      <c r="E133" s="15">
        <v>0</v>
      </c>
      <c r="F133" s="33">
        <v>0</v>
      </c>
      <c r="G133" s="33">
        <v>0.39500999999999997</v>
      </c>
      <c r="H133" s="33">
        <v>0</v>
      </c>
      <c r="I133" s="33">
        <v>0.48563000000000001</v>
      </c>
      <c r="J133" s="33">
        <v>0.39500999999999997</v>
      </c>
      <c r="K133" s="33">
        <v>0.48563000000000001</v>
      </c>
      <c r="L133" s="33">
        <v>19.94501</v>
      </c>
      <c r="M133" s="33">
        <v>24.675630000000002</v>
      </c>
      <c r="N133" s="34">
        <v>1.23734015345268</v>
      </c>
      <c r="O133" s="34">
        <v>1.2388993693114601</v>
      </c>
      <c r="P133" s="34">
        <v>1.2377567016217901</v>
      </c>
      <c r="Q133" s="34">
        <v>1.23876730158724</v>
      </c>
      <c r="R133" s="33">
        <v>24.2204826700391</v>
      </c>
      <c r="S133" s="33">
        <v>24.2046248275099</v>
      </c>
      <c r="T133" s="33">
        <v>24.218900746030599</v>
      </c>
      <c r="U133" s="15">
        <v>1.2593418774856399E-3</v>
      </c>
      <c r="V133" s="15">
        <v>6.0439885657843895E-4</v>
      </c>
      <c r="W133" s="15">
        <v>1.1940262645444299E-3</v>
      </c>
      <c r="X133" s="34">
        <v>1.23718313502976</v>
      </c>
      <c r="Y133" s="34">
        <v>1.23733334869304</v>
      </c>
      <c r="Z133" s="34">
        <v>1.2371898296388799</v>
      </c>
      <c r="AA133" s="34">
        <v>1.2371755160175399</v>
      </c>
      <c r="AB133" s="33">
        <v>24.678626013016199</v>
      </c>
      <c r="AC133" s="33">
        <v>24.674235958538699</v>
      </c>
      <c r="AD133" s="33">
        <v>24.676481524108301</v>
      </c>
      <c r="AE133" s="15">
        <v>1.21408496932624E-4</v>
      </c>
      <c r="AF133" s="15">
        <v>-5.64962613173881E-5</v>
      </c>
      <c r="AG133" s="15">
        <v>3.4508112504784198E-5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0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0</v>
      </c>
      <c r="BE133" s="29">
        <f t="shared" si="42"/>
        <v>0</v>
      </c>
      <c r="BF133" s="29">
        <f t="shared" si="43"/>
        <v>0</v>
      </c>
      <c r="BH133" s="29"/>
    </row>
    <row r="134" spans="1:60" x14ac:dyDescent="0.25">
      <c r="A134" s="1">
        <v>46218</v>
      </c>
      <c r="B134" s="33">
        <v>19.55</v>
      </c>
      <c r="C134" s="33">
        <v>24.21</v>
      </c>
      <c r="D134" s="15">
        <v>0</v>
      </c>
      <c r="E134" s="15">
        <v>8.26446328031118E-4</v>
      </c>
      <c r="F134" s="33">
        <v>0</v>
      </c>
      <c r="G134" s="33">
        <v>0.39500999999999997</v>
      </c>
      <c r="H134" s="33">
        <v>0</v>
      </c>
      <c r="I134" s="33">
        <v>0.48563000000000001</v>
      </c>
      <c r="J134" s="33">
        <v>0.39500999999999997</v>
      </c>
      <c r="K134" s="33">
        <v>0.48563000000000001</v>
      </c>
      <c r="L134" s="33">
        <v>19.94501</v>
      </c>
      <c r="M134" s="33">
        <v>24.695630000000001</v>
      </c>
      <c r="N134" s="34">
        <v>1.2383631713554899</v>
      </c>
      <c r="O134" s="34">
        <v>1.2388993693114601</v>
      </c>
      <c r="P134" s="34">
        <v>1.2375274785627699</v>
      </c>
      <c r="Q134" s="34">
        <v>1.23879895708753</v>
      </c>
      <c r="R134" s="33">
        <v>24.2204826700391</v>
      </c>
      <c r="S134" s="33">
        <v>24.198143516706001</v>
      </c>
      <c r="T134" s="33">
        <v>24.217900746030601</v>
      </c>
      <c r="U134" s="15">
        <v>4.32895549454491E-4</v>
      </c>
      <c r="V134" s="15">
        <v>-4.8985491571047301E-4</v>
      </c>
      <c r="W134" s="15">
        <v>3.2628901847831302E-4</v>
      </c>
      <c r="X134" s="34">
        <v>1.2381858921103499</v>
      </c>
      <c r="Y134" s="34">
        <v>1.23733334869304</v>
      </c>
      <c r="Z134" s="34">
        <v>1.2373666942033501</v>
      </c>
      <c r="AA134" s="34">
        <v>1.2372064666631299</v>
      </c>
      <c r="AB134" s="33">
        <v>24.678626013016199</v>
      </c>
      <c r="AC134" s="33">
        <v>24.675763524045799</v>
      </c>
      <c r="AD134" s="33">
        <v>24.6754780387251</v>
      </c>
      <c r="AE134" s="15">
        <v>-6.8877949883686899E-4</v>
      </c>
      <c r="AF134" s="15">
        <v>-8.0477683971798503E-4</v>
      </c>
      <c r="AG134" s="15">
        <v>-8.1634636914367301E-4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0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0</v>
      </c>
      <c r="BE134" s="29">
        <f t="shared" si="42"/>
        <v>0</v>
      </c>
      <c r="BF134" s="29">
        <f t="shared" si="43"/>
        <v>0</v>
      </c>
      <c r="BH134" s="29"/>
    </row>
    <row r="135" spans="1:60" x14ac:dyDescent="0.25">
      <c r="A135" s="1">
        <v>46219</v>
      </c>
      <c r="B135" s="33">
        <v>19.55</v>
      </c>
      <c r="C135" s="33">
        <v>24.2</v>
      </c>
      <c r="D135" s="15">
        <v>0</v>
      </c>
      <c r="E135" s="15">
        <v>-4.1313778732649501E-4</v>
      </c>
      <c r="F135" s="33">
        <v>0</v>
      </c>
      <c r="G135" s="33">
        <v>0.39500999999999997</v>
      </c>
      <c r="H135" s="33">
        <v>0</v>
      </c>
      <c r="I135" s="33">
        <v>0.48563000000000001</v>
      </c>
      <c r="J135" s="33">
        <v>0.39500999999999997</v>
      </c>
      <c r="K135" s="33">
        <v>0.48563000000000001</v>
      </c>
      <c r="L135" s="33">
        <v>19.94501</v>
      </c>
      <c r="M135" s="33">
        <v>24.68563</v>
      </c>
      <c r="N135" s="34">
        <v>1.2378516624040901</v>
      </c>
      <c r="O135" s="34">
        <v>1.2388993693114601</v>
      </c>
      <c r="P135" s="34">
        <v>1.2376055275476701</v>
      </c>
      <c r="Q135" s="34">
        <v>1.23883666028949</v>
      </c>
      <c r="R135" s="33">
        <v>24.2204826700391</v>
      </c>
      <c r="S135" s="33">
        <v>24.1936622059021</v>
      </c>
      <c r="T135" s="33">
        <v>24.2185196110612</v>
      </c>
      <c r="U135" s="15">
        <v>8.4603333678089402E-4</v>
      </c>
      <c r="V135" s="15">
        <v>-2.6192661787431698E-4</v>
      </c>
      <c r="W135" s="15">
        <v>7.6498051213342796E-4</v>
      </c>
      <c r="X135" s="34">
        <v>1.23768451357006</v>
      </c>
      <c r="Y135" s="34">
        <v>1.23733334869304</v>
      </c>
      <c r="Z135" s="34">
        <v>1.23744321265794</v>
      </c>
      <c r="AA135" s="34">
        <v>1.23724344249565</v>
      </c>
      <c r="AB135" s="33">
        <v>24.678626013016199</v>
      </c>
      <c r="AC135" s="33">
        <v>24.679291089552901</v>
      </c>
      <c r="AD135" s="33">
        <v>24.676095349660802</v>
      </c>
      <c r="AE135" s="15">
        <v>-2.8376755152339199E-4</v>
      </c>
      <c r="AF135" s="15">
        <v>-2.5681841850451898E-4</v>
      </c>
      <c r="AG135" s="15">
        <v>-3.8631755232208402E-4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0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0</v>
      </c>
      <c r="BE135" s="29">
        <f t="shared" si="42"/>
        <v>0</v>
      </c>
      <c r="BF135" s="29">
        <f t="shared" si="43"/>
        <v>0</v>
      </c>
      <c r="BH135" s="29"/>
    </row>
    <row r="136" spans="1:60" x14ac:dyDescent="0.25">
      <c r="A136" s="1">
        <v>46220</v>
      </c>
      <c r="B136" s="33">
        <v>19.57</v>
      </c>
      <c r="C136" s="33">
        <v>24.22</v>
      </c>
      <c r="D136" s="15">
        <v>1.02249497661001E-3</v>
      </c>
      <c r="E136" s="15">
        <v>8.2610496230545497E-4</v>
      </c>
      <c r="F136" s="33">
        <v>0</v>
      </c>
      <c r="G136" s="33">
        <v>0.39500999999999997</v>
      </c>
      <c r="H136" s="33">
        <v>0</v>
      </c>
      <c r="I136" s="33">
        <v>0.48563000000000001</v>
      </c>
      <c r="J136" s="33">
        <v>0.39500999999999997</v>
      </c>
      <c r="K136" s="33">
        <v>0.48563000000000001</v>
      </c>
      <c r="L136" s="33">
        <v>19.965009999999999</v>
      </c>
      <c r="M136" s="33">
        <v>24.705629999999999</v>
      </c>
      <c r="N136" s="34">
        <v>1.2376085845682101</v>
      </c>
      <c r="O136" s="34">
        <v>1.2388993693114601</v>
      </c>
      <c r="P136" s="34">
        <v>1.2376202242849399</v>
      </c>
      <c r="Q136" s="34">
        <v>1.2388877589098299</v>
      </c>
      <c r="R136" s="33">
        <v>24.245260657425401</v>
      </c>
      <c r="S136" s="33">
        <v>24.219940174108</v>
      </c>
      <c r="T136" s="33">
        <v>24.244033441865401</v>
      </c>
      <c r="U136" s="15">
        <v>1.0424233510854899E-3</v>
      </c>
      <c r="V136" s="15">
        <v>-2.4701059407156499E-6</v>
      </c>
      <c r="W136" s="15">
        <v>9.9180535042984802E-4</v>
      </c>
      <c r="X136" s="34">
        <v>1.2374464124986599</v>
      </c>
      <c r="Y136" s="34">
        <v>1.23733334869304</v>
      </c>
      <c r="Z136" s="34">
        <v>1.2374576425861199</v>
      </c>
      <c r="AA136" s="34">
        <v>1.2372936384734601</v>
      </c>
      <c r="AB136" s="33">
        <v>24.70337267999</v>
      </c>
      <c r="AC136" s="33">
        <v>24.705566115147999</v>
      </c>
      <c r="AD136" s="33">
        <v>24.701577701860099</v>
      </c>
      <c r="AE136" s="15">
        <v>-9.1372822322525495E-5</v>
      </c>
      <c r="AF136" s="15">
        <v>-2.5858451924956501E-6</v>
      </c>
      <c r="AG136" s="15">
        <v>-1.64036720042937E-4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0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0</v>
      </c>
      <c r="BE136" s="29">
        <f t="shared" si="42"/>
        <v>0</v>
      </c>
      <c r="BF136" s="29">
        <f t="shared" si="43"/>
        <v>0</v>
      </c>
      <c r="BH136" s="29"/>
    </row>
    <row r="137" spans="1:60" x14ac:dyDescent="0.25">
      <c r="A137" s="1">
        <v>46223</v>
      </c>
      <c r="B137" s="33">
        <v>19.510000000000002</v>
      </c>
      <c r="C137" s="33">
        <v>24.21</v>
      </c>
      <c r="D137" s="15">
        <v>-3.0706267729649298E-3</v>
      </c>
      <c r="E137" s="15">
        <v>-4.1296717497902799E-4</v>
      </c>
      <c r="F137" s="33">
        <v>6.4280000000000004E-2</v>
      </c>
      <c r="G137" s="33">
        <v>0.45928999999999998</v>
      </c>
      <c r="H137" s="33">
        <v>0</v>
      </c>
      <c r="I137" s="33">
        <v>0.48563000000000001</v>
      </c>
      <c r="J137" s="33">
        <v>0.45928999999999998</v>
      </c>
      <c r="K137" s="33">
        <v>0.48563000000000001</v>
      </c>
      <c r="L137" s="33">
        <v>19.969290000000001</v>
      </c>
      <c r="M137" s="33">
        <v>24.695630000000001</v>
      </c>
      <c r="N137" s="34">
        <v>1.2409021014864099</v>
      </c>
      <c r="O137" s="34">
        <v>1.2388993693114601</v>
      </c>
      <c r="P137" s="34">
        <v>1.23801544978671</v>
      </c>
      <c r="Q137" s="34">
        <v>1.2390524347557399</v>
      </c>
      <c r="R137" s="33">
        <v>24.170926695266701</v>
      </c>
      <c r="S137" s="33">
        <v>24.1459705757993</v>
      </c>
      <c r="T137" s="33">
        <v>24.170700176330801</v>
      </c>
      <c r="U137" s="15">
        <v>-1.6152362469004E-3</v>
      </c>
      <c r="V137" s="15">
        <v>-2.6482546357545198E-3</v>
      </c>
      <c r="W137" s="15">
        <v>-1.62460783617278E-3</v>
      </c>
      <c r="X137" s="34">
        <v>1.2366804227891901</v>
      </c>
      <c r="Y137" s="34">
        <v>1.23733334869304</v>
      </c>
      <c r="Z137" s="34">
        <v>1.23744563654803</v>
      </c>
      <c r="AA137" s="34">
        <v>1.23725528456808</v>
      </c>
      <c r="AB137" s="33">
        <v>24.708668466722401</v>
      </c>
      <c r="AC137" s="33">
        <v>24.711150527518601</v>
      </c>
      <c r="AD137" s="33">
        <v>24.707875481831799</v>
      </c>
      <c r="AE137" s="15">
        <v>5.2782723082146299E-4</v>
      </c>
      <c r="AF137" s="15">
        <v>6.2827522309568903E-4</v>
      </c>
      <c r="AG137" s="15">
        <v>4.9573332755327795E-4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0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0</v>
      </c>
      <c r="BE137" s="29">
        <f t="shared" si="42"/>
        <v>0</v>
      </c>
      <c r="BF137" s="29">
        <f t="shared" si="43"/>
        <v>0</v>
      </c>
      <c r="BH137" s="29"/>
    </row>
    <row r="138" spans="1:60" x14ac:dyDescent="0.25">
      <c r="A138" s="1">
        <v>46224</v>
      </c>
      <c r="B138" s="33">
        <v>19.5</v>
      </c>
      <c r="C138" s="33">
        <v>24.21</v>
      </c>
      <c r="D138" s="15">
        <v>-5.1268906531883398E-4</v>
      </c>
      <c r="E138" s="15">
        <v>0</v>
      </c>
      <c r="F138" s="33">
        <v>0</v>
      </c>
      <c r="G138" s="33">
        <v>0.45928999999999998</v>
      </c>
      <c r="H138" s="33">
        <v>0</v>
      </c>
      <c r="I138" s="33">
        <v>0.48563000000000001</v>
      </c>
      <c r="J138" s="33">
        <v>0.45928999999999998</v>
      </c>
      <c r="K138" s="33">
        <v>0.48563000000000001</v>
      </c>
      <c r="L138" s="33">
        <v>19.959289999999999</v>
      </c>
      <c r="M138" s="33">
        <v>24.695630000000001</v>
      </c>
      <c r="N138" s="34">
        <v>1.2415384615384599</v>
      </c>
      <c r="O138" s="34">
        <v>1.2388993693114601</v>
      </c>
      <c r="P138" s="34">
        <v>1.23835977213103</v>
      </c>
      <c r="Q138" s="34">
        <v>1.2390267937301001</v>
      </c>
      <c r="R138" s="33">
        <v>24.1585377015736</v>
      </c>
      <c r="S138" s="33">
        <v>24.141301270840799</v>
      </c>
      <c r="T138" s="33">
        <v>24.161522477736899</v>
      </c>
      <c r="U138" s="15">
        <v>-2.12792531221929E-3</v>
      </c>
      <c r="V138" s="15">
        <v>-2.8416515618782498E-3</v>
      </c>
      <c r="W138" s="15">
        <v>-2.0043834061831498E-3</v>
      </c>
      <c r="X138" s="34">
        <v>1.23730002419925</v>
      </c>
      <c r="Y138" s="34">
        <v>1.23733334869304</v>
      </c>
      <c r="Z138" s="34">
        <v>1.2373833297043699</v>
      </c>
      <c r="AA138" s="34">
        <v>1.2372313347295101</v>
      </c>
      <c r="AB138" s="33">
        <v>24.696295133235498</v>
      </c>
      <c r="AC138" s="33">
        <v>24.698536319096799</v>
      </c>
      <c r="AD138" s="33">
        <v>24.694737028726799</v>
      </c>
      <c r="AE138" s="15">
        <v>2.6932873492428899E-5</v>
      </c>
      <c r="AF138" s="15">
        <v>1.17678637652996E-4</v>
      </c>
      <c r="AG138" s="15">
        <v>-3.6159734254675701E-5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0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0</v>
      </c>
      <c r="BE138" s="29">
        <f t="shared" si="42"/>
        <v>0</v>
      </c>
      <c r="BF138" s="29">
        <f t="shared" si="43"/>
        <v>0</v>
      </c>
      <c r="BH138" s="29"/>
    </row>
    <row r="139" spans="1:60" x14ac:dyDescent="0.25">
      <c r="A139" s="1">
        <v>46225</v>
      </c>
      <c r="B139" s="33">
        <v>19.5</v>
      </c>
      <c r="C139" s="33">
        <v>24.22</v>
      </c>
      <c r="D139" s="15">
        <v>0</v>
      </c>
      <c r="E139" s="15">
        <v>4.12967174978938E-4</v>
      </c>
      <c r="F139" s="33">
        <v>0</v>
      </c>
      <c r="G139" s="33">
        <v>0.45928999999999998</v>
      </c>
      <c r="H139" s="33">
        <v>0</v>
      </c>
      <c r="I139" s="33">
        <v>0.48563000000000001</v>
      </c>
      <c r="J139" s="33">
        <v>0.45928999999999998</v>
      </c>
      <c r="K139" s="33">
        <v>0.48563000000000001</v>
      </c>
      <c r="L139" s="33">
        <v>19.959289999999999</v>
      </c>
      <c r="M139" s="33">
        <v>24.705629999999999</v>
      </c>
      <c r="N139" s="34">
        <v>1.2420512820512799</v>
      </c>
      <c r="O139" s="34">
        <v>1.2388993693114601</v>
      </c>
      <c r="P139" s="34">
        <v>1.2388187386166101</v>
      </c>
      <c r="Q139" s="34">
        <v>1.23900115270446</v>
      </c>
      <c r="R139" s="33">
        <v>24.1585377015736</v>
      </c>
      <c r="S139" s="33">
        <v>24.148015556555102</v>
      </c>
      <c r="T139" s="33">
        <v>24.1610224777369</v>
      </c>
      <c r="U139" s="15">
        <v>-2.5408924871983202E-3</v>
      </c>
      <c r="V139" s="15">
        <v>-2.9765329738484802E-3</v>
      </c>
      <c r="W139" s="15">
        <v>-2.4380448554590802E-3</v>
      </c>
      <c r="X139" s="34">
        <v>1.2378010440251099</v>
      </c>
      <c r="Y139" s="34">
        <v>1.23733334869304</v>
      </c>
      <c r="Z139" s="34">
        <v>1.2374332227852001</v>
      </c>
      <c r="AA139" s="34">
        <v>1.23720730395217</v>
      </c>
      <c r="AB139" s="33">
        <v>24.696295133235498</v>
      </c>
      <c r="AC139" s="33">
        <v>24.697292718735302</v>
      </c>
      <c r="AD139" s="33">
        <v>24.694259006953398</v>
      </c>
      <c r="AE139" s="15">
        <v>-3.77915105550398E-4</v>
      </c>
      <c r="AF139" s="15">
        <v>-3.3752178555538102E-4</v>
      </c>
      <c r="AG139" s="15">
        <v>-4.6036513344305903E-4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0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0</v>
      </c>
      <c r="BE139" s="29">
        <f t="shared" si="42"/>
        <v>0</v>
      </c>
      <c r="BF139" s="29">
        <f t="shared" si="43"/>
        <v>0</v>
      </c>
      <c r="BH139" s="29"/>
    </row>
    <row r="140" spans="1:60" x14ac:dyDescent="0.25">
      <c r="A140" s="1">
        <v>46226</v>
      </c>
      <c r="B140" s="33">
        <v>19.5</v>
      </c>
      <c r="C140" s="33">
        <v>24.21</v>
      </c>
      <c r="D140" s="15">
        <v>0</v>
      </c>
      <c r="E140" s="15">
        <v>-4.1296717497902799E-4</v>
      </c>
      <c r="F140" s="33">
        <v>0</v>
      </c>
      <c r="G140" s="33">
        <v>0.45928999999999998</v>
      </c>
      <c r="H140" s="33">
        <v>0</v>
      </c>
      <c r="I140" s="33">
        <v>0.48563000000000001</v>
      </c>
      <c r="J140" s="33">
        <v>0.45928999999999998</v>
      </c>
      <c r="K140" s="33">
        <v>0.48563000000000001</v>
      </c>
      <c r="L140" s="33">
        <v>19.959289999999999</v>
      </c>
      <c r="M140" s="33">
        <v>24.695630000000001</v>
      </c>
      <c r="N140" s="34">
        <v>1.2415384615384599</v>
      </c>
      <c r="O140" s="34">
        <v>1.2388993693114601</v>
      </c>
      <c r="P140" s="34">
        <v>1.23918741853004</v>
      </c>
      <c r="Q140" s="34">
        <v>1.2389755116788199</v>
      </c>
      <c r="R140" s="33">
        <v>24.1585377015736</v>
      </c>
      <c r="S140" s="33">
        <v>24.1569654030239</v>
      </c>
      <c r="T140" s="33">
        <v>24.160522477736901</v>
      </c>
      <c r="U140" s="15">
        <v>-2.12792531221929E-3</v>
      </c>
      <c r="V140" s="15">
        <v>-2.1930099516918201E-3</v>
      </c>
      <c r="W140" s="15">
        <v>-2.0457723830388901E-3</v>
      </c>
      <c r="X140" s="34">
        <v>1.23730002419925</v>
      </c>
      <c r="Y140" s="34">
        <v>1.23733334869304</v>
      </c>
      <c r="Z140" s="34">
        <v>1.2373947738481199</v>
      </c>
      <c r="AA140" s="34">
        <v>1.2371833541135999</v>
      </c>
      <c r="AB140" s="33">
        <v>24.696295133235498</v>
      </c>
      <c r="AC140" s="33">
        <v>24.698288549204399</v>
      </c>
      <c r="AD140" s="33">
        <v>24.693779369699499</v>
      </c>
      <c r="AE140" s="15">
        <v>2.6932873492428899E-5</v>
      </c>
      <c r="AF140" s="15">
        <v>1.07646823134252E-4</v>
      </c>
      <c r="AG140" s="15">
        <v>-7.4940369803881999E-5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0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0</v>
      </c>
      <c r="BE140" s="29">
        <f t="shared" si="42"/>
        <v>0</v>
      </c>
      <c r="BF140" s="29">
        <f t="shared" si="43"/>
        <v>0</v>
      </c>
      <c r="BH140" s="29"/>
    </row>
    <row r="141" spans="1:60" x14ac:dyDescent="0.25">
      <c r="A141" s="1">
        <v>46227</v>
      </c>
      <c r="B141" s="33">
        <v>19.52</v>
      </c>
      <c r="C141" s="33">
        <v>24.22</v>
      </c>
      <c r="D141" s="15">
        <v>1.0251154152453501E-3</v>
      </c>
      <c r="E141" s="15">
        <v>4.12967174978938E-4</v>
      </c>
      <c r="F141" s="33">
        <v>0</v>
      </c>
      <c r="G141" s="33">
        <v>0.45928999999999998</v>
      </c>
      <c r="H141" s="33">
        <v>0</v>
      </c>
      <c r="I141" s="33">
        <v>0.48563000000000001</v>
      </c>
      <c r="J141" s="33">
        <v>0.45928999999999998</v>
      </c>
      <c r="K141" s="33">
        <v>0.48563000000000001</v>
      </c>
      <c r="L141" s="33">
        <v>19.979289999999999</v>
      </c>
      <c r="M141" s="33">
        <v>24.705629999999999</v>
      </c>
      <c r="N141" s="34">
        <v>1.2407786885245899</v>
      </c>
      <c r="O141" s="34">
        <v>1.2388993693114601</v>
      </c>
      <c r="P141" s="34">
        <v>1.23953127203723</v>
      </c>
      <c r="Q141" s="34">
        <v>1.2389755116788199</v>
      </c>
      <c r="R141" s="33">
        <v>24.183315688959802</v>
      </c>
      <c r="S141" s="33">
        <v>24.188938409706498</v>
      </c>
      <c r="T141" s="33">
        <v>24.184801987970499</v>
      </c>
      <c r="U141" s="15">
        <v>-1.5157770719528901E-3</v>
      </c>
      <c r="V141" s="15">
        <v>-1.2832999680101899E-3</v>
      </c>
      <c r="W141" s="15">
        <v>-1.45431927361094E-3</v>
      </c>
      <c r="X141" s="34">
        <v>1.2365619599094799</v>
      </c>
      <c r="Y141" s="34">
        <v>1.23733334869304</v>
      </c>
      <c r="Z141" s="34">
        <v>1.23733265633609</v>
      </c>
      <c r="AA141" s="34">
        <v>1.23718465413107</v>
      </c>
      <c r="AB141" s="33">
        <v>24.721041800209399</v>
      </c>
      <c r="AC141" s="33">
        <v>24.722269031195999</v>
      </c>
      <c r="AD141" s="33">
        <v>24.7180450150084</v>
      </c>
      <c r="AE141" s="15">
        <v>6.2362283955430401E-4</v>
      </c>
      <c r="AF141" s="15">
        <v>6.7326478165788102E-4</v>
      </c>
      <c r="AG141" s="15">
        <v>5.0239142539760997E-4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0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0</v>
      </c>
      <c r="BE141" s="29">
        <f t="shared" si="42"/>
        <v>0</v>
      </c>
      <c r="BF141" s="29">
        <f t="shared" si="43"/>
        <v>0</v>
      </c>
      <c r="BH141" s="29"/>
    </row>
    <row r="142" spans="1:60" x14ac:dyDescent="0.25">
      <c r="A142" s="1">
        <v>46230</v>
      </c>
      <c r="B142" s="33">
        <v>19.52</v>
      </c>
      <c r="C142" s="33">
        <v>24.23</v>
      </c>
      <c r="D142" s="15">
        <v>0</v>
      </c>
      <c r="E142" s="15">
        <v>4.1279670348812598E-4</v>
      </c>
      <c r="F142" s="33">
        <v>0</v>
      </c>
      <c r="G142" s="33">
        <v>0.45928999999999998</v>
      </c>
      <c r="H142" s="33">
        <v>0</v>
      </c>
      <c r="I142" s="33">
        <v>0.48563000000000001</v>
      </c>
      <c r="J142" s="33">
        <v>0.45928999999999998</v>
      </c>
      <c r="K142" s="33">
        <v>0.48563000000000001</v>
      </c>
      <c r="L142" s="33">
        <v>19.979289999999999</v>
      </c>
      <c r="M142" s="33">
        <v>24.715630000000001</v>
      </c>
      <c r="N142" s="34">
        <v>1.24129098360655</v>
      </c>
      <c r="O142" s="34">
        <v>1.2388993693114601</v>
      </c>
      <c r="P142" s="34">
        <v>1.2399263550526201</v>
      </c>
      <c r="Q142" s="34">
        <v>1.2390072907618599</v>
      </c>
      <c r="R142" s="33">
        <v>24.183315688959802</v>
      </c>
      <c r="S142" s="33">
        <v>24.1956504301669</v>
      </c>
      <c r="T142" s="33">
        <v>24.184801987970499</v>
      </c>
      <c r="U142" s="15">
        <v>-1.9285737754411701E-3</v>
      </c>
      <c r="V142" s="15">
        <v>-1.4186521105608099E-3</v>
      </c>
      <c r="W142" s="15">
        <v>-1.8671159770991101E-3</v>
      </c>
      <c r="X142" s="34">
        <v>1.2370624781961701</v>
      </c>
      <c r="Y142" s="34">
        <v>1.23733334869304</v>
      </c>
      <c r="Z142" s="34">
        <v>1.23732059065273</v>
      </c>
      <c r="AA142" s="34">
        <v>1.2372169157176001</v>
      </c>
      <c r="AB142" s="33">
        <v>24.721041800209399</v>
      </c>
      <c r="AC142" s="33">
        <v>24.7210279674091</v>
      </c>
      <c r="AD142" s="33">
        <v>24.718070988434398</v>
      </c>
      <c r="AE142" s="15">
        <v>2.18938696071216E-4</v>
      </c>
      <c r="AF142" s="15">
        <v>2.18379140196945E-4</v>
      </c>
      <c r="AG142" s="15">
        <v>9.8758069398414104E-5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0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0</v>
      </c>
      <c r="BE142" s="29">
        <f t="shared" si="42"/>
        <v>0</v>
      </c>
      <c r="BF142" s="29">
        <f t="shared" si="43"/>
        <v>0</v>
      </c>
      <c r="BH142" s="29"/>
    </row>
    <row r="143" spans="1:60" x14ac:dyDescent="0.25">
      <c r="A143" s="1">
        <v>46231</v>
      </c>
      <c r="B143" s="33">
        <v>19.52</v>
      </c>
      <c r="C143" s="33">
        <v>24.24</v>
      </c>
      <c r="D143" s="15">
        <v>0</v>
      </c>
      <c r="E143" s="15">
        <v>4.1262637267935502E-4</v>
      </c>
      <c r="F143" s="33">
        <v>0</v>
      </c>
      <c r="G143" s="33">
        <v>0.45928999999999998</v>
      </c>
      <c r="H143" s="33">
        <v>0</v>
      </c>
      <c r="I143" s="33">
        <v>0.48563000000000001</v>
      </c>
      <c r="J143" s="33">
        <v>0.45928999999999998</v>
      </c>
      <c r="K143" s="33">
        <v>0.48563000000000001</v>
      </c>
      <c r="L143" s="33">
        <v>19.979289999999999</v>
      </c>
      <c r="M143" s="33">
        <v>24.725629999999999</v>
      </c>
      <c r="N143" s="34">
        <v>1.24180327868852</v>
      </c>
      <c r="O143" s="34">
        <v>1.2388993693114601</v>
      </c>
      <c r="P143" s="34">
        <v>1.2403726675762099</v>
      </c>
      <c r="Q143" s="34">
        <v>1.2390646845990001</v>
      </c>
      <c r="R143" s="33">
        <v>24.183315688959802</v>
      </c>
      <c r="S143" s="33">
        <v>24.2033624506272</v>
      </c>
      <c r="T143" s="33">
        <v>24.185422315671499</v>
      </c>
      <c r="U143" s="15">
        <v>-2.3412001481204802E-3</v>
      </c>
      <c r="V143" s="15">
        <v>-1.5125934495339201E-3</v>
      </c>
      <c r="W143" s="15">
        <v>-2.25409319433479E-3</v>
      </c>
      <c r="X143" s="34">
        <v>1.2375629964828501</v>
      </c>
      <c r="Y143" s="34">
        <v>1.23733334869304</v>
      </c>
      <c r="Z143" s="34">
        <v>1.23735857679804</v>
      </c>
      <c r="AA143" s="34">
        <v>1.23727420321846</v>
      </c>
      <c r="AB143" s="33">
        <v>24.721041800209399</v>
      </c>
      <c r="AC143" s="33">
        <v>24.720786903622201</v>
      </c>
      <c r="AD143" s="33">
        <v>24.718715552027501</v>
      </c>
      <c r="AE143" s="15">
        <v>-1.8558174440142799E-4</v>
      </c>
      <c r="AF143" s="15">
        <v>-1.9589271362922399E-4</v>
      </c>
      <c r="AG143" s="15">
        <v>-2.7968609718058098E-4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0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0</v>
      </c>
      <c r="BE143" s="29">
        <f t="shared" si="42"/>
        <v>0</v>
      </c>
      <c r="BF143" s="29">
        <f t="shared" si="43"/>
        <v>0</v>
      </c>
      <c r="BH143" s="29"/>
    </row>
    <row r="144" spans="1:60" x14ac:dyDescent="0.25">
      <c r="A144" s="1">
        <v>46232</v>
      </c>
      <c r="B144" s="33">
        <v>19.510000000000002</v>
      </c>
      <c r="C144" s="33">
        <v>24.24</v>
      </c>
      <c r="D144" s="15">
        <v>-5.1242634992652197E-4</v>
      </c>
      <c r="E144" s="15">
        <v>0</v>
      </c>
      <c r="F144" s="33">
        <v>0</v>
      </c>
      <c r="G144" s="33">
        <v>0.45928999999999998</v>
      </c>
      <c r="H144" s="33">
        <v>0</v>
      </c>
      <c r="I144" s="33">
        <v>0.48563000000000001</v>
      </c>
      <c r="J144" s="33">
        <v>0.45928999999999998</v>
      </c>
      <c r="K144" s="33">
        <v>0.48563000000000001</v>
      </c>
      <c r="L144" s="33">
        <v>19.969290000000001</v>
      </c>
      <c r="M144" s="33">
        <v>24.725629999999999</v>
      </c>
      <c r="N144" s="34">
        <v>1.2424397744746201</v>
      </c>
      <c r="O144" s="34">
        <v>1.2388993693114601</v>
      </c>
      <c r="P144" s="34">
        <v>1.24078032788812</v>
      </c>
      <c r="Q144" s="34">
        <v>1.2391539032254399</v>
      </c>
      <c r="R144" s="33">
        <v>24.170926695266701</v>
      </c>
      <c r="S144" s="33">
        <v>24.199670744411801</v>
      </c>
      <c r="T144" s="33">
        <v>24.174151996526501</v>
      </c>
      <c r="U144" s="15">
        <v>-2.8536264980468999E-3</v>
      </c>
      <c r="V144" s="15">
        <v>-1.66513373384562E-3</v>
      </c>
      <c r="W144" s="15">
        <v>-2.72019818013527E-3</v>
      </c>
      <c r="X144" s="34">
        <v>1.23818272958127</v>
      </c>
      <c r="Y144" s="34">
        <v>1.23733334869304</v>
      </c>
      <c r="Z144" s="34">
        <v>1.2373582605451301</v>
      </c>
      <c r="AA144" s="34">
        <v>1.23736247737424</v>
      </c>
      <c r="AB144" s="33">
        <v>24.708668466722401</v>
      </c>
      <c r="AC144" s="33">
        <v>24.709172254067301</v>
      </c>
      <c r="AD144" s="33">
        <v>24.7074873735884</v>
      </c>
      <c r="AE144" s="15">
        <v>-6.8622533217693401E-4</v>
      </c>
      <c r="AF144" s="15">
        <v>-6.6583644680398297E-4</v>
      </c>
      <c r="AG144" s="15">
        <v>-7.3402723478067195E-4</v>
      </c>
      <c r="AI144" s="12"/>
      <c r="AJ144">
        <f t="shared" si="26"/>
        <v>0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0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0</v>
      </c>
      <c r="BE144" s="29">
        <f t="shared" si="42"/>
        <v>0</v>
      </c>
      <c r="BF144" s="29">
        <f t="shared" si="43"/>
        <v>0</v>
      </c>
      <c r="BH144" s="29"/>
    </row>
    <row r="145" spans="1:60" x14ac:dyDescent="0.25">
      <c r="A145" s="1">
        <v>46233</v>
      </c>
      <c r="B145" s="33">
        <v>19.53</v>
      </c>
      <c r="C145" s="33">
        <v>24.25</v>
      </c>
      <c r="D145" s="15">
        <v>1.0245902535677199E-3</v>
      </c>
      <c r="E145" s="15">
        <v>4.1245618237846401E-4</v>
      </c>
      <c r="F145" s="33">
        <v>0</v>
      </c>
      <c r="G145" s="33">
        <v>0.45928999999999998</v>
      </c>
      <c r="H145" s="33">
        <v>0</v>
      </c>
      <c r="I145" s="33">
        <v>0.48563000000000001</v>
      </c>
      <c r="J145" s="33">
        <v>0.45928999999999998</v>
      </c>
      <c r="K145" s="33">
        <v>0.48563000000000001</v>
      </c>
      <c r="L145" s="33">
        <v>19.98929</v>
      </c>
      <c r="M145" s="33">
        <v>24.73563</v>
      </c>
      <c r="N145" s="34">
        <v>1.24167946748591</v>
      </c>
      <c r="O145" s="34">
        <v>1.2388993693114601</v>
      </c>
      <c r="P145" s="34">
        <v>1.2411631083963</v>
      </c>
      <c r="Q145" s="34">
        <v>1.2393843179719899</v>
      </c>
      <c r="R145" s="33">
        <v>24.195704682652899</v>
      </c>
      <c r="S145" s="33">
        <v>24.232439803655001</v>
      </c>
      <c r="T145" s="33">
        <v>24.200675729992899</v>
      </c>
      <c r="U145" s="15">
        <v>-2.2414924268578502E-3</v>
      </c>
      <c r="V145" s="15">
        <v>-7.2439411811582805E-4</v>
      </c>
      <c r="W145" s="15">
        <v>-2.0360618837012298E-3</v>
      </c>
      <c r="X145" s="34">
        <v>1.2374441513430401</v>
      </c>
      <c r="Y145" s="34">
        <v>1.23733334869304</v>
      </c>
      <c r="Z145" s="34">
        <v>1.2373342243224299</v>
      </c>
      <c r="AA145" s="34">
        <v>1.23738871849018</v>
      </c>
      <c r="AB145" s="33">
        <v>24.733415133696301</v>
      </c>
      <c r="AC145" s="33">
        <v>24.733913103932199</v>
      </c>
      <c r="AD145" s="33">
        <v>24.733997395352201</v>
      </c>
      <c r="AE145" s="15">
        <v>-8.9545545064051007E-5</v>
      </c>
      <c r="AF145" s="15">
        <v>-6.9412246838343906E-5</v>
      </c>
      <c r="AG145" s="15">
        <v>-6.6004323634759305E-5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0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0</v>
      </c>
      <c r="BE145" s="29">
        <f t="shared" si="42"/>
        <v>0</v>
      </c>
      <c r="BF145" s="29">
        <f t="shared" si="43"/>
        <v>0</v>
      </c>
      <c r="BH145" s="29"/>
    </row>
    <row r="146" spans="1:60" x14ac:dyDescent="0.25">
      <c r="A146" s="1">
        <v>46234</v>
      </c>
      <c r="B146" s="33">
        <v>19.53</v>
      </c>
      <c r="C146" s="33">
        <v>24.24</v>
      </c>
      <c r="D146" s="15">
        <v>0</v>
      </c>
      <c r="E146" s="15">
        <v>-4.1245618237858799E-4</v>
      </c>
      <c r="F146" s="33">
        <v>0</v>
      </c>
      <c r="G146" s="33">
        <v>0.45928999999999998</v>
      </c>
      <c r="H146" s="33">
        <v>0</v>
      </c>
      <c r="I146" s="33">
        <v>0.48563000000000001</v>
      </c>
      <c r="J146" s="33">
        <v>0.45928999999999998</v>
      </c>
      <c r="K146" s="33">
        <v>0.48563000000000001</v>
      </c>
      <c r="L146" s="33">
        <v>19.98929</v>
      </c>
      <c r="M146" s="33">
        <v>24.725629999999999</v>
      </c>
      <c r="N146" s="34">
        <v>1.2411674347158199</v>
      </c>
      <c r="O146" s="34">
        <v>1.2388993693114601</v>
      </c>
      <c r="P146" s="34">
        <v>1.24151899341106</v>
      </c>
      <c r="Q146" s="34">
        <v>1.2395696088479999</v>
      </c>
      <c r="R146" s="33">
        <v>24.195704682652899</v>
      </c>
      <c r="S146" s="33">
        <v>24.239915506979798</v>
      </c>
      <c r="T146" s="33">
        <v>24.205175729992899</v>
      </c>
      <c r="U146" s="15">
        <v>-1.8290362444792899E-3</v>
      </c>
      <c r="V146" s="15">
        <v>-3.4856917245787598E-6</v>
      </c>
      <c r="W146" s="15">
        <v>-1.4376777658668999E-3</v>
      </c>
      <c r="X146" s="34">
        <v>1.2369438834495801</v>
      </c>
      <c r="Y146" s="34">
        <v>1.23733334869304</v>
      </c>
      <c r="Z146" s="34">
        <v>1.2372839714175199</v>
      </c>
      <c r="AA146" s="34">
        <v>1.2373708070018199</v>
      </c>
      <c r="AB146" s="33">
        <v>24.733415133696301</v>
      </c>
      <c r="AC146" s="33">
        <v>24.733432636906102</v>
      </c>
      <c r="AD146" s="33">
        <v>24.734521936628699</v>
      </c>
      <c r="AE146" s="15">
        <v>3.1481132478750198E-4</v>
      </c>
      <c r="AF146" s="15">
        <v>3.1551899914317199E-4</v>
      </c>
      <c r="AG146" s="15">
        <v>3.5955962027600701E-4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0</v>
      </c>
      <c r="AT146" s="12"/>
      <c r="AU146">
        <f t="shared" si="30"/>
        <v>0</v>
      </c>
      <c r="AV146">
        <f t="shared" si="31"/>
        <v>0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0</v>
      </c>
      <c r="BE146" s="29">
        <f t="shared" si="42"/>
        <v>0</v>
      </c>
      <c r="BF146" s="29">
        <f t="shared" si="43"/>
        <v>0</v>
      </c>
      <c r="BH146" s="29"/>
    </row>
    <row r="147" spans="1:60" x14ac:dyDescent="0.25">
      <c r="A147" s="1">
        <v>46237</v>
      </c>
      <c r="B147" s="33">
        <v>19.54</v>
      </c>
      <c r="C147" s="33">
        <v>24.17</v>
      </c>
      <c r="D147" s="15">
        <v>5.1190172604897804E-4</v>
      </c>
      <c r="E147" s="15">
        <v>-2.8919664857219099E-3</v>
      </c>
      <c r="F147" s="33">
        <v>0</v>
      </c>
      <c r="G147" s="33">
        <v>0.45928999999999998</v>
      </c>
      <c r="H147" s="33">
        <v>8.0145999999999995E-2</v>
      </c>
      <c r="I147" s="33">
        <v>0.56577599999999995</v>
      </c>
      <c r="J147" s="33">
        <v>0.45928999999999998</v>
      </c>
      <c r="K147" s="33">
        <v>0.56577599999999995</v>
      </c>
      <c r="L147" s="33">
        <v>19.999289999999998</v>
      </c>
      <c r="M147" s="33">
        <v>24.735776000000001</v>
      </c>
      <c r="N147" s="34">
        <v>1.23694984646878</v>
      </c>
      <c r="O147" s="34">
        <v>1.2388993693114601</v>
      </c>
      <c r="P147" s="34">
        <v>1.2411237679092999</v>
      </c>
      <c r="Q147" s="34">
        <v>1.2395696088479999</v>
      </c>
      <c r="R147" s="33">
        <v>24.208093676346</v>
      </c>
      <c r="S147" s="33">
        <v>24.259281131252202</v>
      </c>
      <c r="T147" s="33">
        <v>24.22119015689</v>
      </c>
      <c r="U147" s="15">
        <v>1.5748319672916301E-3</v>
      </c>
      <c r="V147" s="15">
        <v>3.6870765087283798E-3</v>
      </c>
      <c r="W147" s="15">
        <v>2.1156816279358399E-3</v>
      </c>
      <c r="X147" s="34">
        <v>1.2368327075611101</v>
      </c>
      <c r="Y147" s="34">
        <v>1.23733334869304</v>
      </c>
      <c r="Z147" s="34">
        <v>1.23729919989471</v>
      </c>
      <c r="AA147" s="34">
        <v>1.2373724182213699</v>
      </c>
      <c r="AB147" s="33">
        <v>24.7457884671832</v>
      </c>
      <c r="AC147" s="33">
        <v>24.7448009567307</v>
      </c>
      <c r="AD147" s="33">
        <v>24.7465376067635</v>
      </c>
      <c r="AE147" s="15">
        <v>4.0469485666929598E-4</v>
      </c>
      <c r="AF147" s="15">
        <v>3.6478785761736199E-4</v>
      </c>
      <c r="AG147" s="15">
        <v>4.3496781572094302E-4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0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0</v>
      </c>
      <c r="BE147" s="29">
        <f t="shared" si="42"/>
        <v>0</v>
      </c>
      <c r="BF147" s="29">
        <f t="shared" si="43"/>
        <v>0</v>
      </c>
      <c r="BH147" s="29"/>
    </row>
    <row r="148" spans="1:60" x14ac:dyDescent="0.25">
      <c r="A148" s="1">
        <v>46238</v>
      </c>
      <c r="B148" s="33">
        <v>19.54</v>
      </c>
      <c r="C148" s="33">
        <v>24.17</v>
      </c>
      <c r="D148" s="15">
        <v>0</v>
      </c>
      <c r="E148" s="15">
        <v>0</v>
      </c>
      <c r="F148" s="33">
        <v>0</v>
      </c>
      <c r="G148" s="33">
        <v>0.45928999999999998</v>
      </c>
      <c r="H148" s="33">
        <v>0</v>
      </c>
      <c r="I148" s="33">
        <v>0.56577599999999995</v>
      </c>
      <c r="J148" s="33">
        <v>0.45928999999999998</v>
      </c>
      <c r="K148" s="33">
        <v>0.56577599999999995</v>
      </c>
      <c r="L148" s="33">
        <v>19.999289999999998</v>
      </c>
      <c r="M148" s="33">
        <v>24.735776000000001</v>
      </c>
      <c r="N148" s="34">
        <v>1.23694984646878</v>
      </c>
      <c r="O148" s="34">
        <v>1.2388993693114601</v>
      </c>
      <c r="P148" s="34">
        <v>1.2406649064023301</v>
      </c>
      <c r="Q148" s="34">
        <v>1.23951233926668</v>
      </c>
      <c r="R148" s="33">
        <v>24.208093676346</v>
      </c>
      <c r="S148" s="33">
        <v>24.251558424947699</v>
      </c>
      <c r="T148" s="33">
        <v>24.22119015689</v>
      </c>
      <c r="U148" s="15">
        <v>1.5748319672916301E-3</v>
      </c>
      <c r="V148" s="15">
        <v>3.3686855494971801E-3</v>
      </c>
      <c r="W148" s="15">
        <v>2.1156816279358399E-3</v>
      </c>
      <c r="X148" s="34">
        <v>1.2368327075611101</v>
      </c>
      <c r="Y148" s="34">
        <v>1.23733334869304</v>
      </c>
      <c r="Z148" s="34">
        <v>1.2372524682309001</v>
      </c>
      <c r="AA148" s="34">
        <v>1.2373178989676401</v>
      </c>
      <c r="AB148" s="33">
        <v>24.7457884671832</v>
      </c>
      <c r="AC148" s="33">
        <v>24.745105515462399</v>
      </c>
      <c r="AD148" s="33">
        <v>24.7465698300105</v>
      </c>
      <c r="AE148" s="15">
        <v>4.0469485666929598E-4</v>
      </c>
      <c r="AF148" s="15">
        <v>3.7709577061778202E-4</v>
      </c>
      <c r="AG148" s="15">
        <v>4.3626994641187398E-4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0</v>
      </c>
      <c r="AT148" s="12"/>
      <c r="AU148">
        <f t="shared" si="30"/>
        <v>0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0</v>
      </c>
      <c r="BE148" s="29">
        <f t="shared" si="42"/>
        <v>0</v>
      </c>
      <c r="BF148" s="29">
        <f t="shared" si="43"/>
        <v>0</v>
      </c>
      <c r="BH148" s="29"/>
    </row>
    <row r="149" spans="1:60" x14ac:dyDescent="0.25">
      <c r="A149" s="1">
        <v>46239</v>
      </c>
      <c r="B149" s="33">
        <v>19.54</v>
      </c>
      <c r="C149" s="33">
        <v>24.17</v>
      </c>
      <c r="D149" s="15">
        <v>0</v>
      </c>
      <c r="E149" s="15">
        <v>0</v>
      </c>
      <c r="F149" s="33">
        <v>0</v>
      </c>
      <c r="G149" s="33">
        <v>0.45928999999999998</v>
      </c>
      <c r="H149" s="33">
        <v>0</v>
      </c>
      <c r="I149" s="33">
        <v>0.56577599999999995</v>
      </c>
      <c r="J149" s="33">
        <v>0.45928999999999998</v>
      </c>
      <c r="K149" s="33">
        <v>0.56577599999999995</v>
      </c>
      <c r="L149" s="33">
        <v>19.999289999999998</v>
      </c>
      <c r="M149" s="33">
        <v>24.735776000000001</v>
      </c>
      <c r="N149" s="34">
        <v>1.23694984646878</v>
      </c>
      <c r="O149" s="34">
        <v>1.2388993693114601</v>
      </c>
      <c r="P149" s="34">
        <v>1.2401547628440801</v>
      </c>
      <c r="Q149" s="34">
        <v>1.23948675073034</v>
      </c>
      <c r="R149" s="33">
        <v>24.208093676346</v>
      </c>
      <c r="S149" s="33">
        <v>24.2425922711016</v>
      </c>
      <c r="T149" s="33">
        <v>24.220071109271</v>
      </c>
      <c r="U149" s="15">
        <v>1.5748319672916301E-3</v>
      </c>
      <c r="V149" s="15">
        <v>2.9989026449767E-3</v>
      </c>
      <c r="W149" s="15">
        <v>2.06947937844865E-3</v>
      </c>
      <c r="X149" s="34">
        <v>1.2368327075611101</v>
      </c>
      <c r="Y149" s="34">
        <v>1.23733334869304</v>
      </c>
      <c r="Z149" s="34">
        <v>1.2371556345845001</v>
      </c>
      <c r="AA149" s="34">
        <v>1.23729442868485</v>
      </c>
      <c r="AB149" s="33">
        <v>24.7457884671832</v>
      </c>
      <c r="AC149" s="33">
        <v>24.744170915365601</v>
      </c>
      <c r="AD149" s="33">
        <v>24.745479483644498</v>
      </c>
      <c r="AE149" s="15">
        <v>4.0469485666929598E-4</v>
      </c>
      <c r="AF149" s="15">
        <v>3.3932596817546598E-4</v>
      </c>
      <c r="AG149" s="15">
        <v>3.9220847062543203E-4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0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0</v>
      </c>
      <c r="BE149" s="29">
        <f t="shared" si="42"/>
        <v>0</v>
      </c>
      <c r="BF149" s="29">
        <f t="shared" si="43"/>
        <v>0</v>
      </c>
      <c r="BH149" s="29"/>
    </row>
    <row r="150" spans="1:60" x14ac:dyDescent="0.25">
      <c r="A150" s="1">
        <v>46240</v>
      </c>
      <c r="B150" s="33">
        <v>19.54</v>
      </c>
      <c r="C150" s="33">
        <v>24.18</v>
      </c>
      <c r="D150" s="15">
        <v>0</v>
      </c>
      <c r="E150" s="15">
        <v>4.13650471254907E-4</v>
      </c>
      <c r="F150" s="33">
        <v>0</v>
      </c>
      <c r="G150" s="33">
        <v>0.45928999999999998</v>
      </c>
      <c r="H150" s="33">
        <v>0</v>
      </c>
      <c r="I150" s="33">
        <v>0.56577599999999995</v>
      </c>
      <c r="J150" s="33">
        <v>0.45928999999999998</v>
      </c>
      <c r="K150" s="33">
        <v>0.56577599999999995</v>
      </c>
      <c r="L150" s="33">
        <v>19.999289999999998</v>
      </c>
      <c r="M150" s="33">
        <v>24.745775999999999</v>
      </c>
      <c r="N150" s="34">
        <v>1.23746161719549</v>
      </c>
      <c r="O150" s="34">
        <v>1.2388993693114601</v>
      </c>
      <c r="P150" s="34">
        <v>1.2397470784097799</v>
      </c>
      <c r="Q150" s="34">
        <v>1.2394672484699101</v>
      </c>
      <c r="R150" s="33">
        <v>24.208093676346</v>
      </c>
      <c r="S150" s="33">
        <v>24.2326240659734</v>
      </c>
      <c r="T150" s="33">
        <v>24.219571109271001</v>
      </c>
      <c r="U150" s="15">
        <v>1.1611814960366799E-3</v>
      </c>
      <c r="V150" s="15">
        <v>2.1739820022018E-3</v>
      </c>
      <c r="W150" s="15">
        <v>1.6351846589242899E-3</v>
      </c>
      <c r="X150" s="34">
        <v>1.2373327253117401</v>
      </c>
      <c r="Y150" s="34">
        <v>1.23733334869304</v>
      </c>
      <c r="Z150" s="34">
        <v>1.2371589046957501</v>
      </c>
      <c r="AA150" s="34">
        <v>1.23727683927193</v>
      </c>
      <c r="AB150" s="33">
        <v>24.7457884671832</v>
      </c>
      <c r="AC150" s="33">
        <v>24.742234311189499</v>
      </c>
      <c r="AD150" s="33">
        <v>24.745010094652599</v>
      </c>
      <c r="AE150" s="15">
        <v>5.0381043302503596E-7</v>
      </c>
      <c r="AF150" s="15">
        <v>-1.43133207185679E-4</v>
      </c>
      <c r="AG150" s="15">
        <v>-3.0951431885696201E-5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0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0</v>
      </c>
      <c r="BE150" s="29">
        <f t="shared" si="42"/>
        <v>0</v>
      </c>
      <c r="BF150" s="29">
        <f t="shared" si="43"/>
        <v>0</v>
      </c>
      <c r="BH150" s="29"/>
    </row>
    <row r="151" spans="1:60" x14ac:dyDescent="0.25">
      <c r="A151" s="1">
        <v>46241</v>
      </c>
      <c r="B151" s="33">
        <v>19.55</v>
      </c>
      <c r="C151" s="33">
        <v>24.19</v>
      </c>
      <c r="D151" s="15">
        <v>5.11639816738263E-4</v>
      </c>
      <c r="E151" s="15">
        <v>4.1347943528944199E-4</v>
      </c>
      <c r="F151" s="33">
        <v>0</v>
      </c>
      <c r="G151" s="33">
        <v>0.45928999999999998</v>
      </c>
      <c r="H151" s="33">
        <v>0</v>
      </c>
      <c r="I151" s="33">
        <v>0.56577599999999995</v>
      </c>
      <c r="J151" s="33">
        <v>0.45928999999999998</v>
      </c>
      <c r="K151" s="33">
        <v>0.56577599999999995</v>
      </c>
      <c r="L151" s="33">
        <v>20.00929</v>
      </c>
      <c r="M151" s="33">
        <v>24.755776000000001</v>
      </c>
      <c r="N151" s="34">
        <v>1.23734015345268</v>
      </c>
      <c r="O151" s="34">
        <v>1.2388993693114601</v>
      </c>
      <c r="P151" s="34">
        <v>1.2394032249025899</v>
      </c>
      <c r="Q151" s="34">
        <v>1.2394672484699101</v>
      </c>
      <c r="R151" s="33">
        <v>24.2204826700391</v>
      </c>
      <c r="S151" s="33">
        <v>24.237055382911301</v>
      </c>
      <c r="T151" s="33">
        <v>24.231584707586901</v>
      </c>
      <c r="U151" s="15">
        <v>1.2593418774856399E-3</v>
      </c>
      <c r="V151" s="15">
        <v>1.9433515975097E-3</v>
      </c>
      <c r="W151" s="15">
        <v>1.71761077468174E-3</v>
      </c>
      <c r="X151" s="34">
        <v>1.23721411404402</v>
      </c>
      <c r="Y151" s="34">
        <v>1.23733334869304</v>
      </c>
      <c r="Z151" s="34">
        <v>1.2372241201092</v>
      </c>
      <c r="AA151" s="34">
        <v>1.2372783882226399</v>
      </c>
      <c r="AB151" s="33">
        <v>24.758161800670099</v>
      </c>
      <c r="AC151" s="33">
        <v>24.754671300139599</v>
      </c>
      <c r="AD151" s="33">
        <v>24.7570310872755</v>
      </c>
      <c r="AE151" s="15">
        <v>9.6368852004645596E-5</v>
      </c>
      <c r="AF151" s="15">
        <v>-4.46249194160678E-5</v>
      </c>
      <c r="AG151" s="15">
        <v>5.0697480093042902E-5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0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0</v>
      </c>
      <c r="BE151" s="29">
        <f t="shared" ref="BE151:BE176" si="62">AQ151+BB151</f>
        <v>0</v>
      </c>
      <c r="BF151" s="29">
        <f t="shared" ref="BF151:BF176" si="63">BF150+BE151</f>
        <v>0</v>
      </c>
      <c r="BH151" s="29"/>
    </row>
    <row r="152" spans="1:60" x14ac:dyDescent="0.25">
      <c r="A152" s="1">
        <v>46244</v>
      </c>
      <c r="B152" s="33">
        <v>19.54</v>
      </c>
      <c r="C152" s="33">
        <v>24.18</v>
      </c>
      <c r="D152" s="15">
        <v>-5.1163981673817095E-4</v>
      </c>
      <c r="E152" s="15">
        <v>-4.1347943528932403E-4</v>
      </c>
      <c r="F152" s="33">
        <v>0</v>
      </c>
      <c r="G152" s="33">
        <v>0.45928999999999998</v>
      </c>
      <c r="H152" s="33">
        <v>0</v>
      </c>
      <c r="I152" s="33">
        <v>0.56577599999999995</v>
      </c>
      <c r="J152" s="33">
        <v>0.45928999999999998</v>
      </c>
      <c r="K152" s="33">
        <v>0.56577599999999995</v>
      </c>
      <c r="L152" s="33">
        <v>19.999289999999998</v>
      </c>
      <c r="M152" s="33">
        <v>24.745775999999999</v>
      </c>
      <c r="N152" s="34">
        <v>1.23746161719549</v>
      </c>
      <c r="O152" s="34">
        <v>1.2388993693114601</v>
      </c>
      <c r="P152" s="34">
        <v>1.23902028826149</v>
      </c>
      <c r="Q152" s="34">
        <v>1.2394733216570499</v>
      </c>
      <c r="R152" s="33">
        <v>24.208093676346</v>
      </c>
      <c r="S152" s="33">
        <v>24.217939014596698</v>
      </c>
      <c r="T152" s="33">
        <v>24.219190035102201</v>
      </c>
      <c r="U152" s="15">
        <v>1.1611814960366799E-3</v>
      </c>
      <c r="V152" s="15">
        <v>1.5677949574023E-3</v>
      </c>
      <c r="W152" s="15">
        <v>1.6194503932330101E-3</v>
      </c>
      <c r="X152" s="34">
        <v>1.2373327253117401</v>
      </c>
      <c r="Y152" s="34">
        <v>1.23733334869304</v>
      </c>
      <c r="Z152" s="34">
        <v>1.2372511448207599</v>
      </c>
      <c r="AA152" s="34">
        <v>1.23728586773674</v>
      </c>
      <c r="AB152" s="33">
        <v>24.7457884671832</v>
      </c>
      <c r="AC152" s="33">
        <v>24.7436039730588</v>
      </c>
      <c r="AD152" s="33">
        <v>24.744689296797301</v>
      </c>
      <c r="AE152" s="15">
        <v>5.0381043302503596E-7</v>
      </c>
      <c r="AF152" s="15">
        <v>-8.7777496655960997E-5</v>
      </c>
      <c r="AG152" s="15">
        <v>-4.3915659160296498E-5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0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0</v>
      </c>
      <c r="BE152" s="29">
        <f t="shared" si="62"/>
        <v>0</v>
      </c>
      <c r="BF152" s="29">
        <f t="shared" si="63"/>
        <v>0</v>
      </c>
      <c r="BH152" s="29"/>
    </row>
    <row r="153" spans="1:60" x14ac:dyDescent="0.25">
      <c r="A153" s="1">
        <v>46245</v>
      </c>
      <c r="B153" s="33">
        <v>19.55</v>
      </c>
      <c r="C153" s="33">
        <v>24.18</v>
      </c>
      <c r="D153" s="15">
        <v>5.11639816738263E-4</v>
      </c>
      <c r="E153" s="15">
        <v>0</v>
      </c>
      <c r="F153" s="33">
        <v>0</v>
      </c>
      <c r="G153" s="33">
        <v>0.45928999999999998</v>
      </c>
      <c r="H153" s="33">
        <v>0</v>
      </c>
      <c r="I153" s="33">
        <v>0.56577599999999995</v>
      </c>
      <c r="J153" s="33">
        <v>0.45928999999999998</v>
      </c>
      <c r="K153" s="33">
        <v>0.56577599999999995</v>
      </c>
      <c r="L153" s="33">
        <v>20.00929</v>
      </c>
      <c r="M153" s="33">
        <v>24.745775999999999</v>
      </c>
      <c r="N153" s="34">
        <v>1.2368286445012699</v>
      </c>
      <c r="O153" s="34">
        <v>1.2388993693114601</v>
      </c>
      <c r="P153" s="34">
        <v>1.23852282484276</v>
      </c>
      <c r="Q153" s="34">
        <v>1.23944774620948</v>
      </c>
      <c r="R153" s="33">
        <v>24.2204826700391</v>
      </c>
      <c r="S153" s="33">
        <v>24.222846635512099</v>
      </c>
      <c r="T153" s="33">
        <v>24.231703438395499</v>
      </c>
      <c r="U153" s="15">
        <v>1.67282131277501E-3</v>
      </c>
      <c r="V153" s="15">
        <v>1.77041846428119E-3</v>
      </c>
      <c r="W153" s="15">
        <v>2.1359900346896699E-3</v>
      </c>
      <c r="X153" s="34">
        <v>1.23671434618619</v>
      </c>
      <c r="Y153" s="34">
        <v>1.23733334869304</v>
      </c>
      <c r="Z153" s="34">
        <v>1.2371662797910901</v>
      </c>
      <c r="AA153" s="34">
        <v>1.2372624282945699</v>
      </c>
      <c r="AB153" s="33">
        <v>24.758161800670099</v>
      </c>
      <c r="AC153" s="33">
        <v>24.756516959550599</v>
      </c>
      <c r="AD153" s="33">
        <v>24.757211740446198</v>
      </c>
      <c r="AE153" s="15">
        <v>5.0039659384332397E-4</v>
      </c>
      <c r="AF153" s="15">
        <v>4.3395806848806902E-4</v>
      </c>
      <c r="AG153" s="15">
        <v>4.6202224033976602E-4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0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0</v>
      </c>
      <c r="BE153" s="29">
        <f t="shared" si="62"/>
        <v>0</v>
      </c>
      <c r="BF153" s="29">
        <f t="shared" si="63"/>
        <v>0</v>
      </c>
      <c r="BH153" s="29"/>
    </row>
    <row r="154" spans="1:60" x14ac:dyDescent="0.25">
      <c r="A154" s="1">
        <v>46246</v>
      </c>
      <c r="B154" s="33">
        <v>19.55</v>
      </c>
      <c r="C154" s="33">
        <v>24.2</v>
      </c>
      <c r="D154" s="15">
        <v>0</v>
      </c>
      <c r="E154" s="15">
        <v>8.2678797599399498E-4</v>
      </c>
      <c r="F154" s="33">
        <v>0</v>
      </c>
      <c r="G154" s="33">
        <v>0.45928999999999998</v>
      </c>
      <c r="H154" s="33">
        <v>0</v>
      </c>
      <c r="I154" s="33">
        <v>0.56577599999999995</v>
      </c>
      <c r="J154" s="33">
        <v>0.45928999999999998</v>
      </c>
      <c r="K154" s="33">
        <v>0.56577599999999995</v>
      </c>
      <c r="L154" s="33">
        <v>20.00929</v>
      </c>
      <c r="M154" s="33">
        <v>24.765775999999999</v>
      </c>
      <c r="N154" s="34">
        <v>1.2378516624040901</v>
      </c>
      <c r="O154" s="34">
        <v>1.2388993693114601</v>
      </c>
      <c r="P154" s="34">
        <v>1.2380640136357099</v>
      </c>
      <c r="Q154" s="34">
        <v>1.23942217076191</v>
      </c>
      <c r="R154" s="33">
        <v>24.2204826700391</v>
      </c>
      <c r="S154" s="33">
        <v>24.213121225676101</v>
      </c>
      <c r="T154" s="33">
        <v>24.2312034383955</v>
      </c>
      <c r="U154" s="15">
        <v>8.4603333678089402E-4</v>
      </c>
      <c r="V154" s="15">
        <v>5.4205247111469696E-4</v>
      </c>
      <c r="W154" s="15">
        <v>1.2885677207145499E-3</v>
      </c>
      <c r="X154" s="34">
        <v>1.2377138819018501</v>
      </c>
      <c r="Y154" s="34">
        <v>1.23733334869304</v>
      </c>
      <c r="Z154" s="34">
        <v>1.23711939502315</v>
      </c>
      <c r="AA154" s="34">
        <v>1.23723882778414</v>
      </c>
      <c r="AB154" s="33">
        <v>24.758161800670099</v>
      </c>
      <c r="AC154" s="33">
        <v>24.754818870561198</v>
      </c>
      <c r="AD154" s="33">
        <v>24.756742733850199</v>
      </c>
      <c r="AE154" s="15">
        <v>-3.0749571734165799E-4</v>
      </c>
      <c r="AF154" s="15">
        <v>-4.4252819039173599E-4</v>
      </c>
      <c r="AG154" s="15">
        <v>-3.6481449170522101E-4</v>
      </c>
      <c r="AI154" s="12"/>
      <c r="AJ154">
        <f t="shared" si="46"/>
        <v>0</v>
      </c>
      <c r="AK154">
        <f t="shared" si="47"/>
        <v>0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0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0</v>
      </c>
      <c r="BE154" s="29">
        <f t="shared" si="62"/>
        <v>0</v>
      </c>
      <c r="BF154" s="29">
        <f t="shared" si="63"/>
        <v>0</v>
      </c>
      <c r="BH154" s="29"/>
    </row>
    <row r="155" spans="1:60" x14ac:dyDescent="0.25">
      <c r="A155" s="1">
        <v>46247</v>
      </c>
      <c r="B155" s="33">
        <v>19.55</v>
      </c>
      <c r="C155" s="33">
        <v>24.19</v>
      </c>
      <c r="D155" s="15">
        <v>0</v>
      </c>
      <c r="E155" s="15">
        <v>-4.13308540704703E-4</v>
      </c>
      <c r="F155" s="33">
        <v>0</v>
      </c>
      <c r="G155" s="33">
        <v>0.45928999999999998</v>
      </c>
      <c r="H155" s="33">
        <v>0</v>
      </c>
      <c r="I155" s="33">
        <v>0.56577599999999995</v>
      </c>
      <c r="J155" s="33">
        <v>0.45928999999999998</v>
      </c>
      <c r="K155" s="33">
        <v>0.56577599999999995</v>
      </c>
      <c r="L155" s="33">
        <v>20.00929</v>
      </c>
      <c r="M155" s="33">
        <v>24.755776000000001</v>
      </c>
      <c r="N155" s="34">
        <v>1.23734015345268</v>
      </c>
      <c r="O155" s="34">
        <v>1.2388993693114601</v>
      </c>
      <c r="P155" s="34">
        <v>1.23763008223239</v>
      </c>
      <c r="Q155" s="34">
        <v>1.23939659531434</v>
      </c>
      <c r="R155" s="33">
        <v>24.2204826700391</v>
      </c>
      <c r="S155" s="33">
        <v>24.2041514665782</v>
      </c>
      <c r="T155" s="33">
        <v>24.230703438395501</v>
      </c>
      <c r="U155" s="15">
        <v>1.2593418774856399E-3</v>
      </c>
      <c r="V155" s="15">
        <v>5.8484203370465801E-4</v>
      </c>
      <c r="W155" s="15">
        <v>1.68124149765358E-3</v>
      </c>
      <c r="X155" s="34">
        <v>1.23721411404402</v>
      </c>
      <c r="Y155" s="34">
        <v>1.23733334869304</v>
      </c>
      <c r="Z155" s="34">
        <v>1.23709639129325</v>
      </c>
      <c r="AA155" s="34">
        <v>1.2372153078078401</v>
      </c>
      <c r="AB155" s="33">
        <v>24.758161800670099</v>
      </c>
      <c r="AC155" s="33">
        <v>24.753880739642799</v>
      </c>
      <c r="AD155" s="33">
        <v>24.756270504393001</v>
      </c>
      <c r="AE155" s="15">
        <v>9.6368852004645596E-5</v>
      </c>
      <c r="AF155" s="15">
        <v>-7.6561240082889497E-5</v>
      </c>
      <c r="AG155" s="15">
        <v>1.9975114257820999E-5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0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0</v>
      </c>
      <c r="BE155" s="29">
        <f t="shared" si="62"/>
        <v>0</v>
      </c>
      <c r="BF155" s="29">
        <f t="shared" si="63"/>
        <v>0</v>
      </c>
      <c r="BH155" s="29"/>
    </row>
    <row r="156" spans="1:60" x14ac:dyDescent="0.25">
      <c r="A156" s="1">
        <v>46248</v>
      </c>
      <c r="B156" s="33">
        <v>19.55</v>
      </c>
      <c r="C156" s="33">
        <v>24.2</v>
      </c>
      <c r="D156" s="15">
        <v>0</v>
      </c>
      <c r="E156" s="15">
        <v>4.13308540704658E-4</v>
      </c>
      <c r="F156" s="33">
        <v>0</v>
      </c>
      <c r="G156" s="33">
        <v>0.45928999999999998</v>
      </c>
      <c r="H156" s="33">
        <v>0</v>
      </c>
      <c r="I156" s="33">
        <v>0.56577599999999995</v>
      </c>
      <c r="J156" s="33">
        <v>0.45928999999999998</v>
      </c>
      <c r="K156" s="33">
        <v>0.56577599999999995</v>
      </c>
      <c r="L156" s="33">
        <v>20.00929</v>
      </c>
      <c r="M156" s="33">
        <v>24.765775999999999</v>
      </c>
      <c r="N156" s="34">
        <v>1.2378516624040901</v>
      </c>
      <c r="O156" s="34">
        <v>1.2388993693114601</v>
      </c>
      <c r="P156" s="34">
        <v>1.23729850500121</v>
      </c>
      <c r="Q156" s="34">
        <v>1.2394087492061401</v>
      </c>
      <c r="R156" s="33">
        <v>24.2204826700391</v>
      </c>
      <c r="S156" s="33">
        <v>24.195668107643201</v>
      </c>
      <c r="T156" s="33">
        <v>24.230203438395499</v>
      </c>
      <c r="U156" s="15">
        <v>8.4603333678089402E-4</v>
      </c>
      <c r="V156" s="15">
        <v>-1.79019839490762E-4</v>
      </c>
      <c r="W156" s="15">
        <v>1.2472977673809501E-3</v>
      </c>
      <c r="X156" s="34">
        <v>1.2377138819018501</v>
      </c>
      <c r="Y156" s="34">
        <v>1.23733334869304</v>
      </c>
      <c r="Z156" s="34">
        <v>1.2371733911384799</v>
      </c>
      <c r="AA156" s="34">
        <v>1.237228681278</v>
      </c>
      <c r="AB156" s="33">
        <v>24.758161800670099</v>
      </c>
      <c r="AC156" s="33">
        <v>24.753420451340201</v>
      </c>
      <c r="AD156" s="33">
        <v>24.7557998863664</v>
      </c>
      <c r="AE156" s="15">
        <v>-3.0749571734165799E-4</v>
      </c>
      <c r="AF156" s="15">
        <v>-4.9902057390348504E-4</v>
      </c>
      <c r="AG156" s="15">
        <v>-4.0289968927627399E-4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0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0</v>
      </c>
      <c r="BE156" s="29">
        <f t="shared" si="62"/>
        <v>0</v>
      </c>
      <c r="BF156" s="29">
        <f t="shared" si="63"/>
        <v>0</v>
      </c>
      <c r="BH156" s="29"/>
    </row>
    <row r="157" spans="1:60" x14ac:dyDescent="0.25">
      <c r="A157" s="1">
        <v>46251</v>
      </c>
      <c r="B157" s="33">
        <v>19.559999999999999</v>
      </c>
      <c r="C157" s="33">
        <v>24.2</v>
      </c>
      <c r="D157" s="15">
        <v>5.1137817529635203E-4</v>
      </c>
      <c r="E157" s="15">
        <v>0</v>
      </c>
      <c r="F157" s="33">
        <v>0</v>
      </c>
      <c r="G157" s="33">
        <v>0.45928999999999998</v>
      </c>
      <c r="H157" s="33">
        <v>0</v>
      </c>
      <c r="I157" s="33">
        <v>0.56577599999999995</v>
      </c>
      <c r="J157" s="33">
        <v>0.45928999999999998</v>
      </c>
      <c r="K157" s="33">
        <v>0.56577599999999995</v>
      </c>
      <c r="L157" s="33">
        <v>20.019289999999899</v>
      </c>
      <c r="M157" s="33">
        <v>24.765775999999999</v>
      </c>
      <c r="N157" s="34">
        <v>1.2372188139059299</v>
      </c>
      <c r="O157" s="34">
        <v>1.2388993693114601</v>
      </c>
      <c r="P157" s="34">
        <v>1.23732540174493</v>
      </c>
      <c r="Q157" s="34">
        <v>1.23922458482711</v>
      </c>
      <c r="R157" s="33">
        <v>24.232871663732301</v>
      </c>
      <c r="S157" s="33">
        <v>24.201558757823801</v>
      </c>
      <c r="T157" s="33">
        <v>24.242835134472099</v>
      </c>
      <c r="U157" s="15">
        <v>1.3574115120773399E-3</v>
      </c>
      <c r="V157" s="15">
        <v>6.4409405992442599E-5</v>
      </c>
      <c r="W157" s="15">
        <v>1.7684821921441899E-3</v>
      </c>
      <c r="X157" s="34">
        <v>1.23709562127328</v>
      </c>
      <c r="Y157" s="34">
        <v>1.23733334869304</v>
      </c>
      <c r="Z157" s="34">
        <v>1.23719968250969</v>
      </c>
      <c r="AA157" s="34">
        <v>1.2372494412021999</v>
      </c>
      <c r="AB157" s="33">
        <v>24.7705351341571</v>
      </c>
      <c r="AC157" s="33">
        <v>24.7673328974846</v>
      </c>
      <c r="AD157" s="33">
        <v>24.768439766821899</v>
      </c>
      <c r="AE157" s="15">
        <v>1.9214729812550501E-4</v>
      </c>
      <c r="AF157" s="15">
        <v>6.2862902000553902E-5</v>
      </c>
      <c r="AG157" s="15">
        <v>1.0755259907661E-4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0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0</v>
      </c>
      <c r="BE157" s="29">
        <f t="shared" si="62"/>
        <v>0</v>
      </c>
      <c r="BF157" s="29">
        <f t="shared" si="63"/>
        <v>0</v>
      </c>
      <c r="BH157" s="29"/>
    </row>
    <row r="158" spans="1:60" x14ac:dyDescent="0.25">
      <c r="A158" s="1">
        <v>46252</v>
      </c>
      <c r="B158" s="33">
        <v>19.559999999999999</v>
      </c>
      <c r="C158" s="33">
        <v>24.21</v>
      </c>
      <c r="D158" s="15">
        <v>0</v>
      </c>
      <c r="E158" s="15">
        <v>4.13137787326395E-4</v>
      </c>
      <c r="F158" s="33">
        <v>0</v>
      </c>
      <c r="G158" s="33">
        <v>0.45928999999999998</v>
      </c>
      <c r="H158" s="33">
        <v>0</v>
      </c>
      <c r="I158" s="33">
        <v>0.56577599999999995</v>
      </c>
      <c r="J158" s="33">
        <v>0.45928999999999998</v>
      </c>
      <c r="K158" s="33">
        <v>0.56577599999999995</v>
      </c>
      <c r="L158" s="33">
        <v>20.019289999999899</v>
      </c>
      <c r="M158" s="33">
        <v>24.775776</v>
      </c>
      <c r="N158" s="34">
        <v>1.23773006134969</v>
      </c>
      <c r="O158" s="34">
        <v>1.2388993693114601</v>
      </c>
      <c r="P158" s="34">
        <v>1.23740342323302</v>
      </c>
      <c r="Q158" s="34">
        <v>1.2390341648176699</v>
      </c>
      <c r="R158" s="33">
        <v>24.232871663732301</v>
      </c>
      <c r="S158" s="33">
        <v>24.202084858130799</v>
      </c>
      <c r="T158" s="33">
        <v>24.239232879218399</v>
      </c>
      <c r="U158" s="15">
        <v>9.4427372475070295E-4</v>
      </c>
      <c r="V158" s="15">
        <v>-3.2699033569188801E-4</v>
      </c>
      <c r="W158" s="15">
        <v>1.2067428534430101E-3</v>
      </c>
      <c r="X158" s="34">
        <v>1.2375951394879601</v>
      </c>
      <c r="Y158" s="34">
        <v>1.23733334869304</v>
      </c>
      <c r="Z158" s="34">
        <v>1.23727592570238</v>
      </c>
      <c r="AA158" s="34">
        <v>1.23726419696664</v>
      </c>
      <c r="AB158" s="33">
        <v>24.7705351341571</v>
      </c>
      <c r="AC158" s="33">
        <v>24.767859232069501</v>
      </c>
      <c r="AD158" s="33">
        <v>24.7688553657649</v>
      </c>
      <c r="AE158" s="15">
        <v>-2.1155423047482201E-4</v>
      </c>
      <c r="AF158" s="15">
        <v>-3.19587691162985E-4</v>
      </c>
      <c r="AG158" s="15">
        <v>-2.7936969513366402E-4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0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0</v>
      </c>
      <c r="BE158" s="29">
        <f t="shared" si="62"/>
        <v>0</v>
      </c>
      <c r="BF158" s="29">
        <f t="shared" si="63"/>
        <v>0</v>
      </c>
      <c r="BH158" s="29"/>
    </row>
    <row r="159" spans="1:60" x14ac:dyDescent="0.25">
      <c r="A159" s="1">
        <v>46253</v>
      </c>
      <c r="B159" s="33">
        <v>19.57</v>
      </c>
      <c r="C159" s="33">
        <v>24.21</v>
      </c>
      <c r="D159" s="15">
        <v>5.1111680131376799E-4</v>
      </c>
      <c r="E159" s="15">
        <v>0</v>
      </c>
      <c r="F159" s="33">
        <v>0</v>
      </c>
      <c r="G159" s="33">
        <v>0.45928999999999998</v>
      </c>
      <c r="H159" s="33">
        <v>0</v>
      </c>
      <c r="I159" s="33">
        <v>0.56577599999999995</v>
      </c>
      <c r="J159" s="33">
        <v>0.45928999999999998</v>
      </c>
      <c r="K159" s="33">
        <v>0.56577599999999995</v>
      </c>
      <c r="L159" s="33">
        <v>20.02929</v>
      </c>
      <c r="M159" s="33">
        <v>24.775776</v>
      </c>
      <c r="N159" s="34">
        <v>1.23709759836484</v>
      </c>
      <c r="O159" s="34">
        <v>1.2388993693114601</v>
      </c>
      <c r="P159" s="34">
        <v>1.23741819842262</v>
      </c>
      <c r="Q159" s="34">
        <v>1.23878648063335</v>
      </c>
      <c r="R159" s="33">
        <v>24.245260657425401</v>
      </c>
      <c r="S159" s="33">
        <v>24.215984992670201</v>
      </c>
      <c r="T159" s="33">
        <v>24.2478986054819</v>
      </c>
      <c r="U159" s="15">
        <v>1.45539052606444E-3</v>
      </c>
      <c r="V159" s="15">
        <v>2.4718104140360501E-4</v>
      </c>
      <c r="W159" s="15">
        <v>1.56418723468305E-3</v>
      </c>
      <c r="X159" s="34">
        <v>1.2369772468220199</v>
      </c>
      <c r="Y159" s="34">
        <v>1.23733334869304</v>
      </c>
      <c r="Z159" s="34">
        <v>1.23729037962847</v>
      </c>
      <c r="AA159" s="34">
        <v>1.23722300710648</v>
      </c>
      <c r="AB159" s="33">
        <v>24.782908467643999</v>
      </c>
      <c r="AC159" s="33">
        <v>24.781758325911401</v>
      </c>
      <c r="AD159" s="33">
        <v>24.781523407662</v>
      </c>
      <c r="AE159" s="15">
        <v>2.8783926651460798E-4</v>
      </c>
      <c r="AF159" s="15">
        <v>2.4142952315512399E-4</v>
      </c>
      <c r="AG159" s="15">
        <v>2.31949995519072E-4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0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0</v>
      </c>
      <c r="BE159" s="29">
        <f t="shared" si="62"/>
        <v>0</v>
      </c>
      <c r="BF159" s="29">
        <f t="shared" si="63"/>
        <v>0</v>
      </c>
      <c r="BH159" s="29"/>
    </row>
    <row r="160" spans="1:60" x14ac:dyDescent="0.25">
      <c r="A160" s="1">
        <v>46254</v>
      </c>
      <c r="B160" s="33">
        <v>19.559999999999999</v>
      </c>
      <c r="C160" s="33">
        <v>24.21</v>
      </c>
      <c r="D160" s="15">
        <v>-5.1111680131371996E-4</v>
      </c>
      <c r="E160" s="15">
        <v>0</v>
      </c>
      <c r="F160" s="33">
        <v>0</v>
      </c>
      <c r="G160" s="33">
        <v>0.45928999999999998</v>
      </c>
      <c r="H160" s="33">
        <v>0</v>
      </c>
      <c r="I160" s="33">
        <v>0.56577599999999995</v>
      </c>
      <c r="J160" s="33">
        <v>0.45928999999999998</v>
      </c>
      <c r="K160" s="33">
        <v>0.56577599999999995</v>
      </c>
      <c r="L160" s="33">
        <v>20.019289999999899</v>
      </c>
      <c r="M160" s="33">
        <v>24.775776</v>
      </c>
      <c r="N160" s="34">
        <v>1.23773006134969</v>
      </c>
      <c r="O160" s="34">
        <v>1.2388993693114601</v>
      </c>
      <c r="P160" s="34">
        <v>1.2374450428380399</v>
      </c>
      <c r="Q160" s="34">
        <v>1.2385960606239099</v>
      </c>
      <c r="R160" s="33">
        <v>24.232871663732301</v>
      </c>
      <c r="S160" s="33">
        <v>24.2038999611466</v>
      </c>
      <c r="T160" s="33">
        <v>24.2306635611884</v>
      </c>
      <c r="U160" s="15">
        <v>9.4427372475070295E-4</v>
      </c>
      <c r="V160" s="15">
        <v>-2.5199535218370698E-4</v>
      </c>
      <c r="W160" s="15">
        <v>8.5314943779473697E-4</v>
      </c>
      <c r="X160" s="34">
        <v>1.2375951394879601</v>
      </c>
      <c r="Y160" s="34">
        <v>1.23733334869304</v>
      </c>
      <c r="Z160" s="34">
        <v>1.23731662104609</v>
      </c>
      <c r="AA160" s="34">
        <v>1.2372377628709199</v>
      </c>
      <c r="AB160" s="33">
        <v>24.7705351341571</v>
      </c>
      <c r="AC160" s="33">
        <v>24.7696749239925</v>
      </c>
      <c r="AD160" s="33">
        <v>24.768326173936799</v>
      </c>
      <c r="AE160" s="15">
        <v>-2.1155423047482201E-4</v>
      </c>
      <c r="AF160" s="15">
        <v>-2.4628198652142298E-4</v>
      </c>
      <c r="AG160" s="15">
        <v>-3.0073513465407001E-4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0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0</v>
      </c>
      <c r="BE160" s="29">
        <f t="shared" si="62"/>
        <v>0</v>
      </c>
      <c r="BF160" s="29">
        <f t="shared" si="63"/>
        <v>0</v>
      </c>
      <c r="BH160" s="29"/>
    </row>
    <row r="161" spans="1:60" x14ac:dyDescent="0.25">
      <c r="A161" s="1">
        <v>46255</v>
      </c>
      <c r="B161" s="33">
        <v>19.57</v>
      </c>
      <c r="C161" s="33">
        <v>24.23</v>
      </c>
      <c r="D161" s="15">
        <v>5.1111680131376799E-4</v>
      </c>
      <c r="E161" s="15">
        <v>8.2576387846719599E-4</v>
      </c>
      <c r="F161" s="33">
        <v>0</v>
      </c>
      <c r="G161" s="33">
        <v>0.45928999999999998</v>
      </c>
      <c r="H161" s="33">
        <v>0</v>
      </c>
      <c r="I161" s="33">
        <v>0.56577599999999995</v>
      </c>
      <c r="J161" s="33">
        <v>0.45928999999999998</v>
      </c>
      <c r="K161" s="33">
        <v>0.56577599999999995</v>
      </c>
      <c r="L161" s="33">
        <v>20.02929</v>
      </c>
      <c r="M161" s="33">
        <v>24.795776</v>
      </c>
      <c r="N161" s="34">
        <v>1.23811957077158</v>
      </c>
      <c r="O161" s="34">
        <v>1.2388993693114601</v>
      </c>
      <c r="P161" s="34">
        <v>1.23752298456993</v>
      </c>
      <c r="Q161" s="34">
        <v>1.23846310473626</v>
      </c>
      <c r="R161" s="33">
        <v>24.245260657425401</v>
      </c>
      <c r="S161" s="33">
        <v>24.216799488340602</v>
      </c>
      <c r="T161" s="33">
        <v>24.239324906410001</v>
      </c>
      <c r="U161" s="15">
        <v>6.2962664759725403E-4</v>
      </c>
      <c r="V161" s="15">
        <v>-5.4494877372587402E-4</v>
      </c>
      <c r="W161" s="15">
        <v>3.8477558922643101E-4</v>
      </c>
      <c r="X161" s="34">
        <v>1.2379757844636501</v>
      </c>
      <c r="Y161" s="34">
        <v>1.23733334869304</v>
      </c>
      <c r="Z161" s="34">
        <v>1.23739278808805</v>
      </c>
      <c r="AA161" s="34">
        <v>1.2373084540986301</v>
      </c>
      <c r="AB161" s="33">
        <v>24.782908467643999</v>
      </c>
      <c r="AC161" s="33">
        <v>24.7825734247523</v>
      </c>
      <c r="AD161" s="33">
        <v>24.780993951492899</v>
      </c>
      <c r="AE161" s="15">
        <v>-5.1907519463373505E-4</v>
      </c>
      <c r="AF161" s="15">
        <v>-5.3259439706761897E-4</v>
      </c>
      <c r="AG161" s="15">
        <v>-5.9632965034042001E-4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0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0</v>
      </c>
      <c r="BE161" s="29">
        <f t="shared" si="62"/>
        <v>0</v>
      </c>
      <c r="BF161" s="29">
        <f t="shared" si="63"/>
        <v>0</v>
      </c>
      <c r="BH161" s="29"/>
    </row>
    <row r="162" spans="1:60" x14ac:dyDescent="0.25">
      <c r="A162" s="1">
        <v>46258</v>
      </c>
      <c r="B162" s="33">
        <v>19.510000000000002</v>
      </c>
      <c r="C162" s="33">
        <v>24.22</v>
      </c>
      <c r="D162" s="15">
        <v>-3.0706267729649298E-3</v>
      </c>
      <c r="E162" s="15">
        <v>-4.1279670348818703E-4</v>
      </c>
      <c r="F162" s="33">
        <v>6.1920000000000003E-2</v>
      </c>
      <c r="G162" s="33">
        <v>0.52120999999999995</v>
      </c>
      <c r="H162" s="33">
        <v>0</v>
      </c>
      <c r="I162" s="33">
        <v>0.56577599999999995</v>
      </c>
      <c r="J162" s="33">
        <v>0.52120999999999995</v>
      </c>
      <c r="K162" s="33">
        <v>0.56577599999999995</v>
      </c>
      <c r="L162" s="33">
        <v>20.031210000000002</v>
      </c>
      <c r="M162" s="33">
        <v>24.785775999999998</v>
      </c>
      <c r="N162" s="34">
        <v>1.2414146591491499</v>
      </c>
      <c r="O162" s="34">
        <v>1.2388993693114601</v>
      </c>
      <c r="P162" s="34">
        <v>1.2379182887653</v>
      </c>
      <c r="Q162" s="34">
        <v>1.2384692885133901</v>
      </c>
      <c r="R162" s="33">
        <v>24.170926695266701</v>
      </c>
      <c r="S162" s="33">
        <v>24.144073428959501</v>
      </c>
      <c r="T162" s="33">
        <v>24.1624151734046</v>
      </c>
      <c r="U162" s="15">
        <v>-2.02820342187942E-3</v>
      </c>
      <c r="V162" s="15">
        <v>-3.1397948118510699E-3</v>
      </c>
      <c r="W162" s="15">
        <v>-2.3804042679638699E-3</v>
      </c>
      <c r="X162" s="34">
        <v>1.23735790299238</v>
      </c>
      <c r="Y162" s="34">
        <v>1.23733334869304</v>
      </c>
      <c r="Z162" s="34">
        <v>1.23739530585612</v>
      </c>
      <c r="AA162" s="34">
        <v>1.2373232253384401</v>
      </c>
      <c r="AB162" s="33">
        <v>24.785284147673501</v>
      </c>
      <c r="AC162" s="33">
        <v>24.7864747906773</v>
      </c>
      <c r="AD162" s="33">
        <v>24.784785478825</v>
      </c>
      <c r="AE162" s="15">
        <v>-1.98443335689279E-5</v>
      </c>
      <c r="AF162" s="15">
        <v>2.8192816194069E-5</v>
      </c>
      <c r="AG162" s="15">
        <v>-3.99640893919122E-5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0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0</v>
      </c>
      <c r="BE162" s="29">
        <f t="shared" si="62"/>
        <v>0</v>
      </c>
      <c r="BF162" s="29">
        <f t="shared" si="63"/>
        <v>0</v>
      </c>
      <c r="BH162" s="29"/>
    </row>
    <row r="163" spans="1:60" x14ac:dyDescent="0.25">
      <c r="A163" s="1">
        <v>46259</v>
      </c>
      <c r="B163" s="33">
        <v>19.52</v>
      </c>
      <c r="C163" s="33">
        <v>24.23</v>
      </c>
      <c r="D163" s="15">
        <v>5.1242634992647198E-4</v>
      </c>
      <c r="E163" s="15">
        <v>4.1279670348812598E-4</v>
      </c>
      <c r="F163" s="33">
        <v>0</v>
      </c>
      <c r="G163" s="33">
        <v>0.52120999999999995</v>
      </c>
      <c r="H163" s="33">
        <v>0</v>
      </c>
      <c r="I163" s="33">
        <v>0.56577599999999995</v>
      </c>
      <c r="J163" s="33">
        <v>0.52120999999999995</v>
      </c>
      <c r="K163" s="33">
        <v>0.56577599999999995</v>
      </c>
      <c r="L163" s="33">
        <v>20.04121</v>
      </c>
      <c r="M163" s="33">
        <v>24.795776</v>
      </c>
      <c r="N163" s="34">
        <v>1.24129098360655</v>
      </c>
      <c r="O163" s="34">
        <v>1.2388993693114601</v>
      </c>
      <c r="P163" s="34">
        <v>1.23836452267583</v>
      </c>
      <c r="Q163" s="34">
        <v>1.2384436737593001</v>
      </c>
      <c r="R163" s="33">
        <v>24.183315688959802</v>
      </c>
      <c r="S163" s="33">
        <v>24.164164996698702</v>
      </c>
      <c r="T163" s="33">
        <v>24.174920511781501</v>
      </c>
      <c r="U163" s="15">
        <v>-1.9285737754411701E-3</v>
      </c>
      <c r="V163" s="15">
        <v>-2.72078437219109E-3</v>
      </c>
      <c r="W163" s="15">
        <v>-2.2757815283375401E-3</v>
      </c>
      <c r="X163" s="34">
        <v>1.2372394680760199</v>
      </c>
      <c r="Y163" s="34">
        <v>1.23733334869304</v>
      </c>
      <c r="Z163" s="34">
        <v>1.2374478180451001</v>
      </c>
      <c r="AA163" s="34">
        <v>1.2373070489180999</v>
      </c>
      <c r="AB163" s="33">
        <v>24.7976574811604</v>
      </c>
      <c r="AC163" s="33">
        <v>24.798899177676699</v>
      </c>
      <c r="AD163" s="33">
        <v>24.797454596885</v>
      </c>
      <c r="AE163" s="15">
        <v>7.5876221076439805E-5</v>
      </c>
      <c r="AF163" s="15">
        <v>1.2594810510154999E-4</v>
      </c>
      <c r="AG163" s="15">
        <v>6.7694597245711199E-5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0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0</v>
      </c>
      <c r="BE163" s="29">
        <f t="shared" si="62"/>
        <v>0</v>
      </c>
      <c r="BF163" s="29">
        <f t="shared" si="63"/>
        <v>0</v>
      </c>
      <c r="BH163" s="29"/>
    </row>
    <row r="164" spans="1:60" x14ac:dyDescent="0.25">
      <c r="A164" s="1">
        <v>46260</v>
      </c>
      <c r="B164" s="33">
        <v>19.53</v>
      </c>
      <c r="C164" s="33">
        <v>24.23</v>
      </c>
      <c r="D164" s="15">
        <v>5.1216390364129801E-4</v>
      </c>
      <c r="E164" s="15">
        <v>0</v>
      </c>
      <c r="F164" s="33">
        <v>0</v>
      </c>
      <c r="G164" s="33">
        <v>0.52120999999999995</v>
      </c>
      <c r="H164" s="33">
        <v>0</v>
      </c>
      <c r="I164" s="33">
        <v>0.56577599999999995</v>
      </c>
      <c r="J164" s="33">
        <v>0.52120999999999995</v>
      </c>
      <c r="K164" s="33">
        <v>0.56577599999999995</v>
      </c>
      <c r="L164" s="33">
        <v>20.051210000000001</v>
      </c>
      <c r="M164" s="33">
        <v>24.795776</v>
      </c>
      <c r="N164" s="34">
        <v>1.2406554019457201</v>
      </c>
      <c r="O164" s="34">
        <v>1.2388993693114601</v>
      </c>
      <c r="P164" s="34">
        <v>1.2386448966299901</v>
      </c>
      <c r="Q164" s="34">
        <v>1.23835445513285</v>
      </c>
      <c r="R164" s="33">
        <v>24.195704682652899</v>
      </c>
      <c r="S164" s="33">
        <v>24.185259127858998</v>
      </c>
      <c r="T164" s="33">
        <v>24.1868049485191</v>
      </c>
      <c r="U164" s="15">
        <v>-1.41640987180001E-3</v>
      </c>
      <c r="V164" s="15">
        <v>-1.8482142069577E-3</v>
      </c>
      <c r="W164" s="15">
        <v>-1.7843004298571199E-3</v>
      </c>
      <c r="X164" s="34">
        <v>1.2366224282724001</v>
      </c>
      <c r="Y164" s="34">
        <v>1.23733334869304</v>
      </c>
      <c r="Z164" s="34">
        <v>1.23733867268215</v>
      </c>
      <c r="AA164" s="34">
        <v>1.2372290338526499</v>
      </c>
      <c r="AB164" s="33">
        <v>24.810030814647401</v>
      </c>
      <c r="AC164" s="33">
        <v>24.812326063664099</v>
      </c>
      <c r="AD164" s="33">
        <v>24.809503472337099</v>
      </c>
      <c r="AE164" s="15">
        <v>5.7472364447344799E-4</v>
      </c>
      <c r="AF164" s="15">
        <v>6.6723231043749605E-4</v>
      </c>
      <c r="AG164" s="15">
        <v>5.5346821280177901E-4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0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0</v>
      </c>
      <c r="BE164" s="29">
        <f t="shared" si="62"/>
        <v>0</v>
      </c>
      <c r="BF164" s="29">
        <f t="shared" si="63"/>
        <v>0</v>
      </c>
      <c r="BH164" s="29"/>
    </row>
    <row r="165" spans="1:60" x14ac:dyDescent="0.25">
      <c r="A165" s="1">
        <v>46261</v>
      </c>
      <c r="B165" s="33">
        <v>19.52</v>
      </c>
      <c r="C165" s="33">
        <v>24.24</v>
      </c>
      <c r="D165" s="15">
        <v>-5.1216390364122201E-4</v>
      </c>
      <c r="E165" s="15">
        <v>4.1262637267935502E-4</v>
      </c>
      <c r="F165" s="33">
        <v>0</v>
      </c>
      <c r="G165" s="33">
        <v>0.52120999999999995</v>
      </c>
      <c r="H165" s="33">
        <v>0</v>
      </c>
      <c r="I165" s="33">
        <v>0.56577599999999995</v>
      </c>
      <c r="J165" s="33">
        <v>0.52120999999999995</v>
      </c>
      <c r="K165" s="33">
        <v>0.56577599999999995</v>
      </c>
      <c r="L165" s="33">
        <v>20.04121</v>
      </c>
      <c r="M165" s="33">
        <v>24.805775999999899</v>
      </c>
      <c r="N165" s="34">
        <v>1.24180327868852</v>
      </c>
      <c r="O165" s="34">
        <v>1.2388993693114601</v>
      </c>
      <c r="P165" s="34">
        <v>1.23909120915358</v>
      </c>
      <c r="Q165" s="34">
        <v>1.2383606456929801</v>
      </c>
      <c r="R165" s="33">
        <v>24.183315688959802</v>
      </c>
      <c r="S165" s="33">
        <v>24.1783483822175</v>
      </c>
      <c r="T165" s="33">
        <v>24.172678964193299</v>
      </c>
      <c r="U165" s="15">
        <v>-2.3412001481204802E-3</v>
      </c>
      <c r="V165" s="15">
        <v>-2.5466234665768501E-3</v>
      </c>
      <c r="W165" s="15">
        <v>-2.7811342251408701E-3</v>
      </c>
      <c r="X165" s="34">
        <v>1.23773843994449</v>
      </c>
      <c r="Y165" s="34">
        <v>1.23733334869304</v>
      </c>
      <c r="Z165" s="34">
        <v>1.2373911052722</v>
      </c>
      <c r="AA165" s="34">
        <v>1.2372437482827301</v>
      </c>
      <c r="AB165" s="33">
        <v>24.7976574811604</v>
      </c>
      <c r="AC165" s="33">
        <v>24.797764180344402</v>
      </c>
      <c r="AD165" s="33">
        <v>24.7955668855382</v>
      </c>
      <c r="AE165" s="15">
        <v>-3.2733697416725198E-4</v>
      </c>
      <c r="AF165" s="15">
        <v>-3.2303419054851001E-4</v>
      </c>
      <c r="AG165" s="15">
        <v>-4.1164670196515999E-4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0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0</v>
      </c>
      <c r="BE165" s="29">
        <f t="shared" si="62"/>
        <v>0</v>
      </c>
      <c r="BF165" s="29">
        <f t="shared" si="63"/>
        <v>0</v>
      </c>
      <c r="BH165" s="29"/>
    </row>
    <row r="166" spans="1:60" x14ac:dyDescent="0.25">
      <c r="A166" s="1">
        <v>46262</v>
      </c>
      <c r="B166" s="33">
        <v>19.53</v>
      </c>
      <c r="C166" s="33">
        <v>24.24</v>
      </c>
      <c r="D166" s="15">
        <v>5.1216390364129801E-4</v>
      </c>
      <c r="E166" s="15">
        <v>0</v>
      </c>
      <c r="F166" s="33">
        <v>0</v>
      </c>
      <c r="G166" s="33">
        <v>0.52120999999999995</v>
      </c>
      <c r="H166" s="33">
        <v>0</v>
      </c>
      <c r="I166" s="33">
        <v>0.56577599999999995</v>
      </c>
      <c r="J166" s="33">
        <v>0.52120999999999995</v>
      </c>
      <c r="K166" s="33">
        <v>0.56577599999999995</v>
      </c>
      <c r="L166" s="33">
        <v>20.051210000000001</v>
      </c>
      <c r="M166" s="33">
        <v>24.805775999999899</v>
      </c>
      <c r="N166" s="34">
        <v>1.2411674347158199</v>
      </c>
      <c r="O166" s="34">
        <v>1.2388993693114601</v>
      </c>
      <c r="P166" s="34">
        <v>1.23942278638475</v>
      </c>
      <c r="Q166" s="34">
        <v>1.2383606456929801</v>
      </c>
      <c r="R166" s="33">
        <v>24.195704682652899</v>
      </c>
      <c r="S166" s="33">
        <v>24.199451314769401</v>
      </c>
      <c r="T166" s="33">
        <v>24.185183410383999</v>
      </c>
      <c r="U166" s="15">
        <v>-1.8290362444792899E-3</v>
      </c>
      <c r="V166" s="15">
        <v>-1.6742012389200801E-3</v>
      </c>
      <c r="W166" s="15">
        <v>-2.2639713128304799E-3</v>
      </c>
      <c r="X166" s="34">
        <v>1.2371211512921101</v>
      </c>
      <c r="Y166" s="34">
        <v>1.23733334869304</v>
      </c>
      <c r="Z166" s="34">
        <v>1.2373318322112301</v>
      </c>
      <c r="AA166" s="34">
        <v>1.2372526116748499</v>
      </c>
      <c r="AB166" s="33">
        <v>24.810030814647401</v>
      </c>
      <c r="AC166" s="33">
        <v>24.811188903945101</v>
      </c>
      <c r="AD166" s="33">
        <v>24.808234218004099</v>
      </c>
      <c r="AE166" s="15">
        <v>1.7151044922991801E-4</v>
      </c>
      <c r="AF166" s="15">
        <v>2.1818762905259799E-4</v>
      </c>
      <c r="AG166" s="15">
        <v>9.9093703386589894E-5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0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0</v>
      </c>
      <c r="BE166" s="29">
        <f t="shared" si="62"/>
        <v>0</v>
      </c>
      <c r="BF166" s="29">
        <f t="shared" si="63"/>
        <v>0</v>
      </c>
      <c r="BH166" s="29"/>
    </row>
    <row r="167" spans="1:60" x14ac:dyDescent="0.25">
      <c r="A167" s="1">
        <v>46265</v>
      </c>
      <c r="B167" s="33">
        <v>19.53</v>
      </c>
      <c r="C167" s="33">
        <v>24.25</v>
      </c>
      <c r="D167" s="15">
        <v>0</v>
      </c>
      <c r="E167" s="15">
        <v>4.1245618237846401E-4</v>
      </c>
      <c r="F167" s="33">
        <v>0</v>
      </c>
      <c r="G167" s="33">
        <v>0.52120999999999995</v>
      </c>
      <c r="H167" s="33">
        <v>0</v>
      </c>
      <c r="I167" s="33">
        <v>0.56577599999999995</v>
      </c>
      <c r="J167" s="33">
        <v>0.52120999999999995</v>
      </c>
      <c r="K167" s="33">
        <v>0.56577599999999995</v>
      </c>
      <c r="L167" s="33">
        <v>20.051210000000001</v>
      </c>
      <c r="M167" s="33">
        <v>24.815776</v>
      </c>
      <c r="N167" s="34">
        <v>1.24167946748591</v>
      </c>
      <c r="O167" s="34">
        <v>1.2388993693114601</v>
      </c>
      <c r="P167" s="34">
        <v>1.2398688517427501</v>
      </c>
      <c r="Q167" s="34">
        <v>1.23859712674384</v>
      </c>
      <c r="R167" s="33">
        <v>24.195704682652899</v>
      </c>
      <c r="S167" s="33">
        <v>24.205927018094201</v>
      </c>
      <c r="T167" s="33">
        <v>24.185183410383999</v>
      </c>
      <c r="U167" s="15">
        <v>-2.2414924268578502E-3</v>
      </c>
      <c r="V167" s="15">
        <v>-1.8190961053263801E-3</v>
      </c>
      <c r="W167" s="15">
        <v>-2.6764274952090499E-3</v>
      </c>
      <c r="X167" s="34">
        <v>1.2376198743118201</v>
      </c>
      <c r="Y167" s="34">
        <v>1.23733334869304</v>
      </c>
      <c r="Z167" s="34">
        <v>1.23738425751508</v>
      </c>
      <c r="AA167" s="34">
        <v>1.2372919700123901</v>
      </c>
      <c r="AB167" s="33">
        <v>24.810030814647401</v>
      </c>
      <c r="AC167" s="33">
        <v>24.810000407352099</v>
      </c>
      <c r="AD167" s="33">
        <v>24.808411939740999</v>
      </c>
      <c r="AE167" s="15">
        <v>-2.3154023065925699E-4</v>
      </c>
      <c r="AF167" s="15">
        <v>-2.32765836305955E-4</v>
      </c>
      <c r="AG167" s="15">
        <v>-2.9679318166342497E-4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0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0</v>
      </c>
      <c r="BE167" s="29">
        <f t="shared" si="62"/>
        <v>0</v>
      </c>
      <c r="BF167" s="29">
        <f t="shared" si="63"/>
        <v>0</v>
      </c>
      <c r="BH167" s="29"/>
    </row>
    <row r="168" spans="1:60" x14ac:dyDescent="0.25">
      <c r="A168" s="1">
        <v>46266</v>
      </c>
      <c r="B168" s="33">
        <v>19.52</v>
      </c>
      <c r="C168" s="33">
        <v>24.16</v>
      </c>
      <c r="D168" s="15">
        <v>-5.1216390364122201E-4</v>
      </c>
      <c r="E168" s="15">
        <v>-3.7182443168780098E-3</v>
      </c>
      <c r="F168" s="33">
        <v>0</v>
      </c>
      <c r="G168" s="33">
        <v>0.52120999999999995</v>
      </c>
      <c r="H168" s="33">
        <v>7.8698000000000004E-2</v>
      </c>
      <c r="I168" s="33">
        <v>0.64447399999999999</v>
      </c>
      <c r="J168" s="33">
        <v>0.52120999999999995</v>
      </c>
      <c r="K168" s="33">
        <v>0.64447399999999999</v>
      </c>
      <c r="L168" s="33">
        <v>20.04121</v>
      </c>
      <c r="M168" s="33">
        <v>24.804473999999999</v>
      </c>
      <c r="N168" s="34">
        <v>1.2377049180327799</v>
      </c>
      <c r="O168" s="34">
        <v>1.2388993693114601</v>
      </c>
      <c r="P168" s="34">
        <v>1.2398663374110599</v>
      </c>
      <c r="Q168" s="34">
        <v>1.2386348803220399</v>
      </c>
      <c r="R168" s="33">
        <v>24.183315688959802</v>
      </c>
      <c r="S168" s="33">
        <v>24.202239986018501</v>
      </c>
      <c r="T168" s="33">
        <v>24.177415914039699</v>
      </c>
      <c r="U168" s="15">
        <v>9.64587986378991E-4</v>
      </c>
      <c r="V168" s="15">
        <v>1.7468172182078701E-3</v>
      </c>
      <c r="W168" s="15">
        <v>7.2059767631696403E-4</v>
      </c>
      <c r="X168" s="34">
        <v>1.2376734738072199</v>
      </c>
      <c r="Y168" s="34">
        <v>1.23733334869304</v>
      </c>
      <c r="Z168" s="34">
        <v>1.23739209094701</v>
      </c>
      <c r="AA168" s="34">
        <v>1.23733400832469</v>
      </c>
      <c r="AB168" s="33">
        <v>24.7976574811604</v>
      </c>
      <c r="AC168" s="33">
        <v>24.7986777555539</v>
      </c>
      <c r="AD168" s="33">
        <v>24.796828202332001</v>
      </c>
      <c r="AE168" s="15">
        <v>-2.7484782120801201E-4</v>
      </c>
      <c r="AF168" s="15">
        <v>-2.33704684775651E-4</v>
      </c>
      <c r="AG168" s="15">
        <v>-3.0829020162879002E-4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0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0</v>
      </c>
      <c r="BE168" s="29">
        <f t="shared" si="62"/>
        <v>0</v>
      </c>
      <c r="BF168" s="29">
        <f t="shared" si="63"/>
        <v>0</v>
      </c>
      <c r="BH168" s="29"/>
    </row>
    <row r="169" spans="1:60" x14ac:dyDescent="0.25">
      <c r="A169" s="1">
        <v>46267</v>
      </c>
      <c r="B169" s="33">
        <v>19.53</v>
      </c>
      <c r="C169" s="33">
        <v>24.17</v>
      </c>
      <c r="D169" s="15">
        <v>5.1216390364129801E-4</v>
      </c>
      <c r="E169" s="15">
        <v>4.1382164877743302E-4</v>
      </c>
      <c r="F169" s="33">
        <v>0</v>
      </c>
      <c r="G169" s="33">
        <v>0.52120999999999995</v>
      </c>
      <c r="H169" s="33">
        <v>0</v>
      </c>
      <c r="I169" s="33">
        <v>0.64447399999999999</v>
      </c>
      <c r="J169" s="33">
        <v>0.52120999999999995</v>
      </c>
      <c r="K169" s="33">
        <v>0.64447399999999999</v>
      </c>
      <c r="L169" s="33">
        <v>20.051210000000001</v>
      </c>
      <c r="M169" s="33">
        <v>24.814474000000001</v>
      </c>
      <c r="N169" s="34">
        <v>1.2375832053251401</v>
      </c>
      <c r="O169" s="34">
        <v>1.2388993693114601</v>
      </c>
      <c r="P169" s="34">
        <v>1.23991489810709</v>
      </c>
      <c r="Q169" s="34">
        <v>1.23866654826486</v>
      </c>
      <c r="R169" s="33">
        <v>24.195704682652899</v>
      </c>
      <c r="S169" s="33">
        <v>24.214589569638001</v>
      </c>
      <c r="T169" s="33">
        <v>24.190539212689401</v>
      </c>
      <c r="U169" s="15">
        <v>1.0629302412425499E-3</v>
      </c>
      <c r="V169" s="15">
        <v>1.8431315696876499E-3</v>
      </c>
      <c r="W169" s="15">
        <v>8.4942038524858502E-4</v>
      </c>
      <c r="X169" s="34">
        <v>1.23755494057465</v>
      </c>
      <c r="Y169" s="34">
        <v>1.23733334869304</v>
      </c>
      <c r="Z169" s="34">
        <v>1.2374498603222699</v>
      </c>
      <c r="AA169" s="34">
        <v>1.2373701199753699</v>
      </c>
      <c r="AB169" s="33">
        <v>24.810030814647401</v>
      </c>
      <c r="AC169" s="33">
        <v>24.811208667917601</v>
      </c>
      <c r="AD169" s="33">
        <v>24.810044041060198</v>
      </c>
      <c r="AE169" s="15">
        <v>-1.7907222978091601E-4</v>
      </c>
      <c r="AF169" s="15">
        <v>-1.3159847528652801E-4</v>
      </c>
      <c r="AG169" s="15">
        <v>-1.78539122449409E-4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0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0</v>
      </c>
      <c r="BE169" s="29">
        <f t="shared" si="62"/>
        <v>0</v>
      </c>
      <c r="BF169" s="29">
        <f t="shared" si="63"/>
        <v>0</v>
      </c>
      <c r="BH169" s="29"/>
    </row>
    <row r="170" spans="1:60" x14ac:dyDescent="0.25">
      <c r="A170" s="1">
        <v>46268</v>
      </c>
      <c r="B170" s="33">
        <v>19.53</v>
      </c>
      <c r="C170" s="33">
        <v>24.17</v>
      </c>
      <c r="D170" s="15">
        <v>0</v>
      </c>
      <c r="E170" s="15">
        <v>0</v>
      </c>
      <c r="F170" s="33">
        <v>0</v>
      </c>
      <c r="G170" s="33">
        <v>0.52120999999999995</v>
      </c>
      <c r="H170" s="33">
        <v>0</v>
      </c>
      <c r="I170" s="33">
        <v>0.64447399999999999</v>
      </c>
      <c r="J170" s="33">
        <v>0.52120999999999995</v>
      </c>
      <c r="K170" s="33">
        <v>0.64447399999999999</v>
      </c>
      <c r="L170" s="33">
        <v>20.051210000000001</v>
      </c>
      <c r="M170" s="33">
        <v>24.814474000000001</v>
      </c>
      <c r="N170" s="34">
        <v>1.2375832053251401</v>
      </c>
      <c r="O170" s="34">
        <v>1.2388993693114601</v>
      </c>
      <c r="P170" s="34">
        <v>1.2399002125046299</v>
      </c>
      <c r="Q170" s="34">
        <v>1.23867262767134</v>
      </c>
      <c r="R170" s="33">
        <v>24.195704682652899</v>
      </c>
      <c r="S170" s="33">
        <v>24.215537960031401</v>
      </c>
      <c r="T170" s="33">
        <v>24.191157687612701</v>
      </c>
      <c r="U170" s="15">
        <v>1.0629302412425499E-3</v>
      </c>
      <c r="V170" s="15">
        <v>1.8822968761592299E-3</v>
      </c>
      <c r="W170" s="15">
        <v>8.74986868563124E-4</v>
      </c>
      <c r="X170" s="34">
        <v>1.23755494057465</v>
      </c>
      <c r="Y170" s="34">
        <v>1.23733334869304</v>
      </c>
      <c r="Z170" s="34">
        <v>1.2374458404309401</v>
      </c>
      <c r="AA170" s="34">
        <v>1.2373812307385099</v>
      </c>
      <c r="AB170" s="33">
        <v>24.810030814647401</v>
      </c>
      <c r="AC170" s="33">
        <v>24.812367013792599</v>
      </c>
      <c r="AD170" s="33">
        <v>24.810768123351401</v>
      </c>
      <c r="AE170" s="15">
        <v>-1.7907222978091601E-4</v>
      </c>
      <c r="AF170" s="15">
        <v>-8.4913170599504702E-5</v>
      </c>
      <c r="AG170" s="15">
        <v>-1.49354501737493E-4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0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0</v>
      </c>
      <c r="BE170" s="29">
        <f t="shared" si="62"/>
        <v>0</v>
      </c>
      <c r="BF170" s="29">
        <f t="shared" si="63"/>
        <v>0</v>
      </c>
      <c r="BH170" s="29"/>
    </row>
    <row r="171" spans="1:60" x14ac:dyDescent="0.25">
      <c r="A171" s="1">
        <v>46269</v>
      </c>
      <c r="B171" s="33">
        <v>19.54</v>
      </c>
      <c r="C171" s="33">
        <v>24.17</v>
      </c>
      <c r="D171" s="15">
        <v>5.1190172604897804E-4</v>
      </c>
      <c r="E171" s="15">
        <v>0</v>
      </c>
      <c r="F171" s="33">
        <v>0</v>
      </c>
      <c r="G171" s="33">
        <v>0.52120999999999995</v>
      </c>
      <c r="H171" s="33">
        <v>0</v>
      </c>
      <c r="I171" s="33">
        <v>0.64447399999999999</v>
      </c>
      <c r="J171" s="33">
        <v>0.52120999999999995</v>
      </c>
      <c r="K171" s="33">
        <v>0.64447399999999999</v>
      </c>
      <c r="L171" s="33">
        <v>20.061209999999999</v>
      </c>
      <c r="M171" s="33">
        <v>24.814474000000001</v>
      </c>
      <c r="N171" s="34">
        <v>1.23694984646878</v>
      </c>
      <c r="O171" s="34">
        <v>1.2388993693114601</v>
      </c>
      <c r="P171" s="34">
        <v>1.23978324007435</v>
      </c>
      <c r="Q171" s="34">
        <v>1.23865311232214</v>
      </c>
      <c r="R171" s="33">
        <v>24.208093676346</v>
      </c>
      <c r="S171" s="33">
        <v>24.227650152340502</v>
      </c>
      <c r="T171" s="33">
        <v>24.203663144698002</v>
      </c>
      <c r="U171" s="15">
        <v>1.5748319672916301E-3</v>
      </c>
      <c r="V171" s="15">
        <v>2.3823544914174199E-3</v>
      </c>
      <c r="W171" s="15">
        <v>1.3917966076457901E-3</v>
      </c>
      <c r="X171" s="34">
        <v>1.23693805109462</v>
      </c>
      <c r="Y171" s="34">
        <v>1.23733334869304</v>
      </c>
      <c r="Z171" s="34">
        <v>1.23734206709404</v>
      </c>
      <c r="AA171" s="34">
        <v>1.23736742759104</v>
      </c>
      <c r="AB171" s="33">
        <v>24.8224041481343</v>
      </c>
      <c r="AC171" s="33">
        <v>24.8246608685116</v>
      </c>
      <c r="AD171" s="33">
        <v>24.8233647199038</v>
      </c>
      <c r="AE171" s="15">
        <v>3.1952646893457199E-4</v>
      </c>
      <c r="AF171" s="15">
        <v>4.1043699418421198E-4</v>
      </c>
      <c r="AG171" s="15">
        <v>3.5822349353840298E-4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0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0</v>
      </c>
      <c r="BE171" s="29">
        <f t="shared" si="62"/>
        <v>0</v>
      </c>
      <c r="BF171" s="29">
        <f t="shared" si="63"/>
        <v>0</v>
      </c>
      <c r="BH171" s="29"/>
    </row>
    <row r="172" spans="1:60" x14ac:dyDescent="0.25">
      <c r="A172" s="1">
        <v>46273</v>
      </c>
      <c r="B172" s="33">
        <v>19.54</v>
      </c>
      <c r="C172" s="33">
        <v>24.19</v>
      </c>
      <c r="D172" s="15">
        <v>0</v>
      </c>
      <c r="E172" s="15">
        <v>8.2712990654411496E-4</v>
      </c>
      <c r="F172" s="33">
        <v>0</v>
      </c>
      <c r="G172" s="33">
        <v>0.52120999999999995</v>
      </c>
      <c r="H172" s="33">
        <v>0</v>
      </c>
      <c r="I172" s="33">
        <v>0.64447399999999999</v>
      </c>
      <c r="J172" s="33">
        <v>0.52120999999999995</v>
      </c>
      <c r="K172" s="33">
        <v>0.64447399999999999</v>
      </c>
      <c r="L172" s="33">
        <v>20.061209999999999</v>
      </c>
      <c r="M172" s="33">
        <v>24.834474</v>
      </c>
      <c r="N172" s="34">
        <v>1.2379733879222099</v>
      </c>
      <c r="O172" s="34">
        <v>1.2388993693114601</v>
      </c>
      <c r="P172" s="34">
        <v>1.23943911295166</v>
      </c>
      <c r="Q172" s="34">
        <v>1.2386787008584801</v>
      </c>
      <c r="R172" s="33">
        <v>24.208093676346</v>
      </c>
      <c r="S172" s="33">
        <v>24.225364511052899</v>
      </c>
      <c r="T172" s="33">
        <v>24.203281814774702</v>
      </c>
      <c r="U172" s="15">
        <v>7.4770206074728496E-4</v>
      </c>
      <c r="V172" s="15">
        <v>1.46087993757904E-3</v>
      </c>
      <c r="W172" s="15">
        <v>5.4891152697945195E-4</v>
      </c>
      <c r="X172" s="34">
        <v>1.2379349999327001</v>
      </c>
      <c r="Y172" s="34">
        <v>1.23733334869304</v>
      </c>
      <c r="Z172" s="34">
        <v>1.23739977678807</v>
      </c>
      <c r="AA172" s="34">
        <v>1.2373975413220899</v>
      </c>
      <c r="AB172" s="33">
        <v>24.8224041481343</v>
      </c>
      <c r="AC172" s="33">
        <v>24.822579049807601</v>
      </c>
      <c r="AD172" s="33">
        <v>24.8230878120638</v>
      </c>
      <c r="AE172" s="15">
        <v>-4.8613012148517E-4</v>
      </c>
      <c r="AF172" s="15">
        <v>-4.7908402489867802E-4</v>
      </c>
      <c r="AG172" s="15">
        <v>-4.5858828827714598E-4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0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0</v>
      </c>
      <c r="BE172" s="29">
        <f t="shared" si="62"/>
        <v>0</v>
      </c>
      <c r="BF172" s="29">
        <f t="shared" si="63"/>
        <v>0</v>
      </c>
      <c r="BH172" s="29"/>
    </row>
    <row r="173" spans="1:60" x14ac:dyDescent="0.25">
      <c r="A173" s="1">
        <v>46274</v>
      </c>
      <c r="B173" s="33">
        <v>19.54</v>
      </c>
      <c r="C173" s="33">
        <v>24.19</v>
      </c>
      <c r="D173" s="15">
        <v>0</v>
      </c>
      <c r="E173" s="15">
        <v>0</v>
      </c>
      <c r="F173" s="33">
        <v>0</v>
      </c>
      <c r="G173" s="33">
        <v>0.52120999999999995</v>
      </c>
      <c r="H173" s="33">
        <v>0</v>
      </c>
      <c r="I173" s="33">
        <v>0.64447399999999999</v>
      </c>
      <c r="J173" s="33">
        <v>0.52120999999999995</v>
      </c>
      <c r="K173" s="33">
        <v>0.64447399999999999</v>
      </c>
      <c r="L173" s="33">
        <v>20.061209999999999</v>
      </c>
      <c r="M173" s="33">
        <v>24.834474</v>
      </c>
      <c r="N173" s="34">
        <v>1.2379733879222099</v>
      </c>
      <c r="O173" s="34">
        <v>1.2388993693114601</v>
      </c>
      <c r="P173" s="34">
        <v>1.23910735338322</v>
      </c>
      <c r="Q173" s="34">
        <v>1.23873593802952</v>
      </c>
      <c r="R173" s="33">
        <v>24.208093676346</v>
      </c>
      <c r="S173" s="33">
        <v>24.218640267075401</v>
      </c>
      <c r="T173" s="33">
        <v>24.2037818147747</v>
      </c>
      <c r="U173" s="15">
        <v>7.4770206074728496E-4</v>
      </c>
      <c r="V173" s="15">
        <v>1.1832710135675801E-3</v>
      </c>
      <c r="W173" s="15">
        <v>5.69569669098654E-4</v>
      </c>
      <c r="X173" s="34">
        <v>1.2379349999327001</v>
      </c>
      <c r="Y173" s="34">
        <v>1.23733334869304</v>
      </c>
      <c r="Z173" s="34">
        <v>1.23746932997374</v>
      </c>
      <c r="AA173" s="34">
        <v>1.2374585740094199</v>
      </c>
      <c r="AB173" s="33">
        <v>24.8224041481343</v>
      </c>
      <c r="AC173" s="33">
        <v>24.823736776098599</v>
      </c>
      <c r="AD173" s="33">
        <v>24.8236919299462</v>
      </c>
      <c r="AE173" s="15">
        <v>-4.8613012148517E-4</v>
      </c>
      <c r="AF173" s="15">
        <v>-4.3244506400203398E-4</v>
      </c>
      <c r="AG173" s="15">
        <v>-4.34251649099179E-4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0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0</v>
      </c>
      <c r="BE173" s="29">
        <f t="shared" si="62"/>
        <v>0</v>
      </c>
      <c r="BF173" s="29">
        <f t="shared" si="63"/>
        <v>0</v>
      </c>
      <c r="BH173" s="29"/>
    </row>
    <row r="174" spans="1:60" x14ac:dyDescent="0.25">
      <c r="A174" s="1">
        <v>46275</v>
      </c>
      <c r="B174" s="33">
        <v>19.55</v>
      </c>
      <c r="C174" s="33">
        <v>24.19</v>
      </c>
      <c r="D174" s="15">
        <v>5.11639816738263E-4</v>
      </c>
      <c r="E174" s="15">
        <v>0</v>
      </c>
      <c r="F174" s="33">
        <v>0</v>
      </c>
      <c r="G174" s="33">
        <v>0.52120999999999995</v>
      </c>
      <c r="H174" s="33">
        <v>0</v>
      </c>
      <c r="I174" s="33">
        <v>0.64447399999999999</v>
      </c>
      <c r="J174" s="33">
        <v>0.52120999999999995</v>
      </c>
      <c r="K174" s="33">
        <v>0.64447399999999999</v>
      </c>
      <c r="L174" s="33">
        <v>20.071210000000001</v>
      </c>
      <c r="M174" s="33">
        <v>24.834474</v>
      </c>
      <c r="N174" s="34">
        <v>1.23734015345268</v>
      </c>
      <c r="O174" s="34">
        <v>1.2388993693114601</v>
      </c>
      <c r="P174" s="34">
        <v>1.2387758285339201</v>
      </c>
      <c r="Q174" s="34">
        <v>1.23871036258195</v>
      </c>
      <c r="R174" s="33">
        <v>24.2204826700391</v>
      </c>
      <c r="S174" s="33">
        <v>24.224548758642001</v>
      </c>
      <c r="T174" s="33">
        <v>24.217287588477301</v>
      </c>
      <c r="U174" s="15">
        <v>1.2593418774856399E-3</v>
      </c>
      <c r="V174" s="15">
        <v>1.4272058871689899E-3</v>
      </c>
      <c r="W174" s="15">
        <v>1.1274166650134499E-3</v>
      </c>
      <c r="X174" s="34">
        <v>1.2373182284476101</v>
      </c>
      <c r="Y174" s="34">
        <v>1.23733334869304</v>
      </c>
      <c r="Z174" s="34">
        <v>1.2375389099912599</v>
      </c>
      <c r="AA174" s="34">
        <v>1.23743879133671</v>
      </c>
      <c r="AB174" s="33">
        <v>24.834777481621199</v>
      </c>
      <c r="AC174" s="33">
        <v>24.8375067904622</v>
      </c>
      <c r="AD174" s="33">
        <v>24.837290905243599</v>
      </c>
      <c r="AE174" s="15">
        <v>1.2220100453416899E-5</v>
      </c>
      <c r="AF174" s="15">
        <v>1.2211272503228899E-4</v>
      </c>
      <c r="AG174" s="15">
        <v>1.13420783500006E-4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0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0</v>
      </c>
      <c r="BE174" s="29">
        <f t="shared" si="62"/>
        <v>0</v>
      </c>
      <c r="BF174" s="29">
        <f t="shared" si="63"/>
        <v>0</v>
      </c>
      <c r="BH174" s="29"/>
    </row>
    <row r="175" spans="1:60" x14ac:dyDescent="0.25">
      <c r="A175" s="1">
        <v>46276</v>
      </c>
      <c r="B175" s="33">
        <v>19.55</v>
      </c>
      <c r="C175" s="33">
        <v>24.19</v>
      </c>
      <c r="D175" s="15">
        <v>0</v>
      </c>
      <c r="E175" s="15">
        <v>0</v>
      </c>
      <c r="F175" s="33">
        <v>0</v>
      </c>
      <c r="G175" s="33">
        <v>0.52120999999999995</v>
      </c>
      <c r="H175" s="33">
        <v>0</v>
      </c>
      <c r="I175" s="33">
        <v>0.64447399999999999</v>
      </c>
      <c r="J175" s="33">
        <v>0.52120999999999995</v>
      </c>
      <c r="K175" s="33">
        <v>0.64447399999999999</v>
      </c>
      <c r="L175" s="33">
        <v>20.071210000000001</v>
      </c>
      <c r="M175" s="33">
        <v>24.834474</v>
      </c>
      <c r="N175" s="34">
        <v>1.23734015345268</v>
      </c>
      <c r="O175" s="34">
        <v>1.2388993693114601</v>
      </c>
      <c r="P175" s="34">
        <v>1.23832951601033</v>
      </c>
      <c r="Q175" s="34">
        <v>1.23871036258195</v>
      </c>
      <c r="R175" s="33">
        <v>24.2204826700391</v>
      </c>
      <c r="S175" s="33">
        <v>24.218067447838099</v>
      </c>
      <c r="T175" s="33">
        <v>24.216787588477299</v>
      </c>
      <c r="U175" s="15">
        <v>1.2593418774856399E-3</v>
      </c>
      <c r="V175" s="15">
        <v>1.15961873560256E-3</v>
      </c>
      <c r="W175" s="15">
        <v>1.10677004388175E-3</v>
      </c>
      <c r="X175" s="34">
        <v>1.2373182284476101</v>
      </c>
      <c r="Y175" s="34">
        <v>1.23733334869304</v>
      </c>
      <c r="Z175" s="34">
        <v>1.2374968888415701</v>
      </c>
      <c r="AA175" s="34">
        <v>1.23744399705689</v>
      </c>
      <c r="AB175" s="33">
        <v>24.834777481621199</v>
      </c>
      <c r="AC175" s="33">
        <v>24.838903345605701</v>
      </c>
      <c r="AD175" s="33">
        <v>24.836893843065301</v>
      </c>
      <c r="AE175" s="15">
        <v>1.2220100453416899E-5</v>
      </c>
      <c r="AF175" s="15">
        <v>1.7833881463879701E-4</v>
      </c>
      <c r="AG175" s="15">
        <v>9.7434122404894803E-5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0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0</v>
      </c>
      <c r="BE175" s="29">
        <f t="shared" si="62"/>
        <v>0</v>
      </c>
      <c r="BF175" s="29">
        <f t="shared" si="63"/>
        <v>0</v>
      </c>
      <c r="BH175" s="29"/>
    </row>
    <row r="176" spans="1:60" x14ac:dyDescent="0.25">
      <c r="A176" s="1">
        <v>46279</v>
      </c>
      <c r="B176" s="33">
        <v>19.55</v>
      </c>
      <c r="C176" s="33">
        <v>24.19</v>
      </c>
      <c r="D176" s="15">
        <v>0</v>
      </c>
      <c r="E176" s="15">
        <v>0</v>
      </c>
      <c r="F176" s="33">
        <v>0</v>
      </c>
      <c r="G176" s="33">
        <v>0.52120999999999995</v>
      </c>
      <c r="H176" s="33">
        <v>0</v>
      </c>
      <c r="I176" s="33">
        <v>0.64447399999999999</v>
      </c>
      <c r="J176" s="33">
        <v>0.52120999999999995</v>
      </c>
      <c r="K176" s="33">
        <v>0.64447399999999999</v>
      </c>
      <c r="L176" s="33">
        <v>20.071210000000001</v>
      </c>
      <c r="M176" s="33">
        <v>24.834474</v>
      </c>
      <c r="N176" s="34">
        <v>1.23734015345268</v>
      </c>
      <c r="O176" s="34">
        <v>1.2388993693114601</v>
      </c>
      <c r="P176" s="34">
        <v>1.23794678788402</v>
      </c>
      <c r="Q176" s="34">
        <v>1.23868478713438</v>
      </c>
      <c r="R176" s="33">
        <v>24.2204826700391</v>
      </c>
      <c r="S176" s="33">
        <v>24.209342038002099</v>
      </c>
      <c r="T176" s="33">
        <v>24.216787588477299</v>
      </c>
      <c r="U176" s="15">
        <v>1.2593418774856399E-3</v>
      </c>
      <c r="V176" s="15">
        <v>7.9926867669466797E-4</v>
      </c>
      <c r="W176" s="15">
        <v>1.10677004388175E-3</v>
      </c>
      <c r="X176" s="34">
        <v>1.2373182284476101</v>
      </c>
      <c r="Y176" s="34">
        <v>1.23733334869304</v>
      </c>
      <c r="Z176" s="34">
        <v>1.23751659655712</v>
      </c>
      <c r="AA176" s="34">
        <v>1.2374242143841701</v>
      </c>
      <c r="AB176" s="33">
        <v>24.834777481621199</v>
      </c>
      <c r="AC176" s="33">
        <v>24.838059930285802</v>
      </c>
      <c r="AD176" s="33">
        <v>24.8369983281682</v>
      </c>
      <c r="AE176" s="15">
        <v>1.2220100453416899E-5</v>
      </c>
      <c r="AF176" s="15">
        <v>1.4438282118449901E-4</v>
      </c>
      <c r="AG176" s="15">
        <v>1.01640964202407E-4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0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0</v>
      </c>
      <c r="BE176" s="29">
        <f t="shared" si="62"/>
        <v>0</v>
      </c>
      <c r="BF176" s="29">
        <f t="shared" si="63"/>
        <v>0</v>
      </c>
      <c r="BH176" s="29"/>
    </row>
    <row r="177" spans="1:100" x14ac:dyDescent="0.25">
      <c r="A177">
        <v>46280</v>
      </c>
      <c r="B177" s="33">
        <v>19.57</v>
      </c>
      <c r="C177" s="33">
        <v>24.2</v>
      </c>
      <c r="D177" s="15">
        <v>1.02249497661001E-3</v>
      </c>
      <c r="E177" s="15">
        <v>4.13308540704658E-4</v>
      </c>
      <c r="F177" s="33">
        <v>0</v>
      </c>
      <c r="G177" s="33">
        <v>0.52120999999999995</v>
      </c>
      <c r="H177" s="33">
        <v>0</v>
      </c>
      <c r="I177" s="33">
        <v>0.64447399999999999</v>
      </c>
      <c r="J177" s="33">
        <v>0.52120999999999995</v>
      </c>
      <c r="K177" s="33">
        <v>0.64447399999999999</v>
      </c>
      <c r="L177" s="33">
        <v>20.09121</v>
      </c>
      <c r="M177" s="33">
        <v>24.844473999999899</v>
      </c>
      <c r="N177" s="34">
        <v>1.2365866121614699</v>
      </c>
      <c r="O177" s="34">
        <v>1.2388993693114601</v>
      </c>
      <c r="P177" s="34">
        <v>1.23743750235158</v>
      </c>
      <c r="Q177" s="34">
        <v>1.23865317704716</v>
      </c>
      <c r="R177" s="33">
        <v>24.245260657425401</v>
      </c>
      <c r="S177" s="33">
        <v>24.226618638890301</v>
      </c>
      <c r="T177" s="33">
        <v>24.241061284219899</v>
      </c>
      <c r="U177" s="15">
        <v>1.8685283133910999E-3</v>
      </c>
      <c r="V177" s="15">
        <v>1.09933926090038E-3</v>
      </c>
      <c r="W177" s="15">
        <v>1.69530943236372E-3</v>
      </c>
      <c r="X177" s="34">
        <v>1.2365842574936901</v>
      </c>
      <c r="Y177" s="34">
        <v>1.23733334869304</v>
      </c>
      <c r="Z177" s="34">
        <v>1.2374130348753101</v>
      </c>
      <c r="AA177" s="34">
        <v>1.23739864619519</v>
      </c>
      <c r="AB177" s="33">
        <v>24.859524148595099</v>
      </c>
      <c r="AC177" s="33">
        <v>24.863205819914398</v>
      </c>
      <c r="AD177" s="33">
        <v>24.861349750277501</v>
      </c>
      <c r="AE177" s="15">
        <v>6.0559108384380402E-4</v>
      </c>
      <c r="AF177" s="15">
        <v>7.5367914451038298E-4</v>
      </c>
      <c r="AG177" s="15">
        <v>6.7902509817540496E-4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19.55</v>
      </c>
      <c r="C178" s="33">
        <v>24.2</v>
      </c>
      <c r="D178" s="15">
        <v>-1.0224949766100199E-3</v>
      </c>
      <c r="E178" s="15">
        <v>0</v>
      </c>
      <c r="F178" s="33">
        <v>0</v>
      </c>
      <c r="G178" s="33">
        <v>0.52120999999999995</v>
      </c>
      <c r="H178" s="33">
        <v>0</v>
      </c>
      <c r="I178" s="33">
        <v>0.64447399999999999</v>
      </c>
      <c r="J178" s="33">
        <v>0.52120999999999995</v>
      </c>
      <c r="K178" s="33">
        <v>0.64447399999999999</v>
      </c>
      <c r="L178" s="33">
        <v>20.071210000000001</v>
      </c>
      <c r="M178" s="33">
        <v>24.844473999999899</v>
      </c>
      <c r="N178" s="34">
        <v>1.2378516624040901</v>
      </c>
      <c r="O178" s="34">
        <v>1.2388993693114601</v>
      </c>
      <c r="P178" s="34">
        <v>1.2374521767887099</v>
      </c>
      <c r="Q178" s="34">
        <v>1.23865925709988</v>
      </c>
      <c r="R178" s="33">
        <v>24.2204826700391</v>
      </c>
      <c r="S178" s="33">
        <v>24.191903170973301</v>
      </c>
      <c r="T178" s="33">
        <v>24.215669611271998</v>
      </c>
      <c r="U178" s="15">
        <v>8.4603333678089402E-4</v>
      </c>
      <c r="V178" s="15">
        <v>-3.3463569612296901E-4</v>
      </c>
      <c r="W178" s="15">
        <v>6.4729505736579299E-4</v>
      </c>
      <c r="X178" s="34">
        <v>1.2378164545137</v>
      </c>
      <c r="Y178" s="34">
        <v>1.23733334869304</v>
      </c>
      <c r="Z178" s="34">
        <v>1.23742733294595</v>
      </c>
      <c r="AA178" s="34">
        <v>1.23740971194648</v>
      </c>
      <c r="AB178" s="33">
        <v>24.834777481621199</v>
      </c>
      <c r="AC178" s="33">
        <v>24.836376879719602</v>
      </c>
      <c r="AD178" s="33">
        <v>24.836088081499501</v>
      </c>
      <c r="AE178" s="15">
        <v>-3.9036491946540201E-4</v>
      </c>
      <c r="AF178" s="15">
        <v>-3.2596544578527501E-4</v>
      </c>
      <c r="AG178" s="15">
        <v>-3.3759354680194798E-4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19.57</v>
      </c>
      <c r="C179" s="33">
        <v>24.21</v>
      </c>
      <c r="D179" s="15">
        <v>1.02249497661001E-3</v>
      </c>
      <c r="E179" s="15">
        <v>4.13137787326395E-4</v>
      </c>
      <c r="F179" s="33">
        <v>0</v>
      </c>
      <c r="G179" s="33">
        <v>0.52120999999999995</v>
      </c>
      <c r="H179" s="33">
        <v>0</v>
      </c>
      <c r="I179" s="33">
        <v>0.64447399999999999</v>
      </c>
      <c r="J179" s="33">
        <v>0.52120999999999995</v>
      </c>
      <c r="K179" s="33">
        <v>0.64447399999999999</v>
      </c>
      <c r="L179" s="33">
        <v>20.09121</v>
      </c>
      <c r="M179" s="33">
        <v>24.854474</v>
      </c>
      <c r="N179" s="34">
        <v>1.23709759836484</v>
      </c>
      <c r="O179" s="34">
        <v>1.2388993693114601</v>
      </c>
      <c r="P179" s="34">
        <v>1.23740361609268</v>
      </c>
      <c r="Q179" s="34">
        <v>1.23865925709988</v>
      </c>
      <c r="R179" s="33">
        <v>24.245260657425401</v>
      </c>
      <c r="S179" s="33">
        <v>24.216939099754999</v>
      </c>
      <c r="T179" s="33">
        <v>24.240561661444701</v>
      </c>
      <c r="U179" s="15">
        <v>1.45539052606444E-3</v>
      </c>
      <c r="V179" s="15">
        <v>2.8658015276429198E-4</v>
      </c>
      <c r="W179" s="15">
        <v>1.2615608343883001E-3</v>
      </c>
      <c r="X179" s="34">
        <v>1.2370819875955701</v>
      </c>
      <c r="Y179" s="34">
        <v>1.23733334869304</v>
      </c>
      <c r="Z179" s="34">
        <v>1.2373800376480499</v>
      </c>
      <c r="AA179" s="34">
        <v>1.23741494898516</v>
      </c>
      <c r="AB179" s="33">
        <v>24.859524148595099</v>
      </c>
      <c r="AC179" s="33">
        <v>24.8614124059571</v>
      </c>
      <c r="AD179" s="33">
        <v>24.861058378756301</v>
      </c>
      <c r="AE179" s="15">
        <v>2.03168073402699E-4</v>
      </c>
      <c r="AF179" s="15">
        <v>2.79122288822709E-4</v>
      </c>
      <c r="AG179" s="15">
        <v>2.6488215975196402E-4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19.559999999999999</v>
      </c>
      <c r="C180" s="33">
        <v>24.21</v>
      </c>
      <c r="D180" s="15">
        <v>-5.1111680131371996E-4</v>
      </c>
      <c r="E180" s="15">
        <v>0</v>
      </c>
      <c r="F180" s="33">
        <v>0</v>
      </c>
      <c r="G180" s="33">
        <v>0.52120999999999995</v>
      </c>
      <c r="H180" s="33">
        <v>0</v>
      </c>
      <c r="I180" s="33">
        <v>0.64447399999999999</v>
      </c>
      <c r="J180" s="33">
        <v>0.52120999999999995</v>
      </c>
      <c r="K180" s="33">
        <v>0.64447399999999999</v>
      </c>
      <c r="L180" s="33">
        <v>20.081209999999999</v>
      </c>
      <c r="M180" s="33">
        <v>24.854474</v>
      </c>
      <c r="N180" s="34">
        <v>1.23773006134969</v>
      </c>
      <c r="O180" s="34">
        <v>1.2388993693114601</v>
      </c>
      <c r="P180" s="34">
        <v>1.2374183016951299</v>
      </c>
      <c r="Q180" s="34">
        <v>1.23865925709988</v>
      </c>
      <c r="R180" s="33">
        <v>24.232871663732301</v>
      </c>
      <c r="S180" s="33">
        <v>24.203614730772799</v>
      </c>
      <c r="T180" s="33">
        <v>24.2281750688737</v>
      </c>
      <c r="U180" s="15">
        <v>9.4427372475070295E-4</v>
      </c>
      <c r="V180" s="15">
        <v>-2.6377990157086599E-4</v>
      </c>
      <c r="W180" s="15">
        <v>7.5044403307473703E-4</v>
      </c>
      <c r="X180" s="34">
        <v>1.2376980271607101</v>
      </c>
      <c r="Y180" s="34">
        <v>1.23733334869304</v>
      </c>
      <c r="Z180" s="34">
        <v>1.2373943463066499</v>
      </c>
      <c r="AA180" s="34">
        <v>1.2374200933688</v>
      </c>
      <c r="AB180" s="33">
        <v>24.847150815108101</v>
      </c>
      <c r="AC180" s="33">
        <v>24.8480883858184</v>
      </c>
      <c r="AD180" s="33">
        <v>24.848789447710299</v>
      </c>
      <c r="AE180" s="15">
        <v>-2.9468593721188101E-4</v>
      </c>
      <c r="AF180" s="15">
        <v>-2.56953119123193E-4</v>
      </c>
      <c r="AG180" s="15">
        <v>-2.2873960058683601E-4</v>
      </c>
    </row>
    <row r="181" spans="1:100" x14ac:dyDescent="0.25">
      <c r="A181">
        <v>46286</v>
      </c>
      <c r="B181" s="33">
        <v>19.5</v>
      </c>
      <c r="C181" s="33">
        <v>24.21</v>
      </c>
      <c r="D181" s="15">
        <v>-3.0721990369701399E-3</v>
      </c>
      <c r="E181" s="15">
        <v>0</v>
      </c>
      <c r="F181" s="33">
        <v>6.5699999999999995E-2</v>
      </c>
      <c r="G181" s="33">
        <v>0.58690999999999904</v>
      </c>
      <c r="H181" s="33">
        <v>0</v>
      </c>
      <c r="I181" s="33">
        <v>0.64447399999999999</v>
      </c>
      <c r="J181" s="33">
        <v>0.58690999999999904</v>
      </c>
      <c r="K181" s="33">
        <v>0.64447399999999999</v>
      </c>
      <c r="L181" s="33">
        <v>20.08691</v>
      </c>
      <c r="M181" s="33">
        <v>24.854474</v>
      </c>
      <c r="N181" s="34">
        <v>1.2415384615384599</v>
      </c>
      <c r="O181" s="34">
        <v>1.2388993693114601</v>
      </c>
      <c r="P181" s="34">
        <v>1.2378771632021</v>
      </c>
      <c r="Q181" s="34">
        <v>1.23883020163822</v>
      </c>
      <c r="R181" s="33">
        <v>24.1585377015736</v>
      </c>
      <c r="S181" s="33">
        <v>24.129656883055102</v>
      </c>
      <c r="T181" s="33">
        <v>24.153855513447699</v>
      </c>
      <c r="U181" s="15">
        <v>-2.12792531221929E-3</v>
      </c>
      <c r="V181" s="15">
        <v>-3.32411093110992E-3</v>
      </c>
      <c r="W181" s="15">
        <v>-2.3217550038953099E-3</v>
      </c>
      <c r="X181" s="34">
        <v>1.2373468094395801</v>
      </c>
      <c r="Y181" s="34">
        <v>1.23733334869304</v>
      </c>
      <c r="Z181" s="34">
        <v>1.23743522214115</v>
      </c>
      <c r="AA181" s="34">
        <v>1.2373886446175899</v>
      </c>
      <c r="AB181" s="33">
        <v>24.854203615195701</v>
      </c>
      <c r="AC181" s="33">
        <v>24.855428868770598</v>
      </c>
      <c r="AD181" s="33">
        <v>24.855946047690601</v>
      </c>
      <c r="AE181" s="15">
        <v>-1.0878776794188201E-5</v>
      </c>
      <c r="AF181" s="15">
        <v>3.8417647818716498E-5</v>
      </c>
      <c r="AG181" s="15">
        <v>5.9224914603509302E-5</v>
      </c>
    </row>
    <row r="182" spans="1:100" x14ac:dyDescent="0.25">
      <c r="A182">
        <v>46287</v>
      </c>
      <c r="B182" s="33">
        <v>19.5</v>
      </c>
      <c r="C182" s="33">
        <v>24.21</v>
      </c>
      <c r="D182" s="15">
        <v>0</v>
      </c>
      <c r="E182" s="15">
        <v>0</v>
      </c>
      <c r="F182" s="33">
        <v>0</v>
      </c>
      <c r="G182" s="33">
        <v>0.58690999999999904</v>
      </c>
      <c r="H182" s="33">
        <v>0</v>
      </c>
      <c r="I182" s="33">
        <v>0.64447399999999999</v>
      </c>
      <c r="J182" s="33">
        <v>0.58690999999999904</v>
      </c>
      <c r="K182" s="33">
        <v>0.64447399999999999</v>
      </c>
      <c r="L182" s="33">
        <v>20.08691</v>
      </c>
      <c r="M182" s="33">
        <v>24.854474</v>
      </c>
      <c r="N182" s="34">
        <v>1.2415384615384599</v>
      </c>
      <c r="O182" s="34">
        <v>1.2388993693114601</v>
      </c>
      <c r="P182" s="34">
        <v>1.23823367056372</v>
      </c>
      <c r="Q182" s="34">
        <v>1.2388363917576899</v>
      </c>
      <c r="R182" s="33">
        <v>24.1585377015736</v>
      </c>
      <c r="S182" s="33">
        <v>24.138604682440999</v>
      </c>
      <c r="T182" s="33">
        <v>24.157188931945399</v>
      </c>
      <c r="U182" s="15">
        <v>-2.12792531221929E-3</v>
      </c>
      <c r="V182" s="15">
        <v>-2.9533580099082601E-3</v>
      </c>
      <c r="W182" s="15">
        <v>-2.1837568073646198E-3</v>
      </c>
      <c r="X182" s="34">
        <v>1.2373468094395801</v>
      </c>
      <c r="Y182" s="34">
        <v>1.23733334869304</v>
      </c>
      <c r="Z182" s="34">
        <v>1.2373764030918299</v>
      </c>
      <c r="AA182" s="34">
        <v>1.2373880899399501</v>
      </c>
      <c r="AB182" s="33">
        <v>24.854203615195701</v>
      </c>
      <c r="AC182" s="33">
        <v>24.8562499379793</v>
      </c>
      <c r="AD182" s="33">
        <v>24.8553143394556</v>
      </c>
      <c r="AE182" s="15">
        <v>-1.0878776794188201E-5</v>
      </c>
      <c r="AF182" s="15">
        <v>7.1450899902184199E-5</v>
      </c>
      <c r="AG182" s="15">
        <v>3.3809818299487498E-5</v>
      </c>
    </row>
    <row r="183" spans="1:100" x14ac:dyDescent="0.25">
      <c r="A183">
        <v>46288</v>
      </c>
      <c r="B183" s="33">
        <v>19.5</v>
      </c>
      <c r="C183" s="33">
        <v>24.22</v>
      </c>
      <c r="D183" s="15">
        <v>0</v>
      </c>
      <c r="E183" s="15">
        <v>4.12967174978938E-4</v>
      </c>
      <c r="F183" s="33">
        <v>0</v>
      </c>
      <c r="G183" s="33">
        <v>0.58690999999999904</v>
      </c>
      <c r="H183" s="33">
        <v>0</v>
      </c>
      <c r="I183" s="33">
        <v>0.64447399999999999</v>
      </c>
      <c r="J183" s="33">
        <v>0.58690999999999904</v>
      </c>
      <c r="K183" s="33">
        <v>0.64447399999999999</v>
      </c>
      <c r="L183" s="33">
        <v>20.08691</v>
      </c>
      <c r="M183" s="33">
        <v>24.864473999999898</v>
      </c>
      <c r="N183" s="34">
        <v>1.2420512820512799</v>
      </c>
      <c r="O183" s="34">
        <v>1.2388993693114601</v>
      </c>
      <c r="P183" s="34">
        <v>1.23864145997663</v>
      </c>
      <c r="Q183" s="34">
        <v>1.23887440667993</v>
      </c>
      <c r="R183" s="33">
        <v>24.1585377015736</v>
      </c>
      <c r="S183" s="33">
        <v>24.1455565759927</v>
      </c>
      <c r="T183" s="33">
        <v>24.157309639274999</v>
      </c>
      <c r="U183" s="15">
        <v>-2.5408924871983202E-3</v>
      </c>
      <c r="V183" s="15">
        <v>-3.0783676676171602E-3</v>
      </c>
      <c r="W183" s="15">
        <v>-2.5917272491415102E-3</v>
      </c>
      <c r="X183" s="34">
        <v>1.23784464609041</v>
      </c>
      <c r="Y183" s="34">
        <v>1.23733334869304</v>
      </c>
      <c r="Z183" s="34">
        <v>1.23736736770761</v>
      </c>
      <c r="AA183" s="34">
        <v>1.23741834884067</v>
      </c>
      <c r="AB183" s="33">
        <v>24.854203615195701</v>
      </c>
      <c r="AC183" s="33">
        <v>24.855068445029399</v>
      </c>
      <c r="AD183" s="33">
        <v>24.8553031976958</v>
      </c>
      <c r="AE183" s="15">
        <v>-4.13139908097413E-4</v>
      </c>
      <c r="AF183" s="15">
        <v>-3.7834439418264699E-4</v>
      </c>
      <c r="AG183" s="15">
        <v>-3.6889957779678601E-4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2026-09-28T01:11:46Z</dcterms:created>
  <dcterms:modified xsi:type="dcterms:W3CDTF">2026-09-28T01:48:44Z</dcterms:modified>
</cp:coreProperties>
</file>