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C868EC51-E6AC-40BB-B330-E0B953805C12}" xr6:coauthVersionLast="47" xr6:coauthVersionMax="47" xr10:uidLastSave="{00000000-0000-0000-0000-000000000000}"/>
  <bookViews>
    <workbookView xWindow="1380" yWindow="2160" windowWidth="28440" windowHeight="12225" xr2:uid="{BEFFA301-9DD0-4F56-8D63-F47A0CAF71B6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N146" i="1" s="1"/>
  <c r="AX144" i="1"/>
  <c r="AV144" i="1"/>
  <c r="AU144" i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X142" i="1"/>
  <c r="AV142" i="1"/>
  <c r="AU142" i="1"/>
  <c r="AY143" i="1" s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M109" i="1"/>
  <c r="AK109" i="1"/>
  <c r="AJ109" i="1"/>
  <c r="AN110" i="1" s="1"/>
  <c r="AX108" i="1"/>
  <c r="AV108" i="1"/>
  <c r="AU108" i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M105" i="1"/>
  <c r="AK105" i="1"/>
  <c r="AJ105" i="1"/>
  <c r="AN106" i="1" s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M99" i="1"/>
  <c r="AK99" i="1"/>
  <c r="AJ99" i="1"/>
  <c r="AN100" i="1" s="1"/>
  <c r="AX98" i="1"/>
  <c r="AV98" i="1"/>
  <c r="AU98" i="1"/>
  <c r="AY99" i="1" s="1"/>
  <c r="AM98" i="1"/>
  <c r="AK98" i="1"/>
  <c r="AJ98" i="1"/>
  <c r="AX97" i="1"/>
  <c r="AV97" i="1"/>
  <c r="AU97" i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N93" i="1" s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Y76" i="1" s="1"/>
  <c r="AM75" i="1"/>
  <c r="AK75" i="1"/>
  <c r="AJ75" i="1"/>
  <c r="AX74" i="1"/>
  <c r="AV74" i="1"/>
  <c r="AU74" i="1"/>
  <c r="AM74" i="1"/>
  <c r="AK74" i="1"/>
  <c r="AJ74" i="1"/>
  <c r="AN75" i="1" s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N72" i="1" s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N64" i="1" s="1"/>
  <c r="AX62" i="1"/>
  <c r="AV62" i="1"/>
  <c r="AU62" i="1"/>
  <c r="AY63" i="1" s="1"/>
  <c r="AM62" i="1"/>
  <c r="AK62" i="1"/>
  <c r="AJ62" i="1"/>
  <c r="AX61" i="1"/>
  <c r="AV61" i="1"/>
  <c r="AU61" i="1"/>
  <c r="AM61" i="1"/>
  <c r="AK61" i="1"/>
  <c r="AJ61" i="1"/>
  <c r="AN62" i="1" s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M56" i="1"/>
  <c r="AK56" i="1"/>
  <c r="AJ56" i="1"/>
  <c r="AN57" i="1" s="1"/>
  <c r="AX55" i="1"/>
  <c r="AV55" i="1"/>
  <c r="AU55" i="1"/>
  <c r="AY56" i="1" s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Y50" i="1" s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Y30" i="1" s="1"/>
  <c r="AM29" i="1"/>
  <c r="AK29" i="1"/>
  <c r="AJ29" i="1"/>
  <c r="AX28" i="1"/>
  <c r="AV28" i="1"/>
  <c r="AU28" i="1"/>
  <c r="AY29" i="1" s="1"/>
  <c r="AM28" i="1"/>
  <c r="AK28" i="1"/>
  <c r="AJ28" i="1"/>
  <c r="AN29" i="1" s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Y25" i="1" s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53" i="1" l="1"/>
  <c r="AN34" i="1"/>
  <c r="AN121" i="1"/>
  <c r="AN54" i="1"/>
  <c r="AN45" i="1"/>
  <c r="AN36" i="1"/>
  <c r="AN27" i="1"/>
  <c r="AN52" i="1"/>
  <c r="AN28" i="1"/>
  <c r="AN23" i="1"/>
  <c r="AN164" i="1"/>
  <c r="AY163" i="1"/>
  <c r="AY160" i="1"/>
  <c r="AY39" i="1"/>
  <c r="AO176" i="1"/>
  <c r="AP176" i="1"/>
  <c r="AL176" i="1"/>
  <c r="BA175" i="1"/>
  <c r="AW175" i="1"/>
  <c r="AY176" i="1" s="1"/>
  <c r="AZ175" i="1"/>
  <c r="BB175" i="1" s="1"/>
  <c r="AP174" i="1"/>
  <c r="AL174" i="1"/>
  <c r="AN175" i="1" s="1"/>
  <c r="AO174" i="1"/>
  <c r="AQ174" i="1" s="1"/>
  <c r="AW173" i="1"/>
  <c r="AY174" i="1" s="1"/>
  <c r="BA173" i="1"/>
  <c r="AZ173" i="1"/>
  <c r="BB173" i="1" s="1"/>
  <c r="AO172" i="1"/>
  <c r="AP172" i="1"/>
  <c r="AL172" i="1"/>
  <c r="AN173" i="1" s="1"/>
  <c r="AW171" i="1"/>
  <c r="AY172" i="1" s="1"/>
  <c r="BA171" i="1"/>
  <c r="AZ171" i="1"/>
  <c r="BB171" i="1" s="1"/>
  <c r="AP170" i="1"/>
  <c r="AO170" i="1"/>
  <c r="AQ170" i="1" s="1"/>
  <c r="AL170" i="1"/>
  <c r="AN171" i="1" s="1"/>
  <c r="AW169" i="1"/>
  <c r="AY170" i="1" s="1"/>
  <c r="BA169" i="1"/>
  <c r="AZ169" i="1"/>
  <c r="BB169" i="1" s="1"/>
  <c r="AW168" i="1"/>
  <c r="BA168" i="1"/>
  <c r="AZ168" i="1"/>
  <c r="BB168" i="1" s="1"/>
  <c r="AO167" i="1"/>
  <c r="AL167" i="1"/>
  <c r="AN168" i="1" s="1"/>
  <c r="AP167" i="1"/>
  <c r="AZ166" i="1"/>
  <c r="BA166" i="1"/>
  <c r="AW166" i="1"/>
  <c r="AY167" i="1" s="1"/>
  <c r="BA165" i="1"/>
  <c r="AW165" i="1"/>
  <c r="AZ165" i="1"/>
  <c r="BB165" i="1" s="1"/>
  <c r="AO164" i="1"/>
  <c r="AL164" i="1"/>
  <c r="AN165" i="1" s="1"/>
  <c r="AP164" i="1"/>
  <c r="AW163" i="1"/>
  <c r="AY164" i="1" s="1"/>
  <c r="AZ163" i="1"/>
  <c r="BA163" i="1"/>
  <c r="AZ162" i="1"/>
  <c r="BA162" i="1"/>
  <c r="AW162" i="1"/>
  <c r="AW161" i="1"/>
  <c r="AZ161" i="1"/>
  <c r="BA161" i="1"/>
  <c r="BA160" i="1"/>
  <c r="AW160" i="1"/>
  <c r="AZ160" i="1"/>
  <c r="BB160" i="1" s="1"/>
  <c r="AP159" i="1"/>
  <c r="AO159" i="1"/>
  <c r="AQ159" i="1" s="1"/>
  <c r="AL159" i="1"/>
  <c r="AN160" i="1" s="1"/>
  <c r="AL158" i="1"/>
  <c r="AO158" i="1"/>
  <c r="AP158" i="1"/>
  <c r="AO157" i="1"/>
  <c r="AL157" i="1"/>
  <c r="AP157" i="1"/>
  <c r="AW156" i="1"/>
  <c r="AY157" i="1" s="1"/>
  <c r="AZ156" i="1"/>
  <c r="BA156" i="1"/>
  <c r="AL155" i="1"/>
  <c r="AN156" i="1" s="1"/>
  <c r="AO155" i="1"/>
  <c r="AP155" i="1"/>
  <c r="AZ154" i="1"/>
  <c r="AW154" i="1"/>
  <c r="AY155" i="1" s="1"/>
  <c r="BA154" i="1"/>
  <c r="AW153" i="1"/>
  <c r="AZ153" i="1"/>
  <c r="BA153" i="1"/>
  <c r="AZ152" i="1"/>
  <c r="BA152" i="1"/>
  <c r="AW152" i="1"/>
  <c r="AW151" i="1"/>
  <c r="AZ151" i="1"/>
  <c r="BA151" i="1"/>
  <c r="AZ150" i="1"/>
  <c r="AW150" i="1"/>
  <c r="BA150" i="1"/>
  <c r="AW149" i="1"/>
  <c r="BA149" i="1"/>
  <c r="AZ149" i="1"/>
  <c r="BB149" i="1" s="1"/>
  <c r="AO148" i="1"/>
  <c r="AL148" i="1"/>
  <c r="AN149" i="1" s="1"/>
  <c r="AP148" i="1"/>
  <c r="BA147" i="1"/>
  <c r="AZ147" i="1"/>
  <c r="BB147" i="1" s="1"/>
  <c r="AW147" i="1"/>
  <c r="AY148" i="1" s="1"/>
  <c r="AP146" i="1"/>
  <c r="AL146" i="1"/>
  <c r="AN147" i="1" s="1"/>
  <c r="AO146" i="1"/>
  <c r="AQ146" i="1" s="1"/>
  <c r="AP145" i="1"/>
  <c r="AO145" i="1"/>
  <c r="AQ145" i="1" s="1"/>
  <c r="AL145" i="1"/>
  <c r="BA144" i="1"/>
  <c r="AW144" i="1"/>
  <c r="AY145" i="1" s="1"/>
  <c r="AZ144" i="1"/>
  <c r="BB144" i="1" s="1"/>
  <c r="BA143" i="1"/>
  <c r="AZ143" i="1"/>
  <c r="BB143" i="1" s="1"/>
  <c r="AW143" i="1"/>
  <c r="AP142" i="1"/>
  <c r="AL142" i="1"/>
  <c r="AN143" i="1" s="1"/>
  <c r="AO142" i="1"/>
  <c r="AQ142" i="1" s="1"/>
  <c r="AZ141" i="1"/>
  <c r="BA141" i="1"/>
  <c r="AW141" i="1"/>
  <c r="AY142" i="1" s="1"/>
  <c r="AW140" i="1"/>
  <c r="AZ140" i="1"/>
  <c r="BA140" i="1"/>
  <c r="BA139" i="1"/>
  <c r="AW139" i="1"/>
  <c r="AZ139" i="1"/>
  <c r="BB139" i="1" s="1"/>
  <c r="BA138" i="1"/>
  <c r="AW138" i="1"/>
  <c r="AZ138" i="1"/>
  <c r="BB138" i="1" s="1"/>
  <c r="AW137" i="1"/>
  <c r="AZ137" i="1"/>
  <c r="BA137" i="1"/>
  <c r="AZ136" i="1"/>
  <c r="AW136" i="1"/>
  <c r="BA136" i="1"/>
  <c r="AP135" i="1"/>
  <c r="AL135" i="1"/>
  <c r="AN136" i="1" s="1"/>
  <c r="AO135" i="1"/>
  <c r="AQ135" i="1" s="1"/>
  <c r="AL134" i="1"/>
  <c r="AO134" i="1"/>
  <c r="AP134" i="1"/>
  <c r="AW133" i="1"/>
  <c r="AY134" i="1" s="1"/>
  <c r="BA133" i="1"/>
  <c r="AZ133" i="1"/>
  <c r="BB133" i="1" s="1"/>
  <c r="AZ132" i="1"/>
  <c r="AW132" i="1"/>
  <c r="BA132" i="1"/>
  <c r="BA131" i="1"/>
  <c r="AZ131" i="1"/>
  <c r="BB131" i="1" s="1"/>
  <c r="AW131" i="1"/>
  <c r="AP131" i="1"/>
  <c r="AO131" i="1"/>
  <c r="AQ131" i="1" s="1"/>
  <c r="BE131" i="1" s="1"/>
  <c r="AL131" i="1"/>
  <c r="AN132" i="1" s="1"/>
  <c r="AW130" i="1"/>
  <c r="AZ130" i="1"/>
  <c r="BA130" i="1"/>
  <c r="BA129" i="1"/>
  <c r="AW129" i="1"/>
  <c r="AZ129" i="1"/>
  <c r="BB129" i="1" s="1"/>
  <c r="BA128" i="1"/>
  <c r="AZ128" i="1"/>
  <c r="BB128" i="1" s="1"/>
  <c r="AW128" i="1"/>
  <c r="AW127" i="1"/>
  <c r="BA127" i="1"/>
  <c r="AZ127" i="1"/>
  <c r="BB127" i="1" s="1"/>
  <c r="AP126" i="1"/>
  <c r="AO126" i="1"/>
  <c r="AQ126" i="1" s="1"/>
  <c r="AL126" i="1"/>
  <c r="AN127" i="1" s="1"/>
  <c r="AW125" i="1"/>
  <c r="AY126" i="1" s="1"/>
  <c r="AZ125" i="1"/>
  <c r="BA125" i="1"/>
  <c r="BA124" i="1"/>
  <c r="AW124" i="1"/>
  <c r="AZ124" i="1"/>
  <c r="BB124" i="1" s="1"/>
  <c r="AL124" i="1"/>
  <c r="AN125" i="1" s="1"/>
  <c r="AO124" i="1"/>
  <c r="AP124" i="1"/>
  <c r="AW123" i="1"/>
  <c r="AZ123" i="1"/>
  <c r="BA123" i="1"/>
  <c r="AZ122" i="1"/>
  <c r="AW122" i="1"/>
  <c r="BA122" i="1"/>
  <c r="AL121" i="1"/>
  <c r="AN122" i="1" s="1"/>
  <c r="AP121" i="1"/>
  <c r="AO121" i="1"/>
  <c r="AW120" i="1"/>
  <c r="AY121" i="1" s="1"/>
  <c r="BA120" i="1"/>
  <c r="AZ120" i="1"/>
  <c r="BA119" i="1"/>
  <c r="AZ119" i="1"/>
  <c r="AW119" i="1"/>
  <c r="AP118" i="1"/>
  <c r="AO118" i="1"/>
  <c r="AQ118" i="1" s="1"/>
  <c r="AL118" i="1"/>
  <c r="AN119" i="1" s="1"/>
  <c r="AW117" i="1"/>
  <c r="AY118" i="1" s="1"/>
  <c r="AZ117" i="1"/>
  <c r="BA117" i="1"/>
  <c r="AL117" i="1"/>
  <c r="AO117" i="1"/>
  <c r="AP117" i="1"/>
  <c r="AZ116" i="1"/>
  <c r="AW116" i="1"/>
  <c r="BA116" i="1"/>
  <c r="BA115" i="1"/>
  <c r="AW115" i="1"/>
  <c r="AZ115" i="1"/>
  <c r="BB115" i="1" s="1"/>
  <c r="BA113" i="1"/>
  <c r="AW113" i="1"/>
  <c r="AZ113" i="1"/>
  <c r="BB113" i="1" s="1"/>
  <c r="BA114" i="1"/>
  <c r="AW114" i="1"/>
  <c r="AZ114" i="1"/>
  <c r="BB114" i="1" s="1"/>
  <c r="AZ112" i="1"/>
  <c r="BA112" i="1"/>
  <c r="AW112" i="1"/>
  <c r="AZ111" i="1"/>
  <c r="BA111" i="1"/>
  <c r="AW111" i="1"/>
  <c r="AO110" i="1"/>
  <c r="AP110" i="1"/>
  <c r="AL110" i="1"/>
  <c r="AN111" i="1" s="1"/>
  <c r="AO109" i="1"/>
  <c r="AP109" i="1"/>
  <c r="AL109" i="1"/>
  <c r="AZ108" i="1"/>
  <c r="BA108" i="1"/>
  <c r="AW108" i="1"/>
  <c r="AY109" i="1" s="1"/>
  <c r="AZ107" i="1"/>
  <c r="BA107" i="1"/>
  <c r="AW107" i="1"/>
  <c r="AO106" i="1"/>
  <c r="AP106" i="1"/>
  <c r="AL106" i="1"/>
  <c r="AN107" i="1" s="1"/>
  <c r="AO105" i="1"/>
  <c r="AP105" i="1"/>
  <c r="AL105" i="1"/>
  <c r="AO104" i="1"/>
  <c r="AP104" i="1"/>
  <c r="AL104" i="1"/>
  <c r="AZ103" i="1"/>
  <c r="BA103" i="1"/>
  <c r="AW103" i="1"/>
  <c r="AY104" i="1" s="1"/>
  <c r="AZ102" i="1"/>
  <c r="BA102" i="1"/>
  <c r="AW102" i="1"/>
  <c r="AZ101" i="1"/>
  <c r="BA101" i="1"/>
  <c r="AW101" i="1"/>
  <c r="AO100" i="1"/>
  <c r="AP100" i="1"/>
  <c r="AL100" i="1"/>
  <c r="AN101" i="1" s="1"/>
  <c r="AZ99" i="1"/>
  <c r="BA99" i="1"/>
  <c r="AW99" i="1"/>
  <c r="AY100" i="1" s="1"/>
  <c r="AO98" i="1"/>
  <c r="AP98" i="1"/>
  <c r="AL98" i="1"/>
  <c r="AN99" i="1" s="1"/>
  <c r="AZ97" i="1"/>
  <c r="BA97" i="1"/>
  <c r="AW97" i="1"/>
  <c r="AY98" i="1" s="1"/>
  <c r="AO97" i="1"/>
  <c r="AP97" i="1"/>
  <c r="AL97" i="1"/>
  <c r="AZ96" i="1"/>
  <c r="BA96" i="1"/>
  <c r="AW96" i="1"/>
  <c r="AZ95" i="1"/>
  <c r="BA95" i="1"/>
  <c r="AW95" i="1"/>
  <c r="AZ94" i="1"/>
  <c r="BA94" i="1"/>
  <c r="AW94" i="1"/>
  <c r="AZ93" i="1"/>
  <c r="BA93" i="1"/>
  <c r="AW93" i="1"/>
  <c r="AO93" i="1"/>
  <c r="AP93" i="1"/>
  <c r="AL93" i="1"/>
  <c r="AN94" i="1" s="1"/>
  <c r="AZ92" i="1"/>
  <c r="BA92" i="1"/>
  <c r="AW92" i="1"/>
  <c r="AZ91" i="1"/>
  <c r="BA91" i="1"/>
  <c r="AW91" i="1"/>
  <c r="AZ90" i="1"/>
  <c r="BA90" i="1"/>
  <c r="AW90" i="1"/>
  <c r="AZ89" i="1"/>
  <c r="BA89" i="1"/>
  <c r="AW89" i="1"/>
  <c r="AZ88" i="1"/>
  <c r="BA88" i="1"/>
  <c r="AW88" i="1"/>
  <c r="AZ87" i="1"/>
  <c r="BA87" i="1"/>
  <c r="AW87" i="1"/>
  <c r="AW86" i="1"/>
  <c r="AZ86" i="1"/>
  <c r="BA86" i="1"/>
  <c r="AW85" i="1"/>
  <c r="AZ85" i="1"/>
  <c r="BA85" i="1"/>
  <c r="BA84" i="1"/>
  <c r="AW84" i="1"/>
  <c r="AZ84" i="1"/>
  <c r="BB84" i="1" s="1"/>
  <c r="AW83" i="1"/>
  <c r="BA83" i="1"/>
  <c r="AZ83" i="1"/>
  <c r="BB83" i="1" s="1"/>
  <c r="BA82" i="1"/>
  <c r="AZ82" i="1"/>
  <c r="BB82" i="1" s="1"/>
  <c r="AW82" i="1"/>
  <c r="AW81" i="1"/>
  <c r="BA81" i="1"/>
  <c r="AZ81" i="1"/>
  <c r="BB81" i="1" s="1"/>
  <c r="AW80" i="1"/>
  <c r="AZ80" i="1"/>
  <c r="BA80" i="1"/>
  <c r="AZ79" i="1"/>
  <c r="AW79" i="1"/>
  <c r="BA79" i="1"/>
  <c r="AZ78" i="1"/>
  <c r="AW78" i="1"/>
  <c r="BA78" i="1"/>
  <c r="BA77" i="1"/>
  <c r="AW77" i="1"/>
  <c r="AZ77" i="1"/>
  <c r="BB77" i="1" s="1"/>
  <c r="BA76" i="1"/>
  <c r="AW76" i="1"/>
  <c r="AZ76" i="1"/>
  <c r="BB76" i="1" s="1"/>
  <c r="AL75" i="1"/>
  <c r="AN76" i="1" s="1"/>
  <c r="AO75" i="1"/>
  <c r="AP75" i="1"/>
  <c r="AZ74" i="1"/>
  <c r="BA74" i="1"/>
  <c r="AW74" i="1"/>
  <c r="AY75" i="1" s="1"/>
  <c r="AL73" i="1"/>
  <c r="AN74" i="1" s="1"/>
  <c r="AO73" i="1"/>
  <c r="AP73" i="1"/>
  <c r="AL72" i="1"/>
  <c r="AP72" i="1"/>
  <c r="AO72" i="1"/>
  <c r="AQ72" i="1" s="1"/>
  <c r="AZ71" i="1"/>
  <c r="BB71" i="1" s="1"/>
  <c r="AW71" i="1"/>
  <c r="AY72" i="1" s="1"/>
  <c r="BA71" i="1"/>
  <c r="AW70" i="1"/>
  <c r="BA70" i="1"/>
  <c r="AZ70" i="1"/>
  <c r="AW69" i="1"/>
  <c r="AZ69" i="1"/>
  <c r="BB69" i="1" s="1"/>
  <c r="BA69" i="1"/>
  <c r="BA68" i="1"/>
  <c r="AW68" i="1"/>
  <c r="AZ68" i="1"/>
  <c r="BB68" i="1" s="1"/>
  <c r="AW67" i="1"/>
  <c r="AZ67" i="1"/>
  <c r="BA67" i="1"/>
  <c r="AL66" i="1"/>
  <c r="AN67" i="1" s="1"/>
  <c r="AP66" i="1"/>
  <c r="AO66" i="1"/>
  <c r="AQ66" i="1" s="1"/>
  <c r="AP65" i="1"/>
  <c r="AL65" i="1"/>
  <c r="AO65" i="1"/>
  <c r="AQ65" i="1" s="1"/>
  <c r="AP64" i="1"/>
  <c r="AO64" i="1"/>
  <c r="AQ64" i="1" s="1"/>
  <c r="AL64" i="1"/>
  <c r="BA63" i="1"/>
  <c r="AW63" i="1"/>
  <c r="AY64" i="1" s="1"/>
  <c r="AZ63" i="1"/>
  <c r="BB63" i="1" s="1"/>
  <c r="AP62" i="1"/>
  <c r="AO62" i="1"/>
  <c r="AQ62" i="1" s="1"/>
  <c r="AL62" i="1"/>
  <c r="AN63" i="1" s="1"/>
  <c r="AW61" i="1"/>
  <c r="AY62" i="1" s="1"/>
  <c r="AZ61" i="1"/>
  <c r="BA61" i="1"/>
  <c r="AW60" i="1"/>
  <c r="BA60" i="1"/>
  <c r="AZ60" i="1"/>
  <c r="BB60" i="1" s="1"/>
  <c r="AZ59" i="1"/>
  <c r="AW59" i="1"/>
  <c r="BA59" i="1"/>
  <c r="BA58" i="1"/>
  <c r="AW58" i="1"/>
  <c r="AZ58" i="1"/>
  <c r="BB58" i="1" s="1"/>
  <c r="AO57" i="1"/>
  <c r="AP57" i="1"/>
  <c r="AL57" i="1"/>
  <c r="AN58" i="1" s="1"/>
  <c r="AZ56" i="1"/>
  <c r="AW56" i="1"/>
  <c r="AY57" i="1" s="1"/>
  <c r="BA56" i="1"/>
  <c r="AZ55" i="1"/>
  <c r="AW55" i="1"/>
  <c r="BA55" i="1"/>
  <c r="BA51" i="1"/>
  <c r="AW51" i="1"/>
  <c r="AY52" i="1" s="1"/>
  <c r="AZ51" i="1"/>
  <c r="BB51" i="1" s="1"/>
  <c r="AW49" i="1"/>
  <c r="BA49" i="1"/>
  <c r="AZ49" i="1"/>
  <c r="BB49" i="1" s="1"/>
  <c r="AZ50" i="1"/>
  <c r="BB50" i="1" s="1"/>
  <c r="BA50" i="1"/>
  <c r="AW50" i="1"/>
  <c r="AZ48" i="1"/>
  <c r="BA48" i="1"/>
  <c r="AW48" i="1"/>
  <c r="AZ47" i="1"/>
  <c r="BB47" i="1" s="1"/>
  <c r="BA47" i="1"/>
  <c r="AW47" i="1"/>
  <c r="AZ46" i="1"/>
  <c r="BB46" i="1" s="1"/>
  <c r="BA46" i="1"/>
  <c r="AW46" i="1"/>
  <c r="AZ44" i="1"/>
  <c r="BB44" i="1" s="1"/>
  <c r="BA44" i="1"/>
  <c r="AW44" i="1"/>
  <c r="AY45" i="1" s="1"/>
  <c r="AZ43" i="1"/>
  <c r="BB43" i="1" s="1"/>
  <c r="BA43" i="1"/>
  <c r="AW43" i="1"/>
  <c r="AZ42" i="1"/>
  <c r="BB42" i="1" s="1"/>
  <c r="BA42" i="1"/>
  <c r="AW42" i="1"/>
  <c r="AZ41" i="1"/>
  <c r="BA41" i="1"/>
  <c r="AW41" i="1"/>
  <c r="AZ40" i="1"/>
  <c r="BA40" i="1"/>
  <c r="AW40" i="1"/>
  <c r="AZ39" i="1"/>
  <c r="BA39" i="1"/>
  <c r="AW39" i="1"/>
  <c r="AZ38" i="1"/>
  <c r="BA38" i="1"/>
  <c r="AW38" i="1"/>
  <c r="AZ37" i="1"/>
  <c r="BA37" i="1"/>
  <c r="AW37" i="1"/>
  <c r="AO35" i="1"/>
  <c r="AP35" i="1"/>
  <c r="AL35" i="1"/>
  <c r="AZ33" i="1"/>
  <c r="BA33" i="1"/>
  <c r="AW33" i="1"/>
  <c r="AY34" i="1" s="1"/>
  <c r="AZ32" i="1"/>
  <c r="BA32" i="1"/>
  <c r="AW32" i="1"/>
  <c r="AZ31" i="1"/>
  <c r="BA31" i="1"/>
  <c r="AW31" i="1"/>
  <c r="AZ30" i="1"/>
  <c r="BA30" i="1"/>
  <c r="AW30" i="1"/>
  <c r="AZ29" i="1"/>
  <c r="BA29" i="1"/>
  <c r="AW29" i="1"/>
  <c r="AO29" i="1"/>
  <c r="AP29" i="1"/>
  <c r="AL29" i="1"/>
  <c r="AN30" i="1" s="1"/>
  <c r="AO26" i="1"/>
  <c r="AP26" i="1"/>
  <c r="AL26" i="1"/>
  <c r="AZ25" i="1"/>
  <c r="BA25" i="1"/>
  <c r="AW25" i="1"/>
  <c r="AY26" i="1" s="1"/>
  <c r="AZ24" i="1"/>
  <c r="BA24" i="1"/>
  <c r="AW24" i="1"/>
  <c r="AZ23" i="1"/>
  <c r="BA23" i="1"/>
  <c r="AW23" i="1"/>
  <c r="AZ22" i="1"/>
  <c r="BA22" i="1"/>
  <c r="AO22" i="1"/>
  <c r="AP22" i="1"/>
  <c r="AL53" i="1" l="1"/>
  <c r="AP53" i="1"/>
  <c r="AO53" i="1"/>
  <c r="AQ53" i="1" s="1"/>
  <c r="AO34" i="1"/>
  <c r="AP34" i="1"/>
  <c r="AL34" i="1"/>
  <c r="AO54" i="1"/>
  <c r="AP54" i="1"/>
  <c r="AL54" i="1"/>
  <c r="AN55" i="1" s="1"/>
  <c r="AO45" i="1"/>
  <c r="AP45" i="1"/>
  <c r="AL45" i="1"/>
  <c r="AN46" i="1" s="1"/>
  <c r="AO36" i="1"/>
  <c r="AP36" i="1"/>
  <c r="AL36" i="1"/>
  <c r="AN37" i="1" s="1"/>
  <c r="AO27" i="1"/>
  <c r="AP27" i="1"/>
  <c r="AL27" i="1"/>
  <c r="AO52" i="1"/>
  <c r="AL52" i="1"/>
  <c r="AP52" i="1"/>
  <c r="AO28" i="1"/>
  <c r="AP28" i="1"/>
  <c r="AL28" i="1"/>
  <c r="AO23" i="1"/>
  <c r="AP23" i="1"/>
  <c r="AL23" i="1"/>
  <c r="AN24" i="1" s="1"/>
  <c r="BB163" i="1"/>
  <c r="BB137" i="1"/>
  <c r="AQ134" i="1"/>
  <c r="BB125" i="1"/>
  <c r="BB111" i="1"/>
  <c r="AQ110" i="1"/>
  <c r="AQ109" i="1"/>
  <c r="AQ106" i="1"/>
  <c r="BB103" i="1"/>
  <c r="BB102" i="1"/>
  <c r="BB101" i="1"/>
  <c r="BB99" i="1"/>
  <c r="BB97" i="1"/>
  <c r="BB96" i="1"/>
  <c r="BB95" i="1"/>
  <c r="BB94" i="1"/>
  <c r="BB93" i="1"/>
  <c r="BB91" i="1"/>
  <c r="BB90" i="1"/>
  <c r="BB88" i="1"/>
  <c r="BB86" i="1"/>
  <c r="BB85" i="1"/>
  <c r="BB79" i="1"/>
  <c r="BB78" i="1"/>
  <c r="AQ73" i="1"/>
  <c r="BB70" i="1"/>
  <c r="BB67" i="1"/>
  <c r="BB48" i="1"/>
  <c r="AZ176" i="1"/>
  <c r="AW176" i="1"/>
  <c r="BA176" i="1"/>
  <c r="AP175" i="1"/>
  <c r="AL175" i="1"/>
  <c r="AO175" i="1"/>
  <c r="AQ175" i="1" s="1"/>
  <c r="BE175" i="1" s="1"/>
  <c r="BA174" i="1"/>
  <c r="AZ174" i="1"/>
  <c r="BB174" i="1" s="1"/>
  <c r="BE174" i="1" s="1"/>
  <c r="AW174" i="1"/>
  <c r="AO173" i="1"/>
  <c r="AL173" i="1"/>
  <c r="AP173" i="1"/>
  <c r="BA172" i="1"/>
  <c r="AW172" i="1"/>
  <c r="AZ172" i="1"/>
  <c r="BB172" i="1" s="1"/>
  <c r="AO171" i="1"/>
  <c r="AL171" i="1"/>
  <c r="AP171" i="1"/>
  <c r="BA170" i="1"/>
  <c r="AW170" i="1"/>
  <c r="AZ170" i="1"/>
  <c r="BB170" i="1" s="1"/>
  <c r="BE170" i="1" s="1"/>
  <c r="AL168" i="1"/>
  <c r="AN169" i="1" s="1"/>
  <c r="AO168" i="1"/>
  <c r="AP168" i="1"/>
  <c r="AZ167" i="1"/>
  <c r="AW167" i="1"/>
  <c r="BA167" i="1"/>
  <c r="AP165" i="1"/>
  <c r="AO165" i="1"/>
  <c r="AQ165" i="1" s="1"/>
  <c r="BE165" i="1" s="1"/>
  <c r="AL165" i="1"/>
  <c r="AN166" i="1" s="1"/>
  <c r="BA164" i="1"/>
  <c r="AW164" i="1"/>
  <c r="AZ164" i="1"/>
  <c r="BB164" i="1" s="1"/>
  <c r="AP160" i="1"/>
  <c r="AO160" i="1"/>
  <c r="AQ160" i="1" s="1"/>
  <c r="BE160" i="1" s="1"/>
  <c r="AL160" i="1"/>
  <c r="AN161" i="1" s="1"/>
  <c r="BA157" i="1"/>
  <c r="AW157" i="1"/>
  <c r="AY158" i="1" s="1"/>
  <c r="AZ157" i="1"/>
  <c r="BB157" i="1" s="1"/>
  <c r="AP156" i="1"/>
  <c r="AL156" i="1"/>
  <c r="AO156" i="1"/>
  <c r="AQ156" i="1" s="1"/>
  <c r="AZ155" i="1"/>
  <c r="AW155" i="1"/>
  <c r="BA155" i="1"/>
  <c r="AO149" i="1"/>
  <c r="AL149" i="1"/>
  <c r="AN150" i="1" s="1"/>
  <c r="AP149" i="1"/>
  <c r="AZ148" i="1"/>
  <c r="AW148" i="1"/>
  <c r="BA148" i="1"/>
  <c r="AO147" i="1"/>
  <c r="AP147" i="1"/>
  <c r="AL147" i="1"/>
  <c r="AW145" i="1"/>
  <c r="AY146" i="1" s="1"/>
  <c r="BA145" i="1"/>
  <c r="AZ145" i="1"/>
  <c r="BB145" i="1" s="1"/>
  <c r="BE145" i="1" s="1"/>
  <c r="AP143" i="1"/>
  <c r="AO143" i="1"/>
  <c r="AQ143" i="1" s="1"/>
  <c r="BE143" i="1" s="1"/>
  <c r="AL143" i="1"/>
  <c r="AN144" i="1" s="1"/>
  <c r="AZ142" i="1"/>
  <c r="BA142" i="1"/>
  <c r="AW142" i="1"/>
  <c r="AL136" i="1"/>
  <c r="AN137" i="1" s="1"/>
  <c r="AO136" i="1"/>
  <c r="AP136" i="1"/>
  <c r="BA134" i="1"/>
  <c r="AW134" i="1"/>
  <c r="AY135" i="1" s="1"/>
  <c r="AZ134" i="1"/>
  <c r="BB134" i="1" s="1"/>
  <c r="BE134" i="1" s="1"/>
  <c r="AO132" i="1"/>
  <c r="AP132" i="1"/>
  <c r="AL132" i="1"/>
  <c r="AN133" i="1" s="1"/>
  <c r="AO127" i="1"/>
  <c r="AP127" i="1"/>
  <c r="AL127" i="1"/>
  <c r="AN128" i="1" s="1"/>
  <c r="AW126" i="1"/>
  <c r="AZ126" i="1"/>
  <c r="BA126" i="1"/>
  <c r="AO125" i="1"/>
  <c r="AL125" i="1"/>
  <c r="AP125" i="1"/>
  <c r="AP122" i="1"/>
  <c r="AL122" i="1"/>
  <c r="AN123" i="1" s="1"/>
  <c r="AO122" i="1"/>
  <c r="AQ122" i="1" s="1"/>
  <c r="BA121" i="1"/>
  <c r="AZ121" i="1"/>
  <c r="BB121" i="1" s="1"/>
  <c r="AW121" i="1"/>
  <c r="AO119" i="1"/>
  <c r="AP119" i="1"/>
  <c r="AL119" i="1"/>
  <c r="AN120" i="1" s="1"/>
  <c r="AZ118" i="1"/>
  <c r="AW118" i="1"/>
  <c r="BA118" i="1"/>
  <c r="AL111" i="1"/>
  <c r="AN112" i="1" s="1"/>
  <c r="AP111" i="1"/>
  <c r="AO111" i="1"/>
  <c r="AQ111" i="1" s="1"/>
  <c r="BE111" i="1" s="1"/>
  <c r="AW109" i="1"/>
  <c r="AY110" i="1" s="1"/>
  <c r="BA109" i="1"/>
  <c r="AZ109" i="1"/>
  <c r="BB109" i="1" s="1"/>
  <c r="BE109" i="1" s="1"/>
  <c r="AL107" i="1"/>
  <c r="AN108" i="1" s="1"/>
  <c r="AP107" i="1"/>
  <c r="AO107" i="1"/>
  <c r="AQ107" i="1" s="1"/>
  <c r="AW104" i="1"/>
  <c r="AY105" i="1" s="1"/>
  <c r="BA104" i="1"/>
  <c r="AZ104" i="1"/>
  <c r="BB104" i="1" s="1"/>
  <c r="AL101" i="1"/>
  <c r="AN102" i="1" s="1"/>
  <c r="AP101" i="1"/>
  <c r="AO101" i="1"/>
  <c r="AQ101" i="1" s="1"/>
  <c r="BE101" i="1" s="1"/>
  <c r="AW100" i="1"/>
  <c r="BA100" i="1"/>
  <c r="AZ100" i="1"/>
  <c r="BB100" i="1" s="1"/>
  <c r="AL99" i="1"/>
  <c r="AP99" i="1"/>
  <c r="AO99" i="1"/>
  <c r="AQ99" i="1" s="1"/>
  <c r="BE99" i="1" s="1"/>
  <c r="AW98" i="1"/>
  <c r="BA98" i="1"/>
  <c r="AZ98" i="1"/>
  <c r="BB98" i="1" s="1"/>
  <c r="AL94" i="1"/>
  <c r="AN95" i="1" s="1"/>
  <c r="AP94" i="1"/>
  <c r="AO94" i="1"/>
  <c r="AQ94" i="1" s="1"/>
  <c r="BE94" i="1" s="1"/>
  <c r="AP76" i="1"/>
  <c r="AL76" i="1"/>
  <c r="AN77" i="1" s="1"/>
  <c r="AO76" i="1"/>
  <c r="AQ76" i="1" s="1"/>
  <c r="BE76" i="1" s="1"/>
  <c r="BA75" i="1"/>
  <c r="AW75" i="1"/>
  <c r="AZ75" i="1"/>
  <c r="BB75" i="1" s="1"/>
  <c r="AP74" i="1"/>
  <c r="AL74" i="1"/>
  <c r="AO74" i="1"/>
  <c r="AQ74" i="1" s="1"/>
  <c r="AZ72" i="1"/>
  <c r="BA72" i="1"/>
  <c r="AW72" i="1"/>
  <c r="AY73" i="1" s="1"/>
  <c r="AL67" i="1"/>
  <c r="AN68" i="1" s="1"/>
  <c r="AO67" i="1"/>
  <c r="AP67" i="1"/>
  <c r="BA64" i="1"/>
  <c r="AZ64" i="1"/>
  <c r="BB64" i="1" s="1"/>
  <c r="BE64" i="1" s="1"/>
  <c r="AW64" i="1"/>
  <c r="AY65" i="1" s="1"/>
  <c r="AP63" i="1"/>
  <c r="AO63" i="1"/>
  <c r="AQ63" i="1" s="1"/>
  <c r="BE63" i="1" s="1"/>
  <c r="AL63" i="1"/>
  <c r="AZ62" i="1"/>
  <c r="AW62" i="1"/>
  <c r="BA62" i="1"/>
  <c r="AP58" i="1"/>
  <c r="AO58" i="1"/>
  <c r="AQ58" i="1" s="1"/>
  <c r="BE58" i="1" s="1"/>
  <c r="AL58" i="1"/>
  <c r="AN59" i="1" s="1"/>
  <c r="AW57" i="1"/>
  <c r="AZ57" i="1"/>
  <c r="BA57" i="1"/>
  <c r="AL55" i="1"/>
  <c r="AN56" i="1" s="1"/>
  <c r="AO55" i="1"/>
  <c r="AP55" i="1"/>
  <c r="BA52" i="1"/>
  <c r="AW52" i="1"/>
  <c r="AY53" i="1" s="1"/>
  <c r="AZ52" i="1"/>
  <c r="BB52" i="1" s="1"/>
  <c r="AL46" i="1"/>
  <c r="AN47" i="1" s="1"/>
  <c r="AP46" i="1"/>
  <c r="AO46" i="1"/>
  <c r="AQ46" i="1" s="1"/>
  <c r="BE46" i="1" s="1"/>
  <c r="AW45" i="1"/>
  <c r="BA45" i="1"/>
  <c r="AZ45" i="1"/>
  <c r="BB45" i="1" s="1"/>
  <c r="AL37" i="1"/>
  <c r="AN38" i="1" s="1"/>
  <c r="AP37" i="1"/>
  <c r="AO37" i="1"/>
  <c r="AQ37" i="1" s="1"/>
  <c r="AW34" i="1"/>
  <c r="AY35" i="1" s="1"/>
  <c r="BA34" i="1"/>
  <c r="AZ34" i="1"/>
  <c r="AL30" i="1"/>
  <c r="AN31" i="1" s="1"/>
  <c r="AP30" i="1"/>
  <c r="AO30" i="1"/>
  <c r="AQ30" i="1" s="1"/>
  <c r="AW26" i="1"/>
  <c r="AY27" i="1" s="1"/>
  <c r="BA26" i="1"/>
  <c r="AZ26" i="1"/>
  <c r="BB26" i="1" s="1"/>
  <c r="AL24" i="1"/>
  <c r="AN25" i="1" s="1"/>
  <c r="AP24" i="1"/>
  <c r="AO24" i="1"/>
  <c r="AQ167" i="1"/>
  <c r="AQ155" i="1"/>
  <c r="BB153" i="1"/>
  <c r="BB152" i="1"/>
  <c r="BB150" i="1"/>
  <c r="AQ148" i="1"/>
  <c r="BB141" i="1"/>
  <c r="BB136" i="1"/>
  <c r="BB122" i="1"/>
  <c r="BB119" i="1"/>
  <c r="AQ117" i="1"/>
  <c r="BB112" i="1"/>
  <c r="AQ105" i="1"/>
  <c r="AQ97" i="1"/>
  <c r="BE97" i="1" s="1"/>
  <c r="AQ93" i="1"/>
  <c r="BE93" i="1" s="1"/>
  <c r="BB61" i="1"/>
  <c r="AQ57" i="1"/>
  <c r="BB55" i="1"/>
  <c r="BB41" i="1"/>
  <c r="BB40" i="1"/>
  <c r="BB39" i="1"/>
  <c r="BB38" i="1"/>
  <c r="BB37" i="1"/>
  <c r="AQ36" i="1"/>
  <c r="AQ35" i="1"/>
  <c r="AQ34" i="1"/>
  <c r="BB33" i="1"/>
  <c r="BB32" i="1"/>
  <c r="BB31" i="1"/>
  <c r="BB30" i="1"/>
  <c r="BB29" i="1"/>
  <c r="AQ29" i="1"/>
  <c r="BE29" i="1" s="1"/>
  <c r="AQ28" i="1"/>
  <c r="AQ27" i="1"/>
  <c r="AQ26" i="1"/>
  <c r="BE26" i="1" s="1"/>
  <c r="BB25" i="1"/>
  <c r="BB24" i="1"/>
  <c r="BB23" i="1"/>
  <c r="AQ23" i="1"/>
  <c r="BE23" i="1" s="1"/>
  <c r="BB22" i="1"/>
  <c r="AQ22" i="1"/>
  <c r="BB116" i="1"/>
  <c r="BB107" i="1"/>
  <c r="AQ104" i="1"/>
  <c r="BE104" i="1" s="1"/>
  <c r="AQ98" i="1"/>
  <c r="BE98" i="1" s="1"/>
  <c r="BB92" i="1"/>
  <c r="BB80" i="1"/>
  <c r="BB74" i="1"/>
  <c r="AQ100" i="1"/>
  <c r="BE100" i="1" s="1"/>
  <c r="BB89" i="1"/>
  <c r="AQ75" i="1"/>
  <c r="BE75" i="1" s="1"/>
  <c r="BB56" i="1"/>
  <c r="AQ54" i="1"/>
  <c r="BB59" i="1"/>
  <c r="AQ176" i="1"/>
  <c r="AQ172" i="1"/>
  <c r="BE172" i="1" s="1"/>
  <c r="BB166" i="1"/>
  <c r="AQ164" i="1"/>
  <c r="BE164" i="1" s="1"/>
  <c r="BB162" i="1"/>
  <c r="BB161" i="1"/>
  <c r="AQ158" i="1"/>
  <c r="AQ157" i="1"/>
  <c r="BE157" i="1" s="1"/>
  <c r="BB156" i="1"/>
  <c r="BB154" i="1"/>
  <c r="BB151" i="1"/>
  <c r="BB140" i="1"/>
  <c r="BB132" i="1"/>
  <c r="BB130" i="1"/>
  <c r="AQ124" i="1"/>
  <c r="BE124" i="1" s="1"/>
  <c r="BB123" i="1"/>
  <c r="AQ121" i="1"/>
  <c r="BE121" i="1" s="1"/>
  <c r="BB120" i="1"/>
  <c r="BB117" i="1"/>
  <c r="BB108" i="1"/>
  <c r="BB87" i="1"/>
  <c r="AQ52" i="1"/>
  <c r="BE52" i="1" s="1"/>
  <c r="AQ45" i="1" l="1"/>
  <c r="BE45" i="1" s="1"/>
  <c r="BB57" i="1"/>
  <c r="BE57" i="1" s="1"/>
  <c r="BB34" i="1"/>
  <c r="BE34" i="1" s="1"/>
  <c r="AQ24" i="1"/>
  <c r="BE24" i="1" s="1"/>
  <c r="AO169" i="1"/>
  <c r="AP169" i="1"/>
  <c r="AL169" i="1"/>
  <c r="AP166" i="1"/>
  <c r="AL166" i="1"/>
  <c r="AO166" i="1"/>
  <c r="AQ166" i="1" s="1"/>
  <c r="BE166" i="1" s="1"/>
  <c r="AL161" i="1"/>
  <c r="AN162" i="1" s="1"/>
  <c r="AP161" i="1"/>
  <c r="AO161" i="1"/>
  <c r="AQ161" i="1" s="1"/>
  <c r="BE161" i="1" s="1"/>
  <c r="BA158" i="1"/>
  <c r="AW158" i="1"/>
  <c r="AY159" i="1" s="1"/>
  <c r="AZ158" i="1"/>
  <c r="BB158" i="1" s="1"/>
  <c r="BE158" i="1" s="1"/>
  <c r="AO150" i="1"/>
  <c r="AL150" i="1"/>
  <c r="AN151" i="1" s="1"/>
  <c r="AP150" i="1"/>
  <c r="BA146" i="1"/>
  <c r="AZ146" i="1"/>
  <c r="BB146" i="1" s="1"/>
  <c r="BE146" i="1" s="1"/>
  <c r="AW146" i="1"/>
  <c r="AL144" i="1"/>
  <c r="AO144" i="1"/>
  <c r="AP144" i="1"/>
  <c r="AP137" i="1"/>
  <c r="AL137" i="1"/>
  <c r="AN138" i="1" s="1"/>
  <c r="AO137" i="1"/>
  <c r="AQ137" i="1" s="1"/>
  <c r="BE137" i="1" s="1"/>
  <c r="AZ135" i="1"/>
  <c r="AW135" i="1"/>
  <c r="BA135" i="1"/>
  <c r="AO133" i="1"/>
  <c r="AL133" i="1"/>
  <c r="AP133" i="1"/>
  <c r="AP128" i="1"/>
  <c r="AO128" i="1"/>
  <c r="AQ128" i="1" s="1"/>
  <c r="BE128" i="1" s="1"/>
  <c r="AL128" i="1"/>
  <c r="AN129" i="1" s="1"/>
  <c r="AP123" i="1"/>
  <c r="AO123" i="1"/>
  <c r="AQ123" i="1" s="1"/>
  <c r="BE123" i="1" s="1"/>
  <c r="AL123" i="1"/>
  <c r="AP120" i="1"/>
  <c r="AL120" i="1"/>
  <c r="AO120" i="1"/>
  <c r="AQ120" i="1" s="1"/>
  <c r="BE120" i="1" s="1"/>
  <c r="AL112" i="1"/>
  <c r="AN113" i="1" s="1"/>
  <c r="AP112" i="1"/>
  <c r="AO112" i="1"/>
  <c r="AQ112" i="1" s="1"/>
  <c r="BE112" i="1" s="1"/>
  <c r="AW110" i="1"/>
  <c r="BA110" i="1"/>
  <c r="AZ110" i="1"/>
  <c r="BB110" i="1" s="1"/>
  <c r="BE110" i="1" s="1"/>
  <c r="AL108" i="1"/>
  <c r="AP108" i="1"/>
  <c r="AO108" i="1"/>
  <c r="AQ108" i="1" s="1"/>
  <c r="BE108" i="1" s="1"/>
  <c r="AW105" i="1"/>
  <c r="AY106" i="1" s="1"/>
  <c r="BA105" i="1"/>
  <c r="AZ105" i="1"/>
  <c r="BB105" i="1" s="1"/>
  <c r="BE105" i="1" s="1"/>
  <c r="AL102" i="1"/>
  <c r="AN103" i="1" s="1"/>
  <c r="AP102" i="1"/>
  <c r="AO102" i="1"/>
  <c r="AQ102" i="1" s="1"/>
  <c r="BE102" i="1" s="1"/>
  <c r="AL95" i="1"/>
  <c r="AN96" i="1" s="1"/>
  <c r="AP95" i="1"/>
  <c r="AO95" i="1"/>
  <c r="AQ95" i="1" s="1"/>
  <c r="BE95" i="1" s="1"/>
  <c r="AO77" i="1"/>
  <c r="AP77" i="1"/>
  <c r="AL77" i="1"/>
  <c r="AN78" i="1" s="1"/>
  <c r="AZ73" i="1"/>
  <c r="AW73" i="1"/>
  <c r="BA73" i="1"/>
  <c r="AL68" i="1"/>
  <c r="AN69" i="1" s="1"/>
  <c r="AP68" i="1"/>
  <c r="AO68" i="1"/>
  <c r="AQ68" i="1" s="1"/>
  <c r="BE68" i="1" s="1"/>
  <c r="AZ65" i="1"/>
  <c r="BA65" i="1"/>
  <c r="AW65" i="1"/>
  <c r="AY66" i="1" s="1"/>
  <c r="AO59" i="1"/>
  <c r="AP59" i="1"/>
  <c r="AL59" i="1"/>
  <c r="AN60" i="1" s="1"/>
  <c r="AO56" i="1"/>
  <c r="AL56" i="1"/>
  <c r="AP56" i="1"/>
  <c r="AW53" i="1"/>
  <c r="AY54" i="1" s="1"/>
  <c r="BA53" i="1"/>
  <c r="AZ53" i="1"/>
  <c r="BB53" i="1" s="1"/>
  <c r="BE53" i="1" s="1"/>
  <c r="AL47" i="1"/>
  <c r="AN48" i="1" s="1"/>
  <c r="AP47" i="1"/>
  <c r="AO47" i="1"/>
  <c r="AQ47" i="1" s="1"/>
  <c r="BE47" i="1" s="1"/>
  <c r="AL38" i="1"/>
  <c r="AN39" i="1" s="1"/>
  <c r="AP38" i="1"/>
  <c r="AO38" i="1"/>
  <c r="AQ38" i="1" s="1"/>
  <c r="BE38" i="1" s="1"/>
  <c r="AW35" i="1"/>
  <c r="AY36" i="1" s="1"/>
  <c r="BA35" i="1"/>
  <c r="AZ35" i="1"/>
  <c r="BB35" i="1" s="1"/>
  <c r="BE35" i="1" s="1"/>
  <c r="AL31" i="1"/>
  <c r="AN32" i="1" s="1"/>
  <c r="AP31" i="1"/>
  <c r="AO31" i="1"/>
  <c r="AQ31" i="1" s="1"/>
  <c r="BE31" i="1" s="1"/>
  <c r="AW27" i="1"/>
  <c r="AY28" i="1" s="1"/>
  <c r="BA27" i="1"/>
  <c r="AZ27" i="1"/>
  <c r="BB27" i="1" s="1"/>
  <c r="BE27" i="1" s="1"/>
  <c r="AL25" i="1"/>
  <c r="AP25" i="1"/>
  <c r="AO25" i="1"/>
  <c r="AQ25" i="1" s="1"/>
  <c r="BE25" i="1" s="1"/>
  <c r="BC22" i="1"/>
  <c r="BC23" i="1" s="1"/>
  <c r="BC24" i="1" s="1"/>
  <c r="BC25" i="1" s="1"/>
  <c r="BC26" i="1" s="1"/>
  <c r="BC27" i="1" s="1"/>
  <c r="BE22" i="1"/>
  <c r="AR22" i="1"/>
  <c r="AR23" i="1" s="1"/>
  <c r="BB176" i="1"/>
  <c r="BE176" i="1" s="1"/>
  <c r="AQ173" i="1"/>
  <c r="BE173" i="1" s="1"/>
  <c r="AQ171" i="1"/>
  <c r="BE171" i="1" s="1"/>
  <c r="AQ168" i="1"/>
  <c r="BE168" i="1" s="1"/>
  <c r="BB167" i="1"/>
  <c r="BE167" i="1" s="1"/>
  <c r="BE156" i="1"/>
  <c r="BB155" i="1"/>
  <c r="BE155" i="1" s="1"/>
  <c r="AQ149" i="1"/>
  <c r="BE149" i="1" s="1"/>
  <c r="BB148" i="1"/>
  <c r="BE148" i="1" s="1"/>
  <c r="AQ147" i="1"/>
  <c r="BE147" i="1" s="1"/>
  <c r="BB142" i="1"/>
  <c r="BE142" i="1" s="1"/>
  <c r="AQ136" i="1"/>
  <c r="BE136" i="1" s="1"/>
  <c r="AQ132" i="1"/>
  <c r="BE132" i="1" s="1"/>
  <c r="AQ127" i="1"/>
  <c r="BE127" i="1" s="1"/>
  <c r="BB126" i="1"/>
  <c r="BE126" i="1" s="1"/>
  <c r="AQ125" i="1"/>
  <c r="BE125" i="1" s="1"/>
  <c r="BE122" i="1"/>
  <c r="AQ119" i="1"/>
  <c r="BE119" i="1" s="1"/>
  <c r="BB118" i="1"/>
  <c r="BE118" i="1" s="1"/>
  <c r="BE107" i="1"/>
  <c r="BE74" i="1"/>
  <c r="BB72" i="1"/>
  <c r="BE72" i="1" s="1"/>
  <c r="AQ67" i="1"/>
  <c r="BE67" i="1" s="1"/>
  <c r="BE117" i="1"/>
  <c r="AQ55" i="1"/>
  <c r="BE55" i="1" s="1"/>
  <c r="BE30" i="1"/>
  <c r="BB62" i="1"/>
  <c r="BE62" i="1" s="1"/>
  <c r="BE37" i="1"/>
  <c r="AR24" i="1" l="1"/>
  <c r="AR25" i="1" s="1"/>
  <c r="AR26" i="1" s="1"/>
  <c r="AR27" i="1" s="1"/>
  <c r="AR28" i="1" s="1"/>
  <c r="AR29" i="1" s="1"/>
  <c r="AR30" i="1" s="1"/>
  <c r="AR31" i="1" s="1"/>
  <c r="AQ144" i="1"/>
  <c r="BE144" i="1" s="1"/>
  <c r="AP162" i="1"/>
  <c r="AO162" i="1"/>
  <c r="AQ162" i="1" s="1"/>
  <c r="BE162" i="1" s="1"/>
  <c r="AL162" i="1"/>
  <c r="AN163" i="1" s="1"/>
  <c r="BA159" i="1"/>
  <c r="AW159" i="1"/>
  <c r="AZ159" i="1"/>
  <c r="BB159" i="1" s="1"/>
  <c r="BE159" i="1" s="1"/>
  <c r="AO151" i="1"/>
  <c r="AL151" i="1"/>
  <c r="AN152" i="1" s="1"/>
  <c r="AP151" i="1"/>
  <c r="AP138" i="1"/>
  <c r="AL138" i="1"/>
  <c r="AN139" i="1" s="1"/>
  <c r="AO138" i="1"/>
  <c r="AQ138" i="1" s="1"/>
  <c r="BE138" i="1" s="1"/>
  <c r="AP129" i="1"/>
  <c r="AO129" i="1"/>
  <c r="AQ129" i="1" s="1"/>
  <c r="BE129" i="1" s="1"/>
  <c r="AL129" i="1"/>
  <c r="AN130" i="1" s="1"/>
  <c r="AL113" i="1"/>
  <c r="AN114" i="1" s="1"/>
  <c r="AO113" i="1"/>
  <c r="AP113" i="1"/>
  <c r="AW106" i="1"/>
  <c r="BA106" i="1"/>
  <c r="AZ106" i="1"/>
  <c r="BB106" i="1" s="1"/>
  <c r="BE106" i="1" s="1"/>
  <c r="AL103" i="1"/>
  <c r="AP103" i="1"/>
  <c r="AO103" i="1"/>
  <c r="AQ103" i="1" s="1"/>
  <c r="BE103" i="1" s="1"/>
  <c r="AL96" i="1"/>
  <c r="AP96" i="1"/>
  <c r="AO96" i="1"/>
  <c r="AQ96" i="1" s="1"/>
  <c r="BE96" i="1" s="1"/>
  <c r="AP78" i="1"/>
  <c r="AL78" i="1"/>
  <c r="AN79" i="1" s="1"/>
  <c r="AO78" i="1"/>
  <c r="AQ78" i="1" s="1"/>
  <c r="BE78" i="1" s="1"/>
  <c r="AO69" i="1"/>
  <c r="AL69" i="1"/>
  <c r="AN70" i="1" s="1"/>
  <c r="AP69" i="1"/>
  <c r="AZ66" i="1"/>
  <c r="BA66" i="1"/>
  <c r="AW66" i="1"/>
  <c r="AL60" i="1"/>
  <c r="AN61" i="1" s="1"/>
  <c r="AP60" i="1"/>
  <c r="AO60" i="1"/>
  <c r="AQ60" i="1" s="1"/>
  <c r="BE60" i="1" s="1"/>
  <c r="AZ54" i="1"/>
  <c r="BA54" i="1"/>
  <c r="AW54" i="1"/>
  <c r="AL48" i="1"/>
  <c r="AN49" i="1" s="1"/>
  <c r="AP48" i="1"/>
  <c r="AO48" i="1"/>
  <c r="AQ48" i="1" s="1"/>
  <c r="BE48" i="1" s="1"/>
  <c r="AL39" i="1"/>
  <c r="AN40" i="1" s="1"/>
  <c r="AP39" i="1"/>
  <c r="AO39" i="1"/>
  <c r="AQ39" i="1" s="1"/>
  <c r="BE39" i="1" s="1"/>
  <c r="AW36" i="1"/>
  <c r="BA36" i="1"/>
  <c r="AZ36" i="1"/>
  <c r="BB36" i="1" s="1"/>
  <c r="BE36" i="1" s="1"/>
  <c r="AL32" i="1"/>
  <c r="AN33" i="1" s="1"/>
  <c r="AP32" i="1"/>
  <c r="AO32" i="1"/>
  <c r="AQ32" i="1" s="1"/>
  <c r="AW28" i="1"/>
  <c r="BA28" i="1"/>
  <c r="AZ28" i="1"/>
  <c r="BB28" i="1" s="1"/>
  <c r="BF22" i="1"/>
  <c r="BF23" i="1" s="1"/>
  <c r="BF24" i="1" s="1"/>
  <c r="BF25" i="1" s="1"/>
  <c r="BF26" i="1" s="1"/>
  <c r="BF27" i="1" s="1"/>
  <c r="AQ169" i="1"/>
  <c r="BE169" i="1" s="1"/>
  <c r="BB135" i="1"/>
  <c r="BE135" i="1" s="1"/>
  <c r="AQ133" i="1"/>
  <c r="BE133" i="1" s="1"/>
  <c r="BB73" i="1"/>
  <c r="BE73" i="1" s="1"/>
  <c r="BB65" i="1"/>
  <c r="BE65" i="1" s="1"/>
  <c r="AQ56" i="1"/>
  <c r="BE56" i="1" s="1"/>
  <c r="AQ150" i="1"/>
  <c r="BE150" i="1" s="1"/>
  <c r="AQ77" i="1"/>
  <c r="BE77" i="1" s="1"/>
  <c r="AQ59" i="1"/>
  <c r="BE59" i="1" s="1"/>
  <c r="AP163" i="1" l="1"/>
  <c r="AL163" i="1"/>
  <c r="AO163" i="1"/>
  <c r="AQ163" i="1" s="1"/>
  <c r="BE163" i="1" s="1"/>
  <c r="AL152" i="1"/>
  <c r="AN153" i="1" s="1"/>
  <c r="AP152" i="1"/>
  <c r="AO152" i="1"/>
  <c r="AQ152" i="1" s="1"/>
  <c r="BE152" i="1" s="1"/>
  <c r="AP139" i="1"/>
  <c r="AL139" i="1"/>
  <c r="AN140" i="1" s="1"/>
  <c r="AO139" i="1"/>
  <c r="AQ139" i="1" s="1"/>
  <c r="BE139" i="1" s="1"/>
  <c r="AO130" i="1"/>
  <c r="AL130" i="1"/>
  <c r="AP130" i="1"/>
  <c r="AP114" i="1"/>
  <c r="AL114" i="1"/>
  <c r="AN115" i="1" s="1"/>
  <c r="AO114" i="1"/>
  <c r="AQ114" i="1" s="1"/>
  <c r="BE114" i="1" s="1"/>
  <c r="AO79" i="1"/>
  <c r="AP79" i="1"/>
  <c r="AL79" i="1"/>
  <c r="AN80" i="1" s="1"/>
  <c r="AP70" i="1"/>
  <c r="AO70" i="1"/>
  <c r="AQ70" i="1" s="1"/>
  <c r="BE70" i="1" s="1"/>
  <c r="AL70" i="1"/>
  <c r="AN71" i="1" s="1"/>
  <c r="AO61" i="1"/>
  <c r="AP61" i="1"/>
  <c r="AL61" i="1"/>
  <c r="AL49" i="1"/>
  <c r="AN50" i="1" s="1"/>
  <c r="AP49" i="1"/>
  <c r="AO49" i="1"/>
  <c r="AQ49" i="1" s="1"/>
  <c r="BE49" i="1" s="1"/>
  <c r="AL40" i="1"/>
  <c r="AN41" i="1" s="1"/>
  <c r="AP40" i="1"/>
  <c r="AO40" i="1"/>
  <c r="AL33" i="1"/>
  <c r="AP33" i="1"/>
  <c r="AO33" i="1"/>
  <c r="AQ33" i="1" s="1"/>
  <c r="BE33" i="1" s="1"/>
  <c r="AR32" i="1"/>
  <c r="BE32" i="1"/>
  <c r="BB14" i="1"/>
  <c r="BB19" i="1"/>
  <c r="BC28" i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28" i="1"/>
  <c r="AQ151" i="1"/>
  <c r="BE151" i="1" s="1"/>
  <c r="AQ113" i="1"/>
  <c r="BE113" i="1" s="1"/>
  <c r="AQ69" i="1"/>
  <c r="BE69" i="1" s="1"/>
  <c r="BB66" i="1"/>
  <c r="BE66" i="1" s="1"/>
  <c r="BB54" i="1"/>
  <c r="AQ40" i="1" l="1"/>
  <c r="BE40" i="1" s="1"/>
  <c r="AR33" i="1"/>
  <c r="AR34" i="1" s="1"/>
  <c r="AR35" i="1" s="1"/>
  <c r="AR36" i="1" s="1"/>
  <c r="AR37" i="1" s="1"/>
  <c r="AR38" i="1" s="1"/>
  <c r="AR39" i="1" s="1"/>
  <c r="AR40" i="1" s="1"/>
  <c r="AP153" i="1"/>
  <c r="AL153" i="1"/>
  <c r="AN154" i="1" s="1"/>
  <c r="AO153" i="1"/>
  <c r="AQ153" i="1" s="1"/>
  <c r="BE153" i="1" s="1"/>
  <c r="AO140" i="1"/>
  <c r="AL140" i="1"/>
  <c r="AN141" i="1" s="1"/>
  <c r="AP140" i="1"/>
  <c r="AL115" i="1"/>
  <c r="AN116" i="1" s="1"/>
  <c r="AP115" i="1"/>
  <c r="AO115" i="1"/>
  <c r="AQ115" i="1" s="1"/>
  <c r="BE115" i="1" s="1"/>
  <c r="AP80" i="1"/>
  <c r="AL80" i="1"/>
  <c r="AN81" i="1" s="1"/>
  <c r="AO80" i="1"/>
  <c r="AQ80" i="1" s="1"/>
  <c r="BE80" i="1" s="1"/>
  <c r="AP71" i="1"/>
  <c r="AO71" i="1"/>
  <c r="AQ71" i="1" s="1"/>
  <c r="BE71" i="1" s="1"/>
  <c r="AL71" i="1"/>
  <c r="AO50" i="1"/>
  <c r="AL50" i="1"/>
  <c r="AN51" i="1" s="1"/>
  <c r="AP50" i="1"/>
  <c r="AL41" i="1"/>
  <c r="AN42" i="1" s="1"/>
  <c r="AP41" i="1"/>
  <c r="AO41" i="1"/>
  <c r="BF28" i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AQ130" i="1"/>
  <c r="BE130" i="1" s="1"/>
  <c r="AQ79" i="1"/>
  <c r="BE79" i="1" s="1"/>
  <c r="AQ61" i="1"/>
  <c r="BE61" i="1" s="1"/>
  <c r="BE54" i="1"/>
  <c r="BB15" i="1"/>
  <c r="BB16" i="1" s="1"/>
  <c r="AT1" i="1" s="1"/>
  <c r="AQ50" i="1" l="1"/>
  <c r="BE50" i="1" s="1"/>
  <c r="AP154" i="1"/>
  <c r="AL154" i="1"/>
  <c r="AO154" i="1"/>
  <c r="AQ154" i="1" s="1"/>
  <c r="BE154" i="1" s="1"/>
  <c r="AO141" i="1"/>
  <c r="AP141" i="1"/>
  <c r="AL141" i="1"/>
  <c r="AP116" i="1"/>
  <c r="AO116" i="1"/>
  <c r="AQ116" i="1" s="1"/>
  <c r="BE116" i="1" s="1"/>
  <c r="AL116" i="1"/>
  <c r="AO81" i="1"/>
  <c r="AP81" i="1"/>
  <c r="AL81" i="1"/>
  <c r="AN82" i="1" s="1"/>
  <c r="AP51" i="1"/>
  <c r="AL51" i="1"/>
  <c r="AO51" i="1"/>
  <c r="AL42" i="1"/>
  <c r="AN43" i="1" s="1"/>
  <c r="AP42" i="1"/>
  <c r="AO42" i="1"/>
  <c r="AQ42" i="1" s="1"/>
  <c r="BE42" i="1" s="1"/>
  <c r="AQ41" i="1"/>
  <c r="AQ140" i="1"/>
  <c r="BE140" i="1" s="1"/>
  <c r="AP82" i="1" l="1"/>
  <c r="AO82" i="1"/>
  <c r="AQ82" i="1" s="1"/>
  <c r="BE82" i="1" s="1"/>
  <c r="AL82" i="1"/>
  <c r="AN83" i="1" s="1"/>
  <c r="AL43" i="1"/>
  <c r="AN44" i="1" s="1"/>
  <c r="AP43" i="1"/>
  <c r="AO43" i="1"/>
  <c r="AQ43" i="1" s="1"/>
  <c r="BE43" i="1" s="1"/>
  <c r="BE41" i="1"/>
  <c r="AR41" i="1"/>
  <c r="AR42" i="1" s="1"/>
  <c r="AQ141" i="1"/>
  <c r="BE141" i="1" s="1"/>
  <c r="AQ81" i="1"/>
  <c r="BE81" i="1" s="1"/>
  <c r="AQ51" i="1"/>
  <c r="BE51" i="1" s="1"/>
  <c r="AR43" i="1" l="1"/>
  <c r="AL83" i="1"/>
  <c r="AN84" i="1" s="1"/>
  <c r="AO83" i="1"/>
  <c r="AP83" i="1"/>
  <c r="AL44" i="1"/>
  <c r="AP44" i="1"/>
  <c r="AO44" i="1"/>
  <c r="AQ44" i="1" s="1"/>
  <c r="BF41" i="1"/>
  <c r="BF42" i="1" s="1"/>
  <c r="BF43" i="1" s="1"/>
  <c r="AL84" i="1" l="1"/>
  <c r="AN85" i="1" s="1"/>
  <c r="AO84" i="1"/>
  <c r="AP84" i="1"/>
  <c r="AR44" i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BE44" i="1"/>
  <c r="AQ83" i="1"/>
  <c r="BE83" i="1" s="1"/>
  <c r="AP85" i="1" l="1"/>
  <c r="AO85" i="1"/>
  <c r="AQ85" i="1" s="1"/>
  <c r="BE85" i="1" s="1"/>
  <c r="AL85" i="1"/>
  <c r="AN86" i="1" s="1"/>
  <c r="BF44" i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AQ84" i="1"/>
  <c r="AO86" i="1" l="1"/>
  <c r="AL86" i="1"/>
  <c r="AN87" i="1" s="1"/>
  <c r="AP86" i="1"/>
  <c r="AR84" i="1"/>
  <c r="AR85" i="1" s="1"/>
  <c r="BE84" i="1"/>
  <c r="BF84" i="1" s="1"/>
  <c r="BF85" i="1" s="1"/>
  <c r="AO87" i="1" l="1"/>
  <c r="AL87" i="1"/>
  <c r="AN88" i="1" s="1"/>
  <c r="AP87" i="1"/>
  <c r="AQ86" i="1"/>
  <c r="AQ87" i="1" l="1"/>
  <c r="BE87" i="1" s="1"/>
  <c r="AL88" i="1"/>
  <c r="AN89" i="1" s="1"/>
  <c r="AP88" i="1"/>
  <c r="AO88" i="1"/>
  <c r="AQ88" i="1" s="1"/>
  <c r="BE88" i="1" s="1"/>
  <c r="AR86" i="1"/>
  <c r="AR87" i="1" s="1"/>
  <c r="AR88" i="1" s="1"/>
  <c r="BE86" i="1"/>
  <c r="BF86" i="1" s="1"/>
  <c r="BF87" i="1" s="1"/>
  <c r="AL89" i="1" l="1"/>
  <c r="AN90" i="1" s="1"/>
  <c r="AP89" i="1"/>
  <c r="AO89" i="1"/>
  <c r="BF88" i="1"/>
  <c r="AQ89" i="1" l="1"/>
  <c r="BE89" i="1" s="1"/>
  <c r="BF89" i="1" s="1"/>
  <c r="AL90" i="1"/>
  <c r="AN91" i="1" s="1"/>
  <c r="AP90" i="1"/>
  <c r="AO90" i="1"/>
  <c r="AQ90" i="1" s="1"/>
  <c r="BE90" i="1" s="1"/>
  <c r="AR89" i="1"/>
  <c r="AR90" i="1" s="1"/>
  <c r="AL91" i="1" l="1"/>
  <c r="AN92" i="1" s="1"/>
  <c r="AP91" i="1"/>
  <c r="AO91" i="1"/>
  <c r="BF90" i="1"/>
  <c r="AQ91" i="1" l="1"/>
  <c r="BE91" i="1" s="1"/>
  <c r="BF91" i="1" s="1"/>
  <c r="AL92" i="1"/>
  <c r="AP92" i="1"/>
  <c r="AO92" i="1"/>
  <c r="AQ92" i="1" s="1"/>
  <c r="AR91" i="1"/>
  <c r="AR92" i="1" l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9" i="1"/>
  <c r="AQ15" i="1"/>
  <c r="AQ14" i="1"/>
  <c r="AQ16" i="1" s="1"/>
  <c r="AI1" i="1" s="1"/>
  <c r="BE92" i="1"/>
  <c r="BF92" i="1" l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4" i="1"/>
  <c r="BE16" i="1" s="1"/>
  <c r="BE18" i="1"/>
</calcChain>
</file>

<file path=xl/sharedStrings.xml><?xml version="1.0" encoding="utf-8"?>
<sst xmlns="http://schemas.openxmlformats.org/spreadsheetml/2006/main" count="74" uniqueCount="53">
  <si>
    <t>date</t>
  </si>
  <si>
    <t>BSCZ</t>
  </si>
  <si>
    <t>IBCA</t>
  </si>
  <si>
    <t>BSCZ log rtn</t>
  </si>
  <si>
    <t>IBCA log rtn</t>
  </si>
  <si>
    <t>BSCZ div</t>
  </si>
  <si>
    <t>BSCZ div cumsum</t>
  </si>
  <si>
    <t>IBCA div</t>
  </si>
  <si>
    <t>IBCA div cumsum</t>
  </si>
  <si>
    <t>BSCZ div adjustment</t>
  </si>
  <si>
    <t>IBCA div adjustment</t>
  </si>
  <si>
    <t>BSCZ*</t>
  </si>
  <si>
    <t>IBCA*</t>
  </si>
  <si>
    <t>IBCA/BSCZ</t>
  </si>
  <si>
    <t>IBCA/BSCZ avg</t>
  </si>
  <si>
    <t>IBCA/BSCZ 10 dma</t>
  </si>
  <si>
    <t>IBCA/BSCZ 20 dma</t>
  </si>
  <si>
    <t>BSCZ x avg</t>
  </si>
  <si>
    <t>BSCZ x 10 dma</t>
  </si>
  <si>
    <t>BSCZ x 20 dma</t>
  </si>
  <si>
    <t>log diff BSCZ x avg / IBCA</t>
  </si>
  <si>
    <t>log diff BSCZ x 10 dma / IBCA</t>
  </si>
  <si>
    <t>log diff BSCZ x 20 dma / IBCA</t>
  </si>
  <si>
    <t>IBCA*/BSCZ*</t>
  </si>
  <si>
    <t>IBCA*/BSCZ* avg</t>
  </si>
  <si>
    <t>IBCA*/BSCZ* 10 dma</t>
  </si>
  <si>
    <t>IBCA*/BSCZ* 20 dma</t>
  </si>
  <si>
    <t>BSCZ* x avg</t>
  </si>
  <si>
    <t>BSCZ* x 10 dma</t>
  </si>
  <si>
    <t>BSCZ* x 20 dma</t>
  </si>
  <si>
    <t>log diff BSCZ* x avg / IBCA*</t>
  </si>
  <si>
    <t>log diff BSCZ* x 10 dma / IBCA*</t>
  </si>
  <si>
    <t>log diff BSCZ* x 20 dma / IBCA*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</si>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</sst>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IBCA/BSCZ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1.2477004313447799</c:v>
                </c:pt>
                <c:pt idx="1">
                  <c:v>1.2477004313447799</c:v>
                </c:pt>
                <c:pt idx="2">
                  <c:v>1.2477004313447799</c:v>
                </c:pt>
                <c:pt idx="3">
                  <c:v>1.2477004313447799</c:v>
                </c:pt>
                <c:pt idx="4">
                  <c:v>1.2477004313447799</c:v>
                </c:pt>
                <c:pt idx="5">
                  <c:v>1.2477004313447799</c:v>
                </c:pt>
                <c:pt idx="6">
                  <c:v>1.2477004313447799</c:v>
                </c:pt>
                <c:pt idx="7">
                  <c:v>1.2477004313447799</c:v>
                </c:pt>
                <c:pt idx="8">
                  <c:v>1.2477004313447799</c:v>
                </c:pt>
                <c:pt idx="9">
                  <c:v>1.2477004313447799</c:v>
                </c:pt>
                <c:pt idx="10">
                  <c:v>1.2477004313447799</c:v>
                </c:pt>
                <c:pt idx="11">
                  <c:v>1.2477004313447799</c:v>
                </c:pt>
                <c:pt idx="12">
                  <c:v>1.2477004313447799</c:v>
                </c:pt>
                <c:pt idx="13">
                  <c:v>1.2477004313447799</c:v>
                </c:pt>
                <c:pt idx="14">
                  <c:v>1.2477004313447799</c:v>
                </c:pt>
                <c:pt idx="15">
                  <c:v>1.2477004313447799</c:v>
                </c:pt>
                <c:pt idx="16">
                  <c:v>1.2477004313447799</c:v>
                </c:pt>
                <c:pt idx="17">
                  <c:v>1.2477004313447799</c:v>
                </c:pt>
                <c:pt idx="18">
                  <c:v>1.2477004313447799</c:v>
                </c:pt>
                <c:pt idx="19">
                  <c:v>1.2477004313447799</c:v>
                </c:pt>
                <c:pt idx="20">
                  <c:v>1.2477004313447799</c:v>
                </c:pt>
                <c:pt idx="21">
                  <c:v>1.2477004313447799</c:v>
                </c:pt>
                <c:pt idx="22">
                  <c:v>1.2477004313447799</c:v>
                </c:pt>
                <c:pt idx="23">
                  <c:v>1.2477004313447799</c:v>
                </c:pt>
                <c:pt idx="24">
                  <c:v>1.2477004313447799</c:v>
                </c:pt>
                <c:pt idx="25">
                  <c:v>1.2477004313447799</c:v>
                </c:pt>
                <c:pt idx="26">
                  <c:v>1.2477004313447799</c:v>
                </c:pt>
                <c:pt idx="27">
                  <c:v>1.2477004313447799</c:v>
                </c:pt>
                <c:pt idx="28">
                  <c:v>1.2477004313447799</c:v>
                </c:pt>
                <c:pt idx="29">
                  <c:v>1.2477004313447799</c:v>
                </c:pt>
                <c:pt idx="30">
                  <c:v>1.2477004313447799</c:v>
                </c:pt>
                <c:pt idx="31">
                  <c:v>1.2477004313447799</c:v>
                </c:pt>
                <c:pt idx="32">
                  <c:v>1.2477004313447799</c:v>
                </c:pt>
                <c:pt idx="33">
                  <c:v>1.2477004313447799</c:v>
                </c:pt>
                <c:pt idx="34">
                  <c:v>1.2477004313447799</c:v>
                </c:pt>
                <c:pt idx="35">
                  <c:v>1.2477004313447799</c:v>
                </c:pt>
                <c:pt idx="36">
                  <c:v>1.2477004313447799</c:v>
                </c:pt>
                <c:pt idx="37">
                  <c:v>1.2477004313447799</c:v>
                </c:pt>
                <c:pt idx="38">
                  <c:v>1.2477004313447799</c:v>
                </c:pt>
                <c:pt idx="39">
                  <c:v>1.2477004313447799</c:v>
                </c:pt>
                <c:pt idx="40">
                  <c:v>1.2477004313447799</c:v>
                </c:pt>
                <c:pt idx="41">
                  <c:v>1.2477004313447799</c:v>
                </c:pt>
                <c:pt idx="42">
                  <c:v>1.2477004313447799</c:v>
                </c:pt>
                <c:pt idx="43">
                  <c:v>1.2477004313447799</c:v>
                </c:pt>
                <c:pt idx="44">
                  <c:v>1.2477004313447799</c:v>
                </c:pt>
                <c:pt idx="45">
                  <c:v>1.2477004313447799</c:v>
                </c:pt>
                <c:pt idx="46">
                  <c:v>1.2477004313447799</c:v>
                </c:pt>
                <c:pt idx="47">
                  <c:v>1.2477004313447799</c:v>
                </c:pt>
                <c:pt idx="48">
                  <c:v>1.2477004313447799</c:v>
                </c:pt>
                <c:pt idx="49">
                  <c:v>1.2477004313447799</c:v>
                </c:pt>
                <c:pt idx="50">
                  <c:v>1.2477004313447799</c:v>
                </c:pt>
                <c:pt idx="51">
                  <c:v>1.2477004313447799</c:v>
                </c:pt>
                <c:pt idx="52">
                  <c:v>1.2477004313447799</c:v>
                </c:pt>
                <c:pt idx="53">
                  <c:v>1.2477004313447799</c:v>
                </c:pt>
                <c:pt idx="54">
                  <c:v>1.2477004313447799</c:v>
                </c:pt>
                <c:pt idx="55">
                  <c:v>1.2477004313447799</c:v>
                </c:pt>
                <c:pt idx="56">
                  <c:v>1.2477004313447799</c:v>
                </c:pt>
                <c:pt idx="57">
                  <c:v>1.2477004313447799</c:v>
                </c:pt>
                <c:pt idx="58">
                  <c:v>1.2477004313447799</c:v>
                </c:pt>
                <c:pt idx="59">
                  <c:v>1.2477004313447799</c:v>
                </c:pt>
                <c:pt idx="60">
                  <c:v>1.2477004313447799</c:v>
                </c:pt>
                <c:pt idx="61">
                  <c:v>1.2477004313447799</c:v>
                </c:pt>
                <c:pt idx="62">
                  <c:v>1.2477004313447799</c:v>
                </c:pt>
                <c:pt idx="63">
                  <c:v>1.2477004313447799</c:v>
                </c:pt>
                <c:pt idx="64">
                  <c:v>1.2477004313447799</c:v>
                </c:pt>
                <c:pt idx="65">
                  <c:v>1.2477004313447799</c:v>
                </c:pt>
                <c:pt idx="66">
                  <c:v>1.2477004313447799</c:v>
                </c:pt>
                <c:pt idx="67">
                  <c:v>1.2477004313447799</c:v>
                </c:pt>
                <c:pt idx="68">
                  <c:v>1.2477004313447799</c:v>
                </c:pt>
                <c:pt idx="69">
                  <c:v>1.2477004313447799</c:v>
                </c:pt>
                <c:pt idx="70">
                  <c:v>1.2477004313447799</c:v>
                </c:pt>
                <c:pt idx="71">
                  <c:v>1.2477004313447799</c:v>
                </c:pt>
                <c:pt idx="72">
                  <c:v>1.2477004313447799</c:v>
                </c:pt>
                <c:pt idx="73">
                  <c:v>1.2477004313447799</c:v>
                </c:pt>
                <c:pt idx="74">
                  <c:v>1.2477004313447799</c:v>
                </c:pt>
                <c:pt idx="75">
                  <c:v>1.2477004313447799</c:v>
                </c:pt>
                <c:pt idx="76">
                  <c:v>1.2477004313447799</c:v>
                </c:pt>
                <c:pt idx="77">
                  <c:v>1.2477004313447799</c:v>
                </c:pt>
                <c:pt idx="78">
                  <c:v>1.2477004313447799</c:v>
                </c:pt>
                <c:pt idx="79">
                  <c:v>1.2477004313447799</c:v>
                </c:pt>
                <c:pt idx="80">
                  <c:v>1.2477004313447799</c:v>
                </c:pt>
                <c:pt idx="81">
                  <c:v>1.2477004313447799</c:v>
                </c:pt>
                <c:pt idx="82">
                  <c:v>1.2477004313447799</c:v>
                </c:pt>
                <c:pt idx="83">
                  <c:v>1.2477004313447799</c:v>
                </c:pt>
                <c:pt idx="84">
                  <c:v>1.2477004313447799</c:v>
                </c:pt>
                <c:pt idx="85">
                  <c:v>1.2477004313447799</c:v>
                </c:pt>
                <c:pt idx="86">
                  <c:v>1.2477004313447799</c:v>
                </c:pt>
                <c:pt idx="87">
                  <c:v>1.2477004313447799</c:v>
                </c:pt>
                <c:pt idx="88">
                  <c:v>1.2477004313447799</c:v>
                </c:pt>
                <c:pt idx="89">
                  <c:v>1.2477004313447799</c:v>
                </c:pt>
                <c:pt idx="90">
                  <c:v>1.2477004313447799</c:v>
                </c:pt>
                <c:pt idx="91">
                  <c:v>1.2477004313447799</c:v>
                </c:pt>
                <c:pt idx="92">
                  <c:v>1.2477004313447799</c:v>
                </c:pt>
                <c:pt idx="93">
                  <c:v>1.2477004313447799</c:v>
                </c:pt>
                <c:pt idx="94">
                  <c:v>1.2477004313447799</c:v>
                </c:pt>
                <c:pt idx="95">
                  <c:v>1.2477004313447799</c:v>
                </c:pt>
                <c:pt idx="96">
                  <c:v>1.2477004313447799</c:v>
                </c:pt>
                <c:pt idx="97">
                  <c:v>1.2477004313447799</c:v>
                </c:pt>
                <c:pt idx="98">
                  <c:v>1.2477004313447799</c:v>
                </c:pt>
                <c:pt idx="99">
                  <c:v>1.2477004313447799</c:v>
                </c:pt>
                <c:pt idx="100">
                  <c:v>1.2477004313447799</c:v>
                </c:pt>
                <c:pt idx="101">
                  <c:v>1.2477004313447799</c:v>
                </c:pt>
                <c:pt idx="102">
                  <c:v>1.2477004313447799</c:v>
                </c:pt>
                <c:pt idx="103">
                  <c:v>1.2477004313447799</c:v>
                </c:pt>
                <c:pt idx="104">
                  <c:v>1.2477004313447799</c:v>
                </c:pt>
                <c:pt idx="105">
                  <c:v>1.2477004313447799</c:v>
                </c:pt>
                <c:pt idx="106">
                  <c:v>1.2477004313447799</c:v>
                </c:pt>
                <c:pt idx="107">
                  <c:v>1.2477004313447799</c:v>
                </c:pt>
                <c:pt idx="108">
                  <c:v>1.2477004313447799</c:v>
                </c:pt>
                <c:pt idx="109">
                  <c:v>1.2477004313447799</c:v>
                </c:pt>
                <c:pt idx="110">
                  <c:v>1.2477004313447799</c:v>
                </c:pt>
                <c:pt idx="111">
                  <c:v>1.2477004313447799</c:v>
                </c:pt>
                <c:pt idx="112">
                  <c:v>1.2477004313447799</c:v>
                </c:pt>
                <c:pt idx="113">
                  <c:v>1.2477004313447799</c:v>
                </c:pt>
                <c:pt idx="114">
                  <c:v>1.2477004313447799</c:v>
                </c:pt>
                <c:pt idx="115">
                  <c:v>1.2477004313447799</c:v>
                </c:pt>
                <c:pt idx="116">
                  <c:v>1.2477004313447799</c:v>
                </c:pt>
                <c:pt idx="117">
                  <c:v>1.2477004313447799</c:v>
                </c:pt>
                <c:pt idx="118">
                  <c:v>1.2477004313447799</c:v>
                </c:pt>
                <c:pt idx="119">
                  <c:v>1.2477004313447799</c:v>
                </c:pt>
                <c:pt idx="120">
                  <c:v>1.2477004313447799</c:v>
                </c:pt>
                <c:pt idx="121">
                  <c:v>1.2477004313447799</c:v>
                </c:pt>
                <c:pt idx="122">
                  <c:v>1.2477004313447799</c:v>
                </c:pt>
                <c:pt idx="123">
                  <c:v>1.2477004313447799</c:v>
                </c:pt>
                <c:pt idx="124">
                  <c:v>1.2477004313447799</c:v>
                </c:pt>
                <c:pt idx="125">
                  <c:v>1.2477004313447799</c:v>
                </c:pt>
                <c:pt idx="126">
                  <c:v>1.2477004313447799</c:v>
                </c:pt>
                <c:pt idx="127">
                  <c:v>1.2477004313447799</c:v>
                </c:pt>
                <c:pt idx="128">
                  <c:v>1.2477004313447799</c:v>
                </c:pt>
                <c:pt idx="129">
                  <c:v>1.2477004313447799</c:v>
                </c:pt>
                <c:pt idx="130">
                  <c:v>1.2477004313447799</c:v>
                </c:pt>
                <c:pt idx="131">
                  <c:v>1.2477004313447799</c:v>
                </c:pt>
                <c:pt idx="132">
                  <c:v>1.2477004313447799</c:v>
                </c:pt>
                <c:pt idx="133">
                  <c:v>1.2477004313447799</c:v>
                </c:pt>
                <c:pt idx="134">
                  <c:v>1.2477004313447799</c:v>
                </c:pt>
                <c:pt idx="135">
                  <c:v>1.2477004313447799</c:v>
                </c:pt>
                <c:pt idx="136">
                  <c:v>1.2477004313447799</c:v>
                </c:pt>
                <c:pt idx="137">
                  <c:v>1.2477004313447799</c:v>
                </c:pt>
                <c:pt idx="138">
                  <c:v>1.2477004313447799</c:v>
                </c:pt>
                <c:pt idx="139">
                  <c:v>1.2477004313447799</c:v>
                </c:pt>
                <c:pt idx="140">
                  <c:v>1.2477004313447799</c:v>
                </c:pt>
                <c:pt idx="141">
                  <c:v>1.2477004313447799</c:v>
                </c:pt>
                <c:pt idx="142">
                  <c:v>1.2477004313447799</c:v>
                </c:pt>
                <c:pt idx="143">
                  <c:v>1.2477004313447799</c:v>
                </c:pt>
                <c:pt idx="144">
                  <c:v>1.2477004313447799</c:v>
                </c:pt>
                <c:pt idx="145">
                  <c:v>1.2477004313447799</c:v>
                </c:pt>
                <c:pt idx="146">
                  <c:v>1.2477004313447799</c:v>
                </c:pt>
                <c:pt idx="147">
                  <c:v>1.2477004313447799</c:v>
                </c:pt>
                <c:pt idx="148">
                  <c:v>1.2477004313447799</c:v>
                </c:pt>
                <c:pt idx="149">
                  <c:v>1.2477004313447799</c:v>
                </c:pt>
                <c:pt idx="150">
                  <c:v>1.2477004313447799</c:v>
                </c:pt>
                <c:pt idx="151">
                  <c:v>1.2477004313447799</c:v>
                </c:pt>
                <c:pt idx="152">
                  <c:v>1.2477004313447799</c:v>
                </c:pt>
                <c:pt idx="153">
                  <c:v>1.2477004313447799</c:v>
                </c:pt>
                <c:pt idx="154">
                  <c:v>1.2477004313447799</c:v>
                </c:pt>
                <c:pt idx="155">
                  <c:v>1.2477004313447799</c:v>
                </c:pt>
                <c:pt idx="156">
                  <c:v>1.2477004313447799</c:v>
                </c:pt>
                <c:pt idx="157">
                  <c:v>1.2477004313447799</c:v>
                </c:pt>
                <c:pt idx="158">
                  <c:v>1.2477004313447799</c:v>
                </c:pt>
                <c:pt idx="159">
                  <c:v>1.2477004313447799</c:v>
                </c:pt>
                <c:pt idx="160">
                  <c:v>1.2477004313447799</c:v>
                </c:pt>
                <c:pt idx="161">
                  <c:v>1.2477004313447799</c:v>
                </c:pt>
                <c:pt idx="162">
                  <c:v>1.2477004313447799</c:v>
                </c:pt>
                <c:pt idx="163">
                  <c:v>1.2477004313447799</c:v>
                </c:pt>
                <c:pt idx="164">
                  <c:v>1.2477004313447799</c:v>
                </c:pt>
                <c:pt idx="165">
                  <c:v>1.2477004313447799</c:v>
                </c:pt>
                <c:pt idx="166">
                  <c:v>1.2477004313447799</c:v>
                </c:pt>
                <c:pt idx="167">
                  <c:v>1.2477004313447799</c:v>
                </c:pt>
                <c:pt idx="168">
                  <c:v>1.2477004313447799</c:v>
                </c:pt>
                <c:pt idx="169">
                  <c:v>1.2477004313447799</c:v>
                </c:pt>
                <c:pt idx="170">
                  <c:v>1.2477004313447799</c:v>
                </c:pt>
                <c:pt idx="171">
                  <c:v>1.2477004313447799</c:v>
                </c:pt>
                <c:pt idx="172">
                  <c:v>1.2477004313447799</c:v>
                </c:pt>
                <c:pt idx="173">
                  <c:v>1.2477004313447799</c:v>
                </c:pt>
                <c:pt idx="174">
                  <c:v>1.2477004313447799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1-41E9-AE23-4FD377ABF6AD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IBCA/BSCZ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1.2467731341519801</c:v>
                </c:pt>
                <c:pt idx="10">
                  <c:v>1.2467975193277301</c:v>
                </c:pt>
                <c:pt idx="11">
                  <c:v>1.24714553011649</c:v>
                </c:pt>
                <c:pt idx="12">
                  <c:v>1.2475416635947401</c:v>
                </c:pt>
                <c:pt idx="13">
                  <c:v>1.24793731315752</c:v>
                </c:pt>
                <c:pt idx="14">
                  <c:v>1.2483462909377101</c:v>
                </c:pt>
                <c:pt idx="15">
                  <c:v>1.2486942084641299</c:v>
                </c:pt>
                <c:pt idx="16">
                  <c:v>1.2491388107756101</c:v>
                </c:pt>
                <c:pt idx="17">
                  <c:v>1.2494506428444401</c:v>
                </c:pt>
                <c:pt idx="18">
                  <c:v>1.24984590376779</c:v>
                </c:pt>
                <c:pt idx="19">
                  <c:v>1.2503259610356701</c:v>
                </c:pt>
                <c:pt idx="20">
                  <c:v>1.2502645151671199</c:v>
                </c:pt>
                <c:pt idx="21">
                  <c:v>1.2498425608271899</c:v>
                </c:pt>
                <c:pt idx="22">
                  <c:v>1.2493962194772299</c:v>
                </c:pt>
                <c:pt idx="23">
                  <c:v>1.24889203481154</c:v>
                </c:pt>
                <c:pt idx="24">
                  <c:v>1.2483277705036999</c:v>
                </c:pt>
                <c:pt idx="25">
                  <c:v>1.2478838836874599</c:v>
                </c:pt>
                <c:pt idx="26">
                  <c:v>1.2471172064112299</c:v>
                </c:pt>
                <c:pt idx="27">
                  <c:v>1.2467094970653201</c:v>
                </c:pt>
                <c:pt idx="28">
                  <c:v>1.24619585161368</c:v>
                </c:pt>
                <c:pt idx="29">
                  <c:v>1.2456348483236399</c:v>
                </c:pt>
                <c:pt idx="30">
                  <c:v>1.2456286121115101</c:v>
                </c:pt>
                <c:pt idx="31">
                  <c:v>1.2455389239144801</c:v>
                </c:pt>
                <c:pt idx="32">
                  <c:v>1.2454497391294801</c:v>
                </c:pt>
                <c:pt idx="33">
                  <c:v>1.2454425288503601</c:v>
                </c:pt>
                <c:pt idx="34">
                  <c:v>1.24593394282228</c:v>
                </c:pt>
                <c:pt idx="35">
                  <c:v>1.2463419724053399</c:v>
                </c:pt>
                <c:pt idx="36">
                  <c:v>1.2469643253849201</c:v>
                </c:pt>
                <c:pt idx="37">
                  <c:v>1.24738341734169</c:v>
                </c:pt>
                <c:pt idx="38">
                  <c:v>1.2477890197850201</c:v>
                </c:pt>
                <c:pt idx="39">
                  <c:v>1.2477514472140401</c:v>
                </c:pt>
                <c:pt idx="40">
                  <c:v>1.24772557013675</c:v>
                </c:pt>
                <c:pt idx="41">
                  <c:v>1.2477236617345999</c:v>
                </c:pt>
                <c:pt idx="42">
                  <c:v>1.24757634154171</c:v>
                </c:pt>
                <c:pt idx="43">
                  <c:v>1.2475590750549601</c:v>
                </c:pt>
                <c:pt idx="44">
                  <c:v>1.2470810628203099</c:v>
                </c:pt>
                <c:pt idx="45">
                  <c:v>1.2466241258107</c:v>
                </c:pt>
                <c:pt idx="46">
                  <c:v>1.2461762218535</c:v>
                </c:pt>
                <c:pt idx="47">
                  <c:v>1.2456422171310499</c:v>
                </c:pt>
                <c:pt idx="48">
                  <c:v>1.2451777227506999</c:v>
                </c:pt>
                <c:pt idx="49">
                  <c:v>1.2450122862942301</c:v>
                </c:pt>
                <c:pt idx="50">
                  <c:v>1.2448503709149199</c:v>
                </c:pt>
                <c:pt idx="51">
                  <c:v>1.24478113820814</c:v>
                </c:pt>
                <c:pt idx="52">
                  <c:v>1.2449192474480899</c:v>
                </c:pt>
                <c:pt idx="53">
                  <c:v>1.2449336235296899</c:v>
                </c:pt>
                <c:pt idx="54">
                  <c:v>1.2452420591467599</c:v>
                </c:pt>
                <c:pt idx="55">
                  <c:v>1.2457841329385899</c:v>
                </c:pt>
                <c:pt idx="56">
                  <c:v>1.2461951305638299</c:v>
                </c:pt>
                <c:pt idx="57">
                  <c:v>1.24669421366045</c:v>
                </c:pt>
                <c:pt idx="58">
                  <c:v>1.2472689146635301</c:v>
                </c:pt>
                <c:pt idx="59">
                  <c:v>1.24779047408952</c:v>
                </c:pt>
                <c:pt idx="60">
                  <c:v>1.2483456058803499</c:v>
                </c:pt>
                <c:pt idx="61">
                  <c:v>1.24830770260535</c:v>
                </c:pt>
                <c:pt idx="62">
                  <c:v>1.2481978270651399</c:v>
                </c:pt>
                <c:pt idx="63">
                  <c:v>1.2480804751742101</c:v>
                </c:pt>
                <c:pt idx="64">
                  <c:v>1.24764464809571</c:v>
                </c:pt>
                <c:pt idx="65">
                  <c:v>1.2470514286410299</c:v>
                </c:pt>
                <c:pt idx="66">
                  <c:v>1.2465683418724101</c:v>
                </c:pt>
                <c:pt idx="67">
                  <c:v>1.2460107655941099</c:v>
                </c:pt>
                <c:pt idx="68">
                  <c:v>1.2453569870771399</c:v>
                </c:pt>
                <c:pt idx="69">
                  <c:v>1.2448295378493499</c:v>
                </c:pt>
                <c:pt idx="70">
                  <c:v>1.2442884778221801</c:v>
                </c:pt>
                <c:pt idx="71">
                  <c:v>1.24434149091317</c:v>
                </c:pt>
                <c:pt idx="72">
                  <c:v>1.24431086257741</c:v>
                </c:pt>
                <c:pt idx="73">
                  <c:v>1.24496674735991</c:v>
                </c:pt>
                <c:pt idx="74">
                  <c:v>1.24552471716265</c:v>
                </c:pt>
                <c:pt idx="75">
                  <c:v>1.2460808334115401</c:v>
                </c:pt>
                <c:pt idx="76">
                  <c:v>1.2465885000025401</c:v>
                </c:pt>
                <c:pt idx="77">
                  <c:v>1.2470729961265701</c:v>
                </c:pt>
                <c:pt idx="78">
                  <c:v>1.2476282012686699</c:v>
                </c:pt>
                <c:pt idx="79">
                  <c:v>1.24822932326017</c:v>
                </c:pt>
                <c:pt idx="80">
                  <c:v>1.2488191162308</c:v>
                </c:pt>
                <c:pt idx="81">
                  <c:v>1.24944784251806</c:v>
                </c:pt>
                <c:pt idx="82">
                  <c:v>1.24956164485497</c:v>
                </c:pt>
                <c:pt idx="83">
                  <c:v>1.2490858427693801</c:v>
                </c:pt>
                <c:pt idx="84">
                  <c:v>1.24852574592707</c:v>
                </c:pt>
                <c:pt idx="85">
                  <c:v>1.2479804587744101</c:v>
                </c:pt>
                <c:pt idx="86">
                  <c:v>1.24754219490566</c:v>
                </c:pt>
                <c:pt idx="87">
                  <c:v>1.2471299267683</c:v>
                </c:pt>
                <c:pt idx="88">
                  <c:v>1.24669239638425</c:v>
                </c:pt>
                <c:pt idx="89">
                  <c:v>1.2462899158596801</c:v>
                </c:pt>
                <c:pt idx="90">
                  <c:v>1.24597284268895</c:v>
                </c:pt>
                <c:pt idx="91">
                  <c:v>1.2454850378108999</c:v>
                </c:pt>
                <c:pt idx="92">
                  <c:v>1.2455050763384401</c:v>
                </c:pt>
                <c:pt idx="93">
                  <c:v>1.24595755814576</c:v>
                </c:pt>
                <c:pt idx="94">
                  <c:v>1.2466918258344299</c:v>
                </c:pt>
                <c:pt idx="95">
                  <c:v>1.2472375421736801</c:v>
                </c:pt>
                <c:pt idx="96">
                  <c:v>1.2477984795418999</c:v>
                </c:pt>
                <c:pt idx="97">
                  <c:v>1.2482591972916599</c:v>
                </c:pt>
                <c:pt idx="98">
                  <c:v>1.24877006583005</c:v>
                </c:pt>
                <c:pt idx="99">
                  <c:v>1.2492580137593801</c:v>
                </c:pt>
                <c:pt idx="100">
                  <c:v>1.24969703814962</c:v>
                </c:pt>
                <c:pt idx="101">
                  <c:v>1.2500873295501</c:v>
                </c:pt>
                <c:pt idx="102">
                  <c:v>1.2500662935637099</c:v>
                </c:pt>
                <c:pt idx="103">
                  <c:v>1.2495419270919801</c:v>
                </c:pt>
                <c:pt idx="104">
                  <c:v>1.24889131734565</c:v>
                </c:pt>
                <c:pt idx="105">
                  <c:v>1.2484032721696301</c:v>
                </c:pt>
                <c:pt idx="106">
                  <c:v>1.2477896359816101</c:v>
                </c:pt>
                <c:pt idx="107">
                  <c:v>1.24729847684605</c:v>
                </c:pt>
                <c:pt idx="108">
                  <c:v>1.24678408310233</c:v>
                </c:pt>
                <c:pt idx="109">
                  <c:v>1.24624462604162</c:v>
                </c:pt>
                <c:pt idx="110">
                  <c:v>1.2456721146662399</c:v>
                </c:pt>
                <c:pt idx="111">
                  <c:v>1.2452818232657601</c:v>
                </c:pt>
                <c:pt idx="112">
                  <c:v>1.24535542189648</c:v>
                </c:pt>
                <c:pt idx="113">
                  <c:v>1.2453682987764301</c:v>
                </c:pt>
                <c:pt idx="114">
                  <c:v>1.24552699593016</c:v>
                </c:pt>
                <c:pt idx="115">
                  <c:v>1.2455030811296099</c:v>
                </c:pt>
                <c:pt idx="116">
                  <c:v>1.24609189369094</c:v>
                </c:pt>
                <c:pt idx="117">
                  <c:v>1.2466934010364099</c:v>
                </c:pt>
                <c:pt idx="118">
                  <c:v>1.24717100049148</c:v>
                </c:pt>
                <c:pt idx="119">
                  <c:v>1.2478078754765201</c:v>
                </c:pt>
                <c:pt idx="120">
                  <c:v>1.2483314638699801</c:v>
                </c:pt>
                <c:pt idx="121">
                  <c:v>1.2489529106683901</c:v>
                </c:pt>
                <c:pt idx="122">
                  <c:v>1.2495014241112501</c:v>
                </c:pt>
                <c:pt idx="123">
                  <c:v>1.2495235539276099</c:v>
                </c:pt>
                <c:pt idx="124">
                  <c:v>1.2494873805244899</c:v>
                </c:pt>
                <c:pt idx="125">
                  <c:v>1.2496329130841899</c:v>
                </c:pt>
                <c:pt idx="126">
                  <c:v>1.24916638420558</c:v>
                </c:pt>
                <c:pt idx="127">
                  <c:v>1.2487607604051201</c:v>
                </c:pt>
                <c:pt idx="128">
                  <c:v>1.24846596701471</c:v>
                </c:pt>
                <c:pt idx="129">
                  <c:v>1.24791364988149</c:v>
                </c:pt>
                <c:pt idx="130">
                  <c:v>1.2475313687987799</c:v>
                </c:pt>
                <c:pt idx="131">
                  <c:v>1.2468807691644599</c:v>
                </c:pt>
                <c:pt idx="132">
                  <c:v>1.2463408767828501</c:v>
                </c:pt>
                <c:pt idx="133">
                  <c:v>1.2464979239306899</c:v>
                </c:pt>
                <c:pt idx="134">
                  <c:v>1.2464709892422601</c:v>
                </c:pt>
                <c:pt idx="135">
                  <c:v>1.2470357791797</c:v>
                </c:pt>
                <c:pt idx="136">
                  <c:v>1.24761499560887</c:v>
                </c:pt>
                <c:pt idx="137">
                  <c:v>1.2481467072372501</c:v>
                </c:pt>
                <c:pt idx="138">
                  <c:v>1.2486671103837601</c:v>
                </c:pt>
                <c:pt idx="139">
                  <c:v>1.2492109524247299</c:v>
                </c:pt>
                <c:pt idx="140">
                  <c:v>1.24979438273746</c:v>
                </c:pt>
                <c:pt idx="141">
                  <c:v>1.25043697687676</c:v>
                </c:pt>
                <c:pt idx="142">
                  <c:v>1.25102920892181</c:v>
                </c:pt>
                <c:pt idx="143">
                  <c:v>1.2514864177460501</c:v>
                </c:pt>
                <c:pt idx="144">
                  <c:v>1.25217982463415</c:v>
                </c:pt>
                <c:pt idx="145">
                  <c:v>1.25159595551397</c:v>
                </c:pt>
                <c:pt idx="146">
                  <c:v>1.2511126366902801</c:v>
                </c:pt>
                <c:pt idx="147">
                  <c:v>1.25056694780733</c:v>
                </c:pt>
                <c:pt idx="148">
                  <c:v>1.2499942069930301</c:v>
                </c:pt>
                <c:pt idx="149">
                  <c:v>1.24958393450493</c:v>
                </c:pt>
                <c:pt idx="150">
                  <c:v>1.24902325977774</c:v>
                </c:pt>
                <c:pt idx="151">
                  <c:v>1.24853795536109</c:v>
                </c:pt>
                <c:pt idx="152">
                  <c:v>1.2479903183382599</c:v>
                </c:pt>
                <c:pt idx="153">
                  <c:v>1.2475680975487999</c:v>
                </c:pt>
                <c:pt idx="154">
                  <c:v>1.24684580791001</c:v>
                </c:pt>
                <c:pt idx="155">
                  <c:v>1.24685738257055</c:v>
                </c:pt>
                <c:pt idx="156">
                  <c:v>1.2467682637932</c:v>
                </c:pt>
                <c:pt idx="157">
                  <c:v>1.2467798975907001</c:v>
                </c:pt>
                <c:pt idx="158">
                  <c:v>1.2467663155350499</c:v>
                </c:pt>
                <c:pt idx="159">
                  <c:v>1.24670261070981</c:v>
                </c:pt>
                <c:pt idx="160">
                  <c:v>1.2472391079694001</c:v>
                </c:pt>
                <c:pt idx="161">
                  <c:v>1.24772441238605</c:v>
                </c:pt>
                <c:pt idx="162">
                  <c:v>1.24834622883164</c:v>
                </c:pt>
                <c:pt idx="163">
                  <c:v>1.2489179264521899</c:v>
                </c:pt>
                <c:pt idx="164">
                  <c:v>1.2494903659411301</c:v>
                </c:pt>
                <c:pt idx="165">
                  <c:v>1.25011494261361</c:v>
                </c:pt>
                <c:pt idx="166">
                  <c:v>1.2502874158802499</c:v>
                </c:pt>
                <c:pt idx="167">
                  <c:v>1.25029623532968</c:v>
                </c:pt>
                <c:pt idx="168">
                  <c:v>1.2503691362227201</c:v>
                </c:pt>
                <c:pt idx="169">
                  <c:v>1.2503672593294</c:v>
                </c:pt>
                <c:pt idx="170">
                  <c:v>1.24987868574828</c:v>
                </c:pt>
                <c:pt idx="171">
                  <c:v>1.24937806772604</c:v>
                </c:pt>
                <c:pt idx="172">
                  <c:v>1.24890063726913</c:v>
                </c:pt>
                <c:pt idx="173">
                  <c:v>1.2482335361474499</c:v>
                </c:pt>
                <c:pt idx="174">
                  <c:v>1.2478298198230799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1-41E9-AE23-4FD377ABF6AD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IBCA/BSCZ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1.24854954759383</c:v>
                </c:pt>
                <c:pt idx="20">
                  <c:v>1.24853101724743</c:v>
                </c:pt>
                <c:pt idx="21">
                  <c:v>1.2484940454718401</c:v>
                </c:pt>
                <c:pt idx="22">
                  <c:v>1.24846894153598</c:v>
                </c:pt>
                <c:pt idx="23">
                  <c:v>1.2484146739845301</c:v>
                </c:pt>
                <c:pt idx="24">
                  <c:v>1.2483370307207</c:v>
                </c:pt>
                <c:pt idx="25">
                  <c:v>1.2482890460757901</c:v>
                </c:pt>
                <c:pt idx="26">
                  <c:v>1.2481280085934201</c:v>
                </c:pt>
                <c:pt idx="27">
                  <c:v>1.24808006995488</c:v>
                </c:pt>
                <c:pt idx="28">
                  <c:v>1.24802087769073</c:v>
                </c:pt>
                <c:pt idx="29">
                  <c:v>1.2479804046796601</c:v>
                </c:pt>
                <c:pt idx="30">
                  <c:v>1.2479465636393201</c:v>
                </c:pt>
                <c:pt idx="31">
                  <c:v>1.2476907423708301</c:v>
                </c:pt>
                <c:pt idx="32">
                  <c:v>1.24742297930336</c:v>
                </c:pt>
                <c:pt idx="33">
                  <c:v>1.24716728183095</c:v>
                </c:pt>
                <c:pt idx="34">
                  <c:v>1.24713085666299</c:v>
                </c:pt>
                <c:pt idx="35">
                  <c:v>1.2471129280463999</c:v>
                </c:pt>
                <c:pt idx="36">
                  <c:v>1.24704076589807</c:v>
                </c:pt>
                <c:pt idx="37">
                  <c:v>1.2470464572035</c:v>
                </c:pt>
                <c:pt idx="38">
                  <c:v>1.24699243569935</c:v>
                </c:pt>
                <c:pt idx="39">
                  <c:v>1.2466931477688401</c:v>
                </c:pt>
                <c:pt idx="40">
                  <c:v>1.2466770911241301</c:v>
                </c:pt>
                <c:pt idx="41">
                  <c:v>1.24663129282454</c:v>
                </c:pt>
                <c:pt idx="42">
                  <c:v>1.2465130403356</c:v>
                </c:pt>
                <c:pt idx="43">
                  <c:v>1.24650080195266</c:v>
                </c:pt>
                <c:pt idx="44">
                  <c:v>1.24650750282129</c:v>
                </c:pt>
                <c:pt idx="45">
                  <c:v>1.2464830491080201</c:v>
                </c:pt>
                <c:pt idx="46">
                  <c:v>1.2465702736192099</c:v>
                </c:pt>
                <c:pt idx="47">
                  <c:v>1.24651281723637</c:v>
                </c:pt>
                <c:pt idx="48">
                  <c:v>1.24648337126786</c:v>
                </c:pt>
                <c:pt idx="49">
                  <c:v>1.24638186675413</c:v>
                </c:pt>
                <c:pt idx="50">
                  <c:v>1.2462879705258301</c:v>
                </c:pt>
                <c:pt idx="51">
                  <c:v>1.2462523999713699</c:v>
                </c:pt>
                <c:pt idx="52">
                  <c:v>1.2462477944949</c:v>
                </c:pt>
                <c:pt idx="53">
                  <c:v>1.2462463492923199</c:v>
                </c:pt>
                <c:pt idx="54">
                  <c:v>1.2461615609835299</c:v>
                </c:pt>
                <c:pt idx="55">
                  <c:v>1.24620412937465</c:v>
                </c:pt>
                <c:pt idx="56">
                  <c:v>1.2461856762086601</c:v>
                </c:pt>
                <c:pt idx="57">
                  <c:v>1.2461682153957501</c:v>
                </c:pt>
                <c:pt idx="58">
                  <c:v>1.2462233187071201</c:v>
                </c:pt>
                <c:pt idx="59">
                  <c:v>1.2464013801918701</c:v>
                </c:pt>
                <c:pt idx="60">
                  <c:v>1.2465979883976299</c:v>
                </c:pt>
                <c:pt idx="61">
                  <c:v>1.24654442040674</c:v>
                </c:pt>
                <c:pt idx="62">
                  <c:v>1.2465585372566099</c:v>
                </c:pt>
                <c:pt idx="63">
                  <c:v>1.2465070493519499</c:v>
                </c:pt>
                <c:pt idx="64">
                  <c:v>1.24644335362123</c:v>
                </c:pt>
                <c:pt idx="65">
                  <c:v>1.24641778078981</c:v>
                </c:pt>
                <c:pt idx="66">
                  <c:v>1.24638173621812</c:v>
                </c:pt>
                <c:pt idx="67">
                  <c:v>1.24635248962728</c:v>
                </c:pt>
                <c:pt idx="68">
                  <c:v>1.2463129508703401</c:v>
                </c:pt>
                <c:pt idx="69">
                  <c:v>1.2463100059694301</c:v>
                </c:pt>
                <c:pt idx="70">
                  <c:v>1.2463170418512699</c:v>
                </c:pt>
                <c:pt idx="71">
                  <c:v>1.24632459675926</c:v>
                </c:pt>
                <c:pt idx="72">
                  <c:v>1.24625434482127</c:v>
                </c:pt>
                <c:pt idx="73">
                  <c:v>1.2465236112670599</c:v>
                </c:pt>
                <c:pt idx="74">
                  <c:v>1.24658468262918</c:v>
                </c:pt>
                <c:pt idx="75">
                  <c:v>1.2465661310262901</c:v>
                </c:pt>
                <c:pt idx="76">
                  <c:v>1.2465784209374799</c:v>
                </c:pt>
                <c:pt idx="77">
                  <c:v>1.2465418808603399</c:v>
                </c:pt>
                <c:pt idx="78">
                  <c:v>1.2464925941729099</c:v>
                </c:pt>
                <c:pt idx="79">
                  <c:v>1.2465294305547601</c:v>
                </c:pt>
                <c:pt idx="80">
                  <c:v>1.2465537970264899</c:v>
                </c:pt>
                <c:pt idx="81">
                  <c:v>1.24689466671562</c:v>
                </c:pt>
                <c:pt idx="82">
                  <c:v>1.2469362537161901</c:v>
                </c:pt>
                <c:pt idx="83">
                  <c:v>1.24702629506464</c:v>
                </c:pt>
                <c:pt idx="84">
                  <c:v>1.24702523154486</c:v>
                </c:pt>
                <c:pt idx="85">
                  <c:v>1.2470306460929801</c:v>
                </c:pt>
                <c:pt idx="86">
                  <c:v>1.2470653474541</c:v>
                </c:pt>
                <c:pt idx="87">
                  <c:v>1.2471014614474401</c:v>
                </c:pt>
                <c:pt idx="88">
                  <c:v>1.2471602988264601</c:v>
                </c:pt>
                <c:pt idx="89">
                  <c:v>1.2472596195599299</c:v>
                </c:pt>
                <c:pt idx="90">
                  <c:v>1.2473959794598799</c:v>
                </c:pt>
                <c:pt idx="91">
                  <c:v>1.2474664401644799</c:v>
                </c:pt>
                <c:pt idx="92">
                  <c:v>1.2475333605967001</c:v>
                </c:pt>
                <c:pt idx="93">
                  <c:v>1.24752170045757</c:v>
                </c:pt>
                <c:pt idx="94">
                  <c:v>1.2476087858807501</c:v>
                </c:pt>
                <c:pt idx="95">
                  <c:v>1.2476090004740501</c:v>
                </c:pt>
                <c:pt idx="96">
                  <c:v>1.2476703372237801</c:v>
                </c:pt>
                <c:pt idx="97">
                  <c:v>1.24769456202998</c:v>
                </c:pt>
                <c:pt idx="98">
                  <c:v>1.24773123110715</c:v>
                </c:pt>
                <c:pt idx="99">
                  <c:v>1.2477739648095301</c:v>
                </c:pt>
                <c:pt idx="100">
                  <c:v>1.2478349404192901</c:v>
                </c:pt>
                <c:pt idx="101">
                  <c:v>1.2477861836805</c:v>
                </c:pt>
                <c:pt idx="102">
                  <c:v>1.24778568495108</c:v>
                </c:pt>
                <c:pt idx="103">
                  <c:v>1.24774974261887</c:v>
                </c:pt>
                <c:pt idx="104">
                  <c:v>1.2477915715900401</c:v>
                </c:pt>
                <c:pt idx="105">
                  <c:v>1.2478204071716601</c:v>
                </c:pt>
                <c:pt idx="106">
                  <c:v>1.2477940577617599</c:v>
                </c:pt>
                <c:pt idx="107">
                  <c:v>1.2477788370688601</c:v>
                </c:pt>
                <c:pt idx="108">
                  <c:v>1.24777707446619</c:v>
                </c:pt>
                <c:pt idx="109">
                  <c:v>1.2477513199004999</c:v>
                </c:pt>
                <c:pt idx="110">
                  <c:v>1.2476845764079301</c:v>
                </c:pt>
                <c:pt idx="111">
                  <c:v>1.2476845764079301</c:v>
                </c:pt>
                <c:pt idx="112">
                  <c:v>1.2477108577300899</c:v>
                </c:pt>
                <c:pt idx="113">
                  <c:v>1.2474551129342</c:v>
                </c:pt>
                <c:pt idx="114">
                  <c:v>1.24720915663791</c:v>
                </c:pt>
                <c:pt idx="115">
                  <c:v>1.24695317664962</c:v>
                </c:pt>
                <c:pt idx="116">
                  <c:v>1.24694076483628</c:v>
                </c:pt>
                <c:pt idx="117">
                  <c:v>1.24699593894123</c:v>
                </c:pt>
                <c:pt idx="118">
                  <c:v>1.24697754179691</c:v>
                </c:pt>
                <c:pt idx="119">
                  <c:v>1.2470262507590699</c:v>
                </c:pt>
                <c:pt idx="120">
                  <c:v>1.24700178926811</c:v>
                </c:pt>
                <c:pt idx="121">
                  <c:v>1.2471173669670701</c:v>
                </c:pt>
                <c:pt idx="122">
                  <c:v>1.2474284230038699</c:v>
                </c:pt>
                <c:pt idx="123">
                  <c:v>1.2474459263520199</c:v>
                </c:pt>
                <c:pt idx="124">
                  <c:v>1.2475071882273301</c:v>
                </c:pt>
                <c:pt idx="125">
                  <c:v>1.2475679971069</c:v>
                </c:pt>
                <c:pt idx="126">
                  <c:v>1.2476291389482601</c:v>
                </c:pt>
                <c:pt idx="127">
                  <c:v>1.2477270807207601</c:v>
                </c:pt>
                <c:pt idx="128">
                  <c:v>1.2478184837530999</c:v>
                </c:pt>
                <c:pt idx="129">
                  <c:v>1.2478607626790099</c:v>
                </c:pt>
                <c:pt idx="130">
                  <c:v>1.24793141633438</c:v>
                </c:pt>
                <c:pt idx="131">
                  <c:v>1.24791683991643</c:v>
                </c:pt>
                <c:pt idx="132">
                  <c:v>1.24792115044705</c:v>
                </c:pt>
                <c:pt idx="133">
                  <c:v>1.2480107389291499</c:v>
                </c:pt>
                <c:pt idx="134">
                  <c:v>1.2479791848833801</c:v>
                </c:pt>
                <c:pt idx="135">
                  <c:v>1.24833434613195</c:v>
                </c:pt>
                <c:pt idx="136">
                  <c:v>1.2483906899072199</c:v>
                </c:pt>
                <c:pt idx="137">
                  <c:v>1.2484537338211801</c:v>
                </c:pt>
                <c:pt idx="138">
                  <c:v>1.24856653869923</c:v>
                </c:pt>
                <c:pt idx="139">
                  <c:v>1.24856230115311</c:v>
                </c:pt>
                <c:pt idx="140">
                  <c:v>1.24866287576812</c:v>
                </c:pt>
                <c:pt idx="141">
                  <c:v>1.2486588730206101</c:v>
                </c:pt>
                <c:pt idx="142">
                  <c:v>1.24868504285233</c:v>
                </c:pt>
                <c:pt idx="143">
                  <c:v>1.24899217083837</c:v>
                </c:pt>
                <c:pt idx="144">
                  <c:v>1.24932540693821</c:v>
                </c:pt>
                <c:pt idx="145">
                  <c:v>1.2493158673468401</c:v>
                </c:pt>
                <c:pt idx="146">
                  <c:v>1.2493638161495699</c:v>
                </c:pt>
                <c:pt idx="147">
                  <c:v>1.2493568275222899</c:v>
                </c:pt>
                <c:pt idx="148">
                  <c:v>1.2493306586883901</c:v>
                </c:pt>
                <c:pt idx="149">
                  <c:v>1.2493974434648301</c:v>
                </c:pt>
                <c:pt idx="150">
                  <c:v>1.2494088212576</c:v>
                </c:pt>
                <c:pt idx="151">
                  <c:v>1.2494874661189299</c:v>
                </c:pt>
                <c:pt idx="152">
                  <c:v>1.2495097636300401</c:v>
                </c:pt>
                <c:pt idx="153">
                  <c:v>1.2495272576474299</c:v>
                </c:pt>
                <c:pt idx="154">
                  <c:v>1.2495128162720801</c:v>
                </c:pt>
                <c:pt idx="155">
                  <c:v>1.24922666904226</c:v>
                </c:pt>
                <c:pt idx="156">
                  <c:v>1.2489404502417401</c:v>
                </c:pt>
                <c:pt idx="157">
                  <c:v>1.2486734226990099</c:v>
                </c:pt>
                <c:pt idx="158">
                  <c:v>1.24838026126404</c:v>
                </c:pt>
                <c:pt idx="159">
                  <c:v>1.24814327260737</c:v>
                </c:pt>
                <c:pt idx="160">
                  <c:v>1.24813118387357</c:v>
                </c:pt>
                <c:pt idx="161">
                  <c:v>1.24813118387357</c:v>
                </c:pt>
                <c:pt idx="162">
                  <c:v>1.24816827358495</c:v>
                </c:pt>
                <c:pt idx="163">
                  <c:v>1.2482430120004899</c:v>
                </c:pt>
                <c:pt idx="164">
                  <c:v>1.24816808692557</c:v>
                </c:pt>
                <c:pt idx="165">
                  <c:v>1.24848616259208</c:v>
                </c:pt>
                <c:pt idx="166">
                  <c:v>1.2485278398367201</c:v>
                </c:pt>
                <c:pt idx="167">
                  <c:v>1.2485380664601899</c:v>
                </c:pt>
                <c:pt idx="168">
                  <c:v>1.2485677258788801</c:v>
                </c:pt>
                <c:pt idx="169">
                  <c:v>1.24853493501961</c:v>
                </c:pt>
                <c:pt idx="170">
                  <c:v>1.2485588968588399</c:v>
                </c:pt>
                <c:pt idx="171">
                  <c:v>1.2485512400560399</c:v>
                </c:pt>
                <c:pt idx="172">
                  <c:v>1.24862343305038</c:v>
                </c:pt>
                <c:pt idx="173">
                  <c:v>1.24857573129982</c:v>
                </c:pt>
                <c:pt idx="174">
                  <c:v>1.2486600928820999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61-41E9-AE23-4FD377ABF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BSCZ* x 10 dma / IBCA*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2.0618235524601E-4</c:v>
                </c:pt>
                <c:pt idx="11">
                  <c:v>6.4448007285748796E-4</c:v>
                </c:pt>
                <c:pt idx="12">
                  <c:v>1.8863741532240799E-4</c:v>
                </c:pt>
                <c:pt idx="13">
                  <c:v>3.6695013941564098E-4</c:v>
                </c:pt>
                <c:pt idx="14">
                  <c:v>-4.1438355301877801E-4</c:v>
                </c:pt>
                <c:pt idx="15">
                  <c:v>5.4385268579645602E-4</c:v>
                </c:pt>
                <c:pt idx="16">
                  <c:v>-4.6487685063725402E-4</c:v>
                </c:pt>
                <c:pt idx="17">
                  <c:v>2.3758257466114399E-4</c:v>
                </c:pt>
                <c:pt idx="18">
                  <c:v>-1.31473347442888E-4</c:v>
                </c:pt>
                <c:pt idx="19">
                  <c:v>-7.1866889875058697E-4</c:v>
                </c:pt>
                <c:pt idx="20">
                  <c:v>4.9329735136485101E-5</c:v>
                </c:pt>
                <c:pt idx="21">
                  <c:v>5.3649957568351903E-5</c:v>
                </c:pt>
                <c:pt idx="22">
                  <c:v>-9.0449539775078707E-5</c:v>
                </c:pt>
                <c:pt idx="23">
                  <c:v>5.9273877067884896E-4</c:v>
                </c:pt>
                <c:pt idx="24">
                  <c:v>2.8133056935656498E-4</c:v>
                </c:pt>
                <c:pt idx="25">
                  <c:v>2.1125138361207299E-4</c:v>
                </c:pt>
                <c:pt idx="26">
                  <c:v>1.85844421109314E-3</c:v>
                </c:pt>
                <c:pt idx="27">
                  <c:v>-5.7266977682678198E-4</c:v>
                </c:pt>
                <c:pt idx="28">
                  <c:v>4.3513996058752E-5</c:v>
                </c:pt>
                <c:pt idx="29">
                  <c:v>-1.8490758018899499E-4</c:v>
                </c:pt>
                <c:pt idx="30">
                  <c:v>-1.5876600578320499E-4</c:v>
                </c:pt>
                <c:pt idx="31">
                  <c:v>5.02803028349758E-4</c:v>
                </c:pt>
                <c:pt idx="32">
                  <c:v>2.36922825070905E-4</c:v>
                </c:pt>
                <c:pt idx="33">
                  <c:v>1.6477385941760601E-4</c:v>
                </c:pt>
                <c:pt idx="34">
                  <c:v>-9.3730655465589104E-4</c:v>
                </c:pt>
                <c:pt idx="35">
                  <c:v>-1.9719739163809701E-4</c:v>
                </c:pt>
                <c:pt idx="36">
                  <c:v>-2.83108626505153E-4</c:v>
                </c:pt>
                <c:pt idx="37">
                  <c:v>-6.7602267357295997E-4</c:v>
                </c:pt>
                <c:pt idx="38">
                  <c:v>8.9268857163120904E-7</c:v>
                </c:pt>
                <c:pt idx="39">
                  <c:v>-5.0659279470765205E-4</c:v>
                </c:pt>
                <c:pt idx="40">
                  <c:v>-4.6838834676130801E-4</c:v>
                </c:pt>
                <c:pt idx="41">
                  <c:v>5.3793228108697998E-5</c:v>
                </c:pt>
                <c:pt idx="42">
                  <c:v>1.0834441644766101E-3</c:v>
                </c:pt>
                <c:pt idx="43">
                  <c:v>-6.4685292530815999E-6</c:v>
                </c:pt>
                <c:pt idx="44">
                  <c:v>-5.3570963582690403E-4</c:v>
                </c:pt>
                <c:pt idx="45">
                  <c:v>-4.1434194239416201E-5</c:v>
                </c:pt>
                <c:pt idx="46">
                  <c:v>-1.94769724679455E-4</c:v>
                </c:pt>
                <c:pt idx="47">
                  <c:v>-5.4846567281527E-5</c:v>
                </c:pt>
                <c:pt idx="48">
                  <c:v>1.28462309074004E-5</c:v>
                </c:pt>
                <c:pt idx="49">
                  <c:v>9.8558075977332998E-4</c:v>
                </c:pt>
                <c:pt idx="50">
                  <c:v>8.3485691390625095E-4</c:v>
                </c:pt>
                <c:pt idx="51">
                  <c:v>4.3580539946650002E-4</c:v>
                </c:pt>
                <c:pt idx="52">
                  <c:v>-3.0126382452587902E-4</c:v>
                </c:pt>
                <c:pt idx="53">
                  <c:v>-2.5512258464343597E-4</c:v>
                </c:pt>
                <c:pt idx="54">
                  <c:v>5.5526230573189005E-4</c:v>
                </c:pt>
                <c:pt idx="55">
                  <c:v>-9.2180514582689899E-4</c:v>
                </c:pt>
                <c:pt idx="56">
                  <c:v>1.5876008257784099E-6</c:v>
                </c:pt>
                <c:pt idx="57">
                  <c:v>-6.0323557651038395E-4</c:v>
                </c:pt>
                <c:pt idx="58">
                  <c:v>-1.0638144927028199E-3</c:v>
                </c:pt>
                <c:pt idx="59">
                  <c:v>3.6862158364932897E-4</c:v>
                </c:pt>
                <c:pt idx="60">
                  <c:v>1.01233729365184E-4</c:v>
                </c:pt>
                <c:pt idx="61">
                  <c:v>5.8621604368815897E-4</c:v>
                </c:pt>
                <c:pt idx="62">
                  <c:v>4.8224659569966497E-4</c:v>
                </c:pt>
                <c:pt idx="63">
                  <c:v>4.3427548860713899E-4</c:v>
                </c:pt>
                <c:pt idx="64">
                  <c:v>-1.8523672199291901E-5</c:v>
                </c:pt>
                <c:pt idx="65">
                  <c:v>-6.6447433701031396E-5</c:v>
                </c:pt>
                <c:pt idx="66">
                  <c:v>-1.3371961596675701E-4</c:v>
                </c:pt>
                <c:pt idx="67">
                  <c:v>-1.09451473198109E-4</c:v>
                </c:pt>
                <c:pt idx="68">
                  <c:v>1.3150624123598199E-4</c:v>
                </c:pt>
                <c:pt idx="69">
                  <c:v>3.88371850219307E-4</c:v>
                </c:pt>
                <c:pt idx="70">
                  <c:v>1.8442949455727299E-4</c:v>
                </c:pt>
                <c:pt idx="71">
                  <c:v>-1.2085556071695E-4</c:v>
                </c:pt>
                <c:pt idx="72">
                  <c:v>4.7917360044808199E-4</c:v>
                </c:pt>
                <c:pt idx="73">
                  <c:v>-9.943214611947001E-4</c:v>
                </c:pt>
                <c:pt idx="74">
                  <c:v>-4.8383776187377602E-4</c:v>
                </c:pt>
                <c:pt idx="75">
                  <c:v>-5.4152163335628397E-4</c:v>
                </c:pt>
                <c:pt idx="76">
                  <c:v>-1.12907252733859E-4</c:v>
                </c:pt>
                <c:pt idx="77">
                  <c:v>7.8103165309952095E-5</c:v>
                </c:pt>
                <c:pt idx="78">
                  <c:v>-2.16991805477105E-4</c:v>
                </c:pt>
                <c:pt idx="79">
                  <c:v>-1.77669570510561E-4</c:v>
                </c:pt>
                <c:pt idx="80">
                  <c:v>-1.8655988830886599E-4</c:v>
                </c:pt>
                <c:pt idx="81">
                  <c:v>-7.0119150952997105E-4</c:v>
                </c:pt>
                <c:pt idx="82">
                  <c:v>2.1502368116213502E-5</c:v>
                </c:pt>
                <c:pt idx="83">
                  <c:v>-6.5147762357794397E-4</c:v>
                </c:pt>
                <c:pt idx="84">
                  <c:v>4.2260658017978899E-4</c:v>
                </c:pt>
                <c:pt idx="85">
                  <c:v>1.72395990989619E-4</c:v>
                </c:pt>
                <c:pt idx="86">
                  <c:v>-3.3161883392434499E-4</c:v>
                </c:pt>
                <c:pt idx="87">
                  <c:v>-2.8848382657159E-4</c:v>
                </c:pt>
                <c:pt idx="88">
                  <c:v>-3.0819893621977302E-4</c:v>
                </c:pt>
                <c:pt idx="89">
                  <c:v>-5.3792233661701197E-4</c:v>
                </c:pt>
                <c:pt idx="90">
                  <c:v>-1.2277884785090001E-3</c:v>
                </c:pt>
                <c:pt idx="91">
                  <c:v>-3.0814461835996701E-4</c:v>
                </c:pt>
                <c:pt idx="92">
                  <c:v>3.0014112962088702E-4</c:v>
                </c:pt>
                <c:pt idx="93">
                  <c:v>3.2687861978234899E-4</c:v>
                </c:pt>
                <c:pt idx="94">
                  <c:v>-8.91345042528004E-4</c:v>
                </c:pt>
                <c:pt idx="95">
                  <c:v>5.1905147827984897E-4</c:v>
                </c:pt>
                <c:pt idx="96">
                  <c:v>-4.86890158896453E-5</c:v>
                </c:pt>
                <c:pt idx="97">
                  <c:v>7.4775427947026398E-4</c:v>
                </c:pt>
                <c:pt idx="98">
                  <c:v>2.0631730788908399E-4</c:v>
                </c:pt>
                <c:pt idx="99">
                  <c:v>9.6176401972340907E-5</c:v>
                </c:pt>
                <c:pt idx="100">
                  <c:v>-3.2076010490582102E-4</c:v>
                </c:pt>
                <c:pt idx="101">
                  <c:v>7.5829637397211195E-4</c:v>
                </c:pt>
                <c:pt idx="102">
                  <c:v>5.2453798902016302E-4</c:v>
                </c:pt>
                <c:pt idx="103">
                  <c:v>2.9740343677024699E-4</c:v>
                </c:pt>
                <c:pt idx="104">
                  <c:v>9.9984489247633898E-5</c:v>
                </c:pt>
                <c:pt idx="105">
                  <c:v>-1.4117851644072999E-5</c:v>
                </c:pt>
                <c:pt idx="106">
                  <c:v>4.0142242144936501E-4</c:v>
                </c:pt>
                <c:pt idx="107">
                  <c:v>1.28183298864137E-4</c:v>
                </c:pt>
                <c:pt idx="108">
                  <c:v>-1.5366906443293601E-4</c:v>
                </c:pt>
                <c:pt idx="109">
                  <c:v>-5.9899617379225898E-5</c:v>
                </c:pt>
                <c:pt idx="110">
                  <c:v>-1.9847089043964399E-4</c:v>
                </c:pt>
                <c:pt idx="111">
                  <c:v>-5.3667151342204605E-4</c:v>
                </c:pt>
                <c:pt idx="112">
                  <c:v>-2.5708649244362202E-4</c:v>
                </c:pt>
                <c:pt idx="113">
                  <c:v>8.4960155956045305E-5</c:v>
                </c:pt>
                <c:pt idx="114">
                  <c:v>-1.2399538357451901E-3</c:v>
                </c:pt>
                <c:pt idx="115">
                  <c:v>3.19266890800218E-4</c:v>
                </c:pt>
                <c:pt idx="116">
                  <c:v>6.0553810617067599E-5</c:v>
                </c:pt>
                <c:pt idx="117">
                  <c:v>-1.8382413475225801E-4</c:v>
                </c:pt>
                <c:pt idx="118">
                  <c:v>5.2980663771429203E-4</c:v>
                </c:pt>
                <c:pt idx="119">
                  <c:v>-6.5767584861707801E-4</c:v>
                </c:pt>
                <c:pt idx="120">
                  <c:v>1.8661683644379299E-4</c:v>
                </c:pt>
                <c:pt idx="121">
                  <c:v>-8.6612703188929498E-4</c:v>
                </c:pt>
                <c:pt idx="122">
                  <c:v>-2.2814476103440999E-5</c:v>
                </c:pt>
                <c:pt idx="123">
                  <c:v>3.99074765194165E-4</c:v>
                </c:pt>
                <c:pt idx="124">
                  <c:v>-4.6218796853466601E-4</c:v>
                </c:pt>
                <c:pt idx="125">
                  <c:v>-5.0619831264515805E-4</c:v>
                </c:pt>
                <c:pt idx="126">
                  <c:v>-1.32549573434404E-5</c:v>
                </c:pt>
                <c:pt idx="127">
                  <c:v>-7.4428644770535004E-4</c:v>
                </c:pt>
                <c:pt idx="128">
                  <c:v>-8.5389451930701905E-4</c:v>
                </c:pt>
                <c:pt idx="129">
                  <c:v>1.84069068173858E-4</c:v>
                </c:pt>
                <c:pt idx="130">
                  <c:v>-4.2076783577584199E-4</c:v>
                </c:pt>
                <c:pt idx="131">
                  <c:v>7.3800206433867401E-4</c:v>
                </c:pt>
                <c:pt idx="132">
                  <c:v>5.2402252145719596E-4</c:v>
                </c:pt>
                <c:pt idx="133">
                  <c:v>-5.5537391646246902E-4</c:v>
                </c:pt>
                <c:pt idx="134">
                  <c:v>1.44814689476205E-4</c:v>
                </c:pt>
                <c:pt idx="135">
                  <c:v>-1.0589584108162E-4</c:v>
                </c:pt>
                <c:pt idx="136">
                  <c:v>1.90950785274678E-4</c:v>
                </c:pt>
                <c:pt idx="137">
                  <c:v>-1.80912717280153E-4</c:v>
                </c:pt>
                <c:pt idx="138">
                  <c:v>-2.9774302371993303E-4</c:v>
                </c:pt>
                <c:pt idx="139">
                  <c:v>3.45624962590893E-4</c:v>
                </c:pt>
                <c:pt idx="140">
                  <c:v>-5.4837011275247897E-4</c:v>
                </c:pt>
                <c:pt idx="141">
                  <c:v>4.3173291464171098E-5</c:v>
                </c:pt>
                <c:pt idx="142">
                  <c:v>4.0416963589954598E-4</c:v>
                </c:pt>
                <c:pt idx="143">
                  <c:v>4.2164826517653302E-4</c:v>
                </c:pt>
                <c:pt idx="144">
                  <c:v>-9.2256704481113202E-4</c:v>
                </c:pt>
                <c:pt idx="145">
                  <c:v>5.0469953515476398E-4</c:v>
                </c:pt>
                <c:pt idx="146">
                  <c:v>-4.4818568828535398E-5</c:v>
                </c:pt>
                <c:pt idx="147">
                  <c:v>7.3551067203621195E-5</c:v>
                </c:pt>
                <c:pt idx="148">
                  <c:v>1.50579424067098E-4</c:v>
                </c:pt>
                <c:pt idx="149">
                  <c:v>-4.75844002270477E-4</c:v>
                </c:pt>
                <c:pt idx="150">
                  <c:v>-9.8119048701556799E-5</c:v>
                </c:pt>
                <c:pt idx="151">
                  <c:v>-1.3411676618309E-4</c:v>
                </c:pt>
                <c:pt idx="152">
                  <c:v>6.6034631717377099E-4</c:v>
                </c:pt>
                <c:pt idx="153">
                  <c:v>-3.3816265656407598E-4</c:v>
                </c:pt>
                <c:pt idx="154">
                  <c:v>8.0204874010139302E-4</c:v>
                </c:pt>
                <c:pt idx="155">
                  <c:v>2.6041070337377397E-4</c:v>
                </c:pt>
                <c:pt idx="156">
                  <c:v>5.5823818080697797E-4</c:v>
                </c:pt>
                <c:pt idx="157">
                  <c:v>-1.97466818328426E-4</c:v>
                </c:pt>
                <c:pt idx="158">
                  <c:v>1.0996015436150001E-4</c:v>
                </c:pt>
                <c:pt idx="159">
                  <c:v>-9.2966603136567495E-5</c:v>
                </c:pt>
                <c:pt idx="160">
                  <c:v>4.3412374243559499E-5</c:v>
                </c:pt>
                <c:pt idx="161">
                  <c:v>3.8043774186340601E-4</c:v>
                </c:pt>
                <c:pt idx="162">
                  <c:v>1.8152136799301699E-5</c:v>
                </c:pt>
                <c:pt idx="163">
                  <c:v>-5.2971410293483701E-4</c:v>
                </c:pt>
                <c:pt idx="164">
                  <c:v>5.3053652532430995E-4</c:v>
                </c:pt>
                <c:pt idx="165">
                  <c:v>-2.5103842550302E-4</c:v>
                </c:pt>
                <c:pt idx="166">
                  <c:v>-3.2002620801995603E-4</c:v>
                </c:pt>
                <c:pt idx="167">
                  <c:v>3.3177537401953499E-4</c:v>
                </c:pt>
                <c:pt idx="168">
                  <c:v>7.6670737672953398E-5</c:v>
                </c:pt>
                <c:pt idx="169">
                  <c:v>4.5736407778707402E-4</c:v>
                </c:pt>
                <c:pt idx="170">
                  <c:v>-1.9210902057603801E-4</c:v>
                </c:pt>
                <c:pt idx="171">
                  <c:v>3.0823790118218801E-4</c:v>
                </c:pt>
                <c:pt idx="172">
                  <c:v>-1.6679458612726099E-4</c:v>
                </c:pt>
                <c:pt idx="173">
                  <c:v>7.3994836316571499E-4</c:v>
                </c:pt>
                <c:pt idx="174">
                  <c:v>-3.7398166373952499E-4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1-436F-9F6A-F9CECA2AB26C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BSCZ* x 20 dma / IBCA*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1.0615496855818199E-4</c:v>
                </c:pt>
                <c:pt idx="21">
                  <c:v>1.1809476164442E-4</c:v>
                </c:pt>
                <c:pt idx="22">
                  <c:v>-7.50372628789929E-5</c:v>
                </c:pt>
                <c:pt idx="23">
                  <c:v>5.8998742482473403E-4</c:v>
                </c:pt>
                <c:pt idx="24">
                  <c:v>2.8383296965252399E-4</c:v>
                </c:pt>
                <c:pt idx="25">
                  <c:v>2.48257415627532E-4</c:v>
                </c:pt>
                <c:pt idx="26">
                  <c:v>1.85781459152094E-3</c:v>
                </c:pt>
                <c:pt idx="27">
                  <c:v>-4.4350407209007799E-4</c:v>
                </c:pt>
                <c:pt idx="28">
                  <c:v>1.05600677707016E-4</c:v>
                </c:pt>
                <c:pt idx="29">
                  <c:v>-1.13835865516382E-4</c:v>
                </c:pt>
                <c:pt idx="30">
                  <c:v>-2.60914836832305E-5</c:v>
                </c:pt>
                <c:pt idx="31">
                  <c:v>6.40500670233724E-4</c:v>
                </c:pt>
                <c:pt idx="32">
                  <c:v>4.3394321144469899E-4</c:v>
                </c:pt>
                <c:pt idx="33">
                  <c:v>4.1029201592122602E-4</c:v>
                </c:pt>
                <c:pt idx="34">
                  <c:v>-6.99649253249094E-4</c:v>
                </c:pt>
                <c:pt idx="35">
                  <c:v>-3.1782834772631203E-5</c:v>
                </c:pt>
                <c:pt idx="36">
                  <c:v>-1.08650522989764E-4</c:v>
                </c:pt>
                <c:pt idx="37">
                  <c:v>-7.0718532958979397E-4</c:v>
                </c:pt>
                <c:pt idx="38">
                  <c:v>-1.09548797389303E-5</c:v>
                </c:pt>
                <c:pt idx="39">
                  <c:v>-5.3671533786701995E-4</c:v>
                </c:pt>
                <c:pt idx="40">
                  <c:v>-5.5142392327585399E-4</c:v>
                </c:pt>
                <c:pt idx="41">
                  <c:v>-5.5892047421089299E-5</c:v>
                </c:pt>
                <c:pt idx="42">
                  <c:v>9.0414071888532898E-4</c:v>
                </c:pt>
                <c:pt idx="43">
                  <c:v>-1.9747005250789101E-4</c:v>
                </c:pt>
                <c:pt idx="44">
                  <c:v>-7.5751080558460995E-4</c:v>
                </c:pt>
                <c:pt idx="45">
                  <c:v>-2.2815774408748601E-4</c:v>
                </c:pt>
                <c:pt idx="46">
                  <c:v>-3.8849407794154999E-4</c:v>
                </c:pt>
                <c:pt idx="47">
                  <c:v>-1.7397001894942701E-4</c:v>
                </c:pt>
                <c:pt idx="48">
                  <c:v>-7.8840473862463805E-5</c:v>
                </c:pt>
                <c:pt idx="49">
                  <c:v>8.8863976043333196E-4</c:v>
                </c:pt>
                <c:pt idx="50">
                  <c:v>8.2191001090486699E-4</c:v>
                </c:pt>
                <c:pt idx="51">
                  <c:v>5.1051025868332101E-4</c:v>
                </c:pt>
                <c:pt idx="52">
                  <c:v>-1.6658014464905599E-4</c:v>
                </c:pt>
                <c:pt idx="53">
                  <c:v>-2.0057125922586999E-4</c:v>
                </c:pt>
                <c:pt idx="54">
                  <c:v>6.3049186773064001E-4</c:v>
                </c:pt>
                <c:pt idx="55">
                  <c:v>-7.8238569566339703E-4</c:v>
                </c:pt>
                <c:pt idx="56">
                  <c:v>1.21794289825366E-4</c:v>
                </c:pt>
                <c:pt idx="57">
                  <c:v>-4.4622294270835102E-4</c:v>
                </c:pt>
                <c:pt idx="58">
                  <c:v>-9.37682043016768E-4</c:v>
                </c:pt>
                <c:pt idx="59">
                  <c:v>4.62075186606379E-4</c:v>
                </c:pt>
                <c:pt idx="60">
                  <c:v>1.08296476235772E-4</c:v>
                </c:pt>
                <c:pt idx="61">
                  <c:v>4.9346693420266696E-4</c:v>
                </c:pt>
                <c:pt idx="62">
                  <c:v>3.6117976510487799E-4</c:v>
                </c:pt>
                <c:pt idx="63">
                  <c:v>3.9601570717396099E-4</c:v>
                </c:pt>
                <c:pt idx="64">
                  <c:v>-1.9164347158915999E-5</c:v>
                </c:pt>
                <c:pt idx="65">
                  <c:v>-1.5790792329904401E-4</c:v>
                </c:pt>
                <c:pt idx="66">
                  <c:v>-1.6145245887773301E-4</c:v>
                </c:pt>
                <c:pt idx="67">
                  <c:v>-1.68564936439853E-4</c:v>
                </c:pt>
                <c:pt idx="68">
                  <c:v>1.02900038583623E-4</c:v>
                </c:pt>
                <c:pt idx="69">
                  <c:v>4.5794693765305398E-4</c:v>
                </c:pt>
                <c:pt idx="70">
                  <c:v>2.8343947886504302E-4</c:v>
                </c:pt>
                <c:pt idx="71">
                  <c:v>2.8177519373308898E-5</c:v>
                </c:pt>
                <c:pt idx="72">
                  <c:v>6.0950856221063095E-4</c:v>
                </c:pt>
                <c:pt idx="73">
                  <c:v>-8.7817670841281695E-4</c:v>
                </c:pt>
                <c:pt idx="74">
                  <c:v>-4.5817646950133101E-4</c:v>
                </c:pt>
                <c:pt idx="75">
                  <c:v>-5.0782020665272702E-4</c:v>
                </c:pt>
                <c:pt idx="76">
                  <c:v>-1.33232371371506E-4</c:v>
                </c:pt>
                <c:pt idx="77">
                  <c:v>6.6324852203947097E-5</c:v>
                </c:pt>
                <c:pt idx="78">
                  <c:v>-2.3935356417660001E-4</c:v>
                </c:pt>
                <c:pt idx="79">
                  <c:v>-2.76621324657921E-4</c:v>
                </c:pt>
                <c:pt idx="80">
                  <c:v>-3.3163687796741698E-4</c:v>
                </c:pt>
                <c:pt idx="81">
                  <c:v>-8.9337280009053996E-4</c:v>
                </c:pt>
                <c:pt idx="82">
                  <c:v>-1.9846894436594499E-4</c:v>
                </c:pt>
                <c:pt idx="83">
                  <c:v>-9.2916921593314797E-4</c:v>
                </c:pt>
                <c:pt idx="84">
                  <c:v>1.94102196928737E-4</c:v>
                </c:pt>
                <c:pt idx="85">
                  <c:v>-1.2947189403906401E-5</c:v>
                </c:pt>
                <c:pt idx="86">
                  <c:v>-4.7941805061660402E-4</c:v>
                </c:pt>
                <c:pt idx="87">
                  <c:v>-4.61004914048727E-4</c:v>
                </c:pt>
                <c:pt idx="88">
                  <c:v>-5.2449079009066701E-4</c:v>
                </c:pt>
                <c:pt idx="89">
                  <c:v>-7.6074404683323005E-4</c:v>
                </c:pt>
                <c:pt idx="90">
                  <c:v>-1.45272234808136E-3</c:v>
                </c:pt>
                <c:pt idx="91">
                  <c:v>-5.7460366504609797E-4</c:v>
                </c:pt>
                <c:pt idx="92">
                  <c:v>7.4918217086754297E-5</c:v>
                </c:pt>
                <c:pt idx="93">
                  <c:v>1.3791869244941801E-4</c:v>
                </c:pt>
                <c:pt idx="94">
                  <c:v>-1.0396551838876701E-3</c:v>
                </c:pt>
                <c:pt idx="95">
                  <c:v>2.6776654333637699E-4</c:v>
                </c:pt>
                <c:pt idx="96">
                  <c:v>-3.2492165570474299E-4</c:v>
                </c:pt>
                <c:pt idx="97">
                  <c:v>4.83756933260208E-4</c:v>
                </c:pt>
                <c:pt idx="98">
                  <c:v>3.2817963525983301E-6</c:v>
                </c:pt>
                <c:pt idx="99">
                  <c:v>-7.5253216505232097E-5</c:v>
                </c:pt>
                <c:pt idx="100">
                  <c:v>-4.3733507938607103E-4</c:v>
                </c:pt>
                <c:pt idx="101">
                  <c:v>7.50018935703733E-4</c:v>
                </c:pt>
                <c:pt idx="102">
                  <c:v>5.7574536739076398E-4</c:v>
                </c:pt>
                <c:pt idx="103">
                  <c:v>3.7353671804100599E-4</c:v>
                </c:pt>
                <c:pt idx="104">
                  <c:v>1.52233971057427E-4</c:v>
                </c:pt>
                <c:pt idx="105">
                  <c:v>1.7349685386252E-4</c:v>
                </c:pt>
                <c:pt idx="106">
                  <c:v>5.8893308814949598E-4</c:v>
                </c:pt>
                <c:pt idx="107">
                  <c:v>3.7044201626239E-4</c:v>
                </c:pt>
                <c:pt idx="108">
                  <c:v>5.6431348720152502E-5</c:v>
                </c:pt>
                <c:pt idx="109">
                  <c:v>1.47789965906389E-4</c:v>
                </c:pt>
                <c:pt idx="110">
                  <c:v>7.6225517961329602E-6</c:v>
                </c:pt>
                <c:pt idx="111">
                  <c:v>-3.37561188142308E-4</c:v>
                </c:pt>
                <c:pt idx="112">
                  <c:v>-1.5531691162332499E-4</c:v>
                </c:pt>
                <c:pt idx="113">
                  <c:v>1.4148831485255199E-4</c:v>
                </c:pt>
                <c:pt idx="114">
                  <c:v>-1.1945329251907501E-3</c:v>
                </c:pt>
                <c:pt idx="115">
                  <c:v>2.47381035575271E-4</c:v>
                </c:pt>
                <c:pt idx="116">
                  <c:v>6.0433933213852698E-6</c:v>
                </c:pt>
                <c:pt idx="117">
                  <c:v>-3.0207378268288002E-4</c:v>
                </c:pt>
                <c:pt idx="118">
                  <c:v>3.9089108696180601E-4</c:v>
                </c:pt>
                <c:pt idx="119">
                  <c:v>-7.7932768151305499E-4</c:v>
                </c:pt>
                <c:pt idx="120">
                  <c:v>9.9446456863366494E-6</c:v>
                </c:pt>
                <c:pt idx="121">
                  <c:v>-1.06794396824383E-3</c:v>
                </c:pt>
                <c:pt idx="122">
                  <c:v>-2.1646521386012801E-4</c:v>
                </c:pt>
                <c:pt idx="123">
                  <c:v>2.26670284014523E-4</c:v>
                </c:pt>
                <c:pt idx="124">
                  <c:v>-6.3115978686987596E-4</c:v>
                </c:pt>
                <c:pt idx="125">
                  <c:v>-5.9068619348864101E-4</c:v>
                </c:pt>
                <c:pt idx="126">
                  <c:v>-1.5693482072280199E-4</c:v>
                </c:pt>
                <c:pt idx="127">
                  <c:v>-8.8353535334510802E-4</c:v>
                </c:pt>
                <c:pt idx="128">
                  <c:v>-1.0076793343218699E-3</c:v>
                </c:pt>
                <c:pt idx="129">
                  <c:v>-7.4527453310045195E-5</c:v>
                </c:pt>
                <c:pt idx="130">
                  <c:v>-6.2109063460484397E-4</c:v>
                </c:pt>
                <c:pt idx="131">
                  <c:v>4.8570890693503402E-4</c:v>
                </c:pt>
                <c:pt idx="132">
                  <c:v>3.6335055011189199E-4</c:v>
                </c:pt>
                <c:pt idx="133">
                  <c:v>-6.9712701743761003E-4</c:v>
                </c:pt>
                <c:pt idx="134">
                  <c:v>-5.7283453588893002E-5</c:v>
                </c:pt>
                <c:pt idx="135">
                  <c:v>-3.19858748720905E-4</c:v>
                </c:pt>
                <c:pt idx="136">
                  <c:v>2.5315501605109598E-5</c:v>
                </c:pt>
                <c:pt idx="137">
                  <c:v>-3.3484671757908402E-4</c:v>
                </c:pt>
                <c:pt idx="138">
                  <c:v>-3.9694490103286202E-4</c:v>
                </c:pt>
                <c:pt idx="139">
                  <c:v>3.4887219102342301E-4</c:v>
                </c:pt>
                <c:pt idx="140">
                  <c:v>-5.5294664771028202E-4</c:v>
                </c:pt>
                <c:pt idx="141">
                  <c:v>8.2153287038264398E-5</c:v>
                </c:pt>
                <c:pt idx="142">
                  <c:v>3.5735161469873099E-4</c:v>
                </c:pt>
                <c:pt idx="143">
                  <c:v>3.5289366881198302E-4</c:v>
                </c:pt>
                <c:pt idx="144">
                  <c:v>-8.8745530687242005E-4</c:v>
                </c:pt>
                <c:pt idx="145">
                  <c:v>4.7979639581623401E-4</c:v>
                </c:pt>
                <c:pt idx="146">
                  <c:v>-4.0304504497324998E-5</c:v>
                </c:pt>
                <c:pt idx="147">
                  <c:v>7.3081920639425901E-5</c:v>
                </c:pt>
                <c:pt idx="148">
                  <c:v>1.5000917917401901E-4</c:v>
                </c:pt>
                <c:pt idx="149">
                  <c:v>-4.7194875155859002E-4</c:v>
                </c:pt>
                <c:pt idx="150">
                  <c:v>-1.4330825151527701E-4</c:v>
                </c:pt>
                <c:pt idx="151">
                  <c:v>-1.5446691980342399E-4</c:v>
                </c:pt>
                <c:pt idx="152">
                  <c:v>6.5992798458445405E-4</c:v>
                </c:pt>
                <c:pt idx="153">
                  <c:v>-3.1515136990721597E-4</c:v>
                </c:pt>
                <c:pt idx="154">
                  <c:v>7.4739665618334897E-4</c:v>
                </c:pt>
                <c:pt idx="155">
                  <c:v>3.3640906295393999E-4</c:v>
                </c:pt>
                <c:pt idx="156">
                  <c:v>6.0158721223312203E-4</c:v>
                </c:pt>
                <c:pt idx="157">
                  <c:v>-1.08297115772258E-4</c:v>
                </c:pt>
                <c:pt idx="158">
                  <c:v>1.81816352808855E-4</c:v>
                </c:pt>
                <c:pt idx="159">
                  <c:v>-3.8318599971042399E-5</c:v>
                </c:pt>
                <c:pt idx="160">
                  <c:v>1.63368627589086E-4</c:v>
                </c:pt>
                <c:pt idx="161">
                  <c:v>5.0146991661425503E-4</c:v>
                </c:pt>
                <c:pt idx="162">
                  <c:v>1.87922652422786E-4</c:v>
                </c:pt>
                <c:pt idx="163">
                  <c:v>-3.8783960241253702E-4</c:v>
                </c:pt>
                <c:pt idx="164">
                  <c:v>7.1271660465212195E-4</c:v>
                </c:pt>
                <c:pt idx="165">
                  <c:v>-1.45003220299014E-4</c:v>
                </c:pt>
                <c:pt idx="166">
                  <c:v>-2.2434937987527101E-4</c:v>
                </c:pt>
                <c:pt idx="167">
                  <c:v>3.5862249662948098E-4</c:v>
                </c:pt>
                <c:pt idx="168">
                  <c:v>1.3730079921573E-4</c:v>
                </c:pt>
                <c:pt idx="169">
                  <c:v>5.17238197207762E-4</c:v>
                </c:pt>
                <c:pt idx="170">
                  <c:v>-1.23351010518377E-4</c:v>
                </c:pt>
                <c:pt idx="171">
                  <c:v>3.5301871724453799E-4</c:v>
                </c:pt>
                <c:pt idx="172">
                  <c:v>-1.58978573875065E-4</c:v>
                </c:pt>
                <c:pt idx="173">
                  <c:v>7.5442939253919097E-4</c:v>
                </c:pt>
                <c:pt idx="174">
                  <c:v>-2.9917993793476903E-4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1-436F-9F6A-F9CECA2AB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IBCA*/BSCZ*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1.2471244094690801</c:v>
                </c:pt>
                <c:pt idx="1">
                  <c:v>1.2471244094690801</c:v>
                </c:pt>
                <c:pt idx="2">
                  <c:v>1.2471244094690801</c:v>
                </c:pt>
                <c:pt idx="3">
                  <c:v>1.2471244094690801</c:v>
                </c:pt>
                <c:pt idx="4">
                  <c:v>1.2471244094690801</c:v>
                </c:pt>
                <c:pt idx="5">
                  <c:v>1.2471244094690801</c:v>
                </c:pt>
                <c:pt idx="6">
                  <c:v>1.2471244094690801</c:v>
                </c:pt>
                <c:pt idx="7">
                  <c:v>1.2471244094690801</c:v>
                </c:pt>
                <c:pt idx="8">
                  <c:v>1.2471244094690801</c:v>
                </c:pt>
                <c:pt idx="9">
                  <c:v>1.2471244094690801</c:v>
                </c:pt>
                <c:pt idx="10">
                  <c:v>1.2471244094690801</c:v>
                </c:pt>
                <c:pt idx="11">
                  <c:v>1.2471244094690801</c:v>
                </c:pt>
                <c:pt idx="12">
                  <c:v>1.2471244094690801</c:v>
                </c:pt>
                <c:pt idx="13">
                  <c:v>1.2471244094690801</c:v>
                </c:pt>
                <c:pt idx="14">
                  <c:v>1.2471244094690801</c:v>
                </c:pt>
                <c:pt idx="15">
                  <c:v>1.2471244094690801</c:v>
                </c:pt>
                <c:pt idx="16">
                  <c:v>1.2471244094690801</c:v>
                </c:pt>
                <c:pt idx="17">
                  <c:v>1.2471244094690801</c:v>
                </c:pt>
                <c:pt idx="18">
                  <c:v>1.2471244094690801</c:v>
                </c:pt>
                <c:pt idx="19">
                  <c:v>1.2471244094690801</c:v>
                </c:pt>
                <c:pt idx="20">
                  <c:v>1.2471244094690801</c:v>
                </c:pt>
                <c:pt idx="21">
                  <c:v>1.2471244094690801</c:v>
                </c:pt>
                <c:pt idx="22">
                  <c:v>1.2471244094690801</c:v>
                </c:pt>
                <c:pt idx="23">
                  <c:v>1.2471244094690801</c:v>
                </c:pt>
                <c:pt idx="24">
                  <c:v>1.2471244094690801</c:v>
                </c:pt>
                <c:pt idx="25">
                  <c:v>1.2471244094690801</c:v>
                </c:pt>
                <c:pt idx="26">
                  <c:v>1.2471244094690801</c:v>
                </c:pt>
                <c:pt idx="27">
                  <c:v>1.2471244094690801</c:v>
                </c:pt>
                <c:pt idx="28">
                  <c:v>1.2471244094690801</c:v>
                </c:pt>
                <c:pt idx="29">
                  <c:v>1.2471244094690801</c:v>
                </c:pt>
                <c:pt idx="30">
                  <c:v>1.2471244094690801</c:v>
                </c:pt>
                <c:pt idx="31">
                  <c:v>1.2471244094690801</c:v>
                </c:pt>
                <c:pt idx="32">
                  <c:v>1.2471244094690801</c:v>
                </c:pt>
                <c:pt idx="33">
                  <c:v>1.2471244094690801</c:v>
                </c:pt>
                <c:pt idx="34">
                  <c:v>1.2471244094690801</c:v>
                </c:pt>
                <c:pt idx="35">
                  <c:v>1.2471244094690801</c:v>
                </c:pt>
                <c:pt idx="36">
                  <c:v>1.2471244094690801</c:v>
                </c:pt>
                <c:pt idx="37">
                  <c:v>1.2471244094690801</c:v>
                </c:pt>
                <c:pt idx="38">
                  <c:v>1.2471244094690801</c:v>
                </c:pt>
                <c:pt idx="39">
                  <c:v>1.2471244094690801</c:v>
                </c:pt>
                <c:pt idx="40">
                  <c:v>1.2471244094690801</c:v>
                </c:pt>
                <c:pt idx="41">
                  <c:v>1.2471244094690801</c:v>
                </c:pt>
                <c:pt idx="42">
                  <c:v>1.2471244094690801</c:v>
                </c:pt>
                <c:pt idx="43">
                  <c:v>1.2471244094690801</c:v>
                </c:pt>
                <c:pt idx="44">
                  <c:v>1.2471244094690801</c:v>
                </c:pt>
                <c:pt idx="45">
                  <c:v>1.2471244094690801</c:v>
                </c:pt>
                <c:pt idx="46">
                  <c:v>1.2471244094690801</c:v>
                </c:pt>
                <c:pt idx="47">
                  <c:v>1.2471244094690801</c:v>
                </c:pt>
                <c:pt idx="48">
                  <c:v>1.2471244094690801</c:v>
                </c:pt>
                <c:pt idx="49">
                  <c:v>1.2471244094690801</c:v>
                </c:pt>
                <c:pt idx="50">
                  <c:v>1.2471244094690801</c:v>
                </c:pt>
                <c:pt idx="51">
                  <c:v>1.2471244094690801</c:v>
                </c:pt>
                <c:pt idx="52">
                  <c:v>1.2471244094690801</c:v>
                </c:pt>
                <c:pt idx="53">
                  <c:v>1.2471244094690801</c:v>
                </c:pt>
                <c:pt idx="54">
                  <c:v>1.2471244094690801</c:v>
                </c:pt>
                <c:pt idx="55">
                  <c:v>1.2471244094690801</c:v>
                </c:pt>
                <c:pt idx="56">
                  <c:v>1.2471244094690801</c:v>
                </c:pt>
                <c:pt idx="57">
                  <c:v>1.2471244094690801</c:v>
                </c:pt>
                <c:pt idx="58">
                  <c:v>1.2471244094690801</c:v>
                </c:pt>
                <c:pt idx="59">
                  <c:v>1.2471244094690801</c:v>
                </c:pt>
                <c:pt idx="60">
                  <c:v>1.2471244094690801</c:v>
                </c:pt>
                <c:pt idx="61">
                  <c:v>1.2471244094690801</c:v>
                </c:pt>
                <c:pt idx="62">
                  <c:v>1.2471244094690801</c:v>
                </c:pt>
                <c:pt idx="63">
                  <c:v>1.2471244094690801</c:v>
                </c:pt>
                <c:pt idx="64">
                  <c:v>1.2471244094690801</c:v>
                </c:pt>
                <c:pt idx="65">
                  <c:v>1.2471244094690801</c:v>
                </c:pt>
                <c:pt idx="66">
                  <c:v>1.2471244094690801</c:v>
                </c:pt>
                <c:pt idx="67">
                  <c:v>1.2471244094690801</c:v>
                </c:pt>
                <c:pt idx="68">
                  <c:v>1.2471244094690801</c:v>
                </c:pt>
                <c:pt idx="69">
                  <c:v>1.2471244094690801</c:v>
                </c:pt>
                <c:pt idx="70">
                  <c:v>1.2471244094690801</c:v>
                </c:pt>
                <c:pt idx="71">
                  <c:v>1.2471244094690801</c:v>
                </c:pt>
                <c:pt idx="72">
                  <c:v>1.2471244094690801</c:v>
                </c:pt>
                <c:pt idx="73">
                  <c:v>1.2471244094690801</c:v>
                </c:pt>
                <c:pt idx="74">
                  <c:v>1.2471244094690801</c:v>
                </c:pt>
                <c:pt idx="75">
                  <c:v>1.2471244094690801</c:v>
                </c:pt>
                <c:pt idx="76">
                  <c:v>1.2471244094690801</c:v>
                </c:pt>
                <c:pt idx="77">
                  <c:v>1.2471244094690801</c:v>
                </c:pt>
                <c:pt idx="78">
                  <c:v>1.2471244094690801</c:v>
                </c:pt>
                <c:pt idx="79">
                  <c:v>1.2471244094690801</c:v>
                </c:pt>
                <c:pt idx="80">
                  <c:v>1.2471244094690801</c:v>
                </c:pt>
                <c:pt idx="81">
                  <c:v>1.2471244094690801</c:v>
                </c:pt>
                <c:pt idx="82">
                  <c:v>1.2471244094690801</c:v>
                </c:pt>
                <c:pt idx="83">
                  <c:v>1.2471244094690801</c:v>
                </c:pt>
                <c:pt idx="84">
                  <c:v>1.2471244094690801</c:v>
                </c:pt>
                <c:pt idx="85">
                  <c:v>1.2471244094690801</c:v>
                </c:pt>
                <c:pt idx="86">
                  <c:v>1.2471244094690801</c:v>
                </c:pt>
                <c:pt idx="87">
                  <c:v>1.2471244094690801</c:v>
                </c:pt>
                <c:pt idx="88">
                  <c:v>1.2471244094690801</c:v>
                </c:pt>
                <c:pt idx="89">
                  <c:v>1.2471244094690801</c:v>
                </c:pt>
                <c:pt idx="90">
                  <c:v>1.2471244094690801</c:v>
                </c:pt>
                <c:pt idx="91">
                  <c:v>1.2471244094690801</c:v>
                </c:pt>
                <c:pt idx="92">
                  <c:v>1.2471244094690801</c:v>
                </c:pt>
                <c:pt idx="93">
                  <c:v>1.2471244094690801</c:v>
                </c:pt>
                <c:pt idx="94">
                  <c:v>1.2471244094690801</c:v>
                </c:pt>
                <c:pt idx="95">
                  <c:v>1.2471244094690801</c:v>
                </c:pt>
                <c:pt idx="96">
                  <c:v>1.2471244094690801</c:v>
                </c:pt>
                <c:pt idx="97">
                  <c:v>1.2471244094690801</c:v>
                </c:pt>
                <c:pt idx="98">
                  <c:v>1.2471244094690801</c:v>
                </c:pt>
                <c:pt idx="99">
                  <c:v>1.2471244094690801</c:v>
                </c:pt>
                <c:pt idx="100">
                  <c:v>1.2471244094690801</c:v>
                </c:pt>
                <c:pt idx="101">
                  <c:v>1.2471244094690801</c:v>
                </c:pt>
                <c:pt idx="102">
                  <c:v>1.2471244094690801</c:v>
                </c:pt>
                <c:pt idx="103">
                  <c:v>1.2471244094690801</c:v>
                </c:pt>
                <c:pt idx="104">
                  <c:v>1.2471244094690801</c:v>
                </c:pt>
                <c:pt idx="105">
                  <c:v>1.2471244094690801</c:v>
                </c:pt>
                <c:pt idx="106">
                  <c:v>1.2471244094690801</c:v>
                </c:pt>
                <c:pt idx="107">
                  <c:v>1.2471244094690801</c:v>
                </c:pt>
                <c:pt idx="108">
                  <c:v>1.2471244094690801</c:v>
                </c:pt>
                <c:pt idx="109">
                  <c:v>1.2471244094690801</c:v>
                </c:pt>
                <c:pt idx="110">
                  <c:v>1.2471244094690801</c:v>
                </c:pt>
                <c:pt idx="111">
                  <c:v>1.2471244094690801</c:v>
                </c:pt>
                <c:pt idx="112">
                  <c:v>1.2471244094690801</c:v>
                </c:pt>
                <c:pt idx="113">
                  <c:v>1.2471244094690801</c:v>
                </c:pt>
                <c:pt idx="114">
                  <c:v>1.2471244094690801</c:v>
                </c:pt>
                <c:pt idx="115">
                  <c:v>1.2471244094690801</c:v>
                </c:pt>
                <c:pt idx="116">
                  <c:v>1.2471244094690801</c:v>
                </c:pt>
                <c:pt idx="117">
                  <c:v>1.2471244094690801</c:v>
                </c:pt>
                <c:pt idx="118">
                  <c:v>1.2471244094690801</c:v>
                </c:pt>
                <c:pt idx="119">
                  <c:v>1.2471244094690801</c:v>
                </c:pt>
                <c:pt idx="120">
                  <c:v>1.2471244094690801</c:v>
                </c:pt>
                <c:pt idx="121">
                  <c:v>1.2471244094690801</c:v>
                </c:pt>
                <c:pt idx="122">
                  <c:v>1.2471244094690801</c:v>
                </c:pt>
                <c:pt idx="123">
                  <c:v>1.2471244094690801</c:v>
                </c:pt>
                <c:pt idx="124">
                  <c:v>1.2471244094690801</c:v>
                </c:pt>
                <c:pt idx="125">
                  <c:v>1.2471244094690801</c:v>
                </c:pt>
                <c:pt idx="126">
                  <c:v>1.2471244094690801</c:v>
                </c:pt>
                <c:pt idx="127">
                  <c:v>1.2471244094690801</c:v>
                </c:pt>
                <c:pt idx="128">
                  <c:v>1.2471244094690801</c:v>
                </c:pt>
                <c:pt idx="129">
                  <c:v>1.2471244094690801</c:v>
                </c:pt>
                <c:pt idx="130">
                  <c:v>1.2471244094690801</c:v>
                </c:pt>
                <c:pt idx="131">
                  <c:v>1.2471244094690801</c:v>
                </c:pt>
                <c:pt idx="132">
                  <c:v>1.2471244094690801</c:v>
                </c:pt>
                <c:pt idx="133">
                  <c:v>1.2471244094690801</c:v>
                </c:pt>
                <c:pt idx="134">
                  <c:v>1.2471244094690801</c:v>
                </c:pt>
                <c:pt idx="135">
                  <c:v>1.2471244094690801</c:v>
                </c:pt>
                <c:pt idx="136">
                  <c:v>1.2471244094690801</c:v>
                </c:pt>
                <c:pt idx="137">
                  <c:v>1.2471244094690801</c:v>
                </c:pt>
                <c:pt idx="138">
                  <c:v>1.2471244094690801</c:v>
                </c:pt>
                <c:pt idx="139">
                  <c:v>1.2471244094690801</c:v>
                </c:pt>
                <c:pt idx="140">
                  <c:v>1.2471244094690801</c:v>
                </c:pt>
                <c:pt idx="141">
                  <c:v>1.2471244094690801</c:v>
                </c:pt>
                <c:pt idx="142">
                  <c:v>1.2471244094690801</c:v>
                </c:pt>
                <c:pt idx="143">
                  <c:v>1.2471244094690801</c:v>
                </c:pt>
                <c:pt idx="144">
                  <c:v>1.2471244094690801</c:v>
                </c:pt>
                <c:pt idx="145">
                  <c:v>1.2471244094690801</c:v>
                </c:pt>
                <c:pt idx="146">
                  <c:v>1.2471244094690801</c:v>
                </c:pt>
                <c:pt idx="147">
                  <c:v>1.2471244094690801</c:v>
                </c:pt>
                <c:pt idx="148">
                  <c:v>1.2471244094690801</c:v>
                </c:pt>
                <c:pt idx="149">
                  <c:v>1.2471244094690801</c:v>
                </c:pt>
                <c:pt idx="150">
                  <c:v>1.2471244094690801</c:v>
                </c:pt>
                <c:pt idx="151">
                  <c:v>1.2471244094690801</c:v>
                </c:pt>
                <c:pt idx="152">
                  <c:v>1.2471244094690801</c:v>
                </c:pt>
                <c:pt idx="153">
                  <c:v>1.2471244094690801</c:v>
                </c:pt>
                <c:pt idx="154">
                  <c:v>1.2471244094690801</c:v>
                </c:pt>
                <c:pt idx="155">
                  <c:v>1.2471244094690801</c:v>
                </c:pt>
                <c:pt idx="156">
                  <c:v>1.2471244094690801</c:v>
                </c:pt>
                <c:pt idx="157">
                  <c:v>1.2471244094690801</c:v>
                </c:pt>
                <c:pt idx="158">
                  <c:v>1.2471244094690801</c:v>
                </c:pt>
                <c:pt idx="159">
                  <c:v>1.2471244094690801</c:v>
                </c:pt>
                <c:pt idx="160">
                  <c:v>1.2471244094690801</c:v>
                </c:pt>
                <c:pt idx="161">
                  <c:v>1.2471244094690801</c:v>
                </c:pt>
                <c:pt idx="162">
                  <c:v>1.2471244094690801</c:v>
                </c:pt>
                <c:pt idx="163">
                  <c:v>1.2471244094690801</c:v>
                </c:pt>
                <c:pt idx="164">
                  <c:v>1.2471244094690801</c:v>
                </c:pt>
                <c:pt idx="165">
                  <c:v>1.2471244094690801</c:v>
                </c:pt>
                <c:pt idx="166">
                  <c:v>1.2471244094690801</c:v>
                </c:pt>
                <c:pt idx="167">
                  <c:v>1.2471244094690801</c:v>
                </c:pt>
                <c:pt idx="168">
                  <c:v>1.2471244094690801</c:v>
                </c:pt>
                <c:pt idx="169">
                  <c:v>1.2471244094690801</c:v>
                </c:pt>
                <c:pt idx="170">
                  <c:v>1.2471244094690801</c:v>
                </c:pt>
                <c:pt idx="171">
                  <c:v>1.2471244094690801</c:v>
                </c:pt>
                <c:pt idx="172">
                  <c:v>1.2471244094690801</c:v>
                </c:pt>
                <c:pt idx="173">
                  <c:v>1.2471244094690801</c:v>
                </c:pt>
                <c:pt idx="174">
                  <c:v>1.2471244094690801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9-43D8-94DA-653EF1FD1D0F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IBCA*/BSCZ*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1.2467731341519801</c:v>
                </c:pt>
                <c:pt idx="10">
                  <c:v>1.2467975193277301</c:v>
                </c:pt>
                <c:pt idx="11">
                  <c:v>1.2467328360468799</c:v>
                </c:pt>
                <c:pt idx="12">
                  <c:v>1.24671849633804</c:v>
                </c:pt>
                <c:pt idx="13">
                  <c:v>1.24670414580097</c:v>
                </c:pt>
                <c:pt idx="14">
                  <c:v>1.2467028077322799</c:v>
                </c:pt>
                <c:pt idx="15">
                  <c:v>1.2466411971867499</c:v>
                </c:pt>
                <c:pt idx="16">
                  <c:v>1.2466754836493601</c:v>
                </c:pt>
                <c:pt idx="17">
                  <c:v>1.2465770792073401</c:v>
                </c:pt>
                <c:pt idx="18">
                  <c:v>1.24656218215633</c:v>
                </c:pt>
                <c:pt idx="19">
                  <c:v>1.2466314498801301</c:v>
                </c:pt>
                <c:pt idx="20">
                  <c:v>1.24663683561692</c:v>
                </c:pt>
                <c:pt idx="21">
                  <c:v>1.2466944069519399</c:v>
                </c:pt>
                <c:pt idx="22">
                  <c:v>1.2467253566738901</c:v>
                </c:pt>
                <c:pt idx="23">
                  <c:v>1.24669790631874</c:v>
                </c:pt>
                <c:pt idx="24">
                  <c:v>1.24661054180585</c:v>
                </c:pt>
                <c:pt idx="25">
                  <c:v>1.2466427670076199</c:v>
                </c:pt>
                <c:pt idx="26">
                  <c:v>1.2463534906006499</c:v>
                </c:pt>
                <c:pt idx="27">
                  <c:v>1.2464223019532701</c:v>
                </c:pt>
                <c:pt idx="28">
                  <c:v>1.2463850104207901</c:v>
                </c:pt>
                <c:pt idx="29">
                  <c:v>1.24630072323542</c:v>
                </c:pt>
                <c:pt idx="30">
                  <c:v>1.24629358860882</c:v>
                </c:pt>
                <c:pt idx="31">
                  <c:v>1.2462033036620701</c:v>
                </c:pt>
                <c:pt idx="32">
                  <c:v>1.24611339462618</c:v>
                </c:pt>
                <c:pt idx="33">
                  <c:v>1.2461055437702899</c:v>
                </c:pt>
                <c:pt idx="34">
                  <c:v>1.2461982290498701</c:v>
                </c:pt>
                <c:pt idx="35">
                  <c:v>1.2462079069402301</c:v>
                </c:pt>
                <c:pt idx="36">
                  <c:v>1.2464311736020599</c:v>
                </c:pt>
                <c:pt idx="37">
                  <c:v>1.24645183662487</c:v>
                </c:pt>
                <c:pt idx="38">
                  <c:v>1.24646010238626</c:v>
                </c:pt>
                <c:pt idx="39">
                  <c:v>1.24650772361603</c:v>
                </c:pt>
                <c:pt idx="40">
                  <c:v>1.2465670337092101</c:v>
                </c:pt>
                <c:pt idx="41">
                  <c:v>1.246650320981</c:v>
                </c:pt>
                <c:pt idx="42">
                  <c:v>1.24658955015742</c:v>
                </c:pt>
                <c:pt idx="43">
                  <c:v>1.2466585030730499</c:v>
                </c:pt>
                <c:pt idx="44">
                  <c:v>1.2466637485479899</c:v>
                </c:pt>
                <c:pt idx="45">
                  <c:v>1.2466908889283901</c:v>
                </c:pt>
                <c:pt idx="46">
                  <c:v>1.24672818504058</c:v>
                </c:pt>
                <c:pt idx="47">
                  <c:v>1.24668043418686</c:v>
                </c:pt>
                <c:pt idx="48">
                  <c:v>1.2467018037081501</c:v>
                </c:pt>
                <c:pt idx="49">
                  <c:v>1.24654000107204</c:v>
                </c:pt>
                <c:pt idx="50">
                  <c:v>1.2463808053480301</c:v>
                </c:pt>
                <c:pt idx="51">
                  <c:v>1.2463145819038699</c:v>
                </c:pt>
                <c:pt idx="52">
                  <c:v>1.2464535550611</c:v>
                </c:pt>
                <c:pt idx="53">
                  <c:v>1.24647095309079</c:v>
                </c:pt>
                <c:pt idx="54">
                  <c:v>1.24631620288176</c:v>
                </c:pt>
                <c:pt idx="55">
                  <c:v>1.24639122179381</c:v>
                </c:pt>
                <c:pt idx="56">
                  <c:v>1.2463367730743899</c:v>
                </c:pt>
                <c:pt idx="57">
                  <c:v>1.2463659999635299</c:v>
                </c:pt>
                <c:pt idx="58">
                  <c:v>1.2464688188174999</c:v>
                </c:pt>
                <c:pt idx="59">
                  <c:v>1.2465223932656</c:v>
                </c:pt>
                <c:pt idx="60">
                  <c:v>1.24661203893748</c:v>
                </c:pt>
                <c:pt idx="61">
                  <c:v>1.2466164114285201</c:v>
                </c:pt>
                <c:pt idx="62">
                  <c:v>1.24654893861628</c:v>
                </c:pt>
                <c:pt idx="63">
                  <c:v>1.24647255025778</c:v>
                </c:pt>
                <c:pt idx="64">
                  <c:v>1.2465442115425001</c:v>
                </c:pt>
                <c:pt idx="65">
                  <c:v>1.24646035661368</c:v>
                </c:pt>
                <c:pt idx="66">
                  <c:v>1.24648413670715</c:v>
                </c:pt>
                <c:pt idx="67">
                  <c:v>1.24643731062017</c:v>
                </c:pt>
                <c:pt idx="68">
                  <c:v>1.24629539056289</c:v>
                </c:pt>
                <c:pt idx="69">
                  <c:v>1.2462755935940599</c:v>
                </c:pt>
                <c:pt idx="70">
                  <c:v>1.2462405491208901</c:v>
                </c:pt>
                <c:pt idx="71">
                  <c:v>1.2462915195415101</c:v>
                </c:pt>
                <c:pt idx="72">
                  <c:v>1.2462594288175599</c:v>
                </c:pt>
                <c:pt idx="73">
                  <c:v>1.24640858052701</c:v>
                </c:pt>
                <c:pt idx="74">
                  <c:v>1.2464601951529599</c:v>
                </c:pt>
                <c:pt idx="75">
                  <c:v>1.24651102706776</c:v>
                </c:pt>
                <c:pt idx="76">
                  <c:v>1.24651350018681</c:v>
                </c:pt>
                <c:pt idx="77">
                  <c:v>1.24649305755081</c:v>
                </c:pt>
                <c:pt idx="78">
                  <c:v>1.24654207340741</c:v>
                </c:pt>
                <c:pt idx="79">
                  <c:v>1.2466372841256901</c:v>
                </c:pt>
                <c:pt idx="80">
                  <c:v>1.24671969547803</c:v>
                </c:pt>
                <c:pt idx="81">
                  <c:v>1.2468399972759301</c:v>
                </c:pt>
                <c:pt idx="82">
                  <c:v>1.2469518687707899</c:v>
                </c:pt>
                <c:pt idx="83">
                  <c:v>1.2469783954803</c:v>
                </c:pt>
                <c:pt idx="84">
                  <c:v>1.2469223694365199</c:v>
                </c:pt>
                <c:pt idx="85">
                  <c:v>1.2468795754806301</c:v>
                </c:pt>
                <c:pt idx="86">
                  <c:v>1.24694371124568</c:v>
                </c:pt>
                <c:pt idx="87">
                  <c:v>1.2470324451349299</c:v>
                </c:pt>
                <c:pt idx="88">
                  <c:v>1.2470977724111201</c:v>
                </c:pt>
                <c:pt idx="89">
                  <c:v>1.2471982953054901</c:v>
                </c:pt>
                <c:pt idx="90">
                  <c:v>1.24738436061623</c:v>
                </c:pt>
                <c:pt idx="91">
                  <c:v>1.2474018209482001</c:v>
                </c:pt>
                <c:pt idx="92">
                  <c:v>1.24742325024673</c:v>
                </c:pt>
                <c:pt idx="93">
                  <c:v>1.24734835686737</c:v>
                </c:pt>
                <c:pt idx="94">
                  <c:v>1.2475492713427001</c:v>
                </c:pt>
                <c:pt idx="95">
                  <c:v>1.2475687186953599</c:v>
                </c:pt>
                <c:pt idx="96">
                  <c:v>1.2476023517221499</c:v>
                </c:pt>
                <c:pt idx="97">
                  <c:v>1.2475389831418</c:v>
                </c:pt>
                <c:pt idx="98">
                  <c:v>1.24752546137856</c:v>
                </c:pt>
                <c:pt idx="99">
                  <c:v>1.24748913038019</c:v>
                </c:pt>
                <c:pt idx="100">
                  <c:v>1.2474050111667201</c:v>
                </c:pt>
                <c:pt idx="101">
                  <c:v>1.24727407840622</c:v>
                </c:pt>
                <c:pt idx="102">
                  <c:v>1.2472333310852199</c:v>
                </c:pt>
                <c:pt idx="103">
                  <c:v>1.2472180204718499</c:v>
                </c:pt>
                <c:pt idx="104">
                  <c:v>1.24708128586721</c:v>
                </c:pt>
                <c:pt idx="105">
                  <c:v>1.2471009853698201</c:v>
                </c:pt>
                <c:pt idx="106">
                  <c:v>1.2469980862168799</c:v>
                </c:pt>
                <c:pt idx="107">
                  <c:v>1.2470149313873899</c:v>
                </c:pt>
                <c:pt idx="108">
                  <c:v>1.2470074266796201</c:v>
                </c:pt>
                <c:pt idx="109">
                  <c:v>1.24697509063428</c:v>
                </c:pt>
                <c:pt idx="110">
                  <c:v>1.24690841704883</c:v>
                </c:pt>
                <c:pt idx="111">
                  <c:v>1.2470202480344901</c:v>
                </c:pt>
                <c:pt idx="112">
                  <c:v>1.2470923354327601</c:v>
                </c:pt>
                <c:pt idx="113">
                  <c:v>1.2471047286343</c:v>
                </c:pt>
                <c:pt idx="114">
                  <c:v>1.24726060021192</c:v>
                </c:pt>
                <c:pt idx="115">
                  <c:v>1.2472369564777901</c:v>
                </c:pt>
                <c:pt idx="116">
                  <c:v>1.24729305270539</c:v>
                </c:pt>
                <c:pt idx="117">
                  <c:v>1.24736146312679</c:v>
                </c:pt>
                <c:pt idx="118">
                  <c:v>1.2473108835315501</c:v>
                </c:pt>
                <c:pt idx="119">
                  <c:v>1.24741581907198</c:v>
                </c:pt>
                <c:pt idx="120">
                  <c:v>1.2474118639265599</c:v>
                </c:pt>
                <c:pt idx="121">
                  <c:v>1.2475033611478601</c:v>
                </c:pt>
                <c:pt idx="122">
                  <c:v>1.24752245527772</c:v>
                </c:pt>
                <c:pt idx="123">
                  <c:v>1.2475262865877199</c:v>
                </c:pt>
                <c:pt idx="124">
                  <c:v>1.24747138373472</c:v>
                </c:pt>
                <c:pt idx="125">
                  <c:v>1.2475954394083599</c:v>
                </c:pt>
                <c:pt idx="126">
                  <c:v>1.24764049366119</c:v>
                </c:pt>
                <c:pt idx="127">
                  <c:v>1.24774520214961</c:v>
                </c:pt>
                <c:pt idx="128">
                  <c:v>1.2479562343675501</c:v>
                </c:pt>
                <c:pt idx="129">
                  <c:v>1.2479157409452999</c:v>
                </c:pt>
                <c:pt idx="130">
                  <c:v>1.2480415291690401</c:v>
                </c:pt>
                <c:pt idx="131">
                  <c:v>1.2479043354335799</c:v>
                </c:pt>
                <c:pt idx="132">
                  <c:v>1.2478762108492001</c:v>
                </c:pt>
                <c:pt idx="133">
                  <c:v>1.2480306849848599</c:v>
                </c:pt>
                <c:pt idx="134">
                  <c:v>1.2480053803247999</c:v>
                </c:pt>
                <c:pt idx="135">
                  <c:v>1.24800883376547</c:v>
                </c:pt>
                <c:pt idx="136">
                  <c:v>1.24802469095622</c:v>
                </c:pt>
                <c:pt idx="137">
                  <c:v>1.2479927963250399</c:v>
                </c:pt>
                <c:pt idx="138">
                  <c:v>1.24794812960909</c:v>
                </c:pt>
                <c:pt idx="139">
                  <c:v>1.2479271632837301</c:v>
                </c:pt>
                <c:pt idx="140">
                  <c:v>1.2479442375511201</c:v>
                </c:pt>
                <c:pt idx="141">
                  <c:v>1.24802119246335</c:v>
                </c:pt>
                <c:pt idx="142">
                  <c:v>1.2480478229981899</c:v>
                </c:pt>
                <c:pt idx="143">
                  <c:v>1.2479430485477701</c:v>
                </c:pt>
                <c:pt idx="144">
                  <c:v>1.24806754115056</c:v>
                </c:pt>
                <c:pt idx="145">
                  <c:v>1.2479975666574401</c:v>
                </c:pt>
                <c:pt idx="146">
                  <c:v>1.24802586197004</c:v>
                </c:pt>
                <c:pt idx="147">
                  <c:v>1.2479942196492999</c:v>
                </c:pt>
                <c:pt idx="148">
                  <c:v>1.2479384075242199</c:v>
                </c:pt>
                <c:pt idx="149">
                  <c:v>1.24803995659663</c:v>
                </c:pt>
                <c:pt idx="150">
                  <c:v>1.2479950308154899</c:v>
                </c:pt>
                <c:pt idx="151">
                  <c:v>1.2480222366398801</c:v>
                </c:pt>
                <c:pt idx="152">
                  <c:v>1.24799038660829</c:v>
                </c:pt>
                <c:pt idx="153">
                  <c:v>1.2480794651073399</c:v>
                </c:pt>
                <c:pt idx="154">
                  <c:v>1.2478778606022201</c:v>
                </c:pt>
                <c:pt idx="155">
                  <c:v>1.24788937472101</c:v>
                </c:pt>
                <c:pt idx="156">
                  <c:v>1.24780331954646</c:v>
                </c:pt>
                <c:pt idx="157">
                  <c:v>1.2478148867380301</c:v>
                </c:pt>
                <c:pt idx="158">
                  <c:v>1.24780202401979</c:v>
                </c:pt>
                <c:pt idx="159">
                  <c:v>1.2477405900688801</c:v>
                </c:pt>
                <c:pt idx="160">
                  <c:v>1.2476929905454299</c:v>
                </c:pt>
                <c:pt idx="161">
                  <c:v>1.2475985897677699</c:v>
                </c:pt>
                <c:pt idx="162">
                  <c:v>1.24763634592739</c:v>
                </c:pt>
                <c:pt idx="163">
                  <c:v>1.24762483891243</c:v>
                </c:pt>
                <c:pt idx="164">
                  <c:v>1.2476132647171501</c:v>
                </c:pt>
                <c:pt idx="165">
                  <c:v>1.2476506207915199</c:v>
                </c:pt>
                <c:pt idx="166">
                  <c:v>1.2477363223870599</c:v>
                </c:pt>
                <c:pt idx="167">
                  <c:v>1.2476635903109901</c:v>
                </c:pt>
                <c:pt idx="168">
                  <c:v>1.24765261534361</c:v>
                </c:pt>
                <c:pt idx="169">
                  <c:v>1.24756902344374</c:v>
                </c:pt>
                <c:pt idx="170">
                  <c:v>1.24758125263039</c:v>
                </c:pt>
                <c:pt idx="171">
                  <c:v>1.2475790875046899</c:v>
                </c:pt>
                <c:pt idx="172">
                  <c:v>1.24760021259512</c:v>
                </c:pt>
                <c:pt idx="173">
                  <c:v>1.24743821087045</c:v>
                </c:pt>
                <c:pt idx="174">
                  <c:v>1.2475323821919799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9-43D8-94DA-653EF1FD1D0F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IBCA*/BSCZ*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1.24670229201606</c:v>
                </c:pt>
                <c:pt idx="20">
                  <c:v>1.24671717747233</c:v>
                </c:pt>
                <c:pt idx="21">
                  <c:v>1.2467136214994099</c:v>
                </c:pt>
                <c:pt idx="22">
                  <c:v>1.2467219265059599</c:v>
                </c:pt>
                <c:pt idx="23">
                  <c:v>1.2467010260598499</c:v>
                </c:pt>
                <c:pt idx="24">
                  <c:v>1.2466566747690599</c:v>
                </c:pt>
                <c:pt idx="25">
                  <c:v>1.2466419820971799</c:v>
                </c:pt>
                <c:pt idx="26">
                  <c:v>1.246514487125</c:v>
                </c:pt>
                <c:pt idx="27">
                  <c:v>1.2464996905803101</c:v>
                </c:pt>
                <c:pt idx="28">
                  <c:v>1.24647359628856</c:v>
                </c:pt>
                <c:pt idx="29">
                  <c:v>1.2464660865577799</c:v>
                </c:pt>
                <c:pt idx="30">
                  <c:v>1.2464652121128701</c:v>
                </c:pt>
                <c:pt idx="31">
                  <c:v>1.2464488553069999</c:v>
                </c:pt>
                <c:pt idx="32">
                  <c:v>1.2464193756500299</c:v>
                </c:pt>
                <c:pt idx="33">
                  <c:v>1.2464017250445101</c:v>
                </c:pt>
                <c:pt idx="34">
                  <c:v>1.2464043854278599</c:v>
                </c:pt>
                <c:pt idx="35">
                  <c:v>1.24642533697393</c:v>
                </c:pt>
                <c:pt idx="36">
                  <c:v>1.2463923321013499</c:v>
                </c:pt>
                <c:pt idx="37">
                  <c:v>1.2464370692890701</c:v>
                </c:pt>
                <c:pt idx="38">
                  <c:v>1.2464225564035301</c:v>
                </c:pt>
                <c:pt idx="39">
                  <c:v>1.24640422342573</c:v>
                </c:pt>
                <c:pt idx="40">
                  <c:v>1.24643031115902</c:v>
                </c:pt>
                <c:pt idx="41">
                  <c:v>1.2464268123215301</c:v>
                </c:pt>
                <c:pt idx="42">
                  <c:v>1.2463514723918001</c:v>
                </c:pt>
                <c:pt idx="43">
                  <c:v>1.24638202342167</c:v>
                </c:pt>
                <c:pt idx="44">
                  <c:v>1.24643098879893</c:v>
                </c:pt>
                <c:pt idx="45">
                  <c:v>1.2464493979343101</c:v>
                </c:pt>
                <c:pt idx="46">
                  <c:v>1.24657967932132</c:v>
                </c:pt>
                <c:pt idx="47">
                  <c:v>1.2465661354058699</c:v>
                </c:pt>
                <c:pt idx="48">
                  <c:v>1.2465809530472101</c:v>
                </c:pt>
                <c:pt idx="49">
                  <c:v>1.24652386234404</c:v>
                </c:pt>
                <c:pt idx="50">
                  <c:v>1.2464739195286201</c:v>
                </c:pt>
                <c:pt idx="51">
                  <c:v>1.24648245144243</c:v>
                </c:pt>
                <c:pt idx="52">
                  <c:v>1.2465215526092599</c:v>
                </c:pt>
                <c:pt idx="53">
                  <c:v>1.2465647280819201</c:v>
                </c:pt>
                <c:pt idx="54">
                  <c:v>1.24648997571487</c:v>
                </c:pt>
                <c:pt idx="55">
                  <c:v>1.2465410553611</c:v>
                </c:pt>
                <c:pt idx="56">
                  <c:v>1.2465324790574801</c:v>
                </c:pt>
                <c:pt idx="57">
                  <c:v>1.2465232170752001</c:v>
                </c:pt>
                <c:pt idx="58">
                  <c:v>1.24658531126283</c:v>
                </c:pt>
                <c:pt idx="59">
                  <c:v>1.24653119716882</c:v>
                </c:pt>
                <c:pt idx="60">
                  <c:v>1.2464964221427499</c:v>
                </c:pt>
                <c:pt idx="61">
                  <c:v>1.2464654966661901</c:v>
                </c:pt>
                <c:pt idx="62">
                  <c:v>1.24650124683869</c:v>
                </c:pt>
                <c:pt idx="63">
                  <c:v>1.24647175167429</c:v>
                </c:pt>
                <c:pt idx="64">
                  <c:v>1.24643020721213</c:v>
                </c:pt>
                <c:pt idx="65">
                  <c:v>1.24642578920375</c:v>
                </c:pt>
                <c:pt idx="66">
                  <c:v>1.24641045489077</c:v>
                </c:pt>
                <c:pt idx="67">
                  <c:v>1.24640165529185</c:v>
                </c:pt>
                <c:pt idx="68">
                  <c:v>1.2463821046901999</c:v>
                </c:pt>
                <c:pt idx="69">
                  <c:v>1.2463989934298301</c:v>
                </c:pt>
                <c:pt idx="70">
                  <c:v>1.2464262940291899</c:v>
                </c:pt>
                <c:pt idx="71">
                  <c:v>1.24645396548502</c:v>
                </c:pt>
                <c:pt idx="72">
                  <c:v>1.24640418371692</c:v>
                </c:pt>
                <c:pt idx="73">
                  <c:v>1.2464405653924</c:v>
                </c:pt>
                <c:pt idx="74">
                  <c:v>1.24650220334773</c:v>
                </c:pt>
                <c:pt idx="75">
                  <c:v>1.2464856918407199</c:v>
                </c:pt>
                <c:pt idx="76">
                  <c:v>1.2464988184469801</c:v>
                </c:pt>
                <c:pt idx="77">
                  <c:v>1.2464651840854899</c:v>
                </c:pt>
                <c:pt idx="78">
                  <c:v>1.2464187319851501</c:v>
                </c:pt>
                <c:pt idx="79">
                  <c:v>1.24645643885987</c:v>
                </c:pt>
                <c:pt idx="80">
                  <c:v>1.2464801222994599</c:v>
                </c:pt>
                <c:pt idx="81">
                  <c:v>1.24656575840872</c:v>
                </c:pt>
                <c:pt idx="82">
                  <c:v>1.2466056487941799</c:v>
                </c:pt>
                <c:pt idx="83">
                  <c:v>1.24669348800366</c:v>
                </c:pt>
                <c:pt idx="84">
                  <c:v>1.24669128229474</c:v>
                </c:pt>
                <c:pt idx="85">
                  <c:v>1.2466953012741899</c:v>
                </c:pt>
                <c:pt idx="86">
                  <c:v>1.2467286057162501</c:v>
                </c:pt>
                <c:pt idx="87">
                  <c:v>1.2467627513428701</c:v>
                </c:pt>
                <c:pt idx="88">
                  <c:v>1.24681992290926</c:v>
                </c:pt>
                <c:pt idx="89">
                  <c:v>1.2469177897155901</c:v>
                </c:pt>
                <c:pt idx="90">
                  <c:v>1.24705202804713</c:v>
                </c:pt>
                <c:pt idx="91">
                  <c:v>1.2471209091120601</c:v>
                </c:pt>
                <c:pt idx="92">
                  <c:v>1.24718755950876</c:v>
                </c:pt>
                <c:pt idx="93">
                  <c:v>1.2471633761738401</c:v>
                </c:pt>
                <c:pt idx="94">
                  <c:v>1.2472358203896099</c:v>
                </c:pt>
                <c:pt idx="95">
                  <c:v>1.2472241470879999</c:v>
                </c:pt>
                <c:pt idx="96">
                  <c:v>1.24727303148391</c:v>
                </c:pt>
                <c:pt idx="97">
                  <c:v>1.24728571413836</c:v>
                </c:pt>
                <c:pt idx="98">
                  <c:v>1.2473116168948399</c:v>
                </c:pt>
                <c:pt idx="99">
                  <c:v>1.24734371284284</c:v>
                </c:pt>
                <c:pt idx="100">
                  <c:v>1.2473946858914799</c:v>
                </c:pt>
                <c:pt idx="101">
                  <c:v>1.2473379496772099</c:v>
                </c:pt>
                <c:pt idx="102">
                  <c:v>1.2473282906659799</c:v>
                </c:pt>
                <c:pt idx="103">
                  <c:v>1.2472831886696101</c:v>
                </c:pt>
                <c:pt idx="104">
                  <c:v>1.24731527860495</c:v>
                </c:pt>
                <c:pt idx="105">
                  <c:v>1.24733485203259</c:v>
                </c:pt>
                <c:pt idx="106">
                  <c:v>1.2473002189695099</c:v>
                </c:pt>
                <c:pt idx="107">
                  <c:v>1.2472769572645901</c:v>
                </c:pt>
                <c:pt idx="108">
                  <c:v>1.2472664440290899</c:v>
                </c:pt>
                <c:pt idx="109">
                  <c:v>1.2472321105072299</c:v>
                </c:pt>
                <c:pt idx="110">
                  <c:v>1.24715671410777</c:v>
                </c:pt>
                <c:pt idx="111">
                  <c:v>1.2471471632203499</c:v>
                </c:pt>
                <c:pt idx="112">
                  <c:v>1.2471628332589899</c:v>
                </c:pt>
                <c:pt idx="113">
                  <c:v>1.2471613745530801</c:v>
                </c:pt>
                <c:pt idx="114">
                  <c:v>1.2471709430395601</c:v>
                </c:pt>
                <c:pt idx="115">
                  <c:v>1.2471689709238001</c:v>
                </c:pt>
                <c:pt idx="116">
                  <c:v>1.24714556946114</c:v>
                </c:pt>
                <c:pt idx="117">
                  <c:v>1.24718819725709</c:v>
                </c:pt>
                <c:pt idx="118">
                  <c:v>1.2471591551055801</c:v>
                </c:pt>
                <c:pt idx="119">
                  <c:v>1.2471954548531301</c:v>
                </c:pt>
                <c:pt idx="120">
                  <c:v>1.2471601404877</c:v>
                </c:pt>
                <c:pt idx="121">
                  <c:v>1.2472618045911801</c:v>
                </c:pt>
                <c:pt idx="122">
                  <c:v>1.24730739535524</c:v>
                </c:pt>
                <c:pt idx="123">
                  <c:v>1.2473155076110101</c:v>
                </c:pt>
                <c:pt idx="124">
                  <c:v>1.24736599197332</c:v>
                </c:pt>
                <c:pt idx="125">
                  <c:v>1.24741619794307</c:v>
                </c:pt>
                <c:pt idx="126">
                  <c:v>1.24746677318329</c:v>
                </c:pt>
                <c:pt idx="127">
                  <c:v>1.2475533326382</c:v>
                </c:pt>
                <c:pt idx="128">
                  <c:v>1.24763355894955</c:v>
                </c:pt>
                <c:pt idx="129">
                  <c:v>1.2476657800086399</c:v>
                </c:pt>
                <c:pt idx="130">
                  <c:v>1.2477266965478</c:v>
                </c:pt>
                <c:pt idx="131">
                  <c:v>1.2477038482907199</c:v>
                </c:pt>
                <c:pt idx="132">
                  <c:v>1.24769933306346</c:v>
                </c:pt>
                <c:pt idx="133">
                  <c:v>1.2477784857862899</c:v>
                </c:pt>
                <c:pt idx="134">
                  <c:v>1.2477383820297601</c:v>
                </c:pt>
                <c:pt idx="135">
                  <c:v>1.2478021365869201</c:v>
                </c:pt>
                <c:pt idx="136">
                  <c:v>1.2478325923087099</c:v>
                </c:pt>
                <c:pt idx="137">
                  <c:v>1.24786899923733</c:v>
                </c:pt>
                <c:pt idx="138">
                  <c:v>1.2479521819883199</c:v>
                </c:pt>
                <c:pt idx="139">
                  <c:v>1.2479214521145101</c:v>
                </c:pt>
                <c:pt idx="140">
                  <c:v>1.24799288336008</c:v>
                </c:pt>
                <c:pt idx="141">
                  <c:v>1.2479627639484701</c:v>
                </c:pt>
                <c:pt idx="142">
                  <c:v>1.24796201692369</c:v>
                </c:pt>
                <c:pt idx="143">
                  <c:v>1.2479868667663201</c:v>
                </c:pt>
                <c:pt idx="144">
                  <c:v>1.2480364607376799</c:v>
                </c:pt>
                <c:pt idx="145">
                  <c:v>1.2480032002114601</c:v>
                </c:pt>
                <c:pt idx="146">
                  <c:v>1.2480252764631301</c:v>
                </c:pt>
                <c:pt idx="147">
                  <c:v>1.24799350798717</c:v>
                </c:pt>
                <c:pt idx="148">
                  <c:v>1.24794326856666</c:v>
                </c:pt>
                <c:pt idx="149">
                  <c:v>1.2479835599401801</c:v>
                </c:pt>
                <c:pt idx="150">
                  <c:v>1.24796963418331</c:v>
                </c:pt>
                <c:pt idx="151">
                  <c:v>1.2480217145516099</c:v>
                </c:pt>
                <c:pt idx="152">
                  <c:v>1.2480191048032401</c:v>
                </c:pt>
                <c:pt idx="153">
                  <c:v>1.2480112568275601</c:v>
                </c:pt>
                <c:pt idx="154">
                  <c:v>1.2479727008763899</c:v>
                </c:pt>
                <c:pt idx="155">
                  <c:v>1.2479434706892301</c:v>
                </c:pt>
                <c:pt idx="156">
                  <c:v>1.2479145907582501</c:v>
                </c:pt>
                <c:pt idx="157">
                  <c:v>1.2479045531936599</c:v>
                </c:pt>
                <c:pt idx="158">
                  <c:v>1.2478702157720101</c:v>
                </c:pt>
                <c:pt idx="159">
                  <c:v>1.2478902733327599</c:v>
                </c:pt>
                <c:pt idx="160">
                  <c:v>1.24784401068046</c:v>
                </c:pt>
                <c:pt idx="161">
                  <c:v>1.2478104132038199</c:v>
                </c:pt>
                <c:pt idx="162">
                  <c:v>1.2478133662678399</c:v>
                </c:pt>
                <c:pt idx="163">
                  <c:v>1.24785215200989</c:v>
                </c:pt>
                <c:pt idx="164">
                  <c:v>1.2477455626596801</c:v>
                </c:pt>
                <c:pt idx="165">
                  <c:v>1.24776999775627</c:v>
                </c:pt>
                <c:pt idx="166">
                  <c:v>1.24776982096676</c:v>
                </c:pt>
                <c:pt idx="167">
                  <c:v>1.2477392385245101</c:v>
                </c:pt>
                <c:pt idx="168">
                  <c:v>1.2477273196817</c:v>
                </c:pt>
                <c:pt idx="169">
                  <c:v>1.24765480675631</c:v>
                </c:pt>
                <c:pt idx="170">
                  <c:v>1.2476371215879101</c:v>
                </c:pt>
                <c:pt idx="171">
                  <c:v>1.2475888386362299</c:v>
                </c:pt>
                <c:pt idx="172">
                  <c:v>1.24761827926125</c:v>
                </c:pt>
                <c:pt idx="173">
                  <c:v>1.24753152489144</c:v>
                </c:pt>
                <c:pt idx="174">
                  <c:v>1.24757282345456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9-43D8-94DA-653EF1FD1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BSCZ x avg / IBCA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8.4940778943325297E-4</c:v>
                </c:pt>
                <c:pt idx="2">
                  <c:v>8.4940778943325297E-4</c:v>
                </c:pt>
                <c:pt idx="3">
                  <c:v>1.03911369786485E-3</c:v>
                </c:pt>
                <c:pt idx="4">
                  <c:v>3.7370446606917E-4</c:v>
                </c:pt>
                <c:pt idx="5">
                  <c:v>8.4940778943325297E-4</c:v>
                </c:pt>
                <c:pt idx="6">
                  <c:v>6.5937349765425503E-4</c:v>
                </c:pt>
                <c:pt idx="7">
                  <c:v>2.7017863498772699E-4</c:v>
                </c:pt>
                <c:pt idx="8">
                  <c:v>6.4978942078687898E-4</c:v>
                </c:pt>
                <c:pt idx="9">
                  <c:v>7.4945015147079199E-4</c:v>
                </c:pt>
                <c:pt idx="10">
                  <c:v>9.4966366396567596E-4</c:v>
                </c:pt>
                <c:pt idx="11">
                  <c:v>-1.9382906633723699E-3</c:v>
                </c:pt>
                <c:pt idx="12">
                  <c:v>-2.3231607884697E-3</c:v>
                </c:pt>
                <c:pt idx="13">
                  <c:v>-2.1301856399154901E-3</c:v>
                </c:pt>
                <c:pt idx="14">
                  <c:v>-2.9000086186572798E-3</c:v>
                </c:pt>
                <c:pt idx="15">
                  <c:v>-1.93754463675668E-3</c:v>
                </c:pt>
                <c:pt idx="16">
                  <c:v>-2.9000086186572798E-3</c:v>
                </c:pt>
                <c:pt idx="17">
                  <c:v>-2.2266313914807798E-3</c:v>
                </c:pt>
                <c:pt idx="18">
                  <c:v>-2.5151712077119302E-3</c:v>
                </c:pt>
                <c:pt idx="19">
                  <c:v>-3.0935768512291299E-3</c:v>
                </c:pt>
                <c:pt idx="20">
                  <c:v>1.4427260337007599E-3</c:v>
                </c:pt>
                <c:pt idx="21">
                  <c:v>1.4427260337007599E-3</c:v>
                </c:pt>
                <c:pt idx="22">
                  <c:v>1.2522341195063201E-3</c:v>
                </c:pt>
                <c:pt idx="23">
                  <c:v>1.9102785313033701E-3</c:v>
                </c:pt>
                <c:pt idx="24">
                  <c:v>1.6195271959975901E-3</c:v>
                </c:pt>
                <c:pt idx="25">
                  <c:v>1.6195271959975901E-3</c:v>
                </c:pt>
                <c:pt idx="26">
                  <c:v>3.2457664727414399E-3</c:v>
                </c:pt>
                <c:pt idx="27">
                  <c:v>1.03911369786485E-3</c:v>
                </c:pt>
                <c:pt idx="28">
                  <c:v>1.59967888852463E-3</c:v>
                </c:pt>
                <c:pt idx="29">
                  <c:v>1.3989090759049499E-3</c:v>
                </c:pt>
                <c:pt idx="30">
                  <c:v>1.4927810942779801E-3</c:v>
                </c:pt>
                <c:pt idx="31">
                  <c:v>2.1628510534711198E-3</c:v>
                </c:pt>
                <c:pt idx="32">
                  <c:v>1.9681792491785602E-3</c:v>
                </c:pt>
                <c:pt idx="33">
                  <c:v>1.9681792491785602E-3</c:v>
                </c:pt>
                <c:pt idx="34">
                  <c:v>-2.3176530583705699E-3</c:v>
                </c:pt>
                <c:pt idx="35">
                  <c:v>-1.6506732206820101E-3</c:v>
                </c:pt>
                <c:pt idx="36">
                  <c:v>-1.7459702747658699E-3</c:v>
                </c:pt>
                <c:pt idx="37">
                  <c:v>-2.3176530583705699E-3</c:v>
                </c:pt>
                <c:pt idx="38">
                  <c:v>-1.65103610192284E-3</c:v>
                </c:pt>
                <c:pt idx="39">
                  <c:v>1.7005106592184801E-3</c:v>
                </c:pt>
                <c:pt idx="40">
                  <c:v>1.7005106592184801E-3</c:v>
                </c:pt>
                <c:pt idx="41">
                  <c:v>2.1781796437011398E-3</c:v>
                </c:pt>
                <c:pt idx="42">
                  <c:v>3.1519394865015499E-3</c:v>
                </c:pt>
                <c:pt idx="43">
                  <c:v>2.1068479782450902E-3</c:v>
                </c:pt>
                <c:pt idx="44">
                  <c:v>1.5119473878867399E-3</c:v>
                </c:pt>
                <c:pt idx="45">
                  <c:v>2.012220148501E-3</c:v>
                </c:pt>
                <c:pt idx="46">
                  <c:v>1.8440395445602699E-3</c:v>
                </c:pt>
                <c:pt idx="47">
                  <c:v>1.9614929172667101E-3</c:v>
                </c:pt>
                <c:pt idx="48">
                  <c:v>2.07255015364712E-3</c:v>
                </c:pt>
                <c:pt idx="49">
                  <c:v>3.0295810671073001E-3</c:v>
                </c:pt>
                <c:pt idx="50">
                  <c:v>3.0012753082988299E-3</c:v>
                </c:pt>
                <c:pt idx="51">
                  <c:v>2.7344267178304599E-3</c:v>
                </c:pt>
                <c:pt idx="52">
                  <c:v>2.0421508589084998E-3</c:v>
                </c:pt>
                <c:pt idx="53">
                  <c:v>1.9913910164973902E-3</c:v>
                </c:pt>
                <c:pt idx="54">
                  <c:v>-9.6076596886186696E-4</c:v>
                </c:pt>
                <c:pt idx="55">
                  <c:v>-2.3316654312960901E-3</c:v>
                </c:pt>
                <c:pt idx="56">
                  <c:v>-1.4506478536697601E-3</c:v>
                </c:pt>
                <c:pt idx="57">
                  <c:v>-2.0383740917792898E-3</c:v>
                </c:pt>
                <c:pt idx="58">
                  <c:v>-2.53246831431508E-3</c:v>
                </c:pt>
                <c:pt idx="59">
                  <c:v>-1.15450225828121E-3</c:v>
                </c:pt>
                <c:pt idx="60">
                  <c:v>-1.45140960317997E-3</c:v>
                </c:pt>
                <c:pt idx="61">
                  <c:v>3.0390899974193099E-3</c:v>
                </c:pt>
                <c:pt idx="62">
                  <c:v>2.9249649966190099E-3</c:v>
                </c:pt>
                <c:pt idx="63">
                  <c:v>2.93425563988884E-3</c:v>
                </c:pt>
                <c:pt idx="64">
                  <c:v>2.53502543230968E-3</c:v>
                </c:pt>
                <c:pt idx="65">
                  <c:v>2.42304961896841E-3</c:v>
                </c:pt>
                <c:pt idx="66">
                  <c:v>2.42304961896841E-3</c:v>
                </c:pt>
                <c:pt idx="67">
                  <c:v>2.4313316382902801E-3</c:v>
                </c:pt>
                <c:pt idx="68">
                  <c:v>2.7078528899396001E-3</c:v>
                </c:pt>
                <c:pt idx="69">
                  <c:v>3.0769306729307999E-3</c:v>
                </c:pt>
                <c:pt idx="70">
                  <c:v>2.8881611203403199E-3</c:v>
                </c:pt>
                <c:pt idx="71">
                  <c:v>2.6130011818910098E-3</c:v>
                </c:pt>
                <c:pt idx="72">
                  <c:v>3.1711926560552299E-3</c:v>
                </c:pt>
                <c:pt idx="73">
                  <c:v>-2.3240911512785898E-3</c:v>
                </c:pt>
                <c:pt idx="74">
                  <c:v>-1.9382906633723699E-3</c:v>
                </c:pt>
                <c:pt idx="75">
                  <c:v>-2.0349412695359198E-3</c:v>
                </c:pt>
                <c:pt idx="76">
                  <c:v>-1.64734392873914E-3</c:v>
                </c:pt>
                <c:pt idx="77">
                  <c:v>-1.45367713317076E-3</c:v>
                </c:pt>
                <c:pt idx="78">
                  <c:v>-1.7441154662117401E-3</c:v>
                </c:pt>
                <c:pt idx="79">
                  <c:v>-1.7441154662117401E-3</c:v>
                </c:pt>
                <c:pt idx="80">
                  <c:v>-1.84134916748918E-3</c:v>
                </c:pt>
                <c:pt idx="81">
                  <c:v>-2.4265437613861999E-3</c:v>
                </c:pt>
                <c:pt idx="82">
                  <c:v>2.25661734403737E-3</c:v>
                </c:pt>
                <c:pt idx="83">
                  <c:v>1.48774428217705E-3</c:v>
                </c:pt>
                <c:pt idx="84">
                  <c:v>2.5521165278492401E-3</c:v>
                </c:pt>
                <c:pt idx="85">
                  <c:v>2.33605040812056E-3</c:v>
                </c:pt>
                <c:pt idx="86">
                  <c:v>1.86561049643605E-3</c:v>
                </c:pt>
                <c:pt idx="87">
                  <c:v>1.8512019137741499E-3</c:v>
                </c:pt>
                <c:pt idx="88">
                  <c:v>1.76260934299821E-3</c:v>
                </c:pt>
                <c:pt idx="89">
                  <c:v>1.48123768669001E-3</c:v>
                </c:pt>
                <c:pt idx="90">
                  <c:v>6.9845878174907801E-4</c:v>
                </c:pt>
                <c:pt idx="91">
                  <c:v>1.48123768669001E-3</c:v>
                </c:pt>
                <c:pt idx="92">
                  <c:v>2.09566379185027E-3</c:v>
                </c:pt>
                <c:pt idx="93">
                  <c:v>-2.1376015767067299E-3</c:v>
                </c:pt>
                <c:pt idx="94">
                  <c:v>-3.3305527189569002E-3</c:v>
                </c:pt>
                <c:pt idx="95">
                  <c:v>-2.0383740917792898E-3</c:v>
                </c:pt>
                <c:pt idx="96">
                  <c:v>-2.6284409043062498E-3</c:v>
                </c:pt>
                <c:pt idx="97">
                  <c:v>-1.84134916748918E-3</c:v>
                </c:pt>
                <c:pt idx="98">
                  <c:v>-2.3307056734621599E-3</c:v>
                </c:pt>
                <c:pt idx="99">
                  <c:v>-2.4276875014963102E-3</c:v>
                </c:pt>
                <c:pt idx="100">
                  <c:v>-2.81648332569528E-3</c:v>
                </c:pt>
                <c:pt idx="101">
                  <c:v>-1.6465882359164099E-3</c:v>
                </c:pt>
                <c:pt idx="102">
                  <c:v>2.2646298144939699E-3</c:v>
                </c:pt>
                <c:pt idx="103">
                  <c:v>2.06490579957572E-3</c:v>
                </c:pt>
                <c:pt idx="104">
                  <c:v>1.8801319662383601E-3</c:v>
                </c:pt>
                <c:pt idx="105">
                  <c:v>1.8728570376905799E-3</c:v>
                </c:pt>
                <c:pt idx="106">
                  <c:v>2.2888563301086502E-3</c:v>
                </c:pt>
                <c:pt idx="107">
                  <c:v>2.09566379185027E-3</c:v>
                </c:pt>
                <c:pt idx="108">
                  <c:v>1.79091320716605E-3</c:v>
                </c:pt>
                <c:pt idx="109">
                  <c:v>1.89476765505781E-3</c:v>
                </c:pt>
                <c:pt idx="110">
                  <c:v>1.76964387446749E-3</c:v>
                </c:pt>
                <c:pt idx="111">
                  <c:v>1.48123768669001E-3</c:v>
                </c:pt>
                <c:pt idx="112">
                  <c:v>1.6735929399553601E-3</c:v>
                </c:pt>
                <c:pt idx="113">
                  <c:v>1.9614929172667101E-3</c:v>
                </c:pt>
                <c:pt idx="114">
                  <c:v>6.0663247115091805E-4</c:v>
                </c:pt>
                <c:pt idx="115">
                  <c:v>2.06490579957572E-3</c:v>
                </c:pt>
                <c:pt idx="116">
                  <c:v>-2.4299884467247198E-3</c:v>
                </c:pt>
                <c:pt idx="117">
                  <c:v>-2.72374542063568E-3</c:v>
                </c:pt>
                <c:pt idx="118">
                  <c:v>-2.03645208489657E-3</c:v>
                </c:pt>
                <c:pt idx="119">
                  <c:v>-3.20627089640721E-3</c:v>
                </c:pt>
                <c:pt idx="120">
                  <c:v>-2.4254044746595598E-3</c:v>
                </c:pt>
                <c:pt idx="121">
                  <c:v>-3.49448320468857E-3</c:v>
                </c:pt>
                <c:pt idx="122">
                  <c:v>-2.7202983915150698E-3</c:v>
                </c:pt>
                <c:pt idx="123">
                  <c:v>1.7837956441657101E-3</c:v>
                </c:pt>
                <c:pt idx="124">
                  <c:v>8.9677106463527997E-4</c:v>
                </c:pt>
                <c:pt idx="125">
                  <c:v>8.9677106463527997E-4</c:v>
                </c:pt>
                <c:pt idx="126">
                  <c:v>1.30702021785192E-3</c:v>
                </c:pt>
                <c:pt idx="127">
                  <c:v>5.2364996400889696E-4</c:v>
                </c:pt>
                <c:pt idx="128">
                  <c:v>3.2421915594386198E-4</c:v>
                </c:pt>
                <c:pt idx="129">
                  <c:v>1.21600318198122E-3</c:v>
                </c:pt>
                <c:pt idx="130">
                  <c:v>6.3573904487262305E-4</c:v>
                </c:pt>
                <c:pt idx="131">
                  <c:v>1.7152639473580499E-3</c:v>
                </c:pt>
                <c:pt idx="132">
                  <c:v>1.60438399813244E-3</c:v>
                </c:pt>
                <c:pt idx="133">
                  <c:v>5.2364996400889696E-4</c:v>
                </c:pt>
                <c:pt idx="134">
                  <c:v>1.1128627299422801E-3</c:v>
                </c:pt>
                <c:pt idx="135">
                  <c:v>-3.62370432791946E-3</c:v>
                </c:pt>
                <c:pt idx="136">
                  <c:v>-3.3305527189569002E-3</c:v>
                </c:pt>
                <c:pt idx="137">
                  <c:v>-3.7310508586760999E-3</c:v>
                </c:pt>
                <c:pt idx="138">
                  <c:v>-3.8393518301623498E-3</c:v>
                </c:pt>
                <c:pt idx="139">
                  <c:v>-3.1385603457545698E-3</c:v>
                </c:pt>
                <c:pt idx="140">
                  <c:v>-4.0323668749907603E-3</c:v>
                </c:pt>
                <c:pt idx="141">
                  <c:v>-3.4305429862597002E-3</c:v>
                </c:pt>
                <c:pt idx="142">
                  <c:v>-3.1385603457545698E-3</c:v>
                </c:pt>
                <c:pt idx="143">
                  <c:v>-3.1359766450305701E-3</c:v>
                </c:pt>
                <c:pt idx="144">
                  <c:v>-4.4353843445358899E-3</c:v>
                </c:pt>
                <c:pt idx="145">
                  <c:v>1.0498347416658901E-3</c:v>
                </c:pt>
                <c:pt idx="146">
                  <c:v>5.3771618936063702E-4</c:v>
                </c:pt>
                <c:pt idx="147">
                  <c:v>6.3573904487262305E-4</c:v>
                </c:pt>
                <c:pt idx="148">
                  <c:v>7.4391626764334895E-4</c:v>
                </c:pt>
                <c:pt idx="149">
                  <c:v>1.4474880414033301E-4</c:v>
                </c:pt>
                <c:pt idx="150">
                  <c:v>4.5325951128450401E-4</c:v>
                </c:pt>
                <c:pt idx="151">
                  <c:v>4.5325951128450401E-4</c:v>
                </c:pt>
                <c:pt idx="152">
                  <c:v>1.2464564633591301E-3</c:v>
                </c:pt>
                <c:pt idx="153">
                  <c:v>2.4312228060144201E-4</c:v>
                </c:pt>
                <c:pt idx="154">
                  <c:v>1.3446352080570699E-3</c:v>
                </c:pt>
                <c:pt idx="155">
                  <c:v>9.56973665952846E-4</c:v>
                </c:pt>
                <c:pt idx="156">
                  <c:v>1.2526200654395601E-3</c:v>
                </c:pt>
                <c:pt idx="157">
                  <c:v>5.4244218778708099E-4</c:v>
                </c:pt>
                <c:pt idx="158">
                  <c:v>8.5285991620230399E-4</c:v>
                </c:pt>
                <c:pt idx="159">
                  <c:v>6.5553103109794995E-4</c:v>
                </c:pt>
                <c:pt idx="160">
                  <c:v>-3.8393518301623498E-3</c:v>
                </c:pt>
                <c:pt idx="161">
                  <c:v>-3.4305429862597002E-3</c:v>
                </c:pt>
                <c:pt idx="162">
                  <c:v>-3.7310508586760999E-3</c:v>
                </c:pt>
                <c:pt idx="163">
                  <c:v>-4.3295315907807396E-3</c:v>
                </c:pt>
                <c:pt idx="164">
                  <c:v>-3.23897343412717E-3</c:v>
                </c:pt>
                <c:pt idx="165">
                  <c:v>-4.0411300765547898E-3</c:v>
                </c:pt>
                <c:pt idx="166">
                  <c:v>-1.30484763859725E-4</c:v>
                </c:pt>
                <c:pt idx="167">
                  <c:v>4.71720702750402E-4</c:v>
                </c:pt>
                <c:pt idx="168">
                  <c:v>2.6825028885882601E-4</c:v>
                </c:pt>
                <c:pt idx="169">
                  <c:v>6.7058382878614202E-4</c:v>
                </c:pt>
                <c:pt idx="170">
                  <c:v>6.9063157547452893E-5</c:v>
                </c:pt>
                <c:pt idx="171">
                  <c:v>5.7605732804934305E-4</c:v>
                </c:pt>
                <c:pt idx="172">
                  <c:v>8.8467083248242398E-5</c:v>
                </c:pt>
                <c:pt idx="173">
                  <c:v>1.00823550042995E-3</c:v>
                </c:pt>
                <c:pt idx="174">
                  <c:v>-8.5414046567642601E-6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D-4DEA-8A53-B71D4FE0B537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BSCZ x 10 dma / IBCA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2.0618235524601E-4</c:v>
                </c:pt>
                <c:pt idx="11">
                  <c:v>-2.6622135322929398E-3</c:v>
                </c:pt>
                <c:pt idx="12">
                  <c:v>-2.76799886346152E-3</c:v>
                </c:pt>
                <c:pt idx="13">
                  <c:v>-2.2574420296533801E-3</c:v>
                </c:pt>
                <c:pt idx="14">
                  <c:v>-2.7101719214300702E-3</c:v>
                </c:pt>
                <c:pt idx="15">
                  <c:v>-1.42003861287587E-3</c:v>
                </c:pt>
                <c:pt idx="16">
                  <c:v>-2.1038386894412101E-3</c:v>
                </c:pt>
                <c:pt idx="17">
                  <c:v>-1.0744710395589601E-3</c:v>
                </c:pt>
                <c:pt idx="18">
                  <c:v>-1.1134043668236599E-3</c:v>
                </c:pt>
                <c:pt idx="19">
                  <c:v>-1.37551226873692E-3</c:v>
                </c:pt>
                <c:pt idx="20">
                  <c:v>3.5448100354504501E-3</c:v>
                </c:pt>
                <c:pt idx="21">
                  <c:v>3.49566494819971E-3</c:v>
                </c:pt>
                <c:pt idx="22">
                  <c:v>2.9676240162136601E-3</c:v>
                </c:pt>
                <c:pt idx="23">
                  <c:v>3.2684865867088401E-3</c:v>
                </c:pt>
                <c:pt idx="24">
                  <c:v>2.57411115264312E-3</c:v>
                </c:pt>
                <c:pt idx="25">
                  <c:v>2.1221971351141899E-3</c:v>
                </c:pt>
                <c:pt idx="26">
                  <c:v>3.3927880274904699E-3</c:v>
                </c:pt>
                <c:pt idx="27">
                  <c:v>5.7156453887499995E-4</c:v>
                </c:pt>
                <c:pt idx="28">
                  <c:v>8.0515484473277503E-4</c:v>
                </c:pt>
                <c:pt idx="29">
                  <c:v>1.9229922293503E-4</c:v>
                </c:pt>
                <c:pt idx="30">
                  <c:v>-1.6410276770203501E-4</c:v>
                </c:pt>
                <c:pt idx="31">
                  <c:v>5.0096072611807002E-4</c:v>
                </c:pt>
                <c:pt idx="32">
                  <c:v>2.3428397171696799E-4</c:v>
                </c:pt>
                <c:pt idx="33">
                  <c:v>1.6267803760429899E-4</c:v>
                </c:pt>
                <c:pt idx="34">
                  <c:v>-4.1289435842500099E-3</c:v>
                </c:pt>
                <c:pt idx="35">
                  <c:v>-3.06747179893149E-3</c:v>
                </c:pt>
                <c:pt idx="36">
                  <c:v>-2.8353335283693398E-3</c:v>
                </c:pt>
                <c:pt idx="37">
                  <c:v>-2.9077972685236301E-3</c:v>
                </c:pt>
                <c:pt idx="38">
                  <c:v>-1.90514700482372E-3</c:v>
                </c:pt>
                <c:pt idx="39">
                  <c:v>1.77150950894764E-3</c:v>
                </c:pt>
                <c:pt idx="40">
                  <c:v>1.7413977383895899E-3</c:v>
                </c:pt>
                <c:pt idx="41">
                  <c:v>2.1983275398499299E-3</c:v>
                </c:pt>
                <c:pt idx="42">
                  <c:v>3.1705578767599199E-3</c:v>
                </c:pt>
                <c:pt idx="43">
                  <c:v>2.0073882273104098E-3</c:v>
                </c:pt>
                <c:pt idx="44">
                  <c:v>1.3986475169813499E-3</c:v>
                </c:pt>
                <c:pt idx="45">
                  <c:v>1.5156888581650599E-3</c:v>
                </c:pt>
                <c:pt idx="46">
                  <c:v>9.8103589269347893E-4</c:v>
                </c:pt>
                <c:pt idx="47">
                  <c:v>7.3913119451036395E-4</c:v>
                </c:pt>
                <c:pt idx="48">
                  <c:v>4.21581978459264E-4</c:v>
                </c:pt>
                <c:pt idx="49">
                  <c:v>1.0056478467153E-3</c:v>
                </c:pt>
                <c:pt idx="50">
                  <c:v>8.4447153897926298E-4</c:v>
                </c:pt>
                <c:pt idx="51">
                  <c:v>4.47563261028998E-4</c:v>
                </c:pt>
                <c:pt idx="52">
                  <c:v>-3.00329428373468E-4</c:v>
                </c:pt>
                <c:pt idx="53">
                  <c:v>-2.4014480462233501E-4</c:v>
                </c:pt>
                <c:pt idx="54">
                  <c:v>-3.1807540541602601E-3</c:v>
                </c:pt>
                <c:pt idx="55">
                  <c:v>-4.3039315419570899E-3</c:v>
                </c:pt>
                <c:pt idx="56">
                  <c:v>-2.9876926871662099E-3</c:v>
                </c:pt>
                <c:pt idx="57">
                  <c:v>-3.2455625456597002E-3</c:v>
                </c:pt>
                <c:pt idx="58">
                  <c:v>-3.3392514277491799E-3</c:v>
                </c:pt>
                <c:pt idx="59">
                  <c:v>-1.5004116669422899E-3</c:v>
                </c:pt>
                <c:pt idx="60">
                  <c:v>-1.3792452490025799E-3</c:v>
                </c:pt>
                <c:pt idx="61">
                  <c:v>3.5560472492569902E-3</c:v>
                </c:pt>
                <c:pt idx="62">
                  <c:v>3.4115589818568201E-3</c:v>
                </c:pt>
                <c:pt idx="63">
                  <c:v>3.3328261547401301E-3</c:v>
                </c:pt>
                <c:pt idx="64">
                  <c:v>2.83957446654012E-3</c:v>
                </c:pt>
                <c:pt idx="65">
                  <c:v>2.3783397713826198E-3</c:v>
                </c:pt>
                <c:pt idx="66">
                  <c:v>1.9027552130958701E-3</c:v>
                </c:pt>
                <c:pt idx="67">
                  <c:v>1.52357898367168E-3</c:v>
                </c:pt>
                <c:pt idx="68">
                  <c:v>1.3527111948401899E-3</c:v>
                </c:pt>
                <c:pt idx="69">
                  <c:v>1.1969539499437E-3</c:v>
                </c:pt>
                <c:pt idx="70">
                  <c:v>5.8456212616950405E-4</c:v>
                </c:pt>
                <c:pt idx="71">
                  <c:v>-1.2533817595558001E-4</c:v>
                </c:pt>
                <c:pt idx="72">
                  <c:v>4.7545753560951397E-4</c:v>
                </c:pt>
                <c:pt idx="73">
                  <c:v>-5.0444406665133704E-3</c:v>
                </c:pt>
                <c:pt idx="74">
                  <c:v>-4.1316721979756301E-3</c:v>
                </c:pt>
                <c:pt idx="75">
                  <c:v>-3.78024272032782E-3</c:v>
                </c:pt>
                <c:pt idx="76">
                  <c:v>-2.94625348736388E-3</c:v>
                </c:pt>
                <c:pt idx="77">
                  <c:v>-2.34525902004043E-3</c:v>
                </c:pt>
                <c:pt idx="78">
                  <c:v>-2.2471152372814298E-3</c:v>
                </c:pt>
                <c:pt idx="79">
                  <c:v>-1.8020077014776401E-3</c:v>
                </c:pt>
                <c:pt idx="80">
                  <c:v>-1.4175456350989601E-3</c:v>
                </c:pt>
                <c:pt idx="81">
                  <c:v>-1.53034812616673E-3</c:v>
                </c:pt>
                <c:pt idx="82">
                  <c:v>3.6561429363173399E-3</c:v>
                </c:pt>
                <c:pt idx="83">
                  <c:v>2.9783478295885698E-3</c:v>
                </c:pt>
                <c:pt idx="84">
                  <c:v>3.66187236168968E-3</c:v>
                </c:pt>
                <c:pt idx="85">
                  <c:v>2.9973002739145898E-3</c:v>
                </c:pt>
                <c:pt idx="86">
                  <c:v>2.0900201410420801E-3</c:v>
                </c:pt>
                <c:pt idx="87">
                  <c:v>1.72437141025817E-3</c:v>
                </c:pt>
                <c:pt idx="88">
                  <c:v>1.3052599408056101E-3</c:v>
                </c:pt>
                <c:pt idx="89">
                  <c:v>6.7299689622032596E-4</c:v>
                </c:pt>
                <c:pt idx="90">
                  <c:v>-4.3267280989662599E-4</c:v>
                </c:pt>
                <c:pt idx="91">
                  <c:v>9.5660072966818096E-5</c:v>
                </c:pt>
                <c:pt idx="92">
                  <c:v>3.1850429500562897E-4</c:v>
                </c:pt>
                <c:pt idx="93">
                  <c:v>-3.8986722682020801E-3</c:v>
                </c:pt>
                <c:pt idx="94">
                  <c:v>-4.72839756388925E-3</c:v>
                </c:pt>
                <c:pt idx="95">
                  <c:v>-2.8470725331924802E-3</c:v>
                </c:pt>
                <c:pt idx="96">
                  <c:v>-2.99950357706897E-3</c:v>
                </c:pt>
                <c:pt idx="97">
                  <c:v>-1.76276913145552E-3</c:v>
                </c:pt>
                <c:pt idx="98">
                  <c:v>-1.8829693000043299E-3</c:v>
                </c:pt>
                <c:pt idx="99">
                  <c:v>-1.57077006391833E-3</c:v>
                </c:pt>
                <c:pt idx="100">
                  <c:v>-1.5688993943935401E-3</c:v>
                </c:pt>
                <c:pt idx="101">
                  <c:v>-4.7637924954671603E-5</c:v>
                </c:pt>
                <c:pt idx="102">
                  <c:v>4.1758401817180097E-3</c:v>
                </c:pt>
                <c:pt idx="103">
                  <c:v>3.9592884117394499E-3</c:v>
                </c:pt>
                <c:pt idx="104">
                  <c:v>3.3549556450507101E-3</c:v>
                </c:pt>
                <c:pt idx="105">
                  <c:v>2.8268665122563202E-3</c:v>
                </c:pt>
                <c:pt idx="106">
                  <c:v>2.85200668514535E-3</c:v>
                </c:pt>
                <c:pt idx="107">
                  <c:v>2.1671564722134501E-3</c:v>
                </c:pt>
                <c:pt idx="108">
                  <c:v>1.4687050483650501E-3</c:v>
                </c:pt>
                <c:pt idx="109">
                  <c:v>1.1600681382919499E-3</c:v>
                </c:pt>
                <c:pt idx="110">
                  <c:v>6.0217190934975205E-4</c:v>
                </c:pt>
                <c:pt idx="111">
                  <c:v>-1.45729073019307E-4</c:v>
                </c:pt>
                <c:pt idx="112">
                  <c:v>-2.6674083769030098E-4</c:v>
                </c:pt>
                <c:pt idx="113">
                  <c:v>8.02593806439109E-5</c:v>
                </c:pt>
                <c:pt idx="114">
                  <c:v>-1.2642611952997701E-3</c:v>
                </c:pt>
                <c:pt idx="115">
                  <c:v>3.21433911375355E-4</c:v>
                </c:pt>
                <c:pt idx="116">
                  <c:v>-4.1926610670021403E-3</c:v>
                </c:pt>
                <c:pt idx="117">
                  <c:v>-4.0137789657453803E-3</c:v>
                </c:pt>
                <c:pt idx="118">
                  <c:v>-2.8438870216035898E-3</c:v>
                </c:pt>
                <c:pt idx="119">
                  <c:v>-3.6306862426188202E-3</c:v>
                </c:pt>
                <c:pt idx="120">
                  <c:v>-2.3392944573037999E-3</c:v>
                </c:pt>
                <c:pt idx="121">
                  <c:v>-2.98885461889358E-3</c:v>
                </c:pt>
                <c:pt idx="122">
                  <c:v>-1.71697173210585E-3</c:v>
                </c:pt>
                <c:pt idx="123">
                  <c:v>3.22620453457004E-3</c:v>
                </c:pt>
                <c:pt idx="124">
                  <c:v>2.3568907154786702E-3</c:v>
                </c:pt>
                <c:pt idx="125">
                  <c:v>2.3279405395339398E-3</c:v>
                </c:pt>
                <c:pt idx="126">
                  <c:v>2.8546567233571E-3</c:v>
                </c:pt>
                <c:pt idx="127">
                  <c:v>1.69788402415449E-3</c:v>
                </c:pt>
                <c:pt idx="128">
                  <c:v>1.1736848937642401E-3</c:v>
                </c:pt>
                <c:pt idx="129">
                  <c:v>1.8293723022664099E-3</c:v>
                </c:pt>
                <c:pt idx="130">
                  <c:v>8.0661365151123599E-4</c:v>
                </c:pt>
                <c:pt idx="131">
                  <c:v>1.5797554577230101E-3</c:v>
                </c:pt>
                <c:pt idx="132">
                  <c:v>9.4722983562090196E-4</c:v>
                </c:pt>
                <c:pt idx="133">
                  <c:v>-5.6659236050271295E-4</c:v>
                </c:pt>
                <c:pt idx="134">
                  <c:v>1.4861904441077799E-4</c:v>
                </c:pt>
                <c:pt idx="135">
                  <c:v>-4.6095565367506803E-3</c:v>
                </c:pt>
                <c:pt idx="136">
                  <c:v>-3.8633963743330601E-3</c:v>
                </c:pt>
                <c:pt idx="137">
                  <c:v>-3.7995277614589098E-3</c:v>
                </c:pt>
                <c:pt idx="138">
                  <c:v>-3.4817370625591301E-3</c:v>
                </c:pt>
                <c:pt idx="139">
                  <c:v>-2.3640917860324002E-3</c:v>
                </c:pt>
                <c:pt idx="140">
                  <c:v>-2.8224550823370098E-3</c:v>
                </c:pt>
                <c:pt idx="141">
                  <c:v>-1.7537011593924299E-3</c:v>
                </c:pt>
                <c:pt idx="142">
                  <c:v>-9.4769076622798704E-4</c:v>
                </c:pt>
                <c:pt idx="143">
                  <c:v>-4.7159912085920303E-4</c:v>
                </c:pt>
                <c:pt idx="144">
                  <c:v>-1.40560744027808E-3</c:v>
                </c:pt>
                <c:pt idx="145">
                  <c:v>4.6335248585467901E-3</c:v>
                </c:pt>
                <c:pt idx="146">
                  <c:v>3.6550153974459101E-3</c:v>
                </c:pt>
                <c:pt idx="147">
                  <c:v>3.36680165218108E-3</c:v>
                </c:pt>
                <c:pt idx="148">
                  <c:v>3.0387208545462601E-3</c:v>
                </c:pt>
                <c:pt idx="149">
                  <c:v>1.9814635553151599E-3</c:v>
                </c:pt>
                <c:pt idx="150">
                  <c:v>1.9617008750693202E-3</c:v>
                </c:pt>
                <c:pt idx="151">
                  <c:v>1.5129110549789099E-3</c:v>
                </c:pt>
                <c:pt idx="152">
                  <c:v>1.9174853620387E-3</c:v>
                </c:pt>
                <c:pt idx="153">
                  <c:v>4.7543230925003901E-4</c:v>
                </c:pt>
                <c:pt idx="154">
                  <c:v>1.23856742851784E-3</c:v>
                </c:pt>
                <c:pt idx="155">
                  <c:v>2.7178013876037402E-4</c:v>
                </c:pt>
                <c:pt idx="156">
                  <c:v>5.7670964826514101E-4</c:v>
                </c:pt>
                <c:pt idx="157">
                  <c:v>-2.0494549985622E-4</c:v>
                </c:pt>
                <c:pt idx="158">
                  <c:v>1.14803347714651E-4</c:v>
                </c:pt>
                <c:pt idx="159">
                  <c:v>-9.3419304334104597E-5</c:v>
                </c:pt>
                <c:pt idx="160">
                  <c:v>-4.63939951401654E-3</c:v>
                </c:pt>
                <c:pt idx="161">
                  <c:v>-3.80035024881737E-3</c:v>
                </c:pt>
                <c:pt idx="162">
                  <c:v>-3.7118308518484101E-3</c:v>
                </c:pt>
                <c:pt idx="163">
                  <c:v>-3.8120753175732301E-3</c:v>
                </c:pt>
                <c:pt idx="164">
                  <c:v>-2.2636580038682399E-3</c:v>
                </c:pt>
                <c:pt idx="165">
                  <c:v>-2.6075712913564801E-3</c:v>
                </c:pt>
                <c:pt idx="166">
                  <c:v>1.80281426700225E-3</c:v>
                </c:pt>
                <c:pt idx="167">
                  <c:v>2.54297614397247E-3</c:v>
                </c:pt>
                <c:pt idx="168">
                  <c:v>2.3465596428131502E-3</c:v>
                </c:pt>
                <c:pt idx="169">
                  <c:v>2.8071983793377798E-3</c:v>
                </c:pt>
                <c:pt idx="170">
                  <c:v>2.2041766355997798E-3</c:v>
                </c:pt>
                <c:pt idx="171">
                  <c:v>2.3203503843781501E-3</c:v>
                </c:pt>
                <c:pt idx="172">
                  <c:v>1.43214661457741E-3</c:v>
                </c:pt>
                <c:pt idx="173">
                  <c:v>1.9697075048216899E-3</c:v>
                </c:pt>
                <c:pt idx="174">
                  <c:v>4.1863721281527698E-4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D-4DEA-8A53-B71D4FE0B537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BSCZ x 20 dma / IBCA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2.1230395351162301E-3</c:v>
                </c:pt>
                <c:pt idx="21">
                  <c:v>2.1081979263510198E-3</c:v>
                </c:pt>
                <c:pt idx="22">
                  <c:v>1.8880933533617899E-3</c:v>
                </c:pt>
                <c:pt idx="23">
                  <c:v>2.5260301896888201E-3</c:v>
                </c:pt>
                <c:pt idx="24">
                  <c:v>2.1918106277284501E-3</c:v>
                </c:pt>
                <c:pt idx="25">
                  <c:v>2.1296152050098499E-3</c:v>
                </c:pt>
                <c:pt idx="26">
                  <c:v>3.7174148889247099E-3</c:v>
                </c:pt>
                <c:pt idx="27">
                  <c:v>1.3817472266574201E-3</c:v>
                </c:pt>
                <c:pt idx="28">
                  <c:v>1.90390324865783E-3</c:v>
                </c:pt>
                <c:pt idx="29">
                  <c:v>1.6557056553545E-3</c:v>
                </c:pt>
                <c:pt idx="30">
                  <c:v>1.71714739304791E-3</c:v>
                </c:pt>
                <c:pt idx="31">
                  <c:v>2.36010034058922E-3</c:v>
                </c:pt>
                <c:pt idx="32">
                  <c:v>1.9604137540907402E-3</c:v>
                </c:pt>
                <c:pt idx="33">
                  <c:v>1.7457838026133301E-3</c:v>
                </c:pt>
                <c:pt idx="34">
                  <c:v>-2.7450500855856598E-3</c:v>
                </c:pt>
                <c:pt idx="35">
                  <c:v>-2.10727699539565E-3</c:v>
                </c:pt>
                <c:pt idx="36">
                  <c:v>-2.2169500432811101E-3</c:v>
                </c:pt>
                <c:pt idx="37">
                  <c:v>-2.84649786424863E-3</c:v>
                </c:pt>
                <c:pt idx="38">
                  <c:v>-2.1753170694742601E-3</c:v>
                </c:pt>
                <c:pt idx="39">
                  <c:v>1.13290919308401E-3</c:v>
                </c:pt>
                <c:pt idx="40">
                  <c:v>8.9287257104164795E-4</c:v>
                </c:pt>
                <c:pt idx="41">
                  <c:v>1.35766208463041E-3</c:v>
                </c:pt>
                <c:pt idx="42">
                  <c:v>2.2946849558701998E-3</c:v>
                </c:pt>
                <c:pt idx="43">
                  <c:v>1.1547313191296901E-3</c:v>
                </c:pt>
                <c:pt idx="44">
                  <c:v>5.5001258598407399E-4</c:v>
                </c:pt>
                <c:pt idx="45">
                  <c:v>1.0556610756896499E-3</c:v>
                </c:pt>
                <c:pt idx="46">
                  <c:v>8.6786249665864103E-4</c:v>
                </c:pt>
                <c:pt idx="47">
                  <c:v>1.0552899131844201E-3</c:v>
                </c:pt>
                <c:pt idx="48">
                  <c:v>1.1202545158628899E-3</c:v>
                </c:pt>
                <c:pt idx="49">
                  <c:v>2.0536624742228601E-3</c:v>
                </c:pt>
                <c:pt idx="50">
                  <c:v>1.94392069373611E-3</c:v>
                </c:pt>
                <c:pt idx="51">
                  <c:v>1.6017342250295001E-3</c:v>
                </c:pt>
                <c:pt idx="52">
                  <c:v>8.8091675860558301E-4</c:v>
                </c:pt>
                <c:pt idx="53">
                  <c:v>8.2646144890846098E-4</c:v>
                </c:pt>
                <c:pt idx="54">
                  <c:v>-2.1268551801623299E-3</c:v>
                </c:pt>
                <c:pt idx="55">
                  <c:v>-3.5657919076615102E-3</c:v>
                </c:pt>
                <c:pt idx="56">
                  <c:v>-2.6506153049133401E-3</c:v>
                </c:pt>
                <c:pt idx="57">
                  <c:v>-3.25314915131909E-3</c:v>
                </c:pt>
                <c:pt idx="58">
                  <c:v>-3.7612548775763899E-3</c:v>
                </c:pt>
                <c:pt idx="59">
                  <c:v>-2.3390716023599599E-3</c:v>
                </c:pt>
                <c:pt idx="60">
                  <c:v>-2.4931082735176599E-3</c:v>
                </c:pt>
                <c:pt idx="61">
                  <c:v>2.15511957093632E-3</c:v>
                </c:pt>
                <c:pt idx="62">
                  <c:v>1.9980223029181601E-3</c:v>
                </c:pt>
                <c:pt idx="63">
                  <c:v>2.0186376689229099E-3</c:v>
                </c:pt>
                <c:pt idx="64">
                  <c:v>1.57810256752285E-3</c:v>
                </c:pt>
                <c:pt idx="65">
                  <c:v>1.4150260739165101E-3</c:v>
                </c:pt>
                <c:pt idx="66">
                  <c:v>1.39450922195727E-3</c:v>
                </c:pt>
                <c:pt idx="67">
                  <c:v>1.3738722917656699E-3</c:v>
                </c:pt>
                <c:pt idx="68">
                  <c:v>1.62692807281407E-3</c:v>
                </c:pt>
                <c:pt idx="69">
                  <c:v>1.96428177739325E-3</c:v>
                </c:pt>
                <c:pt idx="70">
                  <c:v>1.7731493316137099E-3</c:v>
                </c:pt>
                <c:pt idx="71">
                  <c:v>1.50363474780388E-3</c:v>
                </c:pt>
                <c:pt idx="72">
                  <c:v>2.0678879902338802E-3</c:v>
                </c:pt>
                <c:pt idx="73">
                  <c:v>-3.4837646941939101E-3</c:v>
                </c:pt>
                <c:pt idx="74">
                  <c:v>-2.8819269566208198E-3</c:v>
                </c:pt>
                <c:pt idx="75">
                  <c:v>-2.9295854172932401E-3</c:v>
                </c:pt>
                <c:pt idx="76">
                  <c:v>-2.5568701307952398E-3</c:v>
                </c:pt>
                <c:pt idx="77">
                  <c:v>-2.3533443712280499E-3</c:v>
                </c:pt>
                <c:pt idx="78">
                  <c:v>-2.6730954310668301E-3</c:v>
                </c:pt>
                <c:pt idx="79">
                  <c:v>-2.7126349464104802E-3</c:v>
                </c:pt>
                <c:pt idx="80">
                  <c:v>-2.7803170580999901E-3</c:v>
                </c:pt>
                <c:pt idx="81">
                  <c:v>-3.34596439303169E-3</c:v>
                </c:pt>
                <c:pt idx="82">
                  <c:v>1.6106089735277E-3</c:v>
                </c:pt>
                <c:pt idx="83">
                  <c:v>8.7508781233976499E-4</c:v>
                </c:pt>
                <c:pt idx="84">
                  <c:v>2.0116675164069801E-3</c:v>
                </c:pt>
                <c:pt idx="85">
                  <c:v>1.79474855160178E-3</c:v>
                </c:pt>
                <c:pt idx="86">
                  <c:v>1.32865060207299E-3</c:v>
                </c:pt>
                <c:pt idx="87">
                  <c:v>1.34206882416449E-3</c:v>
                </c:pt>
                <c:pt idx="88">
                  <c:v>1.2824350168615399E-3</c:v>
                </c:pt>
                <c:pt idx="89">
                  <c:v>1.04824155168956E-3</c:v>
                </c:pt>
                <c:pt idx="90">
                  <c:v>3.4509697999587398E-4</c:v>
                </c:pt>
                <c:pt idx="91">
                  <c:v>1.23719750844188E-3</c:v>
                </c:pt>
                <c:pt idx="92">
                  <c:v>1.9081082550571999E-3</c:v>
                </c:pt>
                <c:pt idx="93">
                  <c:v>-2.2715134761612898E-3</c:v>
                </c:pt>
                <c:pt idx="94">
                  <c:v>-3.4738112170632201E-3</c:v>
                </c:pt>
                <c:pt idx="95">
                  <c:v>-2.1118282861098099E-3</c:v>
                </c:pt>
                <c:pt idx="96">
                  <c:v>-2.7017230949752799E-3</c:v>
                </c:pt>
                <c:pt idx="97">
                  <c:v>-1.86546912704423E-3</c:v>
                </c:pt>
                <c:pt idx="98">
                  <c:v>-2.3354097903005399E-3</c:v>
                </c:pt>
                <c:pt idx="99">
                  <c:v>-2.4030025839917898E-3</c:v>
                </c:pt>
                <c:pt idx="100">
                  <c:v>-2.7575498700915901E-3</c:v>
                </c:pt>
                <c:pt idx="101">
                  <c:v>-1.53878846184374E-3</c:v>
                </c:pt>
                <c:pt idx="102">
                  <c:v>2.3333557577516701E-3</c:v>
                </c:pt>
                <c:pt idx="103">
                  <c:v>2.1332320513370701E-3</c:v>
                </c:pt>
                <c:pt idx="104">
                  <c:v>1.91965291087971E-3</c:v>
                </c:pt>
                <c:pt idx="105">
                  <c:v>1.9459009466162901E-3</c:v>
                </c:pt>
                <c:pt idx="106">
                  <c:v>2.38500926548922E-3</c:v>
                </c:pt>
                <c:pt idx="107">
                  <c:v>2.1707001563271802E-3</c:v>
                </c:pt>
                <c:pt idx="108">
                  <c:v>1.85375141631528E-3</c:v>
                </c:pt>
                <c:pt idx="109">
                  <c:v>1.9561932709963501E-3</c:v>
                </c:pt>
                <c:pt idx="110">
                  <c:v>1.81042891925518E-3</c:v>
                </c:pt>
                <c:pt idx="111">
                  <c:v>1.4685302793704101E-3</c:v>
                </c:pt>
                <c:pt idx="112">
                  <c:v>1.6608855326356599E-3</c:v>
                </c:pt>
                <c:pt idx="113">
                  <c:v>1.9698493636414799E-3</c:v>
                </c:pt>
                <c:pt idx="114">
                  <c:v>4.0999670474833698E-4</c:v>
                </c:pt>
                <c:pt idx="115">
                  <c:v>1.6710841431956001E-3</c:v>
                </c:pt>
                <c:pt idx="116">
                  <c:v>-3.0290733979335999E-3</c:v>
                </c:pt>
                <c:pt idx="117">
                  <c:v>-3.3327841338192301E-3</c:v>
                </c:pt>
                <c:pt idx="118">
                  <c:v>-2.6012442020227101E-3</c:v>
                </c:pt>
                <c:pt idx="119">
                  <c:v>-3.78581629336255E-3</c:v>
                </c:pt>
                <c:pt idx="120">
                  <c:v>-2.96588901508031E-3</c:v>
                </c:pt>
                <c:pt idx="121">
                  <c:v>-4.0545837963897801E-3</c:v>
                </c:pt>
                <c:pt idx="122">
                  <c:v>-3.18771880892839E-3</c:v>
                </c:pt>
                <c:pt idx="123">
                  <c:v>1.56576414529339E-3</c:v>
                </c:pt>
                <c:pt idx="124">
                  <c:v>6.9277101240527398E-4</c:v>
                </c:pt>
                <c:pt idx="125">
                  <c:v>7.4187965092823002E-4</c:v>
                </c:pt>
                <c:pt idx="126">
                  <c:v>1.20087192815411E-3</c:v>
                </c:pt>
                <c:pt idx="127">
                  <c:v>4.6650929818859501E-4</c:v>
                </c:pt>
                <c:pt idx="128">
                  <c:v>3.4557772144194401E-4</c:v>
                </c:pt>
                <c:pt idx="129">
                  <c:v>1.31061469358691E-3</c:v>
                </c:pt>
                <c:pt idx="130">
                  <c:v>7.6423225499929501E-4</c:v>
                </c:pt>
                <c:pt idx="131">
                  <c:v>1.90037537753079E-3</c:v>
                </c:pt>
                <c:pt idx="132">
                  <c:v>1.77781489611196E-3</c:v>
                </c:pt>
                <c:pt idx="133">
                  <c:v>7.00535037013096E-4</c:v>
                </c:pt>
                <c:pt idx="134">
                  <c:v>1.3615354046165901E-3</c:v>
                </c:pt>
                <c:pt idx="135">
                  <c:v>-3.4003154458356901E-3</c:v>
                </c:pt>
                <c:pt idx="136">
                  <c:v>-2.8226152442773701E-3</c:v>
                </c:pt>
                <c:pt idx="137">
                  <c:v>-3.1779792386898999E-3</c:v>
                </c:pt>
                <c:pt idx="138">
                  <c:v>-3.2357813377788102E-3</c:v>
                </c:pt>
                <c:pt idx="139">
                  <c:v>-2.4446382616222198E-3</c:v>
                </c:pt>
                <c:pt idx="140">
                  <c:v>-3.3418387255663299E-3</c:v>
                </c:pt>
                <c:pt idx="141">
                  <c:v>-2.65946574099121E-3</c:v>
                </c:pt>
                <c:pt idx="142">
                  <c:v>-2.3706887326852802E-3</c:v>
                </c:pt>
                <c:pt idx="143">
                  <c:v>-2.3471468999596702E-3</c:v>
                </c:pt>
                <c:pt idx="144">
                  <c:v>-3.4006237114390498E-3</c:v>
                </c:pt>
                <c:pt idx="145">
                  <c:v>2.3513637830530499E-3</c:v>
                </c:pt>
                <c:pt idx="146">
                  <c:v>1.83160940765617E-3</c:v>
                </c:pt>
                <c:pt idx="147">
                  <c:v>1.9680115744989202E-3</c:v>
                </c:pt>
                <c:pt idx="148">
                  <c:v>2.07059503287252E-3</c:v>
                </c:pt>
                <c:pt idx="149">
                  <c:v>1.4504815054535399E-3</c:v>
                </c:pt>
                <c:pt idx="150">
                  <c:v>1.8124472294917999E-3</c:v>
                </c:pt>
                <c:pt idx="151">
                  <c:v>1.8215538120452601E-3</c:v>
                </c:pt>
                <c:pt idx="152">
                  <c:v>2.6776944418960601E-3</c:v>
                </c:pt>
                <c:pt idx="153">
                  <c:v>1.6922054258670599E-3</c:v>
                </c:pt>
                <c:pt idx="154">
                  <c:v>2.8077189601478101E-3</c:v>
                </c:pt>
                <c:pt idx="155">
                  <c:v>2.4084998800131701E-3</c:v>
                </c:pt>
                <c:pt idx="156">
                  <c:v>2.4751130147242901E-3</c:v>
                </c:pt>
                <c:pt idx="157">
                  <c:v>1.53579209891368E-3</c:v>
                </c:pt>
                <c:pt idx="158">
                  <c:v>1.6323837058175199E-3</c:v>
                </c:pt>
                <c:pt idx="159">
                  <c:v>1.2002489467289701E-3</c:v>
                </c:pt>
                <c:pt idx="160">
                  <c:v>-3.48448885013472E-3</c:v>
                </c:pt>
                <c:pt idx="161">
                  <c:v>-3.0853654266531001E-3</c:v>
                </c:pt>
                <c:pt idx="162">
                  <c:v>-3.3858732990696199E-3</c:v>
                </c:pt>
                <c:pt idx="163">
                  <c:v>-3.9546382763049996E-3</c:v>
                </c:pt>
                <c:pt idx="164">
                  <c:v>-2.8042034350686802E-3</c:v>
                </c:pt>
                <c:pt idx="165">
                  <c:v>-3.66638630873673E-3</c:v>
                </c:pt>
                <c:pt idx="166">
                  <c:v>4.9906053948554603E-4</c:v>
                </c:pt>
                <c:pt idx="167">
                  <c:v>1.1346476728470499E-3</c:v>
                </c:pt>
                <c:pt idx="168">
                  <c:v>9.3936817089059095E-4</c:v>
                </c:pt>
                <c:pt idx="169">
                  <c:v>1.3654567465736099E-3</c:v>
                </c:pt>
                <c:pt idx="170">
                  <c:v>7.3767295064051301E-4</c:v>
                </c:pt>
                <c:pt idx="171">
                  <c:v>1.26385890235075E-3</c:v>
                </c:pt>
                <c:pt idx="172">
                  <c:v>7.7013612643958801E-4</c:v>
                </c:pt>
                <c:pt idx="173">
                  <c:v>1.74772428297557E-3</c:v>
                </c:pt>
                <c:pt idx="174">
                  <c:v>6.9274317595369704E-4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0D-4DEA-8A53-B71D4FE0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7.8277890494083302E-4</c:v>
                </c:pt>
                <c:pt idx="72">
                  <c:v>1.3972050101013031E-3</c:v>
                </c:pt>
                <c:pt idx="73">
                  <c:v>1.3972050101013031E-3</c:v>
                </c:pt>
                <c:pt idx="74">
                  <c:v>1.3972050101013031E-3</c:v>
                </c:pt>
                <c:pt idx="75">
                  <c:v>2.6893836372790525E-3</c:v>
                </c:pt>
                <c:pt idx="76">
                  <c:v>2.6893836372790525E-3</c:v>
                </c:pt>
                <c:pt idx="77">
                  <c:v>2.6893836372790525E-3</c:v>
                </c:pt>
                <c:pt idx="78">
                  <c:v>2.6893836372790525E-3</c:v>
                </c:pt>
                <c:pt idx="79">
                  <c:v>2.6893836372790525E-3</c:v>
                </c:pt>
                <c:pt idx="80">
                  <c:v>2.6893836372790525E-3</c:v>
                </c:pt>
                <c:pt idx="81">
                  <c:v>2.6893836372790525E-3</c:v>
                </c:pt>
                <c:pt idx="82">
                  <c:v>2.6893836372790525E-3</c:v>
                </c:pt>
                <c:pt idx="83">
                  <c:v>2.6893836372790525E-3</c:v>
                </c:pt>
                <c:pt idx="84">
                  <c:v>2.6893836372790525E-3</c:v>
                </c:pt>
                <c:pt idx="85">
                  <c:v>2.6893836372790525E-3</c:v>
                </c:pt>
                <c:pt idx="86">
                  <c:v>2.6893836372790525E-3</c:v>
                </c:pt>
                <c:pt idx="87">
                  <c:v>2.6893836372790525E-3</c:v>
                </c:pt>
                <c:pt idx="88">
                  <c:v>2.6893836372790525E-3</c:v>
                </c:pt>
                <c:pt idx="89">
                  <c:v>2.6893836372790525E-3</c:v>
                </c:pt>
                <c:pt idx="90">
                  <c:v>2.6893836372790525E-3</c:v>
                </c:pt>
                <c:pt idx="91">
                  <c:v>2.6893836372790525E-3</c:v>
                </c:pt>
                <c:pt idx="92">
                  <c:v>2.6893836372790525E-3</c:v>
                </c:pt>
                <c:pt idx="93">
                  <c:v>2.6893836372790525E-3</c:v>
                </c:pt>
                <c:pt idx="94">
                  <c:v>2.6893836372790525E-3</c:v>
                </c:pt>
                <c:pt idx="95">
                  <c:v>4.1476569657041126E-3</c:v>
                </c:pt>
                <c:pt idx="96">
                  <c:v>4.1476569657041126E-3</c:v>
                </c:pt>
                <c:pt idx="97">
                  <c:v>4.1476569657041126E-3</c:v>
                </c:pt>
                <c:pt idx="98">
                  <c:v>4.1476569657041126E-3</c:v>
                </c:pt>
                <c:pt idx="99">
                  <c:v>4.1476569657041126E-3</c:v>
                </c:pt>
                <c:pt idx="100">
                  <c:v>4.1476569657041126E-3</c:v>
                </c:pt>
                <c:pt idx="101">
                  <c:v>4.1476569657041126E-3</c:v>
                </c:pt>
                <c:pt idx="102">
                  <c:v>4.9218417788775629E-3</c:v>
                </c:pt>
                <c:pt idx="103">
                  <c:v>4.9218417788775629E-3</c:v>
                </c:pt>
                <c:pt idx="104">
                  <c:v>4.9218417788775629E-3</c:v>
                </c:pt>
                <c:pt idx="105">
                  <c:v>4.9218417788775629E-3</c:v>
                </c:pt>
                <c:pt idx="106">
                  <c:v>4.9218417788775629E-3</c:v>
                </c:pt>
                <c:pt idx="107">
                  <c:v>4.9218417788775629E-3</c:v>
                </c:pt>
                <c:pt idx="108">
                  <c:v>4.9218417788775629E-3</c:v>
                </c:pt>
                <c:pt idx="109">
                  <c:v>5.8136258049148728E-3</c:v>
                </c:pt>
                <c:pt idx="110">
                  <c:v>5.8136258049148728E-3</c:v>
                </c:pt>
                <c:pt idx="111">
                  <c:v>5.8136258049148728E-3</c:v>
                </c:pt>
                <c:pt idx="112">
                  <c:v>5.8136258049148728E-3</c:v>
                </c:pt>
                <c:pt idx="113">
                  <c:v>5.8136258049148728E-3</c:v>
                </c:pt>
                <c:pt idx="114">
                  <c:v>5.8136258049148728E-3</c:v>
                </c:pt>
                <c:pt idx="115">
                  <c:v>5.8136258049148728E-3</c:v>
                </c:pt>
                <c:pt idx="116">
                  <c:v>5.8136258049148728E-3</c:v>
                </c:pt>
                <c:pt idx="117">
                  <c:v>5.8136258049148728E-3</c:v>
                </c:pt>
                <c:pt idx="118">
                  <c:v>5.8136258049148728E-3</c:v>
                </c:pt>
                <c:pt idx="119">
                  <c:v>5.8136258049148728E-3</c:v>
                </c:pt>
                <c:pt idx="120">
                  <c:v>5.8136258049148728E-3</c:v>
                </c:pt>
                <c:pt idx="121">
                  <c:v>5.8136258049148728E-3</c:v>
                </c:pt>
                <c:pt idx="122">
                  <c:v>5.8136258049148728E-3</c:v>
                </c:pt>
                <c:pt idx="123">
                  <c:v>5.8136258049148728E-3</c:v>
                </c:pt>
                <c:pt idx="124">
                  <c:v>5.8136258049148728E-3</c:v>
                </c:pt>
                <c:pt idx="125">
                  <c:v>5.8136258049148728E-3</c:v>
                </c:pt>
                <c:pt idx="126">
                  <c:v>5.8136258049148728E-3</c:v>
                </c:pt>
                <c:pt idx="127">
                  <c:v>5.8136258049148728E-3</c:v>
                </c:pt>
                <c:pt idx="128">
                  <c:v>5.8136258049148728E-3</c:v>
                </c:pt>
                <c:pt idx="129">
                  <c:v>5.8136258049148728E-3</c:v>
                </c:pt>
                <c:pt idx="130">
                  <c:v>5.8136258049148728E-3</c:v>
                </c:pt>
                <c:pt idx="131">
                  <c:v>5.8136258049148728E-3</c:v>
                </c:pt>
                <c:pt idx="132">
                  <c:v>5.8136258049148728E-3</c:v>
                </c:pt>
                <c:pt idx="133">
                  <c:v>5.8136258049148728E-3</c:v>
                </c:pt>
                <c:pt idx="134">
                  <c:v>5.8136258049148728E-3</c:v>
                </c:pt>
                <c:pt idx="135">
                  <c:v>5.8136258049148728E-3</c:v>
                </c:pt>
                <c:pt idx="136">
                  <c:v>5.8136258049148728E-3</c:v>
                </c:pt>
                <c:pt idx="137">
                  <c:v>5.8136258049148728E-3</c:v>
                </c:pt>
                <c:pt idx="138">
                  <c:v>5.8136258049148728E-3</c:v>
                </c:pt>
                <c:pt idx="139">
                  <c:v>5.8136258049148728E-3</c:v>
                </c:pt>
                <c:pt idx="140">
                  <c:v>5.8136258049148728E-3</c:v>
                </c:pt>
                <c:pt idx="141">
                  <c:v>5.8136258049148728E-3</c:v>
                </c:pt>
                <c:pt idx="142">
                  <c:v>5.8136258049148728E-3</c:v>
                </c:pt>
                <c:pt idx="143">
                  <c:v>5.8136258049148728E-3</c:v>
                </c:pt>
                <c:pt idx="144">
                  <c:v>5.8136258049148728E-3</c:v>
                </c:pt>
                <c:pt idx="145">
                  <c:v>5.8136258049148728E-3</c:v>
                </c:pt>
                <c:pt idx="146">
                  <c:v>5.8136258049148728E-3</c:v>
                </c:pt>
                <c:pt idx="147">
                  <c:v>5.8136258049148728E-3</c:v>
                </c:pt>
                <c:pt idx="148">
                  <c:v>5.8136258049148728E-3</c:v>
                </c:pt>
                <c:pt idx="149">
                  <c:v>5.8136258049148728E-3</c:v>
                </c:pt>
                <c:pt idx="150">
                  <c:v>5.8136258049148728E-3</c:v>
                </c:pt>
                <c:pt idx="151">
                  <c:v>5.8136258049148728E-3</c:v>
                </c:pt>
                <c:pt idx="152">
                  <c:v>5.8136258049148728E-3</c:v>
                </c:pt>
                <c:pt idx="153">
                  <c:v>5.8136258049148728E-3</c:v>
                </c:pt>
                <c:pt idx="154">
                  <c:v>5.8136258049148728E-3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C-4074-A901-A155D68A6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2.2066527748765782E-3</c:v>
                </c:pt>
                <c:pt idx="8">
                  <c:v>2.2066527748765782E-3</c:v>
                </c:pt>
                <c:pt idx="9">
                  <c:v>2.2066527748765782E-3</c:v>
                </c:pt>
                <c:pt idx="10">
                  <c:v>2.2066527748765782E-3</c:v>
                </c:pt>
                <c:pt idx="11">
                  <c:v>2.2066527748765782E-3</c:v>
                </c:pt>
                <c:pt idx="12">
                  <c:v>2.2066527748765782E-3</c:v>
                </c:pt>
                <c:pt idx="13">
                  <c:v>2.2066527748765782E-3</c:v>
                </c:pt>
                <c:pt idx="14">
                  <c:v>2.2066527748765782E-3</c:v>
                </c:pt>
                <c:pt idx="15">
                  <c:v>2.2066527748765782E-3</c:v>
                </c:pt>
                <c:pt idx="16">
                  <c:v>2.2066527748765782E-3</c:v>
                </c:pt>
                <c:pt idx="17">
                  <c:v>2.2066527748765782E-3</c:v>
                </c:pt>
                <c:pt idx="18">
                  <c:v>2.2066527748765782E-3</c:v>
                </c:pt>
                <c:pt idx="19">
                  <c:v>2.2066527748765782E-3</c:v>
                </c:pt>
                <c:pt idx="20">
                  <c:v>2.2066527748765782E-3</c:v>
                </c:pt>
                <c:pt idx="21">
                  <c:v>2.2066527748765782E-3</c:v>
                </c:pt>
                <c:pt idx="22">
                  <c:v>2.2066527748765782E-3</c:v>
                </c:pt>
                <c:pt idx="23">
                  <c:v>2.2066527748765782E-3</c:v>
                </c:pt>
                <c:pt idx="24">
                  <c:v>2.2066527748765782E-3</c:v>
                </c:pt>
                <c:pt idx="25">
                  <c:v>2.2066527748765782E-3</c:v>
                </c:pt>
                <c:pt idx="26">
                  <c:v>2.2066527748765782E-3</c:v>
                </c:pt>
                <c:pt idx="27">
                  <c:v>2.2066527748765782E-3</c:v>
                </c:pt>
                <c:pt idx="28">
                  <c:v>2.2066527748765782E-3</c:v>
                </c:pt>
                <c:pt idx="29">
                  <c:v>2.2066527748765782E-3</c:v>
                </c:pt>
                <c:pt idx="30">
                  <c:v>2.2066527748765782E-3</c:v>
                </c:pt>
                <c:pt idx="31">
                  <c:v>2.2066527748765782E-3</c:v>
                </c:pt>
                <c:pt idx="32">
                  <c:v>2.2066527748765782E-3</c:v>
                </c:pt>
                <c:pt idx="33">
                  <c:v>2.2066527748765782E-3</c:v>
                </c:pt>
                <c:pt idx="34">
                  <c:v>2.2066527748765782E-3</c:v>
                </c:pt>
                <c:pt idx="35">
                  <c:v>2.2066527748765782E-3</c:v>
                </c:pt>
                <c:pt idx="36">
                  <c:v>2.2066527748765782E-3</c:v>
                </c:pt>
                <c:pt idx="37">
                  <c:v>2.2066527748765782E-3</c:v>
                </c:pt>
                <c:pt idx="38">
                  <c:v>2.2066527748765782E-3</c:v>
                </c:pt>
                <c:pt idx="39">
                  <c:v>2.2066527748765782E-3</c:v>
                </c:pt>
                <c:pt idx="40">
                  <c:v>2.2066527748765782E-3</c:v>
                </c:pt>
                <c:pt idx="41">
                  <c:v>2.2066527748765782E-3</c:v>
                </c:pt>
                <c:pt idx="42">
                  <c:v>2.2066527748765782E-3</c:v>
                </c:pt>
                <c:pt idx="43">
                  <c:v>2.2066527748765782E-3</c:v>
                </c:pt>
                <c:pt idx="44">
                  <c:v>2.2066527748765782E-3</c:v>
                </c:pt>
                <c:pt idx="45">
                  <c:v>2.2066527748765782E-3</c:v>
                </c:pt>
                <c:pt idx="46">
                  <c:v>2.2066527748765782E-3</c:v>
                </c:pt>
                <c:pt idx="47">
                  <c:v>2.2066527748765782E-3</c:v>
                </c:pt>
                <c:pt idx="48">
                  <c:v>2.2066527748765782E-3</c:v>
                </c:pt>
                <c:pt idx="49">
                  <c:v>2.2066527748765782E-3</c:v>
                </c:pt>
                <c:pt idx="50">
                  <c:v>2.2066527748765782E-3</c:v>
                </c:pt>
                <c:pt idx="51">
                  <c:v>2.2066527748765782E-3</c:v>
                </c:pt>
                <c:pt idx="52">
                  <c:v>2.2066527748765782E-3</c:v>
                </c:pt>
                <c:pt idx="53">
                  <c:v>2.2066527748765782E-3</c:v>
                </c:pt>
                <c:pt idx="54">
                  <c:v>2.2066527748765782E-3</c:v>
                </c:pt>
                <c:pt idx="55">
                  <c:v>2.2066527748765782E-3</c:v>
                </c:pt>
                <c:pt idx="56">
                  <c:v>2.2066527748765782E-3</c:v>
                </c:pt>
                <c:pt idx="57">
                  <c:v>2.2066527748765782E-3</c:v>
                </c:pt>
                <c:pt idx="58">
                  <c:v>2.2066527748765782E-3</c:v>
                </c:pt>
                <c:pt idx="59">
                  <c:v>2.2066527748765782E-3</c:v>
                </c:pt>
                <c:pt idx="60">
                  <c:v>2.2066527748765782E-3</c:v>
                </c:pt>
                <c:pt idx="61">
                  <c:v>2.2066527748765782E-3</c:v>
                </c:pt>
                <c:pt idx="62">
                  <c:v>2.2066527748765782E-3</c:v>
                </c:pt>
                <c:pt idx="63">
                  <c:v>2.2066527748765782E-3</c:v>
                </c:pt>
                <c:pt idx="64">
                  <c:v>2.2066527748765782E-3</c:v>
                </c:pt>
                <c:pt idx="65">
                  <c:v>2.2066527748765782E-3</c:v>
                </c:pt>
                <c:pt idx="66">
                  <c:v>2.2066527748765782E-3</c:v>
                </c:pt>
                <c:pt idx="67">
                  <c:v>2.2066527748765782E-3</c:v>
                </c:pt>
                <c:pt idx="68">
                  <c:v>2.2066527748765782E-3</c:v>
                </c:pt>
                <c:pt idx="69">
                  <c:v>2.2066527748765782E-3</c:v>
                </c:pt>
                <c:pt idx="70">
                  <c:v>2.2066527748765782E-3</c:v>
                </c:pt>
                <c:pt idx="71">
                  <c:v>2.2066527748765782E-3</c:v>
                </c:pt>
                <c:pt idx="72">
                  <c:v>2.2066527748765782E-3</c:v>
                </c:pt>
                <c:pt idx="73">
                  <c:v>2.2066527748765782E-3</c:v>
                </c:pt>
                <c:pt idx="74">
                  <c:v>2.2066527748765782E-3</c:v>
                </c:pt>
                <c:pt idx="75">
                  <c:v>2.2066527748765782E-3</c:v>
                </c:pt>
                <c:pt idx="76">
                  <c:v>2.2066527748765782E-3</c:v>
                </c:pt>
                <c:pt idx="77">
                  <c:v>2.2066527748765782E-3</c:v>
                </c:pt>
                <c:pt idx="78">
                  <c:v>2.2066527748765782E-3</c:v>
                </c:pt>
                <c:pt idx="79">
                  <c:v>2.2066527748765782E-3</c:v>
                </c:pt>
                <c:pt idx="80">
                  <c:v>2.2066527748765782E-3</c:v>
                </c:pt>
                <c:pt idx="81">
                  <c:v>2.2066527748765782E-3</c:v>
                </c:pt>
                <c:pt idx="82">
                  <c:v>2.2066527748765782E-3</c:v>
                </c:pt>
                <c:pt idx="83">
                  <c:v>2.2066527748765782E-3</c:v>
                </c:pt>
                <c:pt idx="84">
                  <c:v>2.2066527748765782E-3</c:v>
                </c:pt>
                <c:pt idx="85">
                  <c:v>2.2066527748765782E-3</c:v>
                </c:pt>
                <c:pt idx="86">
                  <c:v>2.2066527748765782E-3</c:v>
                </c:pt>
                <c:pt idx="87">
                  <c:v>2.2066527748765782E-3</c:v>
                </c:pt>
                <c:pt idx="88">
                  <c:v>2.2066527748765782E-3</c:v>
                </c:pt>
                <c:pt idx="89">
                  <c:v>2.2066527748765782E-3</c:v>
                </c:pt>
                <c:pt idx="90">
                  <c:v>2.2066527748765782E-3</c:v>
                </c:pt>
                <c:pt idx="91">
                  <c:v>2.2066527748765782E-3</c:v>
                </c:pt>
                <c:pt idx="92">
                  <c:v>2.2066527748765782E-3</c:v>
                </c:pt>
                <c:pt idx="93">
                  <c:v>2.2066527748765782E-3</c:v>
                </c:pt>
                <c:pt idx="94">
                  <c:v>2.2066527748765782E-3</c:v>
                </c:pt>
                <c:pt idx="95">
                  <c:v>2.2066527748765782E-3</c:v>
                </c:pt>
                <c:pt idx="96">
                  <c:v>2.2066527748765782E-3</c:v>
                </c:pt>
                <c:pt idx="97">
                  <c:v>2.2066527748765782E-3</c:v>
                </c:pt>
                <c:pt idx="98">
                  <c:v>2.2066527748765782E-3</c:v>
                </c:pt>
                <c:pt idx="99">
                  <c:v>2.2066527748765782E-3</c:v>
                </c:pt>
                <c:pt idx="100">
                  <c:v>2.2066527748765782E-3</c:v>
                </c:pt>
                <c:pt idx="101">
                  <c:v>2.2066527748765782E-3</c:v>
                </c:pt>
                <c:pt idx="102">
                  <c:v>2.2066527748765782E-3</c:v>
                </c:pt>
                <c:pt idx="103">
                  <c:v>2.2066527748765782E-3</c:v>
                </c:pt>
                <c:pt idx="104">
                  <c:v>2.2066527748765782E-3</c:v>
                </c:pt>
                <c:pt idx="105">
                  <c:v>2.2066527748765782E-3</c:v>
                </c:pt>
                <c:pt idx="106">
                  <c:v>2.2066527748765782E-3</c:v>
                </c:pt>
                <c:pt idx="107">
                  <c:v>2.2066527748765782E-3</c:v>
                </c:pt>
                <c:pt idx="108">
                  <c:v>2.2066527748765782E-3</c:v>
                </c:pt>
                <c:pt idx="109">
                  <c:v>2.2066527748765782E-3</c:v>
                </c:pt>
                <c:pt idx="110">
                  <c:v>2.2066527748765782E-3</c:v>
                </c:pt>
                <c:pt idx="111">
                  <c:v>2.2066527748765782E-3</c:v>
                </c:pt>
                <c:pt idx="112">
                  <c:v>2.2066527748765782E-3</c:v>
                </c:pt>
                <c:pt idx="113">
                  <c:v>2.2066527748765782E-3</c:v>
                </c:pt>
                <c:pt idx="114">
                  <c:v>2.2066527748765782E-3</c:v>
                </c:pt>
                <c:pt idx="115">
                  <c:v>2.2066527748765782E-3</c:v>
                </c:pt>
                <c:pt idx="116">
                  <c:v>2.2066527748765782E-3</c:v>
                </c:pt>
                <c:pt idx="117">
                  <c:v>2.2066527748765782E-3</c:v>
                </c:pt>
                <c:pt idx="118">
                  <c:v>2.2066527748765782E-3</c:v>
                </c:pt>
                <c:pt idx="119">
                  <c:v>2.2066527748765782E-3</c:v>
                </c:pt>
                <c:pt idx="120">
                  <c:v>2.2066527748765782E-3</c:v>
                </c:pt>
                <c:pt idx="121">
                  <c:v>2.2066527748765782E-3</c:v>
                </c:pt>
                <c:pt idx="122">
                  <c:v>2.2066527748765782E-3</c:v>
                </c:pt>
                <c:pt idx="123">
                  <c:v>2.2066527748765782E-3</c:v>
                </c:pt>
                <c:pt idx="124">
                  <c:v>2.2066527748765782E-3</c:v>
                </c:pt>
                <c:pt idx="125">
                  <c:v>2.2066527748765782E-3</c:v>
                </c:pt>
                <c:pt idx="126">
                  <c:v>2.2066527748765782E-3</c:v>
                </c:pt>
                <c:pt idx="127">
                  <c:v>2.2066527748765782E-3</c:v>
                </c:pt>
                <c:pt idx="128">
                  <c:v>2.2066527748765782E-3</c:v>
                </c:pt>
                <c:pt idx="129">
                  <c:v>2.2066527748765782E-3</c:v>
                </c:pt>
                <c:pt idx="130">
                  <c:v>2.2066527748765782E-3</c:v>
                </c:pt>
                <c:pt idx="131">
                  <c:v>2.2066527748765782E-3</c:v>
                </c:pt>
                <c:pt idx="132">
                  <c:v>2.2066527748765782E-3</c:v>
                </c:pt>
                <c:pt idx="133">
                  <c:v>2.2066527748765782E-3</c:v>
                </c:pt>
                <c:pt idx="134">
                  <c:v>2.2066527748765782E-3</c:v>
                </c:pt>
                <c:pt idx="135">
                  <c:v>2.2066527748765782E-3</c:v>
                </c:pt>
                <c:pt idx="136">
                  <c:v>2.2066527748765782E-3</c:v>
                </c:pt>
                <c:pt idx="137">
                  <c:v>2.2066527748765782E-3</c:v>
                </c:pt>
                <c:pt idx="138">
                  <c:v>2.2066527748765782E-3</c:v>
                </c:pt>
                <c:pt idx="139">
                  <c:v>2.2066527748765782E-3</c:v>
                </c:pt>
                <c:pt idx="140">
                  <c:v>2.2066527748765782E-3</c:v>
                </c:pt>
                <c:pt idx="141">
                  <c:v>2.2066527748765782E-3</c:v>
                </c:pt>
                <c:pt idx="142">
                  <c:v>2.2066527748765782E-3</c:v>
                </c:pt>
                <c:pt idx="143">
                  <c:v>2.2066527748765782E-3</c:v>
                </c:pt>
                <c:pt idx="144">
                  <c:v>2.2066527748765782E-3</c:v>
                </c:pt>
                <c:pt idx="145">
                  <c:v>2.2066527748765782E-3</c:v>
                </c:pt>
                <c:pt idx="146">
                  <c:v>2.2066527748765782E-3</c:v>
                </c:pt>
                <c:pt idx="147">
                  <c:v>2.2066527748765782E-3</c:v>
                </c:pt>
                <c:pt idx="148">
                  <c:v>2.2066527748765782E-3</c:v>
                </c:pt>
                <c:pt idx="149">
                  <c:v>2.2066527748765782E-3</c:v>
                </c:pt>
                <c:pt idx="150">
                  <c:v>2.2066527748765782E-3</c:v>
                </c:pt>
                <c:pt idx="151">
                  <c:v>2.2066527748765782E-3</c:v>
                </c:pt>
                <c:pt idx="152">
                  <c:v>2.2066527748765782E-3</c:v>
                </c:pt>
                <c:pt idx="153">
                  <c:v>2.2066527748765782E-3</c:v>
                </c:pt>
                <c:pt idx="154">
                  <c:v>2.2066527748765782E-3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0-454C-A046-404288103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2.2066527748765782E-3</c:v>
                </c:pt>
                <c:pt idx="8">
                  <c:v>2.2066527748765782E-3</c:v>
                </c:pt>
                <c:pt idx="9">
                  <c:v>2.2066527748765782E-3</c:v>
                </c:pt>
                <c:pt idx="10">
                  <c:v>2.2066527748765782E-3</c:v>
                </c:pt>
                <c:pt idx="11">
                  <c:v>2.2066527748765782E-3</c:v>
                </c:pt>
                <c:pt idx="12">
                  <c:v>2.2066527748765782E-3</c:v>
                </c:pt>
                <c:pt idx="13">
                  <c:v>2.2066527748765782E-3</c:v>
                </c:pt>
                <c:pt idx="14">
                  <c:v>2.2066527748765782E-3</c:v>
                </c:pt>
                <c:pt idx="15">
                  <c:v>2.2066527748765782E-3</c:v>
                </c:pt>
                <c:pt idx="16">
                  <c:v>2.2066527748765782E-3</c:v>
                </c:pt>
                <c:pt idx="17">
                  <c:v>2.2066527748765782E-3</c:v>
                </c:pt>
                <c:pt idx="18">
                  <c:v>2.2066527748765782E-3</c:v>
                </c:pt>
                <c:pt idx="19">
                  <c:v>2.2066527748765782E-3</c:v>
                </c:pt>
                <c:pt idx="20">
                  <c:v>2.2066527748765782E-3</c:v>
                </c:pt>
                <c:pt idx="21">
                  <c:v>2.2066527748765782E-3</c:v>
                </c:pt>
                <c:pt idx="22">
                  <c:v>2.2066527748765782E-3</c:v>
                </c:pt>
                <c:pt idx="23">
                  <c:v>2.2066527748765782E-3</c:v>
                </c:pt>
                <c:pt idx="24">
                  <c:v>2.2066527748765782E-3</c:v>
                </c:pt>
                <c:pt idx="25">
                  <c:v>2.2066527748765782E-3</c:v>
                </c:pt>
                <c:pt idx="26">
                  <c:v>2.2066527748765782E-3</c:v>
                </c:pt>
                <c:pt idx="27">
                  <c:v>2.2066527748765782E-3</c:v>
                </c:pt>
                <c:pt idx="28">
                  <c:v>2.2066527748765782E-3</c:v>
                </c:pt>
                <c:pt idx="29">
                  <c:v>2.2066527748765782E-3</c:v>
                </c:pt>
                <c:pt idx="30">
                  <c:v>2.2066527748765782E-3</c:v>
                </c:pt>
                <c:pt idx="31">
                  <c:v>2.2066527748765782E-3</c:v>
                </c:pt>
                <c:pt idx="32">
                  <c:v>2.2066527748765782E-3</c:v>
                </c:pt>
                <c:pt idx="33">
                  <c:v>2.2066527748765782E-3</c:v>
                </c:pt>
                <c:pt idx="34">
                  <c:v>2.2066527748765782E-3</c:v>
                </c:pt>
                <c:pt idx="35">
                  <c:v>2.2066527748765782E-3</c:v>
                </c:pt>
                <c:pt idx="36">
                  <c:v>2.2066527748765782E-3</c:v>
                </c:pt>
                <c:pt idx="37">
                  <c:v>2.2066527748765782E-3</c:v>
                </c:pt>
                <c:pt idx="38">
                  <c:v>2.2066527748765782E-3</c:v>
                </c:pt>
                <c:pt idx="39">
                  <c:v>2.2066527748765782E-3</c:v>
                </c:pt>
                <c:pt idx="40">
                  <c:v>2.2066527748765782E-3</c:v>
                </c:pt>
                <c:pt idx="41">
                  <c:v>2.2066527748765782E-3</c:v>
                </c:pt>
                <c:pt idx="42">
                  <c:v>2.2066527748765782E-3</c:v>
                </c:pt>
                <c:pt idx="43">
                  <c:v>2.2066527748765782E-3</c:v>
                </c:pt>
                <c:pt idx="44">
                  <c:v>2.2066527748765782E-3</c:v>
                </c:pt>
                <c:pt idx="45">
                  <c:v>2.2066527748765782E-3</c:v>
                </c:pt>
                <c:pt idx="46">
                  <c:v>2.2066527748765782E-3</c:v>
                </c:pt>
                <c:pt idx="47">
                  <c:v>2.2066527748765782E-3</c:v>
                </c:pt>
                <c:pt idx="48">
                  <c:v>2.2066527748765782E-3</c:v>
                </c:pt>
                <c:pt idx="49">
                  <c:v>2.2066527748765782E-3</c:v>
                </c:pt>
                <c:pt idx="50">
                  <c:v>2.2066527748765782E-3</c:v>
                </c:pt>
                <c:pt idx="51">
                  <c:v>2.2066527748765782E-3</c:v>
                </c:pt>
                <c:pt idx="52">
                  <c:v>2.2066527748765782E-3</c:v>
                </c:pt>
                <c:pt idx="53">
                  <c:v>2.2066527748765782E-3</c:v>
                </c:pt>
                <c:pt idx="54">
                  <c:v>2.2066527748765782E-3</c:v>
                </c:pt>
                <c:pt idx="55">
                  <c:v>2.2066527748765782E-3</c:v>
                </c:pt>
                <c:pt idx="56">
                  <c:v>2.2066527748765782E-3</c:v>
                </c:pt>
                <c:pt idx="57">
                  <c:v>2.2066527748765782E-3</c:v>
                </c:pt>
                <c:pt idx="58">
                  <c:v>2.2066527748765782E-3</c:v>
                </c:pt>
                <c:pt idx="59">
                  <c:v>2.2066527748765782E-3</c:v>
                </c:pt>
                <c:pt idx="60">
                  <c:v>2.2066527748765782E-3</c:v>
                </c:pt>
                <c:pt idx="61">
                  <c:v>2.2066527748765782E-3</c:v>
                </c:pt>
                <c:pt idx="62">
                  <c:v>2.2066527748765782E-3</c:v>
                </c:pt>
                <c:pt idx="63">
                  <c:v>2.2066527748765782E-3</c:v>
                </c:pt>
                <c:pt idx="64">
                  <c:v>2.2066527748765782E-3</c:v>
                </c:pt>
                <c:pt idx="65">
                  <c:v>2.2066527748765782E-3</c:v>
                </c:pt>
                <c:pt idx="66">
                  <c:v>2.2066527748765782E-3</c:v>
                </c:pt>
                <c:pt idx="67">
                  <c:v>2.2066527748765782E-3</c:v>
                </c:pt>
                <c:pt idx="68">
                  <c:v>2.2066527748765782E-3</c:v>
                </c:pt>
                <c:pt idx="69">
                  <c:v>2.2066527748765782E-3</c:v>
                </c:pt>
                <c:pt idx="70">
                  <c:v>2.2066527748765782E-3</c:v>
                </c:pt>
                <c:pt idx="71">
                  <c:v>2.9894316798174114E-3</c:v>
                </c:pt>
                <c:pt idx="72">
                  <c:v>3.6038577849778815E-3</c:v>
                </c:pt>
                <c:pt idx="73">
                  <c:v>3.6038577849778815E-3</c:v>
                </c:pt>
                <c:pt idx="74">
                  <c:v>3.6038577849778815E-3</c:v>
                </c:pt>
                <c:pt idx="75">
                  <c:v>4.8960364121556311E-3</c:v>
                </c:pt>
                <c:pt idx="76">
                  <c:v>4.8960364121556311E-3</c:v>
                </c:pt>
                <c:pt idx="77">
                  <c:v>4.8960364121556311E-3</c:v>
                </c:pt>
                <c:pt idx="78">
                  <c:v>4.8960364121556311E-3</c:v>
                </c:pt>
                <c:pt idx="79">
                  <c:v>4.8960364121556311E-3</c:v>
                </c:pt>
                <c:pt idx="80">
                  <c:v>4.8960364121556311E-3</c:v>
                </c:pt>
                <c:pt idx="81">
                  <c:v>4.8960364121556311E-3</c:v>
                </c:pt>
                <c:pt idx="82">
                  <c:v>4.8960364121556311E-3</c:v>
                </c:pt>
                <c:pt idx="83">
                  <c:v>4.8960364121556311E-3</c:v>
                </c:pt>
                <c:pt idx="84">
                  <c:v>4.8960364121556311E-3</c:v>
                </c:pt>
                <c:pt idx="85">
                  <c:v>4.8960364121556311E-3</c:v>
                </c:pt>
                <c:pt idx="86">
                  <c:v>4.8960364121556311E-3</c:v>
                </c:pt>
                <c:pt idx="87">
                  <c:v>4.8960364121556311E-3</c:v>
                </c:pt>
                <c:pt idx="88">
                  <c:v>4.8960364121556311E-3</c:v>
                </c:pt>
                <c:pt idx="89">
                  <c:v>4.8960364121556311E-3</c:v>
                </c:pt>
                <c:pt idx="90">
                  <c:v>4.8960364121556311E-3</c:v>
                </c:pt>
                <c:pt idx="91">
                  <c:v>4.8960364121556311E-3</c:v>
                </c:pt>
                <c:pt idx="92">
                  <c:v>4.8960364121556311E-3</c:v>
                </c:pt>
                <c:pt idx="93">
                  <c:v>4.8960364121556311E-3</c:v>
                </c:pt>
                <c:pt idx="94">
                  <c:v>4.8960364121556311E-3</c:v>
                </c:pt>
                <c:pt idx="95">
                  <c:v>6.3543097405806912E-3</c:v>
                </c:pt>
                <c:pt idx="96">
                  <c:v>6.3543097405806912E-3</c:v>
                </c:pt>
                <c:pt idx="97">
                  <c:v>6.3543097405806912E-3</c:v>
                </c:pt>
                <c:pt idx="98">
                  <c:v>6.3543097405806912E-3</c:v>
                </c:pt>
                <c:pt idx="99">
                  <c:v>6.3543097405806912E-3</c:v>
                </c:pt>
                <c:pt idx="100">
                  <c:v>6.3543097405806912E-3</c:v>
                </c:pt>
                <c:pt idx="101">
                  <c:v>6.3543097405806912E-3</c:v>
                </c:pt>
                <c:pt idx="102">
                  <c:v>7.1284945537541406E-3</c:v>
                </c:pt>
                <c:pt idx="103">
                  <c:v>7.1284945537541406E-3</c:v>
                </c:pt>
                <c:pt idx="104">
                  <c:v>7.1284945537541406E-3</c:v>
                </c:pt>
                <c:pt idx="105">
                  <c:v>7.1284945537541406E-3</c:v>
                </c:pt>
                <c:pt idx="106">
                  <c:v>7.1284945537541406E-3</c:v>
                </c:pt>
                <c:pt idx="107">
                  <c:v>7.1284945537541406E-3</c:v>
                </c:pt>
                <c:pt idx="108">
                  <c:v>7.1284945537541406E-3</c:v>
                </c:pt>
                <c:pt idx="109">
                  <c:v>8.0202785797914514E-3</c:v>
                </c:pt>
                <c:pt idx="110">
                  <c:v>8.0202785797914514E-3</c:v>
                </c:pt>
                <c:pt idx="111">
                  <c:v>8.0202785797914514E-3</c:v>
                </c:pt>
                <c:pt idx="112">
                  <c:v>8.0202785797914514E-3</c:v>
                </c:pt>
                <c:pt idx="113">
                  <c:v>8.0202785797914514E-3</c:v>
                </c:pt>
                <c:pt idx="114">
                  <c:v>8.0202785797914514E-3</c:v>
                </c:pt>
                <c:pt idx="115">
                  <c:v>8.0202785797914514E-3</c:v>
                </c:pt>
                <c:pt idx="116">
                  <c:v>8.0202785797914514E-3</c:v>
                </c:pt>
                <c:pt idx="117">
                  <c:v>8.0202785797914514E-3</c:v>
                </c:pt>
                <c:pt idx="118">
                  <c:v>8.0202785797914514E-3</c:v>
                </c:pt>
                <c:pt idx="119">
                  <c:v>8.0202785797914514E-3</c:v>
                </c:pt>
                <c:pt idx="120">
                  <c:v>8.0202785797914514E-3</c:v>
                </c:pt>
                <c:pt idx="121">
                  <c:v>8.0202785797914514E-3</c:v>
                </c:pt>
                <c:pt idx="122">
                  <c:v>8.0202785797914514E-3</c:v>
                </c:pt>
                <c:pt idx="123">
                  <c:v>8.0202785797914514E-3</c:v>
                </c:pt>
                <c:pt idx="124">
                  <c:v>8.0202785797914514E-3</c:v>
                </c:pt>
                <c:pt idx="125">
                  <c:v>8.0202785797914514E-3</c:v>
                </c:pt>
                <c:pt idx="126">
                  <c:v>8.0202785797914514E-3</c:v>
                </c:pt>
                <c:pt idx="127">
                  <c:v>8.0202785797914514E-3</c:v>
                </c:pt>
                <c:pt idx="128">
                  <c:v>8.0202785797914514E-3</c:v>
                </c:pt>
                <c:pt idx="129">
                  <c:v>8.0202785797914514E-3</c:v>
                </c:pt>
                <c:pt idx="130">
                  <c:v>8.0202785797914514E-3</c:v>
                </c:pt>
                <c:pt idx="131">
                  <c:v>8.0202785797914514E-3</c:v>
                </c:pt>
                <c:pt idx="132">
                  <c:v>8.0202785797914514E-3</c:v>
                </c:pt>
                <c:pt idx="133">
                  <c:v>8.0202785797914514E-3</c:v>
                </c:pt>
                <c:pt idx="134">
                  <c:v>8.0202785797914514E-3</c:v>
                </c:pt>
                <c:pt idx="135">
                  <c:v>8.0202785797914514E-3</c:v>
                </c:pt>
                <c:pt idx="136">
                  <c:v>8.0202785797914514E-3</c:v>
                </c:pt>
                <c:pt idx="137">
                  <c:v>8.0202785797914514E-3</c:v>
                </c:pt>
                <c:pt idx="138">
                  <c:v>8.0202785797914514E-3</c:v>
                </c:pt>
                <c:pt idx="139">
                  <c:v>8.0202785797914514E-3</c:v>
                </c:pt>
                <c:pt idx="140">
                  <c:v>8.0202785797914514E-3</c:v>
                </c:pt>
                <c:pt idx="141">
                  <c:v>8.0202785797914514E-3</c:v>
                </c:pt>
                <c:pt idx="142">
                  <c:v>8.0202785797914514E-3</c:v>
                </c:pt>
                <c:pt idx="143">
                  <c:v>8.0202785797914514E-3</c:v>
                </c:pt>
                <c:pt idx="144">
                  <c:v>8.0202785797914514E-3</c:v>
                </c:pt>
                <c:pt idx="145">
                  <c:v>8.0202785797914514E-3</c:v>
                </c:pt>
                <c:pt idx="146">
                  <c:v>8.0202785797914514E-3</c:v>
                </c:pt>
                <c:pt idx="147">
                  <c:v>8.0202785797914514E-3</c:v>
                </c:pt>
                <c:pt idx="148">
                  <c:v>8.0202785797914514E-3</c:v>
                </c:pt>
                <c:pt idx="149">
                  <c:v>8.0202785797914514E-3</c:v>
                </c:pt>
                <c:pt idx="150">
                  <c:v>8.0202785797914514E-3</c:v>
                </c:pt>
                <c:pt idx="151">
                  <c:v>8.0202785797914514E-3</c:v>
                </c:pt>
                <c:pt idx="152">
                  <c:v>8.0202785797914514E-3</c:v>
                </c:pt>
                <c:pt idx="153">
                  <c:v>8.0202785797914514E-3</c:v>
                </c:pt>
                <c:pt idx="154">
                  <c:v>8.0202785797914514E-3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B-4261-9914-6D0128B7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0F22D-4D52-43CE-97E7-3946E36B8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C711B4-9E53-4F99-AE4E-11E82BBD9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82F845-7865-4593-ABA3-9FB0E538B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5539B9-D071-4347-84DB-FF9A509B6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3C327E-D902-4664-90F8-CAD00EDE1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547EA9-F5BC-4283-9AF4-DB01AC669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DEC299-ED36-43B8-A3B3-DF5A5A021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Q_IBDR_2.xlsx" TargetMode="External"/><Relationship Id="rId1" Type="http://schemas.openxmlformats.org/officeDocument/2006/relationships/externalLinkPath" Target="BSCQ_IBDR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IBDR/BSCQ avg</v>
          </cell>
          <cell r="P1" t="str">
            <v>IBDR/BSCQ 10 dma</v>
          </cell>
          <cell r="Q1" t="str">
            <v>IBDR/BSCQ 20 dma</v>
          </cell>
          <cell r="U1" t="str">
            <v>log diff BSCQ x avg / IBDR</v>
          </cell>
          <cell r="V1" t="str">
            <v>log diff BSCQ x 10 dma / IBDR</v>
          </cell>
          <cell r="W1" t="str">
            <v>log diff BSCQ x 20 dma / IBDR</v>
          </cell>
          <cell r="Y1" t="str">
            <v>IBDR*/BSCQ* avg</v>
          </cell>
          <cell r="Z1" t="str">
            <v>IBDR*/BSCQ* 10 dma</v>
          </cell>
          <cell r="AA1" t="str">
            <v>IBDR*/BSCQ* 20 dma</v>
          </cell>
          <cell r="AF1" t="str">
            <v>log diff BSCQ* x 10 dma / IBDR*</v>
          </cell>
          <cell r="AG1" t="str">
            <v>log diff BSCQ* x 20 dma / IBDR*</v>
          </cell>
        </row>
        <row r="2">
          <cell r="O2">
            <v>1.2388993693114601</v>
          </cell>
          <cell r="Y2">
            <v>1.23733334869304</v>
          </cell>
        </row>
        <row r="3">
          <cell r="O3">
            <v>1.2388993693114601</v>
          </cell>
          <cell r="U3">
            <v>1.1404823419767301E-3</v>
          </cell>
          <cell r="Y3">
            <v>1.23733334869304</v>
          </cell>
        </row>
        <row r="4">
          <cell r="O4">
            <v>1.2388993693114601</v>
          </cell>
          <cell r="U4">
            <v>1.1404823419767301E-3</v>
          </cell>
          <cell r="Y4">
            <v>1.23733334869304</v>
          </cell>
        </row>
        <row r="5">
          <cell r="O5">
            <v>1.2388993693114601</v>
          </cell>
          <cell r="U5">
            <v>1.1404823419767301E-3</v>
          </cell>
          <cell r="Y5">
            <v>1.23733334869304</v>
          </cell>
        </row>
        <row r="6">
          <cell r="O6">
            <v>1.2388993693114601</v>
          </cell>
          <cell r="U6">
            <v>1.1404823419767301E-3</v>
          </cell>
          <cell r="Y6">
            <v>1.23733334869304</v>
          </cell>
        </row>
        <row r="7">
          <cell r="O7">
            <v>1.2388993693114601</v>
          </cell>
          <cell r="U7">
            <v>1.1404823419767301E-3</v>
          </cell>
          <cell r="Y7">
            <v>1.23733334869304</v>
          </cell>
        </row>
        <row r="8">
          <cell r="O8">
            <v>1.2388993693114601</v>
          </cell>
          <cell r="U8">
            <v>7.2785596929742901E-4</v>
          </cell>
          <cell r="Y8">
            <v>1.23733334869304</v>
          </cell>
        </row>
        <row r="9">
          <cell r="O9">
            <v>1.2388993693114601</v>
          </cell>
          <cell r="U9">
            <v>1.23845082338254E-3</v>
          </cell>
          <cell r="Y9">
            <v>1.23733334869304</v>
          </cell>
        </row>
        <row r="10">
          <cell r="O10">
            <v>1.2388993693114601</v>
          </cell>
          <cell r="U10">
            <v>1.33632892102614E-3</v>
          </cell>
          <cell r="Y10">
            <v>1.23733334869304</v>
          </cell>
        </row>
        <row r="11">
          <cell r="O11">
            <v>1.2388993693114601</v>
          </cell>
          <cell r="P11">
            <v>1.2376041055824401</v>
          </cell>
          <cell r="U11">
            <v>8.2599464100393801E-4</v>
          </cell>
          <cell r="Y11">
            <v>1.23733334869304</v>
          </cell>
          <cell r="Z11">
            <v>1.2376041055824401</v>
          </cell>
        </row>
        <row r="12">
          <cell r="O12">
            <v>1.2388993693114601</v>
          </cell>
          <cell r="P12">
            <v>1.2375045401422</v>
          </cell>
          <cell r="U12">
            <v>1.4341167603976E-3</v>
          </cell>
          <cell r="V12">
            <v>3.8807433787387598E-4</v>
          </cell>
          <cell r="Y12">
            <v>1.23733334869304</v>
          </cell>
          <cell r="Z12">
            <v>1.2375045401422</v>
          </cell>
          <cell r="AF12">
            <v>3.8807433787387598E-4</v>
          </cell>
        </row>
        <row r="13">
          <cell r="O13">
            <v>1.2388993693114601</v>
          </cell>
          <cell r="P13">
            <v>1.2378602181835201</v>
          </cell>
          <cell r="U13">
            <v>-1.7295907008089001E-3</v>
          </cell>
          <cell r="V13">
            <v>-2.85608651309739E-3</v>
          </cell>
          <cell r="Y13">
            <v>1.23733334869304</v>
          </cell>
          <cell r="Z13">
            <v>1.23743241362014</v>
          </cell>
          <cell r="AF13">
            <v>5.9700304674248199E-4</v>
          </cell>
        </row>
        <row r="14">
          <cell r="O14">
            <v>1.2388993693114601</v>
          </cell>
          <cell r="P14">
            <v>1.2383306450222</v>
          </cell>
          <cell r="U14">
            <v>-2.6537785592697901E-3</v>
          </cell>
          <cell r="V14">
            <v>-3.4929001229141699E-3</v>
          </cell>
          <cell r="Y14">
            <v>1.23733334869304</v>
          </cell>
          <cell r="Z14">
            <v>1.2374744218445699</v>
          </cell>
          <cell r="AF14">
            <v>-3.8370531041764398E-4</v>
          </cell>
        </row>
        <row r="15">
          <cell r="O15">
            <v>1.2388993693114601</v>
          </cell>
          <cell r="P15">
            <v>1.2386739934465301</v>
          </cell>
          <cell r="U15">
            <v>-1.63023701648254E-3</v>
          </cell>
          <cell r="V15">
            <v>-2.0893984960106099E-3</v>
          </cell>
          <cell r="Y15">
            <v>1.23733334869304</v>
          </cell>
          <cell r="Z15">
            <v>1.23739022625762</v>
          </cell>
          <cell r="AF15">
            <v>6.7025526419484897E-4</v>
          </cell>
        </row>
        <row r="16">
          <cell r="O16">
            <v>1.2388993693114601</v>
          </cell>
          <cell r="P16">
            <v>1.2390684927659901</v>
          </cell>
          <cell r="U16">
            <v>-2.0423532390884498E-3</v>
          </cell>
          <cell r="V16">
            <v>-2.2242859874348499E-3</v>
          </cell>
          <cell r="Y16">
            <v>1.23733334869304</v>
          </cell>
          <cell r="Z16">
            <v>1.23735700533168</v>
          </cell>
          <cell r="AF16">
            <v>1.9009848264600501E-4</v>
          </cell>
        </row>
        <row r="17">
          <cell r="O17">
            <v>1.2388993693114601</v>
          </cell>
          <cell r="P17">
            <v>1.2394629920854601</v>
          </cell>
          <cell r="U17">
            <v>-2.0423532390884498E-3</v>
          </cell>
          <cell r="V17">
            <v>-1.9058515052421501E-3</v>
          </cell>
          <cell r="Y17">
            <v>1.23733334869304</v>
          </cell>
          <cell r="Z17">
            <v>1.2373237844057301</v>
          </cell>
          <cell r="AF17">
            <v>1.6325054801882499E-4</v>
          </cell>
        </row>
        <row r="18">
          <cell r="O18">
            <v>1.2388993693114601</v>
          </cell>
          <cell r="P18">
            <v>1.2398575697770899</v>
          </cell>
          <cell r="U18">
            <v>-2.4542996918759299E-3</v>
          </cell>
          <cell r="V18">
            <v>-1.9994648440783201E-3</v>
          </cell>
          <cell r="Y18">
            <v>1.23733334869304</v>
          </cell>
          <cell r="Z18">
            <v>1.2372904656178101</v>
          </cell>
          <cell r="AF18">
            <v>-2.7554456022705698E-4</v>
          </cell>
        </row>
        <row r="19">
          <cell r="O19">
            <v>1.2388993693114601</v>
          </cell>
          <cell r="P19">
            <v>1.2402641919771999</v>
          </cell>
          <cell r="U19">
            <v>-2.0423532390884498E-3</v>
          </cell>
          <cell r="V19">
            <v>-1.26922337044733E-3</v>
          </cell>
          <cell r="Y19">
            <v>1.23733334869304</v>
          </cell>
          <cell r="Z19">
            <v>1.2372693675725099</v>
          </cell>
          <cell r="AF19">
            <v>1.0947342245814E-4</v>
          </cell>
        </row>
        <row r="20">
          <cell r="O20">
            <v>1.2388993693114601</v>
          </cell>
          <cell r="P20">
            <v>1.24068292468768</v>
          </cell>
          <cell r="U20">
            <v>-2.0423532390884498E-3</v>
          </cell>
          <cell r="V20">
            <v>-9.4131833769517696E-4</v>
          </cell>
          <cell r="Y20">
            <v>1.23733334869304</v>
          </cell>
          <cell r="Z20">
            <v>1.2372603800375801</v>
          </cell>
          <cell r="AF20">
            <v>9.2421464356506902E-5</v>
          </cell>
        </row>
        <row r="21">
          <cell r="O21">
            <v>1.2388993693114601</v>
          </cell>
          <cell r="P21">
            <v>1.24108965133066</v>
          </cell>
          <cell r="Q21">
            <v>1.23934687845655</v>
          </cell>
          <cell r="U21">
            <v>-2.4542996918759299E-3</v>
          </cell>
          <cell r="V21">
            <v>-1.0157060318630999E-3</v>
          </cell>
          <cell r="Y21">
            <v>1.23733334869304</v>
          </cell>
          <cell r="Z21">
            <v>1.2372392102010099</v>
          </cell>
          <cell r="AA21">
            <v>1.2374216578917301</v>
          </cell>
          <cell r="AF21">
            <v>-3.26789023099517E-4</v>
          </cell>
        </row>
        <row r="22">
          <cell r="O22">
            <v>1.2388993693114601</v>
          </cell>
          <cell r="P22">
            <v>1.24103592090989</v>
          </cell>
          <cell r="Q22">
            <v>1.2392702305260399</v>
          </cell>
          <cell r="U22">
            <v>1.8685283133910999E-3</v>
          </cell>
          <cell r="V22">
            <v>3.6348930597279098E-3</v>
          </cell>
          <cell r="W22">
            <v>2.22967817923236E-3</v>
          </cell>
          <cell r="Y22">
            <v>1.23733334869304</v>
          </cell>
          <cell r="Z22">
            <v>1.2371839373857001</v>
          </cell>
          <cell r="AA22">
            <v>1.2373442387639499</v>
          </cell>
          <cell r="AF22">
            <v>5.4007534418505502E-4</v>
          </cell>
          <cell r="AG22">
            <v>6.8752802620265004E-4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1.2388993693114601</v>
          </cell>
          <cell r="P23">
            <v>1.2407045258166101</v>
          </cell>
          <cell r="Q23">
            <v>1.2392823720000701</v>
          </cell>
          <cell r="U23">
            <v>9.4427372475070295E-4</v>
          </cell>
          <cell r="V23">
            <v>2.6673445931457598E-3</v>
          </cell>
          <cell r="W23">
            <v>1.24357625624403E-3</v>
          </cell>
          <cell r="Y23">
            <v>1.23733334869304</v>
          </cell>
          <cell r="Z23">
            <v>1.23727840991476</v>
          </cell>
          <cell r="AA23">
            <v>1.2373554117674499</v>
          </cell>
          <cell r="AF23">
            <v>-4.256783745556E-4</v>
          </cell>
          <cell r="AG23">
            <v>-2.9611720809329898E-4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1.2388993693114601</v>
          </cell>
          <cell r="P24">
            <v>1.24013195393197</v>
          </cell>
          <cell r="Q24">
            <v>1.23923129947708</v>
          </cell>
          <cell r="U24">
            <v>1.9662462204438399E-3</v>
          </cell>
          <cell r="V24">
            <v>3.4222504053041101E-3</v>
          </cell>
          <cell r="W24">
            <v>2.2753459811824298E-3</v>
          </cell>
          <cell r="Y24">
            <v>1.23733334869304</v>
          </cell>
          <cell r="Z24">
            <v>1.23713275660204</v>
          </cell>
          <cell r="AA24">
            <v>1.2373035892233</v>
          </cell>
          <cell r="AF24">
            <v>6.6913465089252601E-4</v>
          </cell>
          <cell r="AG24">
            <v>7.3136757766802303E-4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1.2388993693114601</v>
          </cell>
          <cell r="P25">
            <v>1.2397496421572001</v>
          </cell>
          <cell r="Q25">
            <v>1.2392118178018601</v>
          </cell>
          <cell r="U25">
            <v>1.45539052606444E-3</v>
          </cell>
          <cell r="V25">
            <v>2.4497988746157101E-3</v>
          </cell>
          <cell r="W25">
            <v>1.7232780687081899E-3</v>
          </cell>
          <cell r="Y25">
            <v>1.23733334869304</v>
          </cell>
          <cell r="Z25">
            <v>1.2371762705692799</v>
          </cell>
          <cell r="AA25">
            <v>1.2372832484134499</v>
          </cell>
          <cell r="AF25">
            <v>4.2309151409616403E-5</v>
          </cell>
          <cell r="AG25">
            <v>1.80387160024781E-4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1.2388993693114601</v>
          </cell>
          <cell r="P26">
            <v>1.2393551428377301</v>
          </cell>
          <cell r="Q26">
            <v>1.2392118178018601</v>
          </cell>
          <cell r="U26">
            <v>1.1404823419767301E-3</v>
          </cell>
          <cell r="V26">
            <v>1.8265600199017899E-3</v>
          </cell>
          <cell r="W26">
            <v>1.39264898702559E-3</v>
          </cell>
          <cell r="Y26">
            <v>1.23733334869304</v>
          </cell>
          <cell r="Z26">
            <v>1.23720764006204</v>
          </cell>
          <cell r="AA26">
            <v>1.2372823226968599</v>
          </cell>
          <cell r="AF26">
            <v>-2.36354685902751E-4</v>
          </cell>
          <cell r="AG26">
            <v>-1.4988906105323601E-4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1.2388993693114601</v>
          </cell>
          <cell r="P27">
            <v>1.2390117160412499</v>
          </cell>
          <cell r="Q27">
            <v>1.2392373540633499</v>
          </cell>
          <cell r="U27">
            <v>7.2785596929742901E-4</v>
          </cell>
          <cell r="V27">
            <v>1.0956741487245E-3</v>
          </cell>
          <cell r="W27">
            <v>9.800226143461641E-4</v>
          </cell>
          <cell r="Y27">
            <v>1.23733334869304</v>
          </cell>
          <cell r="Z27">
            <v>1.2372899063823399</v>
          </cell>
          <cell r="AA27">
            <v>1.2373068453940399</v>
          </cell>
          <cell r="AF27">
            <v>-6.2221262191337E-4</v>
          </cell>
          <cell r="AG27">
            <v>-5.6185057885260097E-4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1.2388993693114601</v>
          </cell>
          <cell r="P28">
            <v>1.23856606582664</v>
          </cell>
          <cell r="Q28">
            <v>1.2392118178018601</v>
          </cell>
          <cell r="U28">
            <v>1.1404823419767301E-3</v>
          </cell>
          <cell r="V28">
            <v>1.2311609224348501E-3</v>
          </cell>
          <cell r="W28">
            <v>1.4132556323279599E-3</v>
          </cell>
          <cell r="Y28">
            <v>1.23733334869304</v>
          </cell>
          <cell r="Z28">
            <v>1.23727030121409</v>
          </cell>
          <cell r="AA28">
            <v>1.23728038341595</v>
          </cell>
          <cell r="AF28">
            <v>-1.4450795613181499E-4</v>
          </cell>
          <cell r="AG28">
            <v>-1.3081763532822799E-4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1.2388993693114601</v>
          </cell>
          <cell r="P29">
            <v>1.23817156650717</v>
          </cell>
          <cell r="Q29">
            <v>1.23921787924219</v>
          </cell>
          <cell r="U29">
            <v>1.1404823419767301E-3</v>
          </cell>
          <cell r="V29">
            <v>8.7141421928231501E-4</v>
          </cell>
          <cell r="W29">
            <v>1.3926489870253701E-3</v>
          </cell>
          <cell r="Y29">
            <v>1.23733334869304</v>
          </cell>
          <cell r="Z29">
            <v>1.23730167070685</v>
          </cell>
          <cell r="AA29">
            <v>1.2372855191396801</v>
          </cell>
          <cell r="AF29">
            <v>-1.6035333196087501E-4</v>
          </cell>
          <cell r="AG29">
            <v>-1.52204618804579E-4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1.2388993693114601</v>
          </cell>
          <cell r="P30">
            <v>1.2377770671877</v>
          </cell>
          <cell r="Q30">
            <v>1.23922999593769</v>
          </cell>
          <cell r="U30">
            <v>1.1404823419767301E-3</v>
          </cell>
          <cell r="V30">
            <v>5.5285054289258399E-4</v>
          </cell>
          <cell r="W30">
            <v>1.3975403424919799E-3</v>
          </cell>
          <cell r="Y30">
            <v>1.23733334869304</v>
          </cell>
          <cell r="Z30">
            <v>1.2373330401996001</v>
          </cell>
          <cell r="AA30">
            <v>1.2372967101185901</v>
          </cell>
          <cell r="AF30">
            <v>-1.34999862259215E-4</v>
          </cell>
          <cell r="AG30">
            <v>-1.4805381100126499E-4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1.2388993693114601</v>
          </cell>
          <cell r="P31">
            <v>1.23731929409244</v>
          </cell>
          <cell r="Q31">
            <v>1.2392044727115501</v>
          </cell>
          <cell r="U31">
            <v>1.23845082338254E-3</v>
          </cell>
          <cell r="V31">
            <v>3.32153832752948E-4</v>
          </cell>
          <cell r="W31">
            <v>1.5052864719373399E-3</v>
          </cell>
          <cell r="Y31">
            <v>1.23733334869304</v>
          </cell>
          <cell r="Z31">
            <v>1.2373013547754601</v>
          </cell>
          <cell r="AA31">
            <v>1.23727028248823</v>
          </cell>
          <cell r="AF31">
            <v>-1.2021572920747701E-5</v>
          </cell>
          <cell r="AG31">
            <v>-4.1383606583385002E-5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1.2388993693114601</v>
          </cell>
          <cell r="P32">
            <v>1.23744827963485</v>
          </cell>
          <cell r="Q32">
            <v>1.2392421002723699</v>
          </cell>
          <cell r="U32">
            <v>8.2599464100393801E-4</v>
          </cell>
          <cell r="V32">
            <v>-4.5020560481751098E-4</v>
          </cell>
          <cell r="W32">
            <v>1.07223404103177E-3</v>
          </cell>
          <cell r="Y32">
            <v>1.23733334869304</v>
          </cell>
          <cell r="Z32">
            <v>1.23742989838754</v>
          </cell>
          <cell r="AA32">
            <v>1.2373069178866201</v>
          </cell>
          <cell r="AF32">
            <v>-4.4867404464796797E-4</v>
          </cell>
          <cell r="AG32">
            <v>-4.7378731011553301E-4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1.2388993693114601</v>
          </cell>
          <cell r="P33">
            <v>1.2373997632958</v>
          </cell>
          <cell r="Q33">
            <v>1.2390521445561999</v>
          </cell>
          <cell r="U33">
            <v>1.33632892102614E-3</v>
          </cell>
          <cell r="V33">
            <v>1.6436920582196899E-4</v>
          </cell>
          <cell r="W33">
            <v>1.6129321475154899E-3</v>
          </cell>
          <cell r="Y33">
            <v>1.23733334869304</v>
          </cell>
          <cell r="Z33">
            <v>1.2373815527199901</v>
          </cell>
          <cell r="AA33">
            <v>1.2373299813173799</v>
          </cell>
          <cell r="AF33">
            <v>1.6379087150834501E-4</v>
          </cell>
          <cell r="AG33">
            <v>6.4402120175465293E-5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1.2388993693114601</v>
          </cell>
          <cell r="P34">
            <v>1.2374776749507499</v>
          </cell>
          <cell r="Q34">
            <v>1.2388048144413599</v>
          </cell>
          <cell r="U34">
            <v>1.33632892102614E-3</v>
          </cell>
          <cell r="V34">
            <v>1.25161676134793E-4</v>
          </cell>
          <cell r="W34">
            <v>1.4596366161767401E-3</v>
          </cell>
          <cell r="Y34">
            <v>1.23733334869304</v>
          </cell>
          <cell r="Z34">
            <v>1.2374591981477201</v>
          </cell>
          <cell r="AA34">
            <v>1.23729597737488</v>
          </cell>
          <cell r="AF34">
            <v>1.2472068897764399E-4</v>
          </cell>
          <cell r="AG34">
            <v>8.3041970540373295E-5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1.2388993693114601</v>
          </cell>
          <cell r="P35">
            <v>1.2375434253183499</v>
          </cell>
          <cell r="Q35">
            <v>1.2386465337377801</v>
          </cell>
          <cell r="U35">
            <v>9.2404278861426897E-4</v>
          </cell>
          <cell r="V35">
            <v>-2.24162425285403E-4</v>
          </cell>
          <cell r="W35">
            <v>8.4771820494008098E-4</v>
          </cell>
          <cell r="Y35">
            <v>1.23733334869304</v>
          </cell>
          <cell r="Z35">
            <v>1.23752472517737</v>
          </cell>
          <cell r="AA35">
            <v>1.2373504978733201</v>
          </cell>
          <cell r="AF35">
            <v>-2.23406911382112E-4</v>
          </cell>
          <cell r="AG35">
            <v>-3.5531553385373399E-4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1.2388993693114601</v>
          </cell>
          <cell r="P36">
            <v>1.23800145750502</v>
          </cell>
          <cell r="Q36">
            <v>1.2386783001713799</v>
          </cell>
          <cell r="U36">
            <v>-2.5539930558266199E-3</v>
          </cell>
          <cell r="V36">
            <v>-3.6490671124963501E-3</v>
          </cell>
          <cell r="W36">
            <v>-2.7580946825634602E-3</v>
          </cell>
          <cell r="Y36">
            <v>1.23733334869304</v>
          </cell>
          <cell r="Z36">
            <v>1.23755928128783</v>
          </cell>
          <cell r="AA36">
            <v>1.2373834606749301</v>
          </cell>
          <cell r="AF36">
            <v>-2.3395055425920599E-4</v>
          </cell>
          <cell r="AG36">
            <v>-3.7474739339539702E-4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1.2388993693114601</v>
          </cell>
          <cell r="P37">
            <v>1.2383448843015099</v>
          </cell>
          <cell r="Q37">
            <v>1.2386783001713799</v>
          </cell>
          <cell r="U37">
            <v>-2.0423532390884498E-3</v>
          </cell>
          <cell r="V37">
            <v>-2.7673817392653002E-3</v>
          </cell>
          <cell r="W37">
            <v>-2.2208091102374401E-3</v>
          </cell>
          <cell r="Y37">
            <v>1.23733334869304</v>
          </cell>
          <cell r="Z37">
            <v>1.2374800576268401</v>
          </cell>
          <cell r="AA37">
            <v>1.2373849820045899</v>
          </cell>
          <cell r="AF37">
            <v>3.0211769569681902E-4</v>
          </cell>
          <cell r="AG37">
            <v>1.6003714553919501E-4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1.2388993693114601</v>
          </cell>
          <cell r="P38">
            <v>1.2387517394155001</v>
          </cell>
          <cell r="Q38">
            <v>1.2386589026210699</v>
          </cell>
          <cell r="U38">
            <v>-2.1418768332208201E-3</v>
          </cell>
          <cell r="V38">
            <v>-2.5895396088301899E-3</v>
          </cell>
          <cell r="W38">
            <v>-2.32033270436979E-3</v>
          </cell>
          <cell r="Y38">
            <v>1.23733334869304</v>
          </cell>
          <cell r="Z38">
            <v>1.23746378631774</v>
          </cell>
          <cell r="AA38">
            <v>1.2373670437659201</v>
          </cell>
          <cell r="AF38">
            <v>1.4066119364385899E-4</v>
          </cell>
          <cell r="AG38">
            <v>6.3828218289881599E-5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1.2388993693114601</v>
          </cell>
          <cell r="P39">
            <v>1.2391585945295001</v>
          </cell>
          <cell r="Q39">
            <v>1.2386650805183299</v>
          </cell>
          <cell r="U39">
            <v>-2.1418768332208201E-3</v>
          </cell>
          <cell r="V39">
            <v>-2.2610460702584901E-3</v>
          </cell>
          <cell r="W39">
            <v>-2.3359927043771502E-3</v>
          </cell>
          <cell r="Y39">
            <v>1.23733334869304</v>
          </cell>
          <cell r="Z39">
            <v>1.2374475150086499</v>
          </cell>
          <cell r="AA39">
            <v>1.23737459285775</v>
          </cell>
          <cell r="AF39">
            <v>1.2751236270090101E-4</v>
          </cell>
          <cell r="AG39">
            <v>4.93312194087988E-5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1.2388993693114601</v>
          </cell>
          <cell r="P40">
            <v>1.2395530938489701</v>
          </cell>
          <cell r="Q40">
            <v>1.2386650805183299</v>
          </cell>
          <cell r="U40">
            <v>-2.0423532390884498E-3</v>
          </cell>
          <cell r="V40">
            <v>-1.83313681012502E-3</v>
          </cell>
          <cell r="W40">
            <v>-2.23148155326356E-3</v>
          </cell>
          <cell r="Y40">
            <v>1.23733334869304</v>
          </cell>
          <cell r="Z40">
            <v>1.2374191881752099</v>
          </cell>
          <cell r="AA40">
            <v>1.23737611418741</v>
          </cell>
          <cell r="AF40">
            <v>2.11801758440102E-4</v>
          </cell>
          <cell r="AG40">
            <v>1.5287053207985499E-4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1.2388993693114601</v>
          </cell>
          <cell r="P41">
            <v>1.2395505088879599</v>
          </cell>
          <cell r="Q41">
            <v>1.2384349014902001</v>
          </cell>
          <cell r="U41">
            <v>1.2593418774856399E-3</v>
          </cell>
          <cell r="V41">
            <v>1.78686827743026E-3</v>
          </cell>
          <cell r="W41">
            <v>1.0702135633104E-3</v>
          </cell>
          <cell r="Y41">
            <v>1.23733334869304</v>
          </cell>
          <cell r="Z41">
            <v>1.2374072698938501</v>
          </cell>
          <cell r="AA41">
            <v>1.23735431233465</v>
          </cell>
          <cell r="AF41">
            <v>1.53925743693651E-4</v>
          </cell>
          <cell r="AG41">
            <v>1.19115601808295E-4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1.2388993693114601</v>
          </cell>
          <cell r="P42">
            <v>1.23956020092163</v>
          </cell>
          <cell r="Q42">
            <v>1.23850424027824</v>
          </cell>
          <cell r="U42">
            <v>7.4770206074728496E-4</v>
          </cell>
          <cell r="V42">
            <v>1.2731430609475001E-3</v>
          </cell>
          <cell r="W42">
            <v>3.7272817677926599E-4</v>
          </cell>
          <cell r="Y42">
            <v>1.23733334869304</v>
          </cell>
          <cell r="Z42">
            <v>1.2374073658205</v>
          </cell>
          <cell r="AA42">
            <v>1.2374186321040199</v>
          </cell>
          <cell r="AF42">
            <v>-3.6385093413912199E-4</v>
          </cell>
          <cell r="AG42">
            <v>-4.0664904413567198E-4</v>
          </cell>
          <cell r="AR42">
            <v>0</v>
          </cell>
          <cell r="BC42">
            <v>0</v>
          </cell>
          <cell r="BF42">
            <v>0</v>
          </cell>
        </row>
        <row r="43">
          <cell r="O43">
            <v>1.2388993693114601</v>
          </cell>
          <cell r="P43">
            <v>1.23963304991793</v>
          </cell>
          <cell r="Q43">
            <v>1.2385164066068599</v>
          </cell>
          <cell r="U43">
            <v>7.4770206074728496E-4</v>
          </cell>
          <cell r="V43">
            <v>1.28096202089354E-3</v>
          </cell>
          <cell r="W43">
            <v>4.2871565494196202E-4</v>
          </cell>
          <cell r="Y43">
            <v>1.23733334869304</v>
          </cell>
          <cell r="Z43">
            <v>1.2374704006544801</v>
          </cell>
          <cell r="AA43">
            <v>1.23742597668724</v>
          </cell>
          <cell r="AF43">
            <v>-3.63773411846778E-4</v>
          </cell>
          <cell r="AG43">
            <v>-3.54668704258658E-4</v>
          </cell>
          <cell r="AR43">
            <v>0</v>
          </cell>
          <cell r="BC43">
            <v>0</v>
          </cell>
          <cell r="BF43">
            <v>0</v>
          </cell>
        </row>
        <row r="44">
          <cell r="O44">
            <v>1.2388993693114601</v>
          </cell>
          <cell r="P44">
            <v>1.23964257546728</v>
          </cell>
          <cell r="Q44">
            <v>1.2385601252090199</v>
          </cell>
          <cell r="U44">
            <v>1.2593418774856399E-3</v>
          </cell>
          <cell r="V44">
            <v>1.8513701456682699E-3</v>
          </cell>
          <cell r="W44">
            <v>9.5017882833356502E-4</v>
          </cell>
          <cell r="Y44">
            <v>1.23733334869304</v>
          </cell>
          <cell r="Z44">
            <v>1.23747055034459</v>
          </cell>
          <cell r="AA44">
            <v>1.23746487424616</v>
          </cell>
          <cell r="AF44">
            <v>1.9531141157355799E-4</v>
          </cell>
          <cell r="AG44">
            <v>1.59411753181855E-4</v>
          </cell>
          <cell r="AR44">
            <v>0</v>
          </cell>
          <cell r="BC44">
            <v>0</v>
          </cell>
          <cell r="BF44">
            <v>0</v>
          </cell>
        </row>
        <row r="45">
          <cell r="O45">
            <v>1.2388993693114601</v>
          </cell>
          <cell r="P45">
            <v>1.23970338239875</v>
          </cell>
          <cell r="Q45">
            <v>1.23862340385855</v>
          </cell>
          <cell r="U45">
            <v>4.32895549454491E-4</v>
          </cell>
          <cell r="V45">
            <v>1.0326079567078499E-3</v>
          </cell>
          <cell r="W45">
            <v>1.59031048084125E-4</v>
          </cell>
          <cell r="Y45">
            <v>1.23733334869304</v>
          </cell>
          <cell r="Z45">
            <v>1.2375214581610601</v>
          </cell>
          <cell r="AA45">
            <v>1.2375230916692099</v>
          </cell>
          <cell r="AF45">
            <v>-6.2544656032993305E-4</v>
          </cell>
          <cell r="AG45">
            <v>-6.3003342621684004E-4</v>
          </cell>
          <cell r="AR45">
            <v>0</v>
          </cell>
          <cell r="BC45">
            <v>0</v>
          </cell>
          <cell r="BF45">
            <v>0</v>
          </cell>
        </row>
        <row r="46">
          <cell r="O46">
            <v>1.2388993693114601</v>
          </cell>
          <cell r="P46">
            <v>1.2392063868616401</v>
          </cell>
          <cell r="Q46">
            <v>1.23860392218333</v>
          </cell>
          <cell r="U46">
            <v>1.45539052606444E-3</v>
          </cell>
          <cell r="V46">
            <v>2.1041537172855501E-3</v>
          </cell>
          <cell r="W46">
            <v>1.23261521433547E-3</v>
          </cell>
          <cell r="Y46">
            <v>1.23733334869304</v>
          </cell>
          <cell r="Z46">
            <v>1.2374388247805299</v>
          </cell>
          <cell r="AA46">
            <v>1.2374990530341801</v>
          </cell>
          <cell r="AF46">
            <v>4.31207359275914E-4</v>
          </cell>
          <cell r="AG46">
            <v>4.32527342107143E-4</v>
          </cell>
          <cell r="AR46">
            <v>0</v>
          </cell>
          <cell r="BC46">
            <v>0</v>
          </cell>
          <cell r="BF46">
            <v>0</v>
          </cell>
        </row>
        <row r="47">
          <cell r="O47">
            <v>1.2388993693114601</v>
          </cell>
          <cell r="P47">
            <v>1.23878504574584</v>
          </cell>
          <cell r="Q47">
            <v>1.2385649650236701</v>
          </cell>
          <cell r="U47">
            <v>1.3574115120773399E-3</v>
          </cell>
          <cell r="V47">
            <v>1.6051955713187E-3</v>
          </cell>
          <cell r="W47">
            <v>1.1189075871391901E-3</v>
          </cell>
          <cell r="Y47">
            <v>1.23733334869304</v>
          </cell>
          <cell r="Z47">
            <v>1.23743110759722</v>
          </cell>
          <cell r="AA47">
            <v>1.2374555826120299</v>
          </cell>
          <cell r="AF47">
            <v>2.67157907220268E-4</v>
          </cell>
          <cell r="AG47">
            <v>3.1582842473389799E-4</v>
          </cell>
          <cell r="AR47">
            <v>0</v>
          </cell>
          <cell r="BC47">
            <v>0</v>
          </cell>
          <cell r="BF47">
            <v>0</v>
          </cell>
        </row>
        <row r="48">
          <cell r="O48">
            <v>1.2388993693114601</v>
          </cell>
          <cell r="P48">
            <v>1.2384146336853299</v>
          </cell>
          <cell r="Q48">
            <v>1.23858318655041</v>
          </cell>
          <cell r="U48">
            <v>8.4603333678089402E-4</v>
          </cell>
          <cell r="V48">
            <v>7.5375074823877603E-4</v>
          </cell>
          <cell r="W48">
            <v>5.7607644158965603E-4</v>
          </cell>
          <cell r="Y48">
            <v>1.23733334869304</v>
          </cell>
          <cell r="Z48">
            <v>1.2374741819674899</v>
          </cell>
          <cell r="AA48">
            <v>1.2374689841426201</v>
          </cell>
          <cell r="AF48">
            <v>-2.4696551602185402E-4</v>
          </cell>
          <cell r="AG48">
            <v>-2.2718682077354799E-4</v>
          </cell>
          <cell r="AR48">
            <v>0</v>
          </cell>
          <cell r="BC48">
            <v>0</v>
          </cell>
          <cell r="BF48">
            <v>0</v>
          </cell>
        </row>
        <row r="49">
          <cell r="O49">
            <v>1.2388993693114601</v>
          </cell>
          <cell r="P49">
            <v>1.23799307072967</v>
          </cell>
          <cell r="Q49">
            <v>1.2385758326295899</v>
          </cell>
          <cell r="U49">
            <v>1.2593418774856399E-3</v>
          </cell>
          <cell r="V49">
            <v>8.6800219932083999E-4</v>
          </cell>
          <cell r="W49">
            <v>1.0040966794780299E-3</v>
          </cell>
          <cell r="Y49">
            <v>1.23733334869304</v>
          </cell>
          <cell r="Z49">
            <v>1.2374664547393399</v>
          </cell>
          <cell r="AA49">
            <v>1.23745698487399</v>
          </cell>
          <cell r="AF49">
            <v>1.9836708646509799E-4</v>
          </cell>
          <cell r="AG49">
            <v>1.9416672748790101E-4</v>
          </cell>
          <cell r="AR49">
            <v>0</v>
          </cell>
          <cell r="BC49">
            <v>0</v>
          </cell>
          <cell r="BF49">
            <v>0</v>
          </cell>
        </row>
        <row r="50">
          <cell r="O50">
            <v>1.2388993693114601</v>
          </cell>
          <cell r="P50">
            <v>1.23750850943943</v>
          </cell>
          <cell r="Q50">
            <v>1.2385308016442</v>
          </cell>
          <cell r="U50">
            <v>1.8685283133910999E-3</v>
          </cell>
          <cell r="V50">
            <v>1.1367253431977E-3</v>
          </cell>
          <cell r="W50">
            <v>1.6073457324606399E-3</v>
          </cell>
          <cell r="Y50">
            <v>1.23733334869304</v>
          </cell>
          <cell r="Z50">
            <v>1.23739595426795</v>
          </cell>
          <cell r="AA50">
            <v>1.23740757122158</v>
          </cell>
          <cell r="AF50">
            <v>7.97115170703289E-4</v>
          </cell>
          <cell r="AG50">
            <v>7.8946251753980495E-4</v>
          </cell>
          <cell r="AR50">
            <v>0</v>
          </cell>
          <cell r="BC50">
            <v>0</v>
          </cell>
          <cell r="BF50">
            <v>0</v>
          </cell>
        </row>
        <row r="51">
          <cell r="O51">
            <v>1.2388993693114601</v>
          </cell>
          <cell r="P51">
            <v>1.2374963754847501</v>
          </cell>
          <cell r="Q51">
            <v>1.23852344218635</v>
          </cell>
          <cell r="U51">
            <v>1.3574115120773399E-3</v>
          </cell>
          <cell r="V51">
            <v>2.3412319578922899E-4</v>
          </cell>
          <cell r="W51">
            <v>1.05987120252046E-3</v>
          </cell>
          <cell r="Y51">
            <v>1.23733334869304</v>
          </cell>
          <cell r="Z51">
            <v>1.2373839087884599</v>
          </cell>
          <cell r="AA51">
            <v>1.2373955893411599</v>
          </cell>
          <cell r="AF51">
            <v>2.3251275599847401E-4</v>
          </cell>
          <cell r="AG51">
            <v>2.4190093854267801E-4</v>
          </cell>
          <cell r="AR51">
            <v>0</v>
          </cell>
          <cell r="BC51">
            <v>0</v>
          </cell>
          <cell r="BF51">
            <v>0</v>
          </cell>
        </row>
        <row r="52">
          <cell r="O52">
            <v>1.2388993693114601</v>
          </cell>
          <cell r="P52">
            <v>1.23735769790868</v>
          </cell>
          <cell r="Q52">
            <v>1.2384589494151499</v>
          </cell>
          <cell r="U52">
            <v>1.8685283133910999E-3</v>
          </cell>
          <cell r="V52">
            <v>7.3543480055601295E-4</v>
          </cell>
          <cell r="W52">
            <v>1.5650458991255799E-3</v>
          </cell>
          <cell r="Y52">
            <v>1.23733334869304</v>
          </cell>
          <cell r="Z52">
            <v>1.2372461948770199</v>
          </cell>
          <cell r="AA52">
            <v>1.23732678034876</v>
          </cell>
          <cell r="AF52">
            <v>7.3040733888949402E-4</v>
          </cell>
          <cell r="AG52">
            <v>7.3984701034693996E-4</v>
          </cell>
          <cell r="AR52">
            <v>0</v>
          </cell>
          <cell r="BC52">
            <v>0</v>
          </cell>
          <cell r="BF52">
            <v>0</v>
          </cell>
        </row>
        <row r="53">
          <cell r="O53">
            <v>1.2388993693114601</v>
          </cell>
          <cell r="P53">
            <v>1.23727011895294</v>
          </cell>
          <cell r="Q53">
            <v>1.23845158443543</v>
          </cell>
          <cell r="U53">
            <v>1.45539052606444E-3</v>
          </cell>
          <cell r="V53">
            <v>2.1022771774242401E-4</v>
          </cell>
          <cell r="W53">
            <v>1.0998344503676E-3</v>
          </cell>
          <cell r="Y53">
            <v>1.23733334869304</v>
          </cell>
          <cell r="Z53">
            <v>1.2371592310003501</v>
          </cell>
          <cell r="AA53">
            <v>1.2373148158274101</v>
          </cell>
          <cell r="AF53">
            <v>2.08751497747836E-4</v>
          </cell>
          <cell r="AG53">
            <v>2.7388230825583902E-4</v>
          </cell>
          <cell r="AR53">
            <v>0</v>
          </cell>
          <cell r="BC53">
            <v>0</v>
          </cell>
          <cell r="BF53">
            <v>0</v>
          </cell>
        </row>
        <row r="54">
          <cell r="O54">
            <v>1.2388993693114601</v>
          </cell>
          <cell r="P54">
            <v>1.2372579849982599</v>
          </cell>
          <cell r="Q54">
            <v>1.2384502802327699</v>
          </cell>
          <cell r="U54">
            <v>1.3574115120773399E-3</v>
          </cell>
          <cell r="V54">
            <v>4.1467186489152403E-5</v>
          </cell>
          <cell r="W54">
            <v>9.95908528232847E-4</v>
          </cell>
          <cell r="Y54">
            <v>1.23733334869304</v>
          </cell>
          <cell r="Z54">
            <v>1.23714718552086</v>
          </cell>
          <cell r="AA54">
            <v>1.23730886793273</v>
          </cell>
          <cell r="AF54">
            <v>4.1186840349336899E-5</v>
          </cell>
          <cell r="AG54">
            <v>1.6693867635762401E-4</v>
          </cell>
          <cell r="AR54">
            <v>0</v>
          </cell>
          <cell r="BC54">
            <v>0</v>
          </cell>
          <cell r="BF54">
            <v>0</v>
          </cell>
        </row>
        <row r="55">
          <cell r="O55">
            <v>1.2388993693114601</v>
          </cell>
          <cell r="P55">
            <v>1.2371314276992</v>
          </cell>
          <cell r="Q55">
            <v>1.23841740504897</v>
          </cell>
          <cell r="U55">
            <v>1.45539052606444E-3</v>
          </cell>
          <cell r="V55">
            <v>1.29639114708363E-4</v>
          </cell>
          <cell r="W55">
            <v>1.09283445030624E-3</v>
          </cell>
          <cell r="Y55">
            <v>1.23733334869304</v>
          </cell>
          <cell r="Z55">
            <v>1.23702150359121</v>
          </cell>
          <cell r="AA55">
            <v>1.23727148087613</v>
          </cell>
          <cell r="AF55">
            <v>1.2872432260199401E-4</v>
          </cell>
          <cell r="AG55">
            <v>2.5940549745873099E-4</v>
          </cell>
          <cell r="AR55">
            <v>0</v>
          </cell>
          <cell r="BC55">
            <v>0</v>
          </cell>
          <cell r="BF55">
            <v>0</v>
          </cell>
        </row>
        <row r="56">
          <cell r="O56">
            <v>1.2388993693114601</v>
          </cell>
          <cell r="P56">
            <v>1.23762679606784</v>
          </cell>
          <cell r="Q56">
            <v>1.23841659146474</v>
          </cell>
          <cell r="U56">
            <v>-2.5408924871983202E-3</v>
          </cell>
          <cell r="V56">
            <v>-3.9689376592101904E-3</v>
          </cell>
          <cell r="W56">
            <v>-2.9299943360682501E-3</v>
          </cell>
          <cell r="Y56">
            <v>1.23733334869304</v>
          </cell>
          <cell r="Z56">
            <v>1.2371024692144601</v>
          </cell>
          <cell r="AA56">
            <v>1.2372706469974899</v>
          </cell>
          <cell r="AF56">
            <v>-6.2719533886582102E-4</v>
          </cell>
          <cell r="AG56">
            <v>-4.2513577086455002E-4</v>
          </cell>
          <cell r="AR56">
            <v>0</v>
          </cell>
          <cell r="BC56">
            <v>0</v>
          </cell>
          <cell r="BF56">
            <v>0</v>
          </cell>
        </row>
        <row r="57">
          <cell r="O57">
            <v>1.2388993693114601</v>
          </cell>
          <cell r="P57">
            <v>1.2381100428823799</v>
          </cell>
          <cell r="Q57">
            <v>1.2384475443141101</v>
          </cell>
          <cell r="U57">
            <v>-2.5408924871983202E-3</v>
          </cell>
          <cell r="V57">
            <v>-3.5686008743862499E-3</v>
          </cell>
          <cell r="W57">
            <v>-2.9306512910626998E-3</v>
          </cell>
          <cell r="Y57">
            <v>1.23733334869304</v>
          </cell>
          <cell r="Z57">
            <v>1.23717140158439</v>
          </cell>
          <cell r="AA57">
            <v>1.23730125459081</v>
          </cell>
          <cell r="AF57">
            <v>-5.6174540654993304E-4</v>
          </cell>
          <cell r="AG57">
            <v>-4.2580973687084101E-4</v>
          </cell>
          <cell r="AR57">
            <v>0</v>
          </cell>
          <cell r="BC57">
            <v>0</v>
          </cell>
          <cell r="BF57">
            <v>0</v>
          </cell>
        </row>
        <row r="58">
          <cell r="O58">
            <v>1.2388993693114601</v>
          </cell>
          <cell r="P58">
            <v>1.2385300048471</v>
          </cell>
          <cell r="Q58">
            <v>1.2384723192662099</v>
          </cell>
          <cell r="U58">
            <v>-2.5408924871983202E-3</v>
          </cell>
          <cell r="V58">
            <v>-3.1782146159844101E-3</v>
          </cell>
          <cell r="W58">
            <v>-2.9056577123503101E-3</v>
          </cell>
          <cell r="Y58">
            <v>1.23733334869304</v>
          </cell>
          <cell r="Z58">
            <v>1.23717748687641</v>
          </cell>
          <cell r="AA58">
            <v>1.23732583442195</v>
          </cell>
          <cell r="AF58">
            <v>-5.0602613410920499E-4</v>
          </cell>
          <cell r="AG58">
            <v>-4.0107204927622398E-4</v>
          </cell>
          <cell r="AR58">
            <v>0</v>
          </cell>
          <cell r="BC58">
            <v>0</v>
          </cell>
          <cell r="BF58">
            <v>0</v>
          </cell>
        </row>
        <row r="59">
          <cell r="O59">
            <v>1.2388993693114601</v>
          </cell>
          <cell r="P59">
            <v>1.23900111770696</v>
          </cell>
          <cell r="Q59">
            <v>1.23849709421832</v>
          </cell>
          <cell r="U59">
            <v>-2.5408924871983202E-3</v>
          </cell>
          <cell r="V59">
            <v>-2.8390761375212499E-3</v>
          </cell>
          <cell r="W59">
            <v>-2.88565306668643E-3</v>
          </cell>
          <cell r="Y59">
            <v>1.23733334869304</v>
          </cell>
          <cell r="Z59">
            <v>1.2372343737668601</v>
          </cell>
          <cell r="AA59">
            <v>1.2373504142531</v>
          </cell>
          <cell r="AF59">
            <v>-5.0110743242563999E-4</v>
          </cell>
          <cell r="AG59">
            <v>-3.8120656630825402E-4</v>
          </cell>
          <cell r="AR59">
            <v>0</v>
          </cell>
          <cell r="BC59">
            <v>0</v>
          </cell>
          <cell r="BF59">
            <v>0</v>
          </cell>
        </row>
        <row r="60">
          <cell r="O60">
            <v>1.2388993693114601</v>
          </cell>
          <cell r="P60">
            <v>1.2394715548514701</v>
          </cell>
          <cell r="Q60">
            <v>1.2384900321454499</v>
          </cell>
          <cell r="U60">
            <v>-1.9285737754411701E-3</v>
          </cell>
          <cell r="V60">
            <v>-1.8464490928040199E-3</v>
          </cell>
          <cell r="W60">
            <v>-2.2533301094433298E-3</v>
          </cell>
          <cell r="Y60">
            <v>1.23733334869304</v>
          </cell>
          <cell r="Z60">
            <v>1.2372912606020801</v>
          </cell>
          <cell r="AA60">
            <v>1.2373436074350199</v>
          </cell>
          <cell r="AF60">
            <v>1.4958747602575499E-4</v>
          </cell>
          <cell r="AG60">
            <v>2.43373299721699E-4</v>
          </cell>
          <cell r="AR60">
            <v>0</v>
          </cell>
          <cell r="BC60">
            <v>0</v>
          </cell>
          <cell r="BF60">
            <v>0</v>
          </cell>
        </row>
        <row r="61">
          <cell r="O61">
            <v>1.2388993693114601</v>
          </cell>
          <cell r="P61">
            <v>1.2399423951420601</v>
          </cell>
          <cell r="Q61">
            <v>1.23871938531341</v>
          </cell>
          <cell r="U61">
            <v>-2.4410001253676599E-3</v>
          </cell>
          <cell r="V61">
            <v>-1.9792568531313E-3</v>
          </cell>
          <cell r="W61">
            <v>-2.7714586067844201E-3</v>
          </cell>
          <cell r="Y61">
            <v>1.23733334869304</v>
          </cell>
          <cell r="Z61">
            <v>1.23734812791334</v>
          </cell>
          <cell r="AA61">
            <v>1.2373660183509001</v>
          </cell>
          <cell r="AF61">
            <v>-3.1167259590483999E-4</v>
          </cell>
          <cell r="AG61">
            <v>-2.69365883414131E-4</v>
          </cell>
          <cell r="AR61">
            <v>0</v>
          </cell>
          <cell r="BC61">
            <v>0</v>
          </cell>
          <cell r="BF61">
            <v>0</v>
          </cell>
        </row>
        <row r="62">
          <cell r="O62">
            <v>1.2388993693114601</v>
          </cell>
          <cell r="P62">
            <v>1.2404004773974999</v>
          </cell>
          <cell r="Q62">
            <v>1.23887908765309</v>
          </cell>
          <cell r="U62">
            <v>-1.8290362444792899E-3</v>
          </cell>
          <cell r="V62">
            <v>-9.8749330526369094E-4</v>
          </cell>
          <cell r="W62">
            <v>-1.9743241327281201E-3</v>
          </cell>
          <cell r="Y62">
            <v>1.23733334869304</v>
          </cell>
          <cell r="Z62">
            <v>1.23739299984747</v>
          </cell>
          <cell r="AA62">
            <v>1.2373195973622499</v>
          </cell>
          <cell r="AF62">
            <v>3.3865572653845802E-4</v>
          </cell>
          <cell r="AG62">
            <v>3.5311431569389699E-4</v>
          </cell>
          <cell r="AR62">
            <v>0</v>
          </cell>
          <cell r="BC62">
            <v>0</v>
          </cell>
          <cell r="BF62">
            <v>0</v>
          </cell>
        </row>
        <row r="63">
          <cell r="O63">
            <v>1.2388993693114601</v>
          </cell>
          <cell r="P63">
            <v>1.2404612093642899</v>
          </cell>
          <cell r="Q63">
            <v>1.23886566415862</v>
          </cell>
          <cell r="U63">
            <v>9.64587986378991E-4</v>
          </cell>
          <cell r="V63">
            <v>2.17550103624735E-3</v>
          </cell>
          <cell r="W63">
            <v>9.4821714554044201E-4</v>
          </cell>
          <cell r="Y63">
            <v>1.23733334869304</v>
          </cell>
          <cell r="Z63">
            <v>1.2374550403904501</v>
          </cell>
          <cell r="AA63">
            <v>1.2373071356954</v>
          </cell>
          <cell r="AF63">
            <v>-1.7402044618527801E-4</v>
          </cell>
          <cell r="AG63">
            <v>-2.3334247439163301E-4</v>
          </cell>
          <cell r="AR63">
            <v>0</v>
          </cell>
          <cell r="BC63">
            <v>0</v>
          </cell>
          <cell r="BF63">
            <v>0</v>
          </cell>
        </row>
        <row r="64">
          <cell r="O64">
            <v>1.2388993693114601</v>
          </cell>
          <cell r="P64">
            <v>1.2404343126205799</v>
          </cell>
          <cell r="Q64">
            <v>1.23884614880942</v>
          </cell>
          <cell r="U64">
            <v>1.5748319672916301E-3</v>
          </cell>
          <cell r="V64">
            <v>2.83470539824902E-3</v>
          </cell>
          <cell r="W64">
            <v>1.5476258743864701E-3</v>
          </cell>
          <cell r="Y64">
            <v>1.23733334869304</v>
          </cell>
          <cell r="Z64">
            <v>1.2374303138479601</v>
          </cell>
          <cell r="AA64">
            <v>1.23728874968441</v>
          </cell>
          <cell r="AF64">
            <v>4.8015568285492599E-4</v>
          </cell>
          <cell r="AG64">
            <v>3.6062525147944902E-4</v>
          </cell>
          <cell r="AR64">
            <v>0</v>
          </cell>
          <cell r="BC64">
            <v>0</v>
          </cell>
          <cell r="BF64">
            <v>0</v>
          </cell>
        </row>
        <row r="65">
          <cell r="O65">
            <v>1.2388993693114601</v>
          </cell>
          <cell r="P65">
            <v>1.2404195374309701</v>
          </cell>
          <cell r="Q65">
            <v>1.2387754825650801</v>
          </cell>
          <cell r="U65">
            <v>1.5748319672916301E-3</v>
          </cell>
          <cell r="V65">
            <v>2.8130223056097399E-3</v>
          </cell>
          <cell r="W65">
            <v>1.5318731552094701E-3</v>
          </cell>
          <cell r="Y65">
            <v>1.23733334869304</v>
          </cell>
          <cell r="Z65">
            <v>1.2374176205587899</v>
          </cell>
          <cell r="AA65">
            <v>1.2372195620749999</v>
          </cell>
          <cell r="AF65">
            <v>4.6017371282107297E-4</v>
          </cell>
          <cell r="AG65">
            <v>3.4576544257137098E-4</v>
          </cell>
          <cell r="AR65">
            <v>0</v>
          </cell>
          <cell r="BC65">
            <v>0</v>
          </cell>
          <cell r="BF65">
            <v>0</v>
          </cell>
        </row>
        <row r="66">
          <cell r="O66">
            <v>1.2388993693114601</v>
          </cell>
          <cell r="P66">
            <v>1.23984612278083</v>
          </cell>
          <cell r="Q66">
            <v>1.23873645942434</v>
          </cell>
          <cell r="U66">
            <v>2.0864717840299199E-3</v>
          </cell>
          <cell r="V66">
            <v>3.3127507478780899E-3</v>
          </cell>
          <cell r="W66">
            <v>1.98646935926654E-3</v>
          </cell>
          <cell r="Y66">
            <v>1.23733334869304</v>
          </cell>
          <cell r="Z66">
            <v>1.23726133453566</v>
          </cell>
          <cell r="AA66">
            <v>1.2371819018750601</v>
          </cell>
          <cell r="AF66">
            <v>9.5638322465734795E-4</v>
          </cell>
          <cell r="AG66">
            <v>7.9631249945789396E-4</v>
          </cell>
          <cell r="AR66">
            <v>0</v>
          </cell>
          <cell r="BC66">
            <v>0</v>
          </cell>
          <cell r="BF66">
            <v>0</v>
          </cell>
        </row>
        <row r="67">
          <cell r="O67">
            <v>1.2388993693114601</v>
          </cell>
          <cell r="P67">
            <v>1.23943833336792</v>
          </cell>
          <cell r="Q67">
            <v>1.2387741881251499</v>
          </cell>
          <cell r="U67">
            <v>7.4770206074728496E-4</v>
          </cell>
          <cell r="V67">
            <v>1.51159937769722E-3</v>
          </cell>
          <cell r="W67">
            <v>6.1619775694967197E-4</v>
          </cell>
          <cell r="Y67">
            <v>1.23733334869304</v>
          </cell>
          <cell r="Z67">
            <v>1.2372689947475699</v>
          </cell>
          <cell r="AA67">
            <v>1.2372201981659801</v>
          </cell>
          <cell r="AF67">
            <v>-4.9522028667483295E-4</v>
          </cell>
          <cell r="AG67">
            <v>-5.5942273792311103E-4</v>
          </cell>
          <cell r="AR67">
            <v>0</v>
          </cell>
          <cell r="BC67">
            <v>0</v>
          </cell>
          <cell r="BF67">
            <v>0</v>
          </cell>
        </row>
        <row r="68">
          <cell r="O68">
            <v>1.2388993693114601</v>
          </cell>
          <cell r="P68">
            <v>1.23896722050806</v>
          </cell>
          <cell r="Q68">
            <v>1.23874861267758</v>
          </cell>
          <cell r="U68">
            <v>1.2593418774856399E-3</v>
          </cell>
          <cell r="V68">
            <v>1.6942818490423501E-3</v>
          </cell>
          <cell r="W68">
            <v>1.15829451711551E-3</v>
          </cell>
          <cell r="Y68">
            <v>1.23733334869304</v>
          </cell>
          <cell r="Z68">
            <v>1.2372139765469401</v>
          </cell>
          <cell r="AA68">
            <v>1.23719573171168</v>
          </cell>
          <cell r="AF68">
            <v>1.7438303902930098E-5</v>
          </cell>
          <cell r="AG68">
            <v>-2.2001417019361099E-5</v>
          </cell>
          <cell r="AR68">
            <v>0</v>
          </cell>
          <cell r="BC68">
            <v>0</v>
          </cell>
          <cell r="BF68">
            <v>0</v>
          </cell>
        </row>
        <row r="69">
          <cell r="O69">
            <v>1.2388993693114601</v>
          </cell>
          <cell r="P69">
            <v>1.2385472585433399</v>
          </cell>
          <cell r="Q69">
            <v>1.2387741881251499</v>
          </cell>
          <cell r="U69">
            <v>8.4603333678089402E-4</v>
          </cell>
          <cell r="V69">
            <v>9.0079915580852405E-4</v>
          </cell>
          <cell r="W69">
            <v>7.2433999279909495E-4</v>
          </cell>
          <cell r="Y69">
            <v>1.23733334869304</v>
          </cell>
          <cell r="Z69">
            <v>1.2372095922575601</v>
          </cell>
          <cell r="AA69">
            <v>1.23722198301221</v>
          </cell>
          <cell r="AF69">
            <v>-4.3619286790436102E-4</v>
          </cell>
          <cell r="AG69">
            <v>-4.5093968627017299E-4</v>
          </cell>
          <cell r="AR69">
            <v>0</v>
          </cell>
          <cell r="BC69">
            <v>0</v>
          </cell>
          <cell r="BF69">
            <v>0</v>
          </cell>
        </row>
        <row r="70">
          <cell r="O70">
            <v>1.2388993693114601</v>
          </cell>
          <cell r="P70">
            <v>1.2381279200191699</v>
          </cell>
          <cell r="Q70">
            <v>1.2387997374353199</v>
          </cell>
          <cell r="U70">
            <v>1.45539052606444E-3</v>
          </cell>
          <cell r="V70">
            <v>1.1711375645425E-3</v>
          </cell>
          <cell r="W70">
            <v>1.3543431656942201E-3</v>
          </cell>
          <cell r="Y70">
            <v>1.23733334869304</v>
          </cell>
          <cell r="Z70">
            <v>1.2372054016557199</v>
          </cell>
          <cell r="AA70">
            <v>1.2372483311289</v>
          </cell>
          <cell r="AF70">
            <v>1.63433874390905E-4</v>
          </cell>
          <cell r="AG70">
            <v>1.7344890553587701E-4</v>
          </cell>
          <cell r="AR70">
            <v>0</v>
          </cell>
          <cell r="BC70">
            <v>0</v>
          </cell>
          <cell r="BF70">
            <v>0</v>
          </cell>
        </row>
        <row r="71">
          <cell r="O71">
            <v>1.2388993693114601</v>
          </cell>
          <cell r="P71">
            <v>1.23759385955413</v>
          </cell>
          <cell r="Q71">
            <v>1.2387681273480999</v>
          </cell>
          <cell r="U71">
            <v>1.8685283133910999E-3</v>
          </cell>
          <cell r="V71">
            <v>1.24564513357631E-3</v>
          </cell>
          <cell r="W71">
            <v>1.7881054114120801E-3</v>
          </cell>
          <cell r="Y71">
            <v>1.23733334869304</v>
          </cell>
          <cell r="Z71">
            <v>1.2370878646024901</v>
          </cell>
          <cell r="AA71">
            <v>1.23721799625791</v>
          </cell>
          <cell r="AF71">
            <v>5.6904211348313897E-4</v>
          </cell>
          <cell r="AG71">
            <v>6.0374025523385496E-4</v>
          </cell>
          <cell r="AR71">
            <v>0</v>
          </cell>
          <cell r="BC71">
            <v>0</v>
          </cell>
          <cell r="BF71">
            <v>0</v>
          </cell>
        </row>
        <row r="72">
          <cell r="O72">
            <v>1.2388993693114601</v>
          </cell>
          <cell r="P72">
            <v>1.23713577729869</v>
          </cell>
          <cell r="Q72">
            <v>1.2387681273480999</v>
          </cell>
          <cell r="U72">
            <v>1.8685283133910999E-3</v>
          </cell>
          <cell r="V72">
            <v>8.1420693423362703E-4</v>
          </cell>
          <cell r="W72">
            <v>1.76258838104194E-3</v>
          </cell>
          <cell r="Y72">
            <v>1.23733334869304</v>
          </cell>
          <cell r="Z72">
            <v>1.2370451062144701</v>
          </cell>
          <cell r="AA72">
            <v>1.2372190530309699</v>
          </cell>
          <cell r="AF72">
            <v>4.7403554742957897E-4</v>
          </cell>
          <cell r="AG72">
            <v>5.7922194140541802E-4</v>
          </cell>
          <cell r="AR72">
            <v>0</v>
          </cell>
          <cell r="BC72">
            <v>0</v>
          </cell>
          <cell r="BF72">
            <v>0</v>
          </cell>
        </row>
        <row r="73">
          <cell r="O73">
            <v>1.2388993693114601</v>
          </cell>
          <cell r="P73">
            <v>1.2370871668860099</v>
          </cell>
          <cell r="Q73">
            <v>1.2387741881251499</v>
          </cell>
          <cell r="U73">
            <v>1.3574115120773399E-3</v>
          </cell>
          <cell r="V73">
            <v>-6.7117791085499301E-5</v>
          </cell>
          <cell r="W73">
            <v>1.2514715797284099E-3</v>
          </cell>
          <cell r="Y73">
            <v>1.23733334869304</v>
          </cell>
          <cell r="Z73">
            <v>1.2369970064088001</v>
          </cell>
          <cell r="AA73">
            <v>1.2372260233996299</v>
          </cell>
          <cell r="AF73">
            <v>-6.6483639944680303E-5</v>
          </cell>
          <cell r="AG73">
            <v>7.4121247483015096E-5</v>
          </cell>
          <cell r="AR73">
            <v>0</v>
          </cell>
          <cell r="BC73">
            <v>0</v>
          </cell>
          <cell r="BF73">
            <v>0</v>
          </cell>
        </row>
        <row r="74">
          <cell r="O74">
            <v>1.2388993693114601</v>
          </cell>
          <cell r="P74">
            <v>1.23710194207562</v>
          </cell>
          <cell r="Q74">
            <v>1.2387681273480999</v>
          </cell>
          <cell r="U74">
            <v>1.45539052606444E-3</v>
          </cell>
          <cell r="V74">
            <v>-8.4322553243452505E-6</v>
          </cell>
          <cell r="W74">
            <v>1.35434316569444E-3</v>
          </cell>
          <cell r="Y74">
            <v>1.23733334869304</v>
          </cell>
          <cell r="Z74">
            <v>1.2370116458965901</v>
          </cell>
          <cell r="AA74">
            <v>1.23722097987228</v>
          </cell>
          <cell r="AF74">
            <v>-8.4077571040091594E-6</v>
          </cell>
          <cell r="AG74">
            <v>1.76714593404864E-4</v>
          </cell>
          <cell r="AR74">
            <v>0</v>
          </cell>
          <cell r="BC74">
            <v>0</v>
          </cell>
          <cell r="BF74">
            <v>0</v>
          </cell>
        </row>
        <row r="75">
          <cell r="O75">
            <v>1.2388993693114601</v>
          </cell>
          <cell r="P75">
            <v>1.23754842334365</v>
          </cell>
          <cell r="Q75">
            <v>1.2389839803873099</v>
          </cell>
          <cell r="U75">
            <v>-2.02820342187942E-3</v>
          </cell>
          <cell r="V75">
            <v>-3.48008274304274E-3</v>
          </cell>
          <cell r="W75">
            <v>-2.1341433542283201E-3</v>
          </cell>
          <cell r="Y75">
            <v>1.23733334869304</v>
          </cell>
          <cell r="Z75">
            <v>1.23704795513223</v>
          </cell>
          <cell r="AA75">
            <v>1.2372327878455101</v>
          </cell>
          <cell r="AF75">
            <v>-1.7173659002962899E-4</v>
          </cell>
          <cell r="AG75">
            <v>-2.52535741877753E-6</v>
          </cell>
          <cell r="AR75">
            <v>0</v>
          </cell>
          <cell r="BC75">
            <v>0</v>
          </cell>
          <cell r="BF75">
            <v>0</v>
          </cell>
        </row>
        <row r="76">
          <cell r="O76">
            <v>1.2388993693114601</v>
          </cell>
          <cell r="P76">
            <v>1.23804580814932</v>
          </cell>
          <cell r="Q76">
            <v>1.2389459654650801</v>
          </cell>
          <cell r="U76">
            <v>-1.9285737754411701E-3</v>
          </cell>
          <cell r="V76">
            <v>-3.0196091736642201E-3</v>
          </cell>
          <cell r="W76">
            <v>-1.86028074954732E-3</v>
          </cell>
          <cell r="Y76">
            <v>1.23733334869304</v>
          </cell>
          <cell r="Z76">
            <v>1.23713490091315</v>
          </cell>
          <cell r="AA76">
            <v>1.2371981177244</v>
          </cell>
          <cell r="AF76">
            <v>-4.5464879591260698E-5</v>
          </cell>
          <cell r="AG76">
            <v>1.03938306889988E-4</v>
          </cell>
          <cell r="AR76">
            <v>0</v>
          </cell>
          <cell r="BC76">
            <v>0</v>
          </cell>
          <cell r="BF76">
            <v>0</v>
          </cell>
        </row>
        <row r="77">
          <cell r="O77">
            <v>1.2388993693114601</v>
          </cell>
          <cell r="P77">
            <v>1.23837756771776</v>
          </cell>
          <cell r="Q77">
            <v>1.23890795054284</v>
          </cell>
          <cell r="U77">
            <v>-1.9285737754411701E-3</v>
          </cell>
          <cell r="V77">
            <v>-2.6177785295032098E-3</v>
          </cell>
          <cell r="W77">
            <v>-1.89096355581697E-3</v>
          </cell>
          <cell r="Y77">
            <v>1.23733334869304</v>
          </cell>
          <cell r="Z77">
            <v>1.2370579004590201</v>
          </cell>
          <cell r="AA77">
            <v>1.23716344760329</v>
          </cell>
          <cell r="AF77">
            <v>2.4817541727373998E-5</v>
          </cell>
          <cell r="AG77">
            <v>7.5915603946790196E-5</v>
          </cell>
          <cell r="AR77">
            <v>0</v>
          </cell>
          <cell r="BC77">
            <v>0</v>
          </cell>
          <cell r="BF77">
            <v>0</v>
          </cell>
        </row>
        <row r="78">
          <cell r="O78">
            <v>1.2388993693114601</v>
          </cell>
          <cell r="P78">
            <v>1.23888752981995</v>
          </cell>
          <cell r="Q78">
            <v>1.23892737516401</v>
          </cell>
          <cell r="U78">
            <v>-2.8536264980468999E-3</v>
          </cell>
          <cell r="V78">
            <v>-3.2748967998238402E-3</v>
          </cell>
          <cell r="W78">
            <v>-2.8467000261558802E-3</v>
          </cell>
          <cell r="Y78">
            <v>1.23733334869304</v>
          </cell>
          <cell r="Z78">
            <v>1.2371567107213799</v>
          </cell>
          <cell r="AA78">
            <v>1.23718534363416</v>
          </cell>
          <cell r="AF78">
            <v>-9.5150038039851497E-4</v>
          </cell>
          <cell r="AG78">
            <v>-8.6618291725031895E-4</v>
          </cell>
          <cell r="AR78">
            <v>0</v>
          </cell>
          <cell r="BC78">
            <v>0</v>
          </cell>
          <cell r="BF78">
            <v>0</v>
          </cell>
        </row>
        <row r="79">
          <cell r="O79">
            <v>1.2388993693114601</v>
          </cell>
          <cell r="P79">
            <v>1.2393339209565899</v>
          </cell>
          <cell r="Q79">
            <v>1.2389405897499699</v>
          </cell>
          <cell r="U79">
            <v>-2.7536563304990402E-3</v>
          </cell>
          <cell r="V79">
            <v>-2.7632128355533098E-3</v>
          </cell>
          <cell r="W79">
            <v>-2.7310511563422598E-3</v>
          </cell>
          <cell r="Y79">
            <v>1.23733334869304</v>
          </cell>
          <cell r="Z79">
            <v>1.2371928453846499</v>
          </cell>
          <cell r="AA79">
            <v>1.2372012188211099</v>
          </cell>
          <cell r="AF79">
            <v>-7.7437486155852503E-4</v>
          </cell>
          <cell r="AG79">
            <v>-7.5123100177264604E-4</v>
          </cell>
          <cell r="AR79">
            <v>0</v>
          </cell>
          <cell r="BC79">
            <v>0</v>
          </cell>
          <cell r="BF79">
            <v>0</v>
          </cell>
        </row>
        <row r="80">
          <cell r="O80">
            <v>1.2388993693114601</v>
          </cell>
          <cell r="P80">
            <v>1.2398557184971499</v>
          </cell>
          <cell r="Q80">
            <v>1.2389918192581599</v>
          </cell>
          <cell r="U80">
            <v>-2.7536563304990402E-3</v>
          </cell>
          <cell r="V80">
            <v>-2.4029616228718699E-3</v>
          </cell>
          <cell r="W80">
            <v>-2.7203850626296802E-3</v>
          </cell>
          <cell r="Y80">
            <v>1.23733334869304</v>
          </cell>
          <cell r="Z80">
            <v>1.23730361518318</v>
          </cell>
          <cell r="AA80">
            <v>1.2372545084194499</v>
          </cell>
          <cell r="AF80">
            <v>-7.4516745778813599E-4</v>
          </cell>
          <cell r="AG80">
            <v>-7.3839938751361499E-4</v>
          </cell>
          <cell r="AR80">
            <v>0</v>
          </cell>
          <cell r="BC80">
            <v>0</v>
          </cell>
          <cell r="BF80">
            <v>0</v>
          </cell>
        </row>
        <row r="81">
          <cell r="O81">
            <v>1.2388993693114601</v>
          </cell>
          <cell r="P81">
            <v>1.2404286146580601</v>
          </cell>
          <cell r="Q81">
            <v>1.23901123710609</v>
          </cell>
          <cell r="U81">
            <v>-2.7536563304990402E-3</v>
          </cell>
          <cell r="V81">
            <v>-1.9820196021683402E-3</v>
          </cell>
          <cell r="W81">
            <v>-2.6790364705389798E-3</v>
          </cell>
          <cell r="Y81">
            <v>1.23733334869304</v>
          </cell>
          <cell r="Z81">
            <v>1.23746496766898</v>
          </cell>
          <cell r="AA81">
            <v>1.2372764161357299</v>
          </cell>
          <cell r="AF81">
            <v>-6.5563829468636196E-4</v>
          </cell>
          <cell r="AG81">
            <v>-6.9532761398087702E-4</v>
          </cell>
          <cell r="AR81">
            <v>0</v>
          </cell>
          <cell r="BC81">
            <v>0</v>
          </cell>
          <cell r="BF81">
            <v>0</v>
          </cell>
        </row>
        <row r="82">
          <cell r="O82">
            <v>1.2388993693114601</v>
          </cell>
          <cell r="P82">
            <v>1.2408743546701599</v>
          </cell>
          <cell r="Q82">
            <v>1.2390050659844301</v>
          </cell>
          <cell r="U82">
            <v>-1.7295907008089001E-3</v>
          </cell>
          <cell r="V82">
            <v>-4.9599389521422905E-4</v>
          </cell>
          <cell r="W82">
            <v>-1.63929866653042E-3</v>
          </cell>
          <cell r="Y82">
            <v>1.23733334869304</v>
          </cell>
          <cell r="Z82">
            <v>1.2375012847350899</v>
          </cell>
          <cell r="AA82">
            <v>1.23727319547478</v>
          </cell>
          <cell r="AF82">
            <v>4.8515528465419401E-4</v>
          </cell>
          <cell r="AG82">
            <v>3.3277448652568599E-4</v>
          </cell>
          <cell r="AR82">
            <v>0</v>
          </cell>
          <cell r="BC82">
            <v>0</v>
          </cell>
          <cell r="BF82">
            <v>0</v>
          </cell>
        </row>
        <row r="83">
          <cell r="O83">
            <v>1.2388993693114601</v>
          </cell>
          <cell r="P83">
            <v>1.2413716233051699</v>
          </cell>
          <cell r="Q83">
            <v>1.2392293950955899</v>
          </cell>
          <cell r="U83">
            <v>-2.6537785592697901E-3</v>
          </cell>
          <cell r="V83">
            <v>-1.0609027600116301E-3</v>
          </cell>
          <cell r="W83">
            <v>-2.5684672199596599E-3</v>
          </cell>
          <cell r="Y83">
            <v>1.23733334869304</v>
          </cell>
          <cell r="Z83">
            <v>1.2375880304739599</v>
          </cell>
          <cell r="AA83">
            <v>1.2372925184413801</v>
          </cell>
          <cell r="AF83">
            <v>-3.9872805384287102E-4</v>
          </cell>
          <cell r="AG83">
            <v>-5.8305940426060603E-4</v>
          </cell>
          <cell r="AR83">
            <v>0</v>
          </cell>
          <cell r="BC83">
            <v>0</v>
          </cell>
          <cell r="BF83">
            <v>0</v>
          </cell>
        </row>
        <row r="84">
          <cell r="O84">
            <v>1.2388993693114601</v>
          </cell>
          <cell r="P84">
            <v>1.24140802518823</v>
          </cell>
          <cell r="Q84">
            <v>1.23925498363192</v>
          </cell>
          <cell r="U84">
            <v>1.1611814960366799E-3</v>
          </cell>
          <cell r="V84">
            <v>3.1547175409538798E-3</v>
          </cell>
          <cell r="W84">
            <v>1.4275322933134499E-3</v>
          </cell>
          <cell r="Y84">
            <v>1.23733334869304</v>
          </cell>
          <cell r="Z84">
            <v>1.23762528414944</v>
          </cell>
          <cell r="AA84">
            <v>1.23731846502302</v>
          </cell>
          <cell r="AF84">
            <v>1.68153203537961E-4</v>
          </cell>
          <cell r="AG84">
            <v>-7.0655925341700298E-5</v>
          </cell>
          <cell r="AR84">
            <v>0</v>
          </cell>
          <cell r="BC84">
            <v>0</v>
          </cell>
          <cell r="BF84">
            <v>0</v>
          </cell>
        </row>
        <row r="85">
          <cell r="O85">
            <v>1.2388993693114601</v>
          </cell>
          <cell r="P85">
            <v>1.2410005746185899</v>
          </cell>
          <cell r="Q85">
            <v>1.23927449898112</v>
          </cell>
          <cell r="U85">
            <v>1.2593418774856399E-3</v>
          </cell>
          <cell r="V85">
            <v>3.2822014131844899E-3</v>
          </cell>
          <cell r="W85">
            <v>1.5463412102594901E-3</v>
          </cell>
          <cell r="Y85">
            <v>1.23733334869304</v>
          </cell>
          <cell r="Z85">
            <v>1.2376288878010999</v>
          </cell>
          <cell r="AA85">
            <v>1.2373384214666601</v>
          </cell>
          <cell r="AF85">
            <v>2.9507898056602301E-4</v>
          </cell>
          <cell r="AG85">
            <v>4.7138696589116997E-5</v>
          </cell>
          <cell r="AR85">
            <v>0</v>
          </cell>
          <cell r="BC85">
            <v>0</v>
          </cell>
          <cell r="BF85">
            <v>0</v>
          </cell>
        </row>
        <row r="86">
          <cell r="O86">
            <v>1.2388993693114601</v>
          </cell>
          <cell r="P86">
            <v>1.2406054916032001</v>
          </cell>
          <cell r="Q86">
            <v>1.2393256498762599</v>
          </cell>
          <cell r="U86">
            <v>1.2593418774856399E-3</v>
          </cell>
          <cell r="V86">
            <v>2.9539310604815099E-3</v>
          </cell>
          <cell r="W86">
            <v>1.56208873259677E-3</v>
          </cell>
          <cell r="Y86">
            <v>1.23733334869304</v>
          </cell>
          <cell r="Z86">
            <v>1.23764448201819</v>
          </cell>
          <cell r="AA86">
            <v>1.2373896914656699</v>
          </cell>
          <cell r="AF86">
            <v>2.9799072328650701E-4</v>
          </cell>
          <cell r="AG86">
            <v>6.3267351642677395E-5</v>
          </cell>
          <cell r="AR86">
            <v>0</v>
          </cell>
          <cell r="BC86">
            <v>0</v>
          </cell>
          <cell r="BF86">
            <v>0</v>
          </cell>
        </row>
        <row r="87">
          <cell r="O87">
            <v>1.2388993693114601</v>
          </cell>
          <cell r="P87">
            <v>1.2402104085878101</v>
          </cell>
          <cell r="Q87">
            <v>1.23929398815278</v>
          </cell>
          <cell r="U87">
            <v>1.2593418774856399E-3</v>
          </cell>
          <cell r="V87">
            <v>2.63552192689431E-3</v>
          </cell>
          <cell r="W87">
            <v>1.60336275186255E-3</v>
          </cell>
          <cell r="Y87">
            <v>1.23733334869304</v>
          </cell>
          <cell r="Z87">
            <v>1.2376600762352801</v>
          </cell>
          <cell r="AA87">
            <v>1.2373589883471501</v>
          </cell>
          <cell r="AF87">
            <v>3.10590719132271E-4</v>
          </cell>
          <cell r="AG87">
            <v>1.04702205631344E-4</v>
          </cell>
          <cell r="AR87">
            <v>0</v>
          </cell>
          <cell r="BC87">
            <v>0</v>
          </cell>
          <cell r="BF87">
            <v>0</v>
          </cell>
        </row>
        <row r="88">
          <cell r="O88">
            <v>1.2388993693114601</v>
          </cell>
          <cell r="P88">
            <v>1.23975159738076</v>
          </cell>
          <cell r="Q88">
            <v>1.23931956360035</v>
          </cell>
          <cell r="U88">
            <v>8.4603333678089402E-4</v>
          </cell>
          <cell r="V88">
            <v>1.90370283593313E-3</v>
          </cell>
          <cell r="W88">
            <v>1.16450634331043E-3</v>
          </cell>
          <cell r="Y88">
            <v>1.23733334869304</v>
          </cell>
          <cell r="Z88">
            <v>1.2376130069276801</v>
          </cell>
          <cell r="AA88">
            <v>1.23738485882453</v>
          </cell>
          <cell r="AF88">
            <v>-8.4633854272652103E-5</v>
          </cell>
          <cell r="AG88">
            <v>-3.27935325299257E-4</v>
          </cell>
          <cell r="AR88">
            <v>0</v>
          </cell>
          <cell r="BC88">
            <v>0</v>
          </cell>
          <cell r="BF88">
            <v>0</v>
          </cell>
        </row>
        <row r="89">
          <cell r="O89">
            <v>1.2388993693114601</v>
          </cell>
          <cell r="P89">
            <v>1.2393052062441201</v>
          </cell>
          <cell r="Q89">
            <v>1.23931956360035</v>
          </cell>
          <cell r="U89">
            <v>8.4603333678089402E-4</v>
          </cell>
          <cell r="V89">
            <v>1.53368812507546E-3</v>
          </cell>
          <cell r="W89">
            <v>1.18514324134819E-3</v>
          </cell>
          <cell r="Y89">
            <v>1.23733334869304</v>
          </cell>
          <cell r="Z89">
            <v>1.23757797930791</v>
          </cell>
          <cell r="AA89">
            <v>1.23738541234628</v>
          </cell>
          <cell r="AF89">
            <v>-1.2266546211962999E-4</v>
          </cell>
          <cell r="AG89">
            <v>-3.0702772517719599E-4</v>
          </cell>
          <cell r="AR89">
            <v>0</v>
          </cell>
          <cell r="BC89">
            <v>0</v>
          </cell>
          <cell r="BF89">
            <v>0</v>
          </cell>
        </row>
        <row r="90">
          <cell r="O90">
            <v>1.2388993693114601</v>
          </cell>
          <cell r="P90">
            <v>1.2389099660026199</v>
          </cell>
          <cell r="Q90">
            <v>1.23938284224989</v>
          </cell>
          <cell r="U90">
            <v>4.32895549454491E-4</v>
          </cell>
          <cell r="V90">
            <v>7.6042051675270295E-4</v>
          </cell>
          <cell r="W90">
            <v>7.7200545402180505E-4</v>
          </cell>
          <cell r="Y90">
            <v>1.23733334869304</v>
          </cell>
          <cell r="Z90">
            <v>1.2375934204674</v>
          </cell>
          <cell r="AA90">
            <v>1.2374485178252901</v>
          </cell>
          <cell r="AF90">
            <v>-5.5862658292036595E-4</v>
          </cell>
          <cell r="AG90">
            <v>-7.1423855089310703E-4</v>
          </cell>
          <cell r="AR90">
            <v>0</v>
          </cell>
          <cell r="BC90">
            <v>0</v>
          </cell>
          <cell r="BF90">
            <v>0</v>
          </cell>
        </row>
        <row r="91">
          <cell r="O91">
            <v>1.2388993693114601</v>
          </cell>
          <cell r="P91">
            <v>1.2384002900161599</v>
          </cell>
          <cell r="Q91">
            <v>1.23941445233711</v>
          </cell>
          <cell r="U91">
            <v>1.3574115120773399E-3</v>
          </cell>
          <cell r="V91">
            <v>1.3659647861373101E-3</v>
          </cell>
          <cell r="W91">
            <v>1.7475793003157399E-3</v>
          </cell>
          <cell r="Y91">
            <v>1.23733334869304</v>
          </cell>
          <cell r="Z91">
            <v>1.2374959558789</v>
          </cell>
          <cell r="AA91">
            <v>1.2374804617739401</v>
          </cell>
          <cell r="AF91">
            <v>3.6606889571876499E-4</v>
          </cell>
          <cell r="AG91">
            <v>2.4897783553861399E-4</v>
          </cell>
          <cell r="AR91">
            <v>0</v>
          </cell>
          <cell r="BC91">
            <v>0</v>
          </cell>
          <cell r="BF91">
            <v>0</v>
          </cell>
        </row>
        <row r="92">
          <cell r="O92">
            <v>1.2388993693114601</v>
          </cell>
          <cell r="P92">
            <v>1.2380056486244</v>
          </cell>
          <cell r="Q92">
            <v>1.23944000164728</v>
          </cell>
          <cell r="U92">
            <v>1.45539052606444E-3</v>
          </cell>
          <cell r="V92">
            <v>1.0524684974982199E-3</v>
          </cell>
          <cell r="W92">
            <v>1.8710626887779901E-3</v>
          </cell>
          <cell r="Y92">
            <v>1.23733334869304</v>
          </cell>
          <cell r="Z92">
            <v>1.23751157058883</v>
          </cell>
          <cell r="AA92">
            <v>1.2375064276619601</v>
          </cell>
          <cell r="AF92">
            <v>3.8396034634119501E-4</v>
          </cell>
          <cell r="AG92">
            <v>3.7143973818620503E-4</v>
          </cell>
          <cell r="AR92">
            <v>0</v>
          </cell>
          <cell r="BC92">
            <v>0</v>
          </cell>
          <cell r="BF92">
            <v>0</v>
          </cell>
        </row>
        <row r="93">
          <cell r="O93">
            <v>1.2388993693114601</v>
          </cell>
          <cell r="P93">
            <v>1.23755950473377</v>
          </cell>
          <cell r="Q93">
            <v>1.2394655640194701</v>
          </cell>
          <cell r="U93">
            <v>9.4427372475070295E-4</v>
          </cell>
          <cell r="V93">
            <v>2.2263061015560299E-4</v>
          </cell>
          <cell r="W93">
            <v>1.38055969165814E-3</v>
          </cell>
          <cell r="Y93">
            <v>1.23733334869304</v>
          </cell>
          <cell r="Z93">
            <v>1.23747657884243</v>
          </cell>
          <cell r="AA93">
            <v>1.2375323046581901</v>
          </cell>
          <cell r="AF93">
            <v>-1.0772777222400599E-4</v>
          </cell>
          <cell r="AG93">
            <v>-1.1188364250237099E-4</v>
          </cell>
          <cell r="AR93">
            <v>0</v>
          </cell>
          <cell r="BC93">
            <v>0</v>
          </cell>
          <cell r="BF93">
            <v>0</v>
          </cell>
        </row>
        <row r="94">
          <cell r="O94">
            <v>1.2388993693114601</v>
          </cell>
          <cell r="P94">
            <v>1.23745992115518</v>
          </cell>
          <cell r="Q94">
            <v>1.2394339731716999</v>
          </cell>
          <cell r="U94">
            <v>1.9662462204438399E-3</v>
          </cell>
          <cell r="V94">
            <v>8.8416509042618099E-4</v>
          </cell>
          <cell r="W94">
            <v>2.42315610505344E-3</v>
          </cell>
          <cell r="Y94">
            <v>1.23733334869304</v>
          </cell>
          <cell r="Z94">
            <v>1.23737833770259</v>
          </cell>
          <cell r="AA94">
            <v>1.2375018109260201</v>
          </cell>
          <cell r="AF94">
            <v>8.7235379251984497E-4</v>
          </cell>
          <cell r="AG94">
            <v>9.1738459313425301E-4</v>
          </cell>
          <cell r="AR94">
            <v>0</v>
          </cell>
          <cell r="BC94">
            <v>0</v>
          </cell>
          <cell r="BF94">
            <v>0</v>
          </cell>
        </row>
        <row r="95">
          <cell r="O95">
            <v>1.2388993693114601</v>
          </cell>
          <cell r="P95">
            <v>1.2378161159585499</v>
          </cell>
          <cell r="Q95">
            <v>1.23940834528857</v>
          </cell>
          <cell r="U95">
            <v>-1.6152362469004E-3</v>
          </cell>
          <cell r="V95">
            <v>-2.77778832401584E-3</v>
          </cell>
          <cell r="W95">
            <v>-1.1838141622519699E-3</v>
          </cell>
          <cell r="Y95">
            <v>1.23733334869304</v>
          </cell>
          <cell r="Z95">
            <v>1.23731631829024</v>
          </cell>
          <cell r="AA95">
            <v>1.23747260304567</v>
          </cell>
          <cell r="AF95">
            <v>5.9691638879070001E-4</v>
          </cell>
          <cell r="AG95">
            <v>6.9669756291717904E-4</v>
          </cell>
          <cell r="AR95">
            <v>0</v>
          </cell>
          <cell r="BC95">
            <v>0</v>
          </cell>
          <cell r="BF95">
            <v>0</v>
          </cell>
        </row>
        <row r="96">
          <cell r="O96">
            <v>1.2388993693114601</v>
          </cell>
          <cell r="P96">
            <v>1.2382872288184099</v>
          </cell>
          <cell r="Q96">
            <v>1.2394463602107999</v>
          </cell>
          <cell r="U96">
            <v>-2.5408924871983202E-3</v>
          </cell>
          <cell r="V96">
            <v>-3.41564247639203E-3</v>
          </cell>
          <cell r="W96">
            <v>-2.13014770255144E-3</v>
          </cell>
          <cell r="Y96">
            <v>1.23733334869304</v>
          </cell>
          <cell r="Z96">
            <v>1.23736708766248</v>
          </cell>
          <cell r="AA96">
            <v>1.2375057848403399</v>
          </cell>
          <cell r="AF96">
            <v>-3.6484921504720302E-4</v>
          </cell>
          <cell r="AG96">
            <v>-2.3854773188666201E-4</v>
          </cell>
          <cell r="AR96">
            <v>0</v>
          </cell>
          <cell r="BC96">
            <v>0</v>
          </cell>
          <cell r="BF96">
            <v>0</v>
          </cell>
        </row>
        <row r="97">
          <cell r="O97">
            <v>1.2388993693114601</v>
          </cell>
          <cell r="P97">
            <v>1.2387583416782699</v>
          </cell>
          <cell r="Q97">
            <v>1.23948437513304</v>
          </cell>
          <cell r="U97">
            <v>-2.5408924871983202E-3</v>
          </cell>
          <cell r="V97">
            <v>-3.0351148489501101E-3</v>
          </cell>
          <cell r="W97">
            <v>-2.0994763427860199E-3</v>
          </cell>
          <cell r="Y97">
            <v>1.23733334869304</v>
          </cell>
          <cell r="Z97">
            <v>1.2374178570347301</v>
          </cell>
          <cell r="AA97">
            <v>1.2375389666350001</v>
          </cell>
          <cell r="AF97">
            <v>-3.2381821114011897E-4</v>
          </cell>
          <cell r="AG97">
            <v>-2.1173392629588499E-4</v>
          </cell>
          <cell r="AR97">
            <v>0</v>
          </cell>
          <cell r="BC97">
            <v>0</v>
          </cell>
          <cell r="BF97">
            <v>0</v>
          </cell>
        </row>
        <row r="98">
          <cell r="O98">
            <v>1.2388993693114601</v>
          </cell>
          <cell r="P98">
            <v>1.2391146413527701</v>
          </cell>
          <cell r="Q98">
            <v>1.23943311936677</v>
          </cell>
          <cell r="U98">
            <v>-2.02820342187942E-3</v>
          </cell>
          <cell r="V98">
            <v>-2.1420429023862701E-3</v>
          </cell>
          <cell r="W98">
            <v>-1.5561168584055101E-3</v>
          </cell>
          <cell r="Y98">
            <v>1.23733334869304</v>
          </cell>
          <cell r="Z98">
            <v>1.2373557712051699</v>
          </cell>
          <cell r="AA98">
            <v>1.23748438906642</v>
          </cell>
          <cell r="AF98">
            <v>2.2136179245734499E-4</v>
          </cell>
          <cell r="AG98">
            <v>3.1922984349874403E-4</v>
          </cell>
          <cell r="AR98">
            <v>0</v>
          </cell>
          <cell r="BC98">
            <v>0</v>
          </cell>
          <cell r="BF98">
            <v>0</v>
          </cell>
        </row>
        <row r="99">
          <cell r="O99">
            <v>1.2388993693114601</v>
          </cell>
          <cell r="P99">
            <v>1.2395098029812199</v>
          </cell>
          <cell r="Q99">
            <v>1.23940750461267</v>
          </cell>
          <cell r="U99">
            <v>-2.3412001481204802E-3</v>
          </cell>
          <cell r="V99">
            <v>-2.1674545268873099E-3</v>
          </cell>
          <cell r="W99">
            <v>-1.9104669305281101E-3</v>
          </cell>
          <cell r="Y99">
            <v>1.23733334869304</v>
          </cell>
          <cell r="Z99">
            <v>1.23733211575161</v>
          </cell>
          <cell r="AA99">
            <v>1.2374550475297601</v>
          </cell>
          <cell r="AF99">
            <v>-1.39402789663994E-4</v>
          </cell>
          <cell r="AG99">
            <v>-3.54624516722461E-5</v>
          </cell>
          <cell r="AR99">
            <v>0</v>
          </cell>
          <cell r="BC99">
            <v>0</v>
          </cell>
          <cell r="BF99">
            <v>0</v>
          </cell>
        </row>
        <row r="100">
          <cell r="O100">
            <v>1.2388993693114601</v>
          </cell>
          <cell r="P100">
            <v>1.2397390260402401</v>
          </cell>
          <cell r="Q100">
            <v>1.23932449602143</v>
          </cell>
          <cell r="U100">
            <v>-1.41640987180001E-3</v>
          </cell>
          <cell r="V100">
            <v>-9.2380865895482097E-4</v>
          </cell>
          <cell r="W100">
            <v>-1.0063433754573599E-3</v>
          </cell>
          <cell r="Y100">
            <v>1.23733334869304</v>
          </cell>
          <cell r="Z100">
            <v>1.23714532837837</v>
          </cell>
          <cell r="AA100">
            <v>1.23736937442289</v>
          </cell>
          <cell r="AF100">
            <v>7.5228235177465905E-4</v>
          </cell>
          <cell r="AG100">
            <v>8.5162970582195504E-4</v>
          </cell>
          <cell r="AR100">
            <v>0</v>
          </cell>
          <cell r="BC100">
            <v>0</v>
          </cell>
          <cell r="BF100">
            <v>0</v>
          </cell>
        </row>
        <row r="101">
          <cell r="O101">
            <v>1.2388993693114601</v>
          </cell>
          <cell r="P101">
            <v>1.24013388812123</v>
          </cell>
          <cell r="Q101">
            <v>1.2392670890687001</v>
          </cell>
          <cell r="U101">
            <v>-1.8290362444792899E-3</v>
          </cell>
          <cell r="V101">
            <v>-1.15152171676823E-3</v>
          </cell>
          <cell r="W101">
            <v>-1.48594640494994E-3</v>
          </cell>
          <cell r="Y101">
            <v>1.23733334869304</v>
          </cell>
          <cell r="Z101">
            <v>1.23712179835839</v>
          </cell>
          <cell r="AA101">
            <v>1.23730887711864</v>
          </cell>
          <cell r="AF101">
            <v>1.9415097389580201E-4</v>
          </cell>
          <cell r="AG101">
            <v>3.7523378974604898E-4</v>
          </cell>
          <cell r="AR101">
            <v>0</v>
          </cell>
          <cell r="BC101">
            <v>0</v>
          </cell>
          <cell r="BF101">
            <v>0</v>
          </cell>
        </row>
        <row r="102">
          <cell r="O102">
            <v>1.2388993693114601</v>
          </cell>
          <cell r="P102">
            <v>1.2405920750333399</v>
          </cell>
          <cell r="Q102">
            <v>1.2392988618288701</v>
          </cell>
          <cell r="U102">
            <v>-2.2414924268578502E-3</v>
          </cell>
          <cell r="V102">
            <v>-1.2455244154452099E-3</v>
          </cell>
          <cell r="W102">
            <v>-1.9447248237867E-3</v>
          </cell>
          <cell r="Y102">
            <v>1.23733334869304</v>
          </cell>
          <cell r="Z102">
            <v>1.23716057606492</v>
          </cell>
          <cell r="AA102">
            <v>1.2373360733268699</v>
          </cell>
          <cell r="AF102">
            <v>-2.3186331465204101E-4</v>
          </cell>
          <cell r="AG102">
            <v>-8.0653775854545704E-5</v>
          </cell>
          <cell r="AR102">
            <v>0</v>
          </cell>
          <cell r="BC102">
            <v>0</v>
          </cell>
          <cell r="BF102">
            <v>0</v>
          </cell>
        </row>
        <row r="103">
          <cell r="O103">
            <v>1.2388993693114601</v>
          </cell>
          <cell r="P103">
            <v>1.24098701564696</v>
          </cell>
          <cell r="Q103">
            <v>1.23927326019036</v>
          </cell>
          <cell r="U103">
            <v>-2.2414924268578502E-3</v>
          </cell>
          <cell r="V103">
            <v>-8.7612696959836597E-4</v>
          </cell>
          <cell r="W103">
            <v>-1.91908680502714E-3</v>
          </cell>
          <cell r="Y103">
            <v>1.23733334869304</v>
          </cell>
          <cell r="Z103">
            <v>1.23713695432906</v>
          </cell>
          <cell r="AA103">
            <v>1.23730676658574</v>
          </cell>
          <cell r="AF103">
            <v>-2.00518705861524E-4</v>
          </cell>
          <cell r="AG103">
            <v>-5.8673888819357502E-5</v>
          </cell>
          <cell r="AR103">
            <v>0</v>
          </cell>
          <cell r="BC103">
            <v>0</v>
          </cell>
          <cell r="BF103">
            <v>0</v>
          </cell>
        </row>
        <row r="104">
          <cell r="O104">
            <v>1.2388993693114601</v>
          </cell>
          <cell r="P104">
            <v>1.2411499613155199</v>
          </cell>
          <cell r="Q104">
            <v>1.2393049412353501</v>
          </cell>
          <cell r="U104">
            <v>6.4927976998778295E-4</v>
          </cell>
          <cell r="V104">
            <v>2.3329430549815702E-3</v>
          </cell>
          <cell r="W104">
            <v>9.5102701494233395E-4</v>
          </cell>
          <cell r="Y104">
            <v>1.23733334869304</v>
          </cell>
          <cell r="Z104">
            <v>1.2372897746521601</v>
          </cell>
          <cell r="AA104">
            <v>1.23733405617738</v>
          </cell>
          <cell r="AF104">
            <v>-6.3738273077354804E-4</v>
          </cell>
          <cell r="AG104">
            <v>-5.0012985610447397E-4</v>
          </cell>
          <cell r="AR104">
            <v>0</v>
          </cell>
          <cell r="BC104">
            <v>0</v>
          </cell>
          <cell r="BF104">
            <v>0</v>
          </cell>
        </row>
        <row r="105">
          <cell r="O105">
            <v>1.2388993693114601</v>
          </cell>
          <cell r="P105">
            <v>1.2408692749764101</v>
          </cell>
          <cell r="Q105">
            <v>1.23934269546748</v>
          </cell>
          <cell r="U105">
            <v>6.4927976998778295E-4</v>
          </cell>
          <cell r="V105">
            <v>2.4642377178545299E-3</v>
          </cell>
          <cell r="W105">
            <v>9.7659090069784102E-4</v>
          </cell>
          <cell r="Y105">
            <v>1.23733334869304</v>
          </cell>
          <cell r="Z105">
            <v>1.23741835352375</v>
          </cell>
          <cell r="AA105">
            <v>1.2373673359070001</v>
          </cell>
          <cell r="AF105">
            <v>-5.1386295020887601E-4</v>
          </cell>
          <cell r="AG105">
            <v>-4.7807446011902599E-4</v>
          </cell>
          <cell r="AR105">
            <v>0</v>
          </cell>
          <cell r="BC105">
            <v>0</v>
          </cell>
          <cell r="BF105">
            <v>0</v>
          </cell>
        </row>
        <row r="106">
          <cell r="O106">
            <v>1.2388993693114601</v>
          </cell>
          <cell r="P106">
            <v>1.2402958603262599</v>
          </cell>
          <cell r="Q106">
            <v>1.23929154457234</v>
          </cell>
          <cell r="U106">
            <v>2.0864717840299199E-3</v>
          </cell>
          <cell r="V106">
            <v>3.6752539342154202E-3</v>
          </cell>
          <cell r="W106">
            <v>2.4442464881590902E-3</v>
          </cell>
          <cell r="Y106">
            <v>1.23733334869304</v>
          </cell>
          <cell r="Z106">
            <v>1.2372593049776599</v>
          </cell>
          <cell r="AA106">
            <v>1.2373131963200701</v>
          </cell>
          <cell r="AF106">
            <v>1.00340128099868E-3</v>
          </cell>
          <cell r="AG106">
            <v>9.6217135391555696E-4</v>
          </cell>
          <cell r="AR106">
            <v>0</v>
          </cell>
          <cell r="BC106">
            <v>0</v>
          </cell>
          <cell r="BF106">
            <v>0</v>
          </cell>
        </row>
        <row r="107">
          <cell r="O107">
            <v>1.2388993693114601</v>
          </cell>
          <cell r="P107">
            <v>1.23977359657126</v>
          </cell>
          <cell r="Q107">
            <v>1.2392659691247701</v>
          </cell>
          <cell r="U107">
            <v>1.67282131277501E-3</v>
          </cell>
          <cell r="V107">
            <v>2.7993894392412799E-3</v>
          </cell>
          <cell r="W107">
            <v>1.9893225653221098E-3</v>
          </cell>
          <cell r="Y107">
            <v>1.23733334869304</v>
          </cell>
          <cell r="Z107">
            <v>1.23715055738216</v>
          </cell>
          <cell r="AA107">
            <v>1.23728420720844</v>
          </cell>
          <cell r="AF107">
            <v>4.68035992426358E-4</v>
          </cell>
          <cell r="AG107">
            <v>5.1159207525770095E-4</v>
          </cell>
          <cell r="AR107">
            <v>0</v>
          </cell>
          <cell r="BC107">
            <v>0</v>
          </cell>
          <cell r="BF107">
            <v>0</v>
          </cell>
        </row>
        <row r="108">
          <cell r="O108">
            <v>1.2388993693114601</v>
          </cell>
          <cell r="P108">
            <v>1.2393661460016201</v>
          </cell>
          <cell r="Q108">
            <v>1.2392403936772001</v>
          </cell>
          <cell r="U108">
            <v>1.2593418774856399E-3</v>
          </cell>
          <cell r="V108">
            <v>1.9647413457374598E-3</v>
          </cell>
          <cell r="W108">
            <v>1.55520576541265E-3</v>
          </cell>
          <cell r="Y108">
            <v>1.23733334869304</v>
          </cell>
          <cell r="Z108">
            <v>1.2371544971597901</v>
          </cell>
          <cell r="AA108">
            <v>1.23725513418248</v>
          </cell>
          <cell r="AF108">
            <v>-2.6520841658495401E-5</v>
          </cell>
          <cell r="AG108">
            <v>8.1503688487677604E-5</v>
          </cell>
          <cell r="AR108">
            <v>0</v>
          </cell>
          <cell r="BC108">
            <v>0</v>
          </cell>
          <cell r="BF108">
            <v>0</v>
          </cell>
        </row>
        <row r="109">
          <cell r="O109">
            <v>1.2388993693114601</v>
          </cell>
          <cell r="P109">
            <v>1.23897098437317</v>
          </cell>
          <cell r="Q109">
            <v>1.2392403936772001</v>
          </cell>
          <cell r="U109">
            <v>8.4603333678089402E-4</v>
          </cell>
          <cell r="V109">
            <v>1.22272961309989E-3</v>
          </cell>
          <cell r="W109">
            <v>1.1212594341781E-3</v>
          </cell>
          <cell r="Y109">
            <v>1.23733334869304</v>
          </cell>
          <cell r="Z109">
            <v>1.23717030751202</v>
          </cell>
          <cell r="AA109">
            <v>1.23725121163181</v>
          </cell>
          <cell r="AF109">
            <v>-4.2983001532167603E-4</v>
          </cell>
          <cell r="AG109">
            <v>-3.48487765863573E-4</v>
          </cell>
          <cell r="AR109">
            <v>0</v>
          </cell>
          <cell r="BC109">
            <v>0</v>
          </cell>
          <cell r="BF109">
            <v>0</v>
          </cell>
        </row>
        <row r="110">
          <cell r="O110">
            <v>1.2388993693114601</v>
          </cell>
          <cell r="P110">
            <v>1.2386906104190101</v>
          </cell>
          <cell r="Q110">
            <v>1.2392148182296301</v>
          </cell>
          <cell r="U110">
            <v>8.4603333678089402E-4</v>
          </cell>
          <cell r="V110">
            <v>9.0383705651528399E-4</v>
          </cell>
          <cell r="W110">
            <v>1.1212594341781E-3</v>
          </cell>
          <cell r="Y110">
            <v>1.23733334869304</v>
          </cell>
          <cell r="Z110">
            <v>1.2372987810046601</v>
          </cell>
          <cell r="AA110">
            <v>1.23722205469152</v>
          </cell>
          <cell r="AF110">
            <v>-4.1705048678395199E-4</v>
          </cell>
          <cell r="AG110">
            <v>-3.5165813612815901E-4</v>
          </cell>
          <cell r="AR110">
            <v>0</v>
          </cell>
          <cell r="BC110">
            <v>0</v>
          </cell>
          <cell r="BF110">
            <v>0</v>
          </cell>
        </row>
        <row r="111">
          <cell r="O111">
            <v>1.2388993693114601</v>
          </cell>
          <cell r="P111">
            <v>1.23835903318784</v>
          </cell>
          <cell r="Q111">
            <v>1.2392464606545299</v>
          </cell>
          <cell r="U111">
            <v>8.4603333678089402E-4</v>
          </cell>
          <cell r="V111">
            <v>6.7751562831884797E-4</v>
          </cell>
          <cell r="W111">
            <v>1.1006212177207899E-3</v>
          </cell>
          <cell r="Y111">
            <v>1.23733334869304</v>
          </cell>
          <cell r="Z111">
            <v>1.2373769028920401</v>
          </cell>
          <cell r="AA111">
            <v>1.23724935062521</v>
          </cell>
          <cell r="AF111">
            <v>-3.1321124841896398E-4</v>
          </cell>
          <cell r="AG111">
            <v>-3.7522431539990499E-4</v>
          </cell>
          <cell r="AR111">
            <v>0</v>
          </cell>
          <cell r="BC111">
            <v>0</v>
          </cell>
          <cell r="BF111">
            <v>0</v>
          </cell>
        </row>
        <row r="112">
          <cell r="O112">
            <v>1.2388993693114601</v>
          </cell>
          <cell r="P112">
            <v>1.23786184308546</v>
          </cell>
          <cell r="Q112">
            <v>1.2392269590594001</v>
          </cell>
          <cell r="U112">
            <v>1.7707200527819599E-3</v>
          </cell>
          <cell r="V112">
            <v>1.3344828547175701E-3</v>
          </cell>
          <cell r="W112">
            <v>2.0508418609043802E-3</v>
          </cell>
          <cell r="Y112">
            <v>1.23733334869304</v>
          </cell>
          <cell r="Z112">
            <v>1.2372921720114001</v>
          </cell>
          <cell r="AA112">
            <v>1.2372263740381599</v>
          </cell>
          <cell r="AF112">
            <v>6.5930258829415998E-4</v>
          </cell>
          <cell r="AG112">
            <v>5.5621448215613302E-4</v>
          </cell>
          <cell r="AR112">
            <v>0</v>
          </cell>
          <cell r="BC112">
            <v>0</v>
          </cell>
          <cell r="BF112">
            <v>0</v>
          </cell>
        </row>
        <row r="113">
          <cell r="O113">
            <v>1.2388993693114601</v>
          </cell>
          <cell r="P113">
            <v>1.23753021347242</v>
          </cell>
          <cell r="Q113">
            <v>1.23925861455969</v>
          </cell>
          <cell r="U113">
            <v>4.32895549454491E-4</v>
          </cell>
          <cell r="V113">
            <v>-4.04913345077532E-4</v>
          </cell>
          <cell r="W113">
            <v>6.97280577848556E-4</v>
          </cell>
          <cell r="Y113">
            <v>1.23733334869304</v>
          </cell>
          <cell r="Z113">
            <v>1.23737024324411</v>
          </cell>
          <cell r="AA113">
            <v>1.23725359878658</v>
          </cell>
          <cell r="AF113">
            <v>-7.2488128834197901E-4</v>
          </cell>
          <cell r="AG113">
            <v>-7.7806171276309402E-4</v>
          </cell>
          <cell r="AR113">
            <v>0</v>
          </cell>
          <cell r="BC113">
            <v>0</v>
          </cell>
          <cell r="BF113">
            <v>0</v>
          </cell>
        </row>
        <row r="114">
          <cell r="O114">
            <v>1.2388993693114601</v>
          </cell>
          <cell r="P114">
            <v>1.2374936957978699</v>
          </cell>
          <cell r="Q114">
            <v>1.23932182855669</v>
          </cell>
          <cell r="U114">
            <v>9.4427372475070295E-4</v>
          </cell>
          <cell r="V114">
            <v>-1.6147625341458399E-4</v>
          </cell>
          <cell r="W114">
            <v>1.23420298114375E-3</v>
          </cell>
          <cell r="Y114">
            <v>1.23733334869304</v>
          </cell>
          <cell r="Z114">
            <v>1.2373343576229401</v>
          </cell>
          <cell r="AA114">
            <v>1.2373120661375501</v>
          </cell>
          <cell r="AF114">
            <v>-1.5890177828270399E-4</v>
          </cell>
          <cell r="AG114">
            <v>-2.5317425366241399E-4</v>
          </cell>
          <cell r="AR114">
            <v>0</v>
          </cell>
          <cell r="BC114">
            <v>0</v>
          </cell>
          <cell r="BF114">
            <v>0</v>
          </cell>
        </row>
        <row r="115">
          <cell r="O115">
            <v>1.2388993693114601</v>
          </cell>
          <cell r="P115">
            <v>1.2373939318248299</v>
          </cell>
          <cell r="Q115">
            <v>1.2391316034006199</v>
          </cell>
          <cell r="U115">
            <v>1.45539052606444E-3</v>
          </cell>
          <cell r="V115">
            <v>3.2013160099932098E-4</v>
          </cell>
          <cell r="W115">
            <v>1.7963280095204799E-3</v>
          </cell>
          <cell r="Y115">
            <v>1.23733334869304</v>
          </cell>
          <cell r="Z115">
            <v>1.23723628377386</v>
          </cell>
          <cell r="AA115">
            <v>1.2373273186488101</v>
          </cell>
          <cell r="AF115">
            <v>3.1472655323982898E-4</v>
          </cell>
          <cell r="AG115">
            <v>2.9671065797861598E-4</v>
          </cell>
          <cell r="AR115">
            <v>0</v>
          </cell>
          <cell r="BC115">
            <v>0</v>
          </cell>
          <cell r="BF115">
            <v>0</v>
          </cell>
        </row>
        <row r="116">
          <cell r="O116">
            <v>1.2388993693114601</v>
          </cell>
          <cell r="P116">
            <v>1.23742087948599</v>
          </cell>
          <cell r="Q116">
            <v>1.23885836990613</v>
          </cell>
          <cell r="U116">
            <v>1.8685283133910999E-3</v>
          </cell>
          <cell r="V116">
            <v>6.5264837589691497E-4</v>
          </cell>
          <cell r="W116">
            <v>2.05596268559269E-3</v>
          </cell>
          <cell r="Y116">
            <v>1.23733334869304</v>
          </cell>
          <cell r="Z116">
            <v>1.2372627981601401</v>
          </cell>
          <cell r="AA116">
            <v>1.2372610515689</v>
          </cell>
          <cell r="AF116">
            <v>6.4178976369546595E-4</v>
          </cell>
          <cell r="AG116">
            <v>7.1536627221145297E-4</v>
          </cell>
          <cell r="AR116">
            <v>0</v>
          </cell>
          <cell r="BC116">
            <v>0</v>
          </cell>
          <cell r="BF116">
            <v>0</v>
          </cell>
        </row>
        <row r="117">
          <cell r="O117">
            <v>1.2388993693114601</v>
          </cell>
          <cell r="P117">
            <v>1.23749887349268</v>
          </cell>
          <cell r="Q117">
            <v>1.23863623503197</v>
          </cell>
          <cell r="U117">
            <v>1.0424233510854899E-3</v>
          </cell>
          <cell r="V117">
            <v>-1.5167906912712099E-4</v>
          </cell>
          <cell r="W117">
            <v>1.0093293930348501E-3</v>
          </cell>
          <cell r="Y117">
            <v>1.23733334869304</v>
          </cell>
          <cell r="Z117">
            <v>1.2373395123913</v>
          </cell>
          <cell r="AA117">
            <v>1.2372450348867301</v>
          </cell>
          <cell r="AF117">
            <v>-1.4927220954730799E-4</v>
          </cell>
          <cell r="AG117">
            <v>-1.5068386798846E-4</v>
          </cell>
          <cell r="AR117">
            <v>0</v>
          </cell>
          <cell r="BC117">
            <v>0</v>
          </cell>
          <cell r="BF117">
            <v>0</v>
          </cell>
        </row>
        <row r="118">
          <cell r="O118">
            <v>1.2388993693114601</v>
          </cell>
          <cell r="P118">
            <v>1.23796998635254</v>
          </cell>
          <cell r="Q118">
            <v>1.2386680661770799</v>
          </cell>
          <cell r="U118">
            <v>-2.5408924871983202E-3</v>
          </cell>
          <cell r="V118">
            <v>-3.6719674038921202E-3</v>
          </cell>
          <cell r="W118">
            <v>-2.7533086317079502E-3</v>
          </cell>
          <cell r="Y118">
            <v>1.23733334869304</v>
          </cell>
          <cell r="Z118">
            <v>1.2373990776792301</v>
          </cell>
          <cell r="AA118">
            <v>1.2372767874195101</v>
          </cell>
          <cell r="AF118">
            <v>-3.5514144310866701E-4</v>
          </cell>
          <cell r="AG118">
            <v>-4.3149971885813497E-4</v>
          </cell>
          <cell r="AR118">
            <v>0</v>
          </cell>
          <cell r="BC118">
            <v>0</v>
          </cell>
          <cell r="BF118">
            <v>0</v>
          </cell>
        </row>
        <row r="119">
          <cell r="O119">
            <v>1.2388993693114601</v>
          </cell>
          <cell r="P119">
            <v>1.2384412303685399</v>
          </cell>
          <cell r="Q119">
            <v>1.2387061073708601</v>
          </cell>
          <cell r="U119">
            <v>-2.9536891906865202E-3</v>
          </cell>
          <cell r="V119">
            <v>-3.7041389472831101E-3</v>
          </cell>
          <cell r="W119">
            <v>-3.1404071235612199E-3</v>
          </cell>
          <cell r="Y119">
            <v>1.23733334869304</v>
          </cell>
          <cell r="Z119">
            <v>1.2374586058767001</v>
          </cell>
          <cell r="AA119">
            <v>1.2373144566943599</v>
          </cell>
          <cell r="AF119">
            <v>-7.1300141153143295E-4</v>
          </cell>
          <cell r="AG119">
            <v>-8.1183476707743498E-4</v>
          </cell>
          <cell r="AR119">
            <v>0</v>
          </cell>
          <cell r="BC119">
            <v>0</v>
          </cell>
          <cell r="BF119">
            <v>0</v>
          </cell>
        </row>
        <row r="120">
          <cell r="O120">
            <v>1.2388993693114601</v>
          </cell>
          <cell r="P120">
            <v>1.23886119233326</v>
          </cell>
          <cell r="Q120">
            <v>1.2387759013761399</v>
          </cell>
          <cell r="U120">
            <v>-2.5408924871983202E-3</v>
          </cell>
          <cell r="V120">
            <v>-2.91075599987286E-3</v>
          </cell>
          <cell r="W120">
            <v>-2.6968995212607802E-3</v>
          </cell>
          <cell r="Y120">
            <v>1.23733334869304</v>
          </cell>
          <cell r="Z120">
            <v>1.23746787021405</v>
          </cell>
          <cell r="AA120">
            <v>1.23738332560935</v>
          </cell>
          <cell r="AF120">
            <v>-2.5889643256163299E-4</v>
          </cell>
          <cell r="AG120">
            <v>-3.7539130208060102E-4</v>
          </cell>
          <cell r="AR120">
            <v>0</v>
          </cell>
          <cell r="BC120">
            <v>0</v>
          </cell>
          <cell r="BF120">
            <v>0</v>
          </cell>
        </row>
        <row r="121">
          <cell r="O121">
            <v>1.2388993693114601</v>
          </cell>
          <cell r="P121">
            <v>1.23915389494531</v>
          </cell>
          <cell r="Q121">
            <v>1.23875646406657</v>
          </cell>
          <cell r="U121">
            <v>-1.5157770719528901E-3</v>
          </cell>
          <cell r="V121">
            <v>-1.5465927841703301E-3</v>
          </cell>
          <cell r="W121">
            <v>-1.6154414120625399E-3</v>
          </cell>
          <cell r="Y121">
            <v>1.23733334869304</v>
          </cell>
          <cell r="Z121">
            <v>1.2373528284103401</v>
          </cell>
          <cell r="AA121">
            <v>1.23736486565119</v>
          </cell>
          <cell r="AF121">
            <v>7.5336237297626602E-4</v>
          </cell>
          <cell r="AG121">
            <v>6.85039392693085E-4</v>
          </cell>
          <cell r="AR121">
            <v>0</v>
          </cell>
          <cell r="BC121">
            <v>0</v>
          </cell>
          <cell r="BF121">
            <v>0</v>
          </cell>
        </row>
        <row r="122">
          <cell r="O122">
            <v>1.2388993693114601</v>
          </cell>
          <cell r="P122">
            <v>1.23954867849367</v>
          </cell>
          <cell r="Q122">
            <v>1.2387052607895599</v>
          </cell>
          <cell r="U122">
            <v>-1.41640987180001E-3</v>
          </cell>
          <cell r="V122">
            <v>-1.21098601072855E-3</v>
          </cell>
          <cell r="W122">
            <v>-1.53176507418294E-3</v>
          </cell>
          <cell r="Y122">
            <v>1.23733334869304</v>
          </cell>
          <cell r="Z122">
            <v>1.2373384164599499</v>
          </cell>
          <cell r="AA122">
            <v>1.23731529423567</v>
          </cell>
          <cell r="AF122">
            <v>7.5640173582455501E-4</v>
          </cell>
          <cell r="AG122">
            <v>7.6612990875880101E-4</v>
          </cell>
          <cell r="AR122">
            <v>0</v>
          </cell>
          <cell r="BC122">
            <v>0</v>
          </cell>
          <cell r="BF122">
            <v>0</v>
          </cell>
        </row>
        <row r="123">
          <cell r="O123">
            <v>1.2388993693114601</v>
          </cell>
          <cell r="P123">
            <v>1.23977790155269</v>
          </cell>
          <cell r="Q123">
            <v>1.23865405751255</v>
          </cell>
          <cell r="U123">
            <v>-1.41640987180001E-3</v>
          </cell>
          <cell r="V123">
            <v>-8.92445532395618E-4</v>
          </cell>
          <cell r="W123">
            <v>-1.5731003460891101E-3</v>
          </cell>
          <cell r="Y123">
            <v>1.23733334869304</v>
          </cell>
          <cell r="Z123">
            <v>1.2371612023962</v>
          </cell>
          <cell r="AA123">
            <v>1.23726572282016</v>
          </cell>
          <cell r="AF123">
            <v>7.4475426228318002E-4</v>
          </cell>
          <cell r="AG123">
            <v>7.2606702198488803E-4</v>
          </cell>
          <cell r="AR123">
            <v>0</v>
          </cell>
          <cell r="BC123">
            <v>0</v>
          </cell>
          <cell r="BF123">
            <v>0</v>
          </cell>
        </row>
        <row r="124">
          <cell r="O124">
            <v>1.2388993693114601</v>
          </cell>
          <cell r="P124">
            <v>1.24007043561229</v>
          </cell>
          <cell r="Q124">
            <v>1.2387820657050801</v>
          </cell>
          <cell r="U124">
            <v>-1.41640987180001E-3</v>
          </cell>
          <cell r="V124">
            <v>-7.0753801636251796E-4</v>
          </cell>
          <cell r="W124">
            <v>-1.61443732667071E-3</v>
          </cell>
          <cell r="Y124">
            <v>1.23733334869304</v>
          </cell>
          <cell r="Z124">
            <v>1.2370462391229</v>
          </cell>
          <cell r="AA124">
            <v>1.2371902983729199</v>
          </cell>
          <cell r="AF124">
            <v>6.0152202034289605E-4</v>
          </cell>
          <cell r="AG124">
            <v>6.8600253011199402E-4</v>
          </cell>
          <cell r="AR124">
            <v>0</v>
          </cell>
          <cell r="BC124">
            <v>0</v>
          </cell>
          <cell r="BF124">
            <v>0</v>
          </cell>
        </row>
        <row r="125">
          <cell r="O125">
            <v>1.2388993693114601</v>
          </cell>
          <cell r="P125">
            <v>1.24006779303131</v>
          </cell>
          <cell r="Q125">
            <v>1.23873086242807</v>
          </cell>
          <cell r="U125">
            <v>1.4767518900202299E-3</v>
          </cell>
          <cell r="V125">
            <v>2.4215527388367201E-3</v>
          </cell>
          <cell r="W125">
            <v>1.38206368288126E-3</v>
          </cell>
          <cell r="Y125">
            <v>1.23733334869304</v>
          </cell>
          <cell r="Z125">
            <v>1.23704367233335</v>
          </cell>
          <cell r="AA125">
            <v>1.2371399780536101</v>
          </cell>
          <cell r="AF125">
            <v>1.02596495663219E-4</v>
          </cell>
          <cell r="AG125">
            <v>2.1904393146546201E-4</v>
          </cell>
          <cell r="AR125">
            <v>0</v>
          </cell>
          <cell r="BC125">
            <v>0</v>
          </cell>
          <cell r="BF125">
            <v>0</v>
          </cell>
        </row>
        <row r="126">
          <cell r="O126">
            <v>1.2388993693114601</v>
          </cell>
          <cell r="P126">
            <v>1.24015529353471</v>
          </cell>
          <cell r="Q126">
            <v>1.23878808651035</v>
          </cell>
          <cell r="U126">
            <v>1.1611814960366799E-3</v>
          </cell>
          <cell r="V126">
            <v>2.1038513499356702E-3</v>
          </cell>
          <cell r="W126">
            <v>1.02515887127612E-3</v>
          </cell>
          <cell r="Y126">
            <v>1.23733334869304</v>
          </cell>
          <cell r="Z126">
            <v>1.23712963436081</v>
          </cell>
          <cell r="AA126">
            <v>1.2371962162604799</v>
          </cell>
          <cell r="AF126">
            <v>-2.0889633614542299E-4</v>
          </cell>
          <cell r="AG126">
            <v>-1.31047854454683E-4</v>
          </cell>
          <cell r="AR126">
            <v>0</v>
          </cell>
          <cell r="BC126">
            <v>0</v>
          </cell>
          <cell r="BF126">
            <v>0</v>
          </cell>
        </row>
        <row r="127">
          <cell r="O127">
            <v>1.2388993693114601</v>
          </cell>
          <cell r="P127">
            <v>1.24008941972477</v>
          </cell>
          <cell r="Q127">
            <v>1.23879414660873</v>
          </cell>
          <cell r="U127">
            <v>1.5748319672916301E-3</v>
          </cell>
          <cell r="V127">
            <v>2.5880603962741299E-3</v>
          </cell>
          <cell r="W127">
            <v>1.48500401023771E-3</v>
          </cell>
          <cell r="Y127">
            <v>1.23733334869304</v>
          </cell>
          <cell r="Z127">
            <v>1.23706493258812</v>
          </cell>
          <cell r="AA127">
            <v>1.2372022224897099</v>
          </cell>
          <cell r="AF127">
            <v>2.6609578853027601E-4</v>
          </cell>
          <cell r="AG127">
            <v>3.1991400302729302E-4</v>
          </cell>
          <cell r="AR127">
            <v>0</v>
          </cell>
          <cell r="BC127">
            <v>0</v>
          </cell>
          <cell r="BF127">
            <v>0</v>
          </cell>
        </row>
        <row r="128">
          <cell r="O128">
            <v>1.2388993693114601</v>
          </cell>
          <cell r="P128">
            <v>1.2396938153291699</v>
          </cell>
          <cell r="Q128">
            <v>1.2388319008408499</v>
          </cell>
          <cell r="U128">
            <v>6.4927976998778295E-4</v>
          </cell>
          <cell r="V128">
            <v>1.60938940016226E-3</v>
          </cell>
          <cell r="W128">
            <v>5.6434375822976405E-4</v>
          </cell>
          <cell r="Y128">
            <v>1.23733334869304</v>
          </cell>
          <cell r="Z128">
            <v>1.23707933975465</v>
          </cell>
          <cell r="AA128">
            <v>1.2372392087169399</v>
          </cell>
          <cell r="AF128">
            <v>-6.93466047801167E-4</v>
          </cell>
          <cell r="AG128">
            <v>-5.8249185372649898E-4</v>
          </cell>
          <cell r="AR128">
            <v>0</v>
          </cell>
          <cell r="BC128">
            <v>0</v>
          </cell>
          <cell r="BF128">
            <v>0</v>
          </cell>
        </row>
        <row r="129">
          <cell r="O129">
            <v>1.2388993693114601</v>
          </cell>
          <cell r="P129">
            <v>1.2391835667923099</v>
          </cell>
          <cell r="Q129">
            <v>1.23881239858042</v>
          </cell>
          <cell r="U129">
            <v>1.1611814960366799E-3</v>
          </cell>
          <cell r="V129">
            <v>1.8022274327657E-3</v>
          </cell>
          <cell r="W129">
            <v>1.1067216186165299E-3</v>
          </cell>
          <cell r="Y129">
            <v>1.23733334869304</v>
          </cell>
          <cell r="Z129">
            <v>1.23698138511914</v>
          </cell>
          <cell r="AA129">
            <v>1.2372199954979199</v>
          </cell>
          <cell r="AF129">
            <v>-1.8006396110229199E-4</v>
          </cell>
          <cell r="AG129">
            <v>-5.0841341312960103E-5</v>
          </cell>
          <cell r="AR129">
            <v>0</v>
          </cell>
          <cell r="BC129">
            <v>0</v>
          </cell>
          <cell r="BF129">
            <v>0</v>
          </cell>
        </row>
        <row r="130">
          <cell r="O130">
            <v>1.2388993693114601</v>
          </cell>
          <cell r="P130">
            <v>1.2387636048275901</v>
          </cell>
          <cell r="Q130">
            <v>1.23881239858042</v>
          </cell>
          <cell r="U130">
            <v>8.4603333678089402E-4</v>
          </cell>
          <cell r="V130">
            <v>1.07540215890374E-3</v>
          </cell>
          <cell r="W130">
            <v>7.7583087642838899E-4</v>
          </cell>
          <cell r="Y130">
            <v>1.23733334869304</v>
          </cell>
          <cell r="Z130">
            <v>1.2369719343790899</v>
          </cell>
          <cell r="AA130">
            <v>1.23721990229657</v>
          </cell>
          <cell r="AF130">
            <v>-5.6826133192910099E-4</v>
          </cell>
          <cell r="AG130">
            <v>-3.75382626590837E-4</v>
          </cell>
          <cell r="AR130">
            <v>0</v>
          </cell>
          <cell r="BC130">
            <v>0</v>
          </cell>
          <cell r="BF130">
            <v>0</v>
          </cell>
        </row>
        <row r="131">
          <cell r="O131">
            <v>1.2388993693114601</v>
          </cell>
          <cell r="P131">
            <v>1.2384197513204001</v>
          </cell>
          <cell r="Q131">
            <v>1.23878682313285</v>
          </cell>
          <cell r="U131">
            <v>1.2593418774856399E-3</v>
          </cell>
          <cell r="V131">
            <v>1.14975111762102E-3</v>
          </cell>
          <cell r="W131">
            <v>1.1891394171331499E-3</v>
          </cell>
          <cell r="Y131">
            <v>1.23733334869304</v>
          </cell>
          <cell r="Z131">
            <v>1.2370366519260501</v>
          </cell>
          <cell r="AA131">
            <v>1.2371947401682</v>
          </cell>
          <cell r="AF131">
            <v>-1.7072547617847701E-4</v>
          </cell>
          <cell r="AG131">
            <v>2.97180905912072E-5</v>
          </cell>
          <cell r="AR131">
            <v>0</v>
          </cell>
          <cell r="BC131">
            <v>0</v>
          </cell>
          <cell r="BF131">
            <v>0</v>
          </cell>
        </row>
        <row r="132">
          <cell r="O132">
            <v>1.2388993693114601</v>
          </cell>
          <cell r="P132">
            <v>1.23808822647109</v>
          </cell>
          <cell r="Q132">
            <v>1.23881845248238</v>
          </cell>
          <cell r="U132">
            <v>1.2593418774856399E-3</v>
          </cell>
          <cell r="V132">
            <v>8.72134599210621E-4</v>
          </cell>
          <cell r="W132">
            <v>1.16849407034155E-3</v>
          </cell>
          <cell r="Y132">
            <v>1.23733334869304</v>
          </cell>
          <cell r="Z132">
            <v>1.2371132407824701</v>
          </cell>
          <cell r="AA132">
            <v>1.2372258286212101</v>
          </cell>
          <cell r="AF132">
            <v>-1.18407511451797E-4</v>
          </cell>
          <cell r="AG132">
            <v>9.3802474995617895E-6</v>
          </cell>
          <cell r="AR132">
            <v>0</v>
          </cell>
          <cell r="BC132">
            <v>0</v>
          </cell>
          <cell r="BF132">
            <v>0</v>
          </cell>
        </row>
        <row r="133">
          <cell r="O133">
            <v>1.2388993693114601</v>
          </cell>
          <cell r="P133">
            <v>1.2377567016217901</v>
          </cell>
          <cell r="Q133">
            <v>1.23876730158724</v>
          </cell>
          <cell r="U133">
            <v>1.2593418774856399E-3</v>
          </cell>
          <cell r="V133">
            <v>6.0439885657843895E-4</v>
          </cell>
          <cell r="W133">
            <v>1.1940262645444299E-3</v>
          </cell>
          <cell r="Y133">
            <v>1.23733334869304</v>
          </cell>
          <cell r="Z133">
            <v>1.2371898296388799</v>
          </cell>
          <cell r="AA133">
            <v>1.2371755160175399</v>
          </cell>
          <cell r="AF133">
            <v>-5.64962613173881E-5</v>
          </cell>
          <cell r="AG133">
            <v>3.4508112504784198E-5</v>
          </cell>
          <cell r="AR133">
            <v>0</v>
          </cell>
          <cell r="BC133">
            <v>0</v>
          </cell>
          <cell r="BF133">
            <v>0</v>
          </cell>
        </row>
        <row r="134">
          <cell r="O134">
            <v>1.2388993693114601</v>
          </cell>
          <cell r="P134">
            <v>1.2375274785627699</v>
          </cell>
          <cell r="Q134">
            <v>1.23879895708753</v>
          </cell>
          <cell r="U134">
            <v>4.32895549454491E-4</v>
          </cell>
          <cell r="V134">
            <v>-4.8985491571047301E-4</v>
          </cell>
          <cell r="W134">
            <v>3.2628901847831302E-4</v>
          </cell>
          <cell r="Y134">
            <v>1.23733334869304</v>
          </cell>
          <cell r="Z134">
            <v>1.2373666942033501</v>
          </cell>
          <cell r="AA134">
            <v>1.2372064666631299</v>
          </cell>
          <cell r="AF134">
            <v>-8.0477683971798503E-4</v>
          </cell>
          <cell r="AG134">
            <v>-8.1634636914367301E-4</v>
          </cell>
          <cell r="AR134">
            <v>0</v>
          </cell>
          <cell r="BC134">
            <v>0</v>
          </cell>
          <cell r="BF134">
            <v>0</v>
          </cell>
        </row>
        <row r="135">
          <cell r="O135">
            <v>1.2388993693114601</v>
          </cell>
          <cell r="P135">
            <v>1.2376055275476701</v>
          </cell>
          <cell r="Q135">
            <v>1.23883666028949</v>
          </cell>
          <cell r="U135">
            <v>8.4603333678089402E-4</v>
          </cell>
          <cell r="V135">
            <v>-2.6192661787431698E-4</v>
          </cell>
          <cell r="W135">
            <v>7.6498051213342796E-4</v>
          </cell>
          <cell r="Y135">
            <v>1.23733334869304</v>
          </cell>
          <cell r="Z135">
            <v>1.23744321265794</v>
          </cell>
          <cell r="AA135">
            <v>1.23724344249565</v>
          </cell>
          <cell r="AF135">
            <v>-2.5681841850451898E-4</v>
          </cell>
          <cell r="AG135">
            <v>-3.8631755232208402E-4</v>
          </cell>
          <cell r="AR135">
            <v>0</v>
          </cell>
          <cell r="BC135">
            <v>0</v>
          </cell>
          <cell r="BF135">
            <v>0</v>
          </cell>
        </row>
        <row r="136">
          <cell r="O136">
            <v>1.2388993693114601</v>
          </cell>
          <cell r="P136">
            <v>1.2376202242849399</v>
          </cell>
          <cell r="Q136">
            <v>1.2388877589098299</v>
          </cell>
          <cell r="U136">
            <v>1.0424233510854899E-3</v>
          </cell>
          <cell r="V136">
            <v>-2.4701059407156499E-6</v>
          </cell>
          <cell r="W136">
            <v>9.9180535042984802E-4</v>
          </cell>
          <cell r="Y136">
            <v>1.23733334869304</v>
          </cell>
          <cell r="Z136">
            <v>1.2374576425861199</v>
          </cell>
          <cell r="AA136">
            <v>1.2372936384734601</v>
          </cell>
          <cell r="AF136">
            <v>-2.5858451924956501E-6</v>
          </cell>
          <cell r="AG136">
            <v>-1.64036720042937E-4</v>
          </cell>
          <cell r="AR136">
            <v>0</v>
          </cell>
          <cell r="BC136">
            <v>0</v>
          </cell>
          <cell r="BF136">
            <v>0</v>
          </cell>
        </row>
        <row r="137">
          <cell r="O137">
            <v>1.2388993693114601</v>
          </cell>
          <cell r="P137">
            <v>1.23801544978671</v>
          </cell>
          <cell r="Q137">
            <v>1.2390524347557399</v>
          </cell>
          <cell r="U137">
            <v>-1.6152362469004E-3</v>
          </cell>
          <cell r="V137">
            <v>-2.6482546357545198E-3</v>
          </cell>
          <cell r="W137">
            <v>-1.62460783617278E-3</v>
          </cell>
          <cell r="Y137">
            <v>1.23733334869304</v>
          </cell>
          <cell r="Z137">
            <v>1.23744563654803</v>
          </cell>
          <cell r="AA137">
            <v>1.23725528456808</v>
          </cell>
          <cell r="AF137">
            <v>6.2827522309568903E-4</v>
          </cell>
          <cell r="AG137">
            <v>4.9573332755327795E-4</v>
          </cell>
          <cell r="AR137">
            <v>0</v>
          </cell>
          <cell r="BC137">
            <v>0</v>
          </cell>
          <cell r="BF137">
            <v>0</v>
          </cell>
        </row>
        <row r="138">
          <cell r="O138">
            <v>1.2388993693114601</v>
          </cell>
          <cell r="P138">
            <v>1.23835977213103</v>
          </cell>
          <cell r="Q138">
            <v>1.2390267937301001</v>
          </cell>
          <cell r="U138">
            <v>-2.12792531221929E-3</v>
          </cell>
          <cell r="V138">
            <v>-2.8416515618782498E-3</v>
          </cell>
          <cell r="W138">
            <v>-2.0043834061831498E-3</v>
          </cell>
          <cell r="Y138">
            <v>1.23733334869304</v>
          </cell>
          <cell r="Z138">
            <v>1.2373833297043699</v>
          </cell>
          <cell r="AA138">
            <v>1.2372313347295101</v>
          </cell>
          <cell r="AF138">
            <v>1.17678637652996E-4</v>
          </cell>
          <cell r="AG138">
            <v>-3.6159734254675701E-5</v>
          </cell>
          <cell r="AR138">
            <v>0</v>
          </cell>
          <cell r="BC138">
            <v>0</v>
          </cell>
          <cell r="BF138">
            <v>0</v>
          </cell>
        </row>
        <row r="139">
          <cell r="O139">
            <v>1.2388993693114601</v>
          </cell>
          <cell r="P139">
            <v>1.2388187386166101</v>
          </cell>
          <cell r="Q139">
            <v>1.23900115270446</v>
          </cell>
          <cell r="U139">
            <v>-2.5408924871983202E-3</v>
          </cell>
          <cell r="V139">
            <v>-2.9765329738484802E-3</v>
          </cell>
          <cell r="W139">
            <v>-2.4380448554590802E-3</v>
          </cell>
          <cell r="Y139">
            <v>1.23733334869304</v>
          </cell>
          <cell r="Z139">
            <v>1.2374332227852001</v>
          </cell>
          <cell r="AA139">
            <v>1.23720730395217</v>
          </cell>
          <cell r="AF139">
            <v>-3.3752178555538102E-4</v>
          </cell>
          <cell r="AG139">
            <v>-4.6036513344305903E-4</v>
          </cell>
          <cell r="AR139">
            <v>0</v>
          </cell>
          <cell r="BC139">
            <v>0</v>
          </cell>
          <cell r="BF139">
            <v>0</v>
          </cell>
        </row>
        <row r="140">
          <cell r="O140">
            <v>1.2388993693114601</v>
          </cell>
          <cell r="P140">
            <v>1.23918741853004</v>
          </cell>
          <cell r="Q140">
            <v>1.2389755116788199</v>
          </cell>
          <cell r="U140">
            <v>-2.12792531221929E-3</v>
          </cell>
          <cell r="V140">
            <v>-2.1930099516918201E-3</v>
          </cell>
          <cell r="W140">
            <v>-2.0457723830388901E-3</v>
          </cell>
          <cell r="Y140">
            <v>1.23733334869304</v>
          </cell>
          <cell r="Z140">
            <v>1.2373947738481199</v>
          </cell>
          <cell r="AA140">
            <v>1.2371833541135999</v>
          </cell>
          <cell r="AF140">
            <v>1.07646823134252E-4</v>
          </cell>
          <cell r="AG140">
            <v>-7.4940369803881999E-5</v>
          </cell>
          <cell r="AR140">
            <v>0</v>
          </cell>
          <cell r="BC140">
            <v>0</v>
          </cell>
          <cell r="BF140">
            <v>0</v>
          </cell>
        </row>
        <row r="141">
          <cell r="O141">
            <v>1.2388993693114601</v>
          </cell>
          <cell r="P141">
            <v>1.23953127203723</v>
          </cell>
          <cell r="Q141">
            <v>1.2389755116788199</v>
          </cell>
          <cell r="U141">
            <v>-1.5157770719528901E-3</v>
          </cell>
          <cell r="V141">
            <v>-1.2832999680101899E-3</v>
          </cell>
          <cell r="W141">
            <v>-1.45431927361094E-3</v>
          </cell>
          <cell r="Y141">
            <v>1.23733334869304</v>
          </cell>
          <cell r="Z141">
            <v>1.23733265633609</v>
          </cell>
          <cell r="AA141">
            <v>1.23718465413107</v>
          </cell>
          <cell r="AF141">
            <v>6.7326478165788102E-4</v>
          </cell>
          <cell r="AG141">
            <v>5.0239142539760997E-4</v>
          </cell>
          <cell r="AR141">
            <v>0</v>
          </cell>
          <cell r="BC141">
            <v>0</v>
          </cell>
          <cell r="BF141">
            <v>0</v>
          </cell>
        </row>
        <row r="142">
          <cell r="O142">
            <v>1.2388993693114601</v>
          </cell>
          <cell r="P142">
            <v>1.2399263550526201</v>
          </cell>
          <cell r="Q142">
            <v>1.2390072907618599</v>
          </cell>
          <cell r="U142">
            <v>-1.9285737754411701E-3</v>
          </cell>
          <cell r="V142">
            <v>-1.4186521105608099E-3</v>
          </cell>
          <cell r="W142">
            <v>-1.8671159770991101E-3</v>
          </cell>
          <cell r="Y142">
            <v>1.23733334869304</v>
          </cell>
          <cell r="Z142">
            <v>1.23732059065273</v>
          </cell>
          <cell r="AA142">
            <v>1.2372169157176001</v>
          </cell>
          <cell r="AF142">
            <v>2.18379140196945E-4</v>
          </cell>
          <cell r="AG142">
            <v>9.8758069398414104E-5</v>
          </cell>
          <cell r="AR142">
            <v>0</v>
          </cell>
          <cell r="BC142">
            <v>0</v>
          </cell>
          <cell r="BF142">
            <v>0</v>
          </cell>
        </row>
        <row r="143">
          <cell r="O143">
            <v>1.2388993693114601</v>
          </cell>
          <cell r="P143">
            <v>1.2403726675762099</v>
          </cell>
          <cell r="Q143">
            <v>1.2390646845990001</v>
          </cell>
          <cell r="U143">
            <v>-2.3412001481204802E-3</v>
          </cell>
          <cell r="V143">
            <v>-1.5125934495339201E-3</v>
          </cell>
          <cell r="W143">
            <v>-2.25409319433479E-3</v>
          </cell>
          <cell r="Y143">
            <v>1.23733334869304</v>
          </cell>
          <cell r="Z143">
            <v>1.23735857679804</v>
          </cell>
          <cell r="AA143">
            <v>1.23727420321846</v>
          </cell>
          <cell r="AF143">
            <v>-1.9589271362922399E-4</v>
          </cell>
          <cell r="AG143">
            <v>-2.7968609718058098E-4</v>
          </cell>
          <cell r="AR143">
            <v>0</v>
          </cell>
          <cell r="BC143">
            <v>0</v>
          </cell>
          <cell r="BF143">
            <v>0</v>
          </cell>
        </row>
        <row r="144">
          <cell r="O144">
            <v>1.2388993693114601</v>
          </cell>
          <cell r="P144">
            <v>1.24078032788812</v>
          </cell>
          <cell r="Q144">
            <v>1.2391539032254399</v>
          </cell>
          <cell r="U144">
            <v>-2.8536264980468999E-3</v>
          </cell>
          <cell r="V144">
            <v>-1.66513373384562E-3</v>
          </cell>
          <cell r="W144">
            <v>-2.72019818013527E-3</v>
          </cell>
          <cell r="Y144">
            <v>1.23733334869304</v>
          </cell>
          <cell r="Z144">
            <v>1.2373582605451301</v>
          </cell>
          <cell r="AA144">
            <v>1.23736247737424</v>
          </cell>
          <cell r="AF144">
            <v>-6.6583644680398297E-4</v>
          </cell>
          <cell r="AG144">
            <v>-7.3402723478067195E-4</v>
          </cell>
          <cell r="AR144">
            <v>0</v>
          </cell>
          <cell r="BC144">
            <v>0</v>
          </cell>
          <cell r="BF144">
            <v>0</v>
          </cell>
        </row>
        <row r="145">
          <cell r="O145">
            <v>1.2388993693114601</v>
          </cell>
          <cell r="P145">
            <v>1.2411631083963</v>
          </cell>
          <cell r="Q145">
            <v>1.2393843179719899</v>
          </cell>
          <cell r="U145">
            <v>-2.2414924268578502E-3</v>
          </cell>
          <cell r="V145">
            <v>-7.2439411811582805E-4</v>
          </cell>
          <cell r="W145">
            <v>-2.0360618837012298E-3</v>
          </cell>
          <cell r="Y145">
            <v>1.23733334869304</v>
          </cell>
          <cell r="Z145">
            <v>1.2373342243224299</v>
          </cell>
          <cell r="AA145">
            <v>1.23738871849018</v>
          </cell>
          <cell r="AF145">
            <v>-6.9412246838343906E-5</v>
          </cell>
          <cell r="AG145">
            <v>-6.6004323634759305E-5</v>
          </cell>
          <cell r="AR145">
            <v>0</v>
          </cell>
          <cell r="BC145">
            <v>0</v>
          </cell>
          <cell r="BF145">
            <v>0</v>
          </cell>
        </row>
        <row r="146">
          <cell r="O146">
            <v>1.2388993693114601</v>
          </cell>
          <cell r="P146">
            <v>1.24151899341106</v>
          </cell>
          <cell r="Q146">
            <v>1.2395696088479999</v>
          </cell>
          <cell r="U146">
            <v>-1.8290362444792899E-3</v>
          </cell>
          <cell r="V146">
            <v>-3.4856917245787598E-6</v>
          </cell>
          <cell r="W146">
            <v>-1.4376777658668999E-3</v>
          </cell>
          <cell r="Y146">
            <v>1.23733334869304</v>
          </cell>
          <cell r="Z146">
            <v>1.2372839714175199</v>
          </cell>
          <cell r="AA146">
            <v>1.2373708070018199</v>
          </cell>
          <cell r="AF146">
            <v>3.1551899914317199E-4</v>
          </cell>
          <cell r="AG146">
            <v>3.5955962027600701E-4</v>
          </cell>
          <cell r="AR146">
            <v>0</v>
          </cell>
          <cell r="BC146">
            <v>0</v>
          </cell>
          <cell r="BF146">
            <v>0</v>
          </cell>
        </row>
        <row r="147">
          <cell r="O147">
            <v>1.2388993693114601</v>
          </cell>
          <cell r="P147">
            <v>1.2411237679092999</v>
          </cell>
          <cell r="Q147">
            <v>1.2395696088479999</v>
          </cell>
          <cell r="U147">
            <v>1.5748319672916301E-3</v>
          </cell>
          <cell r="V147">
            <v>3.6870765087283798E-3</v>
          </cell>
          <cell r="W147">
            <v>2.1156816279358399E-3</v>
          </cell>
          <cell r="Y147">
            <v>1.23733334869304</v>
          </cell>
          <cell r="Z147">
            <v>1.23729919989471</v>
          </cell>
          <cell r="AA147">
            <v>1.2373724182213699</v>
          </cell>
          <cell r="AF147">
            <v>3.6478785761736199E-4</v>
          </cell>
          <cell r="AG147">
            <v>4.3496781572094302E-4</v>
          </cell>
          <cell r="AR147">
            <v>0</v>
          </cell>
          <cell r="BC147">
            <v>0</v>
          </cell>
          <cell r="BF147">
            <v>0</v>
          </cell>
        </row>
        <row r="148">
          <cell r="O148">
            <v>1.2388993693114601</v>
          </cell>
          <cell r="P148">
            <v>1.2406649064023301</v>
          </cell>
          <cell r="Q148">
            <v>1.23951233926668</v>
          </cell>
          <cell r="U148">
            <v>1.5748319672916301E-3</v>
          </cell>
          <cell r="V148">
            <v>3.3686855494971801E-3</v>
          </cell>
          <cell r="W148">
            <v>2.1156816279358399E-3</v>
          </cell>
          <cell r="Y148">
            <v>1.23733334869304</v>
          </cell>
          <cell r="Z148">
            <v>1.2372524682309001</v>
          </cell>
          <cell r="AA148">
            <v>1.2373178989676401</v>
          </cell>
          <cell r="AF148">
            <v>3.7709577061778202E-4</v>
          </cell>
          <cell r="AG148">
            <v>4.3626994641187398E-4</v>
          </cell>
          <cell r="AR148">
            <v>0</v>
          </cell>
          <cell r="BC148">
            <v>0</v>
          </cell>
          <cell r="BF148">
            <v>0</v>
          </cell>
        </row>
        <row r="149">
          <cell r="O149">
            <v>1.2388993693114601</v>
          </cell>
          <cell r="P149">
            <v>1.2401547628440801</v>
          </cell>
          <cell r="Q149">
            <v>1.23948675073034</v>
          </cell>
          <cell r="U149">
            <v>1.5748319672916301E-3</v>
          </cell>
          <cell r="V149">
            <v>2.9989026449767E-3</v>
          </cell>
          <cell r="W149">
            <v>2.06947937844865E-3</v>
          </cell>
          <cell r="Y149">
            <v>1.23733334869304</v>
          </cell>
          <cell r="Z149">
            <v>1.2371556345845001</v>
          </cell>
          <cell r="AA149">
            <v>1.23729442868485</v>
          </cell>
          <cell r="AF149">
            <v>3.3932596817546598E-4</v>
          </cell>
          <cell r="AG149">
            <v>3.9220847062543203E-4</v>
          </cell>
          <cell r="AR149">
            <v>0</v>
          </cell>
          <cell r="BC149">
            <v>0</v>
          </cell>
          <cell r="BF149">
            <v>0</v>
          </cell>
        </row>
        <row r="150">
          <cell r="O150">
            <v>1.2388993693114601</v>
          </cell>
          <cell r="P150">
            <v>1.2397470784097799</v>
          </cell>
          <cell r="Q150">
            <v>1.2394672484699101</v>
          </cell>
          <cell r="U150">
            <v>1.1611814960366799E-3</v>
          </cell>
          <cell r="V150">
            <v>2.1739820022018E-3</v>
          </cell>
          <cell r="W150">
            <v>1.6351846589242899E-3</v>
          </cell>
          <cell r="Y150">
            <v>1.23733334869304</v>
          </cell>
          <cell r="Z150">
            <v>1.2371589046957501</v>
          </cell>
          <cell r="AA150">
            <v>1.23727683927193</v>
          </cell>
          <cell r="AF150">
            <v>-1.43133207185679E-4</v>
          </cell>
          <cell r="AG150">
            <v>-3.0951431885696201E-5</v>
          </cell>
          <cell r="AR150">
            <v>0</v>
          </cell>
          <cell r="BC150">
            <v>0</v>
          </cell>
          <cell r="BF150">
            <v>0</v>
          </cell>
        </row>
        <row r="151">
          <cell r="O151">
            <v>1.2388993693114601</v>
          </cell>
          <cell r="P151">
            <v>1.2394032249025899</v>
          </cell>
          <cell r="Q151">
            <v>1.2394672484699101</v>
          </cell>
          <cell r="U151">
            <v>1.2593418774856399E-3</v>
          </cell>
          <cell r="V151">
            <v>1.9433515975097E-3</v>
          </cell>
          <cell r="W151">
            <v>1.71761077468174E-3</v>
          </cell>
          <cell r="Y151">
            <v>1.23733334869304</v>
          </cell>
          <cell r="Z151">
            <v>1.2372241201092</v>
          </cell>
          <cell r="AA151">
            <v>1.2372783882226399</v>
          </cell>
          <cell r="AF151">
            <v>-4.46249194160678E-5</v>
          </cell>
          <cell r="AG151">
            <v>5.0697480093042902E-5</v>
          </cell>
          <cell r="AR151">
            <v>0</v>
          </cell>
          <cell r="BC151">
            <v>0</v>
          </cell>
          <cell r="BF151">
            <v>0</v>
          </cell>
        </row>
        <row r="152">
          <cell r="O152">
            <v>1.2388993693114601</v>
          </cell>
          <cell r="P152">
            <v>1.23902028826149</v>
          </cell>
          <cell r="Q152">
            <v>1.2394733216570499</v>
          </cell>
          <cell r="U152">
            <v>1.1611814960366799E-3</v>
          </cell>
          <cell r="V152">
            <v>1.5677949574023E-3</v>
          </cell>
          <cell r="W152">
            <v>1.6194503932330101E-3</v>
          </cell>
          <cell r="Y152">
            <v>1.23733334869304</v>
          </cell>
          <cell r="Z152">
            <v>1.2372511448207599</v>
          </cell>
          <cell r="AA152">
            <v>1.23728586773674</v>
          </cell>
          <cell r="AF152">
            <v>-8.7777496655960997E-5</v>
          </cell>
          <cell r="AG152">
            <v>-4.3915659160296498E-5</v>
          </cell>
          <cell r="AR152">
            <v>0</v>
          </cell>
          <cell r="BC152">
            <v>0</v>
          </cell>
          <cell r="BF152">
            <v>0</v>
          </cell>
        </row>
        <row r="153">
          <cell r="O153">
            <v>1.2388993693114601</v>
          </cell>
          <cell r="P153">
            <v>1.23852282484276</v>
          </cell>
          <cell r="Q153">
            <v>1.23944774620948</v>
          </cell>
          <cell r="U153">
            <v>1.67282131277501E-3</v>
          </cell>
          <cell r="V153">
            <v>1.77041846428119E-3</v>
          </cell>
          <cell r="W153">
            <v>2.1359900346896699E-3</v>
          </cell>
          <cell r="Y153">
            <v>1.23733334869304</v>
          </cell>
          <cell r="Z153">
            <v>1.2371662797910901</v>
          </cell>
          <cell r="AA153">
            <v>1.2372624282945699</v>
          </cell>
          <cell r="AF153">
            <v>4.3395806848806902E-4</v>
          </cell>
          <cell r="AG153">
            <v>4.6202224033976602E-4</v>
          </cell>
          <cell r="AR153">
            <v>0</v>
          </cell>
          <cell r="BC153">
            <v>0</v>
          </cell>
          <cell r="BF153">
            <v>0</v>
          </cell>
        </row>
        <row r="154">
          <cell r="O154">
            <v>1.2388993693114601</v>
          </cell>
          <cell r="P154">
            <v>1.2380640136357099</v>
          </cell>
          <cell r="Q154">
            <v>1.23942217076191</v>
          </cell>
          <cell r="U154">
            <v>8.4603333678089402E-4</v>
          </cell>
          <cell r="V154">
            <v>5.4205247111469696E-4</v>
          </cell>
          <cell r="W154">
            <v>1.2885677207145499E-3</v>
          </cell>
          <cell r="Y154">
            <v>1.23733334869304</v>
          </cell>
          <cell r="Z154">
            <v>1.23711939502315</v>
          </cell>
          <cell r="AA154">
            <v>1.23723882778414</v>
          </cell>
          <cell r="AF154">
            <v>-4.4252819039173599E-4</v>
          </cell>
          <cell r="AG154">
            <v>-3.6481449170522101E-4</v>
          </cell>
          <cell r="AR154">
            <v>0</v>
          </cell>
          <cell r="BC154">
            <v>0</v>
          </cell>
          <cell r="BF154">
            <v>0</v>
          </cell>
        </row>
        <row r="155">
          <cell r="O155">
            <v>1.2388993693114601</v>
          </cell>
          <cell r="P155">
            <v>1.23763008223239</v>
          </cell>
          <cell r="Q155">
            <v>1.23939659531434</v>
          </cell>
          <cell r="U155">
            <v>1.2593418774856399E-3</v>
          </cell>
          <cell r="V155">
            <v>5.8484203370465801E-4</v>
          </cell>
          <cell r="W155">
            <v>1.68124149765358E-3</v>
          </cell>
          <cell r="Y155">
            <v>1.23733334869304</v>
          </cell>
          <cell r="Z155">
            <v>1.23709639129325</v>
          </cell>
          <cell r="AA155">
            <v>1.2372153078078401</v>
          </cell>
          <cell r="AF155">
            <v>-7.6561240082889497E-5</v>
          </cell>
          <cell r="AG155">
            <v>1.9975114257820999E-5</v>
          </cell>
          <cell r="AR155">
            <v>0</v>
          </cell>
          <cell r="BC155">
            <v>0</v>
          </cell>
          <cell r="BF155">
            <v>0</v>
          </cell>
        </row>
        <row r="156">
          <cell r="O156">
            <v>1.2388993693114601</v>
          </cell>
          <cell r="P156">
            <v>1.23729850500121</v>
          </cell>
          <cell r="Q156">
            <v>1.2394087492061401</v>
          </cell>
          <cell r="U156">
            <v>8.4603333678089402E-4</v>
          </cell>
          <cell r="V156">
            <v>-1.79019839490762E-4</v>
          </cell>
          <cell r="W156">
            <v>1.2472977673809501E-3</v>
          </cell>
          <cell r="Y156">
            <v>1.23733334869304</v>
          </cell>
          <cell r="Z156">
            <v>1.2371733911384799</v>
          </cell>
          <cell r="AA156">
            <v>1.237228681278</v>
          </cell>
          <cell r="AF156">
            <v>-4.9902057390348504E-4</v>
          </cell>
          <cell r="AG156">
            <v>-4.0289968927627399E-4</v>
          </cell>
          <cell r="AR156">
            <v>0</v>
          </cell>
          <cell r="BC156">
            <v>0</v>
          </cell>
          <cell r="BF156">
            <v>0</v>
          </cell>
        </row>
        <row r="157">
          <cell r="O157">
            <v>1.2388993693114601</v>
          </cell>
          <cell r="P157">
            <v>1.23732540174493</v>
          </cell>
          <cell r="Q157">
            <v>1.23922458482711</v>
          </cell>
          <cell r="U157">
            <v>1.3574115120773399E-3</v>
          </cell>
          <cell r="V157">
            <v>6.4409405992442599E-5</v>
          </cell>
          <cell r="W157">
            <v>1.7684821921441899E-3</v>
          </cell>
          <cell r="Y157">
            <v>1.23733334869304</v>
          </cell>
          <cell r="Z157">
            <v>1.23719968250969</v>
          </cell>
          <cell r="AA157">
            <v>1.2372494412021999</v>
          </cell>
          <cell r="AF157">
            <v>6.2862902000553902E-5</v>
          </cell>
          <cell r="AG157">
            <v>1.0755259907661E-4</v>
          </cell>
          <cell r="AR157">
            <v>0</v>
          </cell>
          <cell r="BC157">
            <v>0</v>
          </cell>
          <cell r="BF157">
            <v>0</v>
          </cell>
        </row>
        <row r="158">
          <cell r="O158">
            <v>1.2388993693114601</v>
          </cell>
          <cell r="P158">
            <v>1.23740342323302</v>
          </cell>
          <cell r="Q158">
            <v>1.2390341648176699</v>
          </cell>
          <cell r="U158">
            <v>9.4427372475070295E-4</v>
          </cell>
          <cell r="V158">
            <v>-3.2699033569188801E-4</v>
          </cell>
          <cell r="W158">
            <v>1.2067428534430101E-3</v>
          </cell>
          <cell r="Y158">
            <v>1.23733334869304</v>
          </cell>
          <cell r="Z158">
            <v>1.23727592570238</v>
          </cell>
          <cell r="AA158">
            <v>1.23726419696664</v>
          </cell>
          <cell r="AF158">
            <v>-3.19587691162985E-4</v>
          </cell>
          <cell r="AG158">
            <v>-2.7936969513366402E-4</v>
          </cell>
          <cell r="AR158">
            <v>0</v>
          </cell>
          <cell r="BC158">
            <v>0</v>
          </cell>
          <cell r="BF158">
            <v>0</v>
          </cell>
        </row>
        <row r="159">
          <cell r="O159">
            <v>1.2388993693114601</v>
          </cell>
          <cell r="P159">
            <v>1.23741819842262</v>
          </cell>
          <cell r="Q159">
            <v>1.23878648063335</v>
          </cell>
          <cell r="U159">
            <v>1.45539052606444E-3</v>
          </cell>
          <cell r="V159">
            <v>2.4718104140360501E-4</v>
          </cell>
          <cell r="W159">
            <v>1.56418723468305E-3</v>
          </cell>
          <cell r="Y159">
            <v>1.23733334869304</v>
          </cell>
          <cell r="Z159">
            <v>1.23729037962847</v>
          </cell>
          <cell r="AA159">
            <v>1.23722300710648</v>
          </cell>
          <cell r="AF159">
            <v>2.4142952315512399E-4</v>
          </cell>
          <cell r="AG159">
            <v>2.31949995519072E-4</v>
          </cell>
          <cell r="AR159">
            <v>0</v>
          </cell>
          <cell r="BC159">
            <v>0</v>
          </cell>
          <cell r="BF159">
            <v>0</v>
          </cell>
        </row>
        <row r="160">
          <cell r="O160">
            <v>1.2388993693114601</v>
          </cell>
          <cell r="P160">
            <v>1.2374450428380399</v>
          </cell>
          <cell r="Q160">
            <v>1.2385960606239099</v>
          </cell>
          <cell r="U160">
            <v>9.4427372475070295E-4</v>
          </cell>
          <cell r="V160">
            <v>-2.5199535218370698E-4</v>
          </cell>
          <cell r="W160">
            <v>8.5314943779473697E-4</v>
          </cell>
          <cell r="Y160">
            <v>1.23733334869304</v>
          </cell>
          <cell r="Z160">
            <v>1.23731662104609</v>
          </cell>
          <cell r="AA160">
            <v>1.2372377628709199</v>
          </cell>
          <cell r="AF160">
            <v>-2.4628198652142298E-4</v>
          </cell>
          <cell r="AG160">
            <v>-3.0073513465407001E-4</v>
          </cell>
          <cell r="AR160">
            <v>0</v>
          </cell>
          <cell r="BC160">
            <v>0</v>
          </cell>
          <cell r="BF160">
            <v>0</v>
          </cell>
        </row>
        <row r="161">
          <cell r="O161">
            <v>1.2388993693114601</v>
          </cell>
          <cell r="P161">
            <v>1.23752298456993</v>
          </cell>
          <cell r="Q161">
            <v>1.23846310473626</v>
          </cell>
          <cell r="U161">
            <v>6.2962664759725403E-4</v>
          </cell>
          <cell r="V161">
            <v>-5.4494877372587402E-4</v>
          </cell>
          <cell r="W161">
            <v>3.8477558922643101E-4</v>
          </cell>
          <cell r="Y161">
            <v>1.23733334869304</v>
          </cell>
          <cell r="Z161">
            <v>1.23739278808805</v>
          </cell>
          <cell r="AA161">
            <v>1.2373084540986301</v>
          </cell>
          <cell r="AF161">
            <v>-5.3259439706761897E-4</v>
          </cell>
          <cell r="AG161">
            <v>-5.9632965034042001E-4</v>
          </cell>
          <cell r="AR161">
            <v>0</v>
          </cell>
          <cell r="BC161">
            <v>0</v>
          </cell>
          <cell r="BF161">
            <v>0</v>
          </cell>
        </row>
        <row r="162">
          <cell r="O162">
            <v>1.2388993693114601</v>
          </cell>
          <cell r="P162">
            <v>1.2379182887653</v>
          </cell>
          <cell r="Q162">
            <v>1.2384692885133901</v>
          </cell>
          <cell r="U162">
            <v>-2.02820342187942E-3</v>
          </cell>
          <cell r="V162">
            <v>-3.1397948118510699E-3</v>
          </cell>
          <cell r="W162">
            <v>-2.3804042679638699E-3</v>
          </cell>
          <cell r="Y162">
            <v>1.23733334869304</v>
          </cell>
          <cell r="Z162">
            <v>1.23739530585612</v>
          </cell>
          <cell r="AA162">
            <v>1.2373232253384401</v>
          </cell>
          <cell r="AF162">
            <v>2.8192816194069E-5</v>
          </cell>
          <cell r="AG162">
            <v>-3.99640893919122E-5</v>
          </cell>
          <cell r="AR162">
            <v>0</v>
          </cell>
          <cell r="BC162">
            <v>0</v>
          </cell>
          <cell r="BF162">
            <v>0</v>
          </cell>
        </row>
        <row r="163">
          <cell r="O163">
            <v>1.2388993693114601</v>
          </cell>
          <cell r="P163">
            <v>1.23836452267583</v>
          </cell>
          <cell r="Q163">
            <v>1.2384436737593001</v>
          </cell>
          <cell r="U163">
            <v>-1.9285737754411701E-3</v>
          </cell>
          <cell r="V163">
            <v>-2.72078437219109E-3</v>
          </cell>
          <cell r="W163">
            <v>-2.2757815283375401E-3</v>
          </cell>
          <cell r="Y163">
            <v>1.23733334869304</v>
          </cell>
          <cell r="Z163">
            <v>1.2374478180451001</v>
          </cell>
          <cell r="AA163">
            <v>1.2373070489180999</v>
          </cell>
          <cell r="AF163">
            <v>1.2594810510154999E-4</v>
          </cell>
          <cell r="AG163">
            <v>6.7694597245711199E-5</v>
          </cell>
          <cell r="AR163">
            <v>0</v>
          </cell>
          <cell r="BC163">
            <v>0</v>
          </cell>
          <cell r="BF163">
            <v>0</v>
          </cell>
        </row>
        <row r="164">
          <cell r="O164">
            <v>1.2388993693114601</v>
          </cell>
          <cell r="P164">
            <v>1.2386448966299901</v>
          </cell>
          <cell r="Q164">
            <v>1.23835445513285</v>
          </cell>
          <cell r="U164">
            <v>-1.41640987180001E-3</v>
          </cell>
          <cell r="V164">
            <v>-1.8482142069577E-3</v>
          </cell>
          <cell r="W164">
            <v>-1.7843004298571199E-3</v>
          </cell>
          <cell r="Y164">
            <v>1.23733334869304</v>
          </cell>
          <cell r="Z164">
            <v>1.23733867268215</v>
          </cell>
          <cell r="AA164">
            <v>1.2372290338526499</v>
          </cell>
          <cell r="AF164">
            <v>6.6723231043749605E-4</v>
          </cell>
          <cell r="AG164">
            <v>5.5346821280177901E-4</v>
          </cell>
          <cell r="AR164">
            <v>0</v>
          </cell>
          <cell r="BC164">
            <v>0</v>
          </cell>
          <cell r="BF164">
            <v>0</v>
          </cell>
        </row>
        <row r="165">
          <cell r="O165">
            <v>1.2388993693114601</v>
          </cell>
          <cell r="P165">
            <v>1.23909120915358</v>
          </cell>
          <cell r="Q165">
            <v>1.2383606456929801</v>
          </cell>
          <cell r="U165">
            <v>-2.3412001481204802E-3</v>
          </cell>
          <cell r="V165">
            <v>-2.5466234665768501E-3</v>
          </cell>
          <cell r="W165">
            <v>-2.7811342251408701E-3</v>
          </cell>
          <cell r="Y165">
            <v>1.23733334869304</v>
          </cell>
          <cell r="Z165">
            <v>1.2373911052722</v>
          </cell>
          <cell r="AA165">
            <v>1.2372437482827301</v>
          </cell>
          <cell r="AF165">
            <v>-3.2303419054851001E-4</v>
          </cell>
          <cell r="AG165">
            <v>-4.1164670196515999E-4</v>
          </cell>
          <cell r="AR165">
            <v>0</v>
          </cell>
          <cell r="BC165">
            <v>0</v>
          </cell>
          <cell r="BF165">
            <v>0</v>
          </cell>
        </row>
        <row r="166">
          <cell r="O166">
            <v>1.2388993693114601</v>
          </cell>
          <cell r="P166">
            <v>1.23942278638475</v>
          </cell>
          <cell r="Q166">
            <v>1.2383606456929801</v>
          </cell>
          <cell r="U166">
            <v>-1.8290362444792899E-3</v>
          </cell>
          <cell r="V166">
            <v>-1.6742012389200801E-3</v>
          </cell>
          <cell r="W166">
            <v>-2.2639713128304799E-3</v>
          </cell>
          <cell r="Y166">
            <v>1.23733334869304</v>
          </cell>
          <cell r="Z166">
            <v>1.2373318322112301</v>
          </cell>
          <cell r="AA166">
            <v>1.2372526116748499</v>
          </cell>
          <cell r="AF166">
            <v>2.1818762905259799E-4</v>
          </cell>
          <cell r="AG166">
            <v>9.9093703386589894E-5</v>
          </cell>
          <cell r="AR166">
            <v>0</v>
          </cell>
          <cell r="BC166">
            <v>0</v>
          </cell>
          <cell r="BF166">
            <v>0</v>
          </cell>
        </row>
        <row r="167">
          <cell r="O167">
            <v>1.2388993693114601</v>
          </cell>
          <cell r="P167">
            <v>1.2398688517427501</v>
          </cell>
          <cell r="Q167">
            <v>1.23859712674384</v>
          </cell>
          <cell r="U167">
            <v>-2.2414924268578502E-3</v>
          </cell>
          <cell r="V167">
            <v>-1.8190961053263801E-3</v>
          </cell>
          <cell r="W167">
            <v>-2.6764274952090499E-3</v>
          </cell>
          <cell r="Y167">
            <v>1.23733334869304</v>
          </cell>
          <cell r="Z167">
            <v>1.23738425751508</v>
          </cell>
          <cell r="AA167">
            <v>1.2372919700123901</v>
          </cell>
          <cell r="AF167">
            <v>-2.32765836305955E-4</v>
          </cell>
          <cell r="AG167">
            <v>-2.9679318166342497E-4</v>
          </cell>
          <cell r="AR167">
            <v>0</v>
          </cell>
          <cell r="BC167">
            <v>0</v>
          </cell>
          <cell r="BF167">
            <v>0</v>
          </cell>
        </row>
        <row r="168">
          <cell r="O168">
            <v>1.2388993693114601</v>
          </cell>
          <cell r="P168">
            <v>1.2398663374110599</v>
          </cell>
          <cell r="Q168">
            <v>1.2386348803220399</v>
          </cell>
          <cell r="U168">
            <v>9.64587986378991E-4</v>
          </cell>
          <cell r="V168">
            <v>1.7468172182078701E-3</v>
          </cell>
          <cell r="W168">
            <v>7.2059767631696403E-4</v>
          </cell>
          <cell r="Y168">
            <v>1.23733334869304</v>
          </cell>
          <cell r="Z168">
            <v>1.23739209094701</v>
          </cell>
          <cell r="AA168">
            <v>1.23733400832469</v>
          </cell>
          <cell r="AF168">
            <v>-2.33704684775651E-4</v>
          </cell>
          <cell r="AG168">
            <v>-3.0829020162879002E-4</v>
          </cell>
          <cell r="AR168">
            <v>0</v>
          </cell>
          <cell r="BC168">
            <v>0</v>
          </cell>
          <cell r="BF168">
            <v>0</v>
          </cell>
        </row>
        <row r="169">
          <cell r="O169">
            <v>1.2388993693114601</v>
          </cell>
          <cell r="P169">
            <v>1.23991489810709</v>
          </cell>
          <cell r="Q169">
            <v>1.23866654826486</v>
          </cell>
          <cell r="U169">
            <v>1.0629302412425499E-3</v>
          </cell>
          <cell r="V169">
            <v>1.8431315696876499E-3</v>
          </cell>
          <cell r="W169">
            <v>8.4942038524858502E-4</v>
          </cell>
          <cell r="Y169">
            <v>1.23733334869304</v>
          </cell>
          <cell r="Z169">
            <v>1.2374498603222699</v>
          </cell>
          <cell r="AA169">
            <v>1.2373701199753699</v>
          </cell>
          <cell r="AF169">
            <v>-1.3159847528652801E-4</v>
          </cell>
          <cell r="AG169">
            <v>-1.78539122449409E-4</v>
          </cell>
          <cell r="AR169">
            <v>0</v>
          </cell>
          <cell r="BC169">
            <v>0</v>
          </cell>
          <cell r="BF169">
            <v>0</v>
          </cell>
        </row>
        <row r="170">
          <cell r="O170">
            <v>1.2388993693114601</v>
          </cell>
          <cell r="P170">
            <v>1.2399002125046299</v>
          </cell>
          <cell r="Q170">
            <v>1.23867262767134</v>
          </cell>
          <cell r="U170">
            <v>1.0629302412425499E-3</v>
          </cell>
          <cell r="V170">
            <v>1.8822968761592299E-3</v>
          </cell>
          <cell r="W170">
            <v>8.74986868563124E-4</v>
          </cell>
          <cell r="Y170">
            <v>1.23733334869304</v>
          </cell>
          <cell r="Z170">
            <v>1.2374458404309401</v>
          </cell>
          <cell r="AA170">
            <v>1.2373812307385099</v>
          </cell>
          <cell r="AF170">
            <v>-8.4913170599504702E-5</v>
          </cell>
          <cell r="AG170">
            <v>-1.49354501737493E-4</v>
          </cell>
          <cell r="AR170">
            <v>0</v>
          </cell>
          <cell r="BC170">
            <v>0</v>
          </cell>
          <cell r="BF170">
            <v>0</v>
          </cell>
        </row>
        <row r="171">
          <cell r="O171">
            <v>1.2388993693114601</v>
          </cell>
          <cell r="P171">
            <v>1.23978324007435</v>
          </cell>
          <cell r="Q171">
            <v>1.23865311232214</v>
          </cell>
          <cell r="U171">
            <v>1.5748319672916301E-3</v>
          </cell>
          <cell r="V171">
            <v>2.3823544914174199E-3</v>
          </cell>
          <cell r="W171">
            <v>1.3917966076457901E-3</v>
          </cell>
          <cell r="Y171">
            <v>1.23733334869304</v>
          </cell>
          <cell r="Z171">
            <v>1.23734206709404</v>
          </cell>
          <cell r="AA171">
            <v>1.23736742759104</v>
          </cell>
          <cell r="AF171">
            <v>4.1043699418421198E-4</v>
          </cell>
          <cell r="AG171">
            <v>3.5822349353840298E-4</v>
          </cell>
          <cell r="AR171">
            <v>0</v>
          </cell>
          <cell r="BC171">
            <v>0</v>
          </cell>
          <cell r="BF171">
            <v>0</v>
          </cell>
        </row>
        <row r="172">
          <cell r="O172">
            <v>1.2388993693114601</v>
          </cell>
          <cell r="P172">
            <v>1.23943911295166</v>
          </cell>
          <cell r="Q172">
            <v>1.2386787008584801</v>
          </cell>
          <cell r="U172">
            <v>7.4770206074728496E-4</v>
          </cell>
          <cell r="V172">
            <v>1.46087993757904E-3</v>
          </cell>
          <cell r="W172">
            <v>5.4891152697945195E-4</v>
          </cell>
          <cell r="Y172">
            <v>1.23733334869304</v>
          </cell>
          <cell r="Z172">
            <v>1.23739977678807</v>
          </cell>
          <cell r="AA172">
            <v>1.2373975413220899</v>
          </cell>
          <cell r="AF172">
            <v>-4.7908402489867802E-4</v>
          </cell>
          <cell r="AG172">
            <v>-4.5858828827714598E-4</v>
          </cell>
          <cell r="AR172">
            <v>0</v>
          </cell>
          <cell r="BC172">
            <v>0</v>
          </cell>
          <cell r="BF172">
            <v>0</v>
          </cell>
        </row>
        <row r="173">
          <cell r="O173">
            <v>1.2388993693114601</v>
          </cell>
          <cell r="P173">
            <v>1.23910735338322</v>
          </cell>
          <cell r="Q173">
            <v>1.23873593802952</v>
          </cell>
          <cell r="U173">
            <v>7.4770206074728496E-4</v>
          </cell>
          <cell r="V173">
            <v>1.1832710135675801E-3</v>
          </cell>
          <cell r="W173">
            <v>5.69569669098654E-4</v>
          </cell>
          <cell r="Y173">
            <v>1.23733334869304</v>
          </cell>
          <cell r="Z173">
            <v>1.23746932997374</v>
          </cell>
          <cell r="AA173">
            <v>1.2374585740094199</v>
          </cell>
          <cell r="AF173">
            <v>-4.3244506400203398E-4</v>
          </cell>
          <cell r="AG173">
            <v>-4.34251649099179E-4</v>
          </cell>
          <cell r="AR173">
            <v>0</v>
          </cell>
          <cell r="BC173">
            <v>0</v>
          </cell>
          <cell r="BF173">
            <v>0</v>
          </cell>
        </row>
        <row r="174">
          <cell r="O174">
            <v>1.2388993693114601</v>
          </cell>
          <cell r="P174">
            <v>1.2387758285339201</v>
          </cell>
          <cell r="Q174">
            <v>1.23871036258195</v>
          </cell>
          <cell r="U174">
            <v>1.2593418774856399E-3</v>
          </cell>
          <cell r="V174">
            <v>1.4272058871689899E-3</v>
          </cell>
          <cell r="W174">
            <v>1.1274166650134499E-3</v>
          </cell>
          <cell r="Y174">
            <v>1.23733334869304</v>
          </cell>
          <cell r="Z174">
            <v>1.2375389099912599</v>
          </cell>
          <cell r="AA174">
            <v>1.23743879133671</v>
          </cell>
          <cell r="AF174">
            <v>1.2211272503228899E-4</v>
          </cell>
          <cell r="AG174">
            <v>1.13420783500006E-4</v>
          </cell>
          <cell r="AR174">
            <v>0</v>
          </cell>
          <cell r="BC174">
            <v>0</v>
          </cell>
          <cell r="BF174">
            <v>0</v>
          </cell>
        </row>
        <row r="175">
          <cell r="O175">
            <v>1.2388993693114601</v>
          </cell>
          <cell r="P175">
            <v>1.23832951601033</v>
          </cell>
          <cell r="Q175">
            <v>1.23871036258195</v>
          </cell>
          <cell r="U175">
            <v>1.2593418774856399E-3</v>
          </cell>
          <cell r="V175">
            <v>1.15961873560256E-3</v>
          </cell>
          <cell r="W175">
            <v>1.10677004388175E-3</v>
          </cell>
          <cell r="Y175">
            <v>1.23733334869304</v>
          </cell>
          <cell r="Z175">
            <v>1.2374968888415701</v>
          </cell>
          <cell r="AA175">
            <v>1.23744399705689</v>
          </cell>
          <cell r="AF175">
            <v>1.7833881463879701E-4</v>
          </cell>
          <cell r="AG175">
            <v>9.7434122404894803E-5</v>
          </cell>
          <cell r="AR175">
            <v>0</v>
          </cell>
          <cell r="BC175">
            <v>0</v>
          </cell>
          <cell r="BF175">
            <v>0</v>
          </cell>
        </row>
        <row r="176">
          <cell r="O176">
            <v>1.2388993693114601</v>
          </cell>
          <cell r="P176">
            <v>1.23794678788402</v>
          </cell>
          <cell r="Q176">
            <v>1.23868478713438</v>
          </cell>
          <cell r="U176">
            <v>1.2593418774856399E-3</v>
          </cell>
          <cell r="V176">
            <v>7.9926867669466797E-4</v>
          </cell>
          <cell r="W176">
            <v>1.10677004388175E-3</v>
          </cell>
          <cell r="Y176">
            <v>1.23733334869304</v>
          </cell>
          <cell r="Z176">
            <v>1.23751659655712</v>
          </cell>
          <cell r="AA176">
            <v>1.2374242143841701</v>
          </cell>
          <cell r="AF176">
            <v>1.4438282118449901E-4</v>
          </cell>
          <cell r="AG176">
            <v>1.01640964202407E-4</v>
          </cell>
          <cell r="AR176">
            <v>0</v>
          </cell>
          <cell r="BC176">
            <v>0</v>
          </cell>
          <cell r="BF1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FBE0-BD11-428A-9403-BE013CF521E2}">
  <dimension ref="A1:DZ183"/>
  <sheetViews>
    <sheetView tabSelected="1" topLeftCell="AB1" workbookViewId="0">
      <selection activeCell="AI23" sqref="AI23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3.025788912387561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1.2750711555097243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20.79</v>
      </c>
      <c r="C2" s="33">
        <v>25.91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20.79</v>
      </c>
      <c r="M2" s="33">
        <v>25.91</v>
      </c>
      <c r="N2" s="34">
        <v>1.24627224627224</v>
      </c>
      <c r="O2" s="34">
        <v>1.2477004313447799</v>
      </c>
      <c r="X2" s="34">
        <v>1.24627224627224</v>
      </c>
      <c r="Y2" s="34">
        <v>1.2471244094690801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20.84</v>
      </c>
      <c r="C3" s="33">
        <v>25.98</v>
      </c>
      <c r="D3" s="15">
        <v>2.4021150152446101E-3</v>
      </c>
      <c r="E3" s="15">
        <v>2.6980166684348501E-3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20.84</v>
      </c>
      <c r="M3" s="33">
        <v>25.98</v>
      </c>
      <c r="N3" s="34">
        <v>1.2466410748560399</v>
      </c>
      <c r="O3" s="34">
        <v>1.2477004313447799</v>
      </c>
      <c r="R3" s="33">
        <v>26.002076989225401</v>
      </c>
      <c r="U3" s="15">
        <v>8.4940778943325297E-4</v>
      </c>
      <c r="X3" s="34">
        <v>1.2466410748560399</v>
      </c>
      <c r="Y3" s="34">
        <v>1.2471244094690801</v>
      </c>
      <c r="AB3" s="33">
        <v>25.990072693335598</v>
      </c>
      <c r="AE3" s="15">
        <v>3.8763438031723298E-4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20.84</v>
      </c>
      <c r="C4" s="33">
        <v>25.98</v>
      </c>
      <c r="D4" s="15">
        <v>0</v>
      </c>
      <c r="E4" s="15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20.84</v>
      </c>
      <c r="M4" s="33">
        <v>25.98</v>
      </c>
      <c r="N4" s="34">
        <v>1.2466410748560399</v>
      </c>
      <c r="O4" s="34">
        <v>1.2477004313447799</v>
      </c>
      <c r="R4" s="33">
        <v>26.002076989225401</v>
      </c>
      <c r="U4" s="15">
        <v>8.4940778943325297E-4</v>
      </c>
      <c r="X4" s="34">
        <v>1.2466410748560399</v>
      </c>
      <c r="Y4" s="34">
        <v>1.2471244094690801</v>
      </c>
      <c r="AB4" s="33">
        <v>25.990072693335598</v>
      </c>
      <c r="AE4" s="15">
        <v>3.8763438031723298E-4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20.86</v>
      </c>
      <c r="C5" s="33">
        <v>26</v>
      </c>
      <c r="D5" s="15">
        <v>9.5923268746013403E-4</v>
      </c>
      <c r="E5" s="15">
        <v>7.69526779028518E-4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20.86</v>
      </c>
      <c r="M5" s="33">
        <v>26</v>
      </c>
      <c r="N5" s="34">
        <v>1.2464046021093</v>
      </c>
      <c r="O5" s="34">
        <v>1.2477004313447799</v>
      </c>
      <c r="R5" s="33">
        <v>26.0270309978523</v>
      </c>
      <c r="U5" s="15">
        <v>1.03911369786485E-3</v>
      </c>
      <c r="X5" s="34">
        <v>1.2464046021093</v>
      </c>
      <c r="Y5" s="34">
        <v>1.2471244094690801</v>
      </c>
      <c r="AB5" s="33">
        <v>26.015015181525001</v>
      </c>
      <c r="AE5" s="15">
        <v>5.77340288749047E-4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20.79</v>
      </c>
      <c r="C6" s="33">
        <v>25.93</v>
      </c>
      <c r="D6" s="15">
        <v>-3.3613477027048802E-3</v>
      </c>
      <c r="E6" s="15">
        <v>-2.6959384709089899E-3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20.79</v>
      </c>
      <c r="M6" s="33">
        <v>25.93</v>
      </c>
      <c r="N6" s="34">
        <v>1.2472342472342399</v>
      </c>
      <c r="O6" s="34">
        <v>1.2477004313447799</v>
      </c>
      <c r="R6" s="33">
        <v>25.939691967658099</v>
      </c>
      <c r="U6" s="15">
        <v>3.7370446606917E-4</v>
      </c>
      <c r="X6" s="34">
        <v>1.2472342472342399</v>
      </c>
      <c r="Y6" s="34">
        <v>1.2471244094690801</v>
      </c>
      <c r="AB6" s="33">
        <v>25.927716472862102</v>
      </c>
      <c r="AE6" s="15">
        <v>-8.8068943046813096E-5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20.84</v>
      </c>
      <c r="C7" s="33">
        <v>25.98</v>
      </c>
      <c r="D7" s="15">
        <v>2.4021150152446101E-3</v>
      </c>
      <c r="E7" s="15">
        <v>1.9264116918803901E-3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20.84</v>
      </c>
      <c r="M7" s="33">
        <v>25.98</v>
      </c>
      <c r="N7" s="34">
        <v>1.2466410748560399</v>
      </c>
      <c r="O7" s="34">
        <v>1.2477004313447799</v>
      </c>
      <c r="R7" s="33">
        <v>26.002076989225401</v>
      </c>
      <c r="U7" s="15">
        <v>8.4940778943325297E-4</v>
      </c>
      <c r="X7" s="34">
        <v>1.2466410748560399</v>
      </c>
      <c r="Y7" s="34">
        <v>1.2471244094690801</v>
      </c>
      <c r="AB7" s="33">
        <v>25.990072693335598</v>
      </c>
      <c r="AE7" s="15">
        <v>3.8763438031723298E-4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20.82</v>
      </c>
      <c r="C8" s="33">
        <v>25.96</v>
      </c>
      <c r="D8" s="15">
        <v>-9.6015369834337005E-4</v>
      </c>
      <c r="E8" s="15">
        <v>-7.7011940656418595E-4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20.82</v>
      </c>
      <c r="M8" s="33">
        <v>25.96</v>
      </c>
      <c r="N8" s="34">
        <v>1.24687800192122</v>
      </c>
      <c r="O8" s="34">
        <v>1.2477004313447799</v>
      </c>
      <c r="R8" s="33">
        <v>25.977122980598502</v>
      </c>
      <c r="U8" s="15">
        <v>6.5937349765425503E-4</v>
      </c>
      <c r="X8" s="34">
        <v>1.24687800192122</v>
      </c>
      <c r="Y8" s="34">
        <v>1.2471244094690801</v>
      </c>
      <c r="AB8" s="33">
        <v>25.965130205146199</v>
      </c>
      <c r="AE8" s="15">
        <v>1.9760008853811001E-4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20.86</v>
      </c>
      <c r="C9" s="33">
        <v>26.02</v>
      </c>
      <c r="D9" s="15">
        <v>1.9193863858034399E-3</v>
      </c>
      <c r="E9" s="15">
        <v>2.3085812484700198E-3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20.86</v>
      </c>
      <c r="M9" s="33">
        <v>26.02</v>
      </c>
      <c r="N9" s="34">
        <v>1.24736337488015</v>
      </c>
      <c r="O9" s="34">
        <v>1.2477004313447799</v>
      </c>
      <c r="R9" s="33">
        <v>26.0270309978523</v>
      </c>
      <c r="U9" s="15">
        <v>2.7017863498772699E-4</v>
      </c>
      <c r="X9" s="34">
        <v>1.24736337488015</v>
      </c>
      <c r="Y9" s="34">
        <v>1.2471244094690801</v>
      </c>
      <c r="AB9" s="33">
        <v>26.015015181525001</v>
      </c>
      <c r="AE9" s="15">
        <v>-1.9159477412811999E-4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20.9</v>
      </c>
      <c r="C10" s="33">
        <v>26.06</v>
      </c>
      <c r="D10" s="15">
        <v>1.91570939813896E-3</v>
      </c>
      <c r="E10" s="15">
        <v>1.5360986123398299E-3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20.9</v>
      </c>
      <c r="M10" s="33">
        <v>26.06</v>
      </c>
      <c r="N10" s="34">
        <v>1.24688995215311</v>
      </c>
      <c r="O10" s="34">
        <v>1.2477004313447799</v>
      </c>
      <c r="R10" s="33">
        <v>26.076939015106099</v>
      </c>
      <c r="U10" s="15">
        <v>6.4978942078687898E-4</v>
      </c>
      <c r="X10" s="34">
        <v>1.24688995215311</v>
      </c>
      <c r="Y10" s="34">
        <v>1.2471244094690801</v>
      </c>
      <c r="AB10" s="33">
        <v>26.064900157903701</v>
      </c>
      <c r="AE10" s="15">
        <v>1.8801601167097701E-4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20.87</v>
      </c>
      <c r="C11" s="33">
        <v>26.02</v>
      </c>
      <c r="D11" s="15">
        <v>-1.4364378816558001E-3</v>
      </c>
      <c r="E11" s="15">
        <v>-1.5360986123397801E-3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20.87</v>
      </c>
      <c r="M11" s="33">
        <v>26.02</v>
      </c>
      <c r="N11" s="34">
        <v>1.2467656923813999</v>
      </c>
      <c r="O11" s="34">
        <v>1.2477004313447799</v>
      </c>
      <c r="P11" s="34">
        <v>1.2467731341519801</v>
      </c>
      <c r="R11" s="33">
        <v>26.0395080021657</v>
      </c>
      <c r="U11" s="15">
        <v>7.4945015147079199E-4</v>
      </c>
      <c r="X11" s="34">
        <v>1.2467656923813999</v>
      </c>
      <c r="Y11" s="34">
        <v>1.2471244094690801</v>
      </c>
      <c r="Z11" s="34">
        <v>1.2467731341519801</v>
      </c>
      <c r="AB11" s="33">
        <v>26.027486425619699</v>
      </c>
      <c r="AE11" s="15">
        <v>2.8767674235491701E-4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20.81</v>
      </c>
      <c r="C12" s="33">
        <v>25.94</v>
      </c>
      <c r="D12" s="15">
        <v>-2.8790806835664101E-3</v>
      </c>
      <c r="E12" s="15">
        <v>-3.07929419606138E-3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20.81</v>
      </c>
      <c r="M12" s="33">
        <v>25.94</v>
      </c>
      <c r="N12" s="34">
        <v>1.24651609802979</v>
      </c>
      <c r="O12" s="34">
        <v>1.2477004313447799</v>
      </c>
      <c r="P12" s="34">
        <v>1.2467975193277301</v>
      </c>
      <c r="R12" s="33">
        <v>25.964645976284999</v>
      </c>
      <c r="S12" s="33">
        <v>25.945348921702699</v>
      </c>
      <c r="U12" s="15">
        <v>9.4966366396567596E-4</v>
      </c>
      <c r="V12" s="15">
        <v>2.0618235524601E-4</v>
      </c>
      <c r="X12" s="34">
        <v>1.24651609802979</v>
      </c>
      <c r="Y12" s="34">
        <v>1.2471244094690801</v>
      </c>
      <c r="Z12" s="34">
        <v>1.2467975193277301</v>
      </c>
      <c r="AB12" s="33">
        <v>25.952658961051501</v>
      </c>
      <c r="AC12" s="33">
        <v>25.945348921702699</v>
      </c>
      <c r="AE12" s="15">
        <v>4.8789025484995499E-4</v>
      </c>
      <c r="AF12" s="15">
        <v>2.0618235524601E-4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20.63</v>
      </c>
      <c r="C13" s="33">
        <v>25.79</v>
      </c>
      <c r="D13" s="15">
        <v>-8.6873133223825706E-3</v>
      </c>
      <c r="E13" s="15">
        <v>-5.7993589950445096E-3</v>
      </c>
      <c r="F13" s="33">
        <v>6.8330000000000002E-2</v>
      </c>
      <c r="G13" s="33">
        <v>6.8330000000000002E-2</v>
      </c>
      <c r="H13" s="33">
        <v>0</v>
      </c>
      <c r="I13" s="33">
        <v>0</v>
      </c>
      <c r="J13" s="33">
        <v>6.8330000000000002E-2</v>
      </c>
      <c r="K13" s="33">
        <v>0</v>
      </c>
      <c r="L13" s="33">
        <v>20.698329999999999</v>
      </c>
      <c r="M13" s="33">
        <v>25.79</v>
      </c>
      <c r="N13" s="34">
        <v>1.2501211827435701</v>
      </c>
      <c r="O13" s="34">
        <v>1.2477004313447799</v>
      </c>
      <c r="P13" s="34">
        <v>1.24714553011649</v>
      </c>
      <c r="R13" s="33">
        <v>25.740059898643</v>
      </c>
      <c r="S13" s="33">
        <v>25.721432823731199</v>
      </c>
      <c r="U13" s="15">
        <v>-1.9382906633723699E-3</v>
      </c>
      <c r="V13" s="15">
        <v>-2.6622135322929398E-3</v>
      </c>
      <c r="X13" s="34">
        <v>1.2459942420475401</v>
      </c>
      <c r="Y13" s="34">
        <v>1.2471244094690801</v>
      </c>
      <c r="Z13" s="34">
        <v>1.2467328360468799</v>
      </c>
      <c r="AB13" s="33">
        <v>25.813392578246098</v>
      </c>
      <c r="AC13" s="33">
        <v>25.806626498226802</v>
      </c>
      <c r="AE13" s="15">
        <v>9.0662953266219403E-4</v>
      </c>
      <c r="AF13" s="15">
        <v>6.4448007285748796E-4</v>
      </c>
    </row>
    <row r="14" spans="1:130" x14ac:dyDescent="0.25">
      <c r="A14" s="1">
        <v>46043</v>
      </c>
      <c r="B14" s="33">
        <v>20.75</v>
      </c>
      <c r="C14" s="33">
        <v>25.95</v>
      </c>
      <c r="D14" s="15">
        <v>5.7999195935469899E-3</v>
      </c>
      <c r="E14" s="15">
        <v>6.1847897186443398E-3</v>
      </c>
      <c r="F14" s="33">
        <v>0</v>
      </c>
      <c r="G14" s="33">
        <v>6.8330000000000002E-2</v>
      </c>
      <c r="H14" s="33">
        <v>0</v>
      </c>
      <c r="I14" s="33">
        <v>0</v>
      </c>
      <c r="J14" s="33">
        <v>6.8330000000000002E-2</v>
      </c>
      <c r="K14" s="33">
        <v>0</v>
      </c>
      <c r="L14" s="33">
        <v>20.81833</v>
      </c>
      <c r="M14" s="33">
        <v>25.95</v>
      </c>
      <c r="N14" s="34">
        <v>1.25060240963855</v>
      </c>
      <c r="O14" s="34">
        <v>1.2477004313447799</v>
      </c>
      <c r="P14" s="34">
        <v>1.2475416635947401</v>
      </c>
      <c r="R14" s="33">
        <v>25.889783950404301</v>
      </c>
      <c r="S14" s="33">
        <v>25.878269749917099</v>
      </c>
      <c r="U14" s="15">
        <v>-2.3231607884697E-3</v>
      </c>
      <c r="V14" s="15">
        <v>-2.76799886346152E-3</v>
      </c>
      <c r="X14" s="34">
        <v>1.24649767776762</v>
      </c>
      <c r="Y14" s="34">
        <v>1.2471244094690801</v>
      </c>
      <c r="Z14" s="34">
        <v>1.24671849633804</v>
      </c>
      <c r="AB14" s="33">
        <v>25.963047507382399</v>
      </c>
      <c r="AC14" s="33">
        <v>25.954895602659999</v>
      </c>
      <c r="AE14" s="15">
        <v>5.0266776017403899E-4</v>
      </c>
      <c r="AF14" s="15">
        <v>1.8863741532240799E-4</v>
      </c>
      <c r="AQ14" s="20">
        <f>AVERAGE(AQ22:AQ176)</f>
        <v>3.7507263257515307E-5</v>
      </c>
      <c r="AR14" s="21" t="s">
        <v>41</v>
      </c>
      <c r="BB14" s="20">
        <f>AVERAGE(BB22:BB176)</f>
        <v>1.4236469515332763E-5</v>
      </c>
      <c r="BC14" s="21" t="s">
        <v>41</v>
      </c>
      <c r="BD14" s="22"/>
      <c r="BE14" s="20">
        <f>AVERAGE(BE22:BE176)</f>
        <v>5.1743732772848072E-5</v>
      </c>
      <c r="BF14" s="21" t="s">
        <v>41</v>
      </c>
    </row>
    <row r="15" spans="1:130" x14ac:dyDescent="0.25">
      <c r="A15" s="1">
        <v>46044</v>
      </c>
      <c r="B15" s="33">
        <v>20.77</v>
      </c>
      <c r="C15" s="33">
        <v>25.97</v>
      </c>
      <c r="D15" s="15">
        <v>9.6339121131352903E-4</v>
      </c>
      <c r="E15" s="15">
        <v>7.7041606275939404E-4</v>
      </c>
      <c r="F15" s="33">
        <v>0</v>
      </c>
      <c r="G15" s="33">
        <v>6.8330000000000002E-2</v>
      </c>
      <c r="H15" s="33">
        <v>0</v>
      </c>
      <c r="I15" s="33">
        <v>0</v>
      </c>
      <c r="J15" s="33">
        <v>6.8330000000000002E-2</v>
      </c>
      <c r="K15" s="33">
        <v>0</v>
      </c>
      <c r="L15" s="33">
        <v>20.838329999999999</v>
      </c>
      <c r="M15" s="33">
        <v>25.97</v>
      </c>
      <c r="N15" s="34">
        <v>1.25036109773712</v>
      </c>
      <c r="O15" s="34">
        <v>1.2477004313447799</v>
      </c>
      <c r="P15" s="34">
        <v>1.24793731315752</v>
      </c>
      <c r="R15" s="33">
        <v>25.9147379590312</v>
      </c>
      <c r="S15" s="33">
        <v>25.911440352862702</v>
      </c>
      <c r="U15" s="15">
        <v>-2.1301856399154901E-3</v>
      </c>
      <c r="V15" s="15">
        <v>-2.2574420296533801E-3</v>
      </c>
      <c r="X15" s="34">
        <v>1.2462610967385499</v>
      </c>
      <c r="Y15" s="34">
        <v>1.2471244094690801</v>
      </c>
      <c r="Z15" s="34">
        <v>1.24670414580097</v>
      </c>
      <c r="AB15" s="33">
        <v>25.987989995571802</v>
      </c>
      <c r="AC15" s="33">
        <v>25.979531443795899</v>
      </c>
      <c r="AE15" s="15">
        <v>6.9248238017898098E-4</v>
      </c>
      <c r="AF15" s="15">
        <v>3.6695013941564098E-4</v>
      </c>
      <c r="AQ15" s="20">
        <f>STDEV(AQ22:AQ176)</f>
        <v>1.9677821648116068E-4</v>
      </c>
      <c r="AR15" s="21" t="s">
        <v>42</v>
      </c>
      <c r="BB15" s="20">
        <f>STDEV(BB22:BB176)</f>
        <v>1.7724261609572021E-4</v>
      </c>
      <c r="BC15" s="21" t="s">
        <v>42</v>
      </c>
      <c r="BD15" s="22"/>
      <c r="BE15" s="20">
        <f>STDEV(BE22:BE176)</f>
        <v>2.6279599451586373E-4</v>
      </c>
      <c r="BF15" s="21" t="s">
        <v>42</v>
      </c>
    </row>
    <row r="16" spans="1:130" x14ac:dyDescent="0.25">
      <c r="A16" s="1">
        <v>46045</v>
      </c>
      <c r="B16" s="33">
        <v>20.77</v>
      </c>
      <c r="C16" s="33">
        <v>25.99</v>
      </c>
      <c r="D16" s="15">
        <v>0</v>
      </c>
      <c r="E16" s="15">
        <v>7.6982297874182801E-4</v>
      </c>
      <c r="F16" s="33">
        <v>0</v>
      </c>
      <c r="G16" s="33">
        <v>6.8330000000000002E-2</v>
      </c>
      <c r="H16" s="33">
        <v>0</v>
      </c>
      <c r="I16" s="33">
        <v>0</v>
      </c>
      <c r="J16" s="33">
        <v>6.8330000000000002E-2</v>
      </c>
      <c r="K16" s="33">
        <v>0</v>
      </c>
      <c r="L16" s="33">
        <v>20.838329999999999</v>
      </c>
      <c r="M16" s="33">
        <v>25.99</v>
      </c>
      <c r="N16" s="34">
        <v>1.2513240250361</v>
      </c>
      <c r="O16" s="34">
        <v>1.2477004313447799</v>
      </c>
      <c r="P16" s="34">
        <v>1.2483462909377101</v>
      </c>
      <c r="R16" s="33">
        <v>25.9147379590312</v>
      </c>
      <c r="S16" s="33">
        <v>25.9196579942817</v>
      </c>
      <c r="U16" s="15">
        <v>-2.9000086186572798E-3</v>
      </c>
      <c r="V16" s="15">
        <v>-2.7101719214300702E-3</v>
      </c>
      <c r="X16" s="34">
        <v>1.2472208665473601</v>
      </c>
      <c r="Y16" s="34">
        <v>1.2471244094690801</v>
      </c>
      <c r="Z16" s="34">
        <v>1.2467028077322799</v>
      </c>
      <c r="AB16" s="33">
        <v>25.987989995571802</v>
      </c>
      <c r="AC16" s="33">
        <v>25.979232402568702</v>
      </c>
      <c r="AE16" s="15">
        <v>-7.7340598562878897E-5</v>
      </c>
      <c r="AF16" s="15">
        <v>-4.1438355301877801E-4</v>
      </c>
      <c r="AQ16" s="23">
        <f>SQRT(252)*AQ14/AQ15</f>
        <v>3.025788912387561</v>
      </c>
      <c r="AR16" s="21" t="s">
        <v>43</v>
      </c>
      <c r="BB16" s="23">
        <f>SQRT(252)*BB14/BB15</f>
        <v>1.2750711555097243</v>
      </c>
      <c r="BC16" s="21" t="s">
        <v>43</v>
      </c>
      <c r="BD16" s="22"/>
      <c r="BE16" s="23">
        <f>SQRT(252)*BE14/BE15</f>
        <v>3.1256423616808489</v>
      </c>
      <c r="BF16" s="21" t="s">
        <v>43</v>
      </c>
    </row>
    <row r="17" spans="1:124" x14ac:dyDescent="0.25">
      <c r="A17" s="1">
        <v>46048</v>
      </c>
      <c r="B17" s="33">
        <v>20.79</v>
      </c>
      <c r="C17" s="33">
        <v>25.99</v>
      </c>
      <c r="D17" s="15">
        <v>9.6246398190052702E-4</v>
      </c>
      <c r="E17" s="15">
        <v>0</v>
      </c>
      <c r="F17" s="33">
        <v>0</v>
      </c>
      <c r="G17" s="33">
        <v>6.8330000000000002E-2</v>
      </c>
      <c r="H17" s="33">
        <v>0</v>
      </c>
      <c r="I17" s="33">
        <v>0</v>
      </c>
      <c r="J17" s="33">
        <v>6.8330000000000002E-2</v>
      </c>
      <c r="K17" s="33">
        <v>0</v>
      </c>
      <c r="L17" s="33">
        <v>20.858329999999999</v>
      </c>
      <c r="M17" s="33">
        <v>25.99</v>
      </c>
      <c r="N17" s="34">
        <v>1.25012025012025</v>
      </c>
      <c r="O17" s="34">
        <v>1.2477004313447799</v>
      </c>
      <c r="P17" s="34">
        <v>1.2486942084641299</v>
      </c>
      <c r="R17" s="33">
        <v>25.939691967658099</v>
      </c>
      <c r="S17" s="33">
        <v>25.953119388594899</v>
      </c>
      <c r="U17" s="15">
        <v>-1.93754463675668E-3</v>
      </c>
      <c r="V17" s="15">
        <v>-1.42003861287587E-3</v>
      </c>
      <c r="X17" s="34">
        <v>1.2460249694007099</v>
      </c>
      <c r="Y17" s="34">
        <v>1.2471244094690801</v>
      </c>
      <c r="Z17" s="34">
        <v>1.2466411971867499</v>
      </c>
      <c r="AB17" s="33">
        <v>26.012932483761201</v>
      </c>
      <c r="AC17" s="33">
        <v>26.0041385756065</v>
      </c>
      <c r="AE17" s="15">
        <v>8.8196892569107003E-4</v>
      </c>
      <c r="AF17" s="15">
        <v>5.4385268579645602E-4</v>
      </c>
    </row>
    <row r="18" spans="1:124" x14ac:dyDescent="0.25">
      <c r="A18" s="1">
        <v>46049</v>
      </c>
      <c r="B18" s="33">
        <v>20.77</v>
      </c>
      <c r="C18" s="33">
        <v>25.99</v>
      </c>
      <c r="D18" s="15">
        <v>-9.6246398190059695E-4</v>
      </c>
      <c r="E18" s="15">
        <v>0</v>
      </c>
      <c r="F18" s="33">
        <v>0</v>
      </c>
      <c r="G18" s="33">
        <v>6.8330000000000002E-2</v>
      </c>
      <c r="H18" s="33">
        <v>0</v>
      </c>
      <c r="I18" s="33">
        <v>0</v>
      </c>
      <c r="J18" s="33">
        <v>6.8330000000000002E-2</v>
      </c>
      <c r="K18" s="33">
        <v>0</v>
      </c>
      <c r="L18" s="33">
        <v>20.838329999999999</v>
      </c>
      <c r="M18" s="33">
        <v>25.99</v>
      </c>
      <c r="N18" s="34">
        <v>1.2513240250361</v>
      </c>
      <c r="O18" s="34">
        <v>1.2477004313447799</v>
      </c>
      <c r="P18" s="34">
        <v>1.2491388107756101</v>
      </c>
      <c r="R18" s="33">
        <v>25.9147379590312</v>
      </c>
      <c r="S18" s="33">
        <v>25.935378709799899</v>
      </c>
      <c r="U18" s="15">
        <v>-2.9000086186572798E-3</v>
      </c>
      <c r="V18" s="15">
        <v>-2.1038386894412101E-3</v>
      </c>
      <c r="X18" s="34">
        <v>1.2472208665473601</v>
      </c>
      <c r="Y18" s="34">
        <v>1.2471244094690801</v>
      </c>
      <c r="Z18" s="34">
        <v>1.2466754836493601</v>
      </c>
      <c r="AB18" s="33">
        <v>25.987989995571802</v>
      </c>
      <c r="AC18" s="33">
        <v>25.977920658572501</v>
      </c>
      <c r="AE18" s="15">
        <v>-7.7340598562878897E-5</v>
      </c>
      <c r="AF18" s="15">
        <v>-4.6487685063725402E-4</v>
      </c>
      <c r="BE18" s="24">
        <f>SUM(BE22:BE176)</f>
        <v>8.0202785797914514E-3</v>
      </c>
      <c r="BF18" s="20">
        <f>BF176</f>
        <v>8.0202785797914514E-3</v>
      </c>
    </row>
    <row r="19" spans="1:124" x14ac:dyDescent="0.25">
      <c r="A19" s="1">
        <v>46050</v>
      </c>
      <c r="B19" s="33">
        <v>20.76</v>
      </c>
      <c r="C19" s="33">
        <v>25.96</v>
      </c>
      <c r="D19" s="15">
        <v>-4.8157959033300301E-4</v>
      </c>
      <c r="E19" s="15">
        <v>-1.15495681750957E-3</v>
      </c>
      <c r="F19" s="33">
        <v>0</v>
      </c>
      <c r="G19" s="33">
        <v>6.8330000000000002E-2</v>
      </c>
      <c r="H19" s="33">
        <v>0</v>
      </c>
      <c r="I19" s="33">
        <v>0</v>
      </c>
      <c r="J19" s="33">
        <v>6.8330000000000002E-2</v>
      </c>
      <c r="K19" s="33">
        <v>0</v>
      </c>
      <c r="L19" s="33">
        <v>20.828330000000001</v>
      </c>
      <c r="M19" s="33">
        <v>25.96</v>
      </c>
      <c r="N19" s="34">
        <v>1.2504816955683999</v>
      </c>
      <c r="O19" s="34">
        <v>1.2477004313447799</v>
      </c>
      <c r="P19" s="34">
        <v>1.2494506428444401</v>
      </c>
      <c r="R19" s="33">
        <v>25.9022609547178</v>
      </c>
      <c r="S19" s="33">
        <v>25.9321217117018</v>
      </c>
      <c r="U19" s="15">
        <v>-2.2266313914807798E-3</v>
      </c>
      <c r="V19" s="15">
        <v>-1.0744710395589601E-3</v>
      </c>
      <c r="X19" s="34">
        <v>1.2463793304599999</v>
      </c>
      <c r="Y19" s="34">
        <v>1.2471244094690801</v>
      </c>
      <c r="Z19" s="34">
        <v>1.2465770792073401</v>
      </c>
      <c r="AB19" s="33">
        <v>25.9755187514771</v>
      </c>
      <c r="AC19" s="33">
        <v>25.9661683763585</v>
      </c>
      <c r="AE19" s="15">
        <v>5.9761613293074197E-4</v>
      </c>
      <c r="AF19" s="15">
        <v>2.3758257466114399E-4</v>
      </c>
      <c r="AI19" s="12"/>
      <c r="AJ19"/>
      <c r="AK19"/>
      <c r="AL19"/>
      <c r="AM19"/>
      <c r="AN19"/>
      <c r="AO19"/>
      <c r="AP19"/>
      <c r="AQ19" s="24">
        <f>SUM(AQ22:AQ176)</f>
        <v>5.8136258049148728E-3</v>
      </c>
      <c r="AR19" s="24">
        <f>AR176</f>
        <v>5.8136258049148728E-3</v>
      </c>
      <c r="AU19"/>
      <c r="AV19"/>
      <c r="AW19"/>
      <c r="AX19"/>
      <c r="AY19"/>
      <c r="AZ19"/>
      <c r="BA19"/>
      <c r="BB19" s="24">
        <f>SUM(BB22:BB176)</f>
        <v>2.2066527748765782E-3</v>
      </c>
      <c r="BC19" s="24">
        <f>BC176</f>
        <v>2.2066527748765782E-3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20.77</v>
      </c>
      <c r="C20" s="33">
        <v>25.98</v>
      </c>
      <c r="D20" s="15">
        <v>4.8157959033288597E-4</v>
      </c>
      <c r="E20" s="15">
        <v>7.7011940656425198E-4</v>
      </c>
      <c r="F20" s="33">
        <v>0</v>
      </c>
      <c r="G20" s="33">
        <v>6.8330000000000002E-2</v>
      </c>
      <c r="H20" s="33">
        <v>0</v>
      </c>
      <c r="I20" s="33">
        <v>0</v>
      </c>
      <c r="J20" s="33">
        <v>6.8330000000000002E-2</v>
      </c>
      <c r="K20" s="33">
        <v>0</v>
      </c>
      <c r="L20" s="33">
        <v>20.838329999999999</v>
      </c>
      <c r="M20" s="33">
        <v>25.98</v>
      </c>
      <c r="N20" s="34">
        <v>1.2508425613866101</v>
      </c>
      <c r="O20" s="34">
        <v>1.2477004313447799</v>
      </c>
      <c r="P20" s="34">
        <v>1.24984590376779</v>
      </c>
      <c r="R20" s="33">
        <v>25.9147379590312</v>
      </c>
      <c r="S20" s="33">
        <v>25.951089851879001</v>
      </c>
      <c r="U20" s="15">
        <v>-2.5151712077119302E-3</v>
      </c>
      <c r="V20" s="15">
        <v>-1.1134043668236599E-3</v>
      </c>
      <c r="X20" s="34">
        <v>1.24674098164296</v>
      </c>
      <c r="Y20" s="34">
        <v>1.2471244094690801</v>
      </c>
      <c r="Z20" s="34">
        <v>1.24656218215633</v>
      </c>
      <c r="AB20" s="33">
        <v>25.987989995571802</v>
      </c>
      <c r="AC20" s="33">
        <v>25.976584546958801</v>
      </c>
      <c r="AE20" s="15">
        <v>3.0749681238234801E-4</v>
      </c>
      <c r="AF20" s="15">
        <v>-1.31473347442888E-4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BSCZ log rtn</v>
      </c>
      <c r="AP20" s="7" t="str">
        <f>E1</f>
        <v>IBCA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BSCZ log rtn</v>
      </c>
      <c r="BA20" s="24" t="str">
        <f>E1</f>
        <v>IBCA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20.75</v>
      </c>
      <c r="C21" s="33">
        <v>25.97</v>
      </c>
      <c r="D21" s="15">
        <v>-9.6339121131365296E-4</v>
      </c>
      <c r="E21" s="15">
        <v>-3.8498556779649002E-4</v>
      </c>
      <c r="F21" s="33">
        <v>0</v>
      </c>
      <c r="G21" s="33">
        <v>6.8330000000000002E-2</v>
      </c>
      <c r="H21" s="33">
        <v>0</v>
      </c>
      <c r="I21" s="33">
        <v>0</v>
      </c>
      <c r="J21" s="33">
        <v>6.8330000000000002E-2</v>
      </c>
      <c r="K21" s="33">
        <v>0</v>
      </c>
      <c r="L21" s="33">
        <v>20.81833</v>
      </c>
      <c r="M21" s="33">
        <v>25.97</v>
      </c>
      <c r="N21" s="34">
        <v>1.2515662650602399</v>
      </c>
      <c r="O21" s="34">
        <v>1.2477004313447799</v>
      </c>
      <c r="P21" s="34">
        <v>1.2503259610356701</v>
      </c>
      <c r="Q21" s="34">
        <v>1.24854954759383</v>
      </c>
      <c r="R21" s="33">
        <v>25.889783950404301</v>
      </c>
      <c r="S21" s="33">
        <v>25.934302503181701</v>
      </c>
      <c r="U21" s="15">
        <v>-3.0935768512291299E-3</v>
      </c>
      <c r="V21" s="15">
        <v>-1.37551226873692E-3</v>
      </c>
      <c r="X21" s="34">
        <v>1.2474583696194601</v>
      </c>
      <c r="Y21" s="34">
        <v>1.2471244094690801</v>
      </c>
      <c r="Z21" s="34">
        <v>1.2466314498801301</v>
      </c>
      <c r="AA21" s="34">
        <v>1.24670229201606</v>
      </c>
      <c r="AB21" s="33">
        <v>25.963047507382399</v>
      </c>
      <c r="AC21" s="33">
        <v>25.951342873650599</v>
      </c>
      <c r="AE21" s="15">
        <v>-2.67748302585366E-4</v>
      </c>
      <c r="AF21" s="15">
        <v>-7.1866889875058697E-4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20.74</v>
      </c>
      <c r="C22" s="33">
        <v>25.84</v>
      </c>
      <c r="D22" s="15">
        <v>-4.82043875326093E-4</v>
      </c>
      <c r="E22" s="15">
        <v>-5.0183467602559501E-3</v>
      </c>
      <c r="F22" s="33">
        <v>0</v>
      </c>
      <c r="G22" s="33">
        <v>6.8330000000000002E-2</v>
      </c>
      <c r="H22" s="33">
        <v>9.9039000000000002E-2</v>
      </c>
      <c r="I22" s="33">
        <v>9.9039000000000002E-2</v>
      </c>
      <c r="J22" s="33">
        <v>6.8330000000000002E-2</v>
      </c>
      <c r="K22" s="33">
        <v>9.9039000000000002E-2</v>
      </c>
      <c r="L22" s="33">
        <v>20.808329999999899</v>
      </c>
      <c r="M22" s="33">
        <v>25.939039000000001</v>
      </c>
      <c r="N22" s="34">
        <v>1.2459016393442599</v>
      </c>
      <c r="O22" s="34">
        <v>1.2477004313447799</v>
      </c>
      <c r="P22" s="34">
        <v>1.2502645151671199</v>
      </c>
      <c r="Q22" s="34">
        <v>1.24853101724743</v>
      </c>
      <c r="R22" s="33">
        <v>25.877306946090901</v>
      </c>
      <c r="S22" s="33">
        <v>25.931760431879901</v>
      </c>
      <c r="T22" s="33">
        <v>25.894917617095999</v>
      </c>
      <c r="U22" s="15">
        <v>1.4427260337007599E-3</v>
      </c>
      <c r="V22" s="15">
        <v>3.5448100354504501E-3</v>
      </c>
      <c r="W22" s="15">
        <v>2.1230395351162301E-3</v>
      </c>
      <c r="X22" s="34">
        <v>1.2465699553976699</v>
      </c>
      <c r="Y22" s="34">
        <v>1.2471244094690801</v>
      </c>
      <c r="Z22" s="34">
        <v>1.24663683561692</v>
      </c>
      <c r="AA22" s="34">
        <v>1.24671717747233</v>
      </c>
      <c r="AB22" s="33">
        <v>25.950576263287701</v>
      </c>
      <c r="AC22" s="33">
        <v>25.940318597484399</v>
      </c>
      <c r="AD22" s="33">
        <v>25.941792704026501</v>
      </c>
      <c r="AE22" s="15">
        <v>4.44684872660012E-4</v>
      </c>
      <c r="AF22" s="15">
        <v>4.9329735136485101E-5</v>
      </c>
      <c r="AG22" s="15">
        <v>1.0615496855818199E-4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20.74</v>
      </c>
      <c r="C23" s="33">
        <v>25.84</v>
      </c>
      <c r="D23" s="15">
        <v>0</v>
      </c>
      <c r="E23" s="15">
        <v>0</v>
      </c>
      <c r="F23" s="33">
        <v>0</v>
      </c>
      <c r="G23" s="33">
        <v>6.8330000000000002E-2</v>
      </c>
      <c r="H23" s="33">
        <v>0</v>
      </c>
      <c r="I23" s="33">
        <v>9.9039000000000002E-2</v>
      </c>
      <c r="J23" s="33">
        <v>6.8330000000000002E-2</v>
      </c>
      <c r="K23" s="33">
        <v>9.9039000000000002E-2</v>
      </c>
      <c r="L23" s="33">
        <v>20.808329999999899</v>
      </c>
      <c r="M23" s="33">
        <v>25.939039000000001</v>
      </c>
      <c r="N23" s="34">
        <v>1.2459016393442599</v>
      </c>
      <c r="O23" s="34">
        <v>1.2477004313447799</v>
      </c>
      <c r="P23" s="34">
        <v>1.2498425608271899</v>
      </c>
      <c r="Q23" s="34">
        <v>1.2484940454718401</v>
      </c>
      <c r="R23" s="33">
        <v>25.877306946090901</v>
      </c>
      <c r="S23" s="33">
        <v>25.930486044566099</v>
      </c>
      <c r="T23" s="33">
        <v>25.8945332977117</v>
      </c>
      <c r="U23" s="15">
        <v>1.4427260337007599E-3</v>
      </c>
      <c r="V23" s="15">
        <v>3.49566494819971E-3</v>
      </c>
      <c r="W23" s="15">
        <v>2.1081979263510198E-3</v>
      </c>
      <c r="X23" s="34">
        <v>1.2465699553976699</v>
      </c>
      <c r="Y23" s="34">
        <v>1.2471244094690801</v>
      </c>
      <c r="Z23" s="34">
        <v>1.2466944069519399</v>
      </c>
      <c r="AA23" s="34">
        <v>1.2467136214994099</v>
      </c>
      <c r="AB23" s="33">
        <v>25.950576263287701</v>
      </c>
      <c r="AC23" s="33">
        <v>25.9404306656727</v>
      </c>
      <c r="AD23" s="33">
        <v>25.942102445512798</v>
      </c>
      <c r="AE23" s="15">
        <v>4.44684872660012E-4</v>
      </c>
      <c r="AF23" s="15">
        <v>5.3649957568351903E-5</v>
      </c>
      <c r="AG23" s="15">
        <v>1.1809476164442E-4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20.72</v>
      </c>
      <c r="C24" s="33">
        <v>25.82</v>
      </c>
      <c r="D24" s="15">
        <v>-9.64785410098889E-4</v>
      </c>
      <c r="E24" s="15">
        <v>-7.7429349590466803E-4</v>
      </c>
      <c r="F24" s="33">
        <v>0</v>
      </c>
      <c r="G24" s="33">
        <v>6.8330000000000002E-2</v>
      </c>
      <c r="H24" s="33">
        <v>0</v>
      </c>
      <c r="I24" s="33">
        <v>9.9039000000000002E-2</v>
      </c>
      <c r="J24" s="33">
        <v>6.8330000000000002E-2</v>
      </c>
      <c r="K24" s="33">
        <v>9.9039000000000002E-2</v>
      </c>
      <c r="L24" s="33">
        <v>20.788329999999998</v>
      </c>
      <c r="M24" s="33">
        <v>25.919039000000001</v>
      </c>
      <c r="N24" s="34">
        <v>1.2461389961389899</v>
      </c>
      <c r="O24" s="34">
        <v>1.2477004313447799</v>
      </c>
      <c r="P24" s="34">
        <v>1.2493962194772299</v>
      </c>
      <c r="Q24" s="34">
        <v>1.24846894153598</v>
      </c>
      <c r="R24" s="33">
        <v>25.852352937464001</v>
      </c>
      <c r="S24" s="33">
        <v>25.8967378603394</v>
      </c>
      <c r="T24" s="33">
        <v>25.8687966221765</v>
      </c>
      <c r="U24" s="15">
        <v>1.2522341195063201E-3</v>
      </c>
      <c r="V24" s="15">
        <v>2.9676240162136601E-3</v>
      </c>
      <c r="W24" s="15">
        <v>1.8880933533617899E-3</v>
      </c>
      <c r="X24" s="34">
        <v>1.2468071749871199</v>
      </c>
      <c r="Y24" s="34">
        <v>1.2471244094690801</v>
      </c>
      <c r="Z24" s="34">
        <v>1.2467253566738901</v>
      </c>
      <c r="AA24" s="34">
        <v>1.2467219265059599</v>
      </c>
      <c r="AB24" s="33">
        <v>25.925633775098301</v>
      </c>
      <c r="AC24" s="33">
        <v>25.916694740871201</v>
      </c>
      <c r="AD24" s="33">
        <v>25.9170941792249</v>
      </c>
      <c r="AE24" s="15">
        <v>2.5440512133394298E-4</v>
      </c>
      <c r="AF24" s="15">
        <v>-9.0449539775078707E-5</v>
      </c>
      <c r="AG24" s="15">
        <v>-7.50372628789929E-5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20.83</v>
      </c>
      <c r="C25" s="33">
        <v>25.94</v>
      </c>
      <c r="D25" s="15">
        <v>5.2948378815983301E-3</v>
      </c>
      <c r="E25" s="15">
        <v>4.6367934698015199E-3</v>
      </c>
      <c r="F25" s="33">
        <v>0</v>
      </c>
      <c r="G25" s="33">
        <v>6.8330000000000002E-2</v>
      </c>
      <c r="H25" s="33">
        <v>0</v>
      </c>
      <c r="I25" s="33">
        <v>9.9039000000000002E-2</v>
      </c>
      <c r="J25" s="33">
        <v>6.8330000000000002E-2</v>
      </c>
      <c r="K25" s="33">
        <v>9.9039000000000002E-2</v>
      </c>
      <c r="L25" s="33">
        <v>20.898329999999898</v>
      </c>
      <c r="M25" s="33">
        <v>26.039038999999999</v>
      </c>
      <c r="N25" s="34">
        <v>1.2453192510801701</v>
      </c>
      <c r="O25" s="34">
        <v>1.2477004313447799</v>
      </c>
      <c r="P25" s="34">
        <v>1.24889203481154</v>
      </c>
      <c r="Q25" s="34">
        <v>1.2484146739845301</v>
      </c>
      <c r="R25" s="33">
        <v>25.989599984911901</v>
      </c>
      <c r="S25" s="33">
        <v>26.024923251710799</v>
      </c>
      <c r="T25" s="33">
        <v>26.005608052194599</v>
      </c>
      <c r="U25" s="15">
        <v>1.9102785313033701E-3</v>
      </c>
      <c r="V25" s="15">
        <v>3.2684865867088401E-3</v>
      </c>
      <c r="W25" s="15">
        <v>2.5260301896888201E-3</v>
      </c>
      <c r="X25" s="34">
        <v>1.2459865931871099</v>
      </c>
      <c r="Y25" s="34">
        <v>1.2471244094690801</v>
      </c>
      <c r="Z25" s="34">
        <v>1.24669790631874</v>
      </c>
      <c r="AA25" s="34">
        <v>1.2467010260598499</v>
      </c>
      <c r="AB25" s="33">
        <v>26.0628174601399</v>
      </c>
      <c r="AC25" s="33">
        <v>26.054477923138599</v>
      </c>
      <c r="AD25" s="33">
        <v>26.054406238357402</v>
      </c>
      <c r="AE25" s="15">
        <v>9.1276831216428704E-4</v>
      </c>
      <c r="AF25" s="15">
        <v>5.9273877067884896E-4</v>
      </c>
      <c r="AG25" s="15">
        <v>5.8998742482473403E-4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20.84</v>
      </c>
      <c r="C26" s="33">
        <v>25.96</v>
      </c>
      <c r="D26" s="15">
        <v>4.7996161228569599E-4</v>
      </c>
      <c r="E26" s="15">
        <v>7.7071294759130198E-4</v>
      </c>
      <c r="F26" s="33">
        <v>0</v>
      </c>
      <c r="G26" s="33">
        <v>6.8330000000000002E-2</v>
      </c>
      <c r="H26" s="33">
        <v>0</v>
      </c>
      <c r="I26" s="33">
        <v>9.9039000000000002E-2</v>
      </c>
      <c r="J26" s="33">
        <v>6.8330000000000002E-2</v>
      </c>
      <c r="K26" s="33">
        <v>9.9039000000000002E-2</v>
      </c>
      <c r="L26" s="33">
        <v>20.908329999999999</v>
      </c>
      <c r="M26" s="33">
        <v>26.059038999999999</v>
      </c>
      <c r="N26" s="34">
        <v>1.2456813819577699</v>
      </c>
      <c r="O26" s="34">
        <v>1.2477004313447799</v>
      </c>
      <c r="P26" s="34">
        <v>1.2483277705036999</v>
      </c>
      <c r="Q26" s="34">
        <v>1.2483370307207</v>
      </c>
      <c r="R26" s="33">
        <v>26.002076989225401</v>
      </c>
      <c r="S26" s="33">
        <v>26.026910005472502</v>
      </c>
      <c r="T26" s="33">
        <v>26.0169618058376</v>
      </c>
      <c r="U26" s="15">
        <v>1.6195271959975901E-3</v>
      </c>
      <c r="V26" s="15">
        <v>2.57411115264312E-3</v>
      </c>
      <c r="W26" s="15">
        <v>2.1918106277284501E-3</v>
      </c>
      <c r="X26" s="34">
        <v>1.2463472214184399</v>
      </c>
      <c r="Y26" s="34">
        <v>1.2471244094690801</v>
      </c>
      <c r="Z26" s="34">
        <v>1.24661054180585</v>
      </c>
      <c r="AA26" s="34">
        <v>1.2466566747690599</v>
      </c>
      <c r="AB26" s="33">
        <v>26.075288704234602</v>
      </c>
      <c r="AC26" s="33">
        <v>26.0663712356214</v>
      </c>
      <c r="AD26" s="33">
        <v>26.066436464198102</v>
      </c>
      <c r="AE26" s="15">
        <v>6.2337831814240398E-4</v>
      </c>
      <c r="AF26" s="15">
        <v>2.8133056935656498E-4</v>
      </c>
      <c r="AG26" s="15">
        <v>2.8383296965252399E-4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20.84</v>
      </c>
      <c r="C27" s="33">
        <v>25.96</v>
      </c>
      <c r="D27" s="15">
        <v>0</v>
      </c>
      <c r="E27" s="15">
        <v>0</v>
      </c>
      <c r="F27" s="33">
        <v>0</v>
      </c>
      <c r="G27" s="33">
        <v>6.8330000000000002E-2</v>
      </c>
      <c r="H27" s="33">
        <v>0</v>
      </c>
      <c r="I27" s="33">
        <v>9.9039000000000002E-2</v>
      </c>
      <c r="J27" s="33">
        <v>6.8330000000000002E-2</v>
      </c>
      <c r="K27" s="33">
        <v>9.9039000000000002E-2</v>
      </c>
      <c r="L27" s="33">
        <v>20.908329999999999</v>
      </c>
      <c r="M27" s="33">
        <v>26.059038999999999</v>
      </c>
      <c r="N27" s="34">
        <v>1.2456813819577699</v>
      </c>
      <c r="O27" s="34">
        <v>1.2477004313447799</v>
      </c>
      <c r="P27" s="34">
        <v>1.2478838836874599</v>
      </c>
      <c r="Q27" s="34">
        <v>1.2482890460757901</v>
      </c>
      <c r="R27" s="33">
        <v>26.002076989225401</v>
      </c>
      <c r="S27" s="33">
        <v>26.015150737297201</v>
      </c>
      <c r="T27" s="33">
        <v>26.015343720219501</v>
      </c>
      <c r="U27" s="15">
        <v>1.6195271959975901E-3</v>
      </c>
      <c r="V27" s="15">
        <v>2.1221971351141899E-3</v>
      </c>
      <c r="W27" s="15">
        <v>2.1296152050098499E-3</v>
      </c>
      <c r="X27" s="34">
        <v>1.2463472214184399</v>
      </c>
      <c r="Y27" s="34">
        <v>1.2471244094690801</v>
      </c>
      <c r="Z27" s="34">
        <v>1.2466427670076199</v>
      </c>
      <c r="AA27" s="34">
        <v>1.2466419820971799</v>
      </c>
      <c r="AB27" s="33">
        <v>26.075288704234602</v>
      </c>
      <c r="AC27" s="33">
        <v>26.064544589555499</v>
      </c>
      <c r="AD27" s="33">
        <v>26.0655091527743</v>
      </c>
      <c r="AE27" s="15">
        <v>6.2337831814240398E-4</v>
      </c>
      <c r="AF27" s="15">
        <v>2.1125138361207299E-4</v>
      </c>
      <c r="AG27" s="15">
        <v>2.48257415627532E-4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0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20.89</v>
      </c>
      <c r="C28" s="33">
        <v>25.98</v>
      </c>
      <c r="D28" s="15">
        <v>2.3963586833082601E-3</v>
      </c>
      <c r="E28" s="15">
        <v>7.7011940656425198E-4</v>
      </c>
      <c r="F28" s="33">
        <v>0</v>
      </c>
      <c r="G28" s="33">
        <v>6.8330000000000002E-2</v>
      </c>
      <c r="H28" s="33">
        <v>0</v>
      </c>
      <c r="I28" s="33">
        <v>9.9039000000000002E-2</v>
      </c>
      <c r="J28" s="33">
        <v>6.8330000000000002E-2</v>
      </c>
      <c r="K28" s="33">
        <v>9.9039000000000002E-2</v>
      </c>
      <c r="L28" s="33">
        <v>20.95833</v>
      </c>
      <c r="M28" s="33">
        <v>26.079039000000002</v>
      </c>
      <c r="N28" s="34">
        <v>1.2436572522738101</v>
      </c>
      <c r="O28" s="34">
        <v>1.2477004313447799</v>
      </c>
      <c r="P28" s="34">
        <v>1.2471172064112299</v>
      </c>
      <c r="Q28" s="34">
        <v>1.2481280085934201</v>
      </c>
      <c r="R28" s="33">
        <v>26.0644620107926</v>
      </c>
      <c r="S28" s="33">
        <v>26.068294330231002</v>
      </c>
      <c r="T28" s="33">
        <v>26.076758172523299</v>
      </c>
      <c r="U28" s="15">
        <v>3.2457664727414399E-3</v>
      </c>
      <c r="V28" s="15">
        <v>3.3927880274904699E-3</v>
      </c>
      <c r="W28" s="15">
        <v>3.7174148889247099E-3</v>
      </c>
      <c r="X28" s="34">
        <v>1.24432810247763</v>
      </c>
      <c r="Y28" s="34">
        <v>1.2471244094690801</v>
      </c>
      <c r="Z28" s="34">
        <v>1.2463534906006499</v>
      </c>
      <c r="AA28" s="34">
        <v>1.246514487125</v>
      </c>
      <c r="AB28" s="33">
        <v>26.137644924708098</v>
      </c>
      <c r="AC28" s="33">
        <v>26.127550503058899</v>
      </c>
      <c r="AD28" s="33">
        <v>26.127534052646901</v>
      </c>
      <c r="AE28" s="15">
        <v>2.2447212236271501E-3</v>
      </c>
      <c r="AF28" s="15">
        <v>1.85844421109314E-3</v>
      </c>
      <c r="AG28" s="15">
        <v>1.85781459152094E-3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1</v>
      </c>
      <c r="AV28">
        <f t="shared" si="11"/>
        <v>0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20.86</v>
      </c>
      <c r="C29" s="33">
        <v>26</v>
      </c>
      <c r="D29" s="15">
        <v>-1.4371259958480601E-3</v>
      </c>
      <c r="E29" s="15">
        <v>7.69526779028518E-4</v>
      </c>
      <c r="F29" s="33">
        <v>0</v>
      </c>
      <c r="G29" s="33">
        <v>6.8330000000000002E-2</v>
      </c>
      <c r="H29" s="33">
        <v>0</v>
      </c>
      <c r="I29" s="33">
        <v>9.9039000000000002E-2</v>
      </c>
      <c r="J29" s="33">
        <v>6.8330000000000002E-2</v>
      </c>
      <c r="K29" s="33">
        <v>9.9039000000000002E-2</v>
      </c>
      <c r="L29" s="33">
        <v>20.928329999999999</v>
      </c>
      <c r="M29" s="33">
        <v>26.099039000000001</v>
      </c>
      <c r="N29" s="34">
        <v>1.2464046021093</v>
      </c>
      <c r="O29" s="34">
        <v>1.2477004313447799</v>
      </c>
      <c r="P29" s="34">
        <v>1.2467094970653201</v>
      </c>
      <c r="Q29" s="34">
        <v>1.24808006995488</v>
      </c>
      <c r="R29" s="33">
        <v>26.0270309978523</v>
      </c>
      <c r="S29" s="33">
        <v>26.014864925738198</v>
      </c>
      <c r="T29" s="33">
        <v>26.035950259258801</v>
      </c>
      <c r="U29" s="15">
        <v>1.03911369786485E-3</v>
      </c>
      <c r="V29" s="15">
        <v>5.7156453887499995E-4</v>
      </c>
      <c r="W29" s="15">
        <v>1.3817472266574201E-3</v>
      </c>
      <c r="X29" s="34">
        <v>1.2470674439862099</v>
      </c>
      <c r="Y29" s="34">
        <v>1.2471244094690801</v>
      </c>
      <c r="Z29" s="34">
        <v>1.2464223019532701</v>
      </c>
      <c r="AA29" s="34">
        <v>1.2464996905803101</v>
      </c>
      <c r="AB29" s="33">
        <v>26.100231192424001</v>
      </c>
      <c r="AC29" s="33">
        <v>26.084097147942298</v>
      </c>
      <c r="AD29" s="33">
        <v>26.087466536332901</v>
      </c>
      <c r="AE29" s="15">
        <v>4.5678509291519397E-5</v>
      </c>
      <c r="AF29" s="15">
        <v>-5.7266977682678198E-4</v>
      </c>
      <c r="AG29" s="15">
        <v>-4.4350407209007799E-4</v>
      </c>
      <c r="AI29" s="12"/>
      <c r="AJ29">
        <f t="shared" si="6"/>
        <v>0</v>
      </c>
      <c r="AK29">
        <f t="shared" si="7"/>
        <v>0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1.4371259958480601E-3</v>
      </c>
      <c r="BA29" s="28">
        <f t="shared" si="13"/>
        <v>7.69526779028518E-4</v>
      </c>
      <c r="BB29" s="28">
        <f t="shared" si="20"/>
        <v>2.2066527748765782E-3</v>
      </c>
      <c r="BC29" s="29">
        <f t="shared" si="21"/>
        <v>2.2066527748765782E-3</v>
      </c>
      <c r="BE29" s="29">
        <f t="shared" si="22"/>
        <v>2.2066527748765782E-3</v>
      </c>
      <c r="BF29" s="29">
        <f t="shared" si="23"/>
        <v>2.2066527748765782E-3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20.96</v>
      </c>
      <c r="C30" s="33">
        <v>26.11</v>
      </c>
      <c r="D30" s="15">
        <v>4.7824098802150897E-3</v>
      </c>
      <c r="E30" s="15">
        <v>4.2218446895554602E-3</v>
      </c>
      <c r="F30" s="33">
        <v>0</v>
      </c>
      <c r="G30" s="33">
        <v>6.8330000000000002E-2</v>
      </c>
      <c r="H30" s="33">
        <v>0</v>
      </c>
      <c r="I30" s="33">
        <v>9.9039000000000002E-2</v>
      </c>
      <c r="J30" s="33">
        <v>6.8330000000000002E-2</v>
      </c>
      <c r="K30" s="33">
        <v>9.9039000000000002E-2</v>
      </c>
      <c r="L30" s="33">
        <v>21.02833</v>
      </c>
      <c r="M30" s="33">
        <v>26.209039000000001</v>
      </c>
      <c r="N30" s="34">
        <v>1.24570610687022</v>
      </c>
      <c r="O30" s="34">
        <v>1.2477004313447799</v>
      </c>
      <c r="P30" s="34">
        <v>1.24619585161368</v>
      </c>
      <c r="Q30" s="34">
        <v>1.24802087769073</v>
      </c>
      <c r="R30" s="33">
        <v>26.151801040986701</v>
      </c>
      <c r="S30" s="33">
        <v>26.1310310584891</v>
      </c>
      <c r="T30" s="33">
        <v>26.1597582662543</v>
      </c>
      <c r="U30" s="15">
        <v>1.59967888852463E-3</v>
      </c>
      <c r="V30" s="15">
        <v>8.0515484473277503E-4</v>
      </c>
      <c r="W30" s="15">
        <v>1.90390324865783E-3</v>
      </c>
      <c r="X30" s="34">
        <v>1.24636806631815</v>
      </c>
      <c r="Y30" s="34">
        <v>1.2471244094690801</v>
      </c>
      <c r="Z30" s="34">
        <v>1.2463850104207901</v>
      </c>
      <c r="AA30" s="34">
        <v>1.24647359628856</v>
      </c>
      <c r="AB30" s="33">
        <v>26.224943633370899</v>
      </c>
      <c r="AC30" s="33">
        <v>26.210179484833098</v>
      </c>
      <c r="AD30" s="33">
        <v>26.2118068384206</v>
      </c>
      <c r="AE30" s="15">
        <v>6.0665366466388802E-4</v>
      </c>
      <c r="AF30" s="15">
        <v>4.3513996058752E-5</v>
      </c>
      <c r="AG30" s="15">
        <v>1.05600677707016E-4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2.2066527748765782E-3</v>
      </c>
      <c r="BE30" s="29">
        <f t="shared" si="22"/>
        <v>0</v>
      </c>
      <c r="BF30" s="29">
        <f t="shared" si="23"/>
        <v>2.2066527748765782E-3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21.02</v>
      </c>
      <c r="C31" s="33">
        <v>26.19</v>
      </c>
      <c r="D31" s="15">
        <v>2.8585059959636699E-3</v>
      </c>
      <c r="E31" s="15">
        <v>3.05927580858308E-3</v>
      </c>
      <c r="F31" s="33">
        <v>0</v>
      </c>
      <c r="G31" s="33">
        <v>6.8330000000000002E-2</v>
      </c>
      <c r="H31" s="33">
        <v>0</v>
      </c>
      <c r="I31" s="33">
        <v>9.9039000000000002E-2</v>
      </c>
      <c r="J31" s="33">
        <v>6.8330000000000002E-2</v>
      </c>
      <c r="K31" s="33">
        <v>9.9039000000000002E-2</v>
      </c>
      <c r="L31" s="33">
        <v>21.088329999999999</v>
      </c>
      <c r="M31" s="33">
        <v>26.289038999999999</v>
      </c>
      <c r="N31" s="34">
        <v>1.2459562321598401</v>
      </c>
      <c r="O31" s="34">
        <v>1.2477004313447799</v>
      </c>
      <c r="P31" s="34">
        <v>1.2456348483236399</v>
      </c>
      <c r="Q31" s="34">
        <v>1.2479804046796601</v>
      </c>
      <c r="R31" s="33">
        <v>26.226663066867399</v>
      </c>
      <c r="S31" s="33">
        <v>26.195036800919599</v>
      </c>
      <c r="T31" s="33">
        <v>26.233398849059299</v>
      </c>
      <c r="U31" s="15">
        <v>1.3989090759049499E-3</v>
      </c>
      <c r="V31" s="15">
        <v>1.9229922293503E-4</v>
      </c>
      <c r="W31" s="15">
        <v>1.6557056553545E-3</v>
      </c>
      <c r="X31" s="34">
        <v>1.2466154977658199</v>
      </c>
      <c r="Y31" s="34">
        <v>1.2471244094690801</v>
      </c>
      <c r="Z31" s="34">
        <v>1.24630072323542</v>
      </c>
      <c r="AA31" s="34">
        <v>1.2464660865577799</v>
      </c>
      <c r="AB31" s="33">
        <v>26.299771097939001</v>
      </c>
      <c r="AC31" s="33">
        <v>26.284178406807101</v>
      </c>
      <c r="AD31" s="33">
        <v>26.286046534819999</v>
      </c>
      <c r="AE31" s="15">
        <v>4.0815139449198703E-4</v>
      </c>
      <c r="AF31" s="15">
        <v>-1.8490758018899499E-4</v>
      </c>
      <c r="AG31" s="15">
        <v>-1.13835865516382E-4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2.2066527748765782E-3</v>
      </c>
      <c r="BE31" s="29">
        <f t="shared" si="22"/>
        <v>0</v>
      </c>
      <c r="BF31" s="29">
        <f t="shared" si="23"/>
        <v>2.2066527748765782E-3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21.03</v>
      </c>
      <c r="C32" s="33">
        <v>26.2</v>
      </c>
      <c r="D32" s="15">
        <v>4.75624265803401E-4</v>
      </c>
      <c r="E32" s="15">
        <v>3.8175224743049099E-4</v>
      </c>
      <c r="F32" s="33">
        <v>0</v>
      </c>
      <c r="G32" s="33">
        <v>6.8330000000000002E-2</v>
      </c>
      <c r="H32" s="33">
        <v>0</v>
      </c>
      <c r="I32" s="33">
        <v>9.9039000000000002E-2</v>
      </c>
      <c r="J32" s="33">
        <v>6.8330000000000002E-2</v>
      </c>
      <c r="K32" s="33">
        <v>9.9039000000000002E-2</v>
      </c>
      <c r="L32" s="33">
        <v>21.098330000000001</v>
      </c>
      <c r="M32" s="33">
        <v>26.299039</v>
      </c>
      <c r="N32" s="34">
        <v>1.24583927722301</v>
      </c>
      <c r="O32" s="34">
        <v>1.2477004313447799</v>
      </c>
      <c r="P32" s="34">
        <v>1.2456286121115101</v>
      </c>
      <c r="Q32" s="34">
        <v>1.2479465636393201</v>
      </c>
      <c r="R32" s="33">
        <v>26.239140071180898</v>
      </c>
      <c r="S32" s="33">
        <v>26.195700860246198</v>
      </c>
      <c r="T32" s="33">
        <v>26.245027910413199</v>
      </c>
      <c r="U32" s="15">
        <v>1.4927810942779801E-3</v>
      </c>
      <c r="V32" s="15">
        <v>-1.6410276770203501E-4</v>
      </c>
      <c r="W32" s="15">
        <v>1.71714739304791E-3</v>
      </c>
      <c r="X32" s="34">
        <v>1.2464986091316199</v>
      </c>
      <c r="Y32" s="34">
        <v>1.2471244094690801</v>
      </c>
      <c r="Z32" s="34">
        <v>1.24629358860882</v>
      </c>
      <c r="AA32" s="34">
        <v>1.2464652121128701</v>
      </c>
      <c r="AB32" s="33">
        <v>26.312242342033699</v>
      </c>
      <c r="AC32" s="33">
        <v>26.294863938059699</v>
      </c>
      <c r="AD32" s="33">
        <v>26.298352828004699</v>
      </c>
      <c r="AE32" s="15">
        <v>5.0192057574643002E-4</v>
      </c>
      <c r="AF32" s="15">
        <v>-1.5876600578320499E-4</v>
      </c>
      <c r="AG32" s="15">
        <v>-2.60914836832305E-5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2.2066527748765782E-3</v>
      </c>
      <c r="BE32" s="29">
        <f t="shared" si="22"/>
        <v>0</v>
      </c>
      <c r="BF32" s="29">
        <f t="shared" si="23"/>
        <v>2.2066527748765782E-3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21.02</v>
      </c>
      <c r="C33" s="33">
        <v>26.17</v>
      </c>
      <c r="D33" s="15">
        <v>-4.7562426580346698E-4</v>
      </c>
      <c r="E33" s="15">
        <v>-1.1456942249966199E-3</v>
      </c>
      <c r="F33" s="33">
        <v>0</v>
      </c>
      <c r="G33" s="33">
        <v>6.8330000000000002E-2</v>
      </c>
      <c r="H33" s="33">
        <v>0</v>
      </c>
      <c r="I33" s="33">
        <v>9.9039000000000002E-2</v>
      </c>
      <c r="J33" s="33">
        <v>6.8330000000000002E-2</v>
      </c>
      <c r="K33" s="33">
        <v>9.9039000000000002E-2</v>
      </c>
      <c r="L33" s="33">
        <v>21.088329999999999</v>
      </c>
      <c r="M33" s="33">
        <v>26.269038999999999</v>
      </c>
      <c r="N33" s="34">
        <v>1.24500475737392</v>
      </c>
      <c r="O33" s="34">
        <v>1.2477004313447799</v>
      </c>
      <c r="P33" s="34">
        <v>1.2455389239144801</v>
      </c>
      <c r="Q33" s="34">
        <v>1.2476907423708301</v>
      </c>
      <c r="R33" s="33">
        <v>26.226663066867399</v>
      </c>
      <c r="S33" s="33">
        <v>26.1831134265841</v>
      </c>
      <c r="T33" s="33">
        <v>26.2318367676985</v>
      </c>
      <c r="U33" s="15">
        <v>2.1628510534711198E-3</v>
      </c>
      <c r="V33" s="15">
        <v>5.0096072611807002E-4</v>
      </c>
      <c r="W33" s="15">
        <v>2.36010034058922E-3</v>
      </c>
      <c r="X33" s="34">
        <v>1.2456671059301501</v>
      </c>
      <c r="Y33" s="34">
        <v>1.2471244094690801</v>
      </c>
      <c r="Z33" s="34">
        <v>1.2462033036620701</v>
      </c>
      <c r="AA33" s="34">
        <v>1.2464488553069999</v>
      </c>
      <c r="AB33" s="33">
        <v>26.299771097939001</v>
      </c>
      <c r="AC33" s="33">
        <v>26.282250473467101</v>
      </c>
      <c r="AD33" s="33">
        <v>26.285869726556299</v>
      </c>
      <c r="AE33" s="15">
        <v>1.1692142691794301E-3</v>
      </c>
      <c r="AF33" s="15">
        <v>5.02803028349758E-4</v>
      </c>
      <c r="AG33" s="15">
        <v>6.40500670233724E-4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2.2066527748765782E-3</v>
      </c>
      <c r="BE33" s="29">
        <f t="shared" si="22"/>
        <v>0</v>
      </c>
      <c r="BF33" s="29">
        <f t="shared" si="23"/>
        <v>2.2066527748765782E-3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21.04</v>
      </c>
      <c r="C34" s="33">
        <v>26.2</v>
      </c>
      <c r="D34" s="15">
        <v>9.5102242070393105E-4</v>
      </c>
      <c r="E34" s="15">
        <v>1.1456942249965501E-3</v>
      </c>
      <c r="F34" s="33">
        <v>0</v>
      </c>
      <c r="G34" s="33">
        <v>6.8330000000000002E-2</v>
      </c>
      <c r="H34" s="33">
        <v>0</v>
      </c>
      <c r="I34" s="33">
        <v>9.9039000000000002E-2</v>
      </c>
      <c r="J34" s="33">
        <v>6.8330000000000002E-2</v>
      </c>
      <c r="K34" s="33">
        <v>9.9039000000000002E-2</v>
      </c>
      <c r="L34" s="33">
        <v>21.108329999999999</v>
      </c>
      <c r="M34" s="33">
        <v>26.299039</v>
      </c>
      <c r="N34" s="34">
        <v>1.24524714828897</v>
      </c>
      <c r="O34" s="34">
        <v>1.2477004313447799</v>
      </c>
      <c r="P34" s="34">
        <v>1.2454497391294801</v>
      </c>
      <c r="Q34" s="34">
        <v>1.24742297930336</v>
      </c>
      <c r="R34" s="33">
        <v>26.251617075494298</v>
      </c>
      <c r="S34" s="33">
        <v>26.2061389591607</v>
      </c>
      <c r="T34" s="33">
        <v>26.251413219482401</v>
      </c>
      <c r="U34" s="15">
        <v>1.9681792491785602E-3</v>
      </c>
      <c r="V34" s="15">
        <v>2.3428397171696799E-4</v>
      </c>
      <c r="W34" s="15">
        <v>1.9604137540907402E-3</v>
      </c>
      <c r="X34" s="34">
        <v>1.2459080846282</v>
      </c>
      <c r="Y34" s="34">
        <v>1.2471244094690801</v>
      </c>
      <c r="Z34" s="34">
        <v>1.24611339462618</v>
      </c>
      <c r="AA34" s="34">
        <v>1.2464193756500299</v>
      </c>
      <c r="AB34" s="33">
        <v>26.3247135861284</v>
      </c>
      <c r="AC34" s="33">
        <v>26.305270580789202</v>
      </c>
      <c r="AD34" s="33">
        <v>26.310453765942501</v>
      </c>
      <c r="AE34" s="15">
        <v>9.7577944954086501E-4</v>
      </c>
      <c r="AF34" s="15">
        <v>2.36922825070905E-4</v>
      </c>
      <c r="AG34" s="15">
        <v>4.3394321144469899E-4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2.2066527748765782E-3</v>
      </c>
      <c r="BE34" s="29">
        <f t="shared" si="22"/>
        <v>0</v>
      </c>
      <c r="BF34" s="29">
        <f t="shared" si="23"/>
        <v>2.2066527748765782E-3</v>
      </c>
      <c r="BH34" s="29"/>
    </row>
    <row r="35" spans="1:124" x14ac:dyDescent="0.25">
      <c r="A35" s="1">
        <v>46073</v>
      </c>
      <c r="B35" s="33">
        <v>21.04</v>
      </c>
      <c r="C35" s="33">
        <v>26.2</v>
      </c>
      <c r="D35" s="15">
        <v>0</v>
      </c>
      <c r="E35" s="15">
        <v>0</v>
      </c>
      <c r="F35" s="33">
        <v>0</v>
      </c>
      <c r="G35" s="33">
        <v>6.8330000000000002E-2</v>
      </c>
      <c r="H35" s="33">
        <v>0</v>
      </c>
      <c r="I35" s="33">
        <v>9.9039000000000002E-2</v>
      </c>
      <c r="J35" s="33">
        <v>6.8330000000000002E-2</v>
      </c>
      <c r="K35" s="33">
        <v>9.9039000000000002E-2</v>
      </c>
      <c r="L35" s="33">
        <v>21.108329999999999</v>
      </c>
      <c r="M35" s="33">
        <v>26.299039</v>
      </c>
      <c r="N35" s="34">
        <v>1.24524714828897</v>
      </c>
      <c r="O35" s="34">
        <v>1.2477004313447799</v>
      </c>
      <c r="P35" s="34">
        <v>1.2454425288503601</v>
      </c>
      <c r="Q35" s="34">
        <v>1.24716728183095</v>
      </c>
      <c r="R35" s="33">
        <v>26.251617075494298</v>
      </c>
      <c r="S35" s="33">
        <v>26.204262511284298</v>
      </c>
      <c r="T35" s="33">
        <v>26.245779484542599</v>
      </c>
      <c r="U35" s="15">
        <v>1.9681792491785602E-3</v>
      </c>
      <c r="V35" s="15">
        <v>1.6267803760429899E-4</v>
      </c>
      <c r="W35" s="15">
        <v>1.7457838026133301E-3</v>
      </c>
      <c r="X35" s="34">
        <v>1.2459080846282</v>
      </c>
      <c r="Y35" s="34">
        <v>1.2471244094690801</v>
      </c>
      <c r="Z35" s="34">
        <v>1.2461055437702899</v>
      </c>
      <c r="AA35" s="34">
        <v>1.2464017250445101</v>
      </c>
      <c r="AB35" s="33">
        <v>26.3247135861284</v>
      </c>
      <c r="AC35" s="33">
        <v>26.303372751189599</v>
      </c>
      <c r="AD35" s="33">
        <v>26.309831499614901</v>
      </c>
      <c r="AE35" s="15">
        <v>9.7577944954086501E-4</v>
      </c>
      <c r="AF35" s="15">
        <v>1.6477385941760601E-4</v>
      </c>
      <c r="AG35" s="15">
        <v>4.1029201592122602E-4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0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2.2066527748765782E-3</v>
      </c>
      <c r="BE35" s="29">
        <f t="shared" si="22"/>
        <v>0</v>
      </c>
      <c r="BF35" s="29">
        <f t="shared" si="23"/>
        <v>2.2066527748765782E-3</v>
      </c>
      <c r="BH35" s="29"/>
    </row>
    <row r="36" spans="1:124" x14ac:dyDescent="0.25">
      <c r="A36" s="1">
        <v>46076</v>
      </c>
      <c r="B36" s="33">
        <v>20.99</v>
      </c>
      <c r="C36" s="33">
        <v>26.25</v>
      </c>
      <c r="D36" s="15">
        <v>-2.3792540369675201E-3</v>
      </c>
      <c r="E36" s="15">
        <v>1.9065782705816601E-3</v>
      </c>
      <c r="F36" s="33">
        <v>6.6970000000000002E-2</v>
      </c>
      <c r="G36" s="33">
        <v>0.1353</v>
      </c>
      <c r="H36" s="33">
        <v>0</v>
      </c>
      <c r="I36" s="33">
        <v>9.9039000000000002E-2</v>
      </c>
      <c r="J36" s="33">
        <v>0.1353</v>
      </c>
      <c r="K36" s="33">
        <v>9.9039000000000002E-2</v>
      </c>
      <c r="L36" s="33">
        <v>21.125299999999999</v>
      </c>
      <c r="M36" s="33">
        <v>26.349039000000001</v>
      </c>
      <c r="N36" s="34">
        <v>1.25059552167698</v>
      </c>
      <c r="O36" s="34">
        <v>1.2477004313447799</v>
      </c>
      <c r="P36" s="34">
        <v>1.24593394282228</v>
      </c>
      <c r="Q36" s="34">
        <v>1.24713085666299</v>
      </c>
      <c r="R36" s="33">
        <v>26.1892320539271</v>
      </c>
      <c r="S36" s="33">
        <v>26.141838680569101</v>
      </c>
      <c r="T36" s="33">
        <v>26.178041245631601</v>
      </c>
      <c r="U36" s="15">
        <v>-2.3176530583705699E-3</v>
      </c>
      <c r="V36" s="15">
        <v>-4.1289435842500099E-3</v>
      </c>
      <c r="W36" s="15">
        <v>-2.7450500855856598E-3</v>
      </c>
      <c r="X36" s="34">
        <v>1.24727407421433</v>
      </c>
      <c r="Y36" s="34">
        <v>1.2471244094690801</v>
      </c>
      <c r="Z36" s="34">
        <v>1.2461982290498701</v>
      </c>
      <c r="AA36" s="34">
        <v>1.2464043854278599</v>
      </c>
      <c r="AB36" s="33">
        <v>26.345877287357101</v>
      </c>
      <c r="AC36" s="33">
        <v>26.324353443810502</v>
      </c>
      <c r="AD36" s="33">
        <v>26.330610362082901</v>
      </c>
      <c r="AE36" s="15">
        <v>-1.2000067062972201E-4</v>
      </c>
      <c r="AF36" s="15">
        <v>-9.3730655465589104E-4</v>
      </c>
      <c r="AG36" s="15">
        <v>-6.99649253249094E-4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2.2066527748765782E-3</v>
      </c>
      <c r="BE36" s="29">
        <f t="shared" si="22"/>
        <v>0</v>
      </c>
      <c r="BF36" s="29">
        <f t="shared" si="23"/>
        <v>2.2066527748765782E-3</v>
      </c>
      <c r="BH36" s="29"/>
    </row>
    <row r="37" spans="1:124" x14ac:dyDescent="0.25">
      <c r="A37" s="1">
        <v>46077</v>
      </c>
      <c r="B37" s="33">
        <v>20.98</v>
      </c>
      <c r="C37" s="33">
        <v>26.22</v>
      </c>
      <c r="D37" s="15">
        <v>-4.7653086439036502E-4</v>
      </c>
      <c r="E37" s="15">
        <v>-1.14351070207904E-3</v>
      </c>
      <c r="F37" s="33">
        <v>0</v>
      </c>
      <c r="G37" s="33">
        <v>0.1353</v>
      </c>
      <c r="H37" s="33">
        <v>0</v>
      </c>
      <c r="I37" s="33">
        <v>9.9039000000000002E-2</v>
      </c>
      <c r="J37" s="33">
        <v>0.1353</v>
      </c>
      <c r="K37" s="33">
        <v>9.9039000000000002E-2</v>
      </c>
      <c r="L37" s="33">
        <v>21.115300000000001</v>
      </c>
      <c r="M37" s="33">
        <v>26.319039</v>
      </c>
      <c r="N37" s="34">
        <v>1.24976167778836</v>
      </c>
      <c r="O37" s="34">
        <v>1.2477004313447799</v>
      </c>
      <c r="P37" s="34">
        <v>1.2463419724053399</v>
      </c>
      <c r="Q37" s="34">
        <v>1.2471129280463999</v>
      </c>
      <c r="R37" s="33">
        <v>26.1767550496136</v>
      </c>
      <c r="S37" s="33">
        <v>26.139694120411502</v>
      </c>
      <c r="T37" s="33">
        <v>26.164805372789601</v>
      </c>
      <c r="U37" s="15">
        <v>-1.6506732206820101E-3</v>
      </c>
      <c r="V37" s="15">
        <v>-3.06747179893149E-3</v>
      </c>
      <c r="W37" s="15">
        <v>-2.10727699539565E-3</v>
      </c>
      <c r="X37" s="34">
        <v>1.2464440003220401</v>
      </c>
      <c r="Y37" s="34">
        <v>1.2471244094690801</v>
      </c>
      <c r="Z37" s="34">
        <v>1.2462079069402301</v>
      </c>
      <c r="AA37" s="34">
        <v>1.24642533697393</v>
      </c>
      <c r="AB37" s="33">
        <v>26.3334060432624</v>
      </c>
      <c r="AC37" s="33">
        <v>26.313849465856801</v>
      </c>
      <c r="AD37" s="33">
        <v>26.318202519625</v>
      </c>
      <c r="AE37" s="15">
        <v>5.4573129917294405E-4</v>
      </c>
      <c r="AF37" s="15">
        <v>-1.9719739163809701E-4</v>
      </c>
      <c r="AG37" s="15">
        <v>-3.1782834772631203E-5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2.2066527748765782E-3</v>
      </c>
      <c r="BE37" s="29">
        <f t="shared" si="22"/>
        <v>0</v>
      </c>
      <c r="BF37" s="29">
        <f t="shared" si="23"/>
        <v>2.2066527748765782E-3</v>
      </c>
      <c r="BH37" s="29"/>
    </row>
    <row r="38" spans="1:124" x14ac:dyDescent="0.25">
      <c r="A38" s="1">
        <v>46078</v>
      </c>
      <c r="B38" s="33">
        <v>20.97</v>
      </c>
      <c r="C38" s="33">
        <v>26.21</v>
      </c>
      <c r="D38" s="15">
        <v>-4.7675805432262998E-4</v>
      </c>
      <c r="E38" s="15">
        <v>-3.8146100023875301E-4</v>
      </c>
      <c r="F38" s="33">
        <v>0</v>
      </c>
      <c r="G38" s="33">
        <v>0.1353</v>
      </c>
      <c r="H38" s="33">
        <v>0</v>
      </c>
      <c r="I38" s="33">
        <v>9.9039000000000002E-2</v>
      </c>
      <c r="J38" s="33">
        <v>0.1353</v>
      </c>
      <c r="K38" s="33">
        <v>9.9039000000000002E-2</v>
      </c>
      <c r="L38" s="33">
        <v>21.1053</v>
      </c>
      <c r="M38" s="33">
        <v>26.309038999999999</v>
      </c>
      <c r="N38" s="34">
        <v>1.2498807820696201</v>
      </c>
      <c r="O38" s="34">
        <v>1.2477004313447799</v>
      </c>
      <c r="P38" s="34">
        <v>1.2469643253849201</v>
      </c>
      <c r="Q38" s="34">
        <v>1.24704076589807</v>
      </c>
      <c r="R38" s="33">
        <v>26.1642780453002</v>
      </c>
      <c r="S38" s="33">
        <v>26.135791161339998</v>
      </c>
      <c r="T38" s="33">
        <v>26.151958101133001</v>
      </c>
      <c r="U38" s="15">
        <v>-1.7459702747658699E-3</v>
      </c>
      <c r="V38" s="15">
        <v>-2.8353335283693398E-3</v>
      </c>
      <c r="W38" s="15">
        <v>-2.2169500432811101E-3</v>
      </c>
      <c r="X38" s="34">
        <v>1.24656076909591</v>
      </c>
      <c r="Y38" s="34">
        <v>1.2471244094690801</v>
      </c>
      <c r="Z38" s="34">
        <v>1.2464311736020599</v>
      </c>
      <c r="AA38" s="34">
        <v>1.2463923321013499</v>
      </c>
      <c r="AB38" s="33">
        <v>26.320934799167699</v>
      </c>
      <c r="AC38" s="33">
        <v>26.301591738345699</v>
      </c>
      <c r="AD38" s="33">
        <v>26.3061806644359</v>
      </c>
      <c r="AE38" s="15">
        <v>4.5205416273817099E-4</v>
      </c>
      <c r="AF38" s="15">
        <v>-2.83108626505153E-4</v>
      </c>
      <c r="AG38" s="15">
        <v>-1.08650522989764E-4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2.2066527748765782E-3</v>
      </c>
      <c r="BE38" s="29">
        <f t="shared" si="22"/>
        <v>0</v>
      </c>
      <c r="BF38" s="29">
        <f t="shared" si="23"/>
        <v>2.2066527748765782E-3</v>
      </c>
      <c r="BH38" s="29"/>
    </row>
    <row r="39" spans="1:124" x14ac:dyDescent="0.25">
      <c r="A39" s="1">
        <v>46079</v>
      </c>
      <c r="B39" s="33">
        <v>20.99</v>
      </c>
      <c r="C39" s="33">
        <v>26.25</v>
      </c>
      <c r="D39" s="15">
        <v>9.5328891871301002E-4</v>
      </c>
      <c r="E39" s="15">
        <v>1.5249717023176599E-3</v>
      </c>
      <c r="F39" s="33">
        <v>0</v>
      </c>
      <c r="G39" s="33">
        <v>0.1353</v>
      </c>
      <c r="H39" s="33">
        <v>0</v>
      </c>
      <c r="I39" s="33">
        <v>9.9039000000000002E-2</v>
      </c>
      <c r="J39" s="33">
        <v>0.1353</v>
      </c>
      <c r="K39" s="33">
        <v>9.9039000000000002E-2</v>
      </c>
      <c r="L39" s="33">
        <v>21.125299999999999</v>
      </c>
      <c r="M39" s="33">
        <v>26.349039000000001</v>
      </c>
      <c r="N39" s="34">
        <v>1.25059552167698</v>
      </c>
      <c r="O39" s="34">
        <v>1.2477004313447799</v>
      </c>
      <c r="P39" s="34">
        <v>1.24738341734169</v>
      </c>
      <c r="Q39" s="34">
        <v>1.2470464572035</v>
      </c>
      <c r="R39" s="33">
        <v>26.1892320539271</v>
      </c>
      <c r="S39" s="33">
        <v>26.173781189829501</v>
      </c>
      <c r="T39" s="33">
        <v>26.175385676200602</v>
      </c>
      <c r="U39" s="15">
        <v>-2.3176530583705699E-3</v>
      </c>
      <c r="V39" s="15">
        <v>-2.9077972685236301E-3</v>
      </c>
      <c r="W39" s="15">
        <v>-2.84649786424863E-3</v>
      </c>
      <c r="X39" s="34">
        <v>1.24727407421433</v>
      </c>
      <c r="Y39" s="34">
        <v>1.2471244094690801</v>
      </c>
      <c r="Z39" s="34">
        <v>1.24645183662487</v>
      </c>
      <c r="AA39" s="34">
        <v>1.2464370692890701</v>
      </c>
      <c r="AB39" s="33">
        <v>26.345877287357101</v>
      </c>
      <c r="AC39" s="33">
        <v>26.331232471695699</v>
      </c>
      <c r="AD39" s="33">
        <v>26.330411933340802</v>
      </c>
      <c r="AE39" s="15">
        <v>-1.2000067062972201E-4</v>
      </c>
      <c r="AF39" s="15">
        <v>-6.7602267357295997E-4</v>
      </c>
      <c r="AG39" s="15">
        <v>-7.0718532958979397E-4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2.2066527748765782E-3</v>
      </c>
      <c r="BE39" s="29">
        <f t="shared" si="22"/>
        <v>0</v>
      </c>
      <c r="BF39" s="29">
        <f t="shared" si="23"/>
        <v>2.2066527748765782E-3</v>
      </c>
      <c r="BH39" s="29"/>
    </row>
    <row r="40" spans="1:124" x14ac:dyDescent="0.25">
      <c r="A40" s="1">
        <v>46080</v>
      </c>
      <c r="B40" s="33">
        <v>21.02</v>
      </c>
      <c r="C40" s="33">
        <v>26.27</v>
      </c>
      <c r="D40" s="15">
        <v>1.42823161626358E-3</v>
      </c>
      <c r="E40" s="15">
        <v>7.6161465981572395E-4</v>
      </c>
      <c r="F40" s="33">
        <v>0</v>
      </c>
      <c r="G40" s="33">
        <v>0.1353</v>
      </c>
      <c r="H40" s="33">
        <v>0</v>
      </c>
      <c r="I40" s="33">
        <v>9.9039000000000002E-2</v>
      </c>
      <c r="J40" s="33">
        <v>0.1353</v>
      </c>
      <c r="K40" s="33">
        <v>9.9039000000000002E-2</v>
      </c>
      <c r="L40" s="33">
        <v>21.1553</v>
      </c>
      <c r="M40" s="33">
        <v>26.369039000000001</v>
      </c>
      <c r="N40" s="34">
        <v>1.2497621313035201</v>
      </c>
      <c r="O40" s="34">
        <v>1.2477004313447799</v>
      </c>
      <c r="P40" s="34">
        <v>1.2477890197850201</v>
      </c>
      <c r="Q40" s="34">
        <v>1.24699243569935</v>
      </c>
      <c r="R40" s="33">
        <v>26.226663066867399</v>
      </c>
      <c r="S40" s="33">
        <v>26.2199994325224</v>
      </c>
      <c r="T40" s="33">
        <v>26.212916530417701</v>
      </c>
      <c r="U40" s="15">
        <v>-1.65103610192284E-3</v>
      </c>
      <c r="V40" s="15">
        <v>-1.90514700482372E-3</v>
      </c>
      <c r="W40" s="15">
        <v>-2.1753170694742601E-3</v>
      </c>
      <c r="X40" s="34">
        <v>1.2464507239320599</v>
      </c>
      <c r="Y40" s="34">
        <v>1.2471244094690801</v>
      </c>
      <c r="Z40" s="34">
        <v>1.24646010238626</v>
      </c>
      <c r="AA40" s="34">
        <v>1.2464225564035301</v>
      </c>
      <c r="AB40" s="33">
        <v>26.383291019641199</v>
      </c>
      <c r="AC40" s="33">
        <v>26.3690625393502</v>
      </c>
      <c r="AD40" s="33">
        <v>26.368750131931101</v>
      </c>
      <c r="AE40" s="15">
        <v>5.4033708018918103E-4</v>
      </c>
      <c r="AF40" s="15">
        <v>8.9268857163120904E-7</v>
      </c>
      <c r="AG40" s="15">
        <v>-1.09548797389303E-5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2.2066527748765782E-3</v>
      </c>
      <c r="BE40" s="29">
        <f t="shared" si="22"/>
        <v>0</v>
      </c>
      <c r="BF40" s="29">
        <f t="shared" si="23"/>
        <v>2.2066527748765782E-3</v>
      </c>
      <c r="BH40" s="29"/>
    </row>
    <row r="41" spans="1:124" x14ac:dyDescent="0.25">
      <c r="A41" s="1">
        <v>46083</v>
      </c>
      <c r="B41" s="33">
        <v>20.93</v>
      </c>
      <c r="C41" s="33">
        <v>26.07</v>
      </c>
      <c r="D41" s="15">
        <v>-4.2908289908967501E-3</v>
      </c>
      <c r="E41" s="15">
        <v>-7.6423757520381304E-3</v>
      </c>
      <c r="F41" s="33">
        <v>0</v>
      </c>
      <c r="G41" s="33">
        <v>0.1353</v>
      </c>
      <c r="H41" s="33">
        <v>0.101322</v>
      </c>
      <c r="I41" s="33">
        <v>0.20036100000000001</v>
      </c>
      <c r="J41" s="33">
        <v>0.1353</v>
      </c>
      <c r="K41" s="33">
        <v>0.20036100000000001</v>
      </c>
      <c r="L41" s="33">
        <v>21.065300000000001</v>
      </c>
      <c r="M41" s="33">
        <v>26.270361000000001</v>
      </c>
      <c r="N41" s="34">
        <v>1.24558050645007</v>
      </c>
      <c r="O41" s="34">
        <v>1.2477004313447799</v>
      </c>
      <c r="P41" s="34">
        <v>1.2477514472140401</v>
      </c>
      <c r="Q41" s="34">
        <v>1.2466931477688401</v>
      </c>
      <c r="R41" s="33">
        <v>26.114370028046402</v>
      </c>
      <c r="S41" s="33">
        <v>26.116224184100499</v>
      </c>
      <c r="T41" s="33">
        <v>26.0995516791874</v>
      </c>
      <c r="U41" s="15">
        <v>1.7005106592184801E-3</v>
      </c>
      <c r="V41" s="15">
        <v>1.77150950894764E-3</v>
      </c>
      <c r="W41" s="15">
        <v>1.13290919308401E-3</v>
      </c>
      <c r="X41" s="34">
        <v>1.24709171006346</v>
      </c>
      <c r="Y41" s="34">
        <v>1.2471244094690801</v>
      </c>
      <c r="Z41" s="34">
        <v>1.24650772361603</v>
      </c>
      <c r="AA41" s="34">
        <v>1.24640422342573</v>
      </c>
      <c r="AB41" s="33">
        <v>26.271049822788999</v>
      </c>
      <c r="AC41" s="33">
        <v>26.257055994797401</v>
      </c>
      <c r="AD41" s="33">
        <v>26.256265077407299</v>
      </c>
      <c r="AE41" s="15">
        <v>2.6220186259800701E-5</v>
      </c>
      <c r="AF41" s="15">
        <v>-5.0659279470765205E-4</v>
      </c>
      <c r="AG41" s="15">
        <v>-5.3671533786701995E-4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2.2066527748765782E-3</v>
      </c>
      <c r="BE41" s="29">
        <f t="shared" si="22"/>
        <v>0</v>
      </c>
      <c r="BF41" s="29">
        <f t="shared" si="23"/>
        <v>2.2066527748765782E-3</v>
      </c>
      <c r="BH41" s="29"/>
    </row>
    <row r="42" spans="1:124" x14ac:dyDescent="0.25">
      <c r="A42" s="1">
        <v>46084</v>
      </c>
      <c r="B42" s="33">
        <v>20.93</v>
      </c>
      <c r="C42" s="33">
        <v>26.07</v>
      </c>
      <c r="D42" s="15">
        <v>0</v>
      </c>
      <c r="E42" s="15">
        <v>0</v>
      </c>
      <c r="F42" s="33">
        <v>0</v>
      </c>
      <c r="G42" s="33">
        <v>0.1353</v>
      </c>
      <c r="H42" s="33">
        <v>0</v>
      </c>
      <c r="I42" s="33">
        <v>0.20036100000000001</v>
      </c>
      <c r="J42" s="33">
        <v>0.1353</v>
      </c>
      <c r="K42" s="33">
        <v>0.20036100000000001</v>
      </c>
      <c r="L42" s="33">
        <v>21.065300000000001</v>
      </c>
      <c r="M42" s="33">
        <v>26.270361000000001</v>
      </c>
      <c r="N42" s="34">
        <v>1.24558050645007</v>
      </c>
      <c r="O42" s="34">
        <v>1.2477004313447799</v>
      </c>
      <c r="P42" s="34">
        <v>1.24772557013675</v>
      </c>
      <c r="Q42" s="34">
        <v>1.2466770911241301</v>
      </c>
      <c r="R42" s="33">
        <v>26.114370028046402</v>
      </c>
      <c r="S42" s="33">
        <v>26.115437790189901</v>
      </c>
      <c r="T42" s="33">
        <v>26.093287582801899</v>
      </c>
      <c r="U42" s="15">
        <v>1.7005106592184801E-3</v>
      </c>
      <c r="V42" s="15">
        <v>1.7413977383895899E-3</v>
      </c>
      <c r="W42" s="15">
        <v>8.9287257104164795E-4</v>
      </c>
      <c r="X42" s="34">
        <v>1.24709171006346</v>
      </c>
      <c r="Y42" s="34">
        <v>1.2471244094690801</v>
      </c>
      <c r="Z42" s="34">
        <v>1.2465670337092101</v>
      </c>
      <c r="AA42" s="34">
        <v>1.24643031115902</v>
      </c>
      <c r="AB42" s="33">
        <v>26.271049822788999</v>
      </c>
      <c r="AC42" s="33">
        <v>26.258059150288801</v>
      </c>
      <c r="AD42" s="33">
        <v>26.255878887729999</v>
      </c>
      <c r="AE42" s="15">
        <v>2.6220186259800701E-5</v>
      </c>
      <c r="AF42" s="15">
        <v>-4.6838834676130801E-4</v>
      </c>
      <c r="AG42" s="15">
        <v>-5.5142392327585399E-4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2.2066527748765782E-3</v>
      </c>
      <c r="BE42" s="29">
        <f t="shared" si="22"/>
        <v>0</v>
      </c>
      <c r="BF42" s="29">
        <f t="shared" si="23"/>
        <v>2.2066527748765782E-3</v>
      </c>
      <c r="BH42" s="29"/>
    </row>
    <row r="43" spans="1:124" x14ac:dyDescent="0.25">
      <c r="A43" s="1">
        <v>46085</v>
      </c>
      <c r="B43" s="33">
        <v>20.94</v>
      </c>
      <c r="C43" s="33">
        <v>26.07</v>
      </c>
      <c r="D43" s="15">
        <v>4.7766898448252599E-4</v>
      </c>
      <c r="E43" s="15">
        <v>0</v>
      </c>
      <c r="F43" s="33">
        <v>0</v>
      </c>
      <c r="G43" s="33">
        <v>0.1353</v>
      </c>
      <c r="H43" s="33">
        <v>0</v>
      </c>
      <c r="I43" s="33">
        <v>0.20036100000000001</v>
      </c>
      <c r="J43" s="33">
        <v>0.1353</v>
      </c>
      <c r="K43" s="33">
        <v>0.20036100000000001</v>
      </c>
      <c r="L43" s="33">
        <v>21.075299999999999</v>
      </c>
      <c r="M43" s="33">
        <v>26.270361000000001</v>
      </c>
      <c r="N43" s="34">
        <v>1.24498567335243</v>
      </c>
      <c r="O43" s="34">
        <v>1.2477004313447799</v>
      </c>
      <c r="P43" s="34">
        <v>1.2477236617345999</v>
      </c>
      <c r="Q43" s="34">
        <v>1.24663129282454</v>
      </c>
      <c r="R43" s="33">
        <v>26.126847032359802</v>
      </c>
      <c r="S43" s="33">
        <v>26.127373438663501</v>
      </c>
      <c r="T43" s="33">
        <v>26.105418288139301</v>
      </c>
      <c r="U43" s="15">
        <v>2.1781796437011398E-3</v>
      </c>
      <c r="V43" s="15">
        <v>2.1983275398499299E-3</v>
      </c>
      <c r="W43" s="15">
        <v>1.35766208463041E-3</v>
      </c>
      <c r="X43" s="34">
        <v>1.24649997864799</v>
      </c>
      <c r="Y43" s="34">
        <v>1.2471244094690801</v>
      </c>
      <c r="Z43" s="34">
        <v>1.246650320981</v>
      </c>
      <c r="AA43" s="34">
        <v>1.2464268123215301</v>
      </c>
      <c r="AB43" s="33">
        <v>26.283521066883701</v>
      </c>
      <c r="AC43" s="33">
        <v>26.271774205531798</v>
      </c>
      <c r="AD43" s="33">
        <v>26.2688927367697</v>
      </c>
      <c r="AE43" s="15">
        <v>5.0082188569948503E-4</v>
      </c>
      <c r="AF43" s="15">
        <v>5.3793228108697998E-5</v>
      </c>
      <c r="AG43" s="15">
        <v>-5.5892047421089299E-5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2.2066527748765782E-3</v>
      </c>
      <c r="BE43" s="29">
        <f t="shared" si="22"/>
        <v>0</v>
      </c>
      <c r="BF43" s="29">
        <f t="shared" si="23"/>
        <v>2.2066527748765782E-3</v>
      </c>
      <c r="BH43" s="29"/>
    </row>
    <row r="44" spans="1:124" x14ac:dyDescent="0.25">
      <c r="A44" s="1">
        <v>46086</v>
      </c>
      <c r="B44" s="33">
        <v>20.88</v>
      </c>
      <c r="C44" s="33">
        <v>25.97</v>
      </c>
      <c r="D44" s="15">
        <v>-2.8694424279529299E-3</v>
      </c>
      <c r="E44" s="15">
        <v>-3.84320227075328E-3</v>
      </c>
      <c r="F44" s="33">
        <v>0</v>
      </c>
      <c r="G44" s="33">
        <v>0.1353</v>
      </c>
      <c r="H44" s="33">
        <v>0</v>
      </c>
      <c r="I44" s="33">
        <v>0.20036100000000001</v>
      </c>
      <c r="J44" s="33">
        <v>0.1353</v>
      </c>
      <c r="K44" s="33">
        <v>0.20036100000000001</v>
      </c>
      <c r="L44" s="33">
        <v>21.0153</v>
      </c>
      <c r="M44" s="33">
        <v>26.170361</v>
      </c>
      <c r="N44" s="34">
        <v>1.24377394636015</v>
      </c>
      <c r="O44" s="34">
        <v>1.2477004313447799</v>
      </c>
      <c r="P44" s="34">
        <v>1.24757634154171</v>
      </c>
      <c r="Q44" s="34">
        <v>1.2465130403356</v>
      </c>
      <c r="R44" s="33">
        <v>26.0519850064792</v>
      </c>
      <c r="S44" s="33">
        <v>26.0524700570184</v>
      </c>
      <c r="T44" s="33">
        <v>26.029661394176401</v>
      </c>
      <c r="U44" s="15">
        <v>3.1519394865015499E-3</v>
      </c>
      <c r="V44" s="15">
        <v>3.1705578767599199E-3</v>
      </c>
      <c r="W44" s="15">
        <v>2.2946849558701998E-3</v>
      </c>
      <c r="X44" s="34">
        <v>1.24530037639243</v>
      </c>
      <c r="Y44" s="34">
        <v>1.2471244094690801</v>
      </c>
      <c r="Z44" s="34">
        <v>1.24658955015742</v>
      </c>
      <c r="AA44" s="34">
        <v>1.2463514723918001</v>
      </c>
      <c r="AB44" s="33">
        <v>26.208693602315499</v>
      </c>
      <c r="AC44" s="33">
        <v>26.198730490511998</v>
      </c>
      <c r="AD44" s="33">
        <v>26.194033388980799</v>
      </c>
      <c r="AE44" s="15">
        <v>1.4636617422726401E-3</v>
      </c>
      <c r="AF44" s="15">
        <v>1.0834441644766101E-3</v>
      </c>
      <c r="AG44" s="15">
        <v>9.0414071888532898E-4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2.2066527748765782E-3</v>
      </c>
      <c r="BE44" s="29">
        <f t="shared" si="22"/>
        <v>0</v>
      </c>
      <c r="BF44" s="29">
        <f t="shared" si="23"/>
        <v>2.2066527748765782E-3</v>
      </c>
      <c r="BH44" s="29"/>
    </row>
    <row r="45" spans="1:124" x14ac:dyDescent="0.25">
      <c r="A45" s="1">
        <v>46087</v>
      </c>
      <c r="B45" s="33">
        <v>20.81</v>
      </c>
      <c r="C45" s="33">
        <v>25.91</v>
      </c>
      <c r="D45" s="15">
        <v>-3.3581226088948801E-3</v>
      </c>
      <c r="E45" s="15">
        <v>-2.3130311006384001E-3</v>
      </c>
      <c r="F45" s="33">
        <v>0</v>
      </c>
      <c r="G45" s="33">
        <v>0.1353</v>
      </c>
      <c r="H45" s="33">
        <v>0</v>
      </c>
      <c r="I45" s="33">
        <v>0.20036100000000001</v>
      </c>
      <c r="J45" s="33">
        <v>0.1353</v>
      </c>
      <c r="K45" s="33">
        <v>0.20036100000000001</v>
      </c>
      <c r="L45" s="33">
        <v>20.9453</v>
      </c>
      <c r="M45" s="33">
        <v>26.110361000000001</v>
      </c>
      <c r="N45" s="34">
        <v>1.24507448342143</v>
      </c>
      <c r="O45" s="34">
        <v>1.2477004313447799</v>
      </c>
      <c r="P45" s="34">
        <v>1.2475590750549601</v>
      </c>
      <c r="Q45" s="34">
        <v>1.24650080195266</v>
      </c>
      <c r="R45" s="33">
        <v>25.964645976284999</v>
      </c>
      <c r="S45" s="33">
        <v>25.9620636674831</v>
      </c>
      <c r="T45" s="33">
        <v>25.939936369383801</v>
      </c>
      <c r="U45" s="15">
        <v>2.1068479782450902E-3</v>
      </c>
      <c r="V45" s="15">
        <v>2.0073882273104098E-3</v>
      </c>
      <c r="W45" s="15">
        <v>1.1547313191296901E-3</v>
      </c>
      <c r="X45" s="34">
        <v>1.2465976137844701</v>
      </c>
      <c r="Y45" s="34">
        <v>1.2471244094690801</v>
      </c>
      <c r="Z45" s="34">
        <v>1.2466585030730499</v>
      </c>
      <c r="AA45" s="34">
        <v>1.24638202342167</v>
      </c>
      <c r="AB45" s="33">
        <v>26.121394893652699</v>
      </c>
      <c r="AC45" s="33">
        <v>26.110192104912301</v>
      </c>
      <c r="AD45" s="33">
        <v>26.105205494688001</v>
      </c>
      <c r="AE45" s="15">
        <v>4.2249752580889803E-4</v>
      </c>
      <c r="AF45" s="15">
        <v>-6.4685292530815999E-6</v>
      </c>
      <c r="AG45" s="15">
        <v>-1.9747005250789101E-4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2.2066527748765782E-3</v>
      </c>
      <c r="BE45" s="29">
        <f t="shared" si="22"/>
        <v>0</v>
      </c>
      <c r="BF45" s="29">
        <f t="shared" si="23"/>
        <v>2.2066527748765782E-3</v>
      </c>
      <c r="BH45" s="29"/>
    </row>
    <row r="46" spans="1:124" x14ac:dyDescent="0.25">
      <c r="A46" s="1">
        <v>46090</v>
      </c>
      <c r="B46" s="33">
        <v>20.91</v>
      </c>
      <c r="C46" s="33">
        <v>26.05</v>
      </c>
      <c r="D46" s="15">
        <v>4.7938730349992202E-3</v>
      </c>
      <c r="E46" s="15">
        <v>5.3887736253572698E-3</v>
      </c>
      <c r="F46" s="33">
        <v>0</v>
      </c>
      <c r="G46" s="33">
        <v>0.1353</v>
      </c>
      <c r="H46" s="33">
        <v>0</v>
      </c>
      <c r="I46" s="33">
        <v>0.20036100000000001</v>
      </c>
      <c r="J46" s="33">
        <v>0.1353</v>
      </c>
      <c r="K46" s="33">
        <v>0.20036100000000001</v>
      </c>
      <c r="L46" s="33">
        <v>21.045300000000001</v>
      </c>
      <c r="M46" s="33">
        <v>26.250361000000002</v>
      </c>
      <c r="N46" s="34">
        <v>1.2458153993304599</v>
      </c>
      <c r="O46" s="34">
        <v>1.2477004313447799</v>
      </c>
      <c r="P46" s="34">
        <v>1.2470810628203099</v>
      </c>
      <c r="Q46" s="34">
        <v>1.24650750282129</v>
      </c>
      <c r="R46" s="33">
        <v>26.089416019419499</v>
      </c>
      <c r="S46" s="33">
        <v>26.086460259399299</v>
      </c>
      <c r="T46" s="33">
        <v>26.064331768830201</v>
      </c>
      <c r="U46" s="15">
        <v>1.5119473878867399E-3</v>
      </c>
      <c r="V46" s="15">
        <v>1.3986475169813499E-3</v>
      </c>
      <c r="W46" s="15">
        <v>5.5001258598407399E-4</v>
      </c>
      <c r="X46" s="34">
        <v>1.2473265289637101</v>
      </c>
      <c r="Y46" s="34">
        <v>1.2471244094690801</v>
      </c>
      <c r="Z46" s="34">
        <v>1.2466637485479899</v>
      </c>
      <c r="AA46" s="34">
        <v>1.24643098879893</v>
      </c>
      <c r="AB46" s="33">
        <v>26.2461073345996</v>
      </c>
      <c r="AC46" s="33">
        <v>26.236302194723301</v>
      </c>
      <c r="AD46" s="33">
        <v>26.230483597516098</v>
      </c>
      <c r="AE46" s="15">
        <v>-1.6205529798903601E-4</v>
      </c>
      <c r="AF46" s="15">
        <v>-5.3570963582690403E-4</v>
      </c>
      <c r="AG46" s="15">
        <v>-7.5751080558460995E-4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2.2066527748765782E-3</v>
      </c>
      <c r="BE46" s="29">
        <f t="shared" si="22"/>
        <v>0</v>
      </c>
      <c r="BF46" s="29">
        <f t="shared" si="23"/>
        <v>2.2066527748765782E-3</v>
      </c>
      <c r="BH46" s="29"/>
    </row>
    <row r="47" spans="1:124" x14ac:dyDescent="0.25">
      <c r="A47" s="1">
        <v>46091</v>
      </c>
      <c r="B47" s="33">
        <v>20.8</v>
      </c>
      <c r="C47" s="33">
        <v>25.9</v>
      </c>
      <c r="D47" s="15">
        <v>-5.2745267332699004E-3</v>
      </c>
      <c r="E47" s="15">
        <v>-5.7747994938838997E-3</v>
      </c>
      <c r="F47" s="33">
        <v>0</v>
      </c>
      <c r="G47" s="33">
        <v>0.1353</v>
      </c>
      <c r="H47" s="33">
        <v>0</v>
      </c>
      <c r="I47" s="33">
        <v>0.20036100000000001</v>
      </c>
      <c r="J47" s="33">
        <v>0.1353</v>
      </c>
      <c r="K47" s="33">
        <v>0.20036100000000001</v>
      </c>
      <c r="L47" s="33">
        <v>20.935300000000002</v>
      </c>
      <c r="M47" s="33">
        <v>26.100360999999999</v>
      </c>
      <c r="N47" s="34">
        <v>1.2451923076922999</v>
      </c>
      <c r="O47" s="34">
        <v>1.2477004313447799</v>
      </c>
      <c r="P47" s="34">
        <v>1.2466241258107</v>
      </c>
      <c r="Q47" s="34">
        <v>1.2464830491080201</v>
      </c>
      <c r="R47" s="33">
        <v>25.952168971971599</v>
      </c>
      <c r="S47" s="33">
        <v>25.9392861066625</v>
      </c>
      <c r="T47" s="33">
        <v>25.927356058682999</v>
      </c>
      <c r="U47" s="15">
        <v>2.012220148501E-3</v>
      </c>
      <c r="V47" s="15">
        <v>1.5156888581650599E-3</v>
      </c>
      <c r="W47" s="15">
        <v>1.0556610756896499E-3</v>
      </c>
      <c r="X47" s="34">
        <v>1.24671540412604</v>
      </c>
      <c r="Y47" s="34">
        <v>1.2471244094690801</v>
      </c>
      <c r="Z47" s="34">
        <v>1.2466908889283901</v>
      </c>
      <c r="AA47" s="34">
        <v>1.2464493979343101</v>
      </c>
      <c r="AB47" s="33">
        <v>26.108923649558001</v>
      </c>
      <c r="AC47" s="33">
        <v>26.099279574976698</v>
      </c>
      <c r="AD47" s="33">
        <v>26.094406679802301</v>
      </c>
      <c r="AE47" s="15">
        <v>3.2801252467989499E-4</v>
      </c>
      <c r="AF47" s="15">
        <v>-4.1434194239416201E-5</v>
      </c>
      <c r="AG47" s="15">
        <v>-2.2815774408748601E-4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2.2066527748765782E-3</v>
      </c>
      <c r="BE47" s="29">
        <f t="shared" si="22"/>
        <v>0</v>
      </c>
      <c r="BF47" s="29">
        <f t="shared" si="23"/>
        <v>2.2066527748765782E-3</v>
      </c>
      <c r="BH47" s="29"/>
    </row>
    <row r="48" spans="1:124" x14ac:dyDescent="0.25">
      <c r="A48" s="1">
        <v>46092</v>
      </c>
      <c r="B48" s="33">
        <v>20.66</v>
      </c>
      <c r="C48" s="33">
        <v>25.73</v>
      </c>
      <c r="D48" s="15">
        <v>-6.7535230157797698E-3</v>
      </c>
      <c r="E48" s="15">
        <v>-6.58534241183922E-3</v>
      </c>
      <c r="F48" s="33">
        <v>0</v>
      </c>
      <c r="G48" s="33">
        <v>0.1353</v>
      </c>
      <c r="H48" s="33">
        <v>0</v>
      </c>
      <c r="I48" s="33">
        <v>0.20036100000000001</v>
      </c>
      <c r="J48" s="33">
        <v>0.1353</v>
      </c>
      <c r="K48" s="33">
        <v>0.20036100000000001</v>
      </c>
      <c r="L48" s="33">
        <v>20.795300000000001</v>
      </c>
      <c r="M48" s="33">
        <v>25.930361000000001</v>
      </c>
      <c r="N48" s="34">
        <v>1.2454017424975701</v>
      </c>
      <c r="O48" s="34">
        <v>1.2477004313447799</v>
      </c>
      <c r="P48" s="34">
        <v>1.2461762218535</v>
      </c>
      <c r="Q48" s="34">
        <v>1.2465702736192099</v>
      </c>
      <c r="R48" s="33">
        <v>25.7774909115833</v>
      </c>
      <c r="S48" s="33">
        <v>25.7552544392492</v>
      </c>
      <c r="T48" s="33">
        <v>25.7523397945718</v>
      </c>
      <c r="U48" s="15">
        <v>1.8440395445602699E-3</v>
      </c>
      <c r="V48" s="15">
        <v>9.8103589269347893E-4</v>
      </c>
      <c r="W48" s="15">
        <v>8.6786249665864103E-4</v>
      </c>
      <c r="X48" s="34">
        <v>1.24693373021788</v>
      </c>
      <c r="Y48" s="34">
        <v>1.2471244094690801</v>
      </c>
      <c r="Z48" s="34">
        <v>1.24672818504058</v>
      </c>
      <c r="AA48" s="34">
        <v>1.24657967932132</v>
      </c>
      <c r="AB48" s="33">
        <v>25.934326232232301</v>
      </c>
      <c r="AC48" s="33">
        <v>25.925311042532499</v>
      </c>
      <c r="AD48" s="33">
        <v>25.920289164863402</v>
      </c>
      <c r="AE48" s="15">
        <v>1.5290682164319501E-4</v>
      </c>
      <c r="AF48" s="15">
        <v>-1.94769724679455E-4</v>
      </c>
      <c r="AG48" s="15">
        <v>-3.8849407794154999E-4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2.2066527748765782E-3</v>
      </c>
      <c r="BE48" s="29">
        <f t="shared" si="22"/>
        <v>0</v>
      </c>
      <c r="BF48" s="29">
        <f t="shared" si="23"/>
        <v>2.2066527748765782E-3</v>
      </c>
      <c r="BH48" s="29"/>
    </row>
    <row r="49" spans="1:60" x14ac:dyDescent="0.25">
      <c r="A49" s="1">
        <v>46093</v>
      </c>
      <c r="B49" s="33">
        <v>20.55</v>
      </c>
      <c r="C49" s="33">
        <v>25.59</v>
      </c>
      <c r="D49" s="15">
        <v>-5.3385227492488904E-3</v>
      </c>
      <c r="E49" s="15">
        <v>-5.4559761219553603E-3</v>
      </c>
      <c r="F49" s="33">
        <v>0</v>
      </c>
      <c r="G49" s="33">
        <v>0.1353</v>
      </c>
      <c r="H49" s="33">
        <v>0</v>
      </c>
      <c r="I49" s="33">
        <v>0.20036100000000001</v>
      </c>
      <c r="J49" s="33">
        <v>0.1353</v>
      </c>
      <c r="K49" s="33">
        <v>0.20036100000000001</v>
      </c>
      <c r="L49" s="33">
        <v>20.685300000000002</v>
      </c>
      <c r="M49" s="33">
        <v>25.790361000000001</v>
      </c>
      <c r="N49" s="34">
        <v>1.2452554744525499</v>
      </c>
      <c r="O49" s="34">
        <v>1.2477004313447799</v>
      </c>
      <c r="P49" s="34">
        <v>1.2456422171310499</v>
      </c>
      <c r="Q49" s="34">
        <v>1.24651281723637</v>
      </c>
      <c r="R49" s="33">
        <v>25.6402438641354</v>
      </c>
      <c r="S49" s="33">
        <v>25.6089213590894</v>
      </c>
      <c r="T49" s="33">
        <v>25.617019122874801</v>
      </c>
      <c r="U49" s="15">
        <v>1.9614929172667101E-3</v>
      </c>
      <c r="V49" s="15">
        <v>7.3913119451036395E-4</v>
      </c>
      <c r="W49" s="15">
        <v>1.0552899131844201E-3</v>
      </c>
      <c r="X49" s="34">
        <v>1.2467965656770701</v>
      </c>
      <c r="Y49" s="34">
        <v>1.2471244094690801</v>
      </c>
      <c r="Z49" s="34">
        <v>1.24668043418686</v>
      </c>
      <c r="AA49" s="34">
        <v>1.2465661354058699</v>
      </c>
      <c r="AB49" s="33">
        <v>25.797142547190699</v>
      </c>
      <c r="AC49" s="33">
        <v>25.788946526019998</v>
      </c>
      <c r="AD49" s="33">
        <v>25.785874640665401</v>
      </c>
      <c r="AE49" s="15">
        <v>2.6291434023873502E-4</v>
      </c>
      <c r="AF49" s="15">
        <v>-5.4846567281527E-5</v>
      </c>
      <c r="AG49" s="15">
        <v>-1.7397001894942701E-4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2.2066527748765782E-3</v>
      </c>
      <c r="BE49" s="29">
        <f t="shared" si="22"/>
        <v>0</v>
      </c>
      <c r="BF49" s="29">
        <f t="shared" si="23"/>
        <v>2.2066527748765782E-3</v>
      </c>
      <c r="BH49" s="29"/>
    </row>
    <row r="50" spans="1:60" x14ac:dyDescent="0.25">
      <c r="A50" s="1">
        <v>46094</v>
      </c>
      <c r="B50" s="33">
        <v>20.48</v>
      </c>
      <c r="C50" s="33">
        <v>25.5</v>
      </c>
      <c r="D50" s="15">
        <v>-3.4121407709366402E-3</v>
      </c>
      <c r="E50" s="15">
        <v>-3.5231980073170098E-3</v>
      </c>
      <c r="F50" s="33">
        <v>0</v>
      </c>
      <c r="G50" s="33">
        <v>0.1353</v>
      </c>
      <c r="H50" s="33">
        <v>0</v>
      </c>
      <c r="I50" s="33">
        <v>0.20036100000000001</v>
      </c>
      <c r="J50" s="33">
        <v>0.1353</v>
      </c>
      <c r="K50" s="33">
        <v>0.20036100000000001</v>
      </c>
      <c r="L50" s="33">
        <v>20.615300000000001</v>
      </c>
      <c r="M50" s="33">
        <v>25.700361000000001</v>
      </c>
      <c r="N50" s="34">
        <v>1.2451171875</v>
      </c>
      <c r="O50" s="34">
        <v>1.2477004313447799</v>
      </c>
      <c r="P50" s="34">
        <v>1.2451777227506999</v>
      </c>
      <c r="Q50" s="34">
        <v>1.24648337126786</v>
      </c>
      <c r="R50" s="33">
        <v>25.552904833941199</v>
      </c>
      <c r="S50" s="33">
        <v>25.510752606844001</v>
      </c>
      <c r="T50" s="33">
        <v>25.528582497000901</v>
      </c>
      <c r="U50" s="15">
        <v>2.07255015364712E-3</v>
      </c>
      <c r="V50" s="15">
        <v>4.21581978459264E-4</v>
      </c>
      <c r="W50" s="15">
        <v>1.1202545158628899E-3</v>
      </c>
      <c r="X50" s="34">
        <v>1.246664419145</v>
      </c>
      <c r="Y50" s="34">
        <v>1.2471244094690801</v>
      </c>
      <c r="Z50" s="34">
        <v>1.2467018037081501</v>
      </c>
      <c r="AA50" s="34">
        <v>1.2465809530472101</v>
      </c>
      <c r="AB50" s="33">
        <v>25.709843838527899</v>
      </c>
      <c r="AC50" s="33">
        <v>25.7006911548924</v>
      </c>
      <c r="AD50" s="33">
        <v>25.698334851232602</v>
      </c>
      <c r="AE50" s="15">
        <v>3.6890880576207602E-4</v>
      </c>
      <c r="AF50" s="15">
        <v>1.28462309074004E-5</v>
      </c>
      <c r="AG50" s="15">
        <v>-7.8840473862463805E-5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2.2066527748765782E-3</v>
      </c>
      <c r="BE50" s="29">
        <f t="shared" si="22"/>
        <v>0</v>
      </c>
      <c r="BF50" s="29">
        <f t="shared" si="23"/>
        <v>2.2066527748765782E-3</v>
      </c>
      <c r="BH50" s="29"/>
    </row>
    <row r="51" spans="1:60" x14ac:dyDescent="0.25">
      <c r="A51" s="1">
        <v>46097</v>
      </c>
      <c r="B51" s="33">
        <v>20.58</v>
      </c>
      <c r="C51" s="33">
        <v>25.6</v>
      </c>
      <c r="D51" s="15">
        <v>4.8709302345965096E-3</v>
      </c>
      <c r="E51" s="15">
        <v>3.9138993211363096E-3</v>
      </c>
      <c r="F51" s="33">
        <v>0</v>
      </c>
      <c r="G51" s="33">
        <v>0.1353</v>
      </c>
      <c r="H51" s="33">
        <v>0</v>
      </c>
      <c r="I51" s="33">
        <v>0.20036100000000001</v>
      </c>
      <c r="J51" s="33">
        <v>0.1353</v>
      </c>
      <c r="K51" s="33">
        <v>0.20036100000000001</v>
      </c>
      <c r="L51" s="33">
        <v>20.715299999999999</v>
      </c>
      <c r="M51" s="33">
        <v>25.800360999999999</v>
      </c>
      <c r="N51" s="34">
        <v>1.24392614188532</v>
      </c>
      <c r="O51" s="34">
        <v>1.2477004313447799</v>
      </c>
      <c r="P51" s="34">
        <v>1.2450122862942301</v>
      </c>
      <c r="Q51" s="34">
        <v>1.24638186675413</v>
      </c>
      <c r="R51" s="33">
        <v>25.677674877075699</v>
      </c>
      <c r="S51" s="33">
        <v>25.625757534209502</v>
      </c>
      <c r="T51" s="33">
        <v>25.652627780692601</v>
      </c>
      <c r="U51" s="15">
        <v>3.0295810671073001E-3</v>
      </c>
      <c r="V51" s="15">
        <v>1.0056478467153E-3</v>
      </c>
      <c r="W51" s="15">
        <v>2.0536624742228601E-3</v>
      </c>
      <c r="X51" s="34">
        <v>1.2454736837023801</v>
      </c>
      <c r="Y51" s="34">
        <v>1.2471244094690801</v>
      </c>
      <c r="Z51" s="34">
        <v>1.24654000107204</v>
      </c>
      <c r="AA51" s="34">
        <v>1.24652386234404</v>
      </c>
      <c r="AB51" s="33">
        <v>25.8345562794748</v>
      </c>
      <c r="AC51" s="33">
        <v>25.825801874355498</v>
      </c>
      <c r="AD51" s="33">
        <v>25.823298416658901</v>
      </c>
      <c r="AE51" s="15">
        <v>1.32450234359202E-3</v>
      </c>
      <c r="AF51" s="15">
        <v>9.8558075977332998E-4</v>
      </c>
      <c r="AG51" s="15">
        <v>8.8863976043333196E-4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2.2066527748765782E-3</v>
      </c>
      <c r="BE51" s="29">
        <f t="shared" si="22"/>
        <v>0</v>
      </c>
      <c r="BF51" s="29">
        <f t="shared" si="23"/>
        <v>2.2066527748765782E-3</v>
      </c>
      <c r="BH51" s="29"/>
    </row>
    <row r="52" spans="1:60" x14ac:dyDescent="0.25">
      <c r="A52" s="1">
        <v>46098</v>
      </c>
      <c r="B52" s="33">
        <v>20.7</v>
      </c>
      <c r="C52" s="33">
        <v>25.75</v>
      </c>
      <c r="D52" s="15">
        <v>5.81396986541981E-3</v>
      </c>
      <c r="E52" s="15">
        <v>5.84227562422836E-3</v>
      </c>
      <c r="F52" s="33">
        <v>0</v>
      </c>
      <c r="G52" s="33">
        <v>0.1353</v>
      </c>
      <c r="H52" s="33">
        <v>0</v>
      </c>
      <c r="I52" s="33">
        <v>0.20036100000000001</v>
      </c>
      <c r="J52" s="33">
        <v>0.1353</v>
      </c>
      <c r="K52" s="33">
        <v>0.20036100000000001</v>
      </c>
      <c r="L52" s="33">
        <v>20.8353</v>
      </c>
      <c r="M52" s="33">
        <v>25.950361000000001</v>
      </c>
      <c r="N52" s="34">
        <v>1.2439613526569999</v>
      </c>
      <c r="O52" s="34">
        <v>1.2477004313447799</v>
      </c>
      <c r="P52" s="34">
        <v>1.2448503709149199</v>
      </c>
      <c r="Q52" s="34">
        <v>1.2462879705258301</v>
      </c>
      <c r="R52" s="33">
        <v>25.827398928837098</v>
      </c>
      <c r="S52" s="33">
        <v>25.771754326290601</v>
      </c>
      <c r="T52" s="33">
        <v>25.800104641810599</v>
      </c>
      <c r="U52" s="15">
        <v>3.0012753082988299E-3</v>
      </c>
      <c r="V52" s="15">
        <v>8.4447153897926298E-4</v>
      </c>
      <c r="W52" s="15">
        <v>1.94392069373611E-3</v>
      </c>
      <c r="X52" s="34">
        <v>1.24549975282333</v>
      </c>
      <c r="Y52" s="34">
        <v>1.2471244094690801</v>
      </c>
      <c r="Z52" s="34">
        <v>1.2463808053480301</v>
      </c>
      <c r="AA52" s="34">
        <v>1.2464739195286201</v>
      </c>
      <c r="AB52" s="33">
        <v>25.9842112086111</v>
      </c>
      <c r="AC52" s="33">
        <v>25.972034884336399</v>
      </c>
      <c r="AD52" s="33">
        <v>25.9716986290967</v>
      </c>
      <c r="AE52" s="15">
        <v>1.3035714733004699E-3</v>
      </c>
      <c r="AF52" s="15">
        <v>8.3485691390625095E-4</v>
      </c>
      <c r="AG52" s="15">
        <v>8.2191001090486699E-4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2.2066527748765782E-3</v>
      </c>
      <c r="BE52" s="29">
        <f t="shared" si="22"/>
        <v>0</v>
      </c>
      <c r="BF52" s="29">
        <f t="shared" si="23"/>
        <v>2.2066527748765782E-3</v>
      </c>
      <c r="BH52" s="29"/>
    </row>
    <row r="53" spans="1:60" x14ac:dyDescent="0.25">
      <c r="A53" s="1">
        <v>46099</v>
      </c>
      <c r="B53" s="33">
        <v>20.59</v>
      </c>
      <c r="C53" s="33">
        <v>25.62</v>
      </c>
      <c r="D53" s="15">
        <v>-5.3281792316252604E-3</v>
      </c>
      <c r="E53" s="15">
        <v>-5.0613306411569697E-3</v>
      </c>
      <c r="F53" s="33">
        <v>0</v>
      </c>
      <c r="G53" s="33">
        <v>0.1353</v>
      </c>
      <c r="H53" s="33">
        <v>0</v>
      </c>
      <c r="I53" s="33">
        <v>0.20036100000000001</v>
      </c>
      <c r="J53" s="33">
        <v>0.1353</v>
      </c>
      <c r="K53" s="33">
        <v>0.20036100000000001</v>
      </c>
      <c r="L53" s="33">
        <v>20.725300000000001</v>
      </c>
      <c r="M53" s="33">
        <v>25.820360999999998</v>
      </c>
      <c r="N53" s="34">
        <v>1.2442933462846</v>
      </c>
      <c r="O53" s="34">
        <v>1.2477004313447799</v>
      </c>
      <c r="P53" s="34">
        <v>1.24478113820814</v>
      </c>
      <c r="Q53" s="34">
        <v>1.2462523999713699</v>
      </c>
      <c r="R53" s="33">
        <v>25.690151881389198</v>
      </c>
      <c r="S53" s="33">
        <v>25.6314691371383</v>
      </c>
      <c r="T53" s="33">
        <v>25.661069313127001</v>
      </c>
      <c r="U53" s="15">
        <v>2.7344267178304599E-3</v>
      </c>
      <c r="V53" s="15">
        <v>4.47563261028998E-4</v>
      </c>
      <c r="W53" s="15">
        <v>1.6017342250295001E-3</v>
      </c>
      <c r="X53" s="34">
        <v>1.24583774420635</v>
      </c>
      <c r="Y53" s="34">
        <v>1.2471244094690801</v>
      </c>
      <c r="Z53" s="34">
        <v>1.2463145819038699</v>
      </c>
      <c r="AA53" s="34">
        <v>1.24648245144243</v>
      </c>
      <c r="AB53" s="33">
        <v>25.847027523569501</v>
      </c>
      <c r="AC53" s="33">
        <v>25.8316161050796</v>
      </c>
      <c r="AD53" s="33">
        <v>25.8335459244066</v>
      </c>
      <c r="AE53" s="15">
        <v>1.03223819509161E-3</v>
      </c>
      <c r="AF53" s="15">
        <v>4.3580539946650002E-4</v>
      </c>
      <c r="AG53" s="15">
        <v>5.1051025868332101E-4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2.2066527748765782E-3</v>
      </c>
      <c r="BE53" s="29">
        <f t="shared" si="22"/>
        <v>0</v>
      </c>
      <c r="BF53" s="29">
        <f t="shared" si="23"/>
        <v>2.2066527748765782E-3</v>
      </c>
      <c r="BH53" s="29"/>
    </row>
    <row r="54" spans="1:60" x14ac:dyDescent="0.25">
      <c r="A54" s="1">
        <v>46100</v>
      </c>
      <c r="B54" s="33">
        <v>20.64</v>
      </c>
      <c r="C54" s="33">
        <v>25.7</v>
      </c>
      <c r="D54" s="15">
        <v>2.4254195736639599E-3</v>
      </c>
      <c r="E54" s="15">
        <v>3.1176954325859299E-3</v>
      </c>
      <c r="F54" s="33">
        <v>0</v>
      </c>
      <c r="G54" s="33">
        <v>0.1353</v>
      </c>
      <c r="H54" s="33">
        <v>0</v>
      </c>
      <c r="I54" s="33">
        <v>0.20036100000000001</v>
      </c>
      <c r="J54" s="33">
        <v>0.1353</v>
      </c>
      <c r="K54" s="33">
        <v>0.20036100000000001</v>
      </c>
      <c r="L54" s="33">
        <v>20.775300000000001</v>
      </c>
      <c r="M54" s="33">
        <v>25.900361</v>
      </c>
      <c r="N54" s="34">
        <v>1.2451550387596899</v>
      </c>
      <c r="O54" s="34">
        <v>1.2477004313447799</v>
      </c>
      <c r="P54" s="34">
        <v>1.2449192474480899</v>
      </c>
      <c r="Q54" s="34">
        <v>1.2462477944949</v>
      </c>
      <c r="R54" s="33">
        <v>25.7525369029564</v>
      </c>
      <c r="S54" s="33">
        <v>25.692282692616001</v>
      </c>
      <c r="T54" s="33">
        <v>25.722649535409101</v>
      </c>
      <c r="U54" s="15">
        <v>2.0421508589084998E-3</v>
      </c>
      <c r="V54" s="15">
        <v>-3.00329428373468E-4</v>
      </c>
      <c r="W54" s="15">
        <v>8.8091675860558301E-4</v>
      </c>
      <c r="X54" s="34">
        <v>1.2466901079647399</v>
      </c>
      <c r="Y54" s="34">
        <v>1.2471244094690801</v>
      </c>
      <c r="Z54" s="34">
        <v>1.2464535550611</v>
      </c>
      <c r="AA54" s="34">
        <v>1.2465215526092599</v>
      </c>
      <c r="AB54" s="33">
        <v>25.909383744042898</v>
      </c>
      <c r="AC54" s="33">
        <v>25.892559333427499</v>
      </c>
      <c r="AD54" s="33">
        <v>25.896046873452001</v>
      </c>
      <c r="AE54" s="15">
        <v>3.4830297577341502E-4</v>
      </c>
      <c r="AF54" s="15">
        <v>-3.0126382452587902E-4</v>
      </c>
      <c r="AG54" s="15">
        <v>-1.6658014464905599E-4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2.2066527748765782E-3</v>
      </c>
      <c r="BE54" s="29">
        <f t="shared" si="22"/>
        <v>0</v>
      </c>
      <c r="BF54" s="29">
        <f t="shared" si="23"/>
        <v>2.2066527748765782E-3</v>
      </c>
      <c r="BH54" s="29"/>
    </row>
    <row r="55" spans="1:60" x14ac:dyDescent="0.25">
      <c r="A55" s="1">
        <v>46101</v>
      </c>
      <c r="B55" s="33">
        <v>20.39</v>
      </c>
      <c r="C55" s="33">
        <v>25.39</v>
      </c>
      <c r="D55" s="15">
        <v>-1.2186356026998101E-2</v>
      </c>
      <c r="E55" s="15">
        <v>-1.2135596184587E-2</v>
      </c>
      <c r="F55" s="33">
        <v>0</v>
      </c>
      <c r="G55" s="33">
        <v>0.1353</v>
      </c>
      <c r="H55" s="33">
        <v>0</v>
      </c>
      <c r="I55" s="33">
        <v>0.20036100000000001</v>
      </c>
      <c r="J55" s="33">
        <v>0.1353</v>
      </c>
      <c r="K55" s="33">
        <v>0.20036100000000001</v>
      </c>
      <c r="L55" s="33">
        <v>20.525300000000001</v>
      </c>
      <c r="M55" s="33">
        <v>25.590361000000001</v>
      </c>
      <c r="N55" s="34">
        <v>1.24521824423737</v>
      </c>
      <c r="O55" s="34">
        <v>1.2477004313447799</v>
      </c>
      <c r="P55" s="34">
        <v>1.2449336235296899</v>
      </c>
      <c r="Q55" s="34">
        <v>1.2462463492923199</v>
      </c>
      <c r="R55" s="33">
        <v>25.440611795120201</v>
      </c>
      <c r="S55" s="33">
        <v>25.383903455466601</v>
      </c>
      <c r="T55" s="33">
        <v>25.410992529751098</v>
      </c>
      <c r="U55" s="15">
        <v>1.9913910164973902E-3</v>
      </c>
      <c r="V55" s="15">
        <v>-2.4014480462233501E-4</v>
      </c>
      <c r="W55" s="15">
        <v>8.2646144890846098E-4</v>
      </c>
      <c r="X55" s="34">
        <v>1.2467715940814501</v>
      </c>
      <c r="Y55" s="34">
        <v>1.2471244094690801</v>
      </c>
      <c r="Z55" s="34">
        <v>1.24647095309079</v>
      </c>
      <c r="AA55" s="34">
        <v>1.2465647280819201</v>
      </c>
      <c r="AB55" s="33">
        <v>25.597602641675699</v>
      </c>
      <c r="AC55" s="33">
        <v>25.583833153695601</v>
      </c>
      <c r="AD55" s="33">
        <v>25.585228823770901</v>
      </c>
      <c r="AE55" s="15">
        <v>2.8294314556932202E-4</v>
      </c>
      <c r="AF55" s="15">
        <v>-2.5512258464343597E-4</v>
      </c>
      <c r="AG55" s="15">
        <v>-2.0057125922586999E-4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2.2066527748765782E-3</v>
      </c>
      <c r="BE55" s="29">
        <f t="shared" si="22"/>
        <v>0</v>
      </c>
      <c r="BF55" s="29">
        <f t="shared" si="23"/>
        <v>2.2066527748765782E-3</v>
      </c>
      <c r="BH55" s="29"/>
    </row>
    <row r="56" spans="1:60" x14ac:dyDescent="0.25">
      <c r="A56" s="1">
        <v>46104</v>
      </c>
      <c r="B56" s="33">
        <v>20.45</v>
      </c>
      <c r="C56" s="33">
        <v>25.54</v>
      </c>
      <c r="D56" s="15">
        <v>2.9382979024468398E-3</v>
      </c>
      <c r="E56" s="15">
        <v>5.8904548878062103E-3</v>
      </c>
      <c r="F56" s="33">
        <v>7.6759999999999995E-2</v>
      </c>
      <c r="G56" s="33">
        <v>0.21206</v>
      </c>
      <c r="H56" s="33">
        <v>0</v>
      </c>
      <c r="I56" s="33">
        <v>0.20036100000000001</v>
      </c>
      <c r="J56" s="33">
        <v>0.21206</v>
      </c>
      <c r="K56" s="33">
        <v>0.20036100000000001</v>
      </c>
      <c r="L56" s="33">
        <v>20.66206</v>
      </c>
      <c r="M56" s="33">
        <v>25.740361</v>
      </c>
      <c r="N56" s="34">
        <v>1.24889975550122</v>
      </c>
      <c r="O56" s="34">
        <v>1.2477004313447799</v>
      </c>
      <c r="P56" s="34">
        <v>1.2452420591467599</v>
      </c>
      <c r="Q56" s="34">
        <v>1.2461615609835299</v>
      </c>
      <c r="R56" s="33">
        <v>25.515473821000899</v>
      </c>
      <c r="S56" s="33">
        <v>25.4588926011821</v>
      </c>
      <c r="T56" s="33">
        <v>25.485737843028101</v>
      </c>
      <c r="U56" s="15">
        <v>-9.6076596886186696E-4</v>
      </c>
      <c r="V56" s="15">
        <v>-3.1807540541602601E-3</v>
      </c>
      <c r="W56" s="15">
        <v>-2.1268551801623299E-3</v>
      </c>
      <c r="X56" s="34">
        <v>1.2457790268733999</v>
      </c>
      <c r="Y56" s="34">
        <v>1.2471244094690801</v>
      </c>
      <c r="Z56" s="34">
        <v>1.24631620288176</v>
      </c>
      <c r="AA56" s="34">
        <v>1.24648997571487</v>
      </c>
      <c r="AB56" s="33">
        <v>25.768159375914699</v>
      </c>
      <c r="AC56" s="33">
        <v>25.754657621019199</v>
      </c>
      <c r="AD56" s="33">
        <v>25.756595205512401</v>
      </c>
      <c r="AE56" s="15">
        <v>1.0793701085057201E-3</v>
      </c>
      <c r="AF56" s="15">
        <v>5.5526230573189005E-4</v>
      </c>
      <c r="AG56" s="15">
        <v>6.3049186773064001E-4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2.2066527748765782E-3</v>
      </c>
      <c r="BE56" s="29">
        <f t="shared" si="22"/>
        <v>0</v>
      </c>
      <c r="BF56" s="29">
        <f t="shared" si="23"/>
        <v>2.2066527748765782E-3</v>
      </c>
      <c r="BH56" s="29"/>
    </row>
    <row r="57" spans="1:60" x14ac:dyDescent="0.25">
      <c r="A57" s="1">
        <v>46105</v>
      </c>
      <c r="B57" s="33">
        <v>20.39</v>
      </c>
      <c r="C57" s="33">
        <v>25.5</v>
      </c>
      <c r="D57" s="15">
        <v>-2.9382979024468602E-3</v>
      </c>
      <c r="E57" s="15">
        <v>-1.56739844001276E-3</v>
      </c>
      <c r="F57" s="33">
        <v>0</v>
      </c>
      <c r="G57" s="33">
        <v>0.21206</v>
      </c>
      <c r="H57" s="33">
        <v>0</v>
      </c>
      <c r="I57" s="33">
        <v>0.20036100000000001</v>
      </c>
      <c r="J57" s="33">
        <v>0.21206</v>
      </c>
      <c r="K57" s="33">
        <v>0.20036100000000001</v>
      </c>
      <c r="L57" s="33">
        <v>20.602060000000002</v>
      </c>
      <c r="M57" s="33">
        <v>25.700361000000001</v>
      </c>
      <c r="N57" s="34">
        <v>1.2506130456105899</v>
      </c>
      <c r="O57" s="34">
        <v>1.2477004313447799</v>
      </c>
      <c r="P57" s="34">
        <v>1.2457841329385899</v>
      </c>
      <c r="Q57" s="34">
        <v>1.24620412937465</v>
      </c>
      <c r="R57" s="33">
        <v>25.440611795120201</v>
      </c>
      <c r="S57" s="33">
        <v>25.390485586002502</v>
      </c>
      <c r="T57" s="33">
        <v>25.409234228454299</v>
      </c>
      <c r="U57" s="15">
        <v>-2.3316654312960901E-3</v>
      </c>
      <c r="V57" s="15">
        <v>-4.3039315419570899E-3</v>
      </c>
      <c r="W57" s="15">
        <v>-3.5657919076615102E-3</v>
      </c>
      <c r="X57" s="34">
        <v>1.2474655932465</v>
      </c>
      <c r="Y57" s="34">
        <v>1.2471244094690801</v>
      </c>
      <c r="Z57" s="34">
        <v>1.24639122179381</v>
      </c>
      <c r="AA57" s="34">
        <v>1.2465410553611</v>
      </c>
      <c r="AB57" s="33">
        <v>25.693331911346501</v>
      </c>
      <c r="AC57" s="33">
        <v>25.6766811907423</v>
      </c>
      <c r="AD57" s="33">
        <v>25.6802612690764</v>
      </c>
      <c r="AE57" s="15">
        <v>-2.7353896165379499E-4</v>
      </c>
      <c r="AF57" s="15">
        <v>-9.2180514582689899E-4</v>
      </c>
      <c r="AG57" s="15">
        <v>-7.8238569566339703E-4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2.2066527748765782E-3</v>
      </c>
      <c r="BE57" s="29">
        <f t="shared" si="22"/>
        <v>0</v>
      </c>
      <c r="BF57" s="29">
        <f t="shared" si="23"/>
        <v>2.2066527748765782E-3</v>
      </c>
      <c r="BH57" s="29"/>
    </row>
    <row r="58" spans="1:60" x14ac:dyDescent="0.25">
      <c r="A58" s="1">
        <v>46106</v>
      </c>
      <c r="B58" s="33">
        <v>20.48</v>
      </c>
      <c r="C58" s="33">
        <v>25.59</v>
      </c>
      <c r="D58" s="15">
        <v>4.4042155849432904E-3</v>
      </c>
      <c r="E58" s="15">
        <v>3.5231980073168702E-3</v>
      </c>
      <c r="F58" s="33">
        <v>0</v>
      </c>
      <c r="G58" s="33">
        <v>0.21206</v>
      </c>
      <c r="H58" s="33">
        <v>0</v>
      </c>
      <c r="I58" s="33">
        <v>0.20036100000000001</v>
      </c>
      <c r="J58" s="33">
        <v>0.21206</v>
      </c>
      <c r="K58" s="33">
        <v>0.20036100000000001</v>
      </c>
      <c r="L58" s="33">
        <v>20.692060000000001</v>
      </c>
      <c r="M58" s="33">
        <v>25.790361000000001</v>
      </c>
      <c r="N58" s="34">
        <v>1.24951171875</v>
      </c>
      <c r="O58" s="34">
        <v>1.2477004313447799</v>
      </c>
      <c r="P58" s="34">
        <v>1.2461951305638299</v>
      </c>
      <c r="Q58" s="34">
        <v>1.2461856762086601</v>
      </c>
      <c r="R58" s="33">
        <v>25.552904833941199</v>
      </c>
      <c r="S58" s="33">
        <v>25.5136590425824</v>
      </c>
      <c r="T58" s="33">
        <v>25.522260569592799</v>
      </c>
      <c r="U58" s="15">
        <v>-1.4506478536697601E-3</v>
      </c>
      <c r="V58" s="15">
        <v>-2.9876926871662099E-3</v>
      </c>
      <c r="W58" s="15">
        <v>-2.6506153049133401E-3</v>
      </c>
      <c r="X58" s="34">
        <v>1.2463892430236501</v>
      </c>
      <c r="Y58" s="34">
        <v>1.2471244094690801</v>
      </c>
      <c r="Z58" s="34">
        <v>1.2463367730743899</v>
      </c>
      <c r="AA58" s="34">
        <v>1.2465324790574801</v>
      </c>
      <c r="AB58" s="33">
        <v>25.805573108198701</v>
      </c>
      <c r="AC58" s="33">
        <v>25.790401944830901</v>
      </c>
      <c r="AD58" s="33">
        <v>25.793502309995201</v>
      </c>
      <c r="AE58" s="15">
        <v>5.8966307723629498E-4</v>
      </c>
      <c r="AF58" s="15">
        <v>1.5876008257784099E-6</v>
      </c>
      <c r="AG58" s="15">
        <v>1.21794289825366E-4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2.2066527748765782E-3</v>
      </c>
      <c r="BE58" s="29">
        <f t="shared" si="22"/>
        <v>0</v>
      </c>
      <c r="BF58" s="29">
        <f t="shared" si="23"/>
        <v>2.2066527748765782E-3</v>
      </c>
      <c r="BH58" s="29"/>
    </row>
    <row r="59" spans="1:60" x14ac:dyDescent="0.25">
      <c r="A59" s="1">
        <v>46107</v>
      </c>
      <c r="B59" s="33">
        <v>20.3</v>
      </c>
      <c r="C59" s="33">
        <v>25.38</v>
      </c>
      <c r="D59" s="15">
        <v>-8.8279141235653794E-3</v>
      </c>
      <c r="E59" s="15">
        <v>-8.2401878854559199E-3</v>
      </c>
      <c r="F59" s="33">
        <v>0</v>
      </c>
      <c r="G59" s="33">
        <v>0.21206</v>
      </c>
      <c r="H59" s="33">
        <v>0</v>
      </c>
      <c r="I59" s="33">
        <v>0.20036100000000001</v>
      </c>
      <c r="J59" s="33">
        <v>0.21206</v>
      </c>
      <c r="K59" s="33">
        <v>0.20036100000000001</v>
      </c>
      <c r="L59" s="33">
        <v>20.512060000000002</v>
      </c>
      <c r="M59" s="33">
        <v>25.580361</v>
      </c>
      <c r="N59" s="34">
        <v>1.2502463054187101</v>
      </c>
      <c r="O59" s="34">
        <v>1.2477004313447799</v>
      </c>
      <c r="P59" s="34">
        <v>1.24669421366045</v>
      </c>
      <c r="Q59" s="34">
        <v>1.2461682153957501</v>
      </c>
      <c r="R59" s="33">
        <v>25.3283187562992</v>
      </c>
      <c r="S59" s="33">
        <v>25.297761150445801</v>
      </c>
      <c r="T59" s="33">
        <v>25.2975692270359</v>
      </c>
      <c r="U59" s="15">
        <v>-2.0383740917792898E-3</v>
      </c>
      <c r="V59" s="15">
        <v>-3.2455625456597002E-3</v>
      </c>
      <c r="W59" s="15">
        <v>-3.25314915131909E-3</v>
      </c>
      <c r="X59" s="34">
        <v>1.24708883456854</v>
      </c>
      <c r="Y59" s="34">
        <v>1.2471244094690801</v>
      </c>
      <c r="Z59" s="34">
        <v>1.2463659999635299</v>
      </c>
      <c r="AA59" s="34">
        <v>1.2465232170752001</v>
      </c>
      <c r="AB59" s="33">
        <v>25.581090714494302</v>
      </c>
      <c r="AC59" s="33">
        <v>25.5649346695083</v>
      </c>
      <c r="AD59" s="33">
        <v>25.568949002375899</v>
      </c>
      <c r="AE59" s="15">
        <v>2.85259495165166E-5</v>
      </c>
      <c r="AF59" s="15">
        <v>-6.0323557651038395E-4</v>
      </c>
      <c r="AG59" s="15">
        <v>-4.4622294270835102E-4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2.2066527748765782E-3</v>
      </c>
      <c r="BE59" s="29">
        <f t="shared" si="22"/>
        <v>0</v>
      </c>
      <c r="BF59" s="29">
        <f t="shared" si="23"/>
        <v>2.2066527748765782E-3</v>
      </c>
      <c r="BH59" s="29"/>
    </row>
    <row r="60" spans="1:60" x14ac:dyDescent="0.25">
      <c r="A60" s="1">
        <v>46108</v>
      </c>
      <c r="B60" s="33">
        <v>20.25</v>
      </c>
      <c r="C60" s="33">
        <v>25.33</v>
      </c>
      <c r="D60" s="15">
        <v>-2.4660924951935498E-3</v>
      </c>
      <c r="E60" s="15">
        <v>-1.9719982726578E-3</v>
      </c>
      <c r="F60" s="33">
        <v>0</v>
      </c>
      <c r="G60" s="33">
        <v>0.21206</v>
      </c>
      <c r="H60" s="33">
        <v>0</v>
      </c>
      <c r="I60" s="33">
        <v>0.20036100000000001</v>
      </c>
      <c r="J60" s="33">
        <v>0.21206</v>
      </c>
      <c r="K60" s="33">
        <v>0.20036100000000001</v>
      </c>
      <c r="L60" s="33">
        <v>20.462060000000001</v>
      </c>
      <c r="M60" s="33">
        <v>25.530360999999999</v>
      </c>
      <c r="N60" s="34">
        <v>1.2508641975308601</v>
      </c>
      <c r="O60" s="34">
        <v>1.2477004313447799</v>
      </c>
      <c r="P60" s="34">
        <v>1.2472689146635301</v>
      </c>
      <c r="Q60" s="34">
        <v>1.2462233187071201</v>
      </c>
      <c r="R60" s="33">
        <v>25.265933734731899</v>
      </c>
      <c r="S60" s="33">
        <v>25.245557826624101</v>
      </c>
      <c r="T60" s="33">
        <v>25.234906361764001</v>
      </c>
      <c r="U60" s="15">
        <v>-2.53246831431508E-3</v>
      </c>
      <c r="V60" s="15">
        <v>-3.3392514277491799E-3</v>
      </c>
      <c r="W60" s="15">
        <v>-3.7612548775763899E-3</v>
      </c>
      <c r="X60" s="34">
        <v>1.2476926076846599</v>
      </c>
      <c r="Y60" s="34">
        <v>1.2471244094690801</v>
      </c>
      <c r="Z60" s="34">
        <v>1.2464688188174999</v>
      </c>
      <c r="AA60" s="34">
        <v>1.24658531126283</v>
      </c>
      <c r="AB60" s="33">
        <v>25.518734494020801</v>
      </c>
      <c r="AC60" s="33">
        <v>25.5032158732139</v>
      </c>
      <c r="AD60" s="33">
        <v>25.506432859185701</v>
      </c>
      <c r="AE60" s="15">
        <v>-4.5550292586448598E-4</v>
      </c>
      <c r="AF60" s="15">
        <v>-1.0638144927028199E-3</v>
      </c>
      <c r="AG60" s="15">
        <v>-9.37682043016768E-4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2.2066527748765782E-3</v>
      </c>
      <c r="BE60" s="29">
        <f t="shared" si="22"/>
        <v>0</v>
      </c>
      <c r="BF60" s="29">
        <f t="shared" si="23"/>
        <v>2.2066527748765782E-3</v>
      </c>
      <c r="BH60" s="29"/>
    </row>
    <row r="61" spans="1:60" x14ac:dyDescent="0.25">
      <c r="A61" s="1">
        <v>46111</v>
      </c>
      <c r="B61" s="33">
        <v>20.39</v>
      </c>
      <c r="C61" s="33">
        <v>25.47</v>
      </c>
      <c r="D61" s="15">
        <v>6.8897910338156501E-3</v>
      </c>
      <c r="E61" s="15">
        <v>5.51182497778171E-3</v>
      </c>
      <c r="F61" s="33">
        <v>0</v>
      </c>
      <c r="G61" s="33">
        <v>0.21206</v>
      </c>
      <c r="H61" s="33">
        <v>0</v>
      </c>
      <c r="I61" s="33">
        <v>0.20036100000000001</v>
      </c>
      <c r="J61" s="33">
        <v>0.21206</v>
      </c>
      <c r="K61" s="33">
        <v>0.20036100000000001</v>
      </c>
      <c r="L61" s="33">
        <v>20.602060000000002</v>
      </c>
      <c r="M61" s="33">
        <v>25.670361</v>
      </c>
      <c r="N61" s="34">
        <v>1.24914173614516</v>
      </c>
      <c r="O61" s="34">
        <v>1.2477004313447799</v>
      </c>
      <c r="P61" s="34">
        <v>1.24779047408952</v>
      </c>
      <c r="Q61" s="34">
        <v>1.2464013801918701</v>
      </c>
      <c r="R61" s="33">
        <v>25.440611795120201</v>
      </c>
      <c r="S61" s="33">
        <v>25.4318131699895</v>
      </c>
      <c r="T61" s="33">
        <v>25.410493468438201</v>
      </c>
      <c r="U61" s="15">
        <v>-1.15450225828121E-3</v>
      </c>
      <c r="V61" s="15">
        <v>-1.5004116669422899E-3</v>
      </c>
      <c r="W61" s="15">
        <v>-2.3390716023599599E-3</v>
      </c>
      <c r="X61" s="34">
        <v>1.24600942818339</v>
      </c>
      <c r="Y61" s="34">
        <v>1.2471244094690801</v>
      </c>
      <c r="Z61" s="34">
        <v>1.2465223932656</v>
      </c>
      <c r="AA61" s="34">
        <v>1.24653119716882</v>
      </c>
      <c r="AB61" s="33">
        <v>25.693331911346501</v>
      </c>
      <c r="AC61" s="33">
        <v>25.679825393407299</v>
      </c>
      <c r="AD61" s="33">
        <v>25.682225377755501</v>
      </c>
      <c r="AE61" s="15">
        <v>8.9444164062195701E-4</v>
      </c>
      <c r="AF61" s="15">
        <v>3.6862158364932897E-4</v>
      </c>
      <c r="AG61" s="15">
        <v>4.62075186606379E-4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2.2066527748765782E-3</v>
      </c>
      <c r="BE61" s="29">
        <f t="shared" si="22"/>
        <v>0</v>
      </c>
      <c r="BF61" s="29">
        <f t="shared" si="23"/>
        <v>2.2066527748765782E-3</v>
      </c>
      <c r="BH61" s="29"/>
    </row>
    <row r="62" spans="1:60" x14ac:dyDescent="0.25">
      <c r="A62" s="1">
        <v>46112</v>
      </c>
      <c r="B62" s="33">
        <v>20.52</v>
      </c>
      <c r="C62" s="33">
        <v>25.64</v>
      </c>
      <c r="D62" s="15">
        <v>6.3554357162048198E-3</v>
      </c>
      <c r="E62" s="15">
        <v>6.6523430611037703E-3</v>
      </c>
      <c r="F62" s="33">
        <v>0</v>
      </c>
      <c r="G62" s="33">
        <v>0.21206</v>
      </c>
      <c r="H62" s="33">
        <v>0</v>
      </c>
      <c r="I62" s="33">
        <v>0.20036100000000001</v>
      </c>
      <c r="J62" s="33">
        <v>0.21206</v>
      </c>
      <c r="K62" s="33">
        <v>0.20036100000000001</v>
      </c>
      <c r="L62" s="33">
        <v>20.732060000000001</v>
      </c>
      <c r="M62" s="33">
        <v>25.840361000000001</v>
      </c>
      <c r="N62" s="34">
        <v>1.2495126705652999</v>
      </c>
      <c r="O62" s="34">
        <v>1.2477004313447799</v>
      </c>
      <c r="P62" s="34">
        <v>1.2483456058803499</v>
      </c>
      <c r="Q62" s="34">
        <v>1.2465979883976299</v>
      </c>
      <c r="R62" s="33">
        <v>25.602812851195001</v>
      </c>
      <c r="S62" s="33">
        <v>25.604660528317002</v>
      </c>
      <c r="T62" s="33">
        <v>25.576156321537301</v>
      </c>
      <c r="U62" s="15">
        <v>-1.45140960317997E-3</v>
      </c>
      <c r="V62" s="15">
        <v>-1.3792452490025799E-3</v>
      </c>
      <c r="W62" s="15">
        <v>-2.4931082735176599E-3</v>
      </c>
      <c r="X62" s="34">
        <v>1.2463962095421199</v>
      </c>
      <c r="Y62" s="34">
        <v>1.2471244094690801</v>
      </c>
      <c r="Z62" s="34">
        <v>1.24661203893748</v>
      </c>
      <c r="AA62" s="34">
        <v>1.2464964221427499</v>
      </c>
      <c r="AB62" s="33">
        <v>25.855458084577499</v>
      </c>
      <c r="AC62" s="33">
        <v>25.842977048526102</v>
      </c>
      <c r="AD62" s="33">
        <v>25.843159571575899</v>
      </c>
      <c r="AE62" s="15">
        <v>5.8407373261785901E-4</v>
      </c>
      <c r="AF62" s="15">
        <v>1.01233729365184E-4</v>
      </c>
      <c r="AG62" s="15">
        <v>1.08296476235772E-4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2.2066527748765782E-3</v>
      </c>
      <c r="BE62" s="29">
        <f t="shared" si="22"/>
        <v>0</v>
      </c>
      <c r="BF62" s="29">
        <f t="shared" si="23"/>
        <v>2.2066527748765782E-3</v>
      </c>
      <c r="BH62" s="29"/>
    </row>
    <row r="63" spans="1:60" x14ac:dyDescent="0.25">
      <c r="A63" s="1">
        <v>46113</v>
      </c>
      <c r="B63" s="33">
        <v>20.54</v>
      </c>
      <c r="C63" s="33">
        <v>25.55</v>
      </c>
      <c r="D63" s="15">
        <v>9.7418419784341397E-4</v>
      </c>
      <c r="E63" s="15">
        <v>-3.5163154027558802E-3</v>
      </c>
      <c r="F63" s="33">
        <v>0</v>
      </c>
      <c r="G63" s="33">
        <v>0.21206</v>
      </c>
      <c r="H63" s="33">
        <v>0.10424600000000001</v>
      </c>
      <c r="I63" s="33">
        <v>0.30460700000000002</v>
      </c>
      <c r="J63" s="33">
        <v>0.21206</v>
      </c>
      <c r="K63" s="33">
        <v>0.30460700000000002</v>
      </c>
      <c r="L63" s="33">
        <v>20.75206</v>
      </c>
      <c r="M63" s="33">
        <v>25.854607000000001</v>
      </c>
      <c r="N63" s="34">
        <v>1.2439143135345601</v>
      </c>
      <c r="O63" s="34">
        <v>1.2477004313447799</v>
      </c>
      <c r="P63" s="34">
        <v>1.24830770260535</v>
      </c>
      <c r="Q63" s="34">
        <v>1.24654442040674</v>
      </c>
      <c r="R63" s="33">
        <v>25.6277668598219</v>
      </c>
      <c r="S63" s="33">
        <v>25.6410187447824</v>
      </c>
      <c r="T63" s="33">
        <v>25.605122681687501</v>
      </c>
      <c r="U63" s="15">
        <v>3.0390899974193099E-3</v>
      </c>
      <c r="V63" s="15">
        <v>3.5560472492569902E-3</v>
      </c>
      <c r="W63" s="15">
        <v>2.15511957093632E-3</v>
      </c>
      <c r="X63" s="34">
        <v>1.2458814691168001</v>
      </c>
      <c r="Y63" s="34">
        <v>1.2471244094690801</v>
      </c>
      <c r="Z63" s="34">
        <v>1.2466164114285201</v>
      </c>
      <c r="AA63" s="34">
        <v>1.2464654966661901</v>
      </c>
      <c r="AB63" s="33">
        <v>25.880400572766899</v>
      </c>
      <c r="AC63" s="33">
        <v>25.869767828753002</v>
      </c>
      <c r="AD63" s="33">
        <v>25.8673685420918</v>
      </c>
      <c r="AE63" s="15">
        <v>9.9714201714744895E-4</v>
      </c>
      <c r="AF63" s="15">
        <v>5.8621604368815897E-4</v>
      </c>
      <c r="AG63" s="15">
        <v>4.9346693420266696E-4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0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2.2066527748765782E-3</v>
      </c>
      <c r="BE63" s="29">
        <f t="shared" si="22"/>
        <v>0</v>
      </c>
      <c r="BF63" s="29">
        <f t="shared" si="23"/>
        <v>2.2066527748765782E-3</v>
      </c>
      <c r="BH63" s="29"/>
    </row>
    <row r="64" spans="1:60" x14ac:dyDescent="0.25">
      <c r="A64" s="1">
        <v>46114</v>
      </c>
      <c r="B64" s="33">
        <v>20.61</v>
      </c>
      <c r="C64" s="33">
        <v>25.64</v>
      </c>
      <c r="D64" s="15">
        <v>3.4021904019555598E-3</v>
      </c>
      <c r="E64" s="15">
        <v>3.5163154027558802E-3</v>
      </c>
      <c r="F64" s="33">
        <v>0</v>
      </c>
      <c r="G64" s="33">
        <v>0.21206</v>
      </c>
      <c r="H64" s="33">
        <v>0</v>
      </c>
      <c r="I64" s="33">
        <v>0.30460700000000002</v>
      </c>
      <c r="J64" s="33">
        <v>0.21206</v>
      </c>
      <c r="K64" s="33">
        <v>0.30460700000000002</v>
      </c>
      <c r="L64" s="33">
        <v>20.82206</v>
      </c>
      <c r="M64" s="33">
        <v>25.944607000000001</v>
      </c>
      <c r="N64" s="34">
        <v>1.2440562833575901</v>
      </c>
      <c r="O64" s="34">
        <v>1.2477004313447799</v>
      </c>
      <c r="P64" s="34">
        <v>1.2481978270651399</v>
      </c>
      <c r="Q64" s="34">
        <v>1.2465585372566099</v>
      </c>
      <c r="R64" s="33">
        <v>25.715105890016101</v>
      </c>
      <c r="S64" s="33">
        <v>25.727621750696201</v>
      </c>
      <c r="T64" s="33">
        <v>25.691280504582998</v>
      </c>
      <c r="U64" s="15">
        <v>2.9249649966190099E-3</v>
      </c>
      <c r="V64" s="15">
        <v>3.4115589818568201E-3</v>
      </c>
      <c r="W64" s="15">
        <v>1.9980223029181601E-3</v>
      </c>
      <c r="X64" s="34">
        <v>1.2460153798423399</v>
      </c>
      <c r="Y64" s="34">
        <v>1.2471244094690801</v>
      </c>
      <c r="Z64" s="34">
        <v>1.24654893861628</v>
      </c>
      <c r="AA64" s="34">
        <v>1.24650124683869</v>
      </c>
      <c r="AB64" s="33">
        <v>25.967699281429699</v>
      </c>
      <c r="AC64" s="33">
        <v>25.957121715749501</v>
      </c>
      <c r="AD64" s="33">
        <v>25.953979359513401</v>
      </c>
      <c r="AE64" s="15">
        <v>8.8966507585720603E-4</v>
      </c>
      <c r="AF64" s="15">
        <v>4.8224659569966497E-4</v>
      </c>
      <c r="AG64" s="15">
        <v>3.6117976510487799E-4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2.2066527748765782E-3</v>
      </c>
      <c r="BE64" s="29">
        <f t="shared" si="22"/>
        <v>0</v>
      </c>
      <c r="BF64" s="29">
        <f t="shared" si="23"/>
        <v>2.2066527748765782E-3</v>
      </c>
      <c r="BH64" s="29"/>
    </row>
    <row r="65" spans="1:60" x14ac:dyDescent="0.25">
      <c r="A65" s="1">
        <v>46118</v>
      </c>
      <c r="B65" s="33">
        <v>20.57</v>
      </c>
      <c r="C65" s="33">
        <v>25.59</v>
      </c>
      <c r="D65" s="15">
        <v>-1.9426912375017601E-3</v>
      </c>
      <c r="E65" s="15">
        <v>-1.95198188077191E-3</v>
      </c>
      <c r="F65" s="33">
        <v>0</v>
      </c>
      <c r="G65" s="33">
        <v>0.21206</v>
      </c>
      <c r="H65" s="33">
        <v>0</v>
      </c>
      <c r="I65" s="33">
        <v>0.30460700000000002</v>
      </c>
      <c r="J65" s="33">
        <v>0.21206</v>
      </c>
      <c r="K65" s="33">
        <v>0.30460700000000002</v>
      </c>
      <c r="L65" s="33">
        <v>20.782060000000001</v>
      </c>
      <c r="M65" s="33">
        <v>25.894607000000001</v>
      </c>
      <c r="N65" s="34">
        <v>1.2440447253281399</v>
      </c>
      <c r="O65" s="34">
        <v>1.2477004313447799</v>
      </c>
      <c r="P65" s="34">
        <v>1.2480804751742101</v>
      </c>
      <c r="Q65" s="34">
        <v>1.2465070493519499</v>
      </c>
      <c r="R65" s="33">
        <v>25.665197872762299</v>
      </c>
      <c r="S65" s="33">
        <v>25.675429302729899</v>
      </c>
      <c r="T65" s="33">
        <v>25.641709111368598</v>
      </c>
      <c r="U65" s="15">
        <v>2.93425563988884E-3</v>
      </c>
      <c r="V65" s="15">
        <v>3.3328261547401301E-3</v>
      </c>
      <c r="W65" s="15">
        <v>2.0186376689229099E-3</v>
      </c>
      <c r="X65" s="34">
        <v>1.24600771049645</v>
      </c>
      <c r="Y65" s="34">
        <v>1.2471244094690801</v>
      </c>
      <c r="Z65" s="34">
        <v>1.24647255025778</v>
      </c>
      <c r="AA65" s="34">
        <v>1.24647175167429</v>
      </c>
      <c r="AB65" s="33">
        <v>25.917814305050999</v>
      </c>
      <c r="AC65" s="33">
        <v>25.905854835260001</v>
      </c>
      <c r="AD65" s="33">
        <v>25.904863701876501</v>
      </c>
      <c r="AE65" s="15">
        <v>8.9582019208647799E-4</v>
      </c>
      <c r="AF65" s="15">
        <v>4.3427548860713899E-4</v>
      </c>
      <c r="AG65" s="15">
        <v>3.9601570717396099E-4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2.2066527748765782E-3</v>
      </c>
      <c r="BE65" s="29">
        <f t="shared" si="22"/>
        <v>0</v>
      </c>
      <c r="BF65" s="29">
        <f t="shared" si="23"/>
        <v>2.2066527748765782E-3</v>
      </c>
      <c r="BH65" s="29"/>
    </row>
    <row r="66" spans="1:60" x14ac:dyDescent="0.25">
      <c r="A66" s="1">
        <v>46119</v>
      </c>
      <c r="B66" s="33">
        <v>20.61</v>
      </c>
      <c r="C66" s="33">
        <v>25.65</v>
      </c>
      <c r="D66" s="15">
        <v>1.9426912375018299E-3</v>
      </c>
      <c r="E66" s="15">
        <v>2.3419214450811198E-3</v>
      </c>
      <c r="F66" s="33">
        <v>0</v>
      </c>
      <c r="G66" s="33">
        <v>0.21206</v>
      </c>
      <c r="H66" s="33">
        <v>0</v>
      </c>
      <c r="I66" s="33">
        <v>0.30460700000000002</v>
      </c>
      <c r="J66" s="33">
        <v>0.21206</v>
      </c>
      <c r="K66" s="33">
        <v>0.30460700000000002</v>
      </c>
      <c r="L66" s="33">
        <v>20.82206</v>
      </c>
      <c r="M66" s="33">
        <v>25.954606999999999</v>
      </c>
      <c r="N66" s="34">
        <v>1.24454148471615</v>
      </c>
      <c r="O66" s="34">
        <v>1.2477004313447799</v>
      </c>
      <c r="P66" s="34">
        <v>1.24764464809571</v>
      </c>
      <c r="Q66" s="34">
        <v>1.24644335362123</v>
      </c>
      <c r="R66" s="33">
        <v>25.715105890016101</v>
      </c>
      <c r="S66" s="33">
        <v>25.722938593340601</v>
      </c>
      <c r="T66" s="33">
        <v>25.690510287143699</v>
      </c>
      <c r="U66" s="15">
        <v>2.53502543230968E-3</v>
      </c>
      <c r="V66" s="15">
        <v>2.83957446654012E-3</v>
      </c>
      <c r="W66" s="15">
        <v>1.57810256752285E-3</v>
      </c>
      <c r="X66" s="34">
        <v>1.24649563972056</v>
      </c>
      <c r="Y66" s="34">
        <v>1.2471244094690801</v>
      </c>
      <c r="Z66" s="34">
        <v>1.2465442115425001</v>
      </c>
      <c r="AA66" s="34">
        <v>1.24643020721213</v>
      </c>
      <c r="AB66" s="33">
        <v>25.967699281429699</v>
      </c>
      <c r="AC66" s="33">
        <v>25.954126229820599</v>
      </c>
      <c r="AD66" s="33">
        <v>25.954109601667199</v>
      </c>
      <c r="AE66" s="15">
        <v>5.0430278024513595E-4</v>
      </c>
      <c r="AF66" s="15">
        <v>-1.8523672199291901E-5</v>
      </c>
      <c r="AG66" s="15">
        <v>-1.9164347158915999E-5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2.2066527748765782E-3</v>
      </c>
      <c r="BE66" s="29">
        <f t="shared" si="22"/>
        <v>0</v>
      </c>
      <c r="BF66" s="29">
        <f t="shared" si="23"/>
        <v>2.2066527748765782E-3</v>
      </c>
      <c r="BH66" s="29"/>
    </row>
    <row r="67" spans="1:60" x14ac:dyDescent="0.25">
      <c r="A67" s="1">
        <v>46120</v>
      </c>
      <c r="B67" s="33">
        <v>20.68</v>
      </c>
      <c r="C67" s="33">
        <v>25.74</v>
      </c>
      <c r="D67" s="15">
        <v>3.39065473786066E-3</v>
      </c>
      <c r="E67" s="15">
        <v>3.5026305512020702E-3</v>
      </c>
      <c r="F67" s="33">
        <v>0</v>
      </c>
      <c r="G67" s="33">
        <v>0.21206</v>
      </c>
      <c r="H67" s="33">
        <v>0</v>
      </c>
      <c r="I67" s="33">
        <v>0.30460700000000002</v>
      </c>
      <c r="J67" s="33">
        <v>0.21206</v>
      </c>
      <c r="K67" s="33">
        <v>0.30460700000000002</v>
      </c>
      <c r="L67" s="33">
        <v>20.892060000000001</v>
      </c>
      <c r="M67" s="33">
        <v>26.044606999999999</v>
      </c>
      <c r="N67" s="34">
        <v>1.2446808510638201</v>
      </c>
      <c r="O67" s="34">
        <v>1.2477004313447799</v>
      </c>
      <c r="P67" s="34">
        <v>1.2470514286410299</v>
      </c>
      <c r="Q67" s="34">
        <v>1.24641778078981</v>
      </c>
      <c r="R67" s="33">
        <v>25.802444920210199</v>
      </c>
      <c r="S67" s="33">
        <v>25.801291322619299</v>
      </c>
      <c r="T67" s="33">
        <v>25.776448552887199</v>
      </c>
      <c r="U67" s="15">
        <v>2.42304961896841E-3</v>
      </c>
      <c r="V67" s="15">
        <v>2.3783397713826198E-3</v>
      </c>
      <c r="W67" s="15">
        <v>1.4150260739165101E-3</v>
      </c>
      <c r="X67" s="34">
        <v>1.24662704395832</v>
      </c>
      <c r="Y67" s="34">
        <v>1.2471244094690801</v>
      </c>
      <c r="Z67" s="34">
        <v>1.24646035661368</v>
      </c>
      <c r="AA67" s="34">
        <v>1.24642578920375</v>
      </c>
      <c r="AB67" s="33">
        <v>26.054997990092598</v>
      </c>
      <c r="AC67" s="33">
        <v>26.042876460198698</v>
      </c>
      <c r="AD67" s="33">
        <v>26.040494674888301</v>
      </c>
      <c r="AE67" s="15">
        <v>3.9888940548992802E-4</v>
      </c>
      <c r="AF67" s="15">
        <v>-6.6447433701031396E-5</v>
      </c>
      <c r="AG67" s="15">
        <v>-1.5790792329904401E-4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2.2066527748765782E-3</v>
      </c>
      <c r="BE67" s="29">
        <f t="shared" si="22"/>
        <v>0</v>
      </c>
      <c r="BF67" s="29">
        <f t="shared" si="23"/>
        <v>2.2066527748765782E-3</v>
      </c>
      <c r="BH67" s="29"/>
    </row>
    <row r="68" spans="1:60" x14ac:dyDescent="0.25">
      <c r="A68" s="1">
        <v>46121</v>
      </c>
      <c r="B68" s="33">
        <v>20.68</v>
      </c>
      <c r="C68" s="33">
        <v>25.74</v>
      </c>
      <c r="D68" s="15">
        <v>0</v>
      </c>
      <c r="E68" s="15">
        <v>0</v>
      </c>
      <c r="F68" s="33">
        <v>0</v>
      </c>
      <c r="G68" s="33">
        <v>0.21206</v>
      </c>
      <c r="H68" s="33">
        <v>0</v>
      </c>
      <c r="I68" s="33">
        <v>0.30460700000000002</v>
      </c>
      <c r="J68" s="33">
        <v>0.21206</v>
      </c>
      <c r="K68" s="33">
        <v>0.30460700000000002</v>
      </c>
      <c r="L68" s="33">
        <v>20.892060000000001</v>
      </c>
      <c r="M68" s="33">
        <v>26.044606999999999</v>
      </c>
      <c r="N68" s="34">
        <v>1.2446808510638201</v>
      </c>
      <c r="O68" s="34">
        <v>1.2477004313447799</v>
      </c>
      <c r="P68" s="34">
        <v>1.2465683418724101</v>
      </c>
      <c r="Q68" s="34">
        <v>1.24638173621812</v>
      </c>
      <c r="R68" s="33">
        <v>25.802444920210199</v>
      </c>
      <c r="S68" s="33">
        <v>25.789023544296601</v>
      </c>
      <c r="T68" s="33">
        <v>25.775919706733301</v>
      </c>
      <c r="U68" s="15">
        <v>2.42304961896841E-3</v>
      </c>
      <c r="V68" s="15">
        <v>1.9027552130958701E-3</v>
      </c>
      <c r="W68" s="15">
        <v>1.39450922195727E-3</v>
      </c>
      <c r="X68" s="34">
        <v>1.24662704395832</v>
      </c>
      <c r="Y68" s="34">
        <v>1.2471244094690801</v>
      </c>
      <c r="Z68" s="34">
        <v>1.24648413670715</v>
      </c>
      <c r="AA68" s="34">
        <v>1.24641045489077</v>
      </c>
      <c r="AB68" s="33">
        <v>26.054997990092598</v>
      </c>
      <c r="AC68" s="33">
        <v>26.0411245579945</v>
      </c>
      <c r="AD68" s="33">
        <v>26.040402373592102</v>
      </c>
      <c r="AE68" s="15">
        <v>3.9888940548992802E-4</v>
      </c>
      <c r="AF68" s="15">
        <v>-1.3371961596675701E-4</v>
      </c>
      <c r="AG68" s="15">
        <v>-1.6145245887773301E-4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2.2066527748765782E-3</v>
      </c>
      <c r="BE68" s="29">
        <f t="shared" si="22"/>
        <v>0</v>
      </c>
      <c r="BF68" s="29">
        <f t="shared" si="23"/>
        <v>2.2066527748765782E-3</v>
      </c>
      <c r="BH68" s="29"/>
    </row>
    <row r="69" spans="1:60" x14ac:dyDescent="0.25">
      <c r="A69" s="1">
        <v>46122</v>
      </c>
      <c r="B69" s="33">
        <v>20.64</v>
      </c>
      <c r="C69" s="33">
        <v>25.69</v>
      </c>
      <c r="D69" s="15">
        <v>-1.93610902686632E-3</v>
      </c>
      <c r="E69" s="15">
        <v>-1.9443910461882301E-3</v>
      </c>
      <c r="F69" s="33">
        <v>0</v>
      </c>
      <c r="G69" s="33">
        <v>0.21206</v>
      </c>
      <c r="H69" s="33">
        <v>0</v>
      </c>
      <c r="I69" s="33">
        <v>0.30460700000000002</v>
      </c>
      <c r="J69" s="33">
        <v>0.21206</v>
      </c>
      <c r="K69" s="33">
        <v>0.30460700000000002</v>
      </c>
      <c r="L69" s="33">
        <v>20.852060000000002</v>
      </c>
      <c r="M69" s="33">
        <v>25.994606999999998</v>
      </c>
      <c r="N69" s="34">
        <v>1.2446705426356499</v>
      </c>
      <c r="O69" s="34">
        <v>1.2477004313447799</v>
      </c>
      <c r="P69" s="34">
        <v>1.2460107655941099</v>
      </c>
      <c r="Q69" s="34">
        <v>1.24635248962728</v>
      </c>
      <c r="R69" s="33">
        <v>25.7525369029564</v>
      </c>
      <c r="S69" s="33">
        <v>25.729170576246698</v>
      </c>
      <c r="T69" s="33">
        <v>25.7253190355421</v>
      </c>
      <c r="U69" s="15">
        <v>2.4313316382902801E-3</v>
      </c>
      <c r="V69" s="15">
        <v>1.52357898367168E-3</v>
      </c>
      <c r="W69" s="15">
        <v>1.3738722917656699E-3</v>
      </c>
      <c r="X69" s="34">
        <v>1.2466205736987099</v>
      </c>
      <c r="Y69" s="34">
        <v>1.2471244094690801</v>
      </c>
      <c r="Z69" s="34">
        <v>1.24643731062017</v>
      </c>
      <c r="AA69" s="34">
        <v>1.24640165529185</v>
      </c>
      <c r="AB69" s="33">
        <v>26.0051130137138</v>
      </c>
      <c r="AC69" s="33">
        <v>25.991762007665699</v>
      </c>
      <c r="AD69" s="33">
        <v>25.990225590009601</v>
      </c>
      <c r="AE69" s="15">
        <v>4.0407963173721799E-4</v>
      </c>
      <c r="AF69" s="15">
        <v>-1.09451473198109E-4</v>
      </c>
      <c r="AG69" s="15">
        <v>-1.68564936439853E-4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2.2066527748765782E-3</v>
      </c>
      <c r="BE69" s="29">
        <f t="shared" si="22"/>
        <v>0</v>
      </c>
      <c r="BF69" s="29">
        <f t="shared" si="23"/>
        <v>2.2066527748765782E-3</v>
      </c>
      <c r="BH69" s="29"/>
    </row>
    <row r="70" spans="1:60" x14ac:dyDescent="0.25">
      <c r="A70" s="1">
        <v>46125</v>
      </c>
      <c r="B70" s="33">
        <v>20.71</v>
      </c>
      <c r="C70" s="33">
        <v>25.77</v>
      </c>
      <c r="D70" s="15">
        <v>3.3857347941309199E-3</v>
      </c>
      <c r="E70" s="15">
        <v>3.10921354248143E-3</v>
      </c>
      <c r="F70" s="33">
        <v>0</v>
      </c>
      <c r="G70" s="33">
        <v>0.21206</v>
      </c>
      <c r="H70" s="33">
        <v>0</v>
      </c>
      <c r="I70" s="33">
        <v>0.30460700000000002</v>
      </c>
      <c r="J70" s="33">
        <v>0.21206</v>
      </c>
      <c r="K70" s="33">
        <v>0.30460700000000002</v>
      </c>
      <c r="L70" s="33">
        <v>20.922059999999998</v>
      </c>
      <c r="M70" s="33">
        <v>26.074607</v>
      </c>
      <c r="N70" s="34">
        <v>1.2443264123611699</v>
      </c>
      <c r="O70" s="34">
        <v>1.2477004313447799</v>
      </c>
      <c r="P70" s="34">
        <v>1.2453569870771399</v>
      </c>
      <c r="Q70" s="34">
        <v>1.2463129508703401</v>
      </c>
      <c r="R70" s="33">
        <v>25.839875933150498</v>
      </c>
      <c r="S70" s="33">
        <v>25.804882955454001</v>
      </c>
      <c r="T70" s="33">
        <v>25.811960060181001</v>
      </c>
      <c r="U70" s="15">
        <v>2.7078528899396001E-3</v>
      </c>
      <c r="V70" s="15">
        <v>1.3527111948401899E-3</v>
      </c>
      <c r="W70" s="15">
        <v>1.62692807281407E-3</v>
      </c>
      <c r="X70" s="34">
        <v>1.2462734071119099</v>
      </c>
      <c r="Y70" s="34">
        <v>1.2471244094690801</v>
      </c>
      <c r="Z70" s="34">
        <v>1.24629539056289</v>
      </c>
      <c r="AA70" s="34">
        <v>1.2463821046901999</v>
      </c>
      <c r="AB70" s="33">
        <v>26.0924117223766</v>
      </c>
      <c r="AC70" s="33">
        <v>26.0780361990338</v>
      </c>
      <c r="AD70" s="33">
        <v>26.0772902161155</v>
      </c>
      <c r="AE70" s="15">
        <v>6.8260458443164898E-4</v>
      </c>
      <c r="AF70" s="15">
        <v>1.3150624123598199E-4</v>
      </c>
      <c r="AG70" s="15">
        <v>1.02900038583623E-4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2.2066527748765782E-3</v>
      </c>
      <c r="BE70" s="29">
        <f t="shared" si="22"/>
        <v>0</v>
      </c>
      <c r="BF70" s="29">
        <f t="shared" si="23"/>
        <v>2.2066527748765782E-3</v>
      </c>
      <c r="BH70" s="29"/>
    </row>
    <row r="71" spans="1:60" x14ac:dyDescent="0.25">
      <c r="A71" s="1">
        <v>46126</v>
      </c>
      <c r="B71" s="33">
        <v>20.79</v>
      </c>
      <c r="C71" s="33">
        <v>25.86</v>
      </c>
      <c r="D71" s="15">
        <v>3.8554264624287198E-3</v>
      </c>
      <c r="E71" s="15">
        <v>3.4863486794377298E-3</v>
      </c>
      <c r="F71" s="33">
        <v>0</v>
      </c>
      <c r="G71" s="33">
        <v>0.21206</v>
      </c>
      <c r="H71" s="33">
        <v>0</v>
      </c>
      <c r="I71" s="33">
        <v>0.30460700000000002</v>
      </c>
      <c r="J71" s="33">
        <v>0.21206</v>
      </c>
      <c r="K71" s="33">
        <v>0.30460700000000002</v>
      </c>
      <c r="L71" s="33">
        <v>21.00206</v>
      </c>
      <c r="M71" s="33">
        <v>26.164607</v>
      </c>
      <c r="N71" s="34">
        <v>1.24386724386724</v>
      </c>
      <c r="O71" s="34">
        <v>1.2477004313447799</v>
      </c>
      <c r="P71" s="34">
        <v>1.2448295378493499</v>
      </c>
      <c r="Q71" s="34">
        <v>1.2463100059694301</v>
      </c>
      <c r="R71" s="33">
        <v>25.939691967658099</v>
      </c>
      <c r="S71" s="33">
        <v>25.890971761333802</v>
      </c>
      <c r="T71" s="33">
        <v>25.9108462485943</v>
      </c>
      <c r="U71" s="15">
        <v>3.0769306729307999E-3</v>
      </c>
      <c r="V71" s="15">
        <v>1.1969539499437E-3</v>
      </c>
      <c r="W71" s="15">
        <v>1.96428177739325E-3</v>
      </c>
      <c r="X71" s="34">
        <v>1.24581145849502</v>
      </c>
      <c r="Y71" s="34">
        <v>1.2471244094690801</v>
      </c>
      <c r="Z71" s="34">
        <v>1.2462755935940599</v>
      </c>
      <c r="AA71" s="34">
        <v>1.2463989934298301</v>
      </c>
      <c r="AB71" s="33">
        <v>26.192181675134101</v>
      </c>
      <c r="AC71" s="33">
        <v>26.1747705703254</v>
      </c>
      <c r="AD71" s="33">
        <v>26.1765917456298</v>
      </c>
      <c r="AE71" s="15">
        <v>1.05333724170308E-3</v>
      </c>
      <c r="AF71" s="15">
        <v>3.88371850219307E-4</v>
      </c>
      <c r="AG71" s="15">
        <v>4.5794693765305398E-4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2.2066527748765782E-3</v>
      </c>
      <c r="BE71" s="29">
        <f t="shared" si="22"/>
        <v>0</v>
      </c>
      <c r="BF71" s="29">
        <f t="shared" si="23"/>
        <v>2.2066527748765782E-3</v>
      </c>
      <c r="BH71" s="29"/>
    </row>
    <row r="72" spans="1:60" x14ac:dyDescent="0.25">
      <c r="A72" s="1">
        <v>46127</v>
      </c>
      <c r="B72" s="33">
        <v>20.77</v>
      </c>
      <c r="C72" s="33">
        <v>25.84</v>
      </c>
      <c r="D72" s="15">
        <v>-9.6246398190059695E-4</v>
      </c>
      <c r="E72" s="15">
        <v>-7.7369442931026898E-4</v>
      </c>
      <c r="F72" s="33">
        <v>0</v>
      </c>
      <c r="G72" s="33">
        <v>0.21206</v>
      </c>
      <c r="H72" s="33">
        <v>0</v>
      </c>
      <c r="I72" s="33">
        <v>0.30460700000000002</v>
      </c>
      <c r="J72" s="33">
        <v>0.21206</v>
      </c>
      <c r="K72" s="33">
        <v>0.30460700000000002</v>
      </c>
      <c r="L72" s="33">
        <v>20.982060000000001</v>
      </c>
      <c r="M72" s="33">
        <v>26.144607000000001</v>
      </c>
      <c r="N72" s="34">
        <v>1.24410207029369</v>
      </c>
      <c r="O72" s="34">
        <v>1.2477004313447799</v>
      </c>
      <c r="P72" s="34">
        <v>1.2442884778221801</v>
      </c>
      <c r="Q72" s="34">
        <v>1.2463170418512699</v>
      </c>
      <c r="R72" s="33">
        <v>25.9147379590312</v>
      </c>
      <c r="S72" s="33">
        <v>25.855109501131</v>
      </c>
      <c r="T72" s="33">
        <v>25.885858823985199</v>
      </c>
      <c r="U72" s="15">
        <v>2.8881611203403199E-3</v>
      </c>
      <c r="V72" s="15">
        <v>5.8456212616950405E-4</v>
      </c>
      <c r="W72" s="15">
        <v>1.7731493316137099E-3</v>
      </c>
      <c r="X72" s="34">
        <v>1.2460457648104999</v>
      </c>
      <c r="Y72" s="34">
        <v>1.2471244094690801</v>
      </c>
      <c r="Z72" s="34">
        <v>1.2462405491208901</v>
      </c>
      <c r="AA72" s="34">
        <v>1.2464262940291899</v>
      </c>
      <c r="AB72" s="33">
        <v>26.167239186944801</v>
      </c>
      <c r="AC72" s="33">
        <v>26.1494292813261</v>
      </c>
      <c r="AD72" s="33">
        <v>26.1520184640843</v>
      </c>
      <c r="AE72" s="15">
        <v>8.6527966441905801E-4</v>
      </c>
      <c r="AF72" s="15">
        <v>1.8442949455727299E-4</v>
      </c>
      <c r="AG72" s="15">
        <v>2.8343947886504302E-4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2.2066527748765782E-3</v>
      </c>
      <c r="BE72" s="29">
        <f t="shared" si="22"/>
        <v>0</v>
      </c>
      <c r="BF72" s="29">
        <f t="shared" si="23"/>
        <v>2.2066527748765782E-3</v>
      </c>
      <c r="BH72" s="29"/>
    </row>
    <row r="73" spans="1:60" x14ac:dyDescent="0.25">
      <c r="A73" s="1">
        <v>46128</v>
      </c>
      <c r="B73" s="33">
        <v>20.7</v>
      </c>
      <c r="C73" s="33">
        <v>25.76</v>
      </c>
      <c r="D73" s="15">
        <v>-3.3759376166975601E-3</v>
      </c>
      <c r="E73" s="15">
        <v>-3.1007776782481498E-3</v>
      </c>
      <c r="F73" s="33">
        <v>0</v>
      </c>
      <c r="G73" s="33">
        <v>0.21206</v>
      </c>
      <c r="H73" s="33">
        <v>0</v>
      </c>
      <c r="I73" s="33">
        <v>0.30460700000000002</v>
      </c>
      <c r="J73" s="33">
        <v>0.21206</v>
      </c>
      <c r="K73" s="33">
        <v>0.30460700000000002</v>
      </c>
      <c r="L73" s="33">
        <v>20.91206</v>
      </c>
      <c r="M73" s="33">
        <v>26.064606999999999</v>
      </c>
      <c r="N73" s="34">
        <v>1.24444444444444</v>
      </c>
      <c r="O73" s="34">
        <v>1.2477004313447799</v>
      </c>
      <c r="P73" s="34">
        <v>1.24434149091317</v>
      </c>
      <c r="Q73" s="34">
        <v>1.24632459675926</v>
      </c>
      <c r="R73" s="33">
        <v>25.827398928837098</v>
      </c>
      <c r="S73" s="33">
        <v>25.756771490919299</v>
      </c>
      <c r="T73" s="33">
        <v>25.7987627663213</v>
      </c>
      <c r="U73" s="15">
        <v>2.6130011818910098E-3</v>
      </c>
      <c r="V73" s="15">
        <v>-1.2533817595558001E-4</v>
      </c>
      <c r="W73" s="15">
        <v>1.50363474780388E-3</v>
      </c>
      <c r="X73" s="34">
        <v>1.24639117332295</v>
      </c>
      <c r="Y73" s="34">
        <v>1.2471244094690801</v>
      </c>
      <c r="Z73" s="34">
        <v>1.2462915195415101</v>
      </c>
      <c r="AA73" s="34">
        <v>1.24645396548502</v>
      </c>
      <c r="AB73" s="33">
        <v>26.079940478281902</v>
      </c>
      <c r="AC73" s="33">
        <v>26.0614571376491</v>
      </c>
      <c r="AD73" s="33">
        <v>26.065341446316001</v>
      </c>
      <c r="AE73" s="15">
        <v>5.8811436537350298E-4</v>
      </c>
      <c r="AF73" s="15">
        <v>-1.2085556071695E-4</v>
      </c>
      <c r="AG73" s="15">
        <v>2.8177519373308898E-5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2.2066527748765782E-3</v>
      </c>
      <c r="BE73" s="29">
        <f t="shared" si="22"/>
        <v>0</v>
      </c>
      <c r="BF73" s="29">
        <f t="shared" si="23"/>
        <v>2.2066527748765782E-3</v>
      </c>
      <c r="BH73" s="29"/>
    </row>
    <row r="74" spans="1:60" x14ac:dyDescent="0.25">
      <c r="A74" s="1">
        <v>46129</v>
      </c>
      <c r="B74" s="33">
        <v>20.8</v>
      </c>
      <c r="C74" s="33">
        <v>25.87</v>
      </c>
      <c r="D74" s="15">
        <v>4.8192864359489201E-3</v>
      </c>
      <c r="E74" s="15">
        <v>4.2610949617849399E-3</v>
      </c>
      <c r="F74" s="33">
        <v>0</v>
      </c>
      <c r="G74" s="33">
        <v>0.21206</v>
      </c>
      <c r="H74" s="33">
        <v>0</v>
      </c>
      <c r="I74" s="33">
        <v>0.30460700000000002</v>
      </c>
      <c r="J74" s="33">
        <v>0.21206</v>
      </c>
      <c r="K74" s="33">
        <v>0.30460700000000002</v>
      </c>
      <c r="L74" s="33">
        <v>21.012060000000002</v>
      </c>
      <c r="M74" s="33">
        <v>26.174607000000002</v>
      </c>
      <c r="N74" s="34">
        <v>1.2437499999999999</v>
      </c>
      <c r="O74" s="34">
        <v>1.2477004313447799</v>
      </c>
      <c r="P74" s="34">
        <v>1.24431086257741</v>
      </c>
      <c r="Q74" s="34">
        <v>1.24625434482127</v>
      </c>
      <c r="R74" s="33">
        <v>25.952168971971599</v>
      </c>
      <c r="S74" s="33">
        <v>25.882303010994001</v>
      </c>
      <c r="T74" s="33">
        <v>25.9235516125926</v>
      </c>
      <c r="U74" s="15">
        <v>3.1711926560552299E-3</v>
      </c>
      <c r="V74" s="15">
        <v>4.7545753560951397E-4</v>
      </c>
      <c r="W74" s="15">
        <v>2.0678879902338802E-3</v>
      </c>
      <c r="X74" s="34">
        <v>1.24569447260287</v>
      </c>
      <c r="Y74" s="34">
        <v>1.2471244094690801</v>
      </c>
      <c r="Z74" s="34">
        <v>1.2462594288175599</v>
      </c>
      <c r="AA74" s="34">
        <v>1.24640418371692</v>
      </c>
      <c r="AB74" s="33">
        <v>26.204652919228799</v>
      </c>
      <c r="AC74" s="33">
        <v>26.1871521860974</v>
      </c>
      <c r="AD74" s="33">
        <v>26.190565510009101</v>
      </c>
      <c r="AE74" s="15">
        <v>1.14724501914247E-3</v>
      </c>
      <c r="AF74" s="15">
        <v>4.7917360044808199E-4</v>
      </c>
      <c r="AG74" s="15">
        <v>6.0950856221063095E-4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2.2066527748765782E-3</v>
      </c>
      <c r="BE74" s="29">
        <f t="shared" si="22"/>
        <v>0</v>
      </c>
      <c r="BF74" s="29">
        <f t="shared" si="23"/>
        <v>2.2066527748765782E-3</v>
      </c>
      <c r="BH74" s="29"/>
    </row>
    <row r="75" spans="1:60" x14ac:dyDescent="0.25">
      <c r="A75" s="1">
        <v>46132</v>
      </c>
      <c r="B75" s="33">
        <v>20.71</v>
      </c>
      <c r="C75" s="33">
        <v>25.9</v>
      </c>
      <c r="D75" s="15">
        <v>-4.3363112997794797E-3</v>
      </c>
      <c r="E75" s="15">
        <v>1.1589725075542099E-3</v>
      </c>
      <c r="F75" s="33">
        <v>8.3650000000000002E-2</v>
      </c>
      <c r="G75" s="33">
        <v>0.29570999999999997</v>
      </c>
      <c r="H75" s="33">
        <v>0</v>
      </c>
      <c r="I75" s="33">
        <v>0.30460700000000002</v>
      </c>
      <c r="J75" s="33">
        <v>0.29570999999999997</v>
      </c>
      <c r="K75" s="33">
        <v>0.30460700000000002</v>
      </c>
      <c r="L75" s="33">
        <v>21.005710000000001</v>
      </c>
      <c r="M75" s="33">
        <v>26.204606999999999</v>
      </c>
      <c r="N75" s="34">
        <v>1.25060357315306</v>
      </c>
      <c r="O75" s="34">
        <v>1.2477004313447799</v>
      </c>
      <c r="P75" s="34">
        <v>1.24496674735991</v>
      </c>
      <c r="Q75" s="34">
        <v>1.2465236112670599</v>
      </c>
      <c r="R75" s="33">
        <v>25.839875933150498</v>
      </c>
      <c r="S75" s="33">
        <v>25.7696779639783</v>
      </c>
      <c r="T75" s="33">
        <v>25.8099274812486</v>
      </c>
      <c r="U75" s="15">
        <v>-2.3240911512785898E-3</v>
      </c>
      <c r="V75" s="15">
        <v>-5.0444406665133704E-3</v>
      </c>
      <c r="W75" s="15">
        <v>-3.4837646941939101E-3</v>
      </c>
      <c r="X75" s="34">
        <v>1.24749922759097</v>
      </c>
      <c r="Y75" s="34">
        <v>1.2471244094690801</v>
      </c>
      <c r="Z75" s="34">
        <v>1.24640858052701</v>
      </c>
      <c r="AA75" s="34">
        <v>1.2464405653924</v>
      </c>
      <c r="AB75" s="33">
        <v>26.1967336792287</v>
      </c>
      <c r="AC75" s="33">
        <v>26.178564146507401</v>
      </c>
      <c r="AD75" s="33">
        <v>26.1816048259445</v>
      </c>
      <c r="AE75" s="15">
        <v>-3.0050074018839797E-4</v>
      </c>
      <c r="AF75" s="15">
        <v>-9.943214611947001E-4</v>
      </c>
      <c r="AG75" s="15">
        <v>-8.7817670841281695E-4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2.2066527748765782E-3</v>
      </c>
      <c r="BE75" s="29">
        <f t="shared" si="22"/>
        <v>0</v>
      </c>
      <c r="BF75" s="29">
        <f t="shared" si="23"/>
        <v>2.2066527748765782E-3</v>
      </c>
      <c r="BH75" s="29"/>
    </row>
    <row r="76" spans="1:60" x14ac:dyDescent="0.25">
      <c r="A76" s="1">
        <v>46133</v>
      </c>
      <c r="B76" s="33">
        <v>20.63</v>
      </c>
      <c r="C76" s="33">
        <v>25.79</v>
      </c>
      <c r="D76" s="15">
        <v>-3.8703483243324099E-3</v>
      </c>
      <c r="E76" s="15">
        <v>-4.2561488122385797E-3</v>
      </c>
      <c r="F76" s="33">
        <v>0</v>
      </c>
      <c r="G76" s="33">
        <v>0.29570999999999997</v>
      </c>
      <c r="H76" s="33">
        <v>0</v>
      </c>
      <c r="I76" s="33">
        <v>0.30460700000000002</v>
      </c>
      <c r="J76" s="33">
        <v>0.29570999999999997</v>
      </c>
      <c r="K76" s="33">
        <v>0.30460700000000002</v>
      </c>
      <c r="L76" s="33">
        <v>20.925709999999999</v>
      </c>
      <c r="M76" s="33">
        <v>26.094607</v>
      </c>
      <c r="N76" s="34">
        <v>1.2501211827435701</v>
      </c>
      <c r="O76" s="34">
        <v>1.2477004313447799</v>
      </c>
      <c r="P76" s="34">
        <v>1.24552471716265</v>
      </c>
      <c r="Q76" s="34">
        <v>1.24658468262918</v>
      </c>
      <c r="R76" s="33">
        <v>25.740059898643</v>
      </c>
      <c r="S76" s="33">
        <v>25.683663998034898</v>
      </c>
      <c r="T76" s="33">
        <v>25.715782100439501</v>
      </c>
      <c r="U76" s="15">
        <v>-1.9382906633723699E-3</v>
      </c>
      <c r="V76" s="15">
        <v>-4.1316721979756301E-3</v>
      </c>
      <c r="W76" s="15">
        <v>-2.8819269566208198E-3</v>
      </c>
      <c r="X76" s="34">
        <v>1.24701178598002</v>
      </c>
      <c r="Y76" s="34">
        <v>1.2471244094690801</v>
      </c>
      <c r="Z76" s="34">
        <v>1.2464601951529599</v>
      </c>
      <c r="AA76" s="34">
        <v>1.24650220334773</v>
      </c>
      <c r="AB76" s="33">
        <v>26.096963726471198</v>
      </c>
      <c r="AC76" s="33">
        <v>26.081984497619999</v>
      </c>
      <c r="AD76" s="33">
        <v>26.082653803637399</v>
      </c>
      <c r="AE76" s="15">
        <v>9.0310616830606294E-5</v>
      </c>
      <c r="AF76" s="15">
        <v>-4.8383776187377602E-4</v>
      </c>
      <c r="AG76" s="15">
        <v>-4.5817646950133101E-4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2.2066527748765782E-3</v>
      </c>
      <c r="BE76" s="29">
        <f t="shared" si="22"/>
        <v>0</v>
      </c>
      <c r="BF76" s="29">
        <f t="shared" si="23"/>
        <v>2.2066527748765782E-3</v>
      </c>
      <c r="BH76" s="29"/>
    </row>
    <row r="77" spans="1:60" x14ac:dyDescent="0.25">
      <c r="A77" s="1">
        <v>46134</v>
      </c>
      <c r="B77" s="33">
        <v>20.66</v>
      </c>
      <c r="C77" s="33">
        <v>25.83</v>
      </c>
      <c r="D77" s="15">
        <v>1.4531366083321701E-3</v>
      </c>
      <c r="E77" s="15">
        <v>1.5497872144957399E-3</v>
      </c>
      <c r="F77" s="33">
        <v>0</v>
      </c>
      <c r="G77" s="33">
        <v>0.29570999999999997</v>
      </c>
      <c r="H77" s="33">
        <v>0</v>
      </c>
      <c r="I77" s="33">
        <v>0.30460700000000002</v>
      </c>
      <c r="J77" s="33">
        <v>0.29570999999999997</v>
      </c>
      <c r="K77" s="33">
        <v>0.30460700000000002</v>
      </c>
      <c r="L77" s="33">
        <v>20.95571</v>
      </c>
      <c r="M77" s="33">
        <v>26.134606999999999</v>
      </c>
      <c r="N77" s="34">
        <v>1.2502420135527501</v>
      </c>
      <c r="O77" s="34">
        <v>1.2477004313447799</v>
      </c>
      <c r="P77" s="34">
        <v>1.2460808334115401</v>
      </c>
      <c r="Q77" s="34">
        <v>1.2465661310262901</v>
      </c>
      <c r="R77" s="33">
        <v>25.7774909115833</v>
      </c>
      <c r="S77" s="33">
        <v>25.732540656580301</v>
      </c>
      <c r="T77" s="33">
        <v>25.754439543118799</v>
      </c>
      <c r="U77" s="15">
        <v>-2.0349412695359198E-3</v>
      </c>
      <c r="V77" s="15">
        <v>-3.78024272032782E-3</v>
      </c>
      <c r="W77" s="15">
        <v>-2.9295854172932401E-3</v>
      </c>
      <c r="X77" s="34">
        <v>1.24713536310628</v>
      </c>
      <c r="Y77" s="34">
        <v>1.2471244094690801</v>
      </c>
      <c r="Z77" s="34">
        <v>1.24651102706776</v>
      </c>
      <c r="AA77" s="34">
        <v>1.2464856918407199</v>
      </c>
      <c r="AB77" s="33">
        <v>26.134377458755299</v>
      </c>
      <c r="AC77" s="33">
        <v>26.120458376168902</v>
      </c>
      <c r="AD77" s="33">
        <v>26.121338687716101</v>
      </c>
      <c r="AE77" s="15">
        <v>-8.7830765059376702E-6</v>
      </c>
      <c r="AF77" s="15">
        <v>-5.4152163335628397E-4</v>
      </c>
      <c r="AG77" s="15">
        <v>-5.0782020665272702E-4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2.2066527748765782E-3</v>
      </c>
      <c r="BE77" s="29">
        <f t="shared" si="22"/>
        <v>0</v>
      </c>
      <c r="BF77" s="29">
        <f t="shared" si="23"/>
        <v>2.2066527748765782E-3</v>
      </c>
      <c r="BH77" s="29"/>
    </row>
    <row r="78" spans="1:60" x14ac:dyDescent="0.25">
      <c r="A78" s="1">
        <v>46135</v>
      </c>
      <c r="B78" s="33">
        <v>20.62</v>
      </c>
      <c r="C78" s="33">
        <v>25.77</v>
      </c>
      <c r="D78" s="15">
        <v>-1.93798510267857E-3</v>
      </c>
      <c r="E78" s="15">
        <v>-2.3255824434754101E-3</v>
      </c>
      <c r="F78" s="33">
        <v>0</v>
      </c>
      <c r="G78" s="33">
        <v>0.29570999999999997</v>
      </c>
      <c r="H78" s="33">
        <v>0</v>
      </c>
      <c r="I78" s="33">
        <v>0.30460700000000002</v>
      </c>
      <c r="J78" s="33">
        <v>0.29570999999999997</v>
      </c>
      <c r="K78" s="33">
        <v>0.30460700000000002</v>
      </c>
      <c r="L78" s="33">
        <v>20.915710000000001</v>
      </c>
      <c r="M78" s="33">
        <v>26.074607</v>
      </c>
      <c r="N78" s="34">
        <v>1.24975751697381</v>
      </c>
      <c r="O78" s="34">
        <v>1.2477004313447799</v>
      </c>
      <c r="P78" s="34">
        <v>1.2465885000025401</v>
      </c>
      <c r="Q78" s="34">
        <v>1.2465784209374799</v>
      </c>
      <c r="R78" s="33">
        <v>25.727582894329501</v>
      </c>
      <c r="S78" s="33">
        <v>25.694186784946002</v>
      </c>
      <c r="T78" s="33">
        <v>25.704193621762101</v>
      </c>
      <c r="U78" s="15">
        <v>-1.64734392873914E-3</v>
      </c>
      <c r="V78" s="15">
        <v>-2.94625348736388E-3</v>
      </c>
      <c r="W78" s="15">
        <v>-2.5568701307952398E-3</v>
      </c>
      <c r="X78" s="34">
        <v>1.2466517751489099</v>
      </c>
      <c r="Y78" s="34">
        <v>1.2471244094690801</v>
      </c>
      <c r="Z78" s="34">
        <v>1.24651350018681</v>
      </c>
      <c r="AA78" s="34">
        <v>1.2464988184469801</v>
      </c>
      <c r="AB78" s="33">
        <v>26.084492482376501</v>
      </c>
      <c r="AC78" s="33">
        <v>26.071663153951398</v>
      </c>
      <c r="AD78" s="33">
        <v>26.0711332496899</v>
      </c>
      <c r="AE78" s="15">
        <v>3.7905111832858899E-4</v>
      </c>
      <c r="AF78" s="15">
        <v>-1.12907252733859E-4</v>
      </c>
      <c r="AG78" s="15">
        <v>-1.33232371371506E-4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2.2066527748765782E-3</v>
      </c>
      <c r="BE78" s="29">
        <f t="shared" si="22"/>
        <v>0</v>
      </c>
      <c r="BF78" s="29">
        <f t="shared" si="23"/>
        <v>2.2066527748765782E-3</v>
      </c>
      <c r="BH78" s="29"/>
    </row>
    <row r="79" spans="1:60" x14ac:dyDescent="0.25">
      <c r="A79" s="1">
        <v>46136</v>
      </c>
      <c r="B79" s="33">
        <v>20.64</v>
      </c>
      <c r="C79" s="33">
        <v>25.79</v>
      </c>
      <c r="D79" s="15">
        <v>9.6946202454816302E-4</v>
      </c>
      <c r="E79" s="15">
        <v>7.7579522897979099E-4</v>
      </c>
      <c r="F79" s="33">
        <v>0</v>
      </c>
      <c r="G79" s="33">
        <v>0.29570999999999997</v>
      </c>
      <c r="H79" s="33">
        <v>0</v>
      </c>
      <c r="I79" s="33">
        <v>0.30460700000000002</v>
      </c>
      <c r="J79" s="33">
        <v>0.29570999999999997</v>
      </c>
      <c r="K79" s="33">
        <v>0.30460700000000002</v>
      </c>
      <c r="L79" s="33">
        <v>20.93571</v>
      </c>
      <c r="M79" s="33">
        <v>26.094607</v>
      </c>
      <c r="N79" s="34">
        <v>1.24951550387596</v>
      </c>
      <c r="O79" s="34">
        <v>1.2477004313447799</v>
      </c>
      <c r="P79" s="34">
        <v>1.2470729961265701</v>
      </c>
      <c r="Q79" s="34">
        <v>1.2465418808603399</v>
      </c>
      <c r="R79" s="33">
        <v>25.7525369029564</v>
      </c>
      <c r="S79" s="33">
        <v>25.7295866400524</v>
      </c>
      <c r="T79" s="33">
        <v>25.729378608149599</v>
      </c>
      <c r="U79" s="15">
        <v>-1.45367713317076E-3</v>
      </c>
      <c r="V79" s="15">
        <v>-2.34525902004043E-3</v>
      </c>
      <c r="W79" s="15">
        <v>-2.3533443712280499E-3</v>
      </c>
      <c r="X79" s="34">
        <v>1.2464161473386799</v>
      </c>
      <c r="Y79" s="34">
        <v>1.2471244094690801</v>
      </c>
      <c r="Z79" s="34">
        <v>1.24649305755081</v>
      </c>
      <c r="AA79" s="34">
        <v>1.2464651840854899</v>
      </c>
      <c r="AB79" s="33">
        <v>26.1094349705659</v>
      </c>
      <c r="AC79" s="33">
        <v>26.096645150996199</v>
      </c>
      <c r="AD79" s="33">
        <v>26.096337778348701</v>
      </c>
      <c r="AE79" s="15">
        <v>5.6807750530313002E-4</v>
      </c>
      <c r="AF79" s="15">
        <v>7.8103165309952095E-5</v>
      </c>
      <c r="AG79" s="15">
        <v>6.6324852203947097E-5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2.2066527748765782E-3</v>
      </c>
      <c r="BE79" s="29">
        <f t="shared" si="22"/>
        <v>0</v>
      </c>
      <c r="BF79" s="29">
        <f t="shared" si="23"/>
        <v>2.2066527748765782E-3</v>
      </c>
      <c r="BH79" s="29"/>
    </row>
    <row r="80" spans="1:60" x14ac:dyDescent="0.25">
      <c r="A80" s="1">
        <v>46139</v>
      </c>
      <c r="B80" s="33">
        <v>20.57</v>
      </c>
      <c r="C80" s="33">
        <v>25.71</v>
      </c>
      <c r="D80" s="15">
        <v>-3.3972369484961901E-3</v>
      </c>
      <c r="E80" s="15">
        <v>-3.1067986154552302E-3</v>
      </c>
      <c r="F80" s="33">
        <v>0</v>
      </c>
      <c r="G80" s="33">
        <v>0.29570999999999997</v>
      </c>
      <c r="H80" s="33">
        <v>0</v>
      </c>
      <c r="I80" s="33">
        <v>0.30460700000000002</v>
      </c>
      <c r="J80" s="33">
        <v>0.29570999999999997</v>
      </c>
      <c r="K80" s="33">
        <v>0.30460700000000002</v>
      </c>
      <c r="L80" s="33">
        <v>20.86571</v>
      </c>
      <c r="M80" s="33">
        <v>26.014607000000002</v>
      </c>
      <c r="N80" s="34">
        <v>1.2498784637822</v>
      </c>
      <c r="O80" s="34">
        <v>1.2477004313447799</v>
      </c>
      <c r="P80" s="34">
        <v>1.2476282012686699</v>
      </c>
      <c r="Q80" s="34">
        <v>1.2464925941729099</v>
      </c>
      <c r="R80" s="33">
        <v>25.665197872762299</v>
      </c>
      <c r="S80" s="33">
        <v>25.652291530323598</v>
      </c>
      <c r="T80" s="33">
        <v>25.641366489297202</v>
      </c>
      <c r="U80" s="15">
        <v>-1.7441154662117401E-3</v>
      </c>
      <c r="V80" s="15">
        <v>-2.2471152372814298E-3</v>
      </c>
      <c r="W80" s="15">
        <v>-2.6730954310668301E-3</v>
      </c>
      <c r="X80" s="34">
        <v>1.24676356567785</v>
      </c>
      <c r="Y80" s="34">
        <v>1.2471244094690801</v>
      </c>
      <c r="Z80" s="34">
        <v>1.24654207340741</v>
      </c>
      <c r="AA80" s="34">
        <v>1.2464187319851501</v>
      </c>
      <c r="AB80" s="33">
        <v>26.022136261903</v>
      </c>
      <c r="AC80" s="33">
        <v>26.008962655868601</v>
      </c>
      <c r="AD80" s="33">
        <v>26.008381056224501</v>
      </c>
      <c r="AE80" s="15">
        <v>2.8938252026027998E-4</v>
      </c>
      <c r="AF80" s="15">
        <v>-2.16991805477105E-4</v>
      </c>
      <c r="AG80" s="15">
        <v>-2.3935356417660001E-4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2.2066527748765782E-3</v>
      </c>
      <c r="BE80" s="29">
        <f t="shared" si="22"/>
        <v>0</v>
      </c>
      <c r="BF80" s="29">
        <f t="shared" si="23"/>
        <v>2.2066527748765782E-3</v>
      </c>
      <c r="BH80" s="29"/>
    </row>
    <row r="81" spans="1:60" x14ac:dyDescent="0.25">
      <c r="A81" s="1">
        <v>46140</v>
      </c>
      <c r="B81" s="33">
        <v>20.57</v>
      </c>
      <c r="C81" s="33">
        <v>25.71</v>
      </c>
      <c r="D81" s="15">
        <v>0</v>
      </c>
      <c r="E81" s="15">
        <v>0</v>
      </c>
      <c r="F81" s="33">
        <v>0</v>
      </c>
      <c r="G81" s="33">
        <v>0.29570999999999997</v>
      </c>
      <c r="H81" s="33">
        <v>0</v>
      </c>
      <c r="I81" s="33">
        <v>0.30460700000000002</v>
      </c>
      <c r="J81" s="33">
        <v>0.29570999999999997</v>
      </c>
      <c r="K81" s="33">
        <v>0.30460700000000002</v>
      </c>
      <c r="L81" s="33">
        <v>20.86571</v>
      </c>
      <c r="M81" s="33">
        <v>26.014607000000002</v>
      </c>
      <c r="N81" s="34">
        <v>1.2498784637822</v>
      </c>
      <c r="O81" s="34">
        <v>1.2477004313447799</v>
      </c>
      <c r="P81" s="34">
        <v>1.24822932326017</v>
      </c>
      <c r="Q81" s="34">
        <v>1.2465294305547601</v>
      </c>
      <c r="R81" s="33">
        <v>25.665197872762299</v>
      </c>
      <c r="S81" s="33">
        <v>25.6637121000966</v>
      </c>
      <c r="T81" s="33">
        <v>25.640352662136699</v>
      </c>
      <c r="U81" s="15">
        <v>-1.7441154662117401E-3</v>
      </c>
      <c r="V81" s="15">
        <v>-1.8020077014776401E-3</v>
      </c>
      <c r="W81" s="15">
        <v>-2.7126349464104802E-3</v>
      </c>
      <c r="X81" s="34">
        <v>1.24676356567785</v>
      </c>
      <c r="Y81" s="34">
        <v>1.2471244094690801</v>
      </c>
      <c r="Z81" s="34">
        <v>1.2466372841256901</v>
      </c>
      <c r="AA81" s="34">
        <v>1.24645643885987</v>
      </c>
      <c r="AB81" s="33">
        <v>26.022136261903</v>
      </c>
      <c r="AC81" s="33">
        <v>26.0099854065177</v>
      </c>
      <c r="AD81" s="33">
        <v>26.007411800169901</v>
      </c>
      <c r="AE81" s="15">
        <v>2.8938252026027998E-4</v>
      </c>
      <c r="AF81" s="15">
        <v>-1.77669570510561E-4</v>
      </c>
      <c r="AG81" s="15">
        <v>-2.76621324657921E-4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2.2066527748765782E-3</v>
      </c>
      <c r="BE81" s="29">
        <f t="shared" si="22"/>
        <v>0</v>
      </c>
      <c r="BF81" s="29">
        <f t="shared" si="23"/>
        <v>2.2066527748765782E-3</v>
      </c>
      <c r="BH81" s="29"/>
    </row>
    <row r="82" spans="1:60" x14ac:dyDescent="0.25">
      <c r="A82" s="1">
        <v>46141</v>
      </c>
      <c r="B82" s="33">
        <v>20.48</v>
      </c>
      <c r="C82" s="33">
        <v>25.6</v>
      </c>
      <c r="D82" s="15">
        <v>-4.3849034935587996E-3</v>
      </c>
      <c r="E82" s="15">
        <v>-4.2876697922812502E-3</v>
      </c>
      <c r="F82" s="33">
        <v>0</v>
      </c>
      <c r="G82" s="33">
        <v>0.29570999999999997</v>
      </c>
      <c r="H82" s="33">
        <v>0</v>
      </c>
      <c r="I82" s="33">
        <v>0.30460700000000002</v>
      </c>
      <c r="J82" s="33">
        <v>0.29570999999999997</v>
      </c>
      <c r="K82" s="33">
        <v>0.30460700000000002</v>
      </c>
      <c r="L82" s="33">
        <v>20.77571</v>
      </c>
      <c r="M82" s="33">
        <v>25.904606999999999</v>
      </c>
      <c r="N82" s="34">
        <v>1.25</v>
      </c>
      <c r="O82" s="34">
        <v>1.2477004313447799</v>
      </c>
      <c r="P82" s="34">
        <v>1.2488191162308</v>
      </c>
      <c r="Q82" s="34">
        <v>1.2465537970264899</v>
      </c>
      <c r="R82" s="33">
        <v>25.552904833941199</v>
      </c>
      <c r="S82" s="33">
        <v>25.5637365403683</v>
      </c>
      <c r="T82" s="33">
        <v>25.528922737761501</v>
      </c>
      <c r="U82" s="15">
        <v>-1.84134916748918E-3</v>
      </c>
      <c r="V82" s="15">
        <v>-1.4175456350989601E-3</v>
      </c>
      <c r="W82" s="15">
        <v>-2.7803170580999901E-3</v>
      </c>
      <c r="X82" s="34">
        <v>1.2468698783338801</v>
      </c>
      <c r="Y82" s="34">
        <v>1.2471244094690801</v>
      </c>
      <c r="Z82" s="34">
        <v>1.24671969547803</v>
      </c>
      <c r="AA82" s="34">
        <v>1.2464801222994599</v>
      </c>
      <c r="AB82" s="33">
        <v>25.909895065050801</v>
      </c>
      <c r="AC82" s="33">
        <v>25.899774690183001</v>
      </c>
      <c r="AD82" s="33">
        <v>25.896017501385501</v>
      </c>
      <c r="AE82" s="15">
        <v>2.0411525184943201E-4</v>
      </c>
      <c r="AF82" s="15">
        <v>-1.8655988830886599E-4</v>
      </c>
      <c r="AG82" s="15">
        <v>-3.3163687796741698E-4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2.2066527748765782E-3</v>
      </c>
      <c r="BE82" s="29">
        <f t="shared" si="22"/>
        <v>0</v>
      </c>
      <c r="BF82" s="29">
        <f t="shared" si="23"/>
        <v>2.2066527748765782E-3</v>
      </c>
      <c r="BH82" s="29"/>
    </row>
    <row r="83" spans="1:60" x14ac:dyDescent="0.25">
      <c r="A83" s="1">
        <v>46142</v>
      </c>
      <c r="B83" s="33">
        <v>20.5</v>
      </c>
      <c r="C83" s="33">
        <v>25.64</v>
      </c>
      <c r="D83" s="15">
        <v>9.7608597305545795E-4</v>
      </c>
      <c r="E83" s="15">
        <v>1.5612805669524099E-3</v>
      </c>
      <c r="F83" s="33">
        <v>0</v>
      </c>
      <c r="G83" s="33">
        <v>0.29570999999999997</v>
      </c>
      <c r="H83" s="33">
        <v>0</v>
      </c>
      <c r="I83" s="33">
        <v>0.30460700000000002</v>
      </c>
      <c r="J83" s="33">
        <v>0.29570999999999997</v>
      </c>
      <c r="K83" s="33">
        <v>0.30460700000000002</v>
      </c>
      <c r="L83" s="33">
        <v>20.79571</v>
      </c>
      <c r="M83" s="33">
        <v>25.944607000000001</v>
      </c>
      <c r="N83" s="34">
        <v>1.2507317073170701</v>
      </c>
      <c r="O83" s="34">
        <v>1.2477004313447799</v>
      </c>
      <c r="P83" s="34">
        <v>1.24944784251806</v>
      </c>
      <c r="Q83" s="34">
        <v>1.24689466671562</v>
      </c>
      <c r="R83" s="33">
        <v>25.577858842568101</v>
      </c>
      <c r="S83" s="33">
        <v>25.6007918827314</v>
      </c>
      <c r="T83" s="33">
        <v>25.554352839043101</v>
      </c>
      <c r="U83" s="15">
        <v>-2.4265437613861999E-3</v>
      </c>
      <c r="V83" s="15">
        <v>-1.53034812616673E-3</v>
      </c>
      <c r="W83" s="15">
        <v>-3.34596439303169E-3</v>
      </c>
      <c r="X83" s="34">
        <v>1.2475941913019499</v>
      </c>
      <c r="Y83" s="34">
        <v>1.2471244094690801</v>
      </c>
      <c r="Z83" s="34">
        <v>1.2468399972759301</v>
      </c>
      <c r="AA83" s="34">
        <v>1.24656575840872</v>
      </c>
      <c r="AB83" s="33">
        <v>25.9348375532402</v>
      </c>
      <c r="AC83" s="33">
        <v>25.9264212384494</v>
      </c>
      <c r="AD83" s="33">
        <v>25.921439144104099</v>
      </c>
      <c r="AE83" s="15">
        <v>-3.7662110530883999E-4</v>
      </c>
      <c r="AF83" s="15">
        <v>-7.0119150952997105E-4</v>
      </c>
      <c r="AG83" s="15">
        <v>-8.9337280009053996E-4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2.2066527748765782E-3</v>
      </c>
      <c r="BE83" s="29">
        <f t="shared" si="22"/>
        <v>0</v>
      </c>
      <c r="BF83" s="29">
        <f t="shared" si="23"/>
        <v>2.2066527748765782E-3</v>
      </c>
      <c r="BH83" s="29"/>
    </row>
    <row r="84" spans="1:60" x14ac:dyDescent="0.25">
      <c r="A84" s="1">
        <v>46143</v>
      </c>
      <c r="B84" s="33">
        <v>20.54</v>
      </c>
      <c r="C84" s="33">
        <v>25.57</v>
      </c>
      <c r="D84" s="15">
        <v>1.94931835604967E-3</v>
      </c>
      <c r="E84" s="15">
        <v>-2.7338427493740899E-3</v>
      </c>
      <c r="F84" s="33">
        <v>0</v>
      </c>
      <c r="G84" s="33">
        <v>0.29570999999999997</v>
      </c>
      <c r="H84" s="33">
        <v>0.103631</v>
      </c>
      <c r="I84" s="33">
        <v>0.40823799999999999</v>
      </c>
      <c r="J84" s="33">
        <v>0.29570999999999997</v>
      </c>
      <c r="K84" s="33">
        <v>0.40823799999999999</v>
      </c>
      <c r="L84" s="33">
        <v>20.835709999999999</v>
      </c>
      <c r="M84" s="33">
        <v>25.978238000000001</v>
      </c>
      <c r="N84" s="34">
        <v>1.24488802336903</v>
      </c>
      <c r="O84" s="34">
        <v>1.2477004313447799</v>
      </c>
      <c r="P84" s="34">
        <v>1.24956164485497</v>
      </c>
      <c r="Q84" s="34">
        <v>1.2469362537161901</v>
      </c>
      <c r="R84" s="33">
        <v>25.6277668598219</v>
      </c>
      <c r="S84" s="33">
        <v>25.663658685321</v>
      </c>
      <c r="T84" s="33">
        <v>25.611216454338798</v>
      </c>
      <c r="U84" s="15">
        <v>2.25661734403737E-3</v>
      </c>
      <c r="V84" s="15">
        <v>3.6561429363173399E-3</v>
      </c>
      <c r="W84" s="15">
        <v>1.6106089735277E-3</v>
      </c>
      <c r="X84" s="34">
        <v>1.24681318755156</v>
      </c>
      <c r="Y84" s="34">
        <v>1.2471244094690801</v>
      </c>
      <c r="Z84" s="34">
        <v>1.2469518687707899</v>
      </c>
      <c r="AA84" s="34">
        <v>1.2466056487941799</v>
      </c>
      <c r="AB84" s="33">
        <v>25.984722529618999</v>
      </c>
      <c r="AC84" s="33">
        <v>25.978796599641999</v>
      </c>
      <c r="AD84" s="33">
        <v>25.973082638134098</v>
      </c>
      <c r="AE84" s="15">
        <v>2.4958276382171598E-4</v>
      </c>
      <c r="AF84" s="15">
        <v>2.1502368116213502E-5</v>
      </c>
      <c r="AG84" s="15">
        <v>-1.9846894436594499E-4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2.2066527748765782E-3</v>
      </c>
      <c r="BE84" s="29">
        <f t="shared" si="22"/>
        <v>0</v>
      </c>
      <c r="BF84" s="29">
        <f t="shared" si="23"/>
        <v>2.2066527748765782E-3</v>
      </c>
      <c r="BH84" s="29"/>
    </row>
    <row r="85" spans="1:60" x14ac:dyDescent="0.25">
      <c r="A85" s="1">
        <v>46146</v>
      </c>
      <c r="B85" s="33">
        <v>20.46</v>
      </c>
      <c r="C85" s="33">
        <v>25.49</v>
      </c>
      <c r="D85" s="15">
        <v>-3.9024439769316998E-3</v>
      </c>
      <c r="E85" s="15">
        <v>-3.1335709150712601E-3</v>
      </c>
      <c r="F85" s="33">
        <v>0</v>
      </c>
      <c r="G85" s="33">
        <v>0.29570999999999997</v>
      </c>
      <c r="H85" s="33">
        <v>0</v>
      </c>
      <c r="I85" s="33">
        <v>0.40823799999999999</v>
      </c>
      <c r="J85" s="33">
        <v>0.29570999999999997</v>
      </c>
      <c r="K85" s="33">
        <v>0.40823799999999999</v>
      </c>
      <c r="L85" s="33">
        <v>20.755710000000001</v>
      </c>
      <c r="M85" s="33">
        <v>25.898237999999999</v>
      </c>
      <c r="N85" s="34">
        <v>1.2458455522971601</v>
      </c>
      <c r="O85" s="34">
        <v>1.2477004313447799</v>
      </c>
      <c r="P85" s="34">
        <v>1.2490858427693801</v>
      </c>
      <c r="Q85" s="34">
        <v>1.24702629506464</v>
      </c>
      <c r="R85" s="33">
        <v>25.527950825314399</v>
      </c>
      <c r="S85" s="33">
        <v>25.566031253732699</v>
      </c>
      <c r="T85" s="33">
        <v>25.512315751033299</v>
      </c>
      <c r="U85" s="15">
        <v>1.48774428217705E-3</v>
      </c>
      <c r="V85" s="15">
        <v>2.9783478295885698E-3</v>
      </c>
      <c r="W85" s="15">
        <v>8.7508781233976499E-4</v>
      </c>
      <c r="X85" s="34">
        <v>1.24776449468604</v>
      </c>
      <c r="Y85" s="34">
        <v>1.2471244094690801</v>
      </c>
      <c r="Z85" s="34">
        <v>1.2469783954803</v>
      </c>
      <c r="AA85" s="34">
        <v>1.24669348800366</v>
      </c>
      <c r="AB85" s="33">
        <v>25.884952576861401</v>
      </c>
      <c r="AC85" s="33">
        <v>25.881371372164701</v>
      </c>
      <c r="AD85" s="33">
        <v>25.874185330733901</v>
      </c>
      <c r="AE85" s="15">
        <v>-5.1311722132235703E-4</v>
      </c>
      <c r="AF85" s="15">
        <v>-6.5147762357794397E-4</v>
      </c>
      <c r="AG85" s="15">
        <v>-9.2916921593314797E-4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2.2066527748765782E-3</v>
      </c>
      <c r="BE85" s="29">
        <f t="shared" si="22"/>
        <v>0</v>
      </c>
      <c r="BF85" s="29">
        <f t="shared" si="23"/>
        <v>2.2066527748765782E-3</v>
      </c>
      <c r="BH85" s="29"/>
    </row>
    <row r="86" spans="1:60" x14ac:dyDescent="0.25">
      <c r="A86" s="1">
        <v>46147</v>
      </c>
      <c r="B86" s="33">
        <v>20.53</v>
      </c>
      <c r="C86" s="33">
        <v>25.55</v>
      </c>
      <c r="D86" s="15">
        <v>3.4154705073617701E-3</v>
      </c>
      <c r="E86" s="15">
        <v>2.3510982616893801E-3</v>
      </c>
      <c r="F86" s="33">
        <v>0</v>
      </c>
      <c r="G86" s="33">
        <v>0.29570999999999997</v>
      </c>
      <c r="H86" s="33">
        <v>0</v>
      </c>
      <c r="I86" s="33">
        <v>0.40823799999999999</v>
      </c>
      <c r="J86" s="33">
        <v>0.29570999999999997</v>
      </c>
      <c r="K86" s="33">
        <v>0.40823799999999999</v>
      </c>
      <c r="L86" s="33">
        <v>20.825710000000001</v>
      </c>
      <c r="M86" s="33">
        <v>25.958238000000001</v>
      </c>
      <c r="N86" s="34">
        <v>1.2445202143205001</v>
      </c>
      <c r="O86" s="34">
        <v>1.2477004313447799</v>
      </c>
      <c r="P86" s="34">
        <v>1.24852574592707</v>
      </c>
      <c r="Q86" s="34">
        <v>1.24702523154486</v>
      </c>
      <c r="R86" s="33">
        <v>25.6152898555085</v>
      </c>
      <c r="S86" s="33">
        <v>25.643732352055299</v>
      </c>
      <c r="T86" s="33">
        <v>25.601449837677102</v>
      </c>
      <c r="U86" s="15">
        <v>2.5521165278492401E-3</v>
      </c>
      <c r="V86" s="15">
        <v>3.66187236168968E-3</v>
      </c>
      <c r="W86" s="15">
        <v>2.0116675164069801E-3</v>
      </c>
      <c r="X86" s="34">
        <v>1.2464515255422199</v>
      </c>
      <c r="Y86" s="34">
        <v>1.2471244094690801</v>
      </c>
      <c r="Z86" s="34">
        <v>1.2469223694365199</v>
      </c>
      <c r="AA86" s="34">
        <v>1.24669128229474</v>
      </c>
      <c r="AB86" s="33">
        <v>25.972251285524301</v>
      </c>
      <c r="AC86" s="33">
        <v>25.969210440538099</v>
      </c>
      <c r="AD86" s="33">
        <v>25.963277040052699</v>
      </c>
      <c r="AE86" s="15">
        <v>5.3969396619455302E-4</v>
      </c>
      <c r="AF86" s="15">
        <v>4.2260658017978899E-4</v>
      </c>
      <c r="AG86" s="15">
        <v>1.94102196928737E-4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2.2066527748765782E-3</v>
      </c>
      <c r="BE86" s="29">
        <f t="shared" si="22"/>
        <v>0</v>
      </c>
      <c r="BF86" s="29">
        <f t="shared" si="23"/>
        <v>2.2066527748765782E-3</v>
      </c>
      <c r="BH86" s="29"/>
    </row>
    <row r="87" spans="1:60" x14ac:dyDescent="0.25">
      <c r="A87" s="1">
        <v>46148</v>
      </c>
      <c r="B87" s="33">
        <v>20.63</v>
      </c>
      <c r="C87" s="33">
        <v>25.68</v>
      </c>
      <c r="D87" s="15">
        <v>4.85909605231817E-3</v>
      </c>
      <c r="E87" s="15">
        <v>5.0751621720468796E-3</v>
      </c>
      <c r="F87" s="33">
        <v>0</v>
      </c>
      <c r="G87" s="33">
        <v>0.29570999999999997</v>
      </c>
      <c r="H87" s="33">
        <v>0</v>
      </c>
      <c r="I87" s="33">
        <v>0.40823799999999999</v>
      </c>
      <c r="J87" s="33">
        <v>0.29570999999999997</v>
      </c>
      <c r="K87" s="33">
        <v>0.40823799999999999</v>
      </c>
      <c r="L87" s="33">
        <v>20.925709999999999</v>
      </c>
      <c r="M87" s="33">
        <v>26.088238</v>
      </c>
      <c r="N87" s="34">
        <v>1.2447891420261701</v>
      </c>
      <c r="O87" s="34">
        <v>1.2477004313447799</v>
      </c>
      <c r="P87" s="34">
        <v>1.2479804587744101</v>
      </c>
      <c r="Q87" s="34">
        <v>1.2470306460929801</v>
      </c>
      <c r="R87" s="33">
        <v>25.740059898643</v>
      </c>
      <c r="S87" s="33">
        <v>25.757086138475501</v>
      </c>
      <c r="T87" s="33">
        <v>25.7261305267705</v>
      </c>
      <c r="U87" s="15">
        <v>2.33605040812056E-3</v>
      </c>
      <c r="V87" s="15">
        <v>2.9973002739145898E-3</v>
      </c>
      <c r="W87" s="15">
        <v>1.79474855160178E-3</v>
      </c>
      <c r="X87" s="34">
        <v>1.2467074235473901</v>
      </c>
      <c r="Y87" s="34">
        <v>1.2471244094690801</v>
      </c>
      <c r="Z87" s="34">
        <v>1.2468795754806301</v>
      </c>
      <c r="AA87" s="34">
        <v>1.2466953012741899</v>
      </c>
      <c r="AB87" s="33">
        <v>26.096963726471198</v>
      </c>
      <c r="AC87" s="33">
        <v>26.092735895341601</v>
      </c>
      <c r="AD87" s="33">
        <v>26.087900232827899</v>
      </c>
      <c r="AE87" s="15">
        <v>3.3441382859009301E-4</v>
      </c>
      <c r="AF87" s="15">
        <v>1.72395990989619E-4</v>
      </c>
      <c r="AG87" s="15">
        <v>-1.2947189403906401E-5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2.2066527748765782E-3</v>
      </c>
      <c r="BE87" s="29">
        <f t="shared" ref="BE87:BE150" si="42">AQ87+BB87</f>
        <v>0</v>
      </c>
      <c r="BF87" s="29">
        <f t="shared" ref="BF87:BF150" si="43">BF86+BE87</f>
        <v>2.2066527748765782E-3</v>
      </c>
      <c r="BH87" s="29"/>
    </row>
    <row r="88" spans="1:60" x14ac:dyDescent="0.25">
      <c r="A88" s="1">
        <v>46149</v>
      </c>
      <c r="B88" s="33">
        <v>20.54</v>
      </c>
      <c r="C88" s="33">
        <v>25.58</v>
      </c>
      <c r="D88" s="15">
        <v>-4.3721225827482698E-3</v>
      </c>
      <c r="E88" s="15">
        <v>-3.9016826710638699E-3</v>
      </c>
      <c r="F88" s="33">
        <v>0</v>
      </c>
      <c r="G88" s="33">
        <v>0.29570999999999997</v>
      </c>
      <c r="H88" s="33">
        <v>0</v>
      </c>
      <c r="I88" s="33">
        <v>0.40823799999999999</v>
      </c>
      <c r="J88" s="33">
        <v>0.29570999999999997</v>
      </c>
      <c r="K88" s="33">
        <v>0.40823799999999999</v>
      </c>
      <c r="L88" s="33">
        <v>20.835709999999999</v>
      </c>
      <c r="M88" s="33">
        <v>25.988237999999999</v>
      </c>
      <c r="N88" s="34">
        <v>1.2453748782862699</v>
      </c>
      <c r="O88" s="34">
        <v>1.2477004313447799</v>
      </c>
      <c r="P88" s="34">
        <v>1.24754219490566</v>
      </c>
      <c r="Q88" s="34">
        <v>1.2470653474541</v>
      </c>
      <c r="R88" s="33">
        <v>25.6277668598219</v>
      </c>
      <c r="S88" s="33">
        <v>25.633518623226401</v>
      </c>
      <c r="T88" s="33">
        <v>25.614009470749799</v>
      </c>
      <c r="U88" s="15">
        <v>1.86561049643605E-3</v>
      </c>
      <c r="V88" s="15">
        <v>2.0900201410420801E-3</v>
      </c>
      <c r="W88" s="15">
        <v>1.32865060207299E-3</v>
      </c>
      <c r="X88" s="34">
        <v>1.2472931327994099</v>
      </c>
      <c r="Y88" s="34">
        <v>1.2471244094690801</v>
      </c>
      <c r="Z88" s="34">
        <v>1.24694371124568</v>
      </c>
      <c r="AA88" s="34">
        <v>1.2467286057162501</v>
      </c>
      <c r="AB88" s="33">
        <v>25.984722529618999</v>
      </c>
      <c r="AC88" s="33">
        <v>25.979621239637599</v>
      </c>
      <c r="AD88" s="33">
        <v>25.9757817557118</v>
      </c>
      <c r="AE88" s="15">
        <v>-1.3528074408393199E-4</v>
      </c>
      <c r="AF88" s="15">
        <v>-3.3161883392434499E-4</v>
      </c>
      <c r="AG88" s="15">
        <v>-4.7941805061660402E-4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2.2066527748765782E-3</v>
      </c>
      <c r="BE88" s="29">
        <f t="shared" si="42"/>
        <v>0</v>
      </c>
      <c r="BF88" s="29">
        <f t="shared" si="43"/>
        <v>2.2066527748765782E-3</v>
      </c>
      <c r="BH88" s="29"/>
    </row>
    <row r="89" spans="1:60" x14ac:dyDescent="0.25">
      <c r="A89" s="1">
        <v>46150</v>
      </c>
      <c r="B89" s="33">
        <v>20.62</v>
      </c>
      <c r="C89" s="33">
        <v>25.68</v>
      </c>
      <c r="D89" s="15">
        <v>3.8872740884018601E-3</v>
      </c>
      <c r="E89" s="15">
        <v>3.9016826710638799E-3</v>
      </c>
      <c r="F89" s="33">
        <v>0</v>
      </c>
      <c r="G89" s="33">
        <v>0.29570999999999997</v>
      </c>
      <c r="H89" s="33">
        <v>0</v>
      </c>
      <c r="I89" s="33">
        <v>0.40823799999999999</v>
      </c>
      <c r="J89" s="33">
        <v>0.29570999999999997</v>
      </c>
      <c r="K89" s="33">
        <v>0.40823799999999999</v>
      </c>
      <c r="L89" s="33">
        <v>20.915710000000001</v>
      </c>
      <c r="M89" s="33">
        <v>26.088238</v>
      </c>
      <c r="N89" s="34">
        <v>1.24539282250242</v>
      </c>
      <c r="O89" s="34">
        <v>1.2477004313447799</v>
      </c>
      <c r="P89" s="34">
        <v>1.2471299267683</v>
      </c>
      <c r="Q89" s="34">
        <v>1.2471014614474401</v>
      </c>
      <c r="R89" s="33">
        <v>25.727582894329501</v>
      </c>
      <c r="S89" s="33">
        <v>25.724320058954699</v>
      </c>
      <c r="T89" s="33">
        <v>25.714487464503499</v>
      </c>
      <c r="U89" s="15">
        <v>1.8512019137741499E-3</v>
      </c>
      <c r="V89" s="15">
        <v>1.72437141025817E-3</v>
      </c>
      <c r="W89" s="15">
        <v>1.34206882416449E-3</v>
      </c>
      <c r="X89" s="34">
        <v>1.2473034862311601</v>
      </c>
      <c r="Y89" s="34">
        <v>1.2471244094690801</v>
      </c>
      <c r="Z89" s="34">
        <v>1.2470324451349299</v>
      </c>
      <c r="AA89" s="34">
        <v>1.2467627513428701</v>
      </c>
      <c r="AB89" s="33">
        <v>26.084492482376501</v>
      </c>
      <c r="AC89" s="33">
        <v>26.080713050738499</v>
      </c>
      <c r="AD89" s="33">
        <v>26.076213965865399</v>
      </c>
      <c r="AE89" s="15">
        <v>-1.43581430194004E-4</v>
      </c>
      <c r="AF89" s="15">
        <v>-2.8848382657159E-4</v>
      </c>
      <c r="AG89" s="15">
        <v>-4.61004914048727E-4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2.2066527748765782E-3</v>
      </c>
      <c r="BE89" s="29">
        <f t="shared" si="42"/>
        <v>0</v>
      </c>
      <c r="BF89" s="29">
        <f t="shared" si="43"/>
        <v>2.2066527748765782E-3</v>
      </c>
      <c r="BH89" s="29"/>
    </row>
    <row r="90" spans="1:60" x14ac:dyDescent="0.25">
      <c r="A90" s="1">
        <v>46153</v>
      </c>
      <c r="B90" s="33">
        <v>20.57</v>
      </c>
      <c r="C90" s="33">
        <v>25.62</v>
      </c>
      <c r="D90" s="15">
        <v>-2.4277749239480701E-3</v>
      </c>
      <c r="E90" s="15">
        <v>-2.3391823531721499E-3</v>
      </c>
      <c r="F90" s="33">
        <v>0</v>
      </c>
      <c r="G90" s="33">
        <v>0.29570999999999997</v>
      </c>
      <c r="H90" s="33">
        <v>0</v>
      </c>
      <c r="I90" s="33">
        <v>0.40823799999999999</v>
      </c>
      <c r="J90" s="33">
        <v>0.29570999999999997</v>
      </c>
      <c r="K90" s="33">
        <v>0.40823799999999999</v>
      </c>
      <c r="L90" s="33">
        <v>20.86571</v>
      </c>
      <c r="M90" s="33">
        <v>26.028238000000002</v>
      </c>
      <c r="N90" s="34">
        <v>1.2455031599416599</v>
      </c>
      <c r="O90" s="34">
        <v>1.2477004313447799</v>
      </c>
      <c r="P90" s="34">
        <v>1.24669239638425</v>
      </c>
      <c r="Q90" s="34">
        <v>1.2471602988264601</v>
      </c>
      <c r="R90" s="33">
        <v>25.665197872762299</v>
      </c>
      <c r="S90" s="33">
        <v>25.653462593623999</v>
      </c>
      <c r="T90" s="33">
        <v>25.6528770619738</v>
      </c>
      <c r="U90" s="15">
        <v>1.76260934299821E-3</v>
      </c>
      <c r="V90" s="15">
        <v>1.3052599408056101E-3</v>
      </c>
      <c r="W90" s="15">
        <v>1.2824350168615399E-3</v>
      </c>
      <c r="X90" s="34">
        <v>1.24741683843971</v>
      </c>
      <c r="Y90" s="34">
        <v>1.2471244094690801</v>
      </c>
      <c r="Z90" s="34">
        <v>1.2470977724111201</v>
      </c>
      <c r="AA90" s="34">
        <v>1.24681992290926</v>
      </c>
      <c r="AB90" s="33">
        <v>26.022136261903</v>
      </c>
      <c r="AC90" s="33">
        <v>26.0202173607764</v>
      </c>
      <c r="AD90" s="33">
        <v>26.0145900083225</v>
      </c>
      <c r="AE90" s="15">
        <v>-2.34455110511276E-4</v>
      </c>
      <c r="AF90" s="15">
        <v>-3.0819893621977302E-4</v>
      </c>
      <c r="AG90" s="15">
        <v>-5.2449079009066701E-4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2.2066527748765782E-3</v>
      </c>
      <c r="BE90" s="29">
        <f t="shared" si="42"/>
        <v>0</v>
      </c>
      <c r="BF90" s="29">
        <f t="shared" si="43"/>
        <v>2.2066527748765782E-3</v>
      </c>
      <c r="BH90" s="29"/>
    </row>
    <row r="91" spans="1:60" x14ac:dyDescent="0.25">
      <c r="A91" s="1">
        <v>46154</v>
      </c>
      <c r="B91" s="33">
        <v>20.5</v>
      </c>
      <c r="C91" s="33">
        <v>25.54</v>
      </c>
      <c r="D91" s="15">
        <v>-3.4088175205033602E-3</v>
      </c>
      <c r="E91" s="15">
        <v>-3.1274458641950601E-3</v>
      </c>
      <c r="F91" s="33">
        <v>0</v>
      </c>
      <c r="G91" s="33">
        <v>0.29570999999999997</v>
      </c>
      <c r="H91" s="33">
        <v>0</v>
      </c>
      <c r="I91" s="33">
        <v>0.40823799999999999</v>
      </c>
      <c r="J91" s="33">
        <v>0.29570999999999997</v>
      </c>
      <c r="K91" s="33">
        <v>0.40823799999999999</v>
      </c>
      <c r="L91" s="33">
        <v>20.79571</v>
      </c>
      <c r="M91" s="33">
        <v>25.948238</v>
      </c>
      <c r="N91" s="34">
        <v>1.24585365853658</v>
      </c>
      <c r="O91" s="34">
        <v>1.2477004313447799</v>
      </c>
      <c r="P91" s="34">
        <v>1.2462899158596801</v>
      </c>
      <c r="Q91" s="34">
        <v>1.2472596195599299</v>
      </c>
      <c r="R91" s="33">
        <v>25.577858842568101</v>
      </c>
      <c r="S91" s="33">
        <v>25.5571941258771</v>
      </c>
      <c r="T91" s="33">
        <v>25.5667861259425</v>
      </c>
      <c r="U91" s="15">
        <v>1.48123768669001E-3</v>
      </c>
      <c r="V91" s="15">
        <v>6.7299689622032596E-4</v>
      </c>
      <c r="W91" s="15">
        <v>1.04824155168956E-3</v>
      </c>
      <c r="X91" s="34">
        <v>1.2477687946215801</v>
      </c>
      <c r="Y91" s="34">
        <v>1.2471244094690801</v>
      </c>
      <c r="Z91" s="34">
        <v>1.2471982953054901</v>
      </c>
      <c r="AA91" s="34">
        <v>1.2469177897155901</v>
      </c>
      <c r="AB91" s="33">
        <v>25.9348375532402</v>
      </c>
      <c r="AC91" s="33">
        <v>25.934283616707599</v>
      </c>
      <c r="AD91" s="33">
        <v>25.9285055390434</v>
      </c>
      <c r="AE91" s="15">
        <v>-5.1656332685885698E-4</v>
      </c>
      <c r="AF91" s="15">
        <v>-5.3792233661701197E-4</v>
      </c>
      <c r="AG91" s="15">
        <v>-7.6074404683323005E-4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2.2066527748765782E-3</v>
      </c>
      <c r="BE91" s="29">
        <f t="shared" si="42"/>
        <v>0</v>
      </c>
      <c r="BF91" s="29">
        <f t="shared" si="43"/>
        <v>2.2066527748765782E-3</v>
      </c>
      <c r="BH91" s="29"/>
    </row>
    <row r="92" spans="1:60" x14ac:dyDescent="0.25">
      <c r="A92" s="1">
        <v>46155</v>
      </c>
      <c r="B92" s="33">
        <v>20.5</v>
      </c>
      <c r="C92" s="33">
        <v>25.56</v>
      </c>
      <c r="D92" s="15">
        <v>0</v>
      </c>
      <c r="E92" s="15">
        <v>7.8277890494076602E-4</v>
      </c>
      <c r="F92" s="33">
        <v>0</v>
      </c>
      <c r="G92" s="33">
        <v>0.29570999999999997</v>
      </c>
      <c r="H92" s="33">
        <v>0</v>
      </c>
      <c r="I92" s="33">
        <v>0.40823799999999999</v>
      </c>
      <c r="J92" s="33">
        <v>0.29570999999999997</v>
      </c>
      <c r="K92" s="33">
        <v>0.40823799999999999</v>
      </c>
      <c r="L92" s="33">
        <v>20.79571</v>
      </c>
      <c r="M92" s="33">
        <v>25.968237999999999</v>
      </c>
      <c r="N92" s="34">
        <v>1.24682926829268</v>
      </c>
      <c r="O92" s="34">
        <v>1.2477004313447799</v>
      </c>
      <c r="P92" s="34">
        <v>1.24597284268895</v>
      </c>
      <c r="Q92" s="34">
        <v>1.2473959794598799</v>
      </c>
      <c r="R92" s="33">
        <v>25.577858842568101</v>
      </c>
      <c r="S92" s="33">
        <v>25.548943275123602</v>
      </c>
      <c r="T92" s="33">
        <v>25.568822200978499</v>
      </c>
      <c r="U92" s="15">
        <v>6.9845878174907801E-4</v>
      </c>
      <c r="V92" s="15">
        <v>-4.3267280989662599E-4</v>
      </c>
      <c r="W92" s="15">
        <v>3.4509697999587398E-4</v>
      </c>
      <c r="X92" s="34">
        <v>1.2487305314413399</v>
      </c>
      <c r="Y92" s="34">
        <v>1.2471244094690801</v>
      </c>
      <c r="Z92" s="34">
        <v>1.24738436061623</v>
      </c>
      <c r="AA92" s="34">
        <v>1.24705202804713</v>
      </c>
      <c r="AB92" s="33">
        <v>25.9348375532402</v>
      </c>
      <c r="AC92" s="33">
        <v>25.936374061667401</v>
      </c>
      <c r="AD92" s="33">
        <v>25.930540748766401</v>
      </c>
      <c r="AE92" s="15">
        <v>-1.28703168412441E-3</v>
      </c>
      <c r="AF92" s="15">
        <v>-1.2277884785090001E-3</v>
      </c>
      <c r="AG92" s="15">
        <v>-1.45272234808136E-3</v>
      </c>
      <c r="AI92" s="12"/>
      <c r="AJ92">
        <f t="shared" si="26"/>
        <v>1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2.2066527748765782E-3</v>
      </c>
      <c r="BE92" s="29">
        <f t="shared" si="42"/>
        <v>0</v>
      </c>
      <c r="BF92" s="29">
        <f t="shared" si="43"/>
        <v>2.2066527748765782E-3</v>
      </c>
      <c r="BH92" s="29"/>
    </row>
    <row r="93" spans="1:60" x14ac:dyDescent="0.25">
      <c r="A93" s="1">
        <v>46156</v>
      </c>
      <c r="B93" s="33">
        <v>20.5</v>
      </c>
      <c r="C93" s="33">
        <v>25.54</v>
      </c>
      <c r="D93" s="15">
        <v>0</v>
      </c>
      <c r="E93" s="15">
        <v>-7.8277890494083302E-4</v>
      </c>
      <c r="F93" s="33">
        <v>0</v>
      </c>
      <c r="G93" s="33">
        <v>0.29570999999999997</v>
      </c>
      <c r="H93" s="33">
        <v>0</v>
      </c>
      <c r="I93" s="33">
        <v>0.40823799999999999</v>
      </c>
      <c r="J93" s="33">
        <v>0.29570999999999997</v>
      </c>
      <c r="K93" s="33">
        <v>0.40823799999999999</v>
      </c>
      <c r="L93" s="33">
        <v>20.79571</v>
      </c>
      <c r="M93" s="33">
        <v>25.948238</v>
      </c>
      <c r="N93" s="34">
        <v>1.24585365853658</v>
      </c>
      <c r="O93" s="34">
        <v>1.2477004313447799</v>
      </c>
      <c r="P93" s="34">
        <v>1.2454850378108999</v>
      </c>
      <c r="Q93" s="34">
        <v>1.2474664401644799</v>
      </c>
      <c r="R93" s="33">
        <v>25.577858842568101</v>
      </c>
      <c r="S93" s="33">
        <v>25.542443275123599</v>
      </c>
      <c r="T93" s="33">
        <v>25.571617578927501</v>
      </c>
      <c r="U93" s="15">
        <v>1.48123768669001E-3</v>
      </c>
      <c r="V93" s="15">
        <v>9.5660072966818096E-5</v>
      </c>
      <c r="W93" s="15">
        <v>1.23719750844188E-3</v>
      </c>
      <c r="X93" s="34">
        <v>1.2477687946215801</v>
      </c>
      <c r="Y93" s="34">
        <v>1.2471244094690801</v>
      </c>
      <c r="Z93" s="34">
        <v>1.2474018209482001</v>
      </c>
      <c r="AA93" s="34">
        <v>1.2471209091120601</v>
      </c>
      <c r="AB93" s="33">
        <v>25.9348375532402</v>
      </c>
      <c r="AC93" s="33">
        <v>25.940243421910701</v>
      </c>
      <c r="AD93" s="33">
        <v>25.933332330180001</v>
      </c>
      <c r="AE93" s="15">
        <v>-5.1656332685885698E-4</v>
      </c>
      <c r="AF93" s="15">
        <v>-3.0814461835996701E-4</v>
      </c>
      <c r="AG93" s="15">
        <v>-5.7460366504609797E-4</v>
      </c>
      <c r="AI93" s="12"/>
      <c r="AJ93">
        <f t="shared" si="26"/>
        <v>0</v>
      </c>
      <c r="AK93">
        <f t="shared" si="27"/>
        <v>0</v>
      </c>
      <c r="AL93">
        <f t="shared" si="34"/>
        <v>1</v>
      </c>
      <c r="AM93">
        <f t="shared" si="24"/>
        <v>1</v>
      </c>
      <c r="AN93">
        <f t="shared" si="35"/>
        <v>1</v>
      </c>
      <c r="AO93" s="28">
        <f t="shared" si="28"/>
        <v>0</v>
      </c>
      <c r="AP93" s="28">
        <f t="shared" si="29"/>
        <v>7.8277890494083302E-4</v>
      </c>
      <c r="AQ93" s="28">
        <f t="shared" si="36"/>
        <v>7.8277890494083302E-4</v>
      </c>
      <c r="AR93" s="29">
        <f t="shared" si="37"/>
        <v>7.8277890494083302E-4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2.2066527748765782E-3</v>
      </c>
      <c r="BE93" s="29">
        <f t="shared" si="42"/>
        <v>7.8277890494083302E-4</v>
      </c>
      <c r="BF93" s="29">
        <f t="shared" si="43"/>
        <v>2.9894316798174114E-3</v>
      </c>
      <c r="BH93" s="29"/>
    </row>
    <row r="94" spans="1:60" x14ac:dyDescent="0.25">
      <c r="A94" s="1">
        <v>46157</v>
      </c>
      <c r="B94" s="33">
        <v>20.36</v>
      </c>
      <c r="C94" s="33">
        <v>25.35</v>
      </c>
      <c r="D94" s="15">
        <v>-6.8526944620404999E-3</v>
      </c>
      <c r="E94" s="15">
        <v>-7.4671205672009701E-3</v>
      </c>
      <c r="F94" s="33">
        <v>0</v>
      </c>
      <c r="G94" s="33">
        <v>0.29570999999999997</v>
      </c>
      <c r="H94" s="33">
        <v>0</v>
      </c>
      <c r="I94" s="33">
        <v>0.40823799999999999</v>
      </c>
      <c r="J94" s="33">
        <v>0.29570999999999997</v>
      </c>
      <c r="K94" s="33">
        <v>0.40823799999999999</v>
      </c>
      <c r="L94" s="33">
        <v>20.655709999999999</v>
      </c>
      <c r="M94" s="33">
        <v>25.758237999999999</v>
      </c>
      <c r="N94" s="34">
        <v>1.2450884086444001</v>
      </c>
      <c r="O94" s="34">
        <v>1.2477004313447799</v>
      </c>
      <c r="P94" s="34">
        <v>1.2455050763384401</v>
      </c>
      <c r="Q94" s="34">
        <v>1.2475333605967001</v>
      </c>
      <c r="R94" s="33">
        <v>25.403180782179899</v>
      </c>
      <c r="S94" s="33">
        <v>25.3580753698301</v>
      </c>
      <c r="T94" s="33">
        <v>25.398416721748902</v>
      </c>
      <c r="U94" s="15">
        <v>2.09566379185027E-3</v>
      </c>
      <c r="V94" s="15">
        <v>3.1850429500562897E-4</v>
      </c>
      <c r="W94" s="15">
        <v>1.9081082550571999E-3</v>
      </c>
      <c r="X94" s="34">
        <v>1.24702748053685</v>
      </c>
      <c r="Y94" s="34">
        <v>1.2471244094690801</v>
      </c>
      <c r="Z94" s="34">
        <v>1.24742325024673</v>
      </c>
      <c r="AA94" s="34">
        <v>1.24718755950876</v>
      </c>
      <c r="AB94" s="33">
        <v>25.760240135914501</v>
      </c>
      <c r="AC94" s="33">
        <v>25.765970266977899</v>
      </c>
      <c r="AD94" s="33">
        <v>25.760167833555201</v>
      </c>
      <c r="AE94" s="15">
        <v>7.7724963470513295E-5</v>
      </c>
      <c r="AF94" s="15">
        <v>3.0014112962088702E-4</v>
      </c>
      <c r="AG94" s="15">
        <v>7.4918217086754297E-5</v>
      </c>
      <c r="AI94" s="12"/>
      <c r="AJ94">
        <f t="shared" si="26"/>
        <v>0</v>
      </c>
      <c r="AK94">
        <f t="shared" si="27"/>
        <v>1</v>
      </c>
      <c r="AL94">
        <f t="shared" si="34"/>
        <v>1</v>
      </c>
      <c r="AM94">
        <f t="shared" si="24"/>
        <v>0</v>
      </c>
      <c r="AN94">
        <f t="shared" si="35"/>
        <v>1</v>
      </c>
      <c r="AO94" s="28">
        <f t="shared" si="28"/>
        <v>-6.8526944620404999E-3</v>
      </c>
      <c r="AP94" s="28">
        <f t="shared" si="29"/>
        <v>7.4671205672009701E-3</v>
      </c>
      <c r="AQ94" s="28">
        <f t="shared" si="36"/>
        <v>6.1442610516047012E-4</v>
      </c>
      <c r="AR94" s="29">
        <f t="shared" si="37"/>
        <v>1.3972050101013031E-3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2.2066527748765782E-3</v>
      </c>
      <c r="BE94" s="29">
        <f t="shared" si="42"/>
        <v>6.1442610516047012E-4</v>
      </c>
      <c r="BF94" s="29">
        <f t="shared" si="43"/>
        <v>3.6038577849778815E-3</v>
      </c>
      <c r="BH94" s="29"/>
    </row>
    <row r="95" spans="1:60" x14ac:dyDescent="0.25">
      <c r="A95" s="1">
        <v>46160</v>
      </c>
      <c r="B95" s="33">
        <v>20.25</v>
      </c>
      <c r="C95" s="33">
        <v>25.32</v>
      </c>
      <c r="D95" s="15">
        <v>-5.4173981297738301E-3</v>
      </c>
      <c r="E95" s="15">
        <v>-1.1841327612167999E-3</v>
      </c>
      <c r="F95" s="33">
        <v>8.6139999999999994E-2</v>
      </c>
      <c r="G95" s="33">
        <v>0.38185000000000002</v>
      </c>
      <c r="H95" s="33">
        <v>0</v>
      </c>
      <c r="I95" s="33">
        <v>0.40823799999999999</v>
      </c>
      <c r="J95" s="33">
        <v>0.38185000000000002</v>
      </c>
      <c r="K95" s="33">
        <v>0.40823799999999999</v>
      </c>
      <c r="L95" s="33">
        <v>20.63185</v>
      </c>
      <c r="M95" s="33">
        <v>25.728238000000001</v>
      </c>
      <c r="N95" s="34">
        <v>1.2503703703703699</v>
      </c>
      <c r="O95" s="34">
        <v>1.2477004313447799</v>
      </c>
      <c r="P95" s="34">
        <v>1.24595755814576</v>
      </c>
      <c r="Q95" s="34">
        <v>1.24752170045757</v>
      </c>
      <c r="R95" s="33">
        <v>25.265933734731899</v>
      </c>
      <c r="S95" s="33">
        <v>25.221477795853499</v>
      </c>
      <c r="T95" s="33">
        <v>25.262550552083301</v>
      </c>
      <c r="U95" s="15">
        <v>-2.1376015767067299E-3</v>
      </c>
      <c r="V95" s="15">
        <v>-3.8986722682020801E-3</v>
      </c>
      <c r="W95" s="15">
        <v>-2.2715134761612898E-3</v>
      </c>
      <c r="X95" s="34">
        <v>1.2470155608925</v>
      </c>
      <c r="Y95" s="34">
        <v>1.2471244094690801</v>
      </c>
      <c r="Z95" s="34">
        <v>1.24734835686737</v>
      </c>
      <c r="AA95" s="34">
        <v>1.2471633761738401</v>
      </c>
      <c r="AB95" s="33">
        <v>25.7304837475046</v>
      </c>
      <c r="AC95" s="33">
        <v>25.736649385602998</v>
      </c>
      <c r="AD95" s="33">
        <v>25.7317866496509</v>
      </c>
      <c r="AE95" s="15">
        <v>8.7283454769569805E-5</v>
      </c>
      <c r="AF95" s="15">
        <v>3.2687861978234899E-4</v>
      </c>
      <c r="AG95" s="15">
        <v>1.3791869244941801E-4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1.3972050101013031E-3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2.2066527748765782E-3</v>
      </c>
      <c r="BE95" s="29">
        <f t="shared" si="42"/>
        <v>0</v>
      </c>
      <c r="BF95" s="29">
        <f t="shared" si="43"/>
        <v>3.6038577849778815E-3</v>
      </c>
      <c r="BH95" s="29"/>
    </row>
    <row r="96" spans="1:60" x14ac:dyDescent="0.25">
      <c r="A96" s="1">
        <v>46161</v>
      </c>
      <c r="B96" s="33">
        <v>20.13</v>
      </c>
      <c r="C96" s="33">
        <v>25.2</v>
      </c>
      <c r="D96" s="15">
        <v>-5.9435539008481E-3</v>
      </c>
      <c r="E96" s="15">
        <v>-4.7506027585978603E-3</v>
      </c>
      <c r="F96" s="33">
        <v>0</v>
      </c>
      <c r="G96" s="33">
        <v>0.38185000000000002</v>
      </c>
      <c r="H96" s="33">
        <v>0</v>
      </c>
      <c r="I96" s="33">
        <v>0.40823799999999999</v>
      </c>
      <c r="J96" s="33">
        <v>0.38185000000000002</v>
      </c>
      <c r="K96" s="33">
        <v>0.40823799999999999</v>
      </c>
      <c r="L96" s="33">
        <v>20.511849999999999</v>
      </c>
      <c r="M96" s="33">
        <v>25.608238</v>
      </c>
      <c r="N96" s="34">
        <v>1.2518628912071501</v>
      </c>
      <c r="O96" s="34">
        <v>1.2477004313447799</v>
      </c>
      <c r="P96" s="34">
        <v>1.2466918258344299</v>
      </c>
      <c r="Q96" s="34">
        <v>1.2476087858807501</v>
      </c>
      <c r="R96" s="33">
        <v>25.116209682970599</v>
      </c>
      <c r="S96" s="33">
        <v>25.081125645474199</v>
      </c>
      <c r="T96" s="33">
        <v>25.112611830210898</v>
      </c>
      <c r="U96" s="15">
        <v>-3.3305527189569002E-3</v>
      </c>
      <c r="V96" s="15">
        <v>-4.72839756388925E-3</v>
      </c>
      <c r="W96" s="15">
        <v>-3.4738112170632201E-3</v>
      </c>
      <c r="X96" s="34">
        <v>1.2484606702954599</v>
      </c>
      <c r="Y96" s="34">
        <v>1.2471244094690801</v>
      </c>
      <c r="Z96" s="34">
        <v>1.2475492713427001</v>
      </c>
      <c r="AA96" s="34">
        <v>1.2472358203896099</v>
      </c>
      <c r="AB96" s="33">
        <v>25.5808288183683</v>
      </c>
      <c r="AC96" s="33">
        <v>25.585422393810099</v>
      </c>
      <c r="AD96" s="33">
        <v>25.5816280975714</v>
      </c>
      <c r="AE96" s="15">
        <v>-1.0708999383934701E-3</v>
      </c>
      <c r="AF96" s="15">
        <v>-8.91345042528004E-4</v>
      </c>
      <c r="AG96" s="15">
        <v>-1.0396551838876701E-3</v>
      </c>
      <c r="AI96" s="12"/>
      <c r="AJ96">
        <f t="shared" si="26"/>
        <v>1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1.3972050101013031E-3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2.2066527748765782E-3</v>
      </c>
      <c r="BE96" s="29">
        <f t="shared" si="42"/>
        <v>0</v>
      </c>
      <c r="BF96" s="29">
        <f t="shared" si="43"/>
        <v>3.6038577849778815E-3</v>
      </c>
      <c r="BH96" s="29"/>
    </row>
    <row r="97" spans="1:60" x14ac:dyDescent="0.25">
      <c r="A97" s="1">
        <v>46162</v>
      </c>
      <c r="B97" s="33">
        <v>20.3</v>
      </c>
      <c r="C97" s="33">
        <v>25.38</v>
      </c>
      <c r="D97" s="15">
        <v>8.4096463960416992E-3</v>
      </c>
      <c r="E97" s="15">
        <v>7.1174677688639497E-3</v>
      </c>
      <c r="F97" s="33">
        <v>0</v>
      </c>
      <c r="G97" s="33">
        <v>0.38185000000000002</v>
      </c>
      <c r="H97" s="33">
        <v>0</v>
      </c>
      <c r="I97" s="33">
        <v>0.40823799999999999</v>
      </c>
      <c r="J97" s="33">
        <v>0.38185000000000002</v>
      </c>
      <c r="K97" s="33">
        <v>0.40823799999999999</v>
      </c>
      <c r="L97" s="33">
        <v>20.681850000000001</v>
      </c>
      <c r="M97" s="33">
        <v>25.788238</v>
      </c>
      <c r="N97" s="34">
        <v>1.2502463054187101</v>
      </c>
      <c r="O97" s="34">
        <v>1.2477004313447799</v>
      </c>
      <c r="P97" s="34">
        <v>1.2472375421736801</v>
      </c>
      <c r="Q97" s="34">
        <v>1.2476090004740501</v>
      </c>
      <c r="R97" s="33">
        <v>25.3283187562992</v>
      </c>
      <c r="S97" s="33">
        <v>25.3078440644389</v>
      </c>
      <c r="T97" s="33">
        <v>25.326458353379198</v>
      </c>
      <c r="U97" s="15">
        <v>-2.0383740917792898E-3</v>
      </c>
      <c r="V97" s="15">
        <v>-2.8470725331924802E-3</v>
      </c>
      <c r="W97" s="15">
        <v>-2.1118282861098099E-3</v>
      </c>
      <c r="X97" s="34">
        <v>1.246901897074</v>
      </c>
      <c r="Y97" s="34">
        <v>1.2471244094690801</v>
      </c>
      <c r="Z97" s="34">
        <v>1.2475687186953599</v>
      </c>
      <c r="AA97" s="34">
        <v>1.2472241470879999</v>
      </c>
      <c r="AB97" s="33">
        <v>25.7928399679781</v>
      </c>
      <c r="AC97" s="33">
        <v>25.801626897519</v>
      </c>
      <c r="AD97" s="33">
        <v>25.795144151924902</v>
      </c>
      <c r="AE97" s="15">
        <v>1.7843628600286101E-4</v>
      </c>
      <c r="AF97" s="15">
        <v>5.1905147827984897E-4</v>
      </c>
      <c r="AG97" s="15">
        <v>2.6776654333637699E-4</v>
      </c>
      <c r="AI97" s="12"/>
      <c r="AJ97">
        <f t="shared" si="26"/>
        <v>0</v>
      </c>
      <c r="AK97">
        <f t="shared" si="27"/>
        <v>1</v>
      </c>
      <c r="AL97">
        <f t="shared" si="34"/>
        <v>1</v>
      </c>
      <c r="AM97">
        <f t="shared" si="24"/>
        <v>1</v>
      </c>
      <c r="AN97">
        <f t="shared" si="35"/>
        <v>1</v>
      </c>
      <c r="AO97" s="28">
        <f t="shared" si="28"/>
        <v>8.4096463960416992E-3</v>
      </c>
      <c r="AP97" s="28">
        <f t="shared" si="29"/>
        <v>-7.1174677688639497E-3</v>
      </c>
      <c r="AQ97" s="28">
        <f t="shared" si="36"/>
        <v>1.2921786271777496E-3</v>
      </c>
      <c r="AR97" s="29">
        <f t="shared" si="37"/>
        <v>2.6893836372790525E-3</v>
      </c>
      <c r="AT97" s="12"/>
      <c r="AU97">
        <f t="shared" si="30"/>
        <v>0</v>
      </c>
      <c r="AV97">
        <f t="shared" si="31"/>
        <v>0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2.2066527748765782E-3</v>
      </c>
      <c r="BE97" s="29">
        <f t="shared" si="42"/>
        <v>1.2921786271777496E-3</v>
      </c>
      <c r="BF97" s="29">
        <f t="shared" si="43"/>
        <v>4.8960364121556311E-3</v>
      </c>
      <c r="BH97" s="29"/>
    </row>
    <row r="98" spans="1:60" x14ac:dyDescent="0.25">
      <c r="A98" s="1">
        <v>46163</v>
      </c>
      <c r="B98" s="33">
        <v>20.32</v>
      </c>
      <c r="C98" s="33">
        <v>25.42</v>
      </c>
      <c r="D98" s="15">
        <v>9.8473666253955897E-4</v>
      </c>
      <c r="E98" s="15">
        <v>1.5748034750663899E-3</v>
      </c>
      <c r="F98" s="33">
        <v>0</v>
      </c>
      <c r="G98" s="33">
        <v>0.38185000000000002</v>
      </c>
      <c r="H98" s="33">
        <v>0</v>
      </c>
      <c r="I98" s="33">
        <v>0.40823799999999999</v>
      </c>
      <c r="J98" s="33">
        <v>0.38185000000000002</v>
      </c>
      <c r="K98" s="33">
        <v>0.40823799999999999</v>
      </c>
      <c r="L98" s="33">
        <v>20.70185</v>
      </c>
      <c r="M98" s="33">
        <v>25.828237999999999</v>
      </c>
      <c r="N98" s="34">
        <v>1.2509842519684999</v>
      </c>
      <c r="O98" s="34">
        <v>1.2477004313447799</v>
      </c>
      <c r="P98" s="34">
        <v>1.2477984795418999</v>
      </c>
      <c r="Q98" s="34">
        <v>1.2476703372237801</v>
      </c>
      <c r="R98" s="33">
        <v>25.3532727649261</v>
      </c>
      <c r="S98" s="33">
        <v>25.3438668569692</v>
      </c>
      <c r="T98" s="33">
        <v>25.3514148896327</v>
      </c>
      <c r="U98" s="15">
        <v>-2.6284409043062498E-3</v>
      </c>
      <c r="V98" s="15">
        <v>-2.99950357706897E-3</v>
      </c>
      <c r="W98" s="15">
        <v>-2.7017230949752799E-3</v>
      </c>
      <c r="X98" s="34">
        <v>1.2476294630673099</v>
      </c>
      <c r="Y98" s="34">
        <v>1.2471244094690801</v>
      </c>
      <c r="Z98" s="34">
        <v>1.2476023517221499</v>
      </c>
      <c r="AA98" s="34">
        <v>1.24727303148391</v>
      </c>
      <c r="AB98" s="33">
        <v>25.8177824561674</v>
      </c>
      <c r="AC98" s="33">
        <v>25.826980479123499</v>
      </c>
      <c r="AD98" s="33">
        <v>25.8198472093937</v>
      </c>
      <c r="AE98" s="15">
        <v>-4.0489253123492997E-4</v>
      </c>
      <c r="AF98" s="15">
        <v>-4.86890158896453E-5</v>
      </c>
      <c r="AG98" s="15">
        <v>-3.2492165570474299E-4</v>
      </c>
      <c r="AI98" s="12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2.6893836372790525E-3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2.2066527748765782E-3</v>
      </c>
      <c r="BE98" s="29">
        <f t="shared" si="42"/>
        <v>0</v>
      </c>
      <c r="BF98" s="29">
        <f t="shared" si="43"/>
        <v>4.8960364121556311E-3</v>
      </c>
      <c r="BH98" s="29"/>
    </row>
    <row r="99" spans="1:60" x14ac:dyDescent="0.25">
      <c r="A99" s="1">
        <v>46164</v>
      </c>
      <c r="B99" s="33">
        <v>20.36</v>
      </c>
      <c r="C99" s="33">
        <v>25.45</v>
      </c>
      <c r="D99" s="15">
        <v>1.9665689720408399E-3</v>
      </c>
      <c r="E99" s="15">
        <v>1.17947723522357E-3</v>
      </c>
      <c r="F99" s="33">
        <v>0</v>
      </c>
      <c r="G99" s="33">
        <v>0.38185000000000002</v>
      </c>
      <c r="H99" s="33">
        <v>0</v>
      </c>
      <c r="I99" s="33">
        <v>0.40823799999999999</v>
      </c>
      <c r="J99" s="33">
        <v>0.38185000000000002</v>
      </c>
      <c r="K99" s="33">
        <v>0.40823799999999999</v>
      </c>
      <c r="L99" s="33">
        <v>20.741849999999999</v>
      </c>
      <c r="M99" s="33">
        <v>25.858238</v>
      </c>
      <c r="N99" s="34">
        <v>1.25</v>
      </c>
      <c r="O99" s="34">
        <v>1.2477004313447799</v>
      </c>
      <c r="P99" s="34">
        <v>1.2482591972916599</v>
      </c>
      <c r="Q99" s="34">
        <v>1.24769456202998</v>
      </c>
      <c r="R99" s="33">
        <v>25.403180782179899</v>
      </c>
      <c r="S99" s="33">
        <v>25.405177043473198</v>
      </c>
      <c r="T99" s="33">
        <v>25.402568065876199</v>
      </c>
      <c r="U99" s="15">
        <v>-1.84134916748918E-3</v>
      </c>
      <c r="V99" s="15">
        <v>-1.76276913145552E-3</v>
      </c>
      <c r="W99" s="15">
        <v>-1.86546912704423E-3</v>
      </c>
      <c r="X99" s="34">
        <v>1.24666980042763</v>
      </c>
      <c r="Y99" s="34">
        <v>1.2471244094690801</v>
      </c>
      <c r="Z99" s="34">
        <v>1.2475389831418</v>
      </c>
      <c r="AA99" s="34">
        <v>1.24728571413836</v>
      </c>
      <c r="AB99" s="33">
        <v>25.867667432546199</v>
      </c>
      <c r="AC99" s="33">
        <v>25.877580839068099</v>
      </c>
      <c r="AD99" s="33">
        <v>25.870750128084701</v>
      </c>
      <c r="AE99" s="15">
        <v>3.6459227042414701E-4</v>
      </c>
      <c r="AF99" s="15">
        <v>7.4775427947026398E-4</v>
      </c>
      <c r="AG99" s="15">
        <v>4.83756933260208E-4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2.6893836372790525E-3</v>
      </c>
      <c r="AT99" s="12"/>
      <c r="AU99">
        <f t="shared" si="30"/>
        <v>0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2.2066527748765782E-3</v>
      </c>
      <c r="BE99" s="29">
        <f t="shared" si="42"/>
        <v>0</v>
      </c>
      <c r="BF99" s="29">
        <f t="shared" si="43"/>
        <v>4.8960364121556311E-3</v>
      </c>
      <c r="BH99" s="29"/>
    </row>
    <row r="100" spans="1:60" x14ac:dyDescent="0.25">
      <c r="A100" s="1">
        <v>46168</v>
      </c>
      <c r="B100" s="33">
        <v>20.43</v>
      </c>
      <c r="C100" s="33">
        <v>25.55</v>
      </c>
      <c r="D100" s="15">
        <v>3.4322171472087001E-3</v>
      </c>
      <c r="E100" s="15">
        <v>3.9215736531816401E-3</v>
      </c>
      <c r="F100" s="33">
        <v>0</v>
      </c>
      <c r="G100" s="33">
        <v>0.38185000000000002</v>
      </c>
      <c r="H100" s="33">
        <v>0</v>
      </c>
      <c r="I100" s="33">
        <v>0.40823799999999999</v>
      </c>
      <c r="J100" s="33">
        <v>0.38185000000000002</v>
      </c>
      <c r="K100" s="33">
        <v>0.40823799999999999</v>
      </c>
      <c r="L100" s="33">
        <v>20.81185</v>
      </c>
      <c r="M100" s="33">
        <v>25.958238000000001</v>
      </c>
      <c r="N100" s="34">
        <v>1.2506118453255</v>
      </c>
      <c r="O100" s="34">
        <v>1.2477004313447799</v>
      </c>
      <c r="P100" s="34">
        <v>1.24877006583005</v>
      </c>
      <c r="Q100" s="34">
        <v>1.24773123110715</v>
      </c>
      <c r="R100" s="33">
        <v>25.490519812374</v>
      </c>
      <c r="S100" s="33">
        <v>25.5019354006687</v>
      </c>
      <c r="T100" s="33">
        <v>25.4903999022726</v>
      </c>
      <c r="U100" s="15">
        <v>-2.3307056734621599E-3</v>
      </c>
      <c r="V100" s="15">
        <v>-1.8829693000043299E-3</v>
      </c>
      <c r="W100" s="15">
        <v>-2.3354097903005399E-3</v>
      </c>
      <c r="X100" s="34">
        <v>1.24728162080737</v>
      </c>
      <c r="Y100" s="34">
        <v>1.2471244094690801</v>
      </c>
      <c r="Z100" s="34">
        <v>1.24752546137856</v>
      </c>
      <c r="AA100" s="34">
        <v>1.2473116168948399</v>
      </c>
      <c r="AB100" s="33">
        <v>25.954966141208999</v>
      </c>
      <c r="AC100" s="33">
        <v>25.963594186299598</v>
      </c>
      <c r="AD100" s="33">
        <v>25.958323189790502</v>
      </c>
      <c r="AE100" s="15">
        <v>-1.2605112126582601E-4</v>
      </c>
      <c r="AF100" s="15">
        <v>2.0631730788908399E-4</v>
      </c>
      <c r="AG100" s="15">
        <v>3.2817963525983301E-6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2.6893836372790525E-3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2.2066527748765782E-3</v>
      </c>
      <c r="BE100" s="29">
        <f t="shared" si="42"/>
        <v>0</v>
      </c>
      <c r="BF100" s="29">
        <f t="shared" si="43"/>
        <v>4.8960364121556311E-3</v>
      </c>
      <c r="BH100" s="29"/>
    </row>
    <row r="101" spans="1:60" x14ac:dyDescent="0.25">
      <c r="A101" s="1">
        <v>46169</v>
      </c>
      <c r="B101" s="33">
        <v>20.46</v>
      </c>
      <c r="C101" s="33">
        <v>25.59</v>
      </c>
      <c r="D101" s="15">
        <v>1.4673516939497401E-3</v>
      </c>
      <c r="E101" s="15">
        <v>1.56433352198386E-3</v>
      </c>
      <c r="F101" s="33">
        <v>0</v>
      </c>
      <c r="G101" s="33">
        <v>0.38185000000000002</v>
      </c>
      <c r="H101" s="33">
        <v>0</v>
      </c>
      <c r="I101" s="33">
        <v>0.40823799999999999</v>
      </c>
      <c r="J101" s="33">
        <v>0.38185000000000002</v>
      </c>
      <c r="K101" s="33">
        <v>0.40823799999999999</v>
      </c>
      <c r="L101" s="33">
        <v>20.841850000000001</v>
      </c>
      <c r="M101" s="33">
        <v>25.998238000000001</v>
      </c>
      <c r="N101" s="34">
        <v>1.25073313782991</v>
      </c>
      <c r="O101" s="34">
        <v>1.2477004313447799</v>
      </c>
      <c r="P101" s="34">
        <v>1.2492580137593801</v>
      </c>
      <c r="Q101" s="34">
        <v>1.2477739648095301</v>
      </c>
      <c r="R101" s="33">
        <v>25.527950825314399</v>
      </c>
      <c r="S101" s="33">
        <v>25.5498355468828</v>
      </c>
      <c r="T101" s="33">
        <v>25.528580988452301</v>
      </c>
      <c r="U101" s="15">
        <v>-2.4276875014963102E-3</v>
      </c>
      <c r="V101" s="15">
        <v>-1.57077006391833E-3</v>
      </c>
      <c r="W101" s="15">
        <v>-2.4030025839917898E-3</v>
      </c>
      <c r="X101" s="34">
        <v>1.2474054846378799</v>
      </c>
      <c r="Y101" s="34">
        <v>1.2471244094690801</v>
      </c>
      <c r="Z101" s="34">
        <v>1.24748913038019</v>
      </c>
      <c r="AA101" s="34">
        <v>1.24734371284284</v>
      </c>
      <c r="AB101" s="33">
        <v>25.9923798734931</v>
      </c>
      <c r="AC101" s="33">
        <v>26.000738537232799</v>
      </c>
      <c r="AD101" s="33">
        <v>25.996281622579801</v>
      </c>
      <c r="AE101" s="15">
        <v>-2.25353218378365E-4</v>
      </c>
      <c r="AF101" s="15">
        <v>9.6176401972340907E-5</v>
      </c>
      <c r="AG101" s="15">
        <v>-7.5253216505232097E-5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2.6893836372790525E-3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2.2066527748765782E-3</v>
      </c>
      <c r="BE101" s="29">
        <f t="shared" si="42"/>
        <v>0</v>
      </c>
      <c r="BF101" s="29">
        <f t="shared" si="43"/>
        <v>4.8960364121556311E-3</v>
      </c>
      <c r="BH101" s="29"/>
    </row>
    <row r="102" spans="1:60" x14ac:dyDescent="0.25">
      <c r="A102" s="1">
        <v>46170</v>
      </c>
      <c r="B102" s="33">
        <v>20.5</v>
      </c>
      <c r="C102" s="33">
        <v>25.65</v>
      </c>
      <c r="D102" s="15">
        <v>1.9531256208820701E-3</v>
      </c>
      <c r="E102" s="15">
        <v>2.3419214450811198E-3</v>
      </c>
      <c r="F102" s="33">
        <v>0</v>
      </c>
      <c r="G102" s="33">
        <v>0.38185000000000002</v>
      </c>
      <c r="H102" s="33">
        <v>0</v>
      </c>
      <c r="I102" s="33">
        <v>0.40823799999999999</v>
      </c>
      <c r="J102" s="33">
        <v>0.38185000000000002</v>
      </c>
      <c r="K102" s="33">
        <v>0.40823799999999999</v>
      </c>
      <c r="L102" s="33">
        <v>20.88185</v>
      </c>
      <c r="M102" s="33">
        <v>26.058237999999999</v>
      </c>
      <c r="N102" s="34">
        <v>1.25121951219512</v>
      </c>
      <c r="O102" s="34">
        <v>1.2477004313447799</v>
      </c>
      <c r="P102" s="34">
        <v>1.24969703814962</v>
      </c>
      <c r="Q102" s="34">
        <v>1.2478349404192901</v>
      </c>
      <c r="R102" s="33">
        <v>25.577858842568101</v>
      </c>
      <c r="S102" s="33">
        <v>25.6097892820673</v>
      </c>
      <c r="T102" s="33">
        <v>25.579366278595401</v>
      </c>
      <c r="U102" s="15">
        <v>-2.81648332569528E-3</v>
      </c>
      <c r="V102" s="15">
        <v>-1.5688993943935401E-3</v>
      </c>
      <c r="W102" s="15">
        <v>-2.7575498700915901E-3</v>
      </c>
      <c r="X102" s="34">
        <v>1.2478893393066199</v>
      </c>
      <c r="Y102" s="34">
        <v>1.2471244094690801</v>
      </c>
      <c r="Z102" s="34">
        <v>1.2474050111667201</v>
      </c>
      <c r="AA102" s="34">
        <v>1.2473946858914799</v>
      </c>
      <c r="AB102" s="33">
        <v>26.042264849871898</v>
      </c>
      <c r="AC102" s="33">
        <v>26.049880897229599</v>
      </c>
      <c r="AD102" s="33">
        <v>26.0468443100273</v>
      </c>
      <c r="AE102" s="15">
        <v>-6.1316685079077198E-4</v>
      </c>
      <c r="AF102" s="15">
        <v>-3.2076010490582102E-4</v>
      </c>
      <c r="AG102" s="15">
        <v>-4.3733507938607103E-4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2.6893836372790525E-3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2.2066527748765782E-3</v>
      </c>
      <c r="BE102" s="29">
        <f t="shared" si="42"/>
        <v>0</v>
      </c>
      <c r="BF102" s="29">
        <f t="shared" si="43"/>
        <v>4.8960364121556311E-3</v>
      </c>
      <c r="BH102" s="29"/>
    </row>
    <row r="103" spans="1:60" x14ac:dyDescent="0.25">
      <c r="A103" s="1">
        <v>46171</v>
      </c>
      <c r="B103" s="33">
        <v>20.54</v>
      </c>
      <c r="C103" s="33">
        <v>25.67</v>
      </c>
      <c r="D103" s="15">
        <v>1.94931835604967E-3</v>
      </c>
      <c r="E103" s="15">
        <v>7.7942326627069897E-4</v>
      </c>
      <c r="F103" s="33">
        <v>0</v>
      </c>
      <c r="G103" s="33">
        <v>0.38185000000000002</v>
      </c>
      <c r="H103" s="33">
        <v>0</v>
      </c>
      <c r="I103" s="33">
        <v>0.40823799999999999</v>
      </c>
      <c r="J103" s="33">
        <v>0.38185000000000002</v>
      </c>
      <c r="K103" s="33">
        <v>0.40823799999999999</v>
      </c>
      <c r="L103" s="33">
        <v>20.921849999999999</v>
      </c>
      <c r="M103" s="33">
        <v>26.078237999999999</v>
      </c>
      <c r="N103" s="34">
        <v>1.24975657254138</v>
      </c>
      <c r="O103" s="34">
        <v>1.2477004313447799</v>
      </c>
      <c r="P103" s="34">
        <v>1.2500873295501</v>
      </c>
      <c r="Q103" s="34">
        <v>1.2477861836805</v>
      </c>
      <c r="R103" s="33">
        <v>25.6277668598219</v>
      </c>
      <c r="S103" s="33">
        <v>25.668777163593301</v>
      </c>
      <c r="T103" s="33">
        <v>25.630529676212198</v>
      </c>
      <c r="U103" s="15">
        <v>-1.6465882359164099E-3</v>
      </c>
      <c r="V103" s="15">
        <v>-4.7637924954671603E-5</v>
      </c>
      <c r="W103" s="15">
        <v>-1.53878846184374E-3</v>
      </c>
      <c r="X103" s="34">
        <v>1.2464594670165401</v>
      </c>
      <c r="Y103" s="34">
        <v>1.2471244094690801</v>
      </c>
      <c r="Z103" s="34">
        <v>1.24727407840622</v>
      </c>
      <c r="AA103" s="34">
        <v>1.2473379496772099</v>
      </c>
      <c r="AB103" s="33">
        <v>26.092149826250601</v>
      </c>
      <c r="AC103" s="33">
        <v>26.0980205328785</v>
      </c>
      <c r="AD103" s="33">
        <v>26.097804509018701</v>
      </c>
      <c r="AE103" s="15">
        <v>5.3332272041982202E-4</v>
      </c>
      <c r="AF103" s="15">
        <v>7.5829637397211195E-4</v>
      </c>
      <c r="AG103" s="15">
        <v>7.50018935703733E-4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2.6893836372790525E-3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2.2066527748765782E-3</v>
      </c>
      <c r="BE103" s="29">
        <f t="shared" si="42"/>
        <v>0</v>
      </c>
      <c r="BF103" s="29">
        <f t="shared" si="43"/>
        <v>4.8960364121556311E-3</v>
      </c>
      <c r="BH103" s="29"/>
    </row>
    <row r="104" spans="1:60" x14ac:dyDescent="0.25">
      <c r="A104" s="1">
        <v>46174</v>
      </c>
      <c r="B104" s="33">
        <v>20.5</v>
      </c>
      <c r="C104" s="33">
        <v>25.52</v>
      </c>
      <c r="D104" s="15">
        <v>-1.9493183560496501E-3</v>
      </c>
      <c r="E104" s="15">
        <v>-5.8605364064599798E-3</v>
      </c>
      <c r="F104" s="33">
        <v>0</v>
      </c>
      <c r="G104" s="33">
        <v>0.38185000000000002</v>
      </c>
      <c r="H104" s="33">
        <v>0.103494</v>
      </c>
      <c r="I104" s="33">
        <v>0.51173199999999996</v>
      </c>
      <c r="J104" s="33">
        <v>0.38185000000000002</v>
      </c>
      <c r="K104" s="33">
        <v>0.51173199999999996</v>
      </c>
      <c r="L104" s="33">
        <v>20.88185</v>
      </c>
      <c r="M104" s="33">
        <v>26.031731999999899</v>
      </c>
      <c r="N104" s="34">
        <v>1.24487804878048</v>
      </c>
      <c r="O104" s="34">
        <v>1.2477004313447799</v>
      </c>
      <c r="P104" s="34">
        <v>1.2500662935637099</v>
      </c>
      <c r="Q104" s="34">
        <v>1.24778568495108</v>
      </c>
      <c r="R104" s="33">
        <v>25.577858842568101</v>
      </c>
      <c r="S104" s="33">
        <v>25.626790255777099</v>
      </c>
      <c r="T104" s="33">
        <v>25.5796167654504</v>
      </c>
      <c r="U104" s="15">
        <v>2.2646298144939699E-3</v>
      </c>
      <c r="V104" s="15">
        <v>4.1758401817180097E-3</v>
      </c>
      <c r="W104" s="15">
        <v>2.3333557577516701E-3</v>
      </c>
      <c r="X104" s="34">
        <v>1.24662000732693</v>
      </c>
      <c r="Y104" s="34">
        <v>1.2471244094690801</v>
      </c>
      <c r="Z104" s="34">
        <v>1.2472333310852199</v>
      </c>
      <c r="AA104" s="34">
        <v>1.2473282906659799</v>
      </c>
      <c r="AB104" s="33">
        <v>26.042264849871898</v>
      </c>
      <c r="AC104" s="33">
        <v>26.0453902141669</v>
      </c>
      <c r="AD104" s="33">
        <v>26.046723964466999</v>
      </c>
      <c r="AE104" s="15">
        <v>4.0453395754996298E-4</v>
      </c>
      <c r="AF104" s="15">
        <v>5.2453798902016302E-4</v>
      </c>
      <c r="AG104" s="15">
        <v>5.7574536739076398E-4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2.6893836372790525E-3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2.2066527748765782E-3</v>
      </c>
      <c r="BE104" s="29">
        <f t="shared" si="42"/>
        <v>0</v>
      </c>
      <c r="BF104" s="29">
        <f t="shared" si="43"/>
        <v>4.8960364121556311E-3</v>
      </c>
      <c r="BH104" s="29"/>
    </row>
    <row r="105" spans="1:60" x14ac:dyDescent="0.25">
      <c r="A105" s="1">
        <v>46175</v>
      </c>
      <c r="B105" s="33">
        <v>20.52</v>
      </c>
      <c r="C105" s="33">
        <v>25.55</v>
      </c>
      <c r="D105" s="15">
        <v>9.7513415820629095E-4</v>
      </c>
      <c r="E105" s="15">
        <v>1.1748581731242701E-3</v>
      </c>
      <c r="F105" s="33">
        <v>0</v>
      </c>
      <c r="G105" s="33">
        <v>0.38185000000000002</v>
      </c>
      <c r="H105" s="33">
        <v>0</v>
      </c>
      <c r="I105" s="33">
        <v>0.51173199999999996</v>
      </c>
      <c r="J105" s="33">
        <v>0.38185000000000002</v>
      </c>
      <c r="K105" s="33">
        <v>0.51173199999999996</v>
      </c>
      <c r="L105" s="33">
        <v>20.90185</v>
      </c>
      <c r="M105" s="33">
        <v>26.061731999999999</v>
      </c>
      <c r="N105" s="34">
        <v>1.24512670565302</v>
      </c>
      <c r="O105" s="34">
        <v>1.2477004313447799</v>
      </c>
      <c r="P105" s="34">
        <v>1.2495419270919801</v>
      </c>
      <c r="Q105" s="34">
        <v>1.24774974261887</v>
      </c>
      <c r="R105" s="33">
        <v>25.602812851195001</v>
      </c>
      <c r="S105" s="33">
        <v>25.651360343927401</v>
      </c>
      <c r="T105" s="33">
        <v>25.6045622551961</v>
      </c>
      <c r="U105" s="15">
        <v>2.06490579957572E-3</v>
      </c>
      <c r="V105" s="15">
        <v>3.9592884117394499E-3</v>
      </c>
      <c r="W105" s="15">
        <v>2.1332320513370701E-3</v>
      </c>
      <c r="X105" s="34">
        <v>1.2468624547587801</v>
      </c>
      <c r="Y105" s="34">
        <v>1.2471244094690801</v>
      </c>
      <c r="Z105" s="34">
        <v>1.2472180204718499</v>
      </c>
      <c r="AA105" s="34">
        <v>1.2472831886696101</v>
      </c>
      <c r="AB105" s="33">
        <v>26.067207338061301</v>
      </c>
      <c r="AC105" s="33">
        <v>26.069484001343699</v>
      </c>
      <c r="AD105" s="33">
        <v>26.071468832256699</v>
      </c>
      <c r="AE105" s="15">
        <v>2.1006903846352599E-4</v>
      </c>
      <c r="AF105" s="15">
        <v>2.9740343677024699E-4</v>
      </c>
      <c r="AG105" s="15">
        <v>3.7353671804100599E-4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2.6893836372790525E-3</v>
      </c>
      <c r="AT105" s="12"/>
      <c r="AU105">
        <f t="shared" si="30"/>
        <v>0</v>
      </c>
      <c r="AV105">
        <f t="shared" si="31"/>
        <v>0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2.2066527748765782E-3</v>
      </c>
      <c r="BE105" s="29">
        <f t="shared" si="42"/>
        <v>0</v>
      </c>
      <c r="BF105" s="29">
        <f t="shared" si="43"/>
        <v>4.8960364121556311E-3</v>
      </c>
      <c r="BH105" s="29"/>
    </row>
    <row r="106" spans="1:60" x14ac:dyDescent="0.25">
      <c r="A106" s="1">
        <v>46176</v>
      </c>
      <c r="B106" s="33">
        <v>20.46</v>
      </c>
      <c r="C106" s="33">
        <v>25.48</v>
      </c>
      <c r="D106" s="15">
        <v>-2.9282597790883302E-3</v>
      </c>
      <c r="E106" s="15">
        <v>-2.74348594575083E-3</v>
      </c>
      <c r="F106" s="33">
        <v>0</v>
      </c>
      <c r="G106" s="33">
        <v>0.38185000000000002</v>
      </c>
      <c r="H106" s="33">
        <v>0</v>
      </c>
      <c r="I106" s="33">
        <v>0.51173199999999996</v>
      </c>
      <c r="J106" s="33">
        <v>0.38185000000000002</v>
      </c>
      <c r="K106" s="33">
        <v>0.51173199999999996</v>
      </c>
      <c r="L106" s="33">
        <v>20.841850000000001</v>
      </c>
      <c r="M106" s="33">
        <v>25.991731999999999</v>
      </c>
      <c r="N106" s="34">
        <v>1.2453567937438901</v>
      </c>
      <c r="O106" s="34">
        <v>1.2477004313447799</v>
      </c>
      <c r="P106" s="34">
        <v>1.24889131734565</v>
      </c>
      <c r="Q106" s="34">
        <v>1.2477915715900401</v>
      </c>
      <c r="R106" s="33">
        <v>25.527950825314399</v>
      </c>
      <c r="S106" s="33">
        <v>25.565627828301899</v>
      </c>
      <c r="T106" s="33">
        <v>25.528959733982099</v>
      </c>
      <c r="U106" s="15">
        <v>1.8801319662383601E-3</v>
      </c>
      <c r="V106" s="15">
        <v>3.3549556450507101E-3</v>
      </c>
      <c r="W106" s="15">
        <v>1.91965291087971E-3</v>
      </c>
      <c r="X106" s="34">
        <v>1.2470933242490401</v>
      </c>
      <c r="Y106" s="34">
        <v>1.2471244094690801</v>
      </c>
      <c r="Z106" s="34">
        <v>1.24708128586721</v>
      </c>
      <c r="AA106" s="34">
        <v>1.24731527860495</v>
      </c>
      <c r="AB106" s="33">
        <v>25.9923798734931</v>
      </c>
      <c r="AC106" s="33">
        <v>25.994330899971299</v>
      </c>
      <c r="AD106" s="33">
        <v>25.995689125773801</v>
      </c>
      <c r="AE106" s="15">
        <v>2.49258271361409E-5</v>
      </c>
      <c r="AF106" s="15">
        <v>9.9984489247633898E-5</v>
      </c>
      <c r="AG106" s="15">
        <v>1.52233971057427E-4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2.6893836372790525E-3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2.2066527748765782E-3</v>
      </c>
      <c r="BE106" s="29">
        <f t="shared" si="42"/>
        <v>0</v>
      </c>
      <c r="BF106" s="29">
        <f t="shared" si="43"/>
        <v>4.8960364121556311E-3</v>
      </c>
      <c r="BH106" s="29"/>
    </row>
    <row r="107" spans="1:60" x14ac:dyDescent="0.25">
      <c r="A107" s="1">
        <v>46177</v>
      </c>
      <c r="B107" s="33">
        <v>20.5</v>
      </c>
      <c r="C107" s="33">
        <v>25.53</v>
      </c>
      <c r="D107" s="15">
        <v>1.9531256208820701E-3</v>
      </c>
      <c r="E107" s="15">
        <v>1.96040054942979E-3</v>
      </c>
      <c r="F107" s="33">
        <v>0</v>
      </c>
      <c r="G107" s="33">
        <v>0.38185000000000002</v>
      </c>
      <c r="H107" s="33">
        <v>0</v>
      </c>
      <c r="I107" s="33">
        <v>0.51173199999999996</v>
      </c>
      <c r="J107" s="33">
        <v>0.38185000000000002</v>
      </c>
      <c r="K107" s="33">
        <v>0.51173199999999996</v>
      </c>
      <c r="L107" s="33">
        <v>20.88185</v>
      </c>
      <c r="M107" s="33">
        <v>26.041732</v>
      </c>
      <c r="N107" s="34">
        <v>1.2453658536585299</v>
      </c>
      <c r="O107" s="34">
        <v>1.2477004313447799</v>
      </c>
      <c r="P107" s="34">
        <v>1.2484032721696301</v>
      </c>
      <c r="Q107" s="34">
        <v>1.2478204071716601</v>
      </c>
      <c r="R107" s="33">
        <v>25.577858842568101</v>
      </c>
      <c r="S107" s="33">
        <v>25.602272005585899</v>
      </c>
      <c r="T107" s="33">
        <v>25.579727217595799</v>
      </c>
      <c r="U107" s="15">
        <v>1.8728570376905799E-3</v>
      </c>
      <c r="V107" s="15">
        <v>2.8268665122563202E-3</v>
      </c>
      <c r="W107" s="15">
        <v>1.9459009466162901E-3</v>
      </c>
      <c r="X107" s="34">
        <v>1.2470988921000701</v>
      </c>
      <c r="Y107" s="34">
        <v>1.2471244094690801</v>
      </c>
      <c r="Z107" s="34">
        <v>1.2471009853698201</v>
      </c>
      <c r="AA107" s="34">
        <v>1.24733485203259</v>
      </c>
      <c r="AB107" s="33">
        <v>26.042264849871898</v>
      </c>
      <c r="AC107" s="33">
        <v>26.041364349286201</v>
      </c>
      <c r="AD107" s="33">
        <v>26.0462505505369</v>
      </c>
      <c r="AE107" s="15">
        <v>2.0461174416969999E-5</v>
      </c>
      <c r="AF107" s="15">
        <v>-1.4117851644072999E-5</v>
      </c>
      <c r="AG107" s="15">
        <v>1.7349685386252E-4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2.6893836372790525E-3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2.2066527748765782E-3</v>
      </c>
      <c r="BE107" s="29">
        <f t="shared" si="42"/>
        <v>0</v>
      </c>
      <c r="BF107" s="29">
        <f t="shared" si="43"/>
        <v>4.8960364121556311E-3</v>
      </c>
      <c r="BH107" s="29"/>
    </row>
    <row r="108" spans="1:60" x14ac:dyDescent="0.25">
      <c r="A108" s="1">
        <v>46178</v>
      </c>
      <c r="B108" s="33">
        <v>20.38</v>
      </c>
      <c r="C108" s="33">
        <v>25.37</v>
      </c>
      <c r="D108" s="15">
        <v>-5.8708583497837398E-3</v>
      </c>
      <c r="E108" s="15">
        <v>-6.2868576422019998E-3</v>
      </c>
      <c r="F108" s="33">
        <v>0</v>
      </c>
      <c r="G108" s="33">
        <v>0.38185000000000002</v>
      </c>
      <c r="H108" s="33">
        <v>0</v>
      </c>
      <c r="I108" s="33">
        <v>0.51173199999999996</v>
      </c>
      <c r="J108" s="33">
        <v>0.38185000000000002</v>
      </c>
      <c r="K108" s="33">
        <v>0.51173199999999996</v>
      </c>
      <c r="L108" s="33">
        <v>20.761849999999999</v>
      </c>
      <c r="M108" s="33">
        <v>25.881732</v>
      </c>
      <c r="N108" s="34">
        <v>1.24484789008832</v>
      </c>
      <c r="O108" s="34">
        <v>1.2477004313447799</v>
      </c>
      <c r="P108" s="34">
        <v>1.2477896359816101</v>
      </c>
      <c r="Q108" s="34">
        <v>1.2477940577617599</v>
      </c>
      <c r="R108" s="33">
        <v>25.428134790806801</v>
      </c>
      <c r="S108" s="33">
        <v>25.442458686817101</v>
      </c>
      <c r="T108" s="33">
        <v>25.430579898158399</v>
      </c>
      <c r="U108" s="15">
        <v>2.2888563301086502E-3</v>
      </c>
      <c r="V108" s="15">
        <v>2.85200668514535E-3</v>
      </c>
      <c r="W108" s="15">
        <v>2.38500926548922E-3</v>
      </c>
      <c r="X108" s="34">
        <v>1.24660047153794</v>
      </c>
      <c r="Y108" s="34">
        <v>1.2471244094690801</v>
      </c>
      <c r="Z108" s="34">
        <v>1.2469980862168799</v>
      </c>
      <c r="AA108" s="34">
        <v>1.2473002189695099</v>
      </c>
      <c r="AB108" s="33">
        <v>25.892609920735602</v>
      </c>
      <c r="AC108" s="33">
        <v>25.892123593100401</v>
      </c>
      <c r="AD108" s="33">
        <v>25.896979097672801</v>
      </c>
      <c r="AE108" s="15">
        <v>4.2020508584529202E-4</v>
      </c>
      <c r="AF108" s="15">
        <v>4.0142242144936501E-4</v>
      </c>
      <c r="AG108" s="15">
        <v>5.8893308814949598E-4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2.6893836372790525E-3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2.2066527748765782E-3</v>
      </c>
      <c r="BE108" s="29">
        <f t="shared" si="42"/>
        <v>0</v>
      </c>
      <c r="BF108" s="29">
        <f t="shared" si="43"/>
        <v>4.8960364121556311E-3</v>
      </c>
      <c r="BH108" s="29"/>
    </row>
    <row r="109" spans="1:60" x14ac:dyDescent="0.25">
      <c r="A109" s="1">
        <v>46181</v>
      </c>
      <c r="B109" s="33">
        <v>20.36</v>
      </c>
      <c r="C109" s="33">
        <v>25.35</v>
      </c>
      <c r="D109" s="15">
        <v>-9.8183611225670093E-4</v>
      </c>
      <c r="E109" s="15">
        <v>-7.8864357399834604E-4</v>
      </c>
      <c r="F109" s="33">
        <v>0</v>
      </c>
      <c r="G109" s="33">
        <v>0.38185000000000002</v>
      </c>
      <c r="H109" s="33">
        <v>0</v>
      </c>
      <c r="I109" s="33">
        <v>0.51173199999999996</v>
      </c>
      <c r="J109" s="33">
        <v>0.38185000000000002</v>
      </c>
      <c r="K109" s="33">
        <v>0.51173199999999996</v>
      </c>
      <c r="L109" s="33">
        <v>20.741849999999999</v>
      </c>
      <c r="M109" s="33">
        <v>25.861732</v>
      </c>
      <c r="N109" s="34">
        <v>1.2450884086444001</v>
      </c>
      <c r="O109" s="34">
        <v>1.2477004313447799</v>
      </c>
      <c r="P109" s="34">
        <v>1.24729847684605</v>
      </c>
      <c r="Q109" s="34">
        <v>1.2477788370688601</v>
      </c>
      <c r="R109" s="33">
        <v>25.403180782179899</v>
      </c>
      <c r="S109" s="33">
        <v>25.404996988585701</v>
      </c>
      <c r="T109" s="33">
        <v>25.405087016029398</v>
      </c>
      <c r="U109" s="15">
        <v>2.09566379185027E-3</v>
      </c>
      <c r="V109" s="15">
        <v>2.1671564722134501E-3</v>
      </c>
      <c r="W109" s="15">
        <v>2.1707001563271802E-3</v>
      </c>
      <c r="X109" s="34">
        <v>1.2468382521327599</v>
      </c>
      <c r="Y109" s="34">
        <v>1.2471244094690801</v>
      </c>
      <c r="Z109" s="34">
        <v>1.2470149313873899</v>
      </c>
      <c r="AA109" s="34">
        <v>1.2472769572645901</v>
      </c>
      <c r="AB109" s="33">
        <v>25.867667432546199</v>
      </c>
      <c r="AC109" s="33">
        <v>25.865047254597599</v>
      </c>
      <c r="AD109" s="33">
        <v>25.8713140468329</v>
      </c>
      <c r="AE109" s="15">
        <v>2.29480049542598E-4</v>
      </c>
      <c r="AF109" s="15">
        <v>1.28183298864137E-4</v>
      </c>
      <c r="AG109" s="15">
        <v>3.7044201626239E-4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2.6893836372790525E-3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2.2066527748765782E-3</v>
      </c>
      <c r="BE109" s="29">
        <f t="shared" si="42"/>
        <v>0</v>
      </c>
      <c r="BF109" s="29">
        <f t="shared" si="43"/>
        <v>4.8960364121556311E-3</v>
      </c>
      <c r="BH109" s="29"/>
    </row>
    <row r="110" spans="1:60" x14ac:dyDescent="0.25">
      <c r="A110" s="1">
        <v>46182</v>
      </c>
      <c r="B110" s="33">
        <v>20.41</v>
      </c>
      <c r="C110" s="33">
        <v>25.42</v>
      </c>
      <c r="D110" s="15">
        <v>2.4527851394315599E-3</v>
      </c>
      <c r="E110" s="15">
        <v>2.7575357241158699E-3</v>
      </c>
      <c r="F110" s="33">
        <v>0</v>
      </c>
      <c r="G110" s="33">
        <v>0.38185000000000002</v>
      </c>
      <c r="H110" s="33">
        <v>0</v>
      </c>
      <c r="I110" s="33">
        <v>0.51173199999999996</v>
      </c>
      <c r="J110" s="33">
        <v>0.38185000000000002</v>
      </c>
      <c r="K110" s="33">
        <v>0.51173199999999996</v>
      </c>
      <c r="L110" s="33">
        <v>20.79185</v>
      </c>
      <c r="M110" s="33">
        <v>25.931732</v>
      </c>
      <c r="N110" s="34">
        <v>1.24546790788829</v>
      </c>
      <c r="O110" s="34">
        <v>1.2477004313447799</v>
      </c>
      <c r="P110" s="34">
        <v>1.24678408310233</v>
      </c>
      <c r="Q110" s="34">
        <v>1.24777707446619</v>
      </c>
      <c r="R110" s="33">
        <v>25.465565803747101</v>
      </c>
      <c r="S110" s="33">
        <v>25.457361912427999</v>
      </c>
      <c r="T110" s="33">
        <v>25.467166064575402</v>
      </c>
      <c r="U110" s="15">
        <v>1.79091320716605E-3</v>
      </c>
      <c r="V110" s="15">
        <v>1.4687050483650501E-3</v>
      </c>
      <c r="W110" s="15">
        <v>1.85375141631528E-3</v>
      </c>
      <c r="X110" s="34">
        <v>1.2472065737296101</v>
      </c>
      <c r="Y110" s="34">
        <v>1.2471244094690801</v>
      </c>
      <c r="Z110" s="34">
        <v>1.2470074266796201</v>
      </c>
      <c r="AA110" s="34">
        <v>1.2472664440290899</v>
      </c>
      <c r="AB110" s="33">
        <v>25.930023653019699</v>
      </c>
      <c r="AC110" s="33">
        <v>25.927747401167</v>
      </c>
      <c r="AD110" s="33">
        <v>25.933195403901902</v>
      </c>
      <c r="AE110" s="15">
        <v>-6.5880800192918396E-5</v>
      </c>
      <c r="AF110" s="15">
        <v>-1.5366906443293601E-4</v>
      </c>
      <c r="AG110" s="15">
        <v>5.6431348720152502E-5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2.6893836372790525E-3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2.2066527748765782E-3</v>
      </c>
      <c r="BE110" s="29">
        <f t="shared" si="42"/>
        <v>0</v>
      </c>
      <c r="BF110" s="29">
        <f t="shared" si="43"/>
        <v>4.8960364121556311E-3</v>
      </c>
      <c r="BH110" s="29"/>
    </row>
    <row r="111" spans="1:60" x14ac:dyDescent="0.25">
      <c r="A111" s="1">
        <v>46183</v>
      </c>
      <c r="B111" s="33">
        <v>20.38</v>
      </c>
      <c r="C111" s="33">
        <v>25.38</v>
      </c>
      <c r="D111" s="15">
        <v>-1.4709490271746701E-3</v>
      </c>
      <c r="E111" s="15">
        <v>-1.5748034750665101E-3</v>
      </c>
      <c r="F111" s="33">
        <v>0</v>
      </c>
      <c r="G111" s="33">
        <v>0.38185000000000002</v>
      </c>
      <c r="H111" s="33">
        <v>0</v>
      </c>
      <c r="I111" s="33">
        <v>0.51173199999999996</v>
      </c>
      <c r="J111" s="33">
        <v>0.38185000000000002</v>
      </c>
      <c r="K111" s="33">
        <v>0.51173199999999996</v>
      </c>
      <c r="L111" s="33">
        <v>20.761849999999999</v>
      </c>
      <c r="M111" s="33">
        <v>25.891731999999902</v>
      </c>
      <c r="N111" s="34">
        <v>1.2453385672227599</v>
      </c>
      <c r="O111" s="34">
        <v>1.2477004313447799</v>
      </c>
      <c r="P111" s="34">
        <v>1.24624462604162</v>
      </c>
      <c r="Q111" s="34">
        <v>1.2477513199004999</v>
      </c>
      <c r="R111" s="33">
        <v>25.428134790806801</v>
      </c>
      <c r="S111" s="33">
        <v>25.4094596136256</v>
      </c>
      <c r="T111" s="33">
        <v>25.429696777621</v>
      </c>
      <c r="U111" s="15">
        <v>1.89476765505781E-3</v>
      </c>
      <c r="V111" s="15">
        <v>1.1600681382919499E-3</v>
      </c>
      <c r="W111" s="15">
        <v>1.9561932709963501E-3</v>
      </c>
      <c r="X111" s="34">
        <v>1.2470821241845</v>
      </c>
      <c r="Y111" s="34">
        <v>1.2471244094690801</v>
      </c>
      <c r="Z111" s="34">
        <v>1.24697509063428</v>
      </c>
      <c r="AA111" s="34">
        <v>1.2472321105072299</v>
      </c>
      <c r="AB111" s="33">
        <v>25.892609920735602</v>
      </c>
      <c r="AC111" s="33">
        <v>25.890181141608199</v>
      </c>
      <c r="AD111" s="33">
        <v>25.895558820965402</v>
      </c>
      <c r="AE111" s="15">
        <v>3.3906802834808701E-5</v>
      </c>
      <c r="AF111" s="15">
        <v>-5.9899617379225898E-5</v>
      </c>
      <c r="AG111" s="15">
        <v>1.47789965906389E-4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2.6893836372790525E-3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2.2066527748765782E-3</v>
      </c>
      <c r="BE111" s="29">
        <f t="shared" si="42"/>
        <v>0</v>
      </c>
      <c r="BF111" s="29">
        <f t="shared" si="43"/>
        <v>4.8960364121556311E-3</v>
      </c>
      <c r="BH111" s="29"/>
    </row>
    <row r="112" spans="1:60" x14ac:dyDescent="0.25">
      <c r="A112" s="1">
        <v>46184</v>
      </c>
      <c r="B112" s="33">
        <v>20.53</v>
      </c>
      <c r="C112" s="33">
        <v>25.57</v>
      </c>
      <c r="D112" s="15">
        <v>7.3332032362634402E-3</v>
      </c>
      <c r="E112" s="15">
        <v>7.4583270168537101E-3</v>
      </c>
      <c r="F112" s="33">
        <v>0</v>
      </c>
      <c r="G112" s="33">
        <v>0.38185000000000002</v>
      </c>
      <c r="H112" s="33">
        <v>0</v>
      </c>
      <c r="I112" s="33">
        <v>0.51173199999999996</v>
      </c>
      <c r="J112" s="33">
        <v>0.38185000000000002</v>
      </c>
      <c r="K112" s="33">
        <v>0.51173199999999996</v>
      </c>
      <c r="L112" s="33">
        <v>20.911850000000001</v>
      </c>
      <c r="M112" s="33">
        <v>26.081731999999999</v>
      </c>
      <c r="N112" s="34">
        <v>1.2454943984413001</v>
      </c>
      <c r="O112" s="34">
        <v>1.2477004313447799</v>
      </c>
      <c r="P112" s="34">
        <v>1.2456721146662399</v>
      </c>
      <c r="Q112" s="34">
        <v>1.2476845764079301</v>
      </c>
      <c r="R112" s="33">
        <v>25.6152898555085</v>
      </c>
      <c r="S112" s="33">
        <v>25.585402172634499</v>
      </c>
      <c r="T112" s="33">
        <v>25.616334597557302</v>
      </c>
      <c r="U112" s="15">
        <v>1.76964387446749E-3</v>
      </c>
      <c r="V112" s="15">
        <v>6.0217190934975205E-4</v>
      </c>
      <c r="W112" s="15">
        <v>1.81042891925518E-3</v>
      </c>
      <c r="X112" s="34">
        <v>1.2472226034520999</v>
      </c>
      <c r="Y112" s="34">
        <v>1.2471244094690801</v>
      </c>
      <c r="Z112" s="34">
        <v>1.24690841704883</v>
      </c>
      <c r="AA112" s="34">
        <v>1.24715671410777</v>
      </c>
      <c r="AB112" s="33">
        <v>26.0796785821559</v>
      </c>
      <c r="AC112" s="33">
        <v>26.076556049080502</v>
      </c>
      <c r="AD112" s="33">
        <v>26.081930810110801</v>
      </c>
      <c r="AE112" s="15">
        <v>-7.8733217608554799E-5</v>
      </c>
      <c r="AF112" s="15">
        <v>-1.9847089043964399E-4</v>
      </c>
      <c r="AG112" s="15">
        <v>7.6225517961329602E-6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2.6893836372790525E-3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2.2066527748765782E-3</v>
      </c>
      <c r="BE112" s="29">
        <f t="shared" si="42"/>
        <v>0</v>
      </c>
      <c r="BF112" s="29">
        <f t="shared" si="43"/>
        <v>4.8960364121556311E-3</v>
      </c>
      <c r="BH112" s="29"/>
    </row>
    <row r="113" spans="1:60" x14ac:dyDescent="0.25">
      <c r="A113" s="1">
        <v>46185</v>
      </c>
      <c r="B113" s="33">
        <v>20.5</v>
      </c>
      <c r="C113" s="33">
        <v>25.54</v>
      </c>
      <c r="D113" s="15">
        <v>-1.46234488647975E-3</v>
      </c>
      <c r="E113" s="15">
        <v>-1.17393869870206E-3</v>
      </c>
      <c r="F113" s="33">
        <v>0</v>
      </c>
      <c r="G113" s="33">
        <v>0.38185000000000002</v>
      </c>
      <c r="H113" s="33">
        <v>0</v>
      </c>
      <c r="I113" s="33">
        <v>0.51173199999999996</v>
      </c>
      <c r="J113" s="33">
        <v>0.38185000000000002</v>
      </c>
      <c r="K113" s="33">
        <v>0.51173199999999996</v>
      </c>
      <c r="L113" s="33">
        <v>20.88185</v>
      </c>
      <c r="M113" s="33">
        <v>26.051731999999902</v>
      </c>
      <c r="N113" s="34">
        <v>1.24585365853658</v>
      </c>
      <c r="O113" s="34">
        <v>1.2477004313447799</v>
      </c>
      <c r="P113" s="34">
        <v>1.2452818232657601</v>
      </c>
      <c r="Q113" s="34">
        <v>1.2476845764079301</v>
      </c>
      <c r="R113" s="33">
        <v>25.577858842568101</v>
      </c>
      <c r="S113" s="33">
        <v>25.536278350657899</v>
      </c>
      <c r="T113" s="33">
        <v>25.5775338163626</v>
      </c>
      <c r="U113" s="15">
        <v>1.48123768669001E-3</v>
      </c>
      <c r="V113" s="15">
        <v>-1.45729073019307E-4</v>
      </c>
      <c r="W113" s="15">
        <v>1.4685302793704101E-3</v>
      </c>
      <c r="X113" s="34">
        <v>1.2475777768732099</v>
      </c>
      <c r="Y113" s="34">
        <v>1.2471244094690801</v>
      </c>
      <c r="Z113" s="34">
        <v>1.2470202480344901</v>
      </c>
      <c r="AA113" s="34">
        <v>1.2471471632203499</v>
      </c>
      <c r="AB113" s="33">
        <v>26.042264849871898</v>
      </c>
      <c r="AC113" s="33">
        <v>26.037754528551101</v>
      </c>
      <c r="AD113" s="33">
        <v>26.042939430491501</v>
      </c>
      <c r="AE113" s="15">
        <v>-3.6346415344489999E-4</v>
      </c>
      <c r="AF113" s="15">
        <v>-5.3667151342204605E-4</v>
      </c>
      <c r="AG113" s="15">
        <v>-3.37561188142308E-4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2.6893836372790525E-3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2.2066527748765782E-3</v>
      </c>
      <c r="BE113" s="29">
        <f t="shared" si="42"/>
        <v>0</v>
      </c>
      <c r="BF113" s="29">
        <f t="shared" si="43"/>
        <v>4.8960364121556311E-3</v>
      </c>
      <c r="BH113" s="29"/>
    </row>
    <row r="114" spans="1:60" x14ac:dyDescent="0.25">
      <c r="A114" s="1">
        <v>46188</v>
      </c>
      <c r="B114" s="33">
        <v>20.52</v>
      </c>
      <c r="C114" s="33">
        <v>25.56</v>
      </c>
      <c r="D114" s="15">
        <v>9.7513415820629095E-4</v>
      </c>
      <c r="E114" s="15">
        <v>7.8277890494076602E-4</v>
      </c>
      <c r="F114" s="33">
        <v>0</v>
      </c>
      <c r="G114" s="33">
        <v>0.38185000000000002</v>
      </c>
      <c r="H114" s="33">
        <v>0</v>
      </c>
      <c r="I114" s="33">
        <v>0.51173199999999996</v>
      </c>
      <c r="J114" s="33">
        <v>0.38185000000000002</v>
      </c>
      <c r="K114" s="33">
        <v>0.51173199999999996</v>
      </c>
      <c r="L114" s="33">
        <v>20.90185</v>
      </c>
      <c r="M114" s="33">
        <v>26.071731999999901</v>
      </c>
      <c r="N114" s="34">
        <v>1.2456140350877101</v>
      </c>
      <c r="O114" s="34">
        <v>1.2477004313447799</v>
      </c>
      <c r="P114" s="34">
        <v>1.24535542189648</v>
      </c>
      <c r="Q114" s="34">
        <v>1.2477108577300899</v>
      </c>
      <c r="R114" s="33">
        <v>25.602812851195001</v>
      </c>
      <c r="S114" s="33">
        <v>25.553183013413399</v>
      </c>
      <c r="T114" s="33">
        <v>25.6024875078907</v>
      </c>
      <c r="U114" s="15">
        <v>1.6735929399553601E-3</v>
      </c>
      <c r="V114" s="15">
        <v>-2.6674083769030098E-4</v>
      </c>
      <c r="W114" s="15">
        <v>1.6608855326356599E-3</v>
      </c>
      <c r="X114" s="34">
        <v>1.2473408813095399</v>
      </c>
      <c r="Y114" s="34">
        <v>1.2471244094690801</v>
      </c>
      <c r="Z114" s="34">
        <v>1.2470923354327601</v>
      </c>
      <c r="AA114" s="34">
        <v>1.2471628332589899</v>
      </c>
      <c r="AB114" s="33">
        <v>26.067207338061301</v>
      </c>
      <c r="AC114" s="33">
        <v>26.065030171379899</v>
      </c>
      <c r="AD114" s="33">
        <v>26.0676829335574</v>
      </c>
      <c r="AE114" s="15">
        <v>-1.73561718266523E-4</v>
      </c>
      <c r="AF114" s="15">
        <v>-2.5708649244362202E-4</v>
      </c>
      <c r="AG114" s="15">
        <v>-1.5531691162332499E-4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2.6893836372790525E-3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2.2066527748765782E-3</v>
      </c>
      <c r="BE114" s="29">
        <f t="shared" si="42"/>
        <v>0</v>
      </c>
      <c r="BF114" s="29">
        <f t="shared" si="43"/>
        <v>4.8960364121556311E-3</v>
      </c>
      <c r="BH114" s="29"/>
    </row>
    <row r="115" spans="1:60" x14ac:dyDescent="0.25">
      <c r="A115" s="1">
        <v>46189</v>
      </c>
      <c r="B115" s="33">
        <v>20.55</v>
      </c>
      <c r="C115" s="33">
        <v>25.59</v>
      </c>
      <c r="D115" s="15">
        <v>1.4609206396748601E-3</v>
      </c>
      <c r="E115" s="15">
        <v>1.1730206623633401E-3</v>
      </c>
      <c r="F115" s="33">
        <v>0</v>
      </c>
      <c r="G115" s="33">
        <v>0.38185000000000002</v>
      </c>
      <c r="H115" s="33">
        <v>0</v>
      </c>
      <c r="I115" s="33">
        <v>0.51173199999999996</v>
      </c>
      <c r="J115" s="33">
        <v>0.38185000000000002</v>
      </c>
      <c r="K115" s="33">
        <v>0.51173199999999996</v>
      </c>
      <c r="L115" s="33">
        <v>20.931850000000001</v>
      </c>
      <c r="M115" s="33">
        <v>26.101731999999998</v>
      </c>
      <c r="N115" s="34">
        <v>1.2452554744525499</v>
      </c>
      <c r="O115" s="34">
        <v>1.2477004313447799</v>
      </c>
      <c r="P115" s="34">
        <v>1.2453682987764301</v>
      </c>
      <c r="Q115" s="34">
        <v>1.2474551129342</v>
      </c>
      <c r="R115" s="33">
        <v>25.6402438641354</v>
      </c>
      <c r="S115" s="33">
        <v>25.592053919972699</v>
      </c>
      <c r="T115" s="33">
        <v>25.640458126353501</v>
      </c>
      <c r="U115" s="15">
        <v>1.9614929172667101E-3</v>
      </c>
      <c r="V115" s="15">
        <v>8.02593806439109E-5</v>
      </c>
      <c r="W115" s="15">
        <v>1.9698493636414799E-3</v>
      </c>
      <c r="X115" s="34">
        <v>1.2469863867742199</v>
      </c>
      <c r="Y115" s="34">
        <v>1.2471244094690801</v>
      </c>
      <c r="Z115" s="34">
        <v>1.2471047286343</v>
      </c>
      <c r="AA115" s="34">
        <v>1.2471613745530801</v>
      </c>
      <c r="AB115" s="33">
        <v>26.104621070345299</v>
      </c>
      <c r="AC115" s="33">
        <v>26.103949701428199</v>
      </c>
      <c r="AD115" s="33">
        <v>26.105425351352199</v>
      </c>
      <c r="AE115" s="15">
        <v>1.1067888019039699E-4</v>
      </c>
      <c r="AF115" s="15">
        <v>8.4960155956045305E-5</v>
      </c>
      <c r="AG115" s="15">
        <v>1.4148831485255199E-4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2.6893836372790525E-3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2.2066527748765782E-3</v>
      </c>
      <c r="BE115" s="29">
        <f t="shared" si="42"/>
        <v>0</v>
      </c>
      <c r="BF115" s="29">
        <f t="shared" si="43"/>
        <v>4.8960364121556311E-3</v>
      </c>
      <c r="BH115" s="29"/>
    </row>
    <row r="116" spans="1:60" x14ac:dyDescent="0.25">
      <c r="A116" s="1">
        <v>46190</v>
      </c>
      <c r="B116" s="33">
        <v>20.45</v>
      </c>
      <c r="C116" s="33">
        <v>25.5</v>
      </c>
      <c r="D116" s="15">
        <v>-4.8780584534329598E-3</v>
      </c>
      <c r="E116" s="15">
        <v>-3.5231980073170098E-3</v>
      </c>
      <c r="F116" s="33">
        <v>0</v>
      </c>
      <c r="G116" s="33">
        <v>0.38185000000000002</v>
      </c>
      <c r="H116" s="33">
        <v>0</v>
      </c>
      <c r="I116" s="33">
        <v>0.51173199999999996</v>
      </c>
      <c r="J116" s="33">
        <v>0.38185000000000002</v>
      </c>
      <c r="K116" s="33">
        <v>0.51173199999999996</v>
      </c>
      <c r="L116" s="33">
        <v>20.831849999999999</v>
      </c>
      <c r="M116" s="33">
        <v>26.011731999999999</v>
      </c>
      <c r="N116" s="34">
        <v>1.2469437652811699</v>
      </c>
      <c r="O116" s="34">
        <v>1.2477004313447799</v>
      </c>
      <c r="P116" s="34">
        <v>1.24552699593016</v>
      </c>
      <c r="Q116" s="34">
        <v>1.24720915663791</v>
      </c>
      <c r="R116" s="33">
        <v>25.515473821000899</v>
      </c>
      <c r="S116" s="33">
        <v>25.467781709978102</v>
      </c>
      <c r="T116" s="33">
        <v>25.5104570595045</v>
      </c>
      <c r="U116" s="15">
        <v>6.0663247115091805E-4</v>
      </c>
      <c r="V116" s="15">
        <v>-1.2642611952997701E-3</v>
      </c>
      <c r="W116" s="15">
        <v>4.0999670474833698E-4</v>
      </c>
      <c r="X116" s="34">
        <v>1.2486520400252401</v>
      </c>
      <c r="Y116" s="34">
        <v>1.2471244094690801</v>
      </c>
      <c r="Z116" s="34">
        <v>1.24726060021192</v>
      </c>
      <c r="AA116" s="34">
        <v>1.2471709430395601</v>
      </c>
      <c r="AB116" s="33">
        <v>25.979908629398398</v>
      </c>
      <c r="AC116" s="33">
        <v>25.9794986412005</v>
      </c>
      <c r="AD116" s="33">
        <v>25.9806786804835</v>
      </c>
      <c r="AE116" s="15">
        <v>-1.2241727397132101E-3</v>
      </c>
      <c r="AF116" s="15">
        <v>-1.2399538357451901E-3</v>
      </c>
      <c r="AG116" s="15">
        <v>-1.1945329251907501E-3</v>
      </c>
      <c r="AI116" s="12"/>
      <c r="AJ116">
        <f t="shared" si="26"/>
        <v>1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2.6893836372790525E-3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2.2066527748765782E-3</v>
      </c>
      <c r="BE116" s="29">
        <f t="shared" si="42"/>
        <v>0</v>
      </c>
      <c r="BF116" s="29">
        <f t="shared" si="43"/>
        <v>4.8960364121556311E-3</v>
      </c>
      <c r="BH116" s="29"/>
    </row>
    <row r="117" spans="1:60" x14ac:dyDescent="0.25">
      <c r="A117" s="1">
        <v>46191</v>
      </c>
      <c r="B117" s="33">
        <v>20.52</v>
      </c>
      <c r="C117" s="33">
        <v>25.55</v>
      </c>
      <c r="D117" s="15">
        <v>3.4171378137580299E-3</v>
      </c>
      <c r="E117" s="15">
        <v>1.9588644853329698E-3</v>
      </c>
      <c r="F117" s="33">
        <v>0</v>
      </c>
      <c r="G117" s="33">
        <v>0.38185000000000002</v>
      </c>
      <c r="H117" s="33">
        <v>0</v>
      </c>
      <c r="I117" s="33">
        <v>0.51173199999999996</v>
      </c>
      <c r="J117" s="33">
        <v>0.38185000000000002</v>
      </c>
      <c r="K117" s="33">
        <v>0.51173199999999996</v>
      </c>
      <c r="L117" s="33">
        <v>20.90185</v>
      </c>
      <c r="M117" s="33">
        <v>26.061731999999999</v>
      </c>
      <c r="N117" s="34">
        <v>1.24512670565302</v>
      </c>
      <c r="O117" s="34">
        <v>1.2477004313447799</v>
      </c>
      <c r="P117" s="34">
        <v>1.2455030811296099</v>
      </c>
      <c r="Q117" s="34">
        <v>1.24695317664962</v>
      </c>
      <c r="R117" s="33">
        <v>25.602812851195001</v>
      </c>
      <c r="S117" s="33">
        <v>25.558213956486998</v>
      </c>
      <c r="T117" s="33">
        <v>25.592731894209901</v>
      </c>
      <c r="U117" s="15">
        <v>2.06490579957572E-3</v>
      </c>
      <c r="V117" s="15">
        <v>3.21433911375355E-4</v>
      </c>
      <c r="W117" s="15">
        <v>1.6710841431956001E-3</v>
      </c>
      <c r="X117" s="34">
        <v>1.2468624547587801</v>
      </c>
      <c r="Y117" s="34">
        <v>1.2471244094690801</v>
      </c>
      <c r="Z117" s="34">
        <v>1.2472369564777901</v>
      </c>
      <c r="AA117" s="34">
        <v>1.2471689709238001</v>
      </c>
      <c r="AB117" s="33">
        <v>26.067207338061301</v>
      </c>
      <c r="AC117" s="33">
        <v>26.070053976539601</v>
      </c>
      <c r="AD117" s="33">
        <v>26.068179975771599</v>
      </c>
      <c r="AE117" s="15">
        <v>2.1006903846352599E-4</v>
      </c>
      <c r="AF117" s="15">
        <v>3.19266890800218E-4</v>
      </c>
      <c r="AG117" s="15">
        <v>2.47381035575271E-4</v>
      </c>
      <c r="AI117" s="12"/>
      <c r="AJ117">
        <f t="shared" si="26"/>
        <v>0</v>
      </c>
      <c r="AK117">
        <f t="shared" si="27"/>
        <v>1</v>
      </c>
      <c r="AL117">
        <f t="shared" si="34"/>
        <v>1</v>
      </c>
      <c r="AM117">
        <f t="shared" si="24"/>
        <v>0</v>
      </c>
      <c r="AN117">
        <f t="shared" si="35"/>
        <v>1</v>
      </c>
      <c r="AO117" s="28">
        <f t="shared" si="28"/>
        <v>3.4171378137580299E-3</v>
      </c>
      <c r="AP117" s="28">
        <f t="shared" si="29"/>
        <v>-1.9588644853329698E-3</v>
      </c>
      <c r="AQ117" s="28">
        <f t="shared" si="36"/>
        <v>1.4582733284250601E-3</v>
      </c>
      <c r="AR117" s="29">
        <f t="shared" si="37"/>
        <v>4.1476569657041126E-3</v>
      </c>
      <c r="AT117" s="12"/>
      <c r="AU117">
        <f t="shared" si="30"/>
        <v>0</v>
      </c>
      <c r="AV117">
        <f t="shared" si="31"/>
        <v>0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2.2066527748765782E-3</v>
      </c>
      <c r="BE117" s="29">
        <f t="shared" si="42"/>
        <v>1.4582733284250601E-3</v>
      </c>
      <c r="BF117" s="29">
        <f t="shared" si="43"/>
        <v>6.3543097405806912E-3</v>
      </c>
      <c r="BH117" s="29"/>
    </row>
    <row r="118" spans="1:60" x14ac:dyDescent="0.25">
      <c r="A118" s="1">
        <v>46195</v>
      </c>
      <c r="B118" s="33">
        <v>20.38</v>
      </c>
      <c r="C118" s="33">
        <v>25.49</v>
      </c>
      <c r="D118" s="15">
        <v>-6.8459925079901096E-3</v>
      </c>
      <c r="E118" s="15">
        <v>-2.3510982616894902E-3</v>
      </c>
      <c r="F118" s="33">
        <v>8.6879999999999999E-2</v>
      </c>
      <c r="G118" s="33">
        <v>0.46872999999999998</v>
      </c>
      <c r="H118" s="33">
        <v>0</v>
      </c>
      <c r="I118" s="33">
        <v>0.51173199999999996</v>
      </c>
      <c r="J118" s="33">
        <v>0.46872999999999998</v>
      </c>
      <c r="K118" s="33">
        <v>0.51173199999999996</v>
      </c>
      <c r="L118" s="33">
        <v>20.84873</v>
      </c>
      <c r="M118" s="33">
        <v>26.001731999999901</v>
      </c>
      <c r="N118" s="34">
        <v>1.25073601570166</v>
      </c>
      <c r="O118" s="34">
        <v>1.2477004313447799</v>
      </c>
      <c r="P118" s="34">
        <v>1.24609189369094</v>
      </c>
      <c r="Q118" s="34">
        <v>1.24694076483628</v>
      </c>
      <c r="R118" s="33">
        <v>25.428134790806801</v>
      </c>
      <c r="S118" s="33">
        <v>25.383352793421501</v>
      </c>
      <c r="T118" s="33">
        <v>25.412905740119299</v>
      </c>
      <c r="U118" s="15">
        <v>-2.4299884467247198E-3</v>
      </c>
      <c r="V118" s="15">
        <v>-4.1926610670021403E-3</v>
      </c>
      <c r="W118" s="15">
        <v>-3.0290733979335999E-3</v>
      </c>
      <c r="X118" s="34">
        <v>1.2471614338139501</v>
      </c>
      <c r="Y118" s="34">
        <v>1.2471244094690801</v>
      </c>
      <c r="Z118" s="34">
        <v>1.24729305270539</v>
      </c>
      <c r="AA118" s="34">
        <v>1.24714556946114</v>
      </c>
      <c r="AB118" s="33">
        <v>26.000960089430301</v>
      </c>
      <c r="AC118" s="33">
        <v>26.003306551627301</v>
      </c>
      <c r="AD118" s="33">
        <v>26.001889139168298</v>
      </c>
      <c r="AE118" s="15">
        <v>-2.96873311259095E-5</v>
      </c>
      <c r="AF118" s="15">
        <v>6.0553810617067599E-5</v>
      </c>
      <c r="AG118" s="15">
        <v>6.0433933213852698E-6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4.1476569657041126E-3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2.2066527748765782E-3</v>
      </c>
      <c r="BE118" s="29">
        <f t="shared" si="42"/>
        <v>0</v>
      </c>
      <c r="BF118" s="29">
        <f t="shared" si="43"/>
        <v>6.3543097405806912E-3</v>
      </c>
      <c r="BH118" s="29"/>
    </row>
    <row r="119" spans="1:60" x14ac:dyDescent="0.25">
      <c r="A119" s="1">
        <v>46196</v>
      </c>
      <c r="B119" s="33">
        <v>20.39</v>
      </c>
      <c r="C119" s="33">
        <v>25.51</v>
      </c>
      <c r="D119" s="15">
        <v>4.9055679178502303E-4</v>
      </c>
      <c r="E119" s="15">
        <v>7.8431376569618096E-4</v>
      </c>
      <c r="F119" s="33">
        <v>0</v>
      </c>
      <c r="G119" s="33">
        <v>0.46872999999999998</v>
      </c>
      <c r="H119" s="33">
        <v>0</v>
      </c>
      <c r="I119" s="33">
        <v>0.51173199999999996</v>
      </c>
      <c r="J119" s="33">
        <v>0.46872999999999998</v>
      </c>
      <c r="K119" s="33">
        <v>0.51173199999999996</v>
      </c>
      <c r="L119" s="33">
        <v>20.858730000000001</v>
      </c>
      <c r="M119" s="33">
        <v>26.021732</v>
      </c>
      <c r="N119" s="34">
        <v>1.2511034820990601</v>
      </c>
      <c r="O119" s="34">
        <v>1.2477004313447799</v>
      </c>
      <c r="P119" s="34">
        <v>1.2466934010364099</v>
      </c>
      <c r="Q119" s="34">
        <v>1.24699593894123</v>
      </c>
      <c r="R119" s="33">
        <v>25.440611795120201</v>
      </c>
      <c r="S119" s="33">
        <v>25.407813712358401</v>
      </c>
      <c r="T119" s="33">
        <v>25.425122195011799</v>
      </c>
      <c r="U119" s="15">
        <v>-2.72374542063568E-3</v>
      </c>
      <c r="V119" s="15">
        <v>-4.0137789657453803E-3</v>
      </c>
      <c r="W119" s="15">
        <v>-3.3327841338192301E-3</v>
      </c>
      <c r="X119" s="34">
        <v>1.2475223563467099</v>
      </c>
      <c r="Y119" s="34">
        <v>1.2471244094690801</v>
      </c>
      <c r="Z119" s="34">
        <v>1.24736146312679</v>
      </c>
      <c r="AA119" s="34">
        <v>1.24718819725709</v>
      </c>
      <c r="AB119" s="33">
        <v>26.013431333524899</v>
      </c>
      <c r="AC119" s="33">
        <v>26.016949017257598</v>
      </c>
      <c r="AD119" s="33">
        <v>26.013872704086101</v>
      </c>
      <c r="AE119" s="15">
        <v>-3.1904066456791002E-4</v>
      </c>
      <c r="AF119" s="15">
        <v>-1.8382413475225801E-4</v>
      </c>
      <c r="AG119" s="15">
        <v>-3.0207378268288002E-4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4.1476569657041126E-3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2.2066527748765782E-3</v>
      </c>
      <c r="BE119" s="29">
        <f t="shared" si="42"/>
        <v>0</v>
      </c>
      <c r="BF119" s="29">
        <f t="shared" si="43"/>
        <v>6.3543097405806912E-3</v>
      </c>
      <c r="BH119" s="29"/>
    </row>
    <row r="120" spans="1:60" x14ac:dyDescent="0.25">
      <c r="A120" s="1">
        <v>46197</v>
      </c>
      <c r="B120" s="33">
        <v>20.5</v>
      </c>
      <c r="C120" s="33">
        <v>25.63</v>
      </c>
      <c r="D120" s="15">
        <v>5.38030155799864E-3</v>
      </c>
      <c r="E120" s="15">
        <v>4.6930082222595296E-3</v>
      </c>
      <c r="F120" s="33">
        <v>0</v>
      </c>
      <c r="G120" s="33">
        <v>0.46872999999999998</v>
      </c>
      <c r="H120" s="33">
        <v>0</v>
      </c>
      <c r="I120" s="33">
        <v>0.51173199999999996</v>
      </c>
      <c r="J120" s="33">
        <v>0.46872999999999998</v>
      </c>
      <c r="K120" s="33">
        <v>0.51173199999999996</v>
      </c>
      <c r="L120" s="33">
        <v>20.968730000000001</v>
      </c>
      <c r="M120" s="33">
        <v>26.141731999999902</v>
      </c>
      <c r="N120" s="34">
        <v>1.2502439024390199</v>
      </c>
      <c r="O120" s="34">
        <v>1.2477004313447799</v>
      </c>
      <c r="P120" s="34">
        <v>1.24717100049148</v>
      </c>
      <c r="Q120" s="34">
        <v>1.24697754179691</v>
      </c>
      <c r="R120" s="33">
        <v>25.577858842568101</v>
      </c>
      <c r="S120" s="33">
        <v>25.557214721246499</v>
      </c>
      <c r="T120" s="33">
        <v>25.5634167482953</v>
      </c>
      <c r="U120" s="15">
        <v>-2.03645208489657E-3</v>
      </c>
      <c r="V120" s="15">
        <v>-2.8438870216035898E-3</v>
      </c>
      <c r="W120" s="15">
        <v>-2.6012442020227101E-3</v>
      </c>
      <c r="X120" s="34">
        <v>1.2467007777771899</v>
      </c>
      <c r="Y120" s="34">
        <v>1.2471244094690801</v>
      </c>
      <c r="Z120" s="34">
        <v>1.2473108835315501</v>
      </c>
      <c r="AA120" s="34">
        <v>1.2471591551055801</v>
      </c>
      <c r="AB120" s="33">
        <v>26.150615018566501</v>
      </c>
      <c r="AC120" s="33">
        <v>26.155585732710598</v>
      </c>
      <c r="AD120" s="33">
        <v>26.151952567470701</v>
      </c>
      <c r="AE120" s="15">
        <v>3.3974450023782702E-4</v>
      </c>
      <c r="AF120" s="15">
        <v>5.2980663771429203E-4</v>
      </c>
      <c r="AG120" s="15">
        <v>3.9089108696180601E-4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4.1476569657041126E-3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2.2066527748765782E-3</v>
      </c>
      <c r="BE120" s="29">
        <f t="shared" si="42"/>
        <v>0</v>
      </c>
      <c r="BF120" s="29">
        <f t="shared" si="43"/>
        <v>6.3543097405806912E-3</v>
      </c>
      <c r="BH120" s="29"/>
    </row>
    <row r="121" spans="1:60" x14ac:dyDescent="0.25">
      <c r="A121" s="1">
        <v>46198</v>
      </c>
      <c r="B121" s="33">
        <v>20.5</v>
      </c>
      <c r="C121" s="33">
        <v>25.66</v>
      </c>
      <c r="D121" s="15">
        <v>0</v>
      </c>
      <c r="E121" s="15">
        <v>1.16981881151077E-3</v>
      </c>
      <c r="F121" s="33">
        <v>0</v>
      </c>
      <c r="G121" s="33">
        <v>0.46872999999999998</v>
      </c>
      <c r="H121" s="33">
        <v>0</v>
      </c>
      <c r="I121" s="33">
        <v>0.51173199999999996</v>
      </c>
      <c r="J121" s="33">
        <v>0.46872999999999998</v>
      </c>
      <c r="K121" s="33">
        <v>0.51173199999999996</v>
      </c>
      <c r="L121" s="33">
        <v>20.968730000000001</v>
      </c>
      <c r="M121" s="33">
        <v>26.171731999999999</v>
      </c>
      <c r="N121" s="34">
        <v>1.2517073170731701</v>
      </c>
      <c r="O121" s="34">
        <v>1.2477004313447799</v>
      </c>
      <c r="P121" s="34">
        <v>1.2478078754765201</v>
      </c>
      <c r="Q121" s="34">
        <v>1.2470262507590699</v>
      </c>
      <c r="R121" s="33">
        <v>25.577858842568101</v>
      </c>
      <c r="S121" s="33">
        <v>25.5670055100755</v>
      </c>
      <c r="T121" s="33">
        <v>25.5630396068367</v>
      </c>
      <c r="U121" s="15">
        <v>-3.20627089640721E-3</v>
      </c>
      <c r="V121" s="15">
        <v>-3.6306862426188202E-3</v>
      </c>
      <c r="W121" s="15">
        <v>-3.78581629336255E-3</v>
      </c>
      <c r="X121" s="34">
        <v>1.24813147958889</v>
      </c>
      <c r="Y121" s="34">
        <v>1.2471244094690801</v>
      </c>
      <c r="Z121" s="34">
        <v>1.24741581907198</v>
      </c>
      <c r="AA121" s="34">
        <v>1.2471954548531301</v>
      </c>
      <c r="AB121" s="33">
        <v>26.150615018566501</v>
      </c>
      <c r="AC121" s="33">
        <v>26.154525142834501</v>
      </c>
      <c r="AD121" s="33">
        <v>26.151343590437101</v>
      </c>
      <c r="AE121" s="15">
        <v>-8.0718789516381797E-4</v>
      </c>
      <c r="AF121" s="15">
        <v>-6.5767584861707801E-4</v>
      </c>
      <c r="AG121" s="15">
        <v>-7.7932768151305499E-4</v>
      </c>
      <c r="AI121" s="12"/>
      <c r="AJ121">
        <f t="shared" si="26"/>
        <v>0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4.1476569657041126E-3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2.2066527748765782E-3</v>
      </c>
      <c r="BE121" s="29">
        <f t="shared" si="42"/>
        <v>0</v>
      </c>
      <c r="BF121" s="29">
        <f t="shared" si="43"/>
        <v>6.3543097405806912E-3</v>
      </c>
      <c r="BH121" s="29"/>
    </row>
    <row r="122" spans="1:60" x14ac:dyDescent="0.25">
      <c r="A122" s="1">
        <v>46199</v>
      </c>
      <c r="B122" s="33">
        <v>20.54</v>
      </c>
      <c r="C122" s="33">
        <v>25.69</v>
      </c>
      <c r="D122" s="15">
        <v>1.94931835604967E-3</v>
      </c>
      <c r="E122" s="15">
        <v>1.1684519343019E-3</v>
      </c>
      <c r="F122" s="33">
        <v>0</v>
      </c>
      <c r="G122" s="33">
        <v>0.46872999999999998</v>
      </c>
      <c r="H122" s="33">
        <v>0</v>
      </c>
      <c r="I122" s="33">
        <v>0.51173199999999996</v>
      </c>
      <c r="J122" s="33">
        <v>0.46872999999999998</v>
      </c>
      <c r="K122" s="33">
        <v>0.51173199999999996</v>
      </c>
      <c r="L122" s="33">
        <v>21.00873</v>
      </c>
      <c r="M122" s="33">
        <v>26.201732</v>
      </c>
      <c r="N122" s="34">
        <v>1.2507302823758499</v>
      </c>
      <c r="O122" s="34">
        <v>1.2477004313447799</v>
      </c>
      <c r="P122" s="34">
        <v>1.2483314638699801</v>
      </c>
      <c r="Q122" s="34">
        <v>1.24700178926811</v>
      </c>
      <c r="R122" s="33">
        <v>25.6277668598219</v>
      </c>
      <c r="S122" s="33">
        <v>25.6299737622879</v>
      </c>
      <c r="T122" s="33">
        <v>25.6139191905914</v>
      </c>
      <c r="U122" s="15">
        <v>-2.4254044746595598E-3</v>
      </c>
      <c r="V122" s="15">
        <v>-2.3392944573037999E-3</v>
      </c>
      <c r="W122" s="15">
        <v>-2.96588901508031E-3</v>
      </c>
      <c r="X122" s="34">
        <v>1.2471830519978999</v>
      </c>
      <c r="Y122" s="34">
        <v>1.2471244094690801</v>
      </c>
      <c r="Z122" s="34">
        <v>1.2474118639265599</v>
      </c>
      <c r="AA122" s="34">
        <v>1.2471601404877</v>
      </c>
      <c r="AB122" s="33">
        <v>26.2004999949453</v>
      </c>
      <c r="AC122" s="33">
        <v>26.2066221406122</v>
      </c>
      <c r="AD122" s="33">
        <v>26.201992568236701</v>
      </c>
      <c r="AE122" s="15">
        <v>-4.7021090818784597E-5</v>
      </c>
      <c r="AF122" s="15">
        <v>1.8661683644379299E-4</v>
      </c>
      <c r="AG122" s="15">
        <v>9.9446456863366494E-6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4.1476569657041126E-3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2.2066527748765782E-3</v>
      </c>
      <c r="BE122" s="29">
        <f t="shared" si="42"/>
        <v>0</v>
      </c>
      <c r="BF122" s="29">
        <f t="shared" si="43"/>
        <v>6.3543097405806912E-3</v>
      </c>
      <c r="BH122" s="29"/>
    </row>
    <row r="123" spans="1:60" x14ac:dyDescent="0.25">
      <c r="A123" s="1">
        <v>46202</v>
      </c>
      <c r="B123" s="33">
        <v>20.55</v>
      </c>
      <c r="C123" s="33">
        <v>25.73</v>
      </c>
      <c r="D123" s="15">
        <v>4.86736441831546E-4</v>
      </c>
      <c r="E123" s="15">
        <v>1.55581517186045E-3</v>
      </c>
      <c r="F123" s="33">
        <v>0</v>
      </c>
      <c r="G123" s="33">
        <v>0.46872999999999998</v>
      </c>
      <c r="H123" s="33">
        <v>0</v>
      </c>
      <c r="I123" s="33">
        <v>0.51173199999999996</v>
      </c>
      <c r="J123" s="33">
        <v>0.46872999999999998</v>
      </c>
      <c r="K123" s="33">
        <v>0.51173199999999996</v>
      </c>
      <c r="L123" s="33">
        <v>21.018730000000001</v>
      </c>
      <c r="M123" s="33">
        <v>26.241731999999999</v>
      </c>
      <c r="N123" s="34">
        <v>1.2520681265206799</v>
      </c>
      <c r="O123" s="34">
        <v>1.2477004313447799</v>
      </c>
      <c r="P123" s="34">
        <v>1.2489529106683901</v>
      </c>
      <c r="Q123" s="34">
        <v>1.2471173669670701</v>
      </c>
      <c r="R123" s="33">
        <v>25.6402438641354</v>
      </c>
      <c r="S123" s="33">
        <v>25.653211582528101</v>
      </c>
      <c r="T123" s="33">
        <v>25.625886769459701</v>
      </c>
      <c r="U123" s="15">
        <v>-3.49448320468857E-3</v>
      </c>
      <c r="V123" s="15">
        <v>-2.98885461889358E-3</v>
      </c>
      <c r="W123" s="15">
        <v>-4.0545837963897801E-3</v>
      </c>
      <c r="X123" s="34">
        <v>1.2484927490861699</v>
      </c>
      <c r="Y123" s="34">
        <v>1.2471244094690801</v>
      </c>
      <c r="Z123" s="34">
        <v>1.2475033611478601</v>
      </c>
      <c r="AA123" s="34">
        <v>1.2472618045911801</v>
      </c>
      <c r="AB123" s="33">
        <v>26.212971239040002</v>
      </c>
      <c r="AC123" s="33">
        <v>26.219013166669299</v>
      </c>
      <c r="AD123" s="33">
        <v>26.213722259672998</v>
      </c>
      <c r="AE123" s="15">
        <v>-1.09659428291869E-3</v>
      </c>
      <c r="AF123" s="15">
        <v>-8.6612703188929498E-4</v>
      </c>
      <c r="AG123" s="15">
        <v>-1.06794396824383E-3</v>
      </c>
      <c r="AI123" s="12"/>
      <c r="AJ123">
        <f t="shared" si="26"/>
        <v>1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4.1476569657041126E-3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2.2066527748765782E-3</v>
      </c>
      <c r="BE123" s="29">
        <f t="shared" si="42"/>
        <v>0</v>
      </c>
      <c r="BF123" s="29">
        <f t="shared" si="43"/>
        <v>6.3543097405806912E-3</v>
      </c>
      <c r="BH123" s="29"/>
    </row>
    <row r="124" spans="1:60" x14ac:dyDescent="0.25">
      <c r="A124" s="1">
        <v>46203</v>
      </c>
      <c r="B124" s="33">
        <v>20.47</v>
      </c>
      <c r="C124" s="33">
        <v>25.61</v>
      </c>
      <c r="D124" s="15">
        <v>-3.9005412690454899E-3</v>
      </c>
      <c r="E124" s="15">
        <v>-4.6747260822189397E-3</v>
      </c>
      <c r="F124" s="33">
        <v>0</v>
      </c>
      <c r="G124" s="33">
        <v>0.46872999999999998</v>
      </c>
      <c r="H124" s="33">
        <v>0</v>
      </c>
      <c r="I124" s="33">
        <v>0.51173199999999996</v>
      </c>
      <c r="J124" s="33">
        <v>0.46872999999999998</v>
      </c>
      <c r="K124" s="33">
        <v>0.51173199999999996</v>
      </c>
      <c r="L124" s="33">
        <v>20.93873</v>
      </c>
      <c r="M124" s="33">
        <v>26.121731999999898</v>
      </c>
      <c r="N124" s="34">
        <v>1.25109916951636</v>
      </c>
      <c r="O124" s="34">
        <v>1.2477004313447799</v>
      </c>
      <c r="P124" s="34">
        <v>1.2495014241112501</v>
      </c>
      <c r="Q124" s="34">
        <v>1.2474284230038699</v>
      </c>
      <c r="R124" s="33">
        <v>25.540427829627799</v>
      </c>
      <c r="S124" s="33">
        <v>25.566066081382001</v>
      </c>
      <c r="T124" s="33">
        <v>25.528492501816</v>
      </c>
      <c r="U124" s="15">
        <v>-2.7202983915150698E-3</v>
      </c>
      <c r="V124" s="15">
        <v>-1.71697173210585E-3</v>
      </c>
      <c r="W124" s="15">
        <v>-3.18771880892839E-3</v>
      </c>
      <c r="X124" s="34">
        <v>1.24753182260815</v>
      </c>
      <c r="Y124" s="34">
        <v>1.2471244094690801</v>
      </c>
      <c r="Z124" s="34">
        <v>1.24752245527772</v>
      </c>
      <c r="AA124" s="34">
        <v>1.24730739535524</v>
      </c>
      <c r="AB124" s="33">
        <v>26.1132012862825</v>
      </c>
      <c r="AC124" s="33">
        <v>26.1211360531676</v>
      </c>
      <c r="AD124" s="33">
        <v>26.116078165647501</v>
      </c>
      <c r="AE124" s="15">
        <v>-3.2662868531157802E-4</v>
      </c>
      <c r="AF124" s="15">
        <v>-2.2814476103440999E-5</v>
      </c>
      <c r="AG124" s="15">
        <v>-2.1646521386012801E-4</v>
      </c>
      <c r="AI124" s="12"/>
      <c r="AJ124">
        <f t="shared" si="26"/>
        <v>0</v>
      </c>
      <c r="AK124">
        <f t="shared" si="27"/>
        <v>0</v>
      </c>
      <c r="AL124">
        <f t="shared" si="34"/>
        <v>1</v>
      </c>
      <c r="AM124">
        <f t="shared" si="24"/>
        <v>0</v>
      </c>
      <c r="AN124">
        <f t="shared" si="35"/>
        <v>1</v>
      </c>
      <c r="AO124" s="28">
        <f t="shared" si="28"/>
        <v>-3.9005412690454899E-3</v>
      </c>
      <c r="AP124" s="28">
        <f t="shared" si="29"/>
        <v>4.6747260822189397E-3</v>
      </c>
      <c r="AQ124" s="28">
        <f t="shared" si="36"/>
        <v>7.7418481317344983E-4</v>
      </c>
      <c r="AR124" s="29">
        <f t="shared" si="37"/>
        <v>4.9218417788775629E-3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2.2066527748765782E-3</v>
      </c>
      <c r="BE124" s="29">
        <f t="shared" si="42"/>
        <v>7.7418481317344983E-4</v>
      </c>
      <c r="BF124" s="29">
        <f t="shared" si="43"/>
        <v>7.1284945537541406E-3</v>
      </c>
      <c r="BH124" s="29"/>
    </row>
    <row r="125" spans="1:60" x14ac:dyDescent="0.25">
      <c r="A125" s="1">
        <v>46204</v>
      </c>
      <c r="B125" s="33">
        <v>20.45</v>
      </c>
      <c r="C125" s="33">
        <v>25.47</v>
      </c>
      <c r="D125" s="15">
        <v>-9.7751718438735305E-4</v>
      </c>
      <c r="E125" s="15">
        <v>-5.48161122006827E-3</v>
      </c>
      <c r="F125" s="33">
        <v>0</v>
      </c>
      <c r="G125" s="33">
        <v>0.46872999999999998</v>
      </c>
      <c r="H125" s="33">
        <v>0.10444100000000001</v>
      </c>
      <c r="I125" s="33">
        <v>0.61617299999999997</v>
      </c>
      <c r="J125" s="33">
        <v>0.46872999999999998</v>
      </c>
      <c r="K125" s="33">
        <v>0.61617299999999997</v>
      </c>
      <c r="L125" s="33">
        <v>20.91873</v>
      </c>
      <c r="M125" s="33">
        <v>26.086172999999999</v>
      </c>
      <c r="N125" s="34">
        <v>1.24547677261613</v>
      </c>
      <c r="O125" s="34">
        <v>1.2477004313447799</v>
      </c>
      <c r="P125" s="34">
        <v>1.2495235539276099</v>
      </c>
      <c r="Q125" s="34">
        <v>1.2474459263520199</v>
      </c>
      <c r="R125" s="33">
        <v>25.515473821000899</v>
      </c>
      <c r="S125" s="33">
        <v>25.552304123075199</v>
      </c>
      <c r="T125" s="33">
        <v>25.509911250429099</v>
      </c>
      <c r="U125" s="15">
        <v>1.7837956441657101E-3</v>
      </c>
      <c r="V125" s="15">
        <v>3.22620453457004E-3</v>
      </c>
      <c r="W125" s="15">
        <v>1.56576414529339E-3</v>
      </c>
      <c r="X125" s="34">
        <v>1.24702469987422</v>
      </c>
      <c r="Y125" s="34">
        <v>1.2471244094690801</v>
      </c>
      <c r="Z125" s="34">
        <v>1.2475262865877199</v>
      </c>
      <c r="AA125" s="34">
        <v>1.2473155076110101</v>
      </c>
      <c r="AB125" s="33">
        <v>26.088258798093101</v>
      </c>
      <c r="AC125" s="33">
        <v>26.096585410891802</v>
      </c>
      <c r="AD125" s="33">
        <v>26.0920866304395</v>
      </c>
      <c r="AE125" s="15">
        <v>7.9954798638633796E-5</v>
      </c>
      <c r="AF125" s="15">
        <v>3.99074765194165E-4</v>
      </c>
      <c r="AG125" s="15">
        <v>2.26670284014523E-4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4.9218417788775629E-3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2.2066527748765782E-3</v>
      </c>
      <c r="BE125" s="29">
        <f t="shared" si="42"/>
        <v>0</v>
      </c>
      <c r="BF125" s="29">
        <f t="shared" si="43"/>
        <v>7.1284945537541406E-3</v>
      </c>
      <c r="BH125" s="29"/>
    </row>
    <row r="126" spans="1:60" x14ac:dyDescent="0.25">
      <c r="A126" s="1">
        <v>46205</v>
      </c>
      <c r="B126" s="33">
        <v>20.48</v>
      </c>
      <c r="C126" s="33">
        <v>25.53</v>
      </c>
      <c r="D126" s="15">
        <v>1.46591768249641E-3</v>
      </c>
      <c r="E126" s="15">
        <v>2.3529422620268301E-3</v>
      </c>
      <c r="F126" s="33">
        <v>0</v>
      </c>
      <c r="G126" s="33">
        <v>0.46872999999999998</v>
      </c>
      <c r="H126" s="33">
        <v>0</v>
      </c>
      <c r="I126" s="33">
        <v>0.61617299999999997</v>
      </c>
      <c r="J126" s="33">
        <v>0.46872999999999998</v>
      </c>
      <c r="K126" s="33">
        <v>0.61617299999999997</v>
      </c>
      <c r="L126" s="33">
        <v>20.948730000000001</v>
      </c>
      <c r="M126" s="33">
        <v>26.146173000000001</v>
      </c>
      <c r="N126" s="34">
        <v>1.24658203125</v>
      </c>
      <c r="O126" s="34">
        <v>1.2477004313447799</v>
      </c>
      <c r="P126" s="34">
        <v>1.2494873805244899</v>
      </c>
      <c r="Q126" s="34">
        <v>1.2475071882273301</v>
      </c>
      <c r="R126" s="33">
        <v>25.552904833941199</v>
      </c>
      <c r="S126" s="33">
        <v>25.590242384437499</v>
      </c>
      <c r="T126" s="33">
        <v>25.547692571689499</v>
      </c>
      <c r="U126" s="15">
        <v>8.9677106463527997E-4</v>
      </c>
      <c r="V126" s="15">
        <v>2.3568907154786702E-3</v>
      </c>
      <c r="W126" s="15">
        <v>6.9277101240527398E-4</v>
      </c>
      <c r="X126" s="34">
        <v>1.2481030114952001</v>
      </c>
      <c r="Y126" s="34">
        <v>1.2471244094690801</v>
      </c>
      <c r="Z126" s="34">
        <v>1.24747138373472</v>
      </c>
      <c r="AA126" s="34">
        <v>1.24736599197332</v>
      </c>
      <c r="AB126" s="33">
        <v>26.125672530377201</v>
      </c>
      <c r="AC126" s="33">
        <v>26.1340913456288</v>
      </c>
      <c r="AD126" s="33">
        <v>26.1296757937561</v>
      </c>
      <c r="AE126" s="15">
        <v>-7.8437906547421099E-4</v>
      </c>
      <c r="AF126" s="15">
        <v>-4.6218796853466601E-4</v>
      </c>
      <c r="AG126" s="15">
        <v>-6.3115978686987596E-4</v>
      </c>
      <c r="AI126" s="12"/>
      <c r="AJ126">
        <f t="shared" si="26"/>
        <v>0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4.9218417788775629E-3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2.2066527748765782E-3</v>
      </c>
      <c r="BE126" s="29">
        <f t="shared" si="42"/>
        <v>0</v>
      </c>
      <c r="BF126" s="29">
        <f t="shared" si="43"/>
        <v>7.1284945537541406E-3</v>
      </c>
      <c r="BH126" s="29"/>
    </row>
    <row r="127" spans="1:60" x14ac:dyDescent="0.25">
      <c r="A127" s="1">
        <v>46209</v>
      </c>
      <c r="B127" s="33">
        <v>20.48</v>
      </c>
      <c r="C127" s="33">
        <v>25.53</v>
      </c>
      <c r="D127" s="15">
        <v>0</v>
      </c>
      <c r="E127" s="15">
        <v>0</v>
      </c>
      <c r="F127" s="33">
        <v>0</v>
      </c>
      <c r="G127" s="33">
        <v>0.46872999999999998</v>
      </c>
      <c r="H127" s="33">
        <v>0</v>
      </c>
      <c r="I127" s="33">
        <v>0.61617299999999997</v>
      </c>
      <c r="J127" s="33">
        <v>0.46872999999999998</v>
      </c>
      <c r="K127" s="33">
        <v>0.61617299999999997</v>
      </c>
      <c r="L127" s="33">
        <v>20.948730000000001</v>
      </c>
      <c r="M127" s="33">
        <v>26.146173000000001</v>
      </c>
      <c r="N127" s="34">
        <v>1.24658203125</v>
      </c>
      <c r="O127" s="34">
        <v>1.2477004313447799</v>
      </c>
      <c r="P127" s="34">
        <v>1.2496329130841899</v>
      </c>
      <c r="Q127" s="34">
        <v>1.2475679971069</v>
      </c>
      <c r="R127" s="33">
        <v>25.552904833941199</v>
      </c>
      <c r="S127" s="33">
        <v>25.589501553141702</v>
      </c>
      <c r="T127" s="33">
        <v>25.548947214895701</v>
      </c>
      <c r="U127" s="15">
        <v>8.9677106463527997E-4</v>
      </c>
      <c r="V127" s="15">
        <v>2.3279405395339398E-3</v>
      </c>
      <c r="W127" s="15">
        <v>7.4187965092823002E-4</v>
      </c>
      <c r="X127" s="34">
        <v>1.2481030114952001</v>
      </c>
      <c r="Y127" s="34">
        <v>1.2471244094690801</v>
      </c>
      <c r="Z127" s="34">
        <v>1.2475954394083599</v>
      </c>
      <c r="AA127" s="34">
        <v>1.24741619794307</v>
      </c>
      <c r="AB127" s="33">
        <v>26.125672530377201</v>
      </c>
      <c r="AC127" s="33">
        <v>26.132941200585002</v>
      </c>
      <c r="AD127" s="33">
        <v>26.130733377031302</v>
      </c>
      <c r="AE127" s="15">
        <v>-7.8437906547421099E-4</v>
      </c>
      <c r="AF127" s="15">
        <v>-5.0619831264515805E-4</v>
      </c>
      <c r="AG127" s="15">
        <v>-5.9068619348864101E-4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4.9218417788775629E-3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2.2066527748765782E-3</v>
      </c>
      <c r="BE127" s="29">
        <f t="shared" si="42"/>
        <v>0</v>
      </c>
      <c r="BF127" s="29">
        <f t="shared" si="43"/>
        <v>7.1284945537541406E-3</v>
      </c>
      <c r="BH127" s="29"/>
    </row>
    <row r="128" spans="1:60" x14ac:dyDescent="0.25">
      <c r="A128" s="1">
        <v>46210</v>
      </c>
      <c r="B128" s="33">
        <v>20.36</v>
      </c>
      <c r="C128" s="33">
        <v>25.37</v>
      </c>
      <c r="D128" s="15">
        <v>-5.8766084889850401E-3</v>
      </c>
      <c r="E128" s="15">
        <v>-6.2868576422019998E-3</v>
      </c>
      <c r="F128" s="33">
        <v>0</v>
      </c>
      <c r="G128" s="33">
        <v>0.46872999999999998</v>
      </c>
      <c r="H128" s="33">
        <v>0</v>
      </c>
      <c r="I128" s="33">
        <v>0.61617299999999997</v>
      </c>
      <c r="J128" s="33">
        <v>0.46872999999999998</v>
      </c>
      <c r="K128" s="33">
        <v>0.61617299999999997</v>
      </c>
      <c r="L128" s="33">
        <v>20.82873</v>
      </c>
      <c r="M128" s="33">
        <v>25.986173000000001</v>
      </c>
      <c r="N128" s="34">
        <v>1.24607072691552</v>
      </c>
      <c r="O128" s="34">
        <v>1.2477004313447799</v>
      </c>
      <c r="P128" s="34">
        <v>1.24916638420558</v>
      </c>
      <c r="Q128" s="34">
        <v>1.2476291389482601</v>
      </c>
      <c r="R128" s="33">
        <v>25.403180782179899</v>
      </c>
      <c r="S128" s="33">
        <v>25.442526110394201</v>
      </c>
      <c r="T128" s="33">
        <v>25.4004844210965</v>
      </c>
      <c r="U128" s="15">
        <v>1.30702021785192E-3</v>
      </c>
      <c r="V128" s="15">
        <v>2.8546567233571E-3</v>
      </c>
      <c r="W128" s="15">
        <v>1.20087192815411E-3</v>
      </c>
      <c r="X128" s="34">
        <v>1.2476119763422899</v>
      </c>
      <c r="Y128" s="34">
        <v>1.2471244094690801</v>
      </c>
      <c r="Z128" s="34">
        <v>1.24764049366119</v>
      </c>
      <c r="AA128" s="34">
        <v>1.24746677318329</v>
      </c>
      <c r="AB128" s="33">
        <v>25.976017601240901</v>
      </c>
      <c r="AC128" s="33">
        <v>25.9858285566681</v>
      </c>
      <c r="AD128" s="33">
        <v>25.982095184582899</v>
      </c>
      <c r="AE128" s="15">
        <v>-3.9087647271490299E-4</v>
      </c>
      <c r="AF128" s="15">
        <v>-1.32549573434404E-5</v>
      </c>
      <c r="AG128" s="15">
        <v>-1.5693482072280199E-4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4.9218417788775629E-3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2.2066527748765782E-3</v>
      </c>
      <c r="BE128" s="29">
        <f t="shared" si="42"/>
        <v>0</v>
      </c>
      <c r="BF128" s="29">
        <f t="shared" si="43"/>
        <v>7.1284945537541406E-3</v>
      </c>
      <c r="BH128" s="29"/>
    </row>
    <row r="129" spans="1:60" x14ac:dyDescent="0.25">
      <c r="A129" s="1">
        <v>46211</v>
      </c>
      <c r="B129" s="33">
        <v>20.32</v>
      </c>
      <c r="C129" s="33">
        <v>25.34</v>
      </c>
      <c r="D129" s="15">
        <v>-1.9665689720408199E-3</v>
      </c>
      <c r="E129" s="15">
        <v>-1.1831987181975801E-3</v>
      </c>
      <c r="F129" s="33">
        <v>0</v>
      </c>
      <c r="G129" s="33">
        <v>0.46872999999999998</v>
      </c>
      <c r="H129" s="33">
        <v>0</v>
      </c>
      <c r="I129" s="33">
        <v>0.61617299999999997</v>
      </c>
      <c r="J129" s="33">
        <v>0.46872999999999998</v>
      </c>
      <c r="K129" s="33">
        <v>0.61617299999999997</v>
      </c>
      <c r="L129" s="33">
        <v>20.788730000000001</v>
      </c>
      <c r="M129" s="33">
        <v>25.956173</v>
      </c>
      <c r="N129" s="34">
        <v>1.24704724409448</v>
      </c>
      <c r="O129" s="34">
        <v>1.2477004313447799</v>
      </c>
      <c r="P129" s="34">
        <v>1.2487607604051201</v>
      </c>
      <c r="Q129" s="34">
        <v>1.2477270807207601</v>
      </c>
      <c r="R129" s="33">
        <v>25.3532727649261</v>
      </c>
      <c r="S129" s="33">
        <v>25.3830609270574</v>
      </c>
      <c r="T129" s="33">
        <v>25.351824103428701</v>
      </c>
      <c r="U129" s="15">
        <v>5.2364996400889696E-4</v>
      </c>
      <c r="V129" s="15">
        <v>1.69788402415449E-3</v>
      </c>
      <c r="W129" s="15">
        <v>4.6650929818859501E-4</v>
      </c>
      <c r="X129" s="34">
        <v>1.2485694412308901</v>
      </c>
      <c r="Y129" s="34">
        <v>1.2471244094690801</v>
      </c>
      <c r="Z129" s="34">
        <v>1.24774520214961</v>
      </c>
      <c r="AA129" s="34">
        <v>1.2475533326382</v>
      </c>
      <c r="AB129" s="33">
        <v>25.926132624862099</v>
      </c>
      <c r="AC129" s="33">
        <v>25.936861359789301</v>
      </c>
      <c r="AD129" s="33">
        <v>25.933249931678802</v>
      </c>
      <c r="AE129" s="15">
        <v>-1.1580201817586199E-3</v>
      </c>
      <c r="AF129" s="15">
        <v>-7.4428644770535004E-4</v>
      </c>
      <c r="AG129" s="15">
        <v>-8.8353535334510802E-4</v>
      </c>
      <c r="AI129" s="12"/>
      <c r="AJ129">
        <f t="shared" si="26"/>
        <v>0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4.9218417788775629E-3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2.2066527748765782E-3</v>
      </c>
      <c r="BE129" s="29">
        <f t="shared" si="42"/>
        <v>0</v>
      </c>
      <c r="BF129" s="29">
        <f t="shared" si="43"/>
        <v>7.1284945537541406E-3</v>
      </c>
      <c r="BH129" s="29"/>
    </row>
    <row r="130" spans="1:60" x14ac:dyDescent="0.25">
      <c r="A130" s="1">
        <v>46212</v>
      </c>
      <c r="B130" s="33">
        <v>20.34</v>
      </c>
      <c r="C130" s="33">
        <v>25.37</v>
      </c>
      <c r="D130" s="15">
        <v>9.83767910132748E-4</v>
      </c>
      <c r="E130" s="15">
        <v>1.18319871819761E-3</v>
      </c>
      <c r="F130" s="33">
        <v>0</v>
      </c>
      <c r="G130" s="33">
        <v>0.46872999999999998</v>
      </c>
      <c r="H130" s="33">
        <v>0</v>
      </c>
      <c r="I130" s="33">
        <v>0.61617299999999997</v>
      </c>
      <c r="J130" s="33">
        <v>0.46872999999999998</v>
      </c>
      <c r="K130" s="33">
        <v>0.61617299999999997</v>
      </c>
      <c r="L130" s="33">
        <v>20.808730000000001</v>
      </c>
      <c r="M130" s="33">
        <v>25.986173000000001</v>
      </c>
      <c r="N130" s="34">
        <v>1.2472959685349001</v>
      </c>
      <c r="O130" s="34">
        <v>1.2477004313447799</v>
      </c>
      <c r="P130" s="34">
        <v>1.24846596701471</v>
      </c>
      <c r="Q130" s="34">
        <v>1.2478184837530999</v>
      </c>
      <c r="R130" s="33">
        <v>25.378226773552999</v>
      </c>
      <c r="S130" s="33">
        <v>25.399793866640199</v>
      </c>
      <c r="T130" s="33">
        <v>25.378768821860401</v>
      </c>
      <c r="U130" s="15">
        <v>3.2421915594386198E-4</v>
      </c>
      <c r="V130" s="15">
        <v>1.1736848937642401E-3</v>
      </c>
      <c r="W130" s="15">
        <v>3.4557772144194401E-4</v>
      </c>
      <c r="X130" s="34">
        <v>1.2488110999566</v>
      </c>
      <c r="Y130" s="34">
        <v>1.2471244094690801</v>
      </c>
      <c r="Z130" s="34">
        <v>1.2479562343675501</v>
      </c>
      <c r="AA130" s="34">
        <v>1.24763355894955</v>
      </c>
      <c r="AB130" s="33">
        <v>25.951075113051498</v>
      </c>
      <c r="AC130" s="33">
        <v>25.963993020326701</v>
      </c>
      <c r="AD130" s="33">
        <v>25.9600004594685</v>
      </c>
      <c r="AE130" s="15">
        <v>-1.35154994022019E-3</v>
      </c>
      <c r="AF130" s="15">
        <v>-8.5389451930701905E-4</v>
      </c>
      <c r="AG130" s="15">
        <v>-1.0076793343218699E-3</v>
      </c>
      <c r="AI130" s="12"/>
      <c r="AJ130">
        <f t="shared" si="26"/>
        <v>1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4.9218417788775629E-3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2.2066527748765782E-3</v>
      </c>
      <c r="BE130" s="29">
        <f t="shared" si="42"/>
        <v>0</v>
      </c>
      <c r="BF130" s="29">
        <f t="shared" si="43"/>
        <v>7.1284945537541406E-3</v>
      </c>
      <c r="BH130" s="29"/>
    </row>
    <row r="131" spans="1:60" x14ac:dyDescent="0.25">
      <c r="A131" s="1">
        <v>46213</v>
      </c>
      <c r="B131" s="33">
        <v>20.309999999999999</v>
      </c>
      <c r="C131" s="33">
        <v>25.31</v>
      </c>
      <c r="D131" s="15">
        <v>-1.4760150281206499E-3</v>
      </c>
      <c r="E131" s="15">
        <v>-2.3677990541579601E-3</v>
      </c>
      <c r="F131" s="33">
        <v>0</v>
      </c>
      <c r="G131" s="33">
        <v>0.46872999999999998</v>
      </c>
      <c r="H131" s="33">
        <v>0</v>
      </c>
      <c r="I131" s="33">
        <v>0.61617299999999997</v>
      </c>
      <c r="J131" s="33">
        <v>0.46872999999999998</v>
      </c>
      <c r="K131" s="33">
        <v>0.61617299999999997</v>
      </c>
      <c r="L131" s="33">
        <v>20.778729999999999</v>
      </c>
      <c r="M131" s="33">
        <v>25.926172999999999</v>
      </c>
      <c r="N131" s="34">
        <v>1.2461841457410101</v>
      </c>
      <c r="O131" s="34">
        <v>1.2477004313447799</v>
      </c>
      <c r="P131" s="34">
        <v>1.24791364988149</v>
      </c>
      <c r="Q131" s="34">
        <v>1.2478607626790099</v>
      </c>
      <c r="R131" s="33">
        <v>25.3407957606126</v>
      </c>
      <c r="S131" s="33">
        <v>25.356343790068799</v>
      </c>
      <c r="T131" s="33">
        <v>25.343193405025399</v>
      </c>
      <c r="U131" s="15">
        <v>1.21600318198122E-3</v>
      </c>
      <c r="V131" s="15">
        <v>1.8293723022664099E-3</v>
      </c>
      <c r="W131" s="15">
        <v>1.31061469358691E-3</v>
      </c>
      <c r="X131" s="34">
        <v>1.24772654536634</v>
      </c>
      <c r="Y131" s="34">
        <v>1.2471244094690801</v>
      </c>
      <c r="Z131" s="34">
        <v>1.2479157409452999</v>
      </c>
      <c r="AA131" s="34">
        <v>1.2476657800086399</v>
      </c>
      <c r="AB131" s="33">
        <v>25.913661380767401</v>
      </c>
      <c r="AC131" s="33">
        <v>25.930945645740099</v>
      </c>
      <c r="AD131" s="33">
        <v>25.924240860351802</v>
      </c>
      <c r="AE131" s="15">
        <v>-4.82702910798925E-4</v>
      </c>
      <c r="AF131" s="15">
        <v>1.84069068173858E-4</v>
      </c>
      <c r="AG131" s="15">
        <v>-7.4527453310045195E-5</v>
      </c>
      <c r="AI131" s="12"/>
      <c r="AJ131">
        <f t="shared" si="26"/>
        <v>0</v>
      </c>
      <c r="AK131">
        <f t="shared" si="27"/>
        <v>1</v>
      </c>
      <c r="AL131">
        <f t="shared" si="34"/>
        <v>1</v>
      </c>
      <c r="AM131">
        <f t="shared" si="24"/>
        <v>1</v>
      </c>
      <c r="AN131">
        <f t="shared" si="35"/>
        <v>1</v>
      </c>
      <c r="AO131" s="28">
        <f t="shared" si="28"/>
        <v>-1.4760150281206499E-3</v>
      </c>
      <c r="AP131" s="28">
        <f t="shared" si="29"/>
        <v>2.3677990541579601E-3</v>
      </c>
      <c r="AQ131" s="28">
        <f t="shared" si="36"/>
        <v>8.9178402603731018E-4</v>
      </c>
      <c r="AR131" s="29">
        <f t="shared" si="37"/>
        <v>5.8136258049148728E-3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2.2066527748765782E-3</v>
      </c>
      <c r="BE131" s="29">
        <f t="shared" si="42"/>
        <v>8.9178402603731018E-4</v>
      </c>
      <c r="BF131" s="29">
        <f t="shared" si="43"/>
        <v>8.0202785797914514E-3</v>
      </c>
      <c r="BH131" s="29"/>
    </row>
    <row r="132" spans="1:60" x14ac:dyDescent="0.25">
      <c r="A132" s="1">
        <v>46216</v>
      </c>
      <c r="B132" s="33">
        <v>20.21</v>
      </c>
      <c r="C132" s="33">
        <v>25.2</v>
      </c>
      <c r="D132" s="15">
        <v>-4.93584417676353E-3</v>
      </c>
      <c r="E132" s="15">
        <v>-4.3555800396549898E-3</v>
      </c>
      <c r="F132" s="33">
        <v>0</v>
      </c>
      <c r="G132" s="33">
        <v>0.46872999999999998</v>
      </c>
      <c r="H132" s="33">
        <v>0</v>
      </c>
      <c r="I132" s="33">
        <v>0.61617299999999997</v>
      </c>
      <c r="J132" s="33">
        <v>0.46872999999999998</v>
      </c>
      <c r="K132" s="33">
        <v>0.61617299999999997</v>
      </c>
      <c r="L132" s="33">
        <v>20.678730000000002</v>
      </c>
      <c r="M132" s="33">
        <v>25.816172999999999</v>
      </c>
      <c r="N132" s="34">
        <v>1.2469074715487301</v>
      </c>
      <c r="O132" s="34">
        <v>1.2477004313447799</v>
      </c>
      <c r="P132" s="34">
        <v>1.2475313687987799</v>
      </c>
      <c r="Q132" s="34">
        <v>1.24793141633438</v>
      </c>
      <c r="R132" s="33">
        <v>25.2160257174782</v>
      </c>
      <c r="S132" s="33">
        <v>25.220334864104998</v>
      </c>
      <c r="T132" s="33">
        <v>25.2192660137428</v>
      </c>
      <c r="U132" s="15">
        <v>6.3573904487262305E-4</v>
      </c>
      <c r="V132" s="15">
        <v>8.0661365151123599E-4</v>
      </c>
      <c r="W132" s="15">
        <v>7.6423225499929501E-4</v>
      </c>
      <c r="X132" s="34">
        <v>1.24844093423532</v>
      </c>
      <c r="Y132" s="34">
        <v>1.2471244094690801</v>
      </c>
      <c r="Z132" s="34">
        <v>1.2480415291690401</v>
      </c>
      <c r="AA132" s="34">
        <v>1.2477266965478</v>
      </c>
      <c r="AB132" s="33">
        <v>25.7889489398205</v>
      </c>
      <c r="AC132" s="33">
        <v>25.8053126697578</v>
      </c>
      <c r="AD132" s="33">
        <v>25.8001437950381</v>
      </c>
      <c r="AE132" s="15">
        <v>-1.05509149796071E-3</v>
      </c>
      <c r="AF132" s="15">
        <v>-4.2076783577584199E-4</v>
      </c>
      <c r="AG132" s="15">
        <v>-6.2109063460484397E-4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5.8136258049148728E-3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2.2066527748765782E-3</v>
      </c>
      <c r="BE132" s="29">
        <f t="shared" si="42"/>
        <v>0</v>
      </c>
      <c r="BF132" s="29">
        <f t="shared" si="43"/>
        <v>8.0202785797914514E-3</v>
      </c>
      <c r="BH132" s="29"/>
    </row>
    <row r="133" spans="1:60" x14ac:dyDescent="0.25">
      <c r="A133" s="1">
        <v>46217</v>
      </c>
      <c r="B133" s="33">
        <v>20.28</v>
      </c>
      <c r="C133" s="33">
        <v>25.26</v>
      </c>
      <c r="D133" s="15">
        <v>3.4576473074526999E-3</v>
      </c>
      <c r="E133" s="15">
        <v>2.3781224049674102E-3</v>
      </c>
      <c r="F133" s="33">
        <v>0</v>
      </c>
      <c r="G133" s="33">
        <v>0.46872999999999998</v>
      </c>
      <c r="H133" s="33">
        <v>0</v>
      </c>
      <c r="I133" s="33">
        <v>0.61617299999999997</v>
      </c>
      <c r="J133" s="33">
        <v>0.46872999999999998</v>
      </c>
      <c r="K133" s="33">
        <v>0.61617299999999997</v>
      </c>
      <c r="L133" s="33">
        <v>20.748729999999998</v>
      </c>
      <c r="M133" s="33">
        <v>25.876173000000001</v>
      </c>
      <c r="N133" s="34">
        <v>1.2455621301775099</v>
      </c>
      <c r="O133" s="34">
        <v>1.2477004313447799</v>
      </c>
      <c r="P133" s="34">
        <v>1.2468807691644599</v>
      </c>
      <c r="Q133" s="34">
        <v>1.24791683991643</v>
      </c>
      <c r="R133" s="33">
        <v>25.303364747672301</v>
      </c>
      <c r="S133" s="33">
        <v>25.299936159239302</v>
      </c>
      <c r="T133" s="33">
        <v>25.308049123261299</v>
      </c>
      <c r="U133" s="15">
        <v>1.7152639473580499E-3</v>
      </c>
      <c r="V133" s="15">
        <v>1.5797554577230101E-3</v>
      </c>
      <c r="W133" s="15">
        <v>1.90037537753079E-3</v>
      </c>
      <c r="X133" s="34">
        <v>1.2471208117315999</v>
      </c>
      <c r="Y133" s="34">
        <v>1.2471244094690801</v>
      </c>
      <c r="Z133" s="34">
        <v>1.2479043354335799</v>
      </c>
      <c r="AA133" s="34">
        <v>1.2477038482907199</v>
      </c>
      <c r="AB133" s="33">
        <v>25.8762476484833</v>
      </c>
      <c r="AC133" s="33">
        <v>25.8952767175156</v>
      </c>
      <c r="AD133" s="33">
        <v>25.888744340462299</v>
      </c>
      <c r="AE133" s="15">
        <v>2.8848306015008801E-6</v>
      </c>
      <c r="AF133" s="15">
        <v>7.3800206433867401E-4</v>
      </c>
      <c r="AG133" s="15">
        <v>4.8570890693503402E-4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5.8136258049148728E-3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2.2066527748765782E-3</v>
      </c>
      <c r="BE133" s="29">
        <f t="shared" si="42"/>
        <v>0</v>
      </c>
      <c r="BF133" s="29">
        <f t="shared" si="43"/>
        <v>8.0202785797914514E-3</v>
      </c>
      <c r="BH133" s="29"/>
    </row>
    <row r="134" spans="1:60" x14ac:dyDescent="0.25">
      <c r="A134" s="1">
        <v>46218</v>
      </c>
      <c r="B134" s="33">
        <v>20.350000000000001</v>
      </c>
      <c r="C134" s="33">
        <v>25.35</v>
      </c>
      <c r="D134" s="15">
        <v>3.4457331656216499E-3</v>
      </c>
      <c r="E134" s="15">
        <v>3.5566131148470201E-3</v>
      </c>
      <c r="F134" s="33">
        <v>0</v>
      </c>
      <c r="G134" s="33">
        <v>0.46872999999999998</v>
      </c>
      <c r="H134" s="33">
        <v>0</v>
      </c>
      <c r="I134" s="33">
        <v>0.61617299999999997</v>
      </c>
      <c r="J134" s="33">
        <v>0.46872999999999998</v>
      </c>
      <c r="K134" s="33">
        <v>0.61617299999999997</v>
      </c>
      <c r="L134" s="33">
        <v>20.818729999999999</v>
      </c>
      <c r="M134" s="33">
        <v>25.966173000000001</v>
      </c>
      <c r="N134" s="34">
        <v>1.24570024570024</v>
      </c>
      <c r="O134" s="34">
        <v>1.2477004313447799</v>
      </c>
      <c r="P134" s="34">
        <v>1.2463408767828501</v>
      </c>
      <c r="Q134" s="34">
        <v>1.24792115044705</v>
      </c>
      <c r="R134" s="33">
        <v>25.390703777866399</v>
      </c>
      <c r="S134" s="33">
        <v>25.374023652496899</v>
      </c>
      <c r="T134" s="33">
        <v>25.395107692299302</v>
      </c>
      <c r="U134" s="15">
        <v>1.60438399813244E-3</v>
      </c>
      <c r="V134" s="15">
        <v>9.4722983562090196E-4</v>
      </c>
      <c r="W134" s="15">
        <v>1.77781489611196E-3</v>
      </c>
      <c r="X134" s="34">
        <v>1.2472505767642801</v>
      </c>
      <c r="Y134" s="34">
        <v>1.2471244094690801</v>
      </c>
      <c r="Z134" s="34">
        <v>1.2478762108492001</v>
      </c>
      <c r="AA134" s="34">
        <v>1.24769933306346</v>
      </c>
      <c r="AB134" s="33">
        <v>25.9635463571462</v>
      </c>
      <c r="AC134" s="33">
        <v>25.9797834252212</v>
      </c>
      <c r="AD134" s="33">
        <v>25.9756095375255</v>
      </c>
      <c r="AE134" s="15">
        <v>-1.01161450072176E-4</v>
      </c>
      <c r="AF134" s="15">
        <v>5.2402252145719596E-4</v>
      </c>
      <c r="AG134" s="15">
        <v>3.6335055011189199E-4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5.8136258049148728E-3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2.2066527748765782E-3</v>
      </c>
      <c r="BE134" s="29">
        <f t="shared" si="42"/>
        <v>0</v>
      </c>
      <c r="BF134" s="29">
        <f t="shared" si="43"/>
        <v>8.0202785797914514E-3</v>
      </c>
      <c r="BH134" s="29"/>
    </row>
    <row r="135" spans="1:60" x14ac:dyDescent="0.25">
      <c r="A135" s="1">
        <v>46219</v>
      </c>
      <c r="B135" s="33">
        <v>20.32</v>
      </c>
      <c r="C135" s="33">
        <v>25.34</v>
      </c>
      <c r="D135" s="15">
        <v>-1.4752891783228899E-3</v>
      </c>
      <c r="E135" s="15">
        <v>-3.9455514419919999E-4</v>
      </c>
      <c r="F135" s="33">
        <v>0</v>
      </c>
      <c r="G135" s="33">
        <v>0.46872999999999998</v>
      </c>
      <c r="H135" s="33">
        <v>0</v>
      </c>
      <c r="I135" s="33">
        <v>0.61617299999999997</v>
      </c>
      <c r="J135" s="33">
        <v>0.46872999999999998</v>
      </c>
      <c r="K135" s="33">
        <v>0.61617299999999997</v>
      </c>
      <c r="L135" s="33">
        <v>20.788730000000001</v>
      </c>
      <c r="M135" s="33">
        <v>25.956173</v>
      </c>
      <c r="N135" s="34">
        <v>1.24704724409448</v>
      </c>
      <c r="O135" s="34">
        <v>1.2477004313447799</v>
      </c>
      <c r="P135" s="34">
        <v>1.2464979239306899</v>
      </c>
      <c r="Q135" s="34">
        <v>1.2480107389291499</v>
      </c>
      <c r="R135" s="33">
        <v>25.3532727649261</v>
      </c>
      <c r="S135" s="33">
        <v>25.325646616227601</v>
      </c>
      <c r="T135" s="33">
        <v>25.357757777084199</v>
      </c>
      <c r="U135" s="15">
        <v>5.2364996400889696E-4</v>
      </c>
      <c r="V135" s="15">
        <v>-5.6659236050271295E-4</v>
      </c>
      <c r="W135" s="15">
        <v>7.00535037013096E-4</v>
      </c>
      <c r="X135" s="34">
        <v>1.2485694412308901</v>
      </c>
      <c r="Y135" s="34">
        <v>1.2471244094690801</v>
      </c>
      <c r="Z135" s="34">
        <v>1.2480306849848599</v>
      </c>
      <c r="AA135" s="34">
        <v>1.2477784857862899</v>
      </c>
      <c r="AB135" s="33">
        <v>25.926132624862099</v>
      </c>
      <c r="AC135" s="33">
        <v>25.941761620767</v>
      </c>
      <c r="AD135" s="33">
        <v>25.938084556236401</v>
      </c>
      <c r="AE135" s="15">
        <v>-1.1580201817586199E-3</v>
      </c>
      <c r="AF135" s="15">
        <v>-5.5537391646246902E-4</v>
      </c>
      <c r="AG135" s="15">
        <v>-6.9712701743761003E-4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5.8136258049148728E-3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2.2066527748765782E-3</v>
      </c>
      <c r="BE135" s="29">
        <f t="shared" si="42"/>
        <v>0</v>
      </c>
      <c r="BF135" s="29">
        <f t="shared" si="43"/>
        <v>8.0202785797914514E-3</v>
      </c>
      <c r="BH135" s="29"/>
    </row>
    <row r="136" spans="1:60" x14ac:dyDescent="0.25">
      <c r="A136" s="1">
        <v>46220</v>
      </c>
      <c r="B136" s="33">
        <v>20.34</v>
      </c>
      <c r="C136" s="33">
        <v>25.35</v>
      </c>
      <c r="D136" s="15">
        <v>9.83767910132748E-4</v>
      </c>
      <c r="E136" s="15">
        <v>3.9455514419913602E-4</v>
      </c>
      <c r="F136" s="33">
        <v>0</v>
      </c>
      <c r="G136" s="33">
        <v>0.46872999999999998</v>
      </c>
      <c r="H136" s="33">
        <v>0</v>
      </c>
      <c r="I136" s="33">
        <v>0.61617299999999997</v>
      </c>
      <c r="J136" s="33">
        <v>0.46872999999999998</v>
      </c>
      <c r="K136" s="33">
        <v>0.61617299999999997</v>
      </c>
      <c r="L136" s="33">
        <v>20.808730000000001</v>
      </c>
      <c r="M136" s="33">
        <v>25.966173000000001</v>
      </c>
      <c r="N136" s="34">
        <v>1.2463126843657799</v>
      </c>
      <c r="O136" s="34">
        <v>1.2477004313447799</v>
      </c>
      <c r="P136" s="34">
        <v>1.2464709892422601</v>
      </c>
      <c r="Q136" s="34">
        <v>1.2479791848833801</v>
      </c>
      <c r="R136" s="33">
        <v>25.378226773552999</v>
      </c>
      <c r="S136" s="33">
        <v>25.353767772750199</v>
      </c>
      <c r="T136" s="33">
        <v>25.3845384298189</v>
      </c>
      <c r="U136" s="15">
        <v>1.1128627299422801E-3</v>
      </c>
      <c r="V136" s="15">
        <v>1.4861904441077799E-4</v>
      </c>
      <c r="W136" s="15">
        <v>1.3615354046165901E-3</v>
      </c>
      <c r="X136" s="34">
        <v>1.24784996489454</v>
      </c>
      <c r="Y136" s="34">
        <v>1.2471244094690801</v>
      </c>
      <c r="Z136" s="34">
        <v>1.2480053803247999</v>
      </c>
      <c r="AA136" s="34">
        <v>1.2477383820297601</v>
      </c>
      <c r="AB136" s="33">
        <v>25.951075113051498</v>
      </c>
      <c r="AC136" s="33">
        <v>25.969933555565099</v>
      </c>
      <c r="AD136" s="33">
        <v>25.964685610535799</v>
      </c>
      <c r="AE136" s="15">
        <v>-5.8161354550949698E-4</v>
      </c>
      <c r="AF136" s="15">
        <v>1.44814689476205E-4</v>
      </c>
      <c r="AG136" s="15">
        <v>-5.7283453588893002E-5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5.8136258049148728E-3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2.2066527748765782E-3</v>
      </c>
      <c r="BE136" s="29">
        <f t="shared" si="42"/>
        <v>0</v>
      </c>
      <c r="BF136" s="29">
        <f t="shared" si="43"/>
        <v>8.0202785797914514E-3</v>
      </c>
      <c r="BH136" s="29"/>
    </row>
    <row r="137" spans="1:60" x14ac:dyDescent="0.25">
      <c r="A137" s="1">
        <v>46223</v>
      </c>
      <c r="B137" s="33">
        <v>20.18</v>
      </c>
      <c r="C137" s="33">
        <v>25.27</v>
      </c>
      <c r="D137" s="15">
        <v>-7.8973756949510306E-3</v>
      </c>
      <c r="E137" s="15">
        <v>-3.1608086370893901E-3</v>
      </c>
      <c r="F137" s="33">
        <v>9.1109999999999997E-2</v>
      </c>
      <c r="G137" s="33">
        <v>0.55984</v>
      </c>
      <c r="H137" s="33">
        <v>0</v>
      </c>
      <c r="I137" s="33">
        <v>0.61617299999999997</v>
      </c>
      <c r="J137" s="33">
        <v>0.55984</v>
      </c>
      <c r="K137" s="33">
        <v>0.61617299999999997</v>
      </c>
      <c r="L137" s="33">
        <v>20.739840000000001</v>
      </c>
      <c r="M137" s="33">
        <v>25.886172999999999</v>
      </c>
      <c r="N137" s="34">
        <v>1.25222993062438</v>
      </c>
      <c r="O137" s="34">
        <v>1.2477004313447799</v>
      </c>
      <c r="P137" s="34">
        <v>1.2470357791797</v>
      </c>
      <c r="Q137" s="34">
        <v>1.24833434613195</v>
      </c>
      <c r="R137" s="33">
        <v>25.178594704537801</v>
      </c>
      <c r="S137" s="33">
        <v>25.153784562908999</v>
      </c>
      <c r="T137" s="33">
        <v>25.184219950946702</v>
      </c>
      <c r="U137" s="15">
        <v>-3.62370432791946E-3</v>
      </c>
      <c r="V137" s="15">
        <v>-4.6095565367506803E-3</v>
      </c>
      <c r="W137" s="15">
        <v>-3.4003154458356901E-3</v>
      </c>
      <c r="X137" s="34">
        <v>1.2481375459019901</v>
      </c>
      <c r="Y137" s="34">
        <v>1.2471244094690801</v>
      </c>
      <c r="Z137" s="34">
        <v>1.24800883376547</v>
      </c>
      <c r="AA137" s="34">
        <v>1.2478021365869201</v>
      </c>
      <c r="AB137" s="33">
        <v>25.865160712483199</v>
      </c>
      <c r="AC137" s="33">
        <v>25.883431907075501</v>
      </c>
      <c r="AD137" s="33">
        <v>25.877894405156098</v>
      </c>
      <c r="AE137" s="15">
        <v>-8.12048199112479E-4</v>
      </c>
      <c r="AF137" s="15">
        <v>-1.0589584108162E-4</v>
      </c>
      <c r="AG137" s="15">
        <v>-3.19858748720905E-4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5.8136258049148728E-3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2.2066527748765782E-3</v>
      </c>
      <c r="BE137" s="29">
        <f t="shared" si="42"/>
        <v>0</v>
      </c>
      <c r="BF137" s="29">
        <f t="shared" si="43"/>
        <v>8.0202785797914514E-3</v>
      </c>
      <c r="BH137" s="29"/>
    </row>
    <row r="138" spans="1:60" x14ac:dyDescent="0.25">
      <c r="A138" s="1">
        <v>46224</v>
      </c>
      <c r="B138" s="33">
        <v>20.13</v>
      </c>
      <c r="C138" s="33">
        <v>25.2</v>
      </c>
      <c r="D138" s="15">
        <v>-2.48077527376277E-3</v>
      </c>
      <c r="E138" s="15">
        <v>-2.7739268827252001E-3</v>
      </c>
      <c r="F138" s="33">
        <v>0</v>
      </c>
      <c r="G138" s="33">
        <v>0.55984</v>
      </c>
      <c r="H138" s="33">
        <v>0</v>
      </c>
      <c r="I138" s="33">
        <v>0.61617299999999997</v>
      </c>
      <c r="J138" s="33">
        <v>0.55984</v>
      </c>
      <c r="K138" s="33">
        <v>0.61617299999999997</v>
      </c>
      <c r="L138" s="33">
        <v>20.68984</v>
      </c>
      <c r="M138" s="33">
        <v>25.816172999999999</v>
      </c>
      <c r="N138" s="34">
        <v>1.2518628912071501</v>
      </c>
      <c r="O138" s="34">
        <v>1.2477004313447799</v>
      </c>
      <c r="P138" s="34">
        <v>1.24761499560887</v>
      </c>
      <c r="Q138" s="34">
        <v>1.2483906899072199</v>
      </c>
      <c r="R138" s="33">
        <v>25.116209682970599</v>
      </c>
      <c r="S138" s="33">
        <v>25.102830234887499</v>
      </c>
      <c r="T138" s="33">
        <v>25.128970387636201</v>
      </c>
      <c r="U138" s="15">
        <v>-3.3305527189569002E-3</v>
      </c>
      <c r="V138" s="15">
        <v>-3.8633963743330601E-3</v>
      </c>
      <c r="W138" s="15">
        <v>-2.8226152442773701E-3</v>
      </c>
      <c r="X138" s="34">
        <v>1.2477705482497601</v>
      </c>
      <c r="Y138" s="34">
        <v>1.2471244094690801</v>
      </c>
      <c r="Z138" s="34">
        <v>1.24802469095622</v>
      </c>
      <c r="AA138" s="34">
        <v>1.2478325923087099</v>
      </c>
      <c r="AB138" s="33">
        <v>25.802804492009699</v>
      </c>
      <c r="AC138" s="33">
        <v>25.821103089194299</v>
      </c>
      <c r="AD138" s="33">
        <v>25.816826557641502</v>
      </c>
      <c r="AE138" s="15">
        <v>-5.1796873702875297E-4</v>
      </c>
      <c r="AF138" s="15">
        <v>1.90950785274678E-4</v>
      </c>
      <c r="AG138" s="15">
        <v>2.5315501605109598E-5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5.8136258049148728E-3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2.2066527748765782E-3</v>
      </c>
      <c r="BE138" s="29">
        <f t="shared" si="42"/>
        <v>0</v>
      </c>
      <c r="BF138" s="29">
        <f t="shared" si="43"/>
        <v>8.0202785797914514E-3</v>
      </c>
      <c r="BH138" s="29"/>
    </row>
    <row r="139" spans="1:60" x14ac:dyDescent="0.25">
      <c r="A139" s="1">
        <v>46225</v>
      </c>
      <c r="B139" s="33">
        <v>20.09</v>
      </c>
      <c r="C139" s="33">
        <v>25.16</v>
      </c>
      <c r="D139" s="15">
        <v>-1.9890608248570299E-3</v>
      </c>
      <c r="E139" s="15">
        <v>-1.5885626851378401E-3</v>
      </c>
      <c r="F139" s="33">
        <v>0</v>
      </c>
      <c r="G139" s="33">
        <v>0.55984</v>
      </c>
      <c r="H139" s="33">
        <v>0</v>
      </c>
      <c r="I139" s="33">
        <v>0.61617299999999997</v>
      </c>
      <c r="J139" s="33">
        <v>0.55984</v>
      </c>
      <c r="K139" s="33">
        <v>0.61617299999999997</v>
      </c>
      <c r="L139" s="33">
        <v>20.649840000000001</v>
      </c>
      <c r="M139" s="33">
        <v>25.776173</v>
      </c>
      <c r="N139" s="34">
        <v>1.2523643603782899</v>
      </c>
      <c r="O139" s="34">
        <v>1.2477004313447799</v>
      </c>
      <c r="P139" s="34">
        <v>1.2481467072372501</v>
      </c>
      <c r="Q139" s="34">
        <v>1.2484537338211801</v>
      </c>
      <c r="R139" s="33">
        <v>25.0663016657168</v>
      </c>
      <c r="S139" s="33">
        <v>25.064585261782199</v>
      </c>
      <c r="T139" s="33">
        <v>25.080168960236101</v>
      </c>
      <c r="U139" s="15">
        <v>-3.7310508586760999E-3</v>
      </c>
      <c r="V139" s="15">
        <v>-3.7995277614589098E-3</v>
      </c>
      <c r="W139" s="15">
        <v>-3.1779792386898999E-3</v>
      </c>
      <c r="X139" s="34">
        <v>1.24825049491908</v>
      </c>
      <c r="Y139" s="34">
        <v>1.2471244094690801</v>
      </c>
      <c r="Z139" s="34">
        <v>1.2479927963250399</v>
      </c>
      <c r="AA139" s="34">
        <v>1.24786899923733</v>
      </c>
      <c r="AB139" s="33">
        <v>25.752919515631</v>
      </c>
      <c r="AC139" s="33">
        <v>25.771510184295501</v>
      </c>
      <c r="AD139" s="33">
        <v>25.767543377960099</v>
      </c>
      <c r="AE139" s="15">
        <v>-9.02538151255868E-4</v>
      </c>
      <c r="AF139" s="15">
        <v>-1.80912717280153E-4</v>
      </c>
      <c r="AG139" s="15">
        <v>-3.3484671757908402E-4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5.8136258049148728E-3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2.2066527748765782E-3</v>
      </c>
      <c r="BE139" s="29">
        <f t="shared" si="42"/>
        <v>0</v>
      </c>
      <c r="BF139" s="29">
        <f t="shared" si="43"/>
        <v>8.0202785797914514E-3</v>
      </c>
      <c r="BH139" s="29"/>
    </row>
    <row r="140" spans="1:60" x14ac:dyDescent="0.25">
      <c r="A140" s="1">
        <v>46226</v>
      </c>
      <c r="B140" s="33">
        <v>20</v>
      </c>
      <c r="C140" s="33">
        <v>25.05</v>
      </c>
      <c r="D140" s="15">
        <v>-4.4899052728520697E-3</v>
      </c>
      <c r="E140" s="15">
        <v>-4.3816043013659503E-3</v>
      </c>
      <c r="F140" s="33">
        <v>0</v>
      </c>
      <c r="G140" s="33">
        <v>0.55984</v>
      </c>
      <c r="H140" s="33">
        <v>0</v>
      </c>
      <c r="I140" s="33">
        <v>0.61617299999999997</v>
      </c>
      <c r="J140" s="33">
        <v>0.55984</v>
      </c>
      <c r="K140" s="33">
        <v>0.61617299999999997</v>
      </c>
      <c r="L140" s="33">
        <v>20.559840000000001</v>
      </c>
      <c r="M140" s="33">
        <v>25.666173000000001</v>
      </c>
      <c r="N140" s="34">
        <v>1.2524999999999999</v>
      </c>
      <c r="O140" s="34">
        <v>1.2477004313447799</v>
      </c>
      <c r="P140" s="34">
        <v>1.2486671103837601</v>
      </c>
      <c r="Q140" s="34">
        <v>1.24856653869923</v>
      </c>
      <c r="R140" s="33">
        <v>24.9540086268957</v>
      </c>
      <c r="S140" s="33">
        <v>24.962934144744999</v>
      </c>
      <c r="T140" s="33">
        <v>24.969074676423698</v>
      </c>
      <c r="U140" s="15">
        <v>-3.8393518301623498E-3</v>
      </c>
      <c r="V140" s="15">
        <v>-3.4817370625591301E-3</v>
      </c>
      <c r="W140" s="15">
        <v>-3.2357813377788102E-3</v>
      </c>
      <c r="X140" s="34">
        <v>1.2483644327971399</v>
      </c>
      <c r="Y140" s="34">
        <v>1.2471244094690801</v>
      </c>
      <c r="Z140" s="34">
        <v>1.24794812960909</v>
      </c>
      <c r="AA140" s="34">
        <v>1.2479521819883199</v>
      </c>
      <c r="AB140" s="33">
        <v>25.640678318778701</v>
      </c>
      <c r="AC140" s="33">
        <v>25.6585322135955</v>
      </c>
      <c r="AD140" s="33">
        <v>25.655986965279599</v>
      </c>
      <c r="AE140" s="15">
        <v>-9.9381204124800301E-4</v>
      </c>
      <c r="AF140" s="15">
        <v>-2.9774302371993303E-4</v>
      </c>
      <c r="AG140" s="15">
        <v>-3.9694490103286202E-4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5.8136258049148728E-3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2.2066527748765782E-3</v>
      </c>
      <c r="BE140" s="29">
        <f t="shared" si="42"/>
        <v>0</v>
      </c>
      <c r="BF140" s="29">
        <f t="shared" si="43"/>
        <v>8.0202785797914514E-3</v>
      </c>
      <c r="BH140" s="29"/>
    </row>
    <row r="141" spans="1:60" x14ac:dyDescent="0.25">
      <c r="A141" s="1">
        <v>46227</v>
      </c>
      <c r="B141" s="33">
        <v>20.03</v>
      </c>
      <c r="C141" s="33">
        <v>25.07</v>
      </c>
      <c r="D141" s="15">
        <v>1.49887612373594E-3</v>
      </c>
      <c r="E141" s="15">
        <v>7.9808463932823902E-4</v>
      </c>
      <c r="F141" s="33">
        <v>0</v>
      </c>
      <c r="G141" s="33">
        <v>0.55984</v>
      </c>
      <c r="H141" s="33">
        <v>0</v>
      </c>
      <c r="I141" s="33">
        <v>0.61617299999999997</v>
      </c>
      <c r="J141" s="33">
        <v>0.55984</v>
      </c>
      <c r="K141" s="33">
        <v>0.61617299999999997</v>
      </c>
      <c r="L141" s="33">
        <v>20.589839999999999</v>
      </c>
      <c r="M141" s="33">
        <v>25.686173</v>
      </c>
      <c r="N141" s="34">
        <v>1.2516225661507701</v>
      </c>
      <c r="O141" s="34">
        <v>1.2477004313447799</v>
      </c>
      <c r="P141" s="34">
        <v>1.2492109524247299</v>
      </c>
      <c r="Q141" s="34">
        <v>1.24856230115311</v>
      </c>
      <c r="R141" s="33">
        <v>24.991439639836099</v>
      </c>
      <c r="S141" s="33">
        <v>25.010802220986701</v>
      </c>
      <c r="T141" s="33">
        <v>25.008787770145702</v>
      </c>
      <c r="U141" s="15">
        <v>-3.1385603457545698E-3</v>
      </c>
      <c r="V141" s="15">
        <v>-2.3640917860324002E-3</v>
      </c>
      <c r="W141" s="15">
        <v>-2.4446382616222198E-3</v>
      </c>
      <c r="X141" s="34">
        <v>1.24751688211273</v>
      </c>
      <c r="Y141" s="34">
        <v>1.2471244094690801</v>
      </c>
      <c r="Z141" s="34">
        <v>1.2479271632837301</v>
      </c>
      <c r="AA141" s="34">
        <v>1.2479214521145101</v>
      </c>
      <c r="AB141" s="33">
        <v>25.678092051062801</v>
      </c>
      <c r="AC141" s="33">
        <v>25.695052316950601</v>
      </c>
      <c r="AD141" s="33">
        <v>25.695135754790499</v>
      </c>
      <c r="AE141" s="15">
        <v>-3.1465257006150501E-4</v>
      </c>
      <c r="AF141" s="15">
        <v>3.45624962590893E-4</v>
      </c>
      <c r="AG141" s="15">
        <v>3.4887219102342301E-4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5.8136258049148728E-3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2.2066527748765782E-3</v>
      </c>
      <c r="BE141" s="29">
        <f t="shared" si="42"/>
        <v>0</v>
      </c>
      <c r="BF141" s="29">
        <f t="shared" si="43"/>
        <v>8.0202785797914514E-3</v>
      </c>
      <c r="BH141" s="29"/>
    </row>
    <row r="142" spans="1:60" x14ac:dyDescent="0.25">
      <c r="A142" s="1">
        <v>46230</v>
      </c>
      <c r="B142" s="33">
        <v>20.059999999999999</v>
      </c>
      <c r="C142" s="33">
        <v>25.13</v>
      </c>
      <c r="D142" s="15">
        <v>1.49663285606245E-3</v>
      </c>
      <c r="E142" s="15">
        <v>2.3904393852987602E-3</v>
      </c>
      <c r="F142" s="33">
        <v>0</v>
      </c>
      <c r="G142" s="33">
        <v>0.55984</v>
      </c>
      <c r="H142" s="33">
        <v>0</v>
      </c>
      <c r="I142" s="33">
        <v>0.61617299999999997</v>
      </c>
      <c r="J142" s="33">
        <v>0.55984</v>
      </c>
      <c r="K142" s="33">
        <v>0.61617299999999997</v>
      </c>
      <c r="L142" s="33">
        <v>20.61984</v>
      </c>
      <c r="M142" s="33">
        <v>25.746172999999999</v>
      </c>
      <c r="N142" s="34">
        <v>1.2527417746759699</v>
      </c>
      <c r="O142" s="34">
        <v>1.2477004313447799</v>
      </c>
      <c r="P142" s="34">
        <v>1.24979438273746</v>
      </c>
      <c r="Q142" s="34">
        <v>1.24866287576812</v>
      </c>
      <c r="R142" s="33">
        <v>25.028870652776401</v>
      </c>
      <c r="S142" s="33">
        <v>25.0591717056402</v>
      </c>
      <c r="T142" s="33">
        <v>25.046159761131499</v>
      </c>
      <c r="U142" s="15">
        <v>-4.0323668749907603E-3</v>
      </c>
      <c r="V142" s="15">
        <v>-2.8224550823370098E-3</v>
      </c>
      <c r="W142" s="15">
        <v>-3.3418387255663299E-3</v>
      </c>
      <c r="X142" s="34">
        <v>1.2486116769092199</v>
      </c>
      <c r="Y142" s="34">
        <v>1.2471244094690801</v>
      </c>
      <c r="Z142" s="34">
        <v>1.2479442375511201</v>
      </c>
      <c r="AA142" s="34">
        <v>1.24799288336008</v>
      </c>
      <c r="AB142" s="33">
        <v>25.715505783346899</v>
      </c>
      <c r="AC142" s="33">
        <v>25.732058438564501</v>
      </c>
      <c r="AD142" s="33">
        <v>25.731940675169</v>
      </c>
      <c r="AE142" s="15">
        <v>-1.1918468657973801E-3</v>
      </c>
      <c r="AF142" s="15">
        <v>-5.4837011275247897E-4</v>
      </c>
      <c r="AG142" s="15">
        <v>-5.5294664771028202E-4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5.8136258049148728E-3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2.2066527748765782E-3</v>
      </c>
      <c r="BE142" s="29">
        <f t="shared" si="42"/>
        <v>0</v>
      </c>
      <c r="BF142" s="29">
        <f t="shared" si="43"/>
        <v>8.0202785797914514E-3</v>
      </c>
      <c r="BH142" s="29"/>
    </row>
    <row r="143" spans="1:60" x14ac:dyDescent="0.25">
      <c r="A143" s="1">
        <v>46231</v>
      </c>
      <c r="B143" s="33">
        <v>20.12</v>
      </c>
      <c r="C143" s="33">
        <v>25.19</v>
      </c>
      <c r="D143" s="15">
        <v>2.9865626977490598E-3</v>
      </c>
      <c r="E143" s="15">
        <v>2.38473880901804E-3</v>
      </c>
      <c r="F143" s="33">
        <v>0</v>
      </c>
      <c r="G143" s="33">
        <v>0.55984</v>
      </c>
      <c r="H143" s="33">
        <v>0</v>
      </c>
      <c r="I143" s="33">
        <v>0.61617299999999997</v>
      </c>
      <c r="J143" s="33">
        <v>0.55984</v>
      </c>
      <c r="K143" s="33">
        <v>0.61617299999999997</v>
      </c>
      <c r="L143" s="33">
        <v>20.679839999999999</v>
      </c>
      <c r="M143" s="33">
        <v>25.806173000000001</v>
      </c>
      <c r="N143" s="34">
        <v>1.25198807157057</v>
      </c>
      <c r="O143" s="34">
        <v>1.2477004313447799</v>
      </c>
      <c r="P143" s="34">
        <v>1.25043697687676</v>
      </c>
      <c r="Q143" s="34">
        <v>1.2486588730206101</v>
      </c>
      <c r="R143" s="33">
        <v>25.103732678657099</v>
      </c>
      <c r="S143" s="33">
        <v>25.145862980677698</v>
      </c>
      <c r="T143" s="33">
        <v>25.123097060454601</v>
      </c>
      <c r="U143" s="15">
        <v>-3.4305429862597002E-3</v>
      </c>
      <c r="V143" s="15">
        <v>-1.7537011593924299E-3</v>
      </c>
      <c r="W143" s="15">
        <v>-2.65946574099121E-3</v>
      </c>
      <c r="X143" s="34">
        <v>1.2478903608538501</v>
      </c>
      <c r="Y143" s="34">
        <v>1.2471244094690801</v>
      </c>
      <c r="Z143" s="34">
        <v>1.24802119246335</v>
      </c>
      <c r="AA143" s="34">
        <v>1.2479627639484701</v>
      </c>
      <c r="AB143" s="33">
        <v>25.790333247915001</v>
      </c>
      <c r="AC143" s="33">
        <v>25.807287161479302</v>
      </c>
      <c r="AD143" s="33">
        <v>25.8082931490252</v>
      </c>
      <c r="AE143" s="15">
        <v>-6.1398547050548402E-4</v>
      </c>
      <c r="AF143" s="15">
        <v>4.3173291464171098E-5</v>
      </c>
      <c r="AG143" s="15">
        <v>8.2153287038264398E-5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5.8136258049148728E-3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2.2066527748765782E-3</v>
      </c>
      <c r="BE143" s="29">
        <f t="shared" si="42"/>
        <v>0</v>
      </c>
      <c r="BF143" s="29">
        <f t="shared" si="43"/>
        <v>8.0202785797914514E-3</v>
      </c>
      <c r="BH143" s="29"/>
    </row>
    <row r="144" spans="1:60" x14ac:dyDescent="0.25">
      <c r="A144" s="1">
        <v>46232</v>
      </c>
      <c r="B144" s="33">
        <v>20.03</v>
      </c>
      <c r="C144" s="33">
        <v>25.07</v>
      </c>
      <c r="D144" s="15">
        <v>-4.4831955538115996E-3</v>
      </c>
      <c r="E144" s="15">
        <v>-4.7751781943167898E-3</v>
      </c>
      <c r="F144" s="33">
        <v>0</v>
      </c>
      <c r="G144" s="33">
        <v>0.55984</v>
      </c>
      <c r="H144" s="33">
        <v>0</v>
      </c>
      <c r="I144" s="33">
        <v>0.61617299999999997</v>
      </c>
      <c r="J144" s="33">
        <v>0.55984</v>
      </c>
      <c r="K144" s="33">
        <v>0.61617299999999997</v>
      </c>
      <c r="L144" s="33">
        <v>20.589839999999999</v>
      </c>
      <c r="M144" s="33">
        <v>25.686173</v>
      </c>
      <c r="N144" s="34">
        <v>1.2516225661507701</v>
      </c>
      <c r="O144" s="34">
        <v>1.2477004313447799</v>
      </c>
      <c r="P144" s="34">
        <v>1.25102920892181</v>
      </c>
      <c r="Q144" s="34">
        <v>1.24868504285233</v>
      </c>
      <c r="R144" s="33">
        <v>24.991439639836099</v>
      </c>
      <c r="S144" s="33">
        <v>25.046252646841602</v>
      </c>
      <c r="T144" s="33">
        <v>25.010637226602899</v>
      </c>
      <c r="U144" s="15">
        <v>-3.1385603457545698E-3</v>
      </c>
      <c r="V144" s="15">
        <v>-9.4769076622798704E-4</v>
      </c>
      <c r="W144" s="15">
        <v>-2.3706887326852802E-3</v>
      </c>
      <c r="X144" s="34">
        <v>1.24751688211273</v>
      </c>
      <c r="Y144" s="34">
        <v>1.2471244094690801</v>
      </c>
      <c r="Z144" s="34">
        <v>1.2480478229981899</v>
      </c>
      <c r="AA144" s="34">
        <v>1.24796201692369</v>
      </c>
      <c r="AB144" s="33">
        <v>25.678092051062801</v>
      </c>
      <c r="AC144" s="33">
        <v>25.696556669429601</v>
      </c>
      <c r="AD144" s="33">
        <v>25.695353635656701</v>
      </c>
      <c r="AE144" s="15">
        <v>-3.1465257006150501E-4</v>
      </c>
      <c r="AF144" s="15">
        <v>4.0416963589954598E-4</v>
      </c>
      <c r="AG144" s="15">
        <v>3.5735161469873099E-4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5.8136258049148728E-3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2.2066527748765782E-3</v>
      </c>
      <c r="BE144" s="29">
        <f t="shared" si="42"/>
        <v>0</v>
      </c>
      <c r="BF144" s="29">
        <f t="shared" si="43"/>
        <v>8.0202785797914514E-3</v>
      </c>
      <c r="BH144" s="29"/>
    </row>
    <row r="145" spans="1:60" x14ac:dyDescent="0.25">
      <c r="A145" s="1">
        <v>46233</v>
      </c>
      <c r="B145" s="33">
        <v>20.07</v>
      </c>
      <c r="C145" s="33">
        <v>25.12</v>
      </c>
      <c r="D145" s="15">
        <v>1.9950131305197902E-3</v>
      </c>
      <c r="E145" s="15">
        <v>1.9924294297959202E-3</v>
      </c>
      <c r="F145" s="33">
        <v>0</v>
      </c>
      <c r="G145" s="33">
        <v>0.55984</v>
      </c>
      <c r="H145" s="33">
        <v>0</v>
      </c>
      <c r="I145" s="33">
        <v>0.61617299999999997</v>
      </c>
      <c r="J145" s="33">
        <v>0.55984</v>
      </c>
      <c r="K145" s="33">
        <v>0.61617299999999997</v>
      </c>
      <c r="L145" s="33">
        <v>20.629840000000002</v>
      </c>
      <c r="M145" s="33">
        <v>25.736173000000001</v>
      </c>
      <c r="N145" s="34">
        <v>1.2516193323368201</v>
      </c>
      <c r="O145" s="34">
        <v>1.2477004313447799</v>
      </c>
      <c r="P145" s="34">
        <v>1.2514864177460501</v>
      </c>
      <c r="Q145" s="34">
        <v>1.24899217083837</v>
      </c>
      <c r="R145" s="33">
        <v>25.041347657089901</v>
      </c>
      <c r="S145" s="33">
        <v>25.108156223060899</v>
      </c>
      <c r="T145" s="33">
        <v>25.061108810046399</v>
      </c>
      <c r="U145" s="15">
        <v>-3.1359766450305701E-3</v>
      </c>
      <c r="V145" s="15">
        <v>-4.7159912085920303E-4</v>
      </c>
      <c r="W145" s="15">
        <v>-2.3471468999596702E-3</v>
      </c>
      <c r="X145" s="34">
        <v>1.24752169672668</v>
      </c>
      <c r="Y145" s="34">
        <v>1.2471244094690801</v>
      </c>
      <c r="Z145" s="34">
        <v>1.2479430485477701</v>
      </c>
      <c r="AA145" s="34">
        <v>1.2479868667663201</v>
      </c>
      <c r="AB145" s="33">
        <v>25.7279770274416</v>
      </c>
      <c r="AC145" s="33">
        <v>25.747026900801099</v>
      </c>
      <c r="AD145" s="33">
        <v>25.7452567352132</v>
      </c>
      <c r="AE145" s="15">
        <v>-3.18511920367983E-4</v>
      </c>
      <c r="AF145" s="15">
        <v>4.2164826517653302E-4</v>
      </c>
      <c r="AG145" s="15">
        <v>3.5289366881198302E-4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5.8136258049148728E-3</v>
      </c>
      <c r="AT145" s="12"/>
      <c r="AU145">
        <f t="shared" si="30"/>
        <v>0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2.2066527748765782E-3</v>
      </c>
      <c r="BE145" s="29">
        <f t="shared" si="42"/>
        <v>0</v>
      </c>
      <c r="BF145" s="29">
        <f t="shared" si="43"/>
        <v>8.0202785797914514E-3</v>
      </c>
      <c r="BH145" s="29"/>
    </row>
    <row r="146" spans="1:60" x14ac:dyDescent="0.25">
      <c r="A146" s="1">
        <v>46234</v>
      </c>
      <c r="B146" s="33">
        <v>20.02</v>
      </c>
      <c r="C146" s="33">
        <v>25.09</v>
      </c>
      <c r="D146" s="15">
        <v>-2.4943889211722602E-3</v>
      </c>
      <c r="E146" s="15">
        <v>-1.1949812216670999E-3</v>
      </c>
      <c r="F146" s="33">
        <v>0</v>
      </c>
      <c r="G146" s="33">
        <v>0.55984</v>
      </c>
      <c r="H146" s="33">
        <v>0</v>
      </c>
      <c r="I146" s="33">
        <v>0.61617299999999997</v>
      </c>
      <c r="J146" s="33">
        <v>0.55984</v>
      </c>
      <c r="K146" s="33">
        <v>0.61617299999999997</v>
      </c>
      <c r="L146" s="33">
        <v>20.579840000000001</v>
      </c>
      <c r="M146" s="33">
        <v>25.706173</v>
      </c>
      <c r="N146" s="34">
        <v>1.2532467532467499</v>
      </c>
      <c r="O146" s="34">
        <v>1.2477004313447799</v>
      </c>
      <c r="P146" s="34">
        <v>1.25217982463415</v>
      </c>
      <c r="Q146" s="34">
        <v>1.24932540693821</v>
      </c>
      <c r="R146" s="33">
        <v>24.978962635522599</v>
      </c>
      <c r="S146" s="33">
        <v>25.0547580832759</v>
      </c>
      <c r="T146" s="33">
        <v>25.0048232601842</v>
      </c>
      <c r="U146" s="15">
        <v>-4.4353843445358899E-3</v>
      </c>
      <c r="V146" s="15">
        <v>-1.40560744027808E-3</v>
      </c>
      <c r="W146" s="15">
        <v>-3.4006237114390498E-3</v>
      </c>
      <c r="X146" s="34">
        <v>1.24909489092237</v>
      </c>
      <c r="Y146" s="34">
        <v>1.2471244094690801</v>
      </c>
      <c r="Z146" s="34">
        <v>1.24806754115056</v>
      </c>
      <c r="AA146" s="34">
        <v>1.2480364607376799</v>
      </c>
      <c r="AB146" s="33">
        <v>25.6656208069681</v>
      </c>
      <c r="AC146" s="33">
        <v>25.682468268225399</v>
      </c>
      <c r="AD146" s="33">
        <v>25.683370040152202</v>
      </c>
      <c r="AE146" s="15">
        <v>-1.5787730367105199E-3</v>
      </c>
      <c r="AF146" s="15">
        <v>-9.2256704481113202E-4</v>
      </c>
      <c r="AG146" s="15">
        <v>-8.8745530687242005E-4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5.8136258049148728E-3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2.2066527748765782E-3</v>
      </c>
      <c r="BE146" s="29">
        <f t="shared" si="42"/>
        <v>0</v>
      </c>
      <c r="BF146" s="29">
        <f t="shared" si="43"/>
        <v>8.0202785797914514E-3</v>
      </c>
      <c r="BH146" s="29"/>
    </row>
    <row r="147" spans="1:60" x14ac:dyDescent="0.25">
      <c r="A147" s="1">
        <v>46237</v>
      </c>
      <c r="B147" s="33">
        <v>20.09</v>
      </c>
      <c r="C147" s="33">
        <v>25.04</v>
      </c>
      <c r="D147" s="15">
        <v>3.4904049397685602E-3</v>
      </c>
      <c r="E147" s="15">
        <v>-1.99481414643318E-3</v>
      </c>
      <c r="F147" s="33">
        <v>0</v>
      </c>
      <c r="G147" s="33">
        <v>0.55984</v>
      </c>
      <c r="H147" s="33">
        <v>0.103218</v>
      </c>
      <c r="I147" s="33">
        <v>0.719391</v>
      </c>
      <c r="J147" s="33">
        <v>0.55984</v>
      </c>
      <c r="K147" s="33">
        <v>0.719391</v>
      </c>
      <c r="L147" s="33">
        <v>20.649840000000001</v>
      </c>
      <c r="M147" s="33">
        <v>25.759391000000001</v>
      </c>
      <c r="N147" s="34">
        <v>1.24639123942259</v>
      </c>
      <c r="O147" s="34">
        <v>1.2477004313447799</v>
      </c>
      <c r="P147" s="34">
        <v>1.25159595551397</v>
      </c>
      <c r="Q147" s="34">
        <v>1.2493158673468401</v>
      </c>
      <c r="R147" s="33">
        <v>25.0663016657168</v>
      </c>
      <c r="S147" s="33">
        <v>25.156292676900001</v>
      </c>
      <c r="T147" s="33">
        <v>25.098947425388602</v>
      </c>
      <c r="U147" s="15">
        <v>1.0498347416658901E-3</v>
      </c>
      <c r="V147" s="15">
        <v>4.6335248585467901E-3</v>
      </c>
      <c r="W147" s="15">
        <v>2.3513637830530499E-3</v>
      </c>
      <c r="X147" s="34">
        <v>1.24743780097085</v>
      </c>
      <c r="Y147" s="34">
        <v>1.2471244094690801</v>
      </c>
      <c r="Z147" s="34">
        <v>1.2479975666574401</v>
      </c>
      <c r="AA147" s="34">
        <v>1.2480032002114601</v>
      </c>
      <c r="AB147" s="33">
        <v>25.752919515631</v>
      </c>
      <c r="AC147" s="33">
        <v>25.7723950339524</v>
      </c>
      <c r="AD147" s="33">
        <v>25.771753228399302</v>
      </c>
      <c r="AE147" s="15">
        <v>-2.5125972173517601E-4</v>
      </c>
      <c r="AF147" s="15">
        <v>5.0469953515476398E-4</v>
      </c>
      <c r="AG147" s="15">
        <v>4.7979639581623401E-4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5.8136258049148728E-3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2.2066527748765782E-3</v>
      </c>
      <c r="BE147" s="29">
        <f t="shared" si="42"/>
        <v>0</v>
      </c>
      <c r="BF147" s="29">
        <f t="shared" si="43"/>
        <v>8.0202785797914514E-3</v>
      </c>
      <c r="BH147" s="29"/>
    </row>
    <row r="148" spans="1:60" x14ac:dyDescent="0.25">
      <c r="A148" s="1">
        <v>46238</v>
      </c>
      <c r="B148" s="33">
        <v>20.2</v>
      </c>
      <c r="C148" s="33">
        <v>25.19</v>
      </c>
      <c r="D148" s="15">
        <v>5.4604255803161099E-3</v>
      </c>
      <c r="E148" s="15">
        <v>5.9725441326210797E-3</v>
      </c>
      <c r="F148" s="33">
        <v>0</v>
      </c>
      <c r="G148" s="33">
        <v>0.55984</v>
      </c>
      <c r="H148" s="33">
        <v>0</v>
      </c>
      <c r="I148" s="33">
        <v>0.719391</v>
      </c>
      <c r="J148" s="33">
        <v>0.55984</v>
      </c>
      <c r="K148" s="33">
        <v>0.719391</v>
      </c>
      <c r="L148" s="33">
        <v>20.759840000000001</v>
      </c>
      <c r="M148" s="33">
        <v>25.909390999999999</v>
      </c>
      <c r="N148" s="34">
        <v>1.2470297029702899</v>
      </c>
      <c r="O148" s="34">
        <v>1.2477004313447799</v>
      </c>
      <c r="P148" s="34">
        <v>1.2511126366902801</v>
      </c>
      <c r="Q148" s="34">
        <v>1.2493638161495699</v>
      </c>
      <c r="R148" s="33">
        <v>25.2035487131647</v>
      </c>
      <c r="S148" s="33">
        <v>25.282238301382201</v>
      </c>
      <c r="T148" s="33">
        <v>25.236180520406101</v>
      </c>
      <c r="U148" s="15">
        <v>5.3771618936063702E-4</v>
      </c>
      <c r="V148" s="15">
        <v>3.6550153974459101E-3</v>
      </c>
      <c r="W148" s="15">
        <v>1.83160940765617E-3</v>
      </c>
      <c r="X148" s="34">
        <v>1.2480535013757299</v>
      </c>
      <c r="Y148" s="34">
        <v>1.2471244094690801</v>
      </c>
      <c r="Z148" s="34">
        <v>1.24802586197004</v>
      </c>
      <c r="AA148" s="34">
        <v>1.2480252764631301</v>
      </c>
      <c r="AB148" s="33">
        <v>25.890103200672598</v>
      </c>
      <c r="AC148" s="33">
        <v>25.908229804197902</v>
      </c>
      <c r="AD148" s="33">
        <v>25.908346755877901</v>
      </c>
      <c r="AE148" s="15">
        <v>-7.4470998284614201E-4</v>
      </c>
      <c r="AF148" s="15">
        <v>-4.4818568828535398E-5</v>
      </c>
      <c r="AG148" s="15">
        <v>-4.0304504497324998E-5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5.8136258049148728E-3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2.2066527748765782E-3</v>
      </c>
      <c r="BE148" s="29">
        <f t="shared" si="42"/>
        <v>0</v>
      </c>
      <c r="BF148" s="29">
        <f t="shared" si="43"/>
        <v>8.0202785797914514E-3</v>
      </c>
      <c r="BH148" s="29"/>
    </row>
    <row r="149" spans="1:60" x14ac:dyDescent="0.25">
      <c r="A149" s="1">
        <v>46239</v>
      </c>
      <c r="B149" s="33">
        <v>20.21</v>
      </c>
      <c r="C149" s="33">
        <v>25.2</v>
      </c>
      <c r="D149" s="15">
        <v>4.94927008370566E-4</v>
      </c>
      <c r="E149" s="15">
        <v>3.96904152858668E-4</v>
      </c>
      <c r="F149" s="33">
        <v>0</v>
      </c>
      <c r="G149" s="33">
        <v>0.55984</v>
      </c>
      <c r="H149" s="33">
        <v>0</v>
      </c>
      <c r="I149" s="33">
        <v>0.719391</v>
      </c>
      <c r="J149" s="33">
        <v>0.55984</v>
      </c>
      <c r="K149" s="33">
        <v>0.719391</v>
      </c>
      <c r="L149" s="33">
        <v>20.769839999999999</v>
      </c>
      <c r="M149" s="33">
        <v>25.919391000000001</v>
      </c>
      <c r="N149" s="34">
        <v>1.2469074715487301</v>
      </c>
      <c r="O149" s="34">
        <v>1.2477004313447799</v>
      </c>
      <c r="P149" s="34">
        <v>1.25056694780733</v>
      </c>
      <c r="Q149" s="34">
        <v>1.2493568275222899</v>
      </c>
      <c r="R149" s="33">
        <v>25.2160257174782</v>
      </c>
      <c r="S149" s="33">
        <v>25.2849863875106</v>
      </c>
      <c r="T149" s="33">
        <v>25.249642724382898</v>
      </c>
      <c r="U149" s="15">
        <v>6.3573904487262305E-4</v>
      </c>
      <c r="V149" s="15">
        <v>3.36680165218108E-3</v>
      </c>
      <c r="W149" s="15">
        <v>1.9680115744989202E-3</v>
      </c>
      <c r="X149" s="34">
        <v>1.24793407171167</v>
      </c>
      <c r="Y149" s="34">
        <v>1.2471244094690801</v>
      </c>
      <c r="Z149" s="34">
        <v>1.2479942196492999</v>
      </c>
      <c r="AA149" s="34">
        <v>1.24799350798717</v>
      </c>
      <c r="AB149" s="33">
        <v>25.9025744447672</v>
      </c>
      <c r="AC149" s="33">
        <v>25.921297468979802</v>
      </c>
      <c r="AD149" s="33">
        <v>25.921285308095001</v>
      </c>
      <c r="AE149" s="15">
        <v>-6.49012660120704E-4</v>
      </c>
      <c r="AF149" s="15">
        <v>7.3551067203621195E-5</v>
      </c>
      <c r="AG149" s="15">
        <v>7.3081920639425901E-5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5.8136258049148728E-3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2.2066527748765782E-3</v>
      </c>
      <c r="BE149" s="29">
        <f t="shared" si="42"/>
        <v>0</v>
      </c>
      <c r="BF149" s="29">
        <f t="shared" si="43"/>
        <v>8.0202785797914514E-3</v>
      </c>
      <c r="BH149" s="29"/>
    </row>
    <row r="150" spans="1:60" x14ac:dyDescent="0.25">
      <c r="A150" s="1">
        <v>46240</v>
      </c>
      <c r="B150" s="33">
        <v>20.14</v>
      </c>
      <c r="C150" s="33">
        <v>25.11</v>
      </c>
      <c r="D150" s="15">
        <v>-3.46964412511345E-3</v>
      </c>
      <c r="E150" s="15">
        <v>-3.57782134788396E-3</v>
      </c>
      <c r="F150" s="33">
        <v>0</v>
      </c>
      <c r="G150" s="33">
        <v>0.55984</v>
      </c>
      <c r="H150" s="33">
        <v>0</v>
      </c>
      <c r="I150" s="33">
        <v>0.719391</v>
      </c>
      <c r="J150" s="33">
        <v>0.55984</v>
      </c>
      <c r="K150" s="33">
        <v>0.719391</v>
      </c>
      <c r="L150" s="33">
        <v>20.699839999999998</v>
      </c>
      <c r="M150" s="33">
        <v>25.829391000000001</v>
      </c>
      <c r="N150" s="34">
        <v>1.2467725918570001</v>
      </c>
      <c r="O150" s="34">
        <v>1.2477004313447799</v>
      </c>
      <c r="P150" s="34">
        <v>1.2499942069930301</v>
      </c>
      <c r="Q150" s="34">
        <v>1.2493306586883901</v>
      </c>
      <c r="R150" s="33">
        <v>25.128686687283999</v>
      </c>
      <c r="S150" s="33">
        <v>25.186418328839601</v>
      </c>
      <c r="T150" s="33">
        <v>25.1620465062989</v>
      </c>
      <c r="U150" s="15">
        <v>7.4391626764334895E-4</v>
      </c>
      <c r="V150" s="15">
        <v>3.0387208545462601E-3</v>
      </c>
      <c r="W150" s="15">
        <v>2.07059503287252E-3</v>
      </c>
      <c r="X150" s="34">
        <v>1.24780631154636</v>
      </c>
      <c r="Y150" s="34">
        <v>1.2471244094690801</v>
      </c>
      <c r="Z150" s="34">
        <v>1.2479384075242199</v>
      </c>
      <c r="AA150" s="34">
        <v>1.24794326856666</v>
      </c>
      <c r="AB150" s="33">
        <v>25.8152757361044</v>
      </c>
      <c r="AC150" s="33">
        <v>25.833280667665299</v>
      </c>
      <c r="AD150" s="33">
        <v>25.833265936373198</v>
      </c>
      <c r="AE150" s="15">
        <v>-5.4663008357282302E-4</v>
      </c>
      <c r="AF150" s="15">
        <v>1.50579424067098E-4</v>
      </c>
      <c r="AG150" s="15">
        <v>1.5000917917401901E-4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5.8136258049148728E-3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2.2066527748765782E-3</v>
      </c>
      <c r="BE150" s="29">
        <f t="shared" si="42"/>
        <v>0</v>
      </c>
      <c r="BF150" s="29">
        <f t="shared" si="43"/>
        <v>8.0202785797914514E-3</v>
      </c>
      <c r="BH150" s="29"/>
    </row>
    <row r="151" spans="1:60" x14ac:dyDescent="0.25">
      <c r="A151" s="1">
        <v>46241</v>
      </c>
      <c r="B151" s="33">
        <v>20.16</v>
      </c>
      <c r="C151" s="33">
        <v>25.15</v>
      </c>
      <c r="D151" s="15">
        <v>9.9255591275164293E-4</v>
      </c>
      <c r="E151" s="15">
        <v>1.5917233762546301E-3</v>
      </c>
      <c r="F151" s="33">
        <v>0</v>
      </c>
      <c r="G151" s="33">
        <v>0.55984</v>
      </c>
      <c r="H151" s="33">
        <v>0</v>
      </c>
      <c r="I151" s="33">
        <v>0.719391</v>
      </c>
      <c r="J151" s="33">
        <v>0.55984</v>
      </c>
      <c r="K151" s="33">
        <v>0.719391</v>
      </c>
      <c r="L151" s="33">
        <v>20.719840000000001</v>
      </c>
      <c r="M151" s="33">
        <v>25.869391</v>
      </c>
      <c r="N151" s="34">
        <v>1.2475198412698401</v>
      </c>
      <c r="O151" s="34">
        <v>1.2477004313447799</v>
      </c>
      <c r="P151" s="34">
        <v>1.24958393450493</v>
      </c>
      <c r="Q151" s="34">
        <v>1.2493974434648301</v>
      </c>
      <c r="R151" s="33">
        <v>25.153640695910902</v>
      </c>
      <c r="S151" s="33">
        <v>25.199883212979401</v>
      </c>
      <c r="T151" s="33">
        <v>25.186506079158001</v>
      </c>
      <c r="U151" s="15">
        <v>1.4474880414033301E-4</v>
      </c>
      <c r="V151" s="15">
        <v>1.9814635553151599E-3</v>
      </c>
      <c r="W151" s="15">
        <v>1.4504815054535399E-3</v>
      </c>
      <c r="X151" s="34">
        <v>1.24853237283685</v>
      </c>
      <c r="Y151" s="34">
        <v>1.2471244094690801</v>
      </c>
      <c r="Z151" s="34">
        <v>1.24803995659663</v>
      </c>
      <c r="AA151" s="34">
        <v>1.2479835599401801</v>
      </c>
      <c r="AB151" s="33">
        <v>25.8402182242938</v>
      </c>
      <c r="AC151" s="33">
        <v>25.8570841337567</v>
      </c>
      <c r="AD151" s="33">
        <v>25.8571848537782</v>
      </c>
      <c r="AE151" s="15">
        <v>-1.12833104867183E-3</v>
      </c>
      <c r="AF151" s="15">
        <v>-4.75844002270477E-4</v>
      </c>
      <c r="AG151" s="15">
        <v>-4.7194875155859002E-4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5.8136258049148728E-3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2.2066527748765782E-3</v>
      </c>
      <c r="BE151" s="29">
        <f t="shared" ref="BE151:BE176" si="62">AQ151+BB151</f>
        <v>0</v>
      </c>
      <c r="BF151" s="29">
        <f t="shared" ref="BF151:BF176" si="63">BF150+BE151</f>
        <v>8.0202785797914514E-3</v>
      </c>
      <c r="BH151" s="29"/>
    </row>
    <row r="152" spans="1:60" x14ac:dyDescent="0.25">
      <c r="A152" s="1">
        <v>46244</v>
      </c>
      <c r="B152" s="33">
        <v>20.07</v>
      </c>
      <c r="C152" s="33">
        <v>25.03</v>
      </c>
      <c r="D152" s="15">
        <v>-4.4742803949210704E-3</v>
      </c>
      <c r="E152" s="15">
        <v>-4.7827911020652397E-3</v>
      </c>
      <c r="F152" s="33">
        <v>0</v>
      </c>
      <c r="G152" s="33">
        <v>0.55984</v>
      </c>
      <c r="H152" s="33">
        <v>0</v>
      </c>
      <c r="I152" s="33">
        <v>0.719391</v>
      </c>
      <c r="J152" s="33">
        <v>0.55984</v>
      </c>
      <c r="K152" s="33">
        <v>0.719391</v>
      </c>
      <c r="L152" s="33">
        <v>20.629840000000002</v>
      </c>
      <c r="M152" s="33">
        <v>25.749390999999999</v>
      </c>
      <c r="N152" s="34">
        <v>1.24713502740408</v>
      </c>
      <c r="O152" s="34">
        <v>1.2477004313447799</v>
      </c>
      <c r="P152" s="34">
        <v>1.24902325977774</v>
      </c>
      <c r="Q152" s="34">
        <v>1.2494088212576</v>
      </c>
      <c r="R152" s="33">
        <v>25.041347657089901</v>
      </c>
      <c r="S152" s="33">
        <v>25.079149565514001</v>
      </c>
      <c r="T152" s="33">
        <v>25.0754066903392</v>
      </c>
      <c r="U152" s="15">
        <v>4.5325951128450401E-4</v>
      </c>
      <c r="V152" s="15">
        <v>1.9617008750693202E-3</v>
      </c>
      <c r="W152" s="15">
        <v>1.8124472294917999E-3</v>
      </c>
      <c r="X152" s="34">
        <v>1.24816241909777</v>
      </c>
      <c r="Y152" s="34">
        <v>1.2471244094690801</v>
      </c>
      <c r="Z152" s="34">
        <v>1.2479950308154899</v>
      </c>
      <c r="AA152" s="34">
        <v>1.24796963418331</v>
      </c>
      <c r="AB152" s="33">
        <v>25.7279770274416</v>
      </c>
      <c r="AC152" s="33">
        <v>25.746864618195499</v>
      </c>
      <c r="AD152" s="33">
        <v>25.745701164196401</v>
      </c>
      <c r="AE152" s="15">
        <v>-8.3197624953051301E-4</v>
      </c>
      <c r="AF152" s="15">
        <v>-9.8119048701556799E-5</v>
      </c>
      <c r="AG152" s="15">
        <v>-1.4330825151527701E-4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5.8136258049148728E-3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2.2066527748765782E-3</v>
      </c>
      <c r="BE152" s="29">
        <f t="shared" si="62"/>
        <v>0</v>
      </c>
      <c r="BF152" s="29">
        <f t="shared" si="63"/>
        <v>8.0202785797914514E-3</v>
      </c>
      <c r="BH152" s="29"/>
    </row>
    <row r="153" spans="1:60" x14ac:dyDescent="0.25">
      <c r="A153" s="1">
        <v>46245</v>
      </c>
      <c r="B153" s="33">
        <v>20.07</v>
      </c>
      <c r="C153" s="33">
        <v>25.03</v>
      </c>
      <c r="D153" s="15">
        <v>0</v>
      </c>
      <c r="E153" s="15">
        <v>0</v>
      </c>
      <c r="F153" s="33">
        <v>0</v>
      </c>
      <c r="G153" s="33">
        <v>0.55984</v>
      </c>
      <c r="H153" s="33">
        <v>0</v>
      </c>
      <c r="I153" s="33">
        <v>0.719391</v>
      </c>
      <c r="J153" s="33">
        <v>0.55984</v>
      </c>
      <c r="K153" s="33">
        <v>0.719391</v>
      </c>
      <c r="L153" s="33">
        <v>20.629840000000002</v>
      </c>
      <c r="M153" s="33">
        <v>25.749390999999999</v>
      </c>
      <c r="N153" s="34">
        <v>1.24713502740408</v>
      </c>
      <c r="O153" s="34">
        <v>1.2477004313447799</v>
      </c>
      <c r="P153" s="34">
        <v>1.24853795536109</v>
      </c>
      <c r="Q153" s="34">
        <v>1.2494874661189299</v>
      </c>
      <c r="R153" s="33">
        <v>25.041347657089901</v>
      </c>
      <c r="S153" s="33">
        <v>25.0678968237394</v>
      </c>
      <c r="T153" s="33">
        <v>25.075635042640101</v>
      </c>
      <c r="U153" s="15">
        <v>4.5325951128450401E-4</v>
      </c>
      <c r="V153" s="15">
        <v>1.5129110549789099E-3</v>
      </c>
      <c r="W153" s="15">
        <v>1.8215538120452601E-3</v>
      </c>
      <c r="X153" s="34">
        <v>1.24816241909777</v>
      </c>
      <c r="Y153" s="34">
        <v>1.2471244094690801</v>
      </c>
      <c r="Z153" s="34">
        <v>1.2480222366398801</v>
      </c>
      <c r="AA153" s="34">
        <v>1.2480217145516099</v>
      </c>
      <c r="AB153" s="33">
        <v>25.7279770274416</v>
      </c>
      <c r="AC153" s="33">
        <v>25.745937806518601</v>
      </c>
      <c r="AD153" s="33">
        <v>25.745413878060202</v>
      </c>
      <c r="AE153" s="15">
        <v>-8.3197624953051301E-4</v>
      </c>
      <c r="AF153" s="15">
        <v>-1.3411676618309E-4</v>
      </c>
      <c r="AG153" s="15">
        <v>-1.5446691980342399E-4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5.8136258049148728E-3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2.2066527748765782E-3</v>
      </c>
      <c r="BE153" s="29">
        <f t="shared" si="62"/>
        <v>0</v>
      </c>
      <c r="BF153" s="29">
        <f t="shared" si="63"/>
        <v>8.0202785797914514E-3</v>
      </c>
      <c r="BH153" s="29"/>
    </row>
    <row r="154" spans="1:60" x14ac:dyDescent="0.25">
      <c r="A154" s="1">
        <v>46246</v>
      </c>
      <c r="B154" s="33">
        <v>20.11</v>
      </c>
      <c r="C154" s="33">
        <v>25.06</v>
      </c>
      <c r="D154" s="15">
        <v>1.9910409763137802E-3</v>
      </c>
      <c r="E154" s="15">
        <v>1.1978440242392E-3</v>
      </c>
      <c r="F154" s="33">
        <v>0</v>
      </c>
      <c r="G154" s="33">
        <v>0.55984</v>
      </c>
      <c r="H154" s="33">
        <v>0</v>
      </c>
      <c r="I154" s="33">
        <v>0.719391</v>
      </c>
      <c r="J154" s="33">
        <v>0.55984</v>
      </c>
      <c r="K154" s="33">
        <v>0.719391</v>
      </c>
      <c r="L154" s="33">
        <v>20.669840000000001</v>
      </c>
      <c r="M154" s="33">
        <v>25.779391</v>
      </c>
      <c r="N154" s="34">
        <v>1.24614619592242</v>
      </c>
      <c r="O154" s="34">
        <v>1.2477004313447799</v>
      </c>
      <c r="P154" s="34">
        <v>1.2479903183382599</v>
      </c>
      <c r="Q154" s="34">
        <v>1.2495097636300401</v>
      </c>
      <c r="R154" s="33">
        <v>25.091255674343699</v>
      </c>
      <c r="S154" s="33">
        <v>25.108098282311701</v>
      </c>
      <c r="T154" s="33">
        <v>25.1271929436517</v>
      </c>
      <c r="U154" s="15">
        <v>1.2464564633591301E-3</v>
      </c>
      <c r="V154" s="15">
        <v>1.9174853620387E-3</v>
      </c>
      <c r="W154" s="15">
        <v>2.6776944418960601E-3</v>
      </c>
      <c r="X154" s="34">
        <v>1.2471983817968499</v>
      </c>
      <c r="Y154" s="34">
        <v>1.2471244094690801</v>
      </c>
      <c r="Z154" s="34">
        <v>1.24799038660829</v>
      </c>
      <c r="AA154" s="34">
        <v>1.2480191048032401</v>
      </c>
      <c r="AB154" s="33">
        <v>25.777862003820299</v>
      </c>
      <c r="AC154" s="33">
        <v>25.7964199477885</v>
      </c>
      <c r="AD154" s="33">
        <v>25.7964091563076</v>
      </c>
      <c r="AE154" s="15">
        <v>-5.9312554140714798E-5</v>
      </c>
      <c r="AF154" s="15">
        <v>6.6034631717377099E-4</v>
      </c>
      <c r="AG154" s="15">
        <v>6.5992798458445405E-4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5.8136258049148728E-3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2.2066527748765782E-3</v>
      </c>
      <c r="BE154" s="29">
        <f t="shared" si="62"/>
        <v>0</v>
      </c>
      <c r="BF154" s="29">
        <f t="shared" si="63"/>
        <v>8.0202785797914514E-3</v>
      </c>
      <c r="BH154" s="29"/>
    </row>
    <row r="155" spans="1:60" x14ac:dyDescent="0.25">
      <c r="A155" s="1">
        <v>46247</v>
      </c>
      <c r="B155" s="33">
        <v>20.170000000000002</v>
      </c>
      <c r="C155" s="33">
        <v>25.16</v>
      </c>
      <c r="D155" s="15">
        <v>2.9791481815598301E-3</v>
      </c>
      <c r="E155" s="15">
        <v>3.9824823643175604E-3</v>
      </c>
      <c r="F155" s="33">
        <v>0</v>
      </c>
      <c r="G155" s="33">
        <v>0.55984</v>
      </c>
      <c r="H155" s="33">
        <v>0</v>
      </c>
      <c r="I155" s="33">
        <v>0.719391</v>
      </c>
      <c r="J155" s="33">
        <v>0.55984</v>
      </c>
      <c r="K155" s="33">
        <v>0.719391</v>
      </c>
      <c r="L155" s="33">
        <v>20.729839999999999</v>
      </c>
      <c r="M155" s="33">
        <v>25.879390999999998</v>
      </c>
      <c r="N155" s="34">
        <v>1.2473971244422399</v>
      </c>
      <c r="O155" s="34">
        <v>1.2477004313447799</v>
      </c>
      <c r="P155" s="34">
        <v>1.2475680975487999</v>
      </c>
      <c r="Q155" s="34">
        <v>1.2495272576474299</v>
      </c>
      <c r="R155" s="33">
        <v>25.166117700224401</v>
      </c>
      <c r="S155" s="33">
        <v>25.171964720882801</v>
      </c>
      <c r="T155" s="33">
        <v>25.202611932417899</v>
      </c>
      <c r="U155" s="15">
        <v>2.4312228060144201E-4</v>
      </c>
      <c r="V155" s="15">
        <v>4.7543230925003901E-4</v>
      </c>
      <c r="W155" s="15">
        <v>1.6922054258670599E-3</v>
      </c>
      <c r="X155" s="34">
        <v>1.24841248171717</v>
      </c>
      <c r="Y155" s="34">
        <v>1.2471244094690801</v>
      </c>
      <c r="Z155" s="34">
        <v>1.2480794651073399</v>
      </c>
      <c r="AA155" s="34">
        <v>1.2480112568275601</v>
      </c>
      <c r="AB155" s="33">
        <v>25.852689468388501</v>
      </c>
      <c r="AC155" s="33">
        <v>25.870641035928099</v>
      </c>
      <c r="AD155" s="33">
        <v>25.871236359514501</v>
      </c>
      <c r="AE155" s="15">
        <v>-1.0323007983018999E-3</v>
      </c>
      <c r="AF155" s="15">
        <v>-3.3816265656407598E-4</v>
      </c>
      <c r="AG155" s="15">
        <v>-3.1515136990721597E-4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5.8136258049148728E-3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2.2066527748765782E-3</v>
      </c>
      <c r="BE155" s="29">
        <f t="shared" si="62"/>
        <v>0</v>
      </c>
      <c r="BF155" s="29">
        <f t="shared" si="63"/>
        <v>8.0202785797914514E-3</v>
      </c>
      <c r="BH155" s="29"/>
    </row>
    <row r="156" spans="1:60" x14ac:dyDescent="0.25">
      <c r="A156" s="1">
        <v>46248</v>
      </c>
      <c r="B156" s="33">
        <v>20.12</v>
      </c>
      <c r="C156" s="33">
        <v>25.07</v>
      </c>
      <c r="D156" s="15">
        <v>-2.48200673458198E-3</v>
      </c>
      <c r="E156" s="15">
        <v>-3.5835196620377799E-3</v>
      </c>
      <c r="F156" s="33">
        <v>0</v>
      </c>
      <c r="G156" s="33">
        <v>0.55984</v>
      </c>
      <c r="H156" s="33">
        <v>0</v>
      </c>
      <c r="I156" s="33">
        <v>0.719391</v>
      </c>
      <c r="J156" s="33">
        <v>0.55984</v>
      </c>
      <c r="K156" s="33">
        <v>0.719391</v>
      </c>
      <c r="L156" s="33">
        <v>20.679839999999999</v>
      </c>
      <c r="M156" s="33">
        <v>25.789390999999998</v>
      </c>
      <c r="N156" s="34">
        <v>1.24602385685884</v>
      </c>
      <c r="O156" s="34">
        <v>1.2477004313447799</v>
      </c>
      <c r="P156" s="34">
        <v>1.24684580791001</v>
      </c>
      <c r="Q156" s="34">
        <v>1.2495128162720801</v>
      </c>
      <c r="R156" s="33">
        <v>25.103732678657099</v>
      </c>
      <c r="S156" s="33">
        <v>25.1010701226819</v>
      </c>
      <c r="T156" s="33">
        <v>25.140488423866199</v>
      </c>
      <c r="U156" s="15">
        <v>1.3446352080570699E-3</v>
      </c>
      <c r="V156" s="15">
        <v>1.23856742851784E-3</v>
      </c>
      <c r="W156" s="15">
        <v>2.8077189601478101E-3</v>
      </c>
      <c r="X156" s="34">
        <v>1.2470788458711399</v>
      </c>
      <c r="Y156" s="34">
        <v>1.2471244094690801</v>
      </c>
      <c r="Z156" s="34">
        <v>1.2478778606022201</v>
      </c>
      <c r="AA156" s="34">
        <v>1.2479727008763899</v>
      </c>
      <c r="AB156" s="33">
        <v>25.790333247915001</v>
      </c>
      <c r="AC156" s="33">
        <v>25.810083645705401</v>
      </c>
      <c r="AD156" s="33">
        <v>25.808673109392799</v>
      </c>
      <c r="AE156" s="15">
        <v>3.6535593352338998E-5</v>
      </c>
      <c r="AF156" s="15">
        <v>8.0204874010139302E-4</v>
      </c>
      <c r="AG156" s="15">
        <v>7.4739665618334897E-4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5.8136258049148728E-3</v>
      </c>
      <c r="AT156" s="12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2.2066527748765782E-3</v>
      </c>
      <c r="BE156" s="29">
        <f t="shared" si="62"/>
        <v>0</v>
      </c>
      <c r="BF156" s="29">
        <f t="shared" si="63"/>
        <v>8.0202785797914514E-3</v>
      </c>
      <c r="BH156" s="29"/>
    </row>
    <row r="157" spans="1:60" x14ac:dyDescent="0.25">
      <c r="A157" s="1">
        <v>46251</v>
      </c>
      <c r="B157" s="33">
        <v>20.04</v>
      </c>
      <c r="C157" s="33">
        <v>24.98</v>
      </c>
      <c r="D157" s="15">
        <v>-3.9840690148744496E-3</v>
      </c>
      <c r="E157" s="15">
        <v>-3.59640747277037E-3</v>
      </c>
      <c r="F157" s="33">
        <v>0</v>
      </c>
      <c r="G157" s="33">
        <v>0.55984</v>
      </c>
      <c r="H157" s="33">
        <v>0</v>
      </c>
      <c r="I157" s="33">
        <v>0.719391</v>
      </c>
      <c r="J157" s="33">
        <v>0.55984</v>
      </c>
      <c r="K157" s="33">
        <v>0.719391</v>
      </c>
      <c r="L157" s="33">
        <v>20.59984</v>
      </c>
      <c r="M157" s="33">
        <v>25.699390999999999</v>
      </c>
      <c r="N157" s="34">
        <v>1.2465069860279401</v>
      </c>
      <c r="O157" s="34">
        <v>1.2477004313447799</v>
      </c>
      <c r="P157" s="34">
        <v>1.24685738257055</v>
      </c>
      <c r="Q157" s="34">
        <v>1.24922666904226</v>
      </c>
      <c r="R157" s="33">
        <v>25.003916644149498</v>
      </c>
      <c r="S157" s="33">
        <v>24.986789990516701</v>
      </c>
      <c r="T157" s="33">
        <v>25.0402368380925</v>
      </c>
      <c r="U157" s="15">
        <v>9.56973665952846E-4</v>
      </c>
      <c r="V157" s="15">
        <v>2.7178013876037402E-4</v>
      </c>
      <c r="W157" s="15">
        <v>2.4084998800131701E-3</v>
      </c>
      <c r="X157" s="34">
        <v>1.2475529421587701</v>
      </c>
      <c r="Y157" s="34">
        <v>1.2471244094690801</v>
      </c>
      <c r="Z157" s="34">
        <v>1.24788937472101</v>
      </c>
      <c r="AA157" s="34">
        <v>1.2479434706892301</v>
      </c>
      <c r="AB157" s="33">
        <v>25.690563295157499</v>
      </c>
      <c r="AC157" s="33">
        <v>25.706084267948</v>
      </c>
      <c r="AD157" s="33">
        <v>25.7080379624215</v>
      </c>
      <c r="AE157" s="15">
        <v>-3.4355760966756597E-4</v>
      </c>
      <c r="AF157" s="15">
        <v>2.6041070337377397E-4</v>
      </c>
      <c r="AG157" s="15">
        <v>3.3640906295393999E-4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5.8136258049148728E-3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2.2066527748765782E-3</v>
      </c>
      <c r="BE157" s="29">
        <f t="shared" si="62"/>
        <v>0</v>
      </c>
      <c r="BF157" s="29">
        <f t="shared" si="63"/>
        <v>8.0202785797914514E-3</v>
      </c>
      <c r="BH157" s="29"/>
    </row>
    <row r="158" spans="1:60" x14ac:dyDescent="0.25">
      <c r="A158" s="1">
        <v>46252</v>
      </c>
      <c r="B158" s="33">
        <v>20.07</v>
      </c>
      <c r="C158" s="33">
        <v>25.01</v>
      </c>
      <c r="D158" s="15">
        <v>1.4958865915827E-3</v>
      </c>
      <c r="E158" s="15">
        <v>1.20024019209615E-3</v>
      </c>
      <c r="F158" s="33">
        <v>0</v>
      </c>
      <c r="G158" s="33">
        <v>0.55984</v>
      </c>
      <c r="H158" s="33">
        <v>0</v>
      </c>
      <c r="I158" s="33">
        <v>0.719391</v>
      </c>
      <c r="J158" s="33">
        <v>0.55984</v>
      </c>
      <c r="K158" s="33">
        <v>0.719391</v>
      </c>
      <c r="L158" s="33">
        <v>20.629840000000002</v>
      </c>
      <c r="M158" s="33">
        <v>25.729391</v>
      </c>
      <c r="N158" s="34">
        <v>1.2461385151968101</v>
      </c>
      <c r="O158" s="34">
        <v>1.2477004313447799</v>
      </c>
      <c r="P158" s="34">
        <v>1.2467682637932</v>
      </c>
      <c r="Q158" s="34">
        <v>1.2489404502417401</v>
      </c>
      <c r="R158" s="33">
        <v>25.041347657089901</v>
      </c>
      <c r="S158" s="33">
        <v>25.024427668190899</v>
      </c>
      <c r="T158" s="33">
        <v>25.071979247678101</v>
      </c>
      <c r="U158" s="15">
        <v>1.2526200654395601E-3</v>
      </c>
      <c r="V158" s="15">
        <v>5.7670964826514101E-4</v>
      </c>
      <c r="W158" s="15">
        <v>2.4751130147242901E-3</v>
      </c>
      <c r="X158" s="34">
        <v>1.2471929496302401</v>
      </c>
      <c r="Y158" s="34">
        <v>1.2471244094690801</v>
      </c>
      <c r="Z158" s="34">
        <v>1.24780331954646</v>
      </c>
      <c r="AA158" s="34">
        <v>1.2479145907582501</v>
      </c>
      <c r="AB158" s="33">
        <v>25.7279770274416</v>
      </c>
      <c r="AC158" s="33">
        <v>25.743758138194501</v>
      </c>
      <c r="AD158" s="33">
        <v>25.744874129363499</v>
      </c>
      <c r="AE158" s="15">
        <v>-5.4957049415655998E-5</v>
      </c>
      <c r="AF158" s="15">
        <v>5.5823818080697797E-4</v>
      </c>
      <c r="AG158" s="15">
        <v>6.0158721223312203E-4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5.8136258049148728E-3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2.2066527748765782E-3</v>
      </c>
      <c r="BE158" s="29">
        <f t="shared" si="62"/>
        <v>0</v>
      </c>
      <c r="BF158" s="29">
        <f t="shared" si="63"/>
        <v>8.0202785797914514E-3</v>
      </c>
      <c r="BH158" s="29"/>
    </row>
    <row r="159" spans="1:60" x14ac:dyDescent="0.25">
      <c r="A159" s="1">
        <v>46253</v>
      </c>
      <c r="B159" s="33">
        <v>20.16</v>
      </c>
      <c r="C159" s="33">
        <v>25.14</v>
      </c>
      <c r="D159" s="15">
        <v>4.4742803949210999E-3</v>
      </c>
      <c r="E159" s="15">
        <v>5.1844582725736003E-3</v>
      </c>
      <c r="F159" s="33">
        <v>0</v>
      </c>
      <c r="G159" s="33">
        <v>0.55984</v>
      </c>
      <c r="H159" s="33">
        <v>0</v>
      </c>
      <c r="I159" s="33">
        <v>0.719391</v>
      </c>
      <c r="J159" s="33">
        <v>0.55984</v>
      </c>
      <c r="K159" s="33">
        <v>0.719391</v>
      </c>
      <c r="L159" s="33">
        <v>20.719840000000001</v>
      </c>
      <c r="M159" s="33">
        <v>25.859390999999999</v>
      </c>
      <c r="N159" s="34">
        <v>1.2470238095238</v>
      </c>
      <c r="O159" s="34">
        <v>1.2477004313447799</v>
      </c>
      <c r="P159" s="34">
        <v>1.2467798975907001</v>
      </c>
      <c r="Q159" s="34">
        <v>1.2486734226990099</v>
      </c>
      <c r="R159" s="33">
        <v>25.153640695910902</v>
      </c>
      <c r="S159" s="33">
        <v>25.134848198070902</v>
      </c>
      <c r="T159" s="33">
        <v>25.178639476873499</v>
      </c>
      <c r="U159" s="15">
        <v>5.4244218778708099E-4</v>
      </c>
      <c r="V159" s="15">
        <v>-2.0494549985622E-4</v>
      </c>
      <c r="W159" s="15">
        <v>1.53579209891368E-3</v>
      </c>
      <c r="X159" s="34">
        <v>1.2480497436273601</v>
      </c>
      <c r="Y159" s="34">
        <v>1.2471244094690801</v>
      </c>
      <c r="Z159" s="34">
        <v>1.2478148867380301</v>
      </c>
      <c r="AA159" s="34">
        <v>1.2479045531936599</v>
      </c>
      <c r="AB159" s="33">
        <v>25.8402182242938</v>
      </c>
      <c r="AC159" s="33">
        <v>25.854285132471599</v>
      </c>
      <c r="AD159" s="33">
        <v>25.8565906541765</v>
      </c>
      <c r="AE159" s="15">
        <v>-7.4169909106771897E-4</v>
      </c>
      <c r="AF159" s="15">
        <v>-1.97466818328426E-4</v>
      </c>
      <c r="AG159" s="15">
        <v>-1.08297115772258E-4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5.8136258049148728E-3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2.2066527748765782E-3</v>
      </c>
      <c r="BE159" s="29">
        <f t="shared" si="62"/>
        <v>0</v>
      </c>
      <c r="BF159" s="29">
        <f t="shared" si="63"/>
        <v>8.0202785797914514E-3</v>
      </c>
      <c r="BH159" s="29"/>
    </row>
    <row r="160" spans="1:60" x14ac:dyDescent="0.25">
      <c r="A160" s="1">
        <v>46254</v>
      </c>
      <c r="B160" s="33">
        <v>20.07</v>
      </c>
      <c r="C160" s="33">
        <v>25.02</v>
      </c>
      <c r="D160" s="15">
        <v>-4.4742803949210704E-3</v>
      </c>
      <c r="E160" s="15">
        <v>-4.7846981233362696E-3</v>
      </c>
      <c r="F160" s="33">
        <v>0</v>
      </c>
      <c r="G160" s="33">
        <v>0.55984</v>
      </c>
      <c r="H160" s="33">
        <v>0</v>
      </c>
      <c r="I160" s="33">
        <v>0.719391</v>
      </c>
      <c r="J160" s="33">
        <v>0.55984</v>
      </c>
      <c r="K160" s="33">
        <v>0.719391</v>
      </c>
      <c r="L160" s="33">
        <v>20.629840000000002</v>
      </c>
      <c r="M160" s="33">
        <v>25.739391000000001</v>
      </c>
      <c r="N160" s="34">
        <v>1.24663677130044</v>
      </c>
      <c r="O160" s="34">
        <v>1.2477004313447799</v>
      </c>
      <c r="P160" s="34">
        <v>1.2467663155350499</v>
      </c>
      <c r="Q160" s="34">
        <v>1.24838026126404</v>
      </c>
      <c r="R160" s="33">
        <v>25.041347657089901</v>
      </c>
      <c r="S160" s="33">
        <v>25.022872544645502</v>
      </c>
      <c r="T160" s="33">
        <v>25.0608755935693</v>
      </c>
      <c r="U160" s="15">
        <v>8.5285991620230399E-4</v>
      </c>
      <c r="V160" s="15">
        <v>1.14803347714651E-4</v>
      </c>
      <c r="W160" s="15">
        <v>1.6323837058175199E-3</v>
      </c>
      <c r="X160" s="34">
        <v>1.2476776843640001</v>
      </c>
      <c r="Y160" s="34">
        <v>1.2471244094690801</v>
      </c>
      <c r="Z160" s="34">
        <v>1.24780202401979</v>
      </c>
      <c r="AA160" s="34">
        <v>1.2478702157720101</v>
      </c>
      <c r="AB160" s="33">
        <v>25.7279770274416</v>
      </c>
      <c r="AC160" s="33">
        <v>25.7422214630237</v>
      </c>
      <c r="AD160" s="33">
        <v>25.7440712676568</v>
      </c>
      <c r="AE160" s="15">
        <v>-4.435421193258E-4</v>
      </c>
      <c r="AF160" s="15">
        <v>1.0996015436150001E-4</v>
      </c>
      <c r="AG160" s="15">
        <v>1.81816352808855E-4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5.8136258049148728E-3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2.2066527748765782E-3</v>
      </c>
      <c r="BE160" s="29">
        <f t="shared" si="62"/>
        <v>0</v>
      </c>
      <c r="BF160" s="29">
        <f t="shared" si="63"/>
        <v>8.0202785797914514E-3</v>
      </c>
      <c r="BH160" s="29"/>
    </row>
    <row r="161" spans="1:60" x14ac:dyDescent="0.25">
      <c r="A161" s="1">
        <v>46255</v>
      </c>
      <c r="B161" s="33">
        <v>20.05</v>
      </c>
      <c r="C161" s="33">
        <v>25</v>
      </c>
      <c r="D161" s="15">
        <v>-9.9700905566852197E-4</v>
      </c>
      <c r="E161" s="15">
        <v>-7.9968017056429E-4</v>
      </c>
      <c r="F161" s="33">
        <v>0</v>
      </c>
      <c r="G161" s="33">
        <v>0.55984</v>
      </c>
      <c r="H161" s="33">
        <v>0</v>
      </c>
      <c r="I161" s="33">
        <v>0.719391</v>
      </c>
      <c r="J161" s="33">
        <v>0.55984</v>
      </c>
      <c r="K161" s="33">
        <v>0.719391</v>
      </c>
      <c r="L161" s="33">
        <v>20.609839999999998</v>
      </c>
      <c r="M161" s="33">
        <v>25.719391000000002</v>
      </c>
      <c r="N161" s="34">
        <v>1.24688279301745</v>
      </c>
      <c r="O161" s="34">
        <v>1.2477004313447799</v>
      </c>
      <c r="P161" s="34">
        <v>1.24670261070981</v>
      </c>
      <c r="Q161" s="34">
        <v>1.24814327260737</v>
      </c>
      <c r="R161" s="33">
        <v>25.016393648463001</v>
      </c>
      <c r="S161" s="33">
        <v>24.9976646264778</v>
      </c>
      <c r="T161" s="33">
        <v>25.030024238344001</v>
      </c>
      <c r="U161" s="15">
        <v>6.5553103109794995E-4</v>
      </c>
      <c r="V161" s="15">
        <v>-9.3419304334104597E-5</v>
      </c>
      <c r="W161" s="15">
        <v>1.2002489467289701E-3</v>
      </c>
      <c r="X161" s="34">
        <v>1.24791803332776</v>
      </c>
      <c r="Y161" s="34">
        <v>1.2471244094690801</v>
      </c>
      <c r="Z161" s="34">
        <v>1.2477405900688801</v>
      </c>
      <c r="AA161" s="34">
        <v>1.2478902733327599</v>
      </c>
      <c r="AB161" s="33">
        <v>25.703034539252201</v>
      </c>
      <c r="AC161" s="33">
        <v>25.717000066724101</v>
      </c>
      <c r="AD161" s="33">
        <v>25.718405487826601</v>
      </c>
      <c r="AE161" s="15">
        <v>-6.3616062944764796E-4</v>
      </c>
      <c r="AF161" s="15">
        <v>-9.2966603136567495E-5</v>
      </c>
      <c r="AG161" s="15">
        <v>-3.8318599971042399E-5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5.8136258049148728E-3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2.2066527748765782E-3</v>
      </c>
      <c r="BE161" s="29">
        <f t="shared" si="62"/>
        <v>0</v>
      </c>
      <c r="BF161" s="29">
        <f t="shared" si="63"/>
        <v>8.0202785797914514E-3</v>
      </c>
      <c r="BH161" s="29"/>
    </row>
    <row r="162" spans="1:60" x14ac:dyDescent="0.25">
      <c r="A162" s="1">
        <v>46258</v>
      </c>
      <c r="B162" s="33">
        <v>20</v>
      </c>
      <c r="C162" s="33">
        <v>25.05</v>
      </c>
      <c r="D162" s="15">
        <v>-2.4968801985872599E-3</v>
      </c>
      <c r="E162" s="15">
        <v>1.9980026626730501E-3</v>
      </c>
      <c r="F162" s="33">
        <v>9.3899999999999997E-2</v>
      </c>
      <c r="G162" s="33">
        <v>0.65373999999999999</v>
      </c>
      <c r="H162" s="33">
        <v>0</v>
      </c>
      <c r="I162" s="33">
        <v>0.719391</v>
      </c>
      <c r="J162" s="33">
        <v>0.65373999999999999</v>
      </c>
      <c r="K162" s="33">
        <v>0.719391</v>
      </c>
      <c r="L162" s="33">
        <v>20.653739999999999</v>
      </c>
      <c r="M162" s="33">
        <v>25.769390999999999</v>
      </c>
      <c r="N162" s="34">
        <v>1.2524999999999999</v>
      </c>
      <c r="O162" s="34">
        <v>1.2477004313447799</v>
      </c>
      <c r="P162" s="34">
        <v>1.2472391079694001</v>
      </c>
      <c r="Q162" s="34">
        <v>1.24813118387357</v>
      </c>
      <c r="R162" s="33">
        <v>24.9540086268957</v>
      </c>
      <c r="S162" s="33">
        <v>24.934052214196299</v>
      </c>
      <c r="T162" s="33">
        <v>24.962865452147501</v>
      </c>
      <c r="U162" s="15">
        <v>-3.8393518301623498E-3</v>
      </c>
      <c r="V162" s="15">
        <v>-4.63939951401654E-3</v>
      </c>
      <c r="W162" s="15">
        <v>-3.48448885013472E-3</v>
      </c>
      <c r="X162" s="34">
        <v>1.24768642386318</v>
      </c>
      <c r="Y162" s="34">
        <v>1.2471244094690801</v>
      </c>
      <c r="Z162" s="34">
        <v>1.2476929905454299</v>
      </c>
      <c r="AA162" s="34">
        <v>1.24784401068046</v>
      </c>
      <c r="AB162" s="33">
        <v>25.757783300827899</v>
      </c>
      <c r="AC162" s="33">
        <v>25.770509734729401</v>
      </c>
      <c r="AD162" s="33">
        <v>25.773601253943799</v>
      </c>
      <c r="AE162" s="15">
        <v>-4.5054670767166901E-4</v>
      </c>
      <c r="AF162" s="15">
        <v>4.3412374243559499E-5</v>
      </c>
      <c r="AG162" s="15">
        <v>1.63368627589086E-4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5.8136258049148728E-3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2.2066527748765782E-3</v>
      </c>
      <c r="BE162" s="29">
        <f t="shared" si="62"/>
        <v>0</v>
      </c>
      <c r="BF162" s="29">
        <f t="shared" si="63"/>
        <v>8.0202785797914514E-3</v>
      </c>
      <c r="BH162" s="29"/>
    </row>
    <row r="163" spans="1:60" x14ac:dyDescent="0.25">
      <c r="A163" s="1">
        <v>46259</v>
      </c>
      <c r="B163" s="33">
        <v>20.12</v>
      </c>
      <c r="C163" s="33">
        <v>25.19</v>
      </c>
      <c r="D163" s="15">
        <v>5.9820716775474602E-3</v>
      </c>
      <c r="E163" s="15">
        <v>5.5732628336449402E-3</v>
      </c>
      <c r="F163" s="33">
        <v>0</v>
      </c>
      <c r="G163" s="33">
        <v>0.65373999999999999</v>
      </c>
      <c r="H163" s="33">
        <v>0</v>
      </c>
      <c r="I163" s="33">
        <v>0.719391</v>
      </c>
      <c r="J163" s="33">
        <v>0.65373999999999999</v>
      </c>
      <c r="K163" s="33">
        <v>0.719391</v>
      </c>
      <c r="L163" s="33">
        <v>20.77374</v>
      </c>
      <c r="M163" s="33">
        <v>25.909390999999999</v>
      </c>
      <c r="N163" s="34">
        <v>1.25198807157057</v>
      </c>
      <c r="O163" s="34">
        <v>1.2477004313447799</v>
      </c>
      <c r="P163" s="34">
        <v>1.24772441238605</v>
      </c>
      <c r="Q163" s="34">
        <v>1.24813118387357</v>
      </c>
      <c r="R163" s="33">
        <v>25.103732678657099</v>
      </c>
      <c r="S163" s="33">
        <v>25.094450852344401</v>
      </c>
      <c r="T163" s="33">
        <v>25.112399419536299</v>
      </c>
      <c r="U163" s="15">
        <v>-3.4305429862597002E-3</v>
      </c>
      <c r="V163" s="15">
        <v>-3.80035024881737E-3</v>
      </c>
      <c r="W163" s="15">
        <v>-3.0853654266531001E-3</v>
      </c>
      <c r="X163" s="34">
        <v>1.2472184113212099</v>
      </c>
      <c r="Y163" s="34">
        <v>1.2471244094690801</v>
      </c>
      <c r="Z163" s="34">
        <v>1.2475985897677699</v>
      </c>
      <c r="AA163" s="34">
        <v>1.2478104132038199</v>
      </c>
      <c r="AB163" s="33">
        <v>25.9074382299642</v>
      </c>
      <c r="AC163" s="33">
        <v>25.9192497854132</v>
      </c>
      <c r="AD163" s="33">
        <v>25.922387038433101</v>
      </c>
      <c r="AE163" s="15">
        <v>-7.53720389969554E-5</v>
      </c>
      <c r="AF163" s="15">
        <v>3.8043774186340601E-4</v>
      </c>
      <c r="AG163" s="15">
        <v>5.0146991661425503E-4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5.8136258049148728E-3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2.2066527748765782E-3</v>
      </c>
      <c r="BE163" s="29">
        <f t="shared" si="62"/>
        <v>0</v>
      </c>
      <c r="BF163" s="29">
        <f t="shared" si="63"/>
        <v>8.0202785797914514E-3</v>
      </c>
      <c r="BH163" s="29"/>
    </row>
    <row r="164" spans="1:60" x14ac:dyDescent="0.25">
      <c r="A164" s="1">
        <v>46260</v>
      </c>
      <c r="B164" s="33">
        <v>20.09</v>
      </c>
      <c r="C164" s="33">
        <v>25.16</v>
      </c>
      <c r="D164" s="15">
        <v>-1.49216640469545E-3</v>
      </c>
      <c r="E164" s="15">
        <v>-1.1916585322791001E-3</v>
      </c>
      <c r="F164" s="33">
        <v>0</v>
      </c>
      <c r="G164" s="33">
        <v>0.65373999999999999</v>
      </c>
      <c r="H164" s="33">
        <v>0</v>
      </c>
      <c r="I164" s="33">
        <v>0.719391</v>
      </c>
      <c r="J164" s="33">
        <v>0.65373999999999999</v>
      </c>
      <c r="K164" s="33">
        <v>0.719391</v>
      </c>
      <c r="L164" s="33">
        <v>20.743739999999999</v>
      </c>
      <c r="M164" s="33">
        <v>25.879390999999998</v>
      </c>
      <c r="N164" s="34">
        <v>1.2523643603782899</v>
      </c>
      <c r="O164" s="34">
        <v>1.2477004313447799</v>
      </c>
      <c r="P164" s="34">
        <v>1.24834622883164</v>
      </c>
      <c r="Q164" s="34">
        <v>1.24816827358495</v>
      </c>
      <c r="R164" s="33">
        <v>25.0663016657168</v>
      </c>
      <c r="S164" s="33">
        <v>25.066783444835799</v>
      </c>
      <c r="T164" s="33">
        <v>25.074955484020101</v>
      </c>
      <c r="U164" s="15">
        <v>-3.7310508586760999E-3</v>
      </c>
      <c r="V164" s="15">
        <v>-3.7118308518484101E-3</v>
      </c>
      <c r="W164" s="15">
        <v>-3.3858732990696199E-3</v>
      </c>
      <c r="X164" s="34">
        <v>1.24757594339304</v>
      </c>
      <c r="Y164" s="34">
        <v>1.2471244094690801</v>
      </c>
      <c r="Z164" s="34">
        <v>1.24763634592739</v>
      </c>
      <c r="AA164" s="34">
        <v>1.2478133662678399</v>
      </c>
      <c r="AB164" s="33">
        <v>25.870024497680099</v>
      </c>
      <c r="AC164" s="33">
        <v>25.8798607705093</v>
      </c>
      <c r="AD164" s="33">
        <v>25.884254780792698</v>
      </c>
      <c r="AE164" s="15">
        <v>-3.6199452040416998E-4</v>
      </c>
      <c r="AF164" s="15">
        <v>1.8152136799301699E-5</v>
      </c>
      <c r="AG164" s="15">
        <v>1.87922652422786E-4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5.8136258049148728E-3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2.2066527748765782E-3</v>
      </c>
      <c r="BE164" s="29">
        <f t="shared" si="62"/>
        <v>0</v>
      </c>
      <c r="BF164" s="29">
        <f t="shared" si="63"/>
        <v>8.0202785797914514E-3</v>
      </c>
      <c r="BH164" s="29"/>
    </row>
    <row r="165" spans="1:60" x14ac:dyDescent="0.25">
      <c r="A165" s="1">
        <v>46261</v>
      </c>
      <c r="B165" s="33">
        <v>20.07</v>
      </c>
      <c r="C165" s="33">
        <v>25.15</v>
      </c>
      <c r="D165" s="15">
        <v>-9.9601601859621611E-4</v>
      </c>
      <c r="E165" s="15">
        <v>-3.97535286491591E-4</v>
      </c>
      <c r="F165" s="33">
        <v>0</v>
      </c>
      <c r="G165" s="33">
        <v>0.65373999999999999</v>
      </c>
      <c r="H165" s="33">
        <v>0</v>
      </c>
      <c r="I165" s="33">
        <v>0.719391</v>
      </c>
      <c r="J165" s="33">
        <v>0.65373999999999999</v>
      </c>
      <c r="K165" s="33">
        <v>0.719391</v>
      </c>
      <c r="L165" s="33">
        <v>20.723739999999999</v>
      </c>
      <c r="M165" s="33">
        <v>25.869391</v>
      </c>
      <c r="N165" s="34">
        <v>1.25311410064773</v>
      </c>
      <c r="O165" s="34">
        <v>1.2477004313447799</v>
      </c>
      <c r="P165" s="34">
        <v>1.2489179264521899</v>
      </c>
      <c r="Q165" s="34">
        <v>1.2482430120004899</v>
      </c>
      <c r="R165" s="33">
        <v>25.041347657089901</v>
      </c>
      <c r="S165" s="33">
        <v>25.054308812651001</v>
      </c>
      <c r="T165" s="33">
        <v>25.050737250849998</v>
      </c>
      <c r="U165" s="15">
        <v>-4.3295315907807396E-3</v>
      </c>
      <c r="V165" s="15">
        <v>-3.8120753175732301E-3</v>
      </c>
      <c r="W165" s="15">
        <v>-3.9546382763049996E-3</v>
      </c>
      <c r="X165" s="34">
        <v>1.2482974115676</v>
      </c>
      <c r="Y165" s="34">
        <v>1.2471244094690801</v>
      </c>
      <c r="Z165" s="34">
        <v>1.24762483891243</v>
      </c>
      <c r="AA165" s="34">
        <v>1.24785215200989</v>
      </c>
      <c r="AB165" s="33">
        <v>25.845082009490699</v>
      </c>
      <c r="AC165" s="33">
        <v>25.855691247549299</v>
      </c>
      <c r="AD165" s="33">
        <v>25.859359771059498</v>
      </c>
      <c r="AE165" s="15">
        <v>-9.4012336914646802E-4</v>
      </c>
      <c r="AF165" s="15">
        <v>-5.2971410293483701E-4</v>
      </c>
      <c r="AG165" s="15">
        <v>-3.8783960241253702E-4</v>
      </c>
      <c r="AI165" s="12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5.8136258049148728E-3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2.2066527748765782E-3</v>
      </c>
      <c r="BE165" s="29">
        <f t="shared" si="62"/>
        <v>0</v>
      </c>
      <c r="BF165" s="29">
        <f t="shared" si="63"/>
        <v>8.0202785797914514E-3</v>
      </c>
      <c r="BH165" s="29"/>
    </row>
    <row r="166" spans="1:60" x14ac:dyDescent="0.25">
      <c r="A166" s="1">
        <v>46262</v>
      </c>
      <c r="B166" s="33">
        <v>20.02</v>
      </c>
      <c r="C166" s="33">
        <v>25.06</v>
      </c>
      <c r="D166" s="15">
        <v>-2.4943889211722602E-3</v>
      </c>
      <c r="E166" s="15">
        <v>-3.5849470778259898E-3</v>
      </c>
      <c r="F166" s="33">
        <v>0</v>
      </c>
      <c r="G166" s="33">
        <v>0.65373999999999999</v>
      </c>
      <c r="H166" s="33">
        <v>0</v>
      </c>
      <c r="I166" s="33">
        <v>0.719391</v>
      </c>
      <c r="J166" s="33">
        <v>0.65373999999999999</v>
      </c>
      <c r="K166" s="33">
        <v>0.719391</v>
      </c>
      <c r="L166" s="33">
        <v>20.673739999999999</v>
      </c>
      <c r="M166" s="33">
        <v>25.779391</v>
      </c>
      <c r="N166" s="34">
        <v>1.2517482517482501</v>
      </c>
      <c r="O166" s="34">
        <v>1.2477004313447799</v>
      </c>
      <c r="P166" s="34">
        <v>1.2494903659411301</v>
      </c>
      <c r="Q166" s="34">
        <v>1.24816808692557</v>
      </c>
      <c r="R166" s="33">
        <v>24.978962635522599</v>
      </c>
      <c r="S166" s="33">
        <v>25.0033368875728</v>
      </c>
      <c r="T166" s="33">
        <v>24.989825100249998</v>
      </c>
      <c r="U166" s="15">
        <v>-3.23897343412717E-3</v>
      </c>
      <c r="V166" s="15">
        <v>-2.2636580038682399E-3</v>
      </c>
      <c r="W166" s="15">
        <v>-2.8042034350686802E-3</v>
      </c>
      <c r="X166" s="34">
        <v>1.2469631039183</v>
      </c>
      <c r="Y166" s="34">
        <v>1.2471244094690801</v>
      </c>
      <c r="Z166" s="34">
        <v>1.2476132647171501</v>
      </c>
      <c r="AA166" s="34">
        <v>1.2477455626596801</v>
      </c>
      <c r="AB166" s="33">
        <v>25.782725789017299</v>
      </c>
      <c r="AC166" s="33">
        <v>25.7930715372175</v>
      </c>
      <c r="AD166" s="33">
        <v>25.7977709490929</v>
      </c>
      <c r="AE166" s="15">
        <v>1.2935035369484999E-4</v>
      </c>
      <c r="AF166" s="15">
        <v>5.3053652532430995E-4</v>
      </c>
      <c r="AG166" s="15">
        <v>7.1271660465212195E-4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5.8136258049148728E-3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2.2066527748765782E-3</v>
      </c>
      <c r="BE166" s="29">
        <f t="shared" si="62"/>
        <v>0</v>
      </c>
      <c r="BF166" s="29">
        <f t="shared" si="63"/>
        <v>8.0202785797914514E-3</v>
      </c>
      <c r="BH166" s="29"/>
    </row>
    <row r="167" spans="1:60" x14ac:dyDescent="0.25">
      <c r="A167" s="1">
        <v>46265</v>
      </c>
      <c r="B167" s="33">
        <v>19.98</v>
      </c>
      <c r="C167" s="33">
        <v>25.03</v>
      </c>
      <c r="D167" s="15">
        <v>-2.0000006666669899E-3</v>
      </c>
      <c r="E167" s="15">
        <v>-1.19784402423929E-3</v>
      </c>
      <c r="F167" s="33">
        <v>0</v>
      </c>
      <c r="G167" s="33">
        <v>0.65373999999999999</v>
      </c>
      <c r="H167" s="33">
        <v>0</v>
      </c>
      <c r="I167" s="33">
        <v>0.719391</v>
      </c>
      <c r="J167" s="33">
        <v>0.65373999999999999</v>
      </c>
      <c r="K167" s="33">
        <v>0.719391</v>
      </c>
      <c r="L167" s="33">
        <v>20.63374</v>
      </c>
      <c r="M167" s="33">
        <v>25.749390999999999</v>
      </c>
      <c r="N167" s="34">
        <v>1.25275275275275</v>
      </c>
      <c r="O167" s="34">
        <v>1.2477004313447799</v>
      </c>
      <c r="P167" s="34">
        <v>1.25011494261361</v>
      </c>
      <c r="Q167" s="34">
        <v>1.24848616259208</v>
      </c>
      <c r="R167" s="33">
        <v>24.9290546182689</v>
      </c>
      <c r="S167" s="33">
        <v>24.964817511503799</v>
      </c>
      <c r="T167" s="33">
        <v>24.938398376772899</v>
      </c>
      <c r="U167" s="15">
        <v>-4.0411300765547898E-3</v>
      </c>
      <c r="V167" s="15">
        <v>-2.6075712913564801E-3</v>
      </c>
      <c r="W167" s="15">
        <v>-3.66638630873673E-3</v>
      </c>
      <c r="X167" s="34">
        <v>1.2479265029025199</v>
      </c>
      <c r="Y167" s="34">
        <v>1.2471244094690801</v>
      </c>
      <c r="Z167" s="34">
        <v>1.2476506207915199</v>
      </c>
      <c r="AA167" s="34">
        <v>1.24776999775627</v>
      </c>
      <c r="AB167" s="33">
        <v>25.7328408126385</v>
      </c>
      <c r="AC167" s="33">
        <v>25.742927724724801</v>
      </c>
      <c r="AD167" s="33">
        <v>25.7456575260736</v>
      </c>
      <c r="AE167" s="15">
        <v>-6.4294757040907603E-4</v>
      </c>
      <c r="AF167" s="15">
        <v>-2.5103842550302E-4</v>
      </c>
      <c r="AG167" s="15">
        <v>-1.45003220299014E-4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5.8136258049148728E-3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2.2066527748765782E-3</v>
      </c>
      <c r="BE167" s="29">
        <f t="shared" si="62"/>
        <v>0</v>
      </c>
      <c r="BF167" s="29">
        <f t="shared" si="63"/>
        <v>8.0202785797914514E-3</v>
      </c>
      <c r="BH167" s="29"/>
    </row>
    <row r="168" spans="1:60" x14ac:dyDescent="0.25">
      <c r="A168" s="1">
        <v>46266</v>
      </c>
      <c r="B168" s="33">
        <v>19.89</v>
      </c>
      <c r="C168" s="33">
        <v>24.82</v>
      </c>
      <c r="D168" s="15">
        <v>-4.5146803545265801E-3</v>
      </c>
      <c r="E168" s="15">
        <v>-8.4253256672216798E-3</v>
      </c>
      <c r="F168" s="33">
        <v>0</v>
      </c>
      <c r="G168" s="33">
        <v>0.65373999999999999</v>
      </c>
      <c r="H168" s="33">
        <v>0.10022300000000001</v>
      </c>
      <c r="I168" s="33">
        <v>0.81961399999999995</v>
      </c>
      <c r="J168" s="33">
        <v>0.65373999999999999</v>
      </c>
      <c r="K168" s="33">
        <v>0.81961399999999995</v>
      </c>
      <c r="L168" s="33">
        <v>20.54374</v>
      </c>
      <c r="M168" s="33">
        <v>25.639614000000002</v>
      </c>
      <c r="N168" s="34">
        <v>1.2478632478632401</v>
      </c>
      <c r="O168" s="34">
        <v>1.2477004313447799</v>
      </c>
      <c r="P168" s="34">
        <v>1.2502874158802499</v>
      </c>
      <c r="Q168" s="34">
        <v>1.2485278398367201</v>
      </c>
      <c r="R168" s="33">
        <v>24.8167615794478</v>
      </c>
      <c r="S168" s="33">
        <v>24.8647862085847</v>
      </c>
      <c r="T168" s="33">
        <v>24.8323897739565</v>
      </c>
      <c r="U168" s="15">
        <v>-1.30484763859725E-4</v>
      </c>
      <c r="V168" s="15">
        <v>1.80281426700225E-3</v>
      </c>
      <c r="W168" s="15">
        <v>4.9906053948554603E-4</v>
      </c>
      <c r="X168" s="34">
        <v>1.2480499655856201</v>
      </c>
      <c r="Y168" s="34">
        <v>1.2471244094690801</v>
      </c>
      <c r="Z168" s="34">
        <v>1.2477363223870599</v>
      </c>
      <c r="AA168" s="34">
        <v>1.24776982096676</v>
      </c>
      <c r="AB168" s="33">
        <v>25.620599615786301</v>
      </c>
      <c r="AC168" s="33">
        <v>25.631409964379699</v>
      </c>
      <c r="AD168" s="33">
        <v>25.633862413705302</v>
      </c>
      <c r="AE168" s="15">
        <v>-7.4187693513291504E-4</v>
      </c>
      <c r="AF168" s="15">
        <v>-3.2002620801995603E-4</v>
      </c>
      <c r="AG168" s="15">
        <v>-2.2434937987527101E-4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5.8136258049148728E-3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2.2066527748765782E-3</v>
      </c>
      <c r="BE168" s="29">
        <f t="shared" si="62"/>
        <v>0</v>
      </c>
      <c r="BF168" s="29">
        <f t="shared" si="63"/>
        <v>8.0202785797914514E-3</v>
      </c>
      <c r="BH168" s="29"/>
    </row>
    <row r="169" spans="1:60" x14ac:dyDescent="0.25">
      <c r="A169" s="1">
        <v>46267</v>
      </c>
      <c r="B169" s="33">
        <v>19.91</v>
      </c>
      <c r="C169" s="33">
        <v>24.83</v>
      </c>
      <c r="D169" s="15">
        <v>1.00502521022408E-3</v>
      </c>
      <c r="E169" s="15">
        <v>4.0281974361409099E-4</v>
      </c>
      <c r="F169" s="33">
        <v>0</v>
      </c>
      <c r="G169" s="33">
        <v>0.65373999999999999</v>
      </c>
      <c r="H169" s="33">
        <v>0</v>
      </c>
      <c r="I169" s="33">
        <v>0.81961399999999995</v>
      </c>
      <c r="J169" s="33">
        <v>0.65373999999999999</v>
      </c>
      <c r="K169" s="33">
        <v>0.81961399999999995</v>
      </c>
      <c r="L169" s="33">
        <v>20.563739999999999</v>
      </c>
      <c r="M169" s="33">
        <v>25.649614</v>
      </c>
      <c r="N169" s="34">
        <v>1.2471120040180801</v>
      </c>
      <c r="O169" s="34">
        <v>1.2477004313447799</v>
      </c>
      <c r="P169" s="34">
        <v>1.25029623532968</v>
      </c>
      <c r="Q169" s="34">
        <v>1.2485380664601899</v>
      </c>
      <c r="R169" s="33">
        <v>24.841715588074699</v>
      </c>
      <c r="S169" s="33">
        <v>24.893222450175902</v>
      </c>
      <c r="T169" s="33">
        <v>24.858189291149198</v>
      </c>
      <c r="U169" s="15">
        <v>4.71720702750402E-4</v>
      </c>
      <c r="V169" s="15">
        <v>2.54297614397247E-3</v>
      </c>
      <c r="W169" s="15">
        <v>1.1346476728470499E-3</v>
      </c>
      <c r="X169" s="34">
        <v>1.24732242286665</v>
      </c>
      <c r="Y169" s="34">
        <v>1.2471244094690801</v>
      </c>
      <c r="Z169" s="34">
        <v>1.2476635903109901</v>
      </c>
      <c r="AA169" s="34">
        <v>1.2477392385245101</v>
      </c>
      <c r="AB169" s="33">
        <v>25.6455421039757</v>
      </c>
      <c r="AC169" s="33">
        <v>25.658125322123698</v>
      </c>
      <c r="AD169" s="33">
        <v>25.658814178207098</v>
      </c>
      <c r="AE169" s="15">
        <v>-1.5876337424878601E-4</v>
      </c>
      <c r="AF169" s="15">
        <v>3.3177537401953499E-4</v>
      </c>
      <c r="AG169" s="15">
        <v>3.5862249662948098E-4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5.8136258049148728E-3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2.2066527748765782E-3</v>
      </c>
      <c r="BE169" s="29">
        <f t="shared" si="62"/>
        <v>0</v>
      </c>
      <c r="BF169" s="29">
        <f t="shared" si="63"/>
        <v>8.0202785797914514E-3</v>
      </c>
      <c r="BH169" s="29"/>
    </row>
    <row r="170" spans="1:60" x14ac:dyDescent="0.25">
      <c r="A170" s="1">
        <v>46268</v>
      </c>
      <c r="B170" s="33">
        <v>19.93</v>
      </c>
      <c r="C170" s="33">
        <v>24.86</v>
      </c>
      <c r="D170" s="15">
        <v>1.00401614859848E-3</v>
      </c>
      <c r="E170" s="15">
        <v>1.20748656248995E-3</v>
      </c>
      <c r="F170" s="33">
        <v>0</v>
      </c>
      <c r="G170" s="33">
        <v>0.65373999999999999</v>
      </c>
      <c r="H170" s="33">
        <v>0</v>
      </c>
      <c r="I170" s="33">
        <v>0.81961399999999995</v>
      </c>
      <c r="J170" s="33">
        <v>0.65373999999999999</v>
      </c>
      <c r="K170" s="33">
        <v>0.81961399999999995</v>
      </c>
      <c r="L170" s="33">
        <v>20.583739999999999</v>
      </c>
      <c r="M170" s="33">
        <v>25.679614000000001</v>
      </c>
      <c r="N170" s="34">
        <v>1.2473657802308</v>
      </c>
      <c r="O170" s="34">
        <v>1.2477004313447799</v>
      </c>
      <c r="P170" s="34">
        <v>1.2503691362227201</v>
      </c>
      <c r="Q170" s="34">
        <v>1.2485677258788801</v>
      </c>
      <c r="R170" s="33">
        <v>24.866669596701598</v>
      </c>
      <c r="S170" s="33">
        <v>24.9184039701206</v>
      </c>
      <c r="T170" s="33">
        <v>24.883363664551698</v>
      </c>
      <c r="U170" s="15">
        <v>2.6825028885882601E-4</v>
      </c>
      <c r="V170" s="15">
        <v>2.3465596428131502E-3</v>
      </c>
      <c r="W170" s="15">
        <v>9.3936817089059095E-4</v>
      </c>
      <c r="X170" s="34">
        <v>1.24756793469019</v>
      </c>
      <c r="Y170" s="34">
        <v>1.2471244094690801</v>
      </c>
      <c r="Z170" s="34">
        <v>1.24765261534361</v>
      </c>
      <c r="AA170" s="34">
        <v>1.2477273196817</v>
      </c>
      <c r="AB170" s="33">
        <v>25.670484592165</v>
      </c>
      <c r="AC170" s="33">
        <v>25.681582950428002</v>
      </c>
      <c r="AD170" s="33">
        <v>25.6831400735865</v>
      </c>
      <c r="AE170" s="15">
        <v>-3.5557508871039998E-4</v>
      </c>
      <c r="AF170" s="15">
        <v>7.6670737672953398E-5</v>
      </c>
      <c r="AG170" s="15">
        <v>1.3730079921573E-4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5.8136258049148728E-3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2.2066527748765782E-3</v>
      </c>
      <c r="BE170" s="29">
        <f t="shared" si="62"/>
        <v>0</v>
      </c>
      <c r="BF170" s="29">
        <f t="shared" si="63"/>
        <v>8.0202785797914514E-3</v>
      </c>
      <c r="BH170" s="29"/>
    </row>
    <row r="171" spans="1:60" x14ac:dyDescent="0.25">
      <c r="A171" s="1">
        <v>46269</v>
      </c>
      <c r="B171" s="33">
        <v>19.93</v>
      </c>
      <c r="C171" s="33">
        <v>24.85</v>
      </c>
      <c r="D171" s="15">
        <v>0</v>
      </c>
      <c r="E171" s="15">
        <v>-4.0233353992720998E-4</v>
      </c>
      <c r="F171" s="33">
        <v>0</v>
      </c>
      <c r="G171" s="33">
        <v>0.65373999999999999</v>
      </c>
      <c r="H171" s="33">
        <v>0</v>
      </c>
      <c r="I171" s="33">
        <v>0.81961399999999995</v>
      </c>
      <c r="J171" s="33">
        <v>0.65373999999999999</v>
      </c>
      <c r="K171" s="33">
        <v>0.81961399999999995</v>
      </c>
      <c r="L171" s="33">
        <v>20.583739999999999</v>
      </c>
      <c r="M171" s="33">
        <v>25.669613999999999</v>
      </c>
      <c r="N171" s="34">
        <v>1.2468640240842901</v>
      </c>
      <c r="O171" s="34">
        <v>1.2477004313447799</v>
      </c>
      <c r="P171" s="34">
        <v>1.2503672593294</v>
      </c>
      <c r="Q171" s="34">
        <v>1.24853493501961</v>
      </c>
      <c r="R171" s="33">
        <v>24.866669596701598</v>
      </c>
      <c r="S171" s="33">
        <v>24.919856884918801</v>
      </c>
      <c r="T171" s="33">
        <v>24.883954776766199</v>
      </c>
      <c r="U171" s="15">
        <v>6.7058382878614202E-4</v>
      </c>
      <c r="V171" s="15">
        <v>2.8071983793377798E-3</v>
      </c>
      <c r="W171" s="15">
        <v>1.3654567465736099E-3</v>
      </c>
      <c r="X171" s="34">
        <v>1.24708211432907</v>
      </c>
      <c r="Y171" s="34">
        <v>1.2471244094690801</v>
      </c>
      <c r="Z171" s="34">
        <v>1.24756902344374</v>
      </c>
      <c r="AA171" s="34">
        <v>1.24765480675631</v>
      </c>
      <c r="AB171" s="33">
        <v>25.670484592165</v>
      </c>
      <c r="AC171" s="33">
        <v>25.6813570445529</v>
      </c>
      <c r="AD171" s="33">
        <v>25.682894739224999</v>
      </c>
      <c r="AE171" s="15">
        <v>3.3914705621691903E-5</v>
      </c>
      <c r="AF171" s="15">
        <v>4.5736407778707402E-4</v>
      </c>
      <c r="AG171" s="15">
        <v>5.17238197207762E-4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5.8136258049148728E-3</v>
      </c>
      <c r="AT171" s="12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2.2066527748765782E-3</v>
      </c>
      <c r="BE171" s="29">
        <f t="shared" si="62"/>
        <v>0</v>
      </c>
      <c r="BF171" s="29">
        <f t="shared" si="63"/>
        <v>8.0202785797914514E-3</v>
      </c>
      <c r="BH171" s="29"/>
    </row>
    <row r="172" spans="1:60" x14ac:dyDescent="0.25">
      <c r="A172" s="1">
        <v>46273</v>
      </c>
      <c r="B172" s="33">
        <v>19.91</v>
      </c>
      <c r="C172" s="33">
        <v>24.84</v>
      </c>
      <c r="D172" s="15">
        <v>-1.0040161485983701E-3</v>
      </c>
      <c r="E172" s="15">
        <v>-4.0249547735976402E-4</v>
      </c>
      <c r="F172" s="33">
        <v>0</v>
      </c>
      <c r="G172" s="33">
        <v>0.65373999999999999</v>
      </c>
      <c r="H172" s="33">
        <v>0</v>
      </c>
      <c r="I172" s="33">
        <v>0.81961399999999995</v>
      </c>
      <c r="J172" s="33">
        <v>0.65373999999999999</v>
      </c>
      <c r="K172" s="33">
        <v>0.81961399999999995</v>
      </c>
      <c r="L172" s="33">
        <v>20.563739999999999</v>
      </c>
      <c r="M172" s="33">
        <v>25.659614000000001</v>
      </c>
      <c r="N172" s="34">
        <v>1.2476142641888499</v>
      </c>
      <c r="O172" s="34">
        <v>1.2477004313447799</v>
      </c>
      <c r="P172" s="34">
        <v>1.24987868574828</v>
      </c>
      <c r="Q172" s="34">
        <v>1.2485588968588399</v>
      </c>
      <c r="R172" s="33">
        <v>24.841715588074699</v>
      </c>
      <c r="S172" s="33">
        <v>24.894812133248401</v>
      </c>
      <c r="T172" s="33">
        <v>24.8583305562404</v>
      </c>
      <c r="U172" s="15">
        <v>6.9063157547452893E-5</v>
      </c>
      <c r="V172" s="15">
        <v>2.2041766355997798E-3</v>
      </c>
      <c r="W172" s="15">
        <v>7.3767295064051301E-4</v>
      </c>
      <c r="X172" s="34">
        <v>1.24780871572972</v>
      </c>
      <c r="Y172" s="34">
        <v>1.2471244094690801</v>
      </c>
      <c r="Z172" s="34">
        <v>1.24758125263039</v>
      </c>
      <c r="AA172" s="34">
        <v>1.2476371215879101</v>
      </c>
      <c r="AB172" s="33">
        <v>25.6455421039757</v>
      </c>
      <c r="AC172" s="33">
        <v>25.654685030151001</v>
      </c>
      <c r="AD172" s="33">
        <v>25.656449055887101</v>
      </c>
      <c r="AE172" s="15">
        <v>-5.4855680971486402E-4</v>
      </c>
      <c r="AF172" s="15">
        <v>-1.9210902057603801E-4</v>
      </c>
      <c r="AG172" s="15">
        <v>-1.23351010518377E-4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5.8136258049148728E-3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2.2066527748765782E-3</v>
      </c>
      <c r="BE172" s="29">
        <f t="shared" si="62"/>
        <v>0</v>
      </c>
      <c r="BF172" s="29">
        <f t="shared" si="63"/>
        <v>8.0202785797914514E-3</v>
      </c>
      <c r="BH172" s="29"/>
    </row>
    <row r="173" spans="1:60" x14ac:dyDescent="0.25">
      <c r="A173" s="1">
        <v>46274</v>
      </c>
      <c r="B173" s="33">
        <v>19.88</v>
      </c>
      <c r="C173" s="33">
        <v>24.79</v>
      </c>
      <c r="D173" s="15">
        <v>-1.5079168476770299E-3</v>
      </c>
      <c r="E173" s="15">
        <v>-2.0149110181788801E-3</v>
      </c>
      <c r="F173" s="33">
        <v>0</v>
      </c>
      <c r="G173" s="33">
        <v>0.65373999999999999</v>
      </c>
      <c r="H173" s="33">
        <v>0</v>
      </c>
      <c r="I173" s="33">
        <v>0.81961399999999995</v>
      </c>
      <c r="J173" s="33">
        <v>0.65373999999999999</v>
      </c>
      <c r="K173" s="33">
        <v>0.81961399999999995</v>
      </c>
      <c r="L173" s="33">
        <v>20.533739999999899</v>
      </c>
      <c r="M173" s="33">
        <v>25.609614000000001</v>
      </c>
      <c r="N173" s="34">
        <v>1.2469818913480799</v>
      </c>
      <c r="O173" s="34">
        <v>1.2477004313447799</v>
      </c>
      <c r="P173" s="34">
        <v>1.24937806772604</v>
      </c>
      <c r="Q173" s="34">
        <v>1.2485512400560399</v>
      </c>
      <c r="R173" s="33">
        <v>24.8042845751344</v>
      </c>
      <c r="S173" s="33">
        <v>24.8475882726759</v>
      </c>
      <c r="T173" s="33">
        <v>24.8213508695539</v>
      </c>
      <c r="U173" s="15">
        <v>5.7605732804934305E-4</v>
      </c>
      <c r="V173" s="15">
        <v>2.3203503843781501E-3</v>
      </c>
      <c r="W173" s="15">
        <v>1.26385890235075E-3</v>
      </c>
      <c r="X173" s="34">
        <v>1.24719676006416</v>
      </c>
      <c r="Y173" s="34">
        <v>1.2471244094690801</v>
      </c>
      <c r="Z173" s="34">
        <v>1.2475790875046899</v>
      </c>
      <c r="AA173" s="34">
        <v>1.2475888386362299</v>
      </c>
      <c r="AB173" s="33">
        <v>25.608128371691599</v>
      </c>
      <c r="AC173" s="33">
        <v>25.617509070386902</v>
      </c>
      <c r="AD173" s="33">
        <v>25.618656269034599</v>
      </c>
      <c r="AE173" s="15">
        <v>-5.80122527854342E-5</v>
      </c>
      <c r="AF173" s="15">
        <v>3.0823790118218801E-4</v>
      </c>
      <c r="AG173" s="15">
        <v>3.5301871724453799E-4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5.8136258049148728E-3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2.2066527748765782E-3</v>
      </c>
      <c r="BE173" s="29">
        <f t="shared" si="62"/>
        <v>0</v>
      </c>
      <c r="BF173" s="29">
        <f t="shared" si="63"/>
        <v>8.0202785797914514E-3</v>
      </c>
      <c r="BH173" s="29"/>
    </row>
    <row r="174" spans="1:60" x14ac:dyDescent="0.25">
      <c r="A174" s="1">
        <v>46275</v>
      </c>
      <c r="B174" s="33">
        <v>19.71</v>
      </c>
      <c r="C174" s="33">
        <v>24.59</v>
      </c>
      <c r="D174" s="15">
        <v>-8.5880800637990005E-3</v>
      </c>
      <c r="E174" s="15">
        <v>-8.1004898189979101E-3</v>
      </c>
      <c r="F174" s="33">
        <v>0</v>
      </c>
      <c r="G174" s="33">
        <v>0.65373999999999999</v>
      </c>
      <c r="H174" s="33">
        <v>0</v>
      </c>
      <c r="I174" s="33">
        <v>0.81961399999999995</v>
      </c>
      <c r="J174" s="33">
        <v>0.65373999999999999</v>
      </c>
      <c r="K174" s="33">
        <v>0.81961399999999995</v>
      </c>
      <c r="L174" s="33">
        <v>20.36374</v>
      </c>
      <c r="M174" s="33">
        <v>25.409614000000001</v>
      </c>
      <c r="N174" s="34">
        <v>1.2475900558092301</v>
      </c>
      <c r="O174" s="34">
        <v>1.2477004313447799</v>
      </c>
      <c r="P174" s="34">
        <v>1.24890063726913</v>
      </c>
      <c r="Q174" s="34">
        <v>1.24862343305038</v>
      </c>
      <c r="R174" s="33">
        <v>24.592175501805801</v>
      </c>
      <c r="S174" s="33">
        <v>24.6252417148802</v>
      </c>
      <c r="T174" s="33">
        <v>24.608944941504699</v>
      </c>
      <c r="U174" s="15">
        <v>8.8467083248242398E-5</v>
      </c>
      <c r="V174" s="15">
        <v>1.43214661457741E-3</v>
      </c>
      <c r="W174" s="15">
        <v>7.7013612643958801E-4</v>
      </c>
      <c r="X174" s="34">
        <v>1.24778719429731</v>
      </c>
      <c r="Y174" s="34">
        <v>1.2471244094690801</v>
      </c>
      <c r="Z174" s="34">
        <v>1.24760021259512</v>
      </c>
      <c r="AA174" s="34">
        <v>1.24761827926125</v>
      </c>
      <c r="AB174" s="33">
        <v>25.396117222081799</v>
      </c>
      <c r="AC174" s="33">
        <v>25.405376167382801</v>
      </c>
      <c r="AD174" s="33">
        <v>25.405574736890198</v>
      </c>
      <c r="AE174" s="15">
        <v>-5.3130927991603804E-4</v>
      </c>
      <c r="AF174" s="15">
        <v>-1.6679458612726099E-4</v>
      </c>
      <c r="AG174" s="15">
        <v>-1.58978573875065E-4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5.8136258049148728E-3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2.2066527748765782E-3</v>
      </c>
      <c r="BE174" s="29">
        <f t="shared" si="62"/>
        <v>0</v>
      </c>
      <c r="BF174" s="29">
        <f t="shared" si="63"/>
        <v>8.0202785797914514E-3</v>
      </c>
      <c r="BH174" s="29"/>
    </row>
    <row r="175" spans="1:60" x14ac:dyDescent="0.25">
      <c r="A175" s="1">
        <v>46276</v>
      </c>
      <c r="B175" s="33">
        <v>19.68</v>
      </c>
      <c r="C175" s="33">
        <v>24.53</v>
      </c>
      <c r="D175" s="15">
        <v>-1.52322954052152E-3</v>
      </c>
      <c r="E175" s="15">
        <v>-2.4429979577031799E-3</v>
      </c>
      <c r="F175" s="33">
        <v>0</v>
      </c>
      <c r="G175" s="33">
        <v>0.65373999999999999</v>
      </c>
      <c r="H175" s="33">
        <v>0</v>
      </c>
      <c r="I175" s="33">
        <v>0.81961399999999995</v>
      </c>
      <c r="J175" s="33">
        <v>0.65373999999999999</v>
      </c>
      <c r="K175" s="33">
        <v>0.81961399999999995</v>
      </c>
      <c r="L175" s="33">
        <v>20.333739999999999</v>
      </c>
      <c r="M175" s="33">
        <v>25.349613999999999</v>
      </c>
      <c r="N175" s="34">
        <v>1.24644308943089</v>
      </c>
      <c r="O175" s="34">
        <v>1.2477004313447799</v>
      </c>
      <c r="P175" s="34">
        <v>1.2482335361474499</v>
      </c>
      <c r="Q175" s="34">
        <v>1.24857573129982</v>
      </c>
      <c r="R175" s="33">
        <v>24.554744488865399</v>
      </c>
      <c r="S175" s="33">
        <v>24.578364541456502</v>
      </c>
      <c r="T175" s="33">
        <v>24.5729091624316</v>
      </c>
      <c r="U175" s="15">
        <v>1.00823550042995E-3</v>
      </c>
      <c r="V175" s="15">
        <v>1.9697075048216899E-3</v>
      </c>
      <c r="W175" s="15">
        <v>1.74772428297557E-3</v>
      </c>
      <c r="X175" s="34">
        <v>1.2466773943209599</v>
      </c>
      <c r="Y175" s="34">
        <v>1.2471244094690801</v>
      </c>
      <c r="Z175" s="34">
        <v>1.24743821087045</v>
      </c>
      <c r="AA175" s="34">
        <v>1.24753152489144</v>
      </c>
      <c r="AB175" s="33">
        <v>25.358703489797801</v>
      </c>
      <c r="AC175" s="33">
        <v>25.368378346853799</v>
      </c>
      <c r="AD175" s="33">
        <v>25.368745709745699</v>
      </c>
      <c r="AE175" s="15">
        <v>3.5850094600333598E-4</v>
      </c>
      <c r="AF175" s="15">
        <v>7.3994836316571499E-4</v>
      </c>
      <c r="AG175" s="15">
        <v>7.5442939253919097E-4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5.8136258049148728E-3</v>
      </c>
      <c r="AT175" s="12"/>
      <c r="AU175">
        <f t="shared" si="50"/>
        <v>0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2.2066527748765782E-3</v>
      </c>
      <c r="BE175" s="29">
        <f t="shared" si="62"/>
        <v>0</v>
      </c>
      <c r="BF175" s="29">
        <f t="shared" si="63"/>
        <v>8.0202785797914514E-3</v>
      </c>
      <c r="BH175" s="29"/>
    </row>
    <row r="176" spans="1:60" x14ac:dyDescent="0.25">
      <c r="A176" s="1">
        <v>46279</v>
      </c>
      <c r="B176" s="33">
        <v>19.66</v>
      </c>
      <c r="C176" s="33">
        <v>24.53</v>
      </c>
      <c r="D176" s="15">
        <v>-1.01677690508683E-3</v>
      </c>
      <c r="E176" s="15">
        <v>0</v>
      </c>
      <c r="F176" s="33">
        <v>0</v>
      </c>
      <c r="G176" s="33">
        <v>0.65373999999999999</v>
      </c>
      <c r="H176" s="33">
        <v>0</v>
      </c>
      <c r="I176" s="33">
        <v>0.81961399999999995</v>
      </c>
      <c r="J176" s="33">
        <v>0.65373999999999999</v>
      </c>
      <c r="K176" s="33">
        <v>0.81961399999999995</v>
      </c>
      <c r="L176" s="33">
        <v>20.313739999999999</v>
      </c>
      <c r="M176" s="33">
        <v>25.349613999999999</v>
      </c>
      <c r="N176" s="34">
        <v>1.2477110885045699</v>
      </c>
      <c r="O176" s="34">
        <v>1.2477004313447799</v>
      </c>
      <c r="P176" s="34">
        <v>1.2478298198230799</v>
      </c>
      <c r="Q176" s="34">
        <v>1.2486600928820999</v>
      </c>
      <c r="R176" s="33">
        <v>24.5297904802385</v>
      </c>
      <c r="S176" s="33">
        <v>24.5402713206588</v>
      </c>
      <c r="T176" s="33">
        <v>24.546998877354401</v>
      </c>
      <c r="U176" s="15">
        <v>-8.5414046567642601E-6</v>
      </c>
      <c r="V176" s="15">
        <v>4.1863721281527698E-4</v>
      </c>
      <c r="W176" s="15">
        <v>6.9274317595369704E-4</v>
      </c>
      <c r="X176" s="34">
        <v>1.24790481713362</v>
      </c>
      <c r="Y176" s="34">
        <v>1.2471244094690801</v>
      </c>
      <c r="Z176" s="34">
        <v>1.2475323821919799</v>
      </c>
      <c r="AA176" s="34">
        <v>1.24757282345456</v>
      </c>
      <c r="AB176" s="33">
        <v>25.333761001608401</v>
      </c>
      <c r="AC176" s="33">
        <v>25.3401354816876</v>
      </c>
      <c r="AD176" s="33">
        <v>25.342031038448301</v>
      </c>
      <c r="AE176" s="15">
        <v>-6.2556997863893896E-4</v>
      </c>
      <c r="AF176" s="15">
        <v>-3.7398166373952499E-4</v>
      </c>
      <c r="AG176" s="15">
        <v>-2.9917993793476903E-4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5.8136258049148728E-3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2.2066527748765782E-3</v>
      </c>
      <c r="BE176" s="29">
        <f t="shared" si="62"/>
        <v>0</v>
      </c>
      <c r="BF176" s="29">
        <f t="shared" si="63"/>
        <v>8.0202785797914514E-3</v>
      </c>
      <c r="BH176" s="29"/>
    </row>
    <row r="177" spans="1:100" x14ac:dyDescent="0.25">
      <c r="A177">
        <v>46280</v>
      </c>
      <c r="B177" s="33">
        <v>19.66</v>
      </c>
      <c r="C177" s="33">
        <v>24.52</v>
      </c>
      <c r="D177" s="15">
        <v>0</v>
      </c>
      <c r="E177" s="15">
        <v>-4.0774720238735598E-4</v>
      </c>
      <c r="F177" s="33">
        <v>0</v>
      </c>
      <c r="G177" s="33">
        <v>0.65373999999999999</v>
      </c>
      <c r="H177" s="33">
        <v>0</v>
      </c>
      <c r="I177" s="33">
        <v>0.81961399999999995</v>
      </c>
      <c r="J177" s="33">
        <v>0.65373999999999999</v>
      </c>
      <c r="K177" s="33">
        <v>0.81961399999999995</v>
      </c>
      <c r="L177" s="33">
        <v>20.313739999999999</v>
      </c>
      <c r="M177" s="33">
        <v>25.339614000000001</v>
      </c>
      <c r="N177" s="34">
        <v>1.24720244150559</v>
      </c>
      <c r="O177" s="34">
        <v>1.2477004313447799</v>
      </c>
      <c r="P177" s="34">
        <v>1.2472747886983599</v>
      </c>
      <c r="Q177" s="34">
        <v>1.24869486565599</v>
      </c>
      <c r="R177" s="33">
        <v>24.5297904802385</v>
      </c>
      <c r="S177" s="33">
        <v>24.5323342577218</v>
      </c>
      <c r="T177" s="33">
        <v>24.548657426062199</v>
      </c>
      <c r="U177" s="15">
        <v>3.9920579773056202E-4</v>
      </c>
      <c r="V177" s="15">
        <v>5.0290197881176996E-4</v>
      </c>
      <c r="W177" s="15">
        <v>1.1680543476721801E-3</v>
      </c>
      <c r="X177" s="34">
        <v>1.24741253949297</v>
      </c>
      <c r="Y177" s="34">
        <v>1.2471244094690801</v>
      </c>
      <c r="Z177" s="34">
        <v>1.2474809858510301</v>
      </c>
      <c r="AA177" s="34">
        <v>1.24756580332127</v>
      </c>
      <c r="AB177" s="33">
        <v>25.333761001608401</v>
      </c>
      <c r="AC177" s="33">
        <v>25.3420484534286</v>
      </c>
      <c r="AD177" s="33">
        <v>25.342869966721999</v>
      </c>
      <c r="AE177" s="15">
        <v>-2.3100882534090499E-4</v>
      </c>
      <c r="AF177" s="15">
        <v>9.6068412625208296E-5</v>
      </c>
      <c r="AG177" s="15">
        <v>1.28484891492278E-4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19.68</v>
      </c>
      <c r="C178" s="33">
        <v>24.55</v>
      </c>
      <c r="D178" s="15">
        <v>1.01677690508681E-3</v>
      </c>
      <c r="E178" s="15">
        <v>1.22274317251892E-3</v>
      </c>
      <c r="F178" s="33">
        <v>0</v>
      </c>
      <c r="G178" s="33">
        <v>0.65373999999999999</v>
      </c>
      <c r="H178" s="33">
        <v>0</v>
      </c>
      <c r="I178" s="33">
        <v>0.81961399999999995</v>
      </c>
      <c r="J178" s="33">
        <v>0.65373999999999999</v>
      </c>
      <c r="K178" s="33">
        <v>0.81961399999999995</v>
      </c>
      <c r="L178" s="33">
        <v>20.333739999999999</v>
      </c>
      <c r="M178" s="33">
        <v>25.369613999999999</v>
      </c>
      <c r="N178" s="34">
        <v>1.24745934959349</v>
      </c>
      <c r="O178" s="34">
        <v>1.2477004313447799</v>
      </c>
      <c r="P178" s="34">
        <v>1.2472343988713901</v>
      </c>
      <c r="Q178" s="34">
        <v>1.2487609073758199</v>
      </c>
      <c r="R178" s="33">
        <v>24.554744488865399</v>
      </c>
      <c r="S178" s="33">
        <v>24.546367841583798</v>
      </c>
      <c r="T178" s="33">
        <v>24.574314956109799</v>
      </c>
      <c r="U178" s="15">
        <v>1.9323953029828E-4</v>
      </c>
      <c r="V178" s="15">
        <v>-1.4796037191522199E-4</v>
      </c>
      <c r="W178" s="15">
        <v>9.8993576265765399E-4</v>
      </c>
      <c r="X178" s="34">
        <v>1.2476609812066</v>
      </c>
      <c r="Y178" s="34">
        <v>1.2471244094690801</v>
      </c>
      <c r="Z178" s="34">
        <v>1.24744208741313</v>
      </c>
      <c r="AA178" s="34">
        <v>1.2475892049000901</v>
      </c>
      <c r="AB178" s="33">
        <v>25.358703489797801</v>
      </c>
      <c r="AC178" s="33">
        <v>25.365954021238501</v>
      </c>
      <c r="AD178" s="33">
        <v>25.367678677625999</v>
      </c>
      <c r="AE178" s="15">
        <v>-4.30154631980859E-4</v>
      </c>
      <c r="AF178" s="15">
        <v>-1.4427664498550301E-4</v>
      </c>
      <c r="AG178" s="15">
        <v>-7.6287963853309405E-5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19.79</v>
      </c>
      <c r="C179" s="33">
        <v>24.69</v>
      </c>
      <c r="D179" s="15">
        <v>5.5738679903670103E-3</v>
      </c>
      <c r="E179" s="15">
        <v>5.68644911655864E-3</v>
      </c>
      <c r="F179" s="33">
        <v>0</v>
      </c>
      <c r="G179" s="33">
        <v>0.65373999999999999</v>
      </c>
      <c r="H179" s="33">
        <v>0</v>
      </c>
      <c r="I179" s="33">
        <v>0.81961399999999995</v>
      </c>
      <c r="J179" s="33">
        <v>0.65373999999999999</v>
      </c>
      <c r="K179" s="33">
        <v>0.81961399999999995</v>
      </c>
      <c r="L179" s="33">
        <v>20.443739999999998</v>
      </c>
      <c r="M179" s="33">
        <v>25.509613999999999</v>
      </c>
      <c r="N179" s="34">
        <v>1.24759979787771</v>
      </c>
      <c r="O179" s="34">
        <v>1.2477004313447799</v>
      </c>
      <c r="P179" s="34">
        <v>1.2472831782573499</v>
      </c>
      <c r="Q179" s="34">
        <v>1.2487897067935201</v>
      </c>
      <c r="R179" s="33">
        <v>24.691991536313299</v>
      </c>
      <c r="S179" s="33">
        <v>24.682768753664799</v>
      </c>
      <c r="T179" s="33">
        <v>24.712978356967501</v>
      </c>
      <c r="U179" s="15">
        <v>8.0658404106667101E-5</v>
      </c>
      <c r="V179" s="15">
        <v>-2.9292448324849798E-4</v>
      </c>
      <c r="W179" s="15">
        <v>9.3024183516060403E-4</v>
      </c>
      <c r="X179" s="34">
        <v>1.2477958534006</v>
      </c>
      <c r="Y179" s="34">
        <v>1.2471244094690801</v>
      </c>
      <c r="Z179" s="34">
        <v>1.2474894304665201</v>
      </c>
      <c r="AA179" s="34">
        <v>1.2475765103887499</v>
      </c>
      <c r="AB179" s="33">
        <v>25.4958871748394</v>
      </c>
      <c r="AC179" s="33">
        <v>25.502381700131298</v>
      </c>
      <c r="AD179" s="33">
        <v>25.505389331784301</v>
      </c>
      <c r="AE179" s="15">
        <v>-5.3824882319784904E-4</v>
      </c>
      <c r="AF179" s="15">
        <v>-2.8355291016842398E-4</v>
      </c>
      <c r="AG179" s="15">
        <v>-1.6562453981858999E-4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19.71</v>
      </c>
      <c r="C180" s="33">
        <v>24.59</v>
      </c>
      <c r="D180" s="15">
        <v>-4.0506384498454097E-3</v>
      </c>
      <c r="E180" s="15">
        <v>-4.0584471289869901E-3</v>
      </c>
      <c r="F180" s="33">
        <v>0</v>
      </c>
      <c r="G180" s="33">
        <v>0.65373999999999999</v>
      </c>
      <c r="H180" s="33">
        <v>0</v>
      </c>
      <c r="I180" s="33">
        <v>0.81961399999999995</v>
      </c>
      <c r="J180" s="33">
        <v>0.65373999999999999</v>
      </c>
      <c r="K180" s="33">
        <v>0.81961399999999995</v>
      </c>
      <c r="L180" s="33">
        <v>20.36374</v>
      </c>
      <c r="M180" s="33">
        <v>25.409614000000001</v>
      </c>
      <c r="N180" s="34">
        <v>1.2475900558092301</v>
      </c>
      <c r="O180" s="34">
        <v>1.2477004313447799</v>
      </c>
      <c r="P180" s="34">
        <v>1.2473056058151899</v>
      </c>
      <c r="Q180" s="34">
        <v>1.24883737101895</v>
      </c>
      <c r="R180" s="33">
        <v>24.592175501805801</v>
      </c>
      <c r="S180" s="33">
        <v>24.583951443452399</v>
      </c>
      <c r="T180" s="33">
        <v>24.613645120900198</v>
      </c>
      <c r="U180" s="15">
        <v>8.8467083248242398E-5</v>
      </c>
      <c r="V180" s="15">
        <v>-2.4600652989962603E-4</v>
      </c>
      <c r="W180" s="15">
        <v>9.6111264368077098E-4</v>
      </c>
      <c r="X180" s="34">
        <v>1.24778719429731</v>
      </c>
      <c r="Y180" s="34">
        <v>1.2471244094690801</v>
      </c>
      <c r="Z180" s="34">
        <v>1.24751135642723</v>
      </c>
      <c r="AA180" s="34">
        <v>1.24758198588542</v>
      </c>
      <c r="AB180" s="33">
        <v>25.396117222081799</v>
      </c>
      <c r="AC180" s="33">
        <v>25.4035504147684</v>
      </c>
      <c r="AD180" s="33">
        <v>25.405323687664001</v>
      </c>
      <c r="AE180" s="15">
        <v>-5.3130927991603804E-4</v>
      </c>
      <c r="AF180" s="15">
        <v>-2.3866198179988299E-4</v>
      </c>
      <c r="AG180" s="15">
        <v>-1.68860281697669E-4</v>
      </c>
    </row>
    <row r="181" spans="1:100" x14ac:dyDescent="0.25">
      <c r="A181">
        <v>46286</v>
      </c>
      <c r="B181" s="33">
        <v>19.7</v>
      </c>
      <c r="C181" s="33">
        <v>24.67</v>
      </c>
      <c r="D181" s="15">
        <v>-5.0748542068606802E-4</v>
      </c>
      <c r="E181" s="15">
        <v>3.2480743131640998E-3</v>
      </c>
      <c r="F181" s="33">
        <v>7.6439999999999994E-2</v>
      </c>
      <c r="G181" s="33">
        <v>0.73017999999999905</v>
      </c>
      <c r="H181" s="33">
        <v>0</v>
      </c>
      <c r="I181" s="33">
        <v>0.81961399999999995</v>
      </c>
      <c r="J181" s="33">
        <v>0.73017999999999905</v>
      </c>
      <c r="K181" s="33">
        <v>0.81961399999999995</v>
      </c>
      <c r="L181" s="33">
        <v>20.43018</v>
      </c>
      <c r="M181" s="33">
        <v>25.489614</v>
      </c>
      <c r="N181" s="34">
        <v>1.2522842639593901</v>
      </c>
      <c r="O181" s="34">
        <v>1.2477004313447799</v>
      </c>
      <c r="P181" s="34">
        <v>1.2478476298026999</v>
      </c>
      <c r="Q181" s="34">
        <v>1.2491074445660499</v>
      </c>
      <c r="R181" s="33">
        <v>24.579698497492299</v>
      </c>
      <c r="S181" s="33">
        <v>24.571920434559399</v>
      </c>
      <c r="T181" s="33">
        <v>24.602096209073402</v>
      </c>
      <c r="U181" s="15">
        <v>-3.6670926506020499E-3</v>
      </c>
      <c r="V181" s="15">
        <v>-3.9835852979197804E-3</v>
      </c>
      <c r="W181" s="15">
        <v>-2.75627948230813E-3</v>
      </c>
      <c r="X181" s="34">
        <v>1.2476451015115799</v>
      </c>
      <c r="Y181" s="34">
        <v>1.2471244094690801</v>
      </c>
      <c r="Z181" s="34">
        <v>1.24756765514548</v>
      </c>
      <c r="AA181" s="34">
        <v>1.24756833929461</v>
      </c>
      <c r="AB181" s="33">
        <v>25.478976167847001</v>
      </c>
      <c r="AC181" s="33">
        <v>25.486881563852599</v>
      </c>
      <c r="AD181" s="33">
        <v>25.4883245363966</v>
      </c>
      <c r="AE181" s="15">
        <v>-4.1742697894593E-4</v>
      </c>
      <c r="AF181" s="15">
        <v>-1.07203765962316E-4</v>
      </c>
      <c r="AG181" s="15">
        <v>-5.05890838511746E-5</v>
      </c>
    </row>
    <row r="182" spans="1:100" x14ac:dyDescent="0.25">
      <c r="A182">
        <v>46287</v>
      </c>
      <c r="B182" s="33">
        <v>19.71</v>
      </c>
      <c r="C182" s="33">
        <v>24.69</v>
      </c>
      <c r="D182" s="15">
        <v>5.0748542068615801E-4</v>
      </c>
      <c r="E182" s="15">
        <v>8.1037281582285498E-4</v>
      </c>
      <c r="F182" s="33">
        <v>0</v>
      </c>
      <c r="G182" s="33">
        <v>0.73017999999999905</v>
      </c>
      <c r="H182" s="33">
        <v>0</v>
      </c>
      <c r="I182" s="33">
        <v>0.81961399999999995</v>
      </c>
      <c r="J182" s="33">
        <v>0.73017999999999905</v>
      </c>
      <c r="K182" s="33">
        <v>0.81961399999999995</v>
      </c>
      <c r="L182" s="33">
        <v>20.440180000000002</v>
      </c>
      <c r="M182" s="33">
        <v>25.509613999999999</v>
      </c>
      <c r="N182" s="34">
        <v>1.2526636225266301</v>
      </c>
      <c r="O182" s="34">
        <v>1.2477004313447799</v>
      </c>
      <c r="P182" s="34">
        <v>1.24835256563648</v>
      </c>
      <c r="Q182" s="34">
        <v>1.2491156256923801</v>
      </c>
      <c r="R182" s="33">
        <v>24.592175501805801</v>
      </c>
      <c r="S182" s="33">
        <v>24.595076783411301</v>
      </c>
      <c r="T182" s="33">
        <v>24.6199077323969</v>
      </c>
      <c r="U182" s="15">
        <v>-3.9699800457387103E-3</v>
      </c>
      <c r="V182" s="15">
        <v>-3.8520112032384701E-3</v>
      </c>
      <c r="W182" s="15">
        <v>-2.8429302764887399E-3</v>
      </c>
      <c r="X182" s="34">
        <v>1.2480131779661401</v>
      </c>
      <c r="Y182" s="34">
        <v>1.2471244094690801</v>
      </c>
      <c r="Z182" s="34">
        <v>1.2475881013691299</v>
      </c>
      <c r="AA182" s="34">
        <v>1.2475846769997601</v>
      </c>
      <c r="AB182" s="33">
        <v>25.491447411941699</v>
      </c>
      <c r="AC182" s="33">
        <v>25.5005074333517</v>
      </c>
      <c r="AD182" s="33">
        <v>25.500521417483</v>
      </c>
      <c r="AE182" s="15">
        <v>-7.1240042162540795E-4</v>
      </c>
      <c r="AF182" s="15">
        <v>-3.5704940467299202E-4</v>
      </c>
      <c r="AG182" s="15">
        <v>-3.5650101842960301E-4</v>
      </c>
    </row>
    <row r="183" spans="1:100" x14ac:dyDescent="0.25">
      <c r="A183">
        <v>46288</v>
      </c>
      <c r="B183" s="33">
        <v>19.48</v>
      </c>
      <c r="C183" s="33">
        <v>24.41</v>
      </c>
      <c r="D183" s="15">
        <v>-1.17378229502398E-2</v>
      </c>
      <c r="E183" s="15">
        <v>-1.1405418952219399E-2</v>
      </c>
      <c r="F183" s="33">
        <v>0</v>
      </c>
      <c r="G183" s="33">
        <v>0.73017999999999905</v>
      </c>
      <c r="H183" s="33">
        <v>0</v>
      </c>
      <c r="I183" s="33">
        <v>0.81961399999999995</v>
      </c>
      <c r="J183" s="33">
        <v>0.73017999999999905</v>
      </c>
      <c r="K183" s="33">
        <v>0.81961399999999995</v>
      </c>
      <c r="L183" s="33">
        <v>20.210180000000001</v>
      </c>
      <c r="M183" s="33">
        <v>25.229614000000002</v>
      </c>
      <c r="N183" s="34">
        <v>1.2530800821355199</v>
      </c>
      <c r="O183" s="34">
        <v>1.2477004313447799</v>
      </c>
      <c r="P183" s="34">
        <v>1.24896238471522</v>
      </c>
      <c r="Q183" s="34">
        <v>1.2491702262206299</v>
      </c>
      <c r="R183" s="33">
        <v>24.305204402596502</v>
      </c>
      <c r="S183" s="33">
        <v>24.317907978598701</v>
      </c>
      <c r="T183" s="33">
        <v>24.332772388487701</v>
      </c>
      <c r="U183" s="15">
        <v>-4.3023840437589299E-3</v>
      </c>
      <c r="V183" s="15">
        <v>-3.7798516237155899E-3</v>
      </c>
      <c r="W183" s="15">
        <v>-3.1687847182030101E-3</v>
      </c>
      <c r="X183" s="34">
        <v>1.2483616672389799</v>
      </c>
      <c r="Y183" s="34">
        <v>1.2471244094690801</v>
      </c>
      <c r="Z183" s="34">
        <v>1.2477045920866101</v>
      </c>
      <c r="AA183" s="34">
        <v>1.2476418397956499</v>
      </c>
      <c r="AB183" s="33">
        <v>25.2046087977638</v>
      </c>
      <c r="AC183" s="33">
        <v>25.213980094528299</v>
      </c>
      <c r="AD183" s="33">
        <v>25.213910887407</v>
      </c>
      <c r="AE183" s="15">
        <v>-9.91596693591861E-4</v>
      </c>
      <c r="AF183" s="15">
        <v>-6.1985694131616196E-4</v>
      </c>
      <c r="AG183" s="15">
        <v>-6.2260173670324796E-4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2026-09-28T01:14:28Z</dcterms:created>
  <dcterms:modified xsi:type="dcterms:W3CDTF">2026-09-28T01:47:38Z</dcterms:modified>
</cp:coreProperties>
</file>