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8_{D1340621-7622-4055-BA01-9D5BB6BDCD91}" xr6:coauthVersionLast="47" xr6:coauthVersionMax="47" xr10:uidLastSave="{00000000-0000-0000-0000-000000000000}"/>
  <bookViews>
    <workbookView xWindow="11424" yWindow="0" windowWidth="11712" windowHeight="12336" xr2:uid="{DB0E9052-E157-43A5-9229-A98A1ADD1ECD}"/>
  </bookViews>
  <sheets>
    <sheet name="XLU_IDU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67" i="1" l="1"/>
  <c r="BO167" i="1"/>
  <c r="BN167" i="1"/>
  <c r="BE167" i="1"/>
  <c r="BC167" i="1"/>
  <c r="BB167" i="1"/>
  <c r="BQ166" i="1"/>
  <c r="BO166" i="1"/>
  <c r="BN166" i="1"/>
  <c r="BE166" i="1"/>
  <c r="BC166" i="1"/>
  <c r="BB166" i="1"/>
  <c r="BQ165" i="1"/>
  <c r="BO165" i="1"/>
  <c r="BN165" i="1"/>
  <c r="BE165" i="1"/>
  <c r="BC165" i="1"/>
  <c r="BB165" i="1"/>
  <c r="BQ164" i="1"/>
  <c r="BO164" i="1"/>
  <c r="BN164" i="1"/>
  <c r="BE164" i="1"/>
  <c r="BC164" i="1"/>
  <c r="BB164" i="1"/>
  <c r="BQ163" i="1"/>
  <c r="BO163" i="1"/>
  <c r="BN163" i="1"/>
  <c r="BE163" i="1"/>
  <c r="BC163" i="1"/>
  <c r="BB163" i="1"/>
  <c r="BQ162" i="1"/>
  <c r="BO162" i="1"/>
  <c r="BN162" i="1"/>
  <c r="BE162" i="1"/>
  <c r="BC162" i="1"/>
  <c r="BB162" i="1"/>
  <c r="BQ161" i="1"/>
  <c r="BO161" i="1"/>
  <c r="BN161" i="1"/>
  <c r="BE161" i="1"/>
  <c r="BC161" i="1"/>
  <c r="BB161" i="1"/>
  <c r="BQ160" i="1"/>
  <c r="BO160" i="1"/>
  <c r="BN160" i="1"/>
  <c r="BE160" i="1"/>
  <c r="BC160" i="1"/>
  <c r="BB160" i="1"/>
  <c r="BQ159" i="1"/>
  <c r="BO159" i="1"/>
  <c r="BN159" i="1"/>
  <c r="BE159" i="1"/>
  <c r="BC159" i="1"/>
  <c r="BB159" i="1"/>
  <c r="BQ158" i="1"/>
  <c r="BO158" i="1"/>
  <c r="BN158" i="1"/>
  <c r="BE158" i="1"/>
  <c r="BC158" i="1"/>
  <c r="BB158" i="1"/>
  <c r="BQ157" i="1"/>
  <c r="BO157" i="1"/>
  <c r="BN157" i="1"/>
  <c r="BE157" i="1"/>
  <c r="BC157" i="1"/>
  <c r="BB157" i="1"/>
  <c r="BQ156" i="1"/>
  <c r="BO156" i="1"/>
  <c r="BN156" i="1"/>
  <c r="BE156" i="1"/>
  <c r="BC156" i="1"/>
  <c r="BB156" i="1"/>
  <c r="BQ155" i="1"/>
  <c r="BO155" i="1"/>
  <c r="BN155" i="1"/>
  <c r="BE155" i="1"/>
  <c r="BC155" i="1"/>
  <c r="BB155" i="1"/>
  <c r="BQ154" i="1"/>
  <c r="BO154" i="1"/>
  <c r="BN154" i="1"/>
  <c r="BE154" i="1"/>
  <c r="BC154" i="1"/>
  <c r="BB154" i="1"/>
  <c r="BQ153" i="1"/>
  <c r="BO153" i="1"/>
  <c r="BN153" i="1"/>
  <c r="BE153" i="1"/>
  <c r="BC153" i="1"/>
  <c r="BB153" i="1"/>
  <c r="BQ152" i="1"/>
  <c r="BO152" i="1"/>
  <c r="BN152" i="1"/>
  <c r="BE152" i="1"/>
  <c r="BC152" i="1"/>
  <c r="BB152" i="1"/>
  <c r="BQ151" i="1"/>
  <c r="BO151" i="1"/>
  <c r="BN151" i="1"/>
  <c r="BE151" i="1"/>
  <c r="BC151" i="1"/>
  <c r="BB151" i="1"/>
  <c r="BQ150" i="1"/>
  <c r="BO150" i="1"/>
  <c r="BN150" i="1"/>
  <c r="BE150" i="1"/>
  <c r="BC150" i="1"/>
  <c r="BB150" i="1"/>
  <c r="BQ149" i="1"/>
  <c r="BO149" i="1"/>
  <c r="BN149" i="1"/>
  <c r="BE149" i="1"/>
  <c r="BC149" i="1"/>
  <c r="BB149" i="1"/>
  <c r="BQ148" i="1"/>
  <c r="BO148" i="1"/>
  <c r="BN148" i="1"/>
  <c r="BE148" i="1"/>
  <c r="BC148" i="1"/>
  <c r="BB148" i="1"/>
  <c r="BQ147" i="1"/>
  <c r="BO147" i="1"/>
  <c r="BN147" i="1"/>
  <c r="BE147" i="1"/>
  <c r="BC147" i="1"/>
  <c r="BB147" i="1"/>
  <c r="BQ146" i="1"/>
  <c r="BO146" i="1"/>
  <c r="BN146" i="1"/>
  <c r="BE146" i="1"/>
  <c r="BC146" i="1"/>
  <c r="BB146" i="1"/>
  <c r="BQ145" i="1"/>
  <c r="BO145" i="1"/>
  <c r="BN145" i="1"/>
  <c r="BE145" i="1"/>
  <c r="BC145" i="1"/>
  <c r="BB145" i="1"/>
  <c r="BQ144" i="1"/>
  <c r="BO144" i="1"/>
  <c r="BN144" i="1"/>
  <c r="BE144" i="1"/>
  <c r="BC144" i="1"/>
  <c r="BB144" i="1"/>
  <c r="BQ143" i="1"/>
  <c r="BO143" i="1"/>
  <c r="BN143" i="1"/>
  <c r="BE143" i="1"/>
  <c r="BC143" i="1"/>
  <c r="BB143" i="1"/>
  <c r="BQ142" i="1"/>
  <c r="BO142" i="1"/>
  <c r="BN142" i="1"/>
  <c r="BE142" i="1"/>
  <c r="BC142" i="1"/>
  <c r="BB142" i="1"/>
  <c r="BQ141" i="1"/>
  <c r="BO141" i="1"/>
  <c r="BN141" i="1"/>
  <c r="BE141" i="1"/>
  <c r="BC141" i="1"/>
  <c r="BB141" i="1"/>
  <c r="BQ140" i="1"/>
  <c r="BO140" i="1"/>
  <c r="BN140" i="1"/>
  <c r="BE140" i="1"/>
  <c r="BC140" i="1"/>
  <c r="BB140" i="1"/>
  <c r="BQ139" i="1"/>
  <c r="BO139" i="1"/>
  <c r="BN139" i="1"/>
  <c r="BE139" i="1"/>
  <c r="BC139" i="1"/>
  <c r="BB139" i="1"/>
  <c r="BQ138" i="1"/>
  <c r="BO138" i="1"/>
  <c r="BN138" i="1"/>
  <c r="BE138" i="1"/>
  <c r="BC138" i="1"/>
  <c r="BB138" i="1"/>
  <c r="BQ137" i="1"/>
  <c r="BO137" i="1"/>
  <c r="BN137" i="1"/>
  <c r="BE137" i="1"/>
  <c r="BC137" i="1"/>
  <c r="BB137" i="1"/>
  <c r="BQ136" i="1"/>
  <c r="BO136" i="1"/>
  <c r="BN136" i="1"/>
  <c r="BE136" i="1"/>
  <c r="BC136" i="1"/>
  <c r="BB136" i="1"/>
  <c r="BQ135" i="1"/>
  <c r="BO135" i="1"/>
  <c r="BN135" i="1"/>
  <c r="BE135" i="1"/>
  <c r="BC135" i="1"/>
  <c r="BB135" i="1"/>
  <c r="BQ134" i="1"/>
  <c r="BO134" i="1"/>
  <c r="BN134" i="1"/>
  <c r="BE134" i="1"/>
  <c r="BC134" i="1"/>
  <c r="BB134" i="1"/>
  <c r="BQ133" i="1"/>
  <c r="BO133" i="1"/>
  <c r="BN133" i="1"/>
  <c r="BE133" i="1"/>
  <c r="BC133" i="1"/>
  <c r="BB133" i="1"/>
  <c r="BQ132" i="1"/>
  <c r="BO132" i="1"/>
  <c r="BN132" i="1"/>
  <c r="BE132" i="1"/>
  <c r="BC132" i="1"/>
  <c r="BB132" i="1"/>
  <c r="BQ131" i="1"/>
  <c r="BO131" i="1"/>
  <c r="BN131" i="1"/>
  <c r="BE131" i="1"/>
  <c r="BC131" i="1"/>
  <c r="BB131" i="1"/>
  <c r="BQ130" i="1"/>
  <c r="BO130" i="1"/>
  <c r="BN130" i="1"/>
  <c r="BE130" i="1"/>
  <c r="BC130" i="1"/>
  <c r="BB130" i="1"/>
  <c r="BQ129" i="1"/>
  <c r="BO129" i="1"/>
  <c r="BN129" i="1"/>
  <c r="BE129" i="1"/>
  <c r="BC129" i="1"/>
  <c r="BB129" i="1"/>
  <c r="BQ128" i="1"/>
  <c r="BO128" i="1"/>
  <c r="BN128" i="1"/>
  <c r="BE128" i="1"/>
  <c r="BC128" i="1"/>
  <c r="BB128" i="1"/>
  <c r="BQ127" i="1"/>
  <c r="BO127" i="1"/>
  <c r="BN127" i="1"/>
  <c r="BE127" i="1"/>
  <c r="BC127" i="1"/>
  <c r="BB127" i="1"/>
  <c r="BQ126" i="1"/>
  <c r="BO126" i="1"/>
  <c r="BN126" i="1"/>
  <c r="BE126" i="1"/>
  <c r="BC126" i="1"/>
  <c r="BB126" i="1"/>
  <c r="BQ125" i="1"/>
  <c r="BO125" i="1"/>
  <c r="BN125" i="1"/>
  <c r="BE125" i="1"/>
  <c r="BC125" i="1"/>
  <c r="BB125" i="1"/>
  <c r="BQ124" i="1"/>
  <c r="BO124" i="1"/>
  <c r="BN124" i="1"/>
  <c r="BE124" i="1"/>
  <c r="BC124" i="1"/>
  <c r="BB124" i="1"/>
  <c r="BQ123" i="1"/>
  <c r="BO123" i="1"/>
  <c r="BN123" i="1"/>
  <c r="BE123" i="1"/>
  <c r="BC123" i="1"/>
  <c r="BB123" i="1"/>
  <c r="BQ122" i="1"/>
  <c r="BO122" i="1"/>
  <c r="BN122" i="1"/>
  <c r="BE122" i="1"/>
  <c r="BC122" i="1"/>
  <c r="BB122" i="1"/>
  <c r="BQ121" i="1"/>
  <c r="BO121" i="1"/>
  <c r="BN121" i="1"/>
  <c r="BE121" i="1"/>
  <c r="BC121" i="1"/>
  <c r="BB121" i="1"/>
  <c r="BQ120" i="1"/>
  <c r="BO120" i="1"/>
  <c r="BN120" i="1"/>
  <c r="BE120" i="1"/>
  <c r="BC120" i="1"/>
  <c r="BB120" i="1"/>
  <c r="BQ119" i="1"/>
  <c r="BO119" i="1"/>
  <c r="BN119" i="1"/>
  <c r="BE119" i="1"/>
  <c r="BC119" i="1"/>
  <c r="BB119" i="1"/>
  <c r="BQ118" i="1"/>
  <c r="BO118" i="1"/>
  <c r="BN118" i="1"/>
  <c r="BE118" i="1"/>
  <c r="BC118" i="1"/>
  <c r="BB118" i="1"/>
  <c r="BQ117" i="1"/>
  <c r="BO117" i="1"/>
  <c r="BN117" i="1"/>
  <c r="BE117" i="1"/>
  <c r="BC117" i="1"/>
  <c r="BB117" i="1"/>
  <c r="BQ116" i="1"/>
  <c r="BO116" i="1"/>
  <c r="BN116" i="1"/>
  <c r="BE116" i="1"/>
  <c r="BC116" i="1"/>
  <c r="BB116" i="1"/>
  <c r="BQ115" i="1"/>
  <c r="BO115" i="1"/>
  <c r="BN115" i="1"/>
  <c r="BE115" i="1"/>
  <c r="BC115" i="1"/>
  <c r="BB115" i="1"/>
  <c r="BQ114" i="1"/>
  <c r="BO114" i="1"/>
  <c r="BN114" i="1"/>
  <c r="BE114" i="1"/>
  <c r="BC114" i="1"/>
  <c r="BB114" i="1"/>
  <c r="BQ113" i="1"/>
  <c r="BO113" i="1"/>
  <c r="BN113" i="1"/>
  <c r="BE113" i="1"/>
  <c r="BC113" i="1"/>
  <c r="BB113" i="1"/>
  <c r="BQ112" i="1"/>
  <c r="BO112" i="1"/>
  <c r="BN112" i="1"/>
  <c r="BE112" i="1"/>
  <c r="BC112" i="1"/>
  <c r="BB112" i="1"/>
  <c r="BQ111" i="1"/>
  <c r="BO111" i="1"/>
  <c r="BN111" i="1"/>
  <c r="BE111" i="1"/>
  <c r="BC111" i="1"/>
  <c r="BB111" i="1"/>
  <c r="BQ110" i="1"/>
  <c r="BO110" i="1"/>
  <c r="BN110" i="1"/>
  <c r="BE110" i="1"/>
  <c r="BC110" i="1"/>
  <c r="BB110" i="1"/>
  <c r="BQ109" i="1"/>
  <c r="BO109" i="1"/>
  <c r="BN109" i="1"/>
  <c r="BE109" i="1"/>
  <c r="BC109" i="1"/>
  <c r="BB109" i="1"/>
  <c r="BQ108" i="1"/>
  <c r="BO108" i="1"/>
  <c r="BN108" i="1"/>
  <c r="BE108" i="1"/>
  <c r="BC108" i="1"/>
  <c r="BB108" i="1"/>
  <c r="BQ107" i="1"/>
  <c r="BO107" i="1"/>
  <c r="BN107" i="1"/>
  <c r="BE107" i="1"/>
  <c r="BC107" i="1"/>
  <c r="BB107" i="1"/>
  <c r="BQ106" i="1"/>
  <c r="BO106" i="1"/>
  <c r="BN106" i="1"/>
  <c r="BE106" i="1"/>
  <c r="BC106" i="1"/>
  <c r="BB106" i="1"/>
  <c r="BQ105" i="1"/>
  <c r="BO105" i="1"/>
  <c r="BN105" i="1"/>
  <c r="BE105" i="1"/>
  <c r="BC105" i="1"/>
  <c r="BB105" i="1"/>
  <c r="BQ104" i="1"/>
  <c r="BO104" i="1"/>
  <c r="BN104" i="1"/>
  <c r="BE104" i="1"/>
  <c r="BC104" i="1"/>
  <c r="BB104" i="1"/>
  <c r="BQ103" i="1"/>
  <c r="BO103" i="1"/>
  <c r="BN103" i="1"/>
  <c r="BE103" i="1"/>
  <c r="BC103" i="1"/>
  <c r="BB103" i="1"/>
  <c r="BQ102" i="1"/>
  <c r="BO102" i="1"/>
  <c r="BN102" i="1"/>
  <c r="BE102" i="1"/>
  <c r="BC102" i="1"/>
  <c r="BB102" i="1"/>
  <c r="BQ101" i="1"/>
  <c r="BO101" i="1"/>
  <c r="BN101" i="1"/>
  <c r="BE101" i="1"/>
  <c r="BC101" i="1"/>
  <c r="BB101" i="1"/>
  <c r="BQ100" i="1"/>
  <c r="BO100" i="1"/>
  <c r="BN100" i="1"/>
  <c r="BE100" i="1"/>
  <c r="BC100" i="1"/>
  <c r="BB100" i="1"/>
  <c r="BQ99" i="1"/>
  <c r="BO99" i="1"/>
  <c r="BN99" i="1"/>
  <c r="BE99" i="1"/>
  <c r="BC99" i="1"/>
  <c r="BB99" i="1"/>
  <c r="BQ98" i="1"/>
  <c r="BO98" i="1"/>
  <c r="BN98" i="1"/>
  <c r="BE98" i="1"/>
  <c r="BC98" i="1"/>
  <c r="BB98" i="1"/>
  <c r="BQ97" i="1"/>
  <c r="BO97" i="1"/>
  <c r="BN97" i="1"/>
  <c r="BE97" i="1"/>
  <c r="BC97" i="1"/>
  <c r="BB97" i="1"/>
  <c r="BQ96" i="1"/>
  <c r="BO96" i="1"/>
  <c r="BN96" i="1"/>
  <c r="BE96" i="1"/>
  <c r="BC96" i="1"/>
  <c r="BB96" i="1"/>
  <c r="BQ95" i="1"/>
  <c r="BO95" i="1"/>
  <c r="BN95" i="1"/>
  <c r="BE95" i="1"/>
  <c r="BC95" i="1"/>
  <c r="BB95" i="1"/>
  <c r="BQ94" i="1"/>
  <c r="BO94" i="1"/>
  <c r="BN94" i="1"/>
  <c r="BE94" i="1"/>
  <c r="BC94" i="1"/>
  <c r="BB94" i="1"/>
  <c r="BQ93" i="1"/>
  <c r="BO93" i="1"/>
  <c r="BN93" i="1"/>
  <c r="BE93" i="1"/>
  <c r="BC93" i="1"/>
  <c r="BB93" i="1"/>
  <c r="BQ92" i="1"/>
  <c r="BO92" i="1"/>
  <c r="BN92" i="1"/>
  <c r="BE92" i="1"/>
  <c r="BC92" i="1"/>
  <c r="BB92" i="1"/>
  <c r="BQ91" i="1"/>
  <c r="BO91" i="1"/>
  <c r="BN91" i="1"/>
  <c r="BE91" i="1"/>
  <c r="BC91" i="1"/>
  <c r="BB91" i="1"/>
  <c r="BQ90" i="1"/>
  <c r="BO90" i="1"/>
  <c r="BN90" i="1"/>
  <c r="BE90" i="1"/>
  <c r="BC90" i="1"/>
  <c r="BB90" i="1"/>
  <c r="BQ89" i="1"/>
  <c r="BO89" i="1"/>
  <c r="BN89" i="1"/>
  <c r="BE89" i="1"/>
  <c r="BC89" i="1"/>
  <c r="BB89" i="1"/>
  <c r="BQ88" i="1"/>
  <c r="BO88" i="1"/>
  <c r="BN88" i="1"/>
  <c r="BE88" i="1"/>
  <c r="BC88" i="1"/>
  <c r="BB88" i="1"/>
  <c r="BQ87" i="1"/>
  <c r="BO87" i="1"/>
  <c r="BN87" i="1"/>
  <c r="BE87" i="1"/>
  <c r="BC87" i="1"/>
  <c r="BB87" i="1"/>
  <c r="BQ86" i="1"/>
  <c r="BO86" i="1"/>
  <c r="BN86" i="1"/>
  <c r="BE86" i="1"/>
  <c r="BC86" i="1"/>
  <c r="BB86" i="1"/>
  <c r="BQ85" i="1"/>
  <c r="BO85" i="1"/>
  <c r="BN85" i="1"/>
  <c r="BE85" i="1"/>
  <c r="BC85" i="1"/>
  <c r="BB85" i="1"/>
  <c r="BQ84" i="1"/>
  <c r="BO84" i="1"/>
  <c r="BN84" i="1"/>
  <c r="BE84" i="1"/>
  <c r="BC84" i="1"/>
  <c r="BB84" i="1"/>
  <c r="BQ83" i="1"/>
  <c r="BO83" i="1"/>
  <c r="BN83" i="1"/>
  <c r="BE83" i="1"/>
  <c r="BC83" i="1"/>
  <c r="BB83" i="1"/>
  <c r="BQ82" i="1"/>
  <c r="BO82" i="1"/>
  <c r="BN82" i="1"/>
  <c r="BE82" i="1"/>
  <c r="BC82" i="1"/>
  <c r="BB82" i="1"/>
  <c r="BQ81" i="1"/>
  <c r="BO81" i="1"/>
  <c r="BN81" i="1"/>
  <c r="BE81" i="1"/>
  <c r="BC81" i="1"/>
  <c r="BB81" i="1"/>
  <c r="BQ80" i="1"/>
  <c r="BO80" i="1"/>
  <c r="BN80" i="1"/>
  <c r="BE80" i="1"/>
  <c r="BC80" i="1"/>
  <c r="BB80" i="1"/>
  <c r="BQ79" i="1"/>
  <c r="BO79" i="1"/>
  <c r="BN79" i="1"/>
  <c r="BE79" i="1"/>
  <c r="BC79" i="1"/>
  <c r="BB79" i="1"/>
  <c r="BQ78" i="1"/>
  <c r="BO78" i="1"/>
  <c r="BN78" i="1"/>
  <c r="BE78" i="1"/>
  <c r="BC78" i="1"/>
  <c r="BB78" i="1"/>
  <c r="BQ77" i="1"/>
  <c r="BO77" i="1"/>
  <c r="BN77" i="1"/>
  <c r="BE77" i="1"/>
  <c r="BC77" i="1"/>
  <c r="BB77" i="1"/>
  <c r="BQ76" i="1"/>
  <c r="BO76" i="1"/>
  <c r="BN76" i="1"/>
  <c r="BE76" i="1"/>
  <c r="BC76" i="1"/>
  <c r="BB76" i="1"/>
  <c r="BQ75" i="1"/>
  <c r="BO75" i="1"/>
  <c r="BN75" i="1"/>
  <c r="BE75" i="1"/>
  <c r="BC75" i="1"/>
  <c r="BB75" i="1"/>
  <c r="BQ74" i="1"/>
  <c r="BO74" i="1"/>
  <c r="BN74" i="1"/>
  <c r="BE74" i="1"/>
  <c r="BC74" i="1"/>
  <c r="BB74" i="1"/>
  <c r="BQ73" i="1"/>
  <c r="BO73" i="1"/>
  <c r="BN73" i="1"/>
  <c r="BE73" i="1"/>
  <c r="BC73" i="1"/>
  <c r="BB73" i="1"/>
  <c r="BQ72" i="1"/>
  <c r="BO72" i="1"/>
  <c r="BN72" i="1"/>
  <c r="BE72" i="1"/>
  <c r="BC72" i="1"/>
  <c r="BB72" i="1"/>
  <c r="BQ71" i="1"/>
  <c r="BO71" i="1"/>
  <c r="BN71" i="1"/>
  <c r="BE71" i="1"/>
  <c r="BC71" i="1"/>
  <c r="BB71" i="1"/>
  <c r="BQ70" i="1"/>
  <c r="BO70" i="1"/>
  <c r="BN70" i="1"/>
  <c r="BE70" i="1"/>
  <c r="BC70" i="1"/>
  <c r="BB70" i="1"/>
  <c r="BQ69" i="1"/>
  <c r="BO69" i="1"/>
  <c r="BN69" i="1"/>
  <c r="BE69" i="1"/>
  <c r="BC69" i="1"/>
  <c r="BB69" i="1"/>
  <c r="BQ68" i="1"/>
  <c r="BO68" i="1"/>
  <c r="BN68" i="1"/>
  <c r="BE68" i="1"/>
  <c r="BC68" i="1"/>
  <c r="BB68" i="1"/>
  <c r="BQ67" i="1"/>
  <c r="BO67" i="1"/>
  <c r="BN67" i="1"/>
  <c r="BE67" i="1"/>
  <c r="BC67" i="1"/>
  <c r="BB67" i="1"/>
  <c r="BQ66" i="1"/>
  <c r="BO66" i="1"/>
  <c r="BN66" i="1"/>
  <c r="BE66" i="1"/>
  <c r="BC66" i="1"/>
  <c r="BB66" i="1"/>
  <c r="BQ65" i="1"/>
  <c r="BO65" i="1"/>
  <c r="BN65" i="1"/>
  <c r="BE65" i="1"/>
  <c r="BC65" i="1"/>
  <c r="BB65" i="1"/>
  <c r="BQ64" i="1"/>
  <c r="BO64" i="1"/>
  <c r="BN64" i="1"/>
  <c r="BE64" i="1"/>
  <c r="BC64" i="1"/>
  <c r="BB64" i="1"/>
  <c r="BQ63" i="1"/>
  <c r="BO63" i="1"/>
  <c r="BN63" i="1"/>
  <c r="BE63" i="1"/>
  <c r="BC63" i="1"/>
  <c r="BB63" i="1"/>
  <c r="BQ62" i="1"/>
  <c r="BO62" i="1"/>
  <c r="BN62" i="1"/>
  <c r="BE62" i="1"/>
  <c r="BC62" i="1"/>
  <c r="BB62" i="1"/>
  <c r="BQ61" i="1"/>
  <c r="BO61" i="1"/>
  <c r="BN61" i="1"/>
  <c r="BE61" i="1"/>
  <c r="BC61" i="1"/>
  <c r="BB61" i="1"/>
  <c r="BQ60" i="1"/>
  <c r="BO60" i="1"/>
  <c r="BN60" i="1"/>
  <c r="BE60" i="1"/>
  <c r="BC60" i="1"/>
  <c r="BB60" i="1"/>
  <c r="BQ59" i="1"/>
  <c r="BO59" i="1"/>
  <c r="BN59" i="1"/>
  <c r="BE59" i="1"/>
  <c r="BC59" i="1"/>
  <c r="BB59" i="1"/>
  <c r="BQ58" i="1"/>
  <c r="BO58" i="1"/>
  <c r="BN58" i="1"/>
  <c r="BE58" i="1"/>
  <c r="BC58" i="1"/>
  <c r="BB58" i="1"/>
  <c r="BQ57" i="1"/>
  <c r="BO57" i="1"/>
  <c r="BN57" i="1"/>
  <c r="BE57" i="1"/>
  <c r="BC57" i="1"/>
  <c r="BB57" i="1"/>
  <c r="BQ56" i="1"/>
  <c r="BO56" i="1"/>
  <c r="BN56" i="1"/>
  <c r="BE56" i="1"/>
  <c r="BC56" i="1"/>
  <c r="BB56" i="1"/>
  <c r="BQ55" i="1"/>
  <c r="BO55" i="1"/>
  <c r="BN55" i="1"/>
  <c r="BE55" i="1"/>
  <c r="BC55" i="1"/>
  <c r="BB55" i="1"/>
  <c r="BQ54" i="1"/>
  <c r="BO54" i="1"/>
  <c r="BN54" i="1"/>
  <c r="BE54" i="1"/>
  <c r="BC54" i="1"/>
  <c r="BB54" i="1"/>
  <c r="BQ53" i="1"/>
  <c r="BO53" i="1"/>
  <c r="BN53" i="1"/>
  <c r="BE53" i="1"/>
  <c r="BC53" i="1"/>
  <c r="BB53" i="1"/>
  <c r="BQ52" i="1"/>
  <c r="BO52" i="1"/>
  <c r="BN52" i="1"/>
  <c r="BE52" i="1"/>
  <c r="BC52" i="1"/>
  <c r="BB52" i="1"/>
  <c r="BQ51" i="1"/>
  <c r="BO51" i="1"/>
  <c r="BN51" i="1"/>
  <c r="BE51" i="1"/>
  <c r="BC51" i="1"/>
  <c r="BB51" i="1"/>
  <c r="BQ50" i="1"/>
  <c r="BO50" i="1"/>
  <c r="BN50" i="1"/>
  <c r="BE50" i="1"/>
  <c r="BC50" i="1"/>
  <c r="BB50" i="1"/>
  <c r="BQ49" i="1"/>
  <c r="BO49" i="1"/>
  <c r="BN49" i="1"/>
  <c r="BE49" i="1"/>
  <c r="BC49" i="1"/>
  <c r="BB49" i="1"/>
  <c r="BQ48" i="1"/>
  <c r="BO48" i="1"/>
  <c r="BN48" i="1"/>
  <c r="BE48" i="1"/>
  <c r="BC48" i="1"/>
  <c r="BB48" i="1"/>
  <c r="BQ47" i="1"/>
  <c r="BO47" i="1"/>
  <c r="BN47" i="1"/>
  <c r="BE47" i="1"/>
  <c r="BC47" i="1"/>
  <c r="BB47" i="1"/>
  <c r="BQ46" i="1"/>
  <c r="BO46" i="1"/>
  <c r="BN46" i="1"/>
  <c r="BE46" i="1"/>
  <c r="BC46" i="1"/>
  <c r="BB46" i="1"/>
  <c r="BQ45" i="1"/>
  <c r="BO45" i="1"/>
  <c r="BN45" i="1"/>
  <c r="BE45" i="1"/>
  <c r="BC45" i="1"/>
  <c r="BB45" i="1"/>
  <c r="BQ44" i="1"/>
  <c r="BO44" i="1"/>
  <c r="BN44" i="1"/>
  <c r="BE44" i="1"/>
  <c r="BC44" i="1"/>
  <c r="BB44" i="1"/>
  <c r="BQ43" i="1"/>
  <c r="BO43" i="1"/>
  <c r="BN43" i="1"/>
  <c r="BE43" i="1"/>
  <c r="BC43" i="1"/>
  <c r="BB43" i="1"/>
  <c r="BQ42" i="1"/>
  <c r="BO42" i="1"/>
  <c r="BN42" i="1"/>
  <c r="BE42" i="1"/>
  <c r="BC42" i="1"/>
  <c r="BB42" i="1"/>
  <c r="BQ41" i="1"/>
  <c r="BO41" i="1"/>
  <c r="BN41" i="1"/>
  <c r="BE41" i="1"/>
  <c r="BC41" i="1"/>
  <c r="BB41" i="1"/>
  <c r="BQ40" i="1"/>
  <c r="BO40" i="1"/>
  <c r="BN40" i="1"/>
  <c r="BE40" i="1"/>
  <c r="BC40" i="1"/>
  <c r="BB40" i="1"/>
  <c r="BQ39" i="1"/>
  <c r="BO39" i="1"/>
  <c r="BN39" i="1"/>
  <c r="BE39" i="1"/>
  <c r="BC39" i="1"/>
  <c r="BB39" i="1"/>
  <c r="BQ38" i="1"/>
  <c r="BO38" i="1"/>
  <c r="BN38" i="1"/>
  <c r="BE38" i="1"/>
  <c r="BC38" i="1"/>
  <c r="BB38" i="1"/>
  <c r="BQ37" i="1"/>
  <c r="BO37" i="1"/>
  <c r="BN37" i="1"/>
  <c r="BE37" i="1"/>
  <c r="BC37" i="1"/>
  <c r="BB37" i="1"/>
  <c r="BQ36" i="1"/>
  <c r="BO36" i="1"/>
  <c r="BN36" i="1"/>
  <c r="BE36" i="1"/>
  <c r="BC36" i="1"/>
  <c r="BB36" i="1"/>
  <c r="BQ35" i="1"/>
  <c r="BO35" i="1"/>
  <c r="BN35" i="1"/>
  <c r="BE35" i="1"/>
  <c r="BC35" i="1"/>
  <c r="BB35" i="1"/>
  <c r="BQ34" i="1"/>
  <c r="BO34" i="1"/>
  <c r="BN34" i="1"/>
  <c r="BE34" i="1"/>
  <c r="BC34" i="1"/>
  <c r="BB34" i="1"/>
  <c r="BQ33" i="1"/>
  <c r="BO33" i="1"/>
  <c r="BN33" i="1"/>
  <c r="BE33" i="1"/>
  <c r="BC33" i="1"/>
  <c r="BB33" i="1"/>
  <c r="BQ32" i="1"/>
  <c r="BO32" i="1"/>
  <c r="BN32" i="1"/>
  <c r="BE32" i="1"/>
  <c r="BC32" i="1"/>
  <c r="BB32" i="1"/>
  <c r="BQ31" i="1"/>
  <c r="BO31" i="1"/>
  <c r="BN31" i="1"/>
  <c r="BE31" i="1"/>
  <c r="BC31" i="1"/>
  <c r="BB31" i="1"/>
  <c r="BQ30" i="1"/>
  <c r="BO30" i="1"/>
  <c r="BN30" i="1"/>
  <c r="BE30" i="1"/>
  <c r="BC30" i="1"/>
  <c r="BB30" i="1"/>
  <c r="BQ29" i="1"/>
  <c r="BO29" i="1"/>
  <c r="BN29" i="1"/>
  <c r="BE29" i="1"/>
  <c r="BC29" i="1"/>
  <c r="BB29" i="1"/>
  <c r="BQ28" i="1"/>
  <c r="BO28" i="1"/>
  <c r="BN28" i="1"/>
  <c r="BE28" i="1"/>
  <c r="BC28" i="1"/>
  <c r="BB28" i="1"/>
  <c r="BQ27" i="1"/>
  <c r="BO27" i="1"/>
  <c r="BN27" i="1"/>
  <c r="BE27" i="1"/>
  <c r="BC27" i="1"/>
  <c r="BB27" i="1"/>
  <c r="BQ26" i="1"/>
  <c r="BO26" i="1"/>
  <c r="BN26" i="1"/>
  <c r="BE26" i="1"/>
  <c r="BC26" i="1"/>
  <c r="BB26" i="1"/>
  <c r="BQ25" i="1"/>
  <c r="BO25" i="1"/>
  <c r="BN25" i="1"/>
  <c r="BE25" i="1"/>
  <c r="BC25" i="1"/>
  <c r="BB25" i="1"/>
  <c r="BQ24" i="1"/>
  <c r="BO24" i="1"/>
  <c r="BN24" i="1"/>
  <c r="BE24" i="1"/>
  <c r="BC24" i="1"/>
  <c r="BB24" i="1"/>
  <c r="BQ23" i="1"/>
  <c r="BO23" i="1"/>
  <c r="BN23" i="1"/>
  <c r="BE23" i="1"/>
  <c r="BC23" i="1"/>
  <c r="BB23" i="1"/>
  <c r="BQ22" i="1"/>
  <c r="BP22" i="1"/>
  <c r="BO22" i="1"/>
  <c r="BN22" i="1"/>
  <c r="BE22" i="1"/>
  <c r="BD22" i="1"/>
  <c r="BC22" i="1"/>
  <c r="BB22" i="1"/>
  <c r="BF23" i="1" s="1"/>
  <c r="BD23" i="1" s="1"/>
  <c r="BQ21" i="1"/>
  <c r="BR22" i="1" s="1"/>
  <c r="BE21" i="1"/>
  <c r="BF22" i="1" s="1"/>
  <c r="BH22" i="1" s="1"/>
  <c r="BT20" i="1"/>
  <c r="BS20" i="1"/>
  <c r="BH20" i="1"/>
  <c r="BG20" i="1"/>
  <c r="BR23" i="1" l="1"/>
  <c r="BP23" i="1" s="1"/>
  <c r="BR24" i="1" s="1"/>
  <c r="BP24" i="1" s="1"/>
  <c r="BR25" i="1" s="1"/>
  <c r="BG23" i="1"/>
  <c r="BH23" i="1"/>
  <c r="BF24" i="1"/>
  <c r="BD24" i="1" s="1"/>
  <c r="BF25" i="1" s="1"/>
  <c r="BT22" i="1"/>
  <c r="BS22" i="1"/>
  <c r="BG22" i="1"/>
  <c r="BI22" i="1" s="1"/>
  <c r="BS23" i="1" l="1"/>
  <c r="BT23" i="1"/>
  <c r="BH25" i="1"/>
  <c r="BG25" i="1"/>
  <c r="BD25" i="1"/>
  <c r="BF26" i="1" s="1"/>
  <c r="BH26" i="1" s="1"/>
  <c r="BS24" i="1"/>
  <c r="BU22" i="1"/>
  <c r="BX22" i="1" s="1"/>
  <c r="BG24" i="1"/>
  <c r="BH24" i="1"/>
  <c r="BI23" i="1"/>
  <c r="BT24" i="1"/>
  <c r="BP25" i="1"/>
  <c r="BR26" i="1" s="1"/>
  <c r="BT25" i="1"/>
  <c r="BS25" i="1"/>
  <c r="BJ22" i="1"/>
  <c r="BU23" i="1" l="1"/>
  <c r="BX23" i="1" s="1"/>
  <c r="BI25" i="1"/>
  <c r="BS26" i="1"/>
  <c r="BP26" i="1"/>
  <c r="BR27" i="1" s="1"/>
  <c r="BT27" i="1" s="1"/>
  <c r="BT26" i="1"/>
  <c r="BD26" i="1"/>
  <c r="BF27" i="1" s="1"/>
  <c r="BG27" i="1" s="1"/>
  <c r="BG26" i="1"/>
  <c r="BI26" i="1" s="1"/>
  <c r="BU24" i="1"/>
  <c r="BV22" i="1"/>
  <c r="BU25" i="1"/>
  <c r="BI24" i="1"/>
  <c r="BJ23" i="1"/>
  <c r="BJ24" i="1" s="1"/>
  <c r="BY22" i="1"/>
  <c r="BJ25" i="1" l="1"/>
  <c r="BJ26" i="1" s="1"/>
  <c r="BX25" i="1"/>
  <c r="BY23" i="1"/>
  <c r="BV23" i="1"/>
  <c r="BV24" i="1" s="1"/>
  <c r="BV25" i="1" s="1"/>
  <c r="BD27" i="1"/>
  <c r="BF28" i="1" s="1"/>
  <c r="BH28" i="1" s="1"/>
  <c r="BH27" i="1"/>
  <c r="BI27" i="1" s="1"/>
  <c r="BP27" i="1"/>
  <c r="BR28" i="1" s="1"/>
  <c r="BP28" i="1" s="1"/>
  <c r="BR29" i="1" s="1"/>
  <c r="BU26" i="1"/>
  <c r="BX26" i="1" s="1"/>
  <c r="BX24" i="1"/>
  <c r="BS27" i="1"/>
  <c r="BU27" i="1" s="1"/>
  <c r="BY24" i="1" l="1"/>
  <c r="BY25" i="1" s="1"/>
  <c r="BY26" i="1" s="1"/>
  <c r="BV26" i="1"/>
  <c r="BV27" i="1" s="1"/>
  <c r="BD28" i="1"/>
  <c r="BF29" i="1" s="1"/>
  <c r="BH29" i="1" s="1"/>
  <c r="BG28" i="1"/>
  <c r="BI28" i="1" s="1"/>
  <c r="BS28" i="1"/>
  <c r="BT28" i="1"/>
  <c r="BS29" i="1"/>
  <c r="BP29" i="1"/>
  <c r="BR30" i="1" s="1"/>
  <c r="BT29" i="1"/>
  <c r="BJ27" i="1"/>
  <c r="BX27" i="1"/>
  <c r="BD29" i="1" l="1"/>
  <c r="BF30" i="1" s="1"/>
  <c r="BD30" i="1" s="1"/>
  <c r="BF31" i="1" s="1"/>
  <c r="BG29" i="1"/>
  <c r="BI29" i="1" s="1"/>
  <c r="BY27" i="1"/>
  <c r="BJ28" i="1"/>
  <c r="BU28" i="1"/>
  <c r="BS30" i="1"/>
  <c r="BP30" i="1"/>
  <c r="BR31" i="1" s="1"/>
  <c r="BT30" i="1"/>
  <c r="BU29" i="1"/>
  <c r="BG30" i="1" l="1"/>
  <c r="BH30" i="1"/>
  <c r="BJ29" i="1"/>
  <c r="BV28" i="1"/>
  <c r="BV29" i="1" s="1"/>
  <c r="BX28" i="1"/>
  <c r="BY28" i="1" s="1"/>
  <c r="BT31" i="1"/>
  <c r="BP31" i="1"/>
  <c r="BR32" i="1" s="1"/>
  <c r="BS31" i="1"/>
  <c r="BU30" i="1"/>
  <c r="BX29" i="1"/>
  <c r="BD31" i="1"/>
  <c r="BF32" i="1" s="1"/>
  <c r="BG31" i="1"/>
  <c r="BH31" i="1"/>
  <c r="BU31" i="1" l="1"/>
  <c r="BI30" i="1"/>
  <c r="BJ30" i="1" s="1"/>
  <c r="BY29" i="1"/>
  <c r="BV30" i="1"/>
  <c r="BP32" i="1"/>
  <c r="BR33" i="1" s="1"/>
  <c r="BS32" i="1"/>
  <c r="BT32" i="1"/>
  <c r="BI31" i="1"/>
  <c r="BD32" i="1"/>
  <c r="BF33" i="1" s="1"/>
  <c r="BG32" i="1"/>
  <c r="BH32" i="1"/>
  <c r="BV31" i="1" l="1"/>
  <c r="BX30" i="1"/>
  <c r="BY30" i="1" s="1"/>
  <c r="BU32" i="1"/>
  <c r="BS33" i="1"/>
  <c r="BT33" i="1"/>
  <c r="BP33" i="1"/>
  <c r="BR34" i="1" s="1"/>
  <c r="BI32" i="1"/>
  <c r="BH33" i="1"/>
  <c r="BG33" i="1"/>
  <c r="BD33" i="1"/>
  <c r="BF34" i="1" s="1"/>
  <c r="BX31" i="1"/>
  <c r="BJ31" i="1"/>
  <c r="BV32" i="1" l="1"/>
  <c r="BY31" i="1"/>
  <c r="BU33" i="1"/>
  <c r="BX32" i="1"/>
  <c r="BI33" i="1"/>
  <c r="BJ32" i="1"/>
  <c r="BH34" i="1"/>
  <c r="BD34" i="1"/>
  <c r="BF35" i="1" s="1"/>
  <c r="BG34" i="1"/>
  <c r="BS34" i="1"/>
  <c r="BT34" i="1"/>
  <c r="BP34" i="1"/>
  <c r="BR35" i="1" s="1"/>
  <c r="BV33" i="1" l="1"/>
  <c r="BY32" i="1"/>
  <c r="BJ33" i="1"/>
  <c r="BX33" i="1"/>
  <c r="BD35" i="1"/>
  <c r="BF36" i="1" s="1"/>
  <c r="BG35" i="1"/>
  <c r="BH35" i="1"/>
  <c r="BI34" i="1"/>
  <c r="BU34" i="1"/>
  <c r="BT35" i="1"/>
  <c r="BS35" i="1"/>
  <c r="BP35" i="1"/>
  <c r="BR36" i="1" s="1"/>
  <c r="BU35" i="1" l="1"/>
  <c r="BV34" i="1"/>
  <c r="BV35" i="1" s="1"/>
  <c r="BY33" i="1"/>
  <c r="BJ34" i="1"/>
  <c r="BI35" i="1"/>
  <c r="BG36" i="1"/>
  <c r="BD36" i="1"/>
  <c r="BF37" i="1" s="1"/>
  <c r="BH36" i="1"/>
  <c r="BT36" i="1"/>
  <c r="BS36" i="1"/>
  <c r="BP36" i="1"/>
  <c r="BR37" i="1" s="1"/>
  <c r="BX34" i="1"/>
  <c r="BY34" i="1" l="1"/>
  <c r="BJ35" i="1"/>
  <c r="BU36" i="1"/>
  <c r="BV36" i="1" s="1"/>
  <c r="BG37" i="1"/>
  <c r="BH37" i="1"/>
  <c r="BI37" i="1" s="1"/>
  <c r="BD37" i="1"/>
  <c r="BF38" i="1" s="1"/>
  <c r="BI36" i="1"/>
  <c r="BX35" i="1"/>
  <c r="BP37" i="1"/>
  <c r="BR38" i="1" s="1"/>
  <c r="BT37" i="1"/>
  <c r="BS37" i="1"/>
  <c r="BU37" i="1" s="1"/>
  <c r="BJ36" i="1" l="1"/>
  <c r="BJ37" i="1" s="1"/>
  <c r="BY35" i="1"/>
  <c r="BD38" i="1"/>
  <c r="BF39" i="1" s="1"/>
  <c r="BG38" i="1"/>
  <c r="BH38" i="1"/>
  <c r="BX37" i="1"/>
  <c r="BX36" i="1"/>
  <c r="BP38" i="1"/>
  <c r="BR39" i="1" s="1"/>
  <c r="BT38" i="1"/>
  <c r="BS38" i="1"/>
  <c r="BV37" i="1"/>
  <c r="BY36" i="1" l="1"/>
  <c r="BY37" i="1" s="1"/>
  <c r="BI38" i="1"/>
  <c r="BJ38" i="1" s="1"/>
  <c r="BH39" i="1"/>
  <c r="BD39" i="1"/>
  <c r="BF40" i="1" s="1"/>
  <c r="BG39" i="1"/>
  <c r="BU38" i="1"/>
  <c r="BP39" i="1"/>
  <c r="BR40" i="1" s="1"/>
  <c r="BS39" i="1"/>
  <c r="BT39" i="1"/>
  <c r="BX38" i="1" l="1"/>
  <c r="BY38" i="1" s="1"/>
  <c r="BI39" i="1"/>
  <c r="BJ39" i="1" s="1"/>
  <c r="BV38" i="1"/>
  <c r="BD40" i="1"/>
  <c r="BF41" i="1" s="1"/>
  <c r="BH40" i="1"/>
  <c r="BG40" i="1"/>
  <c r="BI40" i="1" s="1"/>
  <c r="BU39" i="1"/>
  <c r="BS40" i="1"/>
  <c r="BP40" i="1"/>
  <c r="BR41" i="1" s="1"/>
  <c r="BT40" i="1"/>
  <c r="BJ40" i="1" l="1"/>
  <c r="BD41" i="1"/>
  <c r="BF42" i="1" s="1"/>
  <c r="BH41" i="1"/>
  <c r="BG41" i="1"/>
  <c r="BU40" i="1"/>
  <c r="BX40" i="1" s="1"/>
  <c r="BS41" i="1"/>
  <c r="BT41" i="1"/>
  <c r="BP41" i="1"/>
  <c r="BR42" i="1" s="1"/>
  <c r="BX39" i="1"/>
  <c r="BY39" i="1" s="1"/>
  <c r="BV39" i="1"/>
  <c r="BV40" i="1" l="1"/>
  <c r="BY40" i="1"/>
  <c r="BI41" i="1"/>
  <c r="BJ41" i="1" s="1"/>
  <c r="BH42" i="1"/>
  <c r="BG42" i="1"/>
  <c r="BD42" i="1"/>
  <c r="BF43" i="1" s="1"/>
  <c r="BU41" i="1"/>
  <c r="BS42" i="1"/>
  <c r="BP42" i="1"/>
  <c r="BR43" i="1" s="1"/>
  <c r="BT42" i="1"/>
  <c r="BX41" i="1" l="1"/>
  <c r="BY41" i="1" s="1"/>
  <c r="BI42" i="1"/>
  <c r="BJ42" i="1" s="1"/>
  <c r="BD43" i="1"/>
  <c r="BF44" i="1" s="1"/>
  <c r="BG43" i="1"/>
  <c r="BH43" i="1"/>
  <c r="BV41" i="1"/>
  <c r="BU42" i="1"/>
  <c r="BT43" i="1"/>
  <c r="BP43" i="1"/>
  <c r="BR44" i="1" s="1"/>
  <c r="BS43" i="1"/>
  <c r="BU43" i="1" l="1"/>
  <c r="BI43" i="1"/>
  <c r="BJ43" i="1" s="1"/>
  <c r="BH44" i="1"/>
  <c r="BD44" i="1"/>
  <c r="BF45" i="1" s="1"/>
  <c r="BG44" i="1"/>
  <c r="BT44" i="1"/>
  <c r="BS44" i="1"/>
  <c r="BP44" i="1"/>
  <c r="BR45" i="1" s="1"/>
  <c r="BX42" i="1"/>
  <c r="BY42" i="1" s="1"/>
  <c r="BV42" i="1"/>
  <c r="BV43" i="1" l="1"/>
  <c r="BU44" i="1"/>
  <c r="BI44" i="1"/>
  <c r="BG45" i="1"/>
  <c r="BD45" i="1"/>
  <c r="BF46" i="1" s="1"/>
  <c r="BH45" i="1"/>
  <c r="BX43" i="1"/>
  <c r="BY43" i="1" s="1"/>
  <c r="BS45" i="1"/>
  <c r="BT45" i="1"/>
  <c r="BP45" i="1"/>
  <c r="BR46" i="1" s="1"/>
  <c r="BV44" i="1" l="1"/>
  <c r="BX44" i="1"/>
  <c r="BY44" i="1" s="1"/>
  <c r="BJ44" i="1"/>
  <c r="BD46" i="1"/>
  <c r="BF47" i="1" s="1"/>
  <c r="BH46" i="1"/>
  <c r="BG46" i="1"/>
  <c r="BI45" i="1"/>
  <c r="BT46" i="1"/>
  <c r="BS46" i="1"/>
  <c r="BP46" i="1"/>
  <c r="BR47" i="1" s="1"/>
  <c r="BU45" i="1"/>
  <c r="BI46" i="1" l="1"/>
  <c r="BU46" i="1"/>
  <c r="BJ45" i="1"/>
  <c r="BH47" i="1"/>
  <c r="BD47" i="1"/>
  <c r="BF48" i="1" s="1"/>
  <c r="BG47" i="1"/>
  <c r="BX45" i="1"/>
  <c r="BY45" i="1" s="1"/>
  <c r="BV45" i="1"/>
  <c r="BS47" i="1"/>
  <c r="BT47" i="1"/>
  <c r="BP47" i="1"/>
  <c r="BR48" i="1" s="1"/>
  <c r="BX46" i="1" l="1"/>
  <c r="BY46" i="1" s="1"/>
  <c r="BJ46" i="1"/>
  <c r="BV46" i="1"/>
  <c r="BU47" i="1"/>
  <c r="BI47" i="1"/>
  <c r="BH48" i="1"/>
  <c r="BG48" i="1"/>
  <c r="BI48" i="1" s="1"/>
  <c r="BD48" i="1"/>
  <c r="BF49" i="1" s="1"/>
  <c r="BS48" i="1"/>
  <c r="BT48" i="1"/>
  <c r="BP48" i="1"/>
  <c r="BR49" i="1" s="1"/>
  <c r="BJ47" i="1" l="1"/>
  <c r="BJ48" i="1" s="1"/>
  <c r="BV47" i="1"/>
  <c r="BX47" i="1"/>
  <c r="BY47" i="1" s="1"/>
  <c r="BU48" i="1"/>
  <c r="BD49" i="1"/>
  <c r="BF50" i="1" s="1"/>
  <c r="BH49" i="1"/>
  <c r="BG49" i="1"/>
  <c r="BP49" i="1"/>
  <c r="BR50" i="1" s="1"/>
  <c r="BT49" i="1"/>
  <c r="BS49" i="1"/>
  <c r="BU49" i="1" s="1"/>
  <c r="BV48" i="1" l="1"/>
  <c r="BV49" i="1" s="1"/>
  <c r="BI49" i="1"/>
  <c r="BX49" i="1" s="1"/>
  <c r="BX48" i="1"/>
  <c r="BY48" i="1" s="1"/>
  <c r="BG50" i="1"/>
  <c r="BH50" i="1"/>
  <c r="BD50" i="1"/>
  <c r="BF51" i="1" s="1"/>
  <c r="BT50" i="1"/>
  <c r="BS50" i="1"/>
  <c r="BP50" i="1"/>
  <c r="BR51" i="1" s="1"/>
  <c r="BU50" i="1" l="1"/>
  <c r="BJ49" i="1"/>
  <c r="BY49" i="1"/>
  <c r="BD51" i="1"/>
  <c r="BF52" i="1" s="1"/>
  <c r="BH51" i="1"/>
  <c r="BG51" i="1"/>
  <c r="BI50" i="1"/>
  <c r="BS51" i="1"/>
  <c r="BT51" i="1"/>
  <c r="BP51" i="1"/>
  <c r="BR52" i="1" s="1"/>
  <c r="BX50" i="1" l="1"/>
  <c r="BY50" i="1" s="1"/>
  <c r="BV50" i="1"/>
  <c r="BJ50" i="1"/>
  <c r="BI51" i="1"/>
  <c r="BG52" i="1"/>
  <c r="BD52" i="1"/>
  <c r="BF53" i="1" s="1"/>
  <c r="BH52" i="1"/>
  <c r="BP52" i="1"/>
  <c r="BR53" i="1" s="1"/>
  <c r="BT52" i="1"/>
  <c r="BS52" i="1"/>
  <c r="BU51" i="1"/>
  <c r="BJ51" i="1" l="1"/>
  <c r="BU52" i="1"/>
  <c r="BH53" i="1"/>
  <c r="BG53" i="1"/>
  <c r="BD53" i="1"/>
  <c r="BF54" i="1" s="1"/>
  <c r="BI52" i="1"/>
  <c r="BX51" i="1"/>
  <c r="BY51" i="1" s="1"/>
  <c r="BV51" i="1"/>
  <c r="BT53" i="1"/>
  <c r="BS53" i="1"/>
  <c r="BU53" i="1" s="1"/>
  <c r="BP53" i="1"/>
  <c r="BR54" i="1" s="1"/>
  <c r="BJ52" i="1" l="1"/>
  <c r="BV52" i="1"/>
  <c r="BV53" i="1" s="1"/>
  <c r="BI53" i="1"/>
  <c r="BG54" i="1"/>
  <c r="BH54" i="1"/>
  <c r="BD54" i="1"/>
  <c r="BF55" i="1" s="1"/>
  <c r="BX52" i="1"/>
  <c r="BY52" i="1" s="1"/>
  <c r="BT54" i="1"/>
  <c r="BP54" i="1"/>
  <c r="BR55" i="1" s="1"/>
  <c r="BS54" i="1"/>
  <c r="BU54" i="1" l="1"/>
  <c r="BJ53" i="1"/>
  <c r="BV54" i="1"/>
  <c r="BX53" i="1"/>
  <c r="BY53" i="1" s="1"/>
  <c r="BP55" i="1"/>
  <c r="BR56" i="1" s="1"/>
  <c r="BT55" i="1"/>
  <c r="BS55" i="1"/>
  <c r="BD55" i="1"/>
  <c r="BF56" i="1" s="1"/>
  <c r="BG55" i="1"/>
  <c r="BH55" i="1"/>
  <c r="BI54" i="1"/>
  <c r="BJ54" i="1" l="1"/>
  <c r="BU55" i="1"/>
  <c r="BV55" i="1" s="1"/>
  <c r="BS56" i="1"/>
  <c r="BP56" i="1"/>
  <c r="BR57" i="1" s="1"/>
  <c r="BT56" i="1"/>
  <c r="BI55" i="1"/>
  <c r="BH56" i="1"/>
  <c r="BD56" i="1"/>
  <c r="BF57" i="1" s="1"/>
  <c r="BG56" i="1"/>
  <c r="BX54" i="1"/>
  <c r="BY54" i="1" s="1"/>
  <c r="BI56" i="1" l="1"/>
  <c r="BX55" i="1"/>
  <c r="BY55" i="1" s="1"/>
  <c r="BS57" i="1"/>
  <c r="BP57" i="1"/>
  <c r="BR58" i="1" s="1"/>
  <c r="BT57" i="1"/>
  <c r="BU56" i="1"/>
  <c r="BV56" i="1" s="1"/>
  <c r="BG57" i="1"/>
  <c r="BH57" i="1"/>
  <c r="BD57" i="1"/>
  <c r="BF58" i="1" s="1"/>
  <c r="BJ55" i="1"/>
  <c r="BJ56" i="1" l="1"/>
  <c r="BI57" i="1"/>
  <c r="BU57" i="1"/>
  <c r="BX56" i="1"/>
  <c r="BY56" i="1" s="1"/>
  <c r="BS58" i="1"/>
  <c r="BT58" i="1"/>
  <c r="BP58" i="1"/>
  <c r="BR59" i="1" s="1"/>
  <c r="BD58" i="1"/>
  <c r="BF59" i="1" s="1"/>
  <c r="BG58" i="1"/>
  <c r="BH58" i="1"/>
  <c r="BX57" i="1" l="1"/>
  <c r="BY57" i="1" s="1"/>
  <c r="BJ57" i="1"/>
  <c r="BV57" i="1"/>
  <c r="BU58" i="1"/>
  <c r="BT59" i="1"/>
  <c r="BP59" i="1"/>
  <c r="BR60" i="1" s="1"/>
  <c r="BS59" i="1"/>
  <c r="BH59" i="1"/>
  <c r="BD59" i="1"/>
  <c r="BF60" i="1" s="1"/>
  <c r="BG59" i="1"/>
  <c r="BI59" i="1" s="1"/>
  <c r="BI58" i="1"/>
  <c r="BV58" i="1" l="1"/>
  <c r="BU59" i="1"/>
  <c r="BS60" i="1"/>
  <c r="BT60" i="1"/>
  <c r="BP60" i="1"/>
  <c r="BR61" i="1" s="1"/>
  <c r="BH60" i="1"/>
  <c r="BD60" i="1"/>
  <c r="BF61" i="1" s="1"/>
  <c r="BG60" i="1"/>
  <c r="BX58" i="1"/>
  <c r="BY58" i="1" s="1"/>
  <c r="BJ58" i="1"/>
  <c r="BJ59" i="1" s="1"/>
  <c r="BV59" i="1" l="1"/>
  <c r="BI60" i="1"/>
  <c r="BJ60" i="1" s="1"/>
  <c r="BX59" i="1"/>
  <c r="BY59" i="1" s="1"/>
  <c r="BU60" i="1"/>
  <c r="BP61" i="1"/>
  <c r="BR62" i="1" s="1"/>
  <c r="BS61" i="1"/>
  <c r="BT61" i="1"/>
  <c r="BD61" i="1"/>
  <c r="BF62" i="1" s="1"/>
  <c r="BH61" i="1"/>
  <c r="BG61" i="1"/>
  <c r="BV60" i="1" l="1"/>
  <c r="BI61" i="1"/>
  <c r="BJ61" i="1" s="1"/>
  <c r="BX60" i="1"/>
  <c r="BY60" i="1" s="1"/>
  <c r="BU61" i="1"/>
  <c r="BP62" i="1"/>
  <c r="BR63" i="1" s="1"/>
  <c r="BS62" i="1"/>
  <c r="BT62" i="1"/>
  <c r="BH62" i="1"/>
  <c r="BG62" i="1"/>
  <c r="BI62" i="1" s="1"/>
  <c r="BD62" i="1"/>
  <c r="BF63" i="1" s="1"/>
  <c r="BV61" i="1" l="1"/>
  <c r="BX61" i="1"/>
  <c r="BY61" i="1" s="1"/>
  <c r="BU62" i="1"/>
  <c r="BP63" i="1"/>
  <c r="BR64" i="1" s="1"/>
  <c r="BS63" i="1"/>
  <c r="BT63" i="1"/>
  <c r="BD63" i="1"/>
  <c r="BF64" i="1" s="1"/>
  <c r="BG63" i="1"/>
  <c r="BH63" i="1"/>
  <c r="BI63" i="1" s="1"/>
  <c r="BJ62" i="1"/>
  <c r="BJ63" i="1" s="1"/>
  <c r="BV62" i="1" l="1"/>
  <c r="BX62" i="1"/>
  <c r="BY62" i="1" s="1"/>
  <c r="BU63" i="1"/>
  <c r="BX63" i="1" s="1"/>
  <c r="BT64" i="1"/>
  <c r="BS64" i="1"/>
  <c r="BP64" i="1"/>
  <c r="BR65" i="1" s="1"/>
  <c r="BD64" i="1"/>
  <c r="BF65" i="1" s="1"/>
  <c r="BH64" i="1"/>
  <c r="BG64" i="1"/>
  <c r="BI64" i="1" s="1"/>
  <c r="BY63" i="1" l="1"/>
  <c r="BU64" i="1"/>
  <c r="BX64" i="1" s="1"/>
  <c r="BV63" i="1"/>
  <c r="BP65" i="1"/>
  <c r="BR66" i="1" s="1"/>
  <c r="BT65" i="1"/>
  <c r="BS65" i="1"/>
  <c r="BD65" i="1"/>
  <c r="BF66" i="1" s="1"/>
  <c r="BH65" i="1"/>
  <c r="BG65" i="1"/>
  <c r="BJ64" i="1"/>
  <c r="BY64" i="1" l="1"/>
  <c r="BV64" i="1"/>
  <c r="BU65" i="1"/>
  <c r="BP66" i="1"/>
  <c r="BR67" i="1" s="1"/>
  <c r="BT66" i="1"/>
  <c r="BS66" i="1"/>
  <c r="BH66" i="1"/>
  <c r="BG66" i="1"/>
  <c r="BI66" i="1" s="1"/>
  <c r="BD66" i="1"/>
  <c r="BF67" i="1" s="1"/>
  <c r="BI65" i="1"/>
  <c r="BU66" i="1" l="1"/>
  <c r="BX66" i="1" s="1"/>
  <c r="BV65" i="1"/>
  <c r="BX65" i="1"/>
  <c r="BY65" i="1" s="1"/>
  <c r="BT67" i="1"/>
  <c r="BS67" i="1"/>
  <c r="BP67" i="1"/>
  <c r="BR68" i="1" s="1"/>
  <c r="BD67" i="1"/>
  <c r="BF68" i="1" s="1"/>
  <c r="BG67" i="1"/>
  <c r="BH67" i="1"/>
  <c r="BJ65" i="1"/>
  <c r="BJ66" i="1" s="1"/>
  <c r="BV66" i="1" l="1"/>
  <c r="BY66" i="1"/>
  <c r="BU67" i="1"/>
  <c r="BS68" i="1"/>
  <c r="BP68" i="1"/>
  <c r="BR69" i="1" s="1"/>
  <c r="BT68" i="1"/>
  <c r="BI67" i="1"/>
  <c r="BJ67" i="1" s="1"/>
  <c r="BH68" i="1"/>
  <c r="BG68" i="1"/>
  <c r="BI68" i="1" s="1"/>
  <c r="BD68" i="1"/>
  <c r="BF69" i="1" s="1"/>
  <c r="BV67" i="1" l="1"/>
  <c r="BX67" i="1"/>
  <c r="BY67" i="1" s="1"/>
  <c r="BJ68" i="1"/>
  <c r="BT69" i="1"/>
  <c r="BP69" i="1"/>
  <c r="BR70" i="1" s="1"/>
  <c r="BS69" i="1"/>
  <c r="BU68" i="1"/>
  <c r="BG69" i="1"/>
  <c r="BH69" i="1"/>
  <c r="BD69" i="1"/>
  <c r="BF70" i="1" s="1"/>
  <c r="BV68" i="1" l="1"/>
  <c r="BU69" i="1"/>
  <c r="BX68" i="1"/>
  <c r="BY68" i="1" s="1"/>
  <c r="BP70" i="1"/>
  <c r="BR71" i="1" s="1"/>
  <c r="BT70" i="1"/>
  <c r="BS70" i="1"/>
  <c r="BD70" i="1"/>
  <c r="BF71" i="1" s="1"/>
  <c r="BH70" i="1"/>
  <c r="BG70" i="1"/>
  <c r="BI69" i="1"/>
  <c r="BI70" i="1" l="1"/>
  <c r="BV69" i="1"/>
  <c r="BU70" i="1"/>
  <c r="BT71" i="1"/>
  <c r="BP71" i="1"/>
  <c r="BR72" i="1" s="1"/>
  <c r="BS71" i="1"/>
  <c r="BG71" i="1"/>
  <c r="BD71" i="1"/>
  <c r="BF72" i="1" s="1"/>
  <c r="BH71" i="1"/>
  <c r="BI71" i="1" s="1"/>
  <c r="BX69" i="1"/>
  <c r="BY69" i="1" s="1"/>
  <c r="BJ69" i="1"/>
  <c r="BV70" i="1" l="1"/>
  <c r="BX70" i="1"/>
  <c r="BY70" i="1" s="1"/>
  <c r="BJ70" i="1"/>
  <c r="BJ71" i="1" s="1"/>
  <c r="BU71" i="1"/>
  <c r="BS72" i="1"/>
  <c r="BP72" i="1"/>
  <c r="BR73" i="1" s="1"/>
  <c r="BT72" i="1"/>
  <c r="BG72" i="1"/>
  <c r="BD72" i="1"/>
  <c r="BF73" i="1" s="1"/>
  <c r="BH72" i="1"/>
  <c r="BV71" i="1" l="1"/>
  <c r="BI72" i="1"/>
  <c r="BJ72" i="1" s="1"/>
  <c r="BX71" i="1"/>
  <c r="BY71" i="1" s="1"/>
  <c r="BU72" i="1"/>
  <c r="BS73" i="1"/>
  <c r="BP73" i="1"/>
  <c r="BR74" i="1" s="1"/>
  <c r="BT73" i="1"/>
  <c r="BD73" i="1"/>
  <c r="BF74" i="1" s="1"/>
  <c r="BH73" i="1"/>
  <c r="BG73" i="1"/>
  <c r="BV72" i="1" l="1"/>
  <c r="BX72" i="1"/>
  <c r="BY72" i="1" s="1"/>
  <c r="BS74" i="1"/>
  <c r="BT74" i="1"/>
  <c r="BP74" i="1"/>
  <c r="BR75" i="1" s="1"/>
  <c r="BU73" i="1"/>
  <c r="BH74" i="1"/>
  <c r="BD74" i="1"/>
  <c r="BF75" i="1" s="1"/>
  <c r="BG74" i="1"/>
  <c r="BI73" i="1"/>
  <c r="BX73" i="1" s="1"/>
  <c r="BV73" i="1" l="1"/>
  <c r="BY73" i="1"/>
  <c r="BI74" i="1"/>
  <c r="BU74" i="1"/>
  <c r="BP75" i="1"/>
  <c r="BR76" i="1" s="1"/>
  <c r="BT75" i="1"/>
  <c r="BS75" i="1"/>
  <c r="BG75" i="1"/>
  <c r="BD75" i="1"/>
  <c r="BF76" i="1" s="1"/>
  <c r="BH75" i="1"/>
  <c r="BJ73" i="1"/>
  <c r="BV74" i="1" l="1"/>
  <c r="BU75" i="1"/>
  <c r="BV75" i="1" s="1"/>
  <c r="BJ74" i="1"/>
  <c r="BX74" i="1"/>
  <c r="BY74" i="1" s="1"/>
  <c r="BS76" i="1"/>
  <c r="BT76" i="1"/>
  <c r="BP76" i="1"/>
  <c r="BR77" i="1" s="1"/>
  <c r="BG76" i="1"/>
  <c r="BD76" i="1"/>
  <c r="BF77" i="1" s="1"/>
  <c r="BH76" i="1"/>
  <c r="BI75" i="1"/>
  <c r="BJ75" i="1" l="1"/>
  <c r="BX75" i="1"/>
  <c r="BY75" i="1" s="1"/>
  <c r="BP77" i="1"/>
  <c r="BR78" i="1" s="1"/>
  <c r="BT77" i="1"/>
  <c r="BS77" i="1"/>
  <c r="BU76" i="1"/>
  <c r="BV76" i="1" s="1"/>
  <c r="BD77" i="1"/>
  <c r="BF78" i="1" s="1"/>
  <c r="BH77" i="1"/>
  <c r="BG77" i="1"/>
  <c r="BI77" i="1" s="1"/>
  <c r="BI76" i="1"/>
  <c r="BX76" i="1" s="1"/>
  <c r="BY76" i="1" l="1"/>
  <c r="BU77" i="1"/>
  <c r="BX77" i="1" s="1"/>
  <c r="BJ76" i="1"/>
  <c r="BJ77" i="1" s="1"/>
  <c r="BT78" i="1"/>
  <c r="BP78" i="1"/>
  <c r="BR79" i="1" s="1"/>
  <c r="BS78" i="1"/>
  <c r="BH78" i="1"/>
  <c r="BG78" i="1"/>
  <c r="BD78" i="1"/>
  <c r="BF79" i="1" s="1"/>
  <c r="BY77" i="1" l="1"/>
  <c r="BI78" i="1"/>
  <c r="BJ78" i="1" s="1"/>
  <c r="BU78" i="1"/>
  <c r="BV77" i="1"/>
  <c r="BS79" i="1"/>
  <c r="BP79" i="1"/>
  <c r="BR80" i="1" s="1"/>
  <c r="BT79" i="1"/>
  <c r="BD79" i="1"/>
  <c r="BF80" i="1" s="1"/>
  <c r="BH79" i="1"/>
  <c r="BG79" i="1"/>
  <c r="BX78" i="1" l="1"/>
  <c r="BY78" i="1" s="1"/>
  <c r="BV78" i="1"/>
  <c r="BT80" i="1"/>
  <c r="BS80" i="1"/>
  <c r="BP80" i="1"/>
  <c r="BR81" i="1" s="1"/>
  <c r="BU79" i="1"/>
  <c r="BD80" i="1"/>
  <c r="BF81" i="1" s="1"/>
  <c r="BH80" i="1"/>
  <c r="BG80" i="1"/>
  <c r="BI80" i="1" s="1"/>
  <c r="BI79" i="1"/>
  <c r="BU80" i="1" l="1"/>
  <c r="BX80" i="1" s="1"/>
  <c r="BV79" i="1"/>
  <c r="BS81" i="1"/>
  <c r="BT81" i="1"/>
  <c r="BP81" i="1"/>
  <c r="BR82" i="1" s="1"/>
  <c r="BG81" i="1"/>
  <c r="BH81" i="1"/>
  <c r="BD81" i="1"/>
  <c r="BF82" i="1" s="1"/>
  <c r="BX79" i="1"/>
  <c r="BY79" i="1" s="1"/>
  <c r="BJ79" i="1"/>
  <c r="BJ80" i="1" s="1"/>
  <c r="BV80" i="1" l="1"/>
  <c r="BY80" i="1"/>
  <c r="BU81" i="1"/>
  <c r="BT82" i="1"/>
  <c r="BS82" i="1"/>
  <c r="BP82" i="1"/>
  <c r="BR83" i="1" s="1"/>
  <c r="BI81" i="1"/>
  <c r="BJ81" i="1"/>
  <c r="BH82" i="1"/>
  <c r="BD82" i="1"/>
  <c r="BF83" i="1" s="1"/>
  <c r="BG82" i="1"/>
  <c r="BV81" i="1" l="1"/>
  <c r="BX81" i="1"/>
  <c r="BY81" i="1" s="1"/>
  <c r="BU82" i="1"/>
  <c r="BS83" i="1"/>
  <c r="BT83" i="1"/>
  <c r="BP83" i="1"/>
  <c r="BR84" i="1" s="1"/>
  <c r="BI82" i="1"/>
  <c r="BH83" i="1"/>
  <c r="BD83" i="1"/>
  <c r="BF84" i="1" s="1"/>
  <c r="BG83" i="1"/>
  <c r="BI83" i="1" s="1"/>
  <c r="BV82" i="1" l="1"/>
  <c r="BX82" i="1"/>
  <c r="BY82" i="1" s="1"/>
  <c r="BU83" i="1"/>
  <c r="BX83" i="1" s="1"/>
  <c r="BS84" i="1"/>
  <c r="BP84" i="1"/>
  <c r="BR85" i="1" s="1"/>
  <c r="BT84" i="1"/>
  <c r="BJ82" i="1"/>
  <c r="BJ83" i="1" s="1"/>
  <c r="BD84" i="1"/>
  <c r="BF85" i="1" s="1"/>
  <c r="BG84" i="1"/>
  <c r="BH84" i="1"/>
  <c r="BY83" i="1" l="1"/>
  <c r="BV83" i="1"/>
  <c r="BI84" i="1"/>
  <c r="BS85" i="1"/>
  <c r="BT85" i="1"/>
  <c r="BP85" i="1"/>
  <c r="BR86" i="1" s="1"/>
  <c r="BU84" i="1"/>
  <c r="BD85" i="1"/>
  <c r="BF86" i="1" s="1"/>
  <c r="BH85" i="1"/>
  <c r="BG85" i="1"/>
  <c r="BV84" i="1" l="1"/>
  <c r="BX84" i="1"/>
  <c r="BY84" i="1" s="1"/>
  <c r="BJ84" i="1"/>
  <c r="BP86" i="1"/>
  <c r="BR87" i="1" s="1"/>
  <c r="BT86" i="1"/>
  <c r="BS86" i="1"/>
  <c r="BU85" i="1"/>
  <c r="BG86" i="1"/>
  <c r="BD86" i="1"/>
  <c r="BF87" i="1" s="1"/>
  <c r="BH86" i="1"/>
  <c r="BI85" i="1"/>
  <c r="BX85" i="1" s="1"/>
  <c r="BU86" i="1" l="1"/>
  <c r="BV85" i="1"/>
  <c r="BV86" i="1" s="1"/>
  <c r="BY85" i="1"/>
  <c r="BP87" i="1"/>
  <c r="BR88" i="1" s="1"/>
  <c r="BS87" i="1"/>
  <c r="BT87" i="1"/>
  <c r="BH87" i="1"/>
  <c r="BG87" i="1"/>
  <c r="BI87" i="1" s="1"/>
  <c r="BD87" i="1"/>
  <c r="BF88" i="1" s="1"/>
  <c r="BI86" i="1"/>
  <c r="BJ85" i="1"/>
  <c r="BJ86" i="1" s="1"/>
  <c r="BX86" i="1" l="1"/>
  <c r="BY86" i="1" s="1"/>
  <c r="BU87" i="1"/>
  <c r="BV87" i="1" s="1"/>
  <c r="BS88" i="1"/>
  <c r="BP88" i="1"/>
  <c r="BR89" i="1" s="1"/>
  <c r="BT88" i="1"/>
  <c r="BH88" i="1"/>
  <c r="BG88" i="1"/>
  <c r="BD88" i="1"/>
  <c r="BF89" i="1" s="1"/>
  <c r="BJ87" i="1"/>
  <c r="BS89" i="1" l="1"/>
  <c r="BP89" i="1"/>
  <c r="BR90" i="1" s="1"/>
  <c r="BT89" i="1"/>
  <c r="BI88" i="1"/>
  <c r="BU88" i="1"/>
  <c r="BV88" i="1" s="1"/>
  <c r="BX87" i="1"/>
  <c r="BY87" i="1" s="1"/>
  <c r="BJ88" i="1"/>
  <c r="BH89" i="1"/>
  <c r="BD89" i="1"/>
  <c r="BF90" i="1" s="1"/>
  <c r="BG89" i="1"/>
  <c r="BT90" i="1" l="1"/>
  <c r="BP90" i="1"/>
  <c r="BR91" i="1" s="1"/>
  <c r="BS90" i="1"/>
  <c r="BU89" i="1"/>
  <c r="BV89" i="1" s="1"/>
  <c r="BX88" i="1"/>
  <c r="BY88" i="1" s="1"/>
  <c r="BG90" i="1"/>
  <c r="BD90" i="1"/>
  <c r="BF91" i="1" s="1"/>
  <c r="BH90" i="1"/>
  <c r="BI89" i="1"/>
  <c r="BU90" i="1" l="1"/>
  <c r="BV90" i="1" s="1"/>
  <c r="BP91" i="1"/>
  <c r="BR92" i="1" s="1"/>
  <c r="BS91" i="1"/>
  <c r="BT91" i="1"/>
  <c r="BH91" i="1"/>
  <c r="BG91" i="1"/>
  <c r="BI91" i="1" s="1"/>
  <c r="BD91" i="1"/>
  <c r="BF92" i="1" s="1"/>
  <c r="BI90" i="1"/>
  <c r="BX89" i="1"/>
  <c r="BY89" i="1" s="1"/>
  <c r="BJ89" i="1"/>
  <c r="BJ90" i="1" s="1"/>
  <c r="BJ91" i="1" s="1"/>
  <c r="BX90" i="1" l="1"/>
  <c r="BY90" i="1" s="1"/>
  <c r="BU91" i="1"/>
  <c r="BV91" i="1" s="1"/>
  <c r="BP92" i="1"/>
  <c r="BR93" i="1" s="1"/>
  <c r="BT92" i="1"/>
  <c r="BS92" i="1"/>
  <c r="BD92" i="1"/>
  <c r="BF93" i="1" s="1"/>
  <c r="BG92" i="1"/>
  <c r="BH92" i="1"/>
  <c r="BU92" i="1" l="1"/>
  <c r="BV92" i="1"/>
  <c r="BT93" i="1"/>
  <c r="BP93" i="1"/>
  <c r="BR94" i="1" s="1"/>
  <c r="BS93" i="1"/>
  <c r="BX91" i="1"/>
  <c r="BY91" i="1" s="1"/>
  <c r="BI92" i="1"/>
  <c r="BH93" i="1"/>
  <c r="BD93" i="1"/>
  <c r="BF94" i="1" s="1"/>
  <c r="BG93" i="1"/>
  <c r="BU93" i="1" l="1"/>
  <c r="BV93" i="1" s="1"/>
  <c r="BP94" i="1"/>
  <c r="BR95" i="1" s="1"/>
  <c r="BS94" i="1"/>
  <c r="BT94" i="1"/>
  <c r="BX92" i="1"/>
  <c r="BJ92" i="1"/>
  <c r="BI93" i="1"/>
  <c r="BG94" i="1"/>
  <c r="BH94" i="1"/>
  <c r="BD94" i="1"/>
  <c r="BF95" i="1" s="1"/>
  <c r="BX93" i="1" l="1"/>
  <c r="BJ93" i="1"/>
  <c r="BU94" i="1"/>
  <c r="BV94" i="1" s="1"/>
  <c r="BT95" i="1"/>
  <c r="BP95" i="1"/>
  <c r="BR96" i="1" s="1"/>
  <c r="BS95" i="1"/>
  <c r="BI94" i="1"/>
  <c r="BG95" i="1"/>
  <c r="BH95" i="1"/>
  <c r="BD95" i="1"/>
  <c r="BF96" i="1" s="1"/>
  <c r="BY92" i="1"/>
  <c r="BU95" i="1" l="1"/>
  <c r="BV95" i="1" s="1"/>
  <c r="BY93" i="1"/>
  <c r="BT96" i="1"/>
  <c r="BP96" i="1"/>
  <c r="BR97" i="1" s="1"/>
  <c r="BS96" i="1"/>
  <c r="BH96" i="1"/>
  <c r="BD96" i="1"/>
  <c r="BF97" i="1" s="1"/>
  <c r="BG96" i="1"/>
  <c r="BI95" i="1"/>
  <c r="BX94" i="1"/>
  <c r="BJ94" i="1"/>
  <c r="BJ95" i="1" l="1"/>
  <c r="BI96" i="1"/>
  <c r="BJ96" i="1" s="1"/>
  <c r="BU96" i="1"/>
  <c r="BV96" i="1" s="1"/>
  <c r="BH97" i="1"/>
  <c r="BG97" i="1"/>
  <c r="BD97" i="1"/>
  <c r="BF98" i="1" s="1"/>
  <c r="BP97" i="1"/>
  <c r="BR98" i="1" s="1"/>
  <c r="BT97" i="1"/>
  <c r="BS97" i="1"/>
  <c r="BU97" i="1" s="1"/>
  <c r="BX95" i="1"/>
  <c r="BY94" i="1"/>
  <c r="BX96" i="1" l="1"/>
  <c r="BT98" i="1"/>
  <c r="BS98" i="1"/>
  <c r="BP98" i="1"/>
  <c r="BR99" i="1" s="1"/>
  <c r="BG98" i="1"/>
  <c r="BH98" i="1"/>
  <c r="BD98" i="1"/>
  <c r="BF99" i="1" s="1"/>
  <c r="BV97" i="1"/>
  <c r="BI97" i="1"/>
  <c r="BY95" i="1"/>
  <c r="BY96" i="1" l="1"/>
  <c r="BU98" i="1"/>
  <c r="BV98" i="1" s="1"/>
  <c r="BG99" i="1"/>
  <c r="BD99" i="1"/>
  <c r="BF100" i="1" s="1"/>
  <c r="BH99" i="1"/>
  <c r="BX97" i="1"/>
  <c r="BJ97" i="1"/>
  <c r="BI98" i="1"/>
  <c r="BS99" i="1"/>
  <c r="BP99" i="1"/>
  <c r="BR100" i="1" s="1"/>
  <c r="BT99" i="1"/>
  <c r="BY97" i="1" l="1"/>
  <c r="BX98" i="1"/>
  <c r="BI99" i="1"/>
  <c r="BT100" i="1"/>
  <c r="BS100" i="1"/>
  <c r="BP100" i="1"/>
  <c r="BR101" i="1" s="1"/>
  <c r="BJ98" i="1"/>
  <c r="BU99" i="1"/>
  <c r="BG100" i="1"/>
  <c r="BH100" i="1"/>
  <c r="BD100" i="1"/>
  <c r="BF101" i="1" s="1"/>
  <c r="BY98" i="1" l="1"/>
  <c r="BU100" i="1"/>
  <c r="BJ99" i="1"/>
  <c r="BG101" i="1"/>
  <c r="BD101" i="1"/>
  <c r="BF102" i="1" s="1"/>
  <c r="BH101" i="1"/>
  <c r="BI100" i="1"/>
  <c r="BX99" i="1"/>
  <c r="BV99" i="1"/>
  <c r="BS101" i="1"/>
  <c r="BT101" i="1"/>
  <c r="BP101" i="1"/>
  <c r="BR102" i="1" s="1"/>
  <c r="BY99" i="1" l="1"/>
  <c r="BV100" i="1"/>
  <c r="BI101" i="1"/>
  <c r="BJ100" i="1"/>
  <c r="BX100" i="1"/>
  <c r="BS102" i="1"/>
  <c r="BP102" i="1"/>
  <c r="BR103" i="1" s="1"/>
  <c r="BT102" i="1"/>
  <c r="BU101" i="1"/>
  <c r="BG102" i="1"/>
  <c r="BH102" i="1"/>
  <c r="BD102" i="1"/>
  <c r="BF103" i="1" s="1"/>
  <c r="BY100" i="1" l="1"/>
  <c r="BJ101" i="1"/>
  <c r="BX101" i="1"/>
  <c r="BH103" i="1"/>
  <c r="BD103" i="1"/>
  <c r="BF104" i="1" s="1"/>
  <c r="BG103" i="1"/>
  <c r="BI102" i="1"/>
  <c r="BV101" i="1"/>
  <c r="BP103" i="1"/>
  <c r="BR104" i="1" s="1"/>
  <c r="BS103" i="1"/>
  <c r="BT103" i="1"/>
  <c r="BU102" i="1"/>
  <c r="BY101" i="1" l="1"/>
  <c r="BX102" i="1"/>
  <c r="BI103" i="1"/>
  <c r="BU103" i="1"/>
  <c r="BH104" i="1"/>
  <c r="BD104" i="1"/>
  <c r="BF105" i="1" s="1"/>
  <c r="BG104" i="1"/>
  <c r="BS104" i="1"/>
  <c r="BT104" i="1"/>
  <c r="BP104" i="1"/>
  <c r="BR105" i="1" s="1"/>
  <c r="BV102" i="1"/>
  <c r="BJ102" i="1"/>
  <c r="BY102" i="1" l="1"/>
  <c r="BI104" i="1"/>
  <c r="BV103" i="1"/>
  <c r="BJ103" i="1"/>
  <c r="BX103" i="1"/>
  <c r="BT105" i="1"/>
  <c r="BP105" i="1"/>
  <c r="BR106" i="1" s="1"/>
  <c r="BS105" i="1"/>
  <c r="BU104" i="1"/>
  <c r="BD105" i="1"/>
  <c r="BF106" i="1" s="1"/>
  <c r="BH105" i="1"/>
  <c r="BG105" i="1"/>
  <c r="BY103" i="1" l="1"/>
  <c r="BI105" i="1"/>
  <c r="BX104" i="1"/>
  <c r="BJ104" i="1"/>
  <c r="BU105" i="1"/>
  <c r="BH106" i="1"/>
  <c r="BG106" i="1"/>
  <c r="BD106" i="1"/>
  <c r="BF107" i="1" s="1"/>
  <c r="BV104" i="1"/>
  <c r="BP106" i="1"/>
  <c r="BR107" i="1" s="1"/>
  <c r="BS106" i="1"/>
  <c r="BT106" i="1"/>
  <c r="BY104" i="1" l="1"/>
  <c r="BJ105" i="1"/>
  <c r="BX105" i="1"/>
  <c r="BV105" i="1"/>
  <c r="BU106" i="1"/>
  <c r="BI106" i="1"/>
  <c r="BP107" i="1"/>
  <c r="BR108" i="1" s="1"/>
  <c r="BS107" i="1"/>
  <c r="BT107" i="1"/>
  <c r="BD107" i="1"/>
  <c r="BF108" i="1" s="1"/>
  <c r="BH107" i="1"/>
  <c r="BG107" i="1"/>
  <c r="BY105" i="1" l="1"/>
  <c r="BJ106" i="1"/>
  <c r="BV106" i="1"/>
  <c r="BX106" i="1"/>
  <c r="BI107" i="1"/>
  <c r="BU107" i="1"/>
  <c r="BS108" i="1"/>
  <c r="BT108" i="1"/>
  <c r="BP108" i="1"/>
  <c r="BR109" i="1" s="1"/>
  <c r="BD108" i="1"/>
  <c r="BF109" i="1" s="1"/>
  <c r="BH108" i="1"/>
  <c r="BG108" i="1"/>
  <c r="BI108" i="1" l="1"/>
  <c r="BY106" i="1"/>
  <c r="BX107" i="1"/>
  <c r="BJ107" i="1"/>
  <c r="BD109" i="1"/>
  <c r="BF110" i="1" s="1"/>
  <c r="BH109" i="1"/>
  <c r="BG109" i="1"/>
  <c r="BT109" i="1"/>
  <c r="BS109" i="1"/>
  <c r="BP109" i="1"/>
  <c r="BR110" i="1" s="1"/>
  <c r="BU108" i="1"/>
  <c r="BV107" i="1"/>
  <c r="BV108" i="1" s="1"/>
  <c r="BY107" i="1" l="1"/>
  <c r="BX108" i="1"/>
  <c r="BY108" i="1" s="1"/>
  <c r="BJ108" i="1"/>
  <c r="BU109" i="1"/>
  <c r="BV109" i="1" s="1"/>
  <c r="BT110" i="1"/>
  <c r="BS110" i="1"/>
  <c r="BP110" i="1"/>
  <c r="BR111" i="1" s="1"/>
  <c r="BI109" i="1"/>
  <c r="BJ109" i="1" s="1"/>
  <c r="BG110" i="1"/>
  <c r="BH110" i="1"/>
  <c r="BD110" i="1"/>
  <c r="BF111" i="1" s="1"/>
  <c r="BI110" i="1" l="1"/>
  <c r="BJ110" i="1" s="1"/>
  <c r="BX109" i="1"/>
  <c r="BY109" i="1" s="1"/>
  <c r="BU110" i="1"/>
  <c r="BV110" i="1" s="1"/>
  <c r="BD111" i="1"/>
  <c r="BF112" i="1" s="1"/>
  <c r="BG111" i="1"/>
  <c r="BH111" i="1"/>
  <c r="BS111" i="1"/>
  <c r="BT111" i="1"/>
  <c r="BP111" i="1"/>
  <c r="BR112" i="1" s="1"/>
  <c r="BX110" i="1" l="1"/>
  <c r="BY110" i="1" s="1"/>
  <c r="BU111" i="1"/>
  <c r="BV111" i="1" s="1"/>
  <c r="BP112" i="1"/>
  <c r="BR113" i="1" s="1"/>
  <c r="BS112" i="1"/>
  <c r="BT112" i="1"/>
  <c r="BI111" i="1"/>
  <c r="BG112" i="1"/>
  <c r="BH112" i="1"/>
  <c r="BD112" i="1"/>
  <c r="BF113" i="1" s="1"/>
  <c r="BS113" i="1" l="1"/>
  <c r="BP113" i="1"/>
  <c r="BR114" i="1" s="1"/>
  <c r="BT113" i="1"/>
  <c r="BH113" i="1"/>
  <c r="BD113" i="1"/>
  <c r="BF114" i="1" s="1"/>
  <c r="BG113" i="1"/>
  <c r="BI112" i="1"/>
  <c r="BX111" i="1"/>
  <c r="BY111" i="1" s="1"/>
  <c r="BJ111" i="1"/>
  <c r="BJ112" i="1" s="1"/>
  <c r="BU112" i="1"/>
  <c r="BX112" i="1" s="1"/>
  <c r="BI113" i="1" l="1"/>
  <c r="BJ113" i="1" s="1"/>
  <c r="BY112" i="1"/>
  <c r="BG114" i="1"/>
  <c r="BD114" i="1"/>
  <c r="BF115" i="1" s="1"/>
  <c r="BH114" i="1"/>
  <c r="BT114" i="1"/>
  <c r="BS114" i="1"/>
  <c r="BU114" i="1" s="1"/>
  <c r="BP114" i="1"/>
  <c r="BR115" i="1" s="1"/>
  <c r="BU113" i="1"/>
  <c r="BV112" i="1"/>
  <c r="BV113" i="1" s="1"/>
  <c r="BV114" i="1" s="1"/>
  <c r="BX113" i="1" l="1"/>
  <c r="BY113" i="1" s="1"/>
  <c r="BI114" i="1"/>
  <c r="BJ114" i="1" s="1"/>
  <c r="BS115" i="1"/>
  <c r="BT115" i="1"/>
  <c r="BP115" i="1"/>
  <c r="BR116" i="1" s="1"/>
  <c r="BG115" i="1"/>
  <c r="BH115" i="1"/>
  <c r="BD115" i="1"/>
  <c r="BF116" i="1" s="1"/>
  <c r="BI115" i="1" l="1"/>
  <c r="BJ115" i="1" s="1"/>
  <c r="BX114" i="1"/>
  <c r="BY114" i="1" s="1"/>
  <c r="BT116" i="1"/>
  <c r="BP116" i="1"/>
  <c r="BR117" i="1" s="1"/>
  <c r="BS116" i="1"/>
  <c r="BG116" i="1"/>
  <c r="BD116" i="1"/>
  <c r="BF117" i="1" s="1"/>
  <c r="BH116" i="1"/>
  <c r="BU115" i="1"/>
  <c r="BX115" i="1" l="1"/>
  <c r="BY115" i="1" s="1"/>
  <c r="BI116" i="1"/>
  <c r="BJ116" i="1" s="1"/>
  <c r="BV115" i="1"/>
  <c r="BH117" i="1"/>
  <c r="BD117" i="1"/>
  <c r="BF118" i="1" s="1"/>
  <c r="BG117" i="1"/>
  <c r="BU116" i="1"/>
  <c r="BS117" i="1"/>
  <c r="BP117" i="1"/>
  <c r="BR118" i="1" s="1"/>
  <c r="BT117" i="1"/>
  <c r="BX116" i="1" l="1"/>
  <c r="BY116" i="1" s="1"/>
  <c r="BI117" i="1"/>
  <c r="BJ117" i="1" s="1"/>
  <c r="BP118" i="1"/>
  <c r="BR119" i="1" s="1"/>
  <c r="BT118" i="1"/>
  <c r="BS118" i="1"/>
  <c r="BD118" i="1"/>
  <c r="BF119" i="1" s="1"/>
  <c r="BG118" i="1"/>
  <c r="BH118" i="1"/>
  <c r="BV116" i="1"/>
  <c r="BU117" i="1"/>
  <c r="BX117" i="1" l="1"/>
  <c r="BY117" i="1" s="1"/>
  <c r="BU118" i="1"/>
  <c r="BV117" i="1"/>
  <c r="BI118" i="1"/>
  <c r="BJ118" i="1" s="1"/>
  <c r="BH119" i="1"/>
  <c r="BG119" i="1"/>
  <c r="BD119" i="1"/>
  <c r="BF120" i="1" s="1"/>
  <c r="BT119" i="1"/>
  <c r="BS119" i="1"/>
  <c r="BU119" i="1" s="1"/>
  <c r="BP119" i="1"/>
  <c r="BR120" i="1" s="1"/>
  <c r="BV118" i="1" l="1"/>
  <c r="BV119" i="1" s="1"/>
  <c r="BI119" i="1"/>
  <c r="BX119" i="1" s="1"/>
  <c r="BX118" i="1"/>
  <c r="BS120" i="1"/>
  <c r="BT120" i="1"/>
  <c r="BP120" i="1"/>
  <c r="BR121" i="1" s="1"/>
  <c r="BG120" i="1"/>
  <c r="BH120" i="1"/>
  <c r="BD120" i="1"/>
  <c r="BF121" i="1" s="1"/>
  <c r="BJ119" i="1" l="1"/>
  <c r="BD121" i="1"/>
  <c r="BF122" i="1" s="1"/>
  <c r="BH121" i="1"/>
  <c r="BG121" i="1"/>
  <c r="BI120" i="1"/>
  <c r="BS121" i="1"/>
  <c r="BT121" i="1"/>
  <c r="BP121" i="1"/>
  <c r="BR122" i="1" s="1"/>
  <c r="BU120" i="1"/>
  <c r="BY118" i="1"/>
  <c r="BY119" i="1" s="1"/>
  <c r="BJ120" i="1" l="1"/>
  <c r="BI121" i="1"/>
  <c r="BX120" i="1"/>
  <c r="BY120" i="1" s="1"/>
  <c r="BS122" i="1"/>
  <c r="BT122" i="1"/>
  <c r="BP122" i="1"/>
  <c r="BR123" i="1" s="1"/>
  <c r="BU121" i="1"/>
  <c r="BV120" i="1"/>
  <c r="BH122" i="1"/>
  <c r="BD122" i="1"/>
  <c r="BF123" i="1" s="1"/>
  <c r="BG122" i="1"/>
  <c r="BI122" i="1" s="1"/>
  <c r="BJ121" i="1" l="1"/>
  <c r="BJ122" i="1" s="1"/>
  <c r="BV121" i="1"/>
  <c r="BX121" i="1"/>
  <c r="BY121" i="1" s="1"/>
  <c r="BG123" i="1"/>
  <c r="BD123" i="1"/>
  <c r="BF124" i="1" s="1"/>
  <c r="BH123" i="1"/>
  <c r="BT123" i="1"/>
  <c r="BS123" i="1"/>
  <c r="BP123" i="1"/>
  <c r="BR124" i="1" s="1"/>
  <c r="BU122" i="1"/>
  <c r="BV122" i="1" l="1"/>
  <c r="BX122" i="1"/>
  <c r="BP124" i="1"/>
  <c r="BR125" i="1" s="1"/>
  <c r="BT124" i="1"/>
  <c r="BS124" i="1"/>
  <c r="BU123" i="1"/>
  <c r="BD124" i="1"/>
  <c r="BF125" i="1" s="1"/>
  <c r="BG124" i="1"/>
  <c r="BH124" i="1"/>
  <c r="BI123" i="1"/>
  <c r="BJ123" i="1" s="1"/>
  <c r="BV123" i="1" l="1"/>
  <c r="BU124" i="1"/>
  <c r="BV124" i="1" s="1"/>
  <c r="BI124" i="1"/>
  <c r="BJ124" i="1" s="1"/>
  <c r="BG125" i="1"/>
  <c r="BD125" i="1"/>
  <c r="BF126" i="1" s="1"/>
  <c r="BH125" i="1"/>
  <c r="BX123" i="1"/>
  <c r="BS125" i="1"/>
  <c r="BT125" i="1"/>
  <c r="BP125" i="1"/>
  <c r="BR126" i="1" s="1"/>
  <c r="BY122" i="1"/>
  <c r="BY123" i="1" l="1"/>
  <c r="BI125" i="1"/>
  <c r="BJ125" i="1" s="1"/>
  <c r="BX124" i="1"/>
  <c r="BS126" i="1"/>
  <c r="BT126" i="1"/>
  <c r="BP126" i="1"/>
  <c r="BR127" i="1" s="1"/>
  <c r="BU125" i="1"/>
  <c r="BV125" i="1" s="1"/>
  <c r="BH126" i="1"/>
  <c r="BG126" i="1"/>
  <c r="BD126" i="1"/>
  <c r="BF127" i="1" s="1"/>
  <c r="BY124" i="1" l="1"/>
  <c r="BX125" i="1"/>
  <c r="BI126" i="1"/>
  <c r="BJ126" i="1" s="1"/>
  <c r="BG127" i="1"/>
  <c r="BD127" i="1"/>
  <c r="BF128" i="1" s="1"/>
  <c r="BH127" i="1"/>
  <c r="BP127" i="1"/>
  <c r="BR128" i="1" s="1"/>
  <c r="BT127" i="1"/>
  <c r="BS127" i="1"/>
  <c r="BU126" i="1"/>
  <c r="BY125" i="1" l="1"/>
  <c r="BX126" i="1"/>
  <c r="BU127" i="1"/>
  <c r="BV126" i="1"/>
  <c r="BI127" i="1"/>
  <c r="BJ127" i="1" s="1"/>
  <c r="BS128" i="1"/>
  <c r="BT128" i="1"/>
  <c r="BP128" i="1"/>
  <c r="BR129" i="1" s="1"/>
  <c r="BG128" i="1"/>
  <c r="BD128" i="1"/>
  <c r="BF129" i="1" s="1"/>
  <c r="BH128" i="1"/>
  <c r="BY126" i="1" l="1"/>
  <c r="BX127" i="1"/>
  <c r="BY127" i="1" s="1"/>
  <c r="BV127" i="1"/>
  <c r="BU128" i="1"/>
  <c r="BH129" i="1"/>
  <c r="BG129" i="1"/>
  <c r="BD129" i="1"/>
  <c r="BF130" i="1" s="1"/>
  <c r="BI128" i="1"/>
  <c r="BS129" i="1"/>
  <c r="BP129" i="1"/>
  <c r="BR130" i="1" s="1"/>
  <c r="BT129" i="1"/>
  <c r="BJ128" i="1"/>
  <c r="BI129" i="1" l="1"/>
  <c r="BJ129" i="1" s="1"/>
  <c r="BV128" i="1"/>
  <c r="BT130" i="1"/>
  <c r="BP130" i="1"/>
  <c r="BR131" i="1" s="1"/>
  <c r="BS130" i="1"/>
  <c r="BU129" i="1"/>
  <c r="BG130" i="1"/>
  <c r="BH130" i="1"/>
  <c r="BD130" i="1"/>
  <c r="BF131" i="1" s="1"/>
  <c r="BX128" i="1"/>
  <c r="BY128" i="1" s="1"/>
  <c r="BX129" i="1" l="1"/>
  <c r="BY129" i="1" s="1"/>
  <c r="BU130" i="1"/>
  <c r="BG131" i="1"/>
  <c r="BH131" i="1"/>
  <c r="BD131" i="1"/>
  <c r="BF132" i="1" s="1"/>
  <c r="BI130" i="1"/>
  <c r="BJ130" i="1" s="1"/>
  <c r="BT131" i="1"/>
  <c r="BP131" i="1"/>
  <c r="BR132" i="1" s="1"/>
  <c r="BS131" i="1"/>
  <c r="BU131" i="1" s="1"/>
  <c r="BV129" i="1"/>
  <c r="BI131" i="1" l="1"/>
  <c r="BJ131" i="1" s="1"/>
  <c r="BV130" i="1"/>
  <c r="BV131" i="1" s="1"/>
  <c r="BX130" i="1"/>
  <c r="BY130" i="1" s="1"/>
  <c r="BG132" i="1"/>
  <c r="BH132" i="1"/>
  <c r="BD132" i="1"/>
  <c r="BF133" i="1" s="1"/>
  <c r="BP132" i="1"/>
  <c r="BR133" i="1" s="1"/>
  <c r="BT132" i="1"/>
  <c r="BS132" i="1"/>
  <c r="BU132" i="1" s="1"/>
  <c r="BX131" i="1" l="1"/>
  <c r="BY131" i="1"/>
  <c r="BH133" i="1"/>
  <c r="BG133" i="1"/>
  <c r="BD133" i="1"/>
  <c r="BF134" i="1" s="1"/>
  <c r="BS133" i="1"/>
  <c r="BT133" i="1"/>
  <c r="BP133" i="1"/>
  <c r="BR134" i="1" s="1"/>
  <c r="BV132" i="1"/>
  <c r="BI132" i="1"/>
  <c r="BJ132" i="1" s="1"/>
  <c r="BI133" i="1" l="1"/>
  <c r="BJ133" i="1" s="1"/>
  <c r="BX132" i="1"/>
  <c r="BY132" i="1" s="1"/>
  <c r="BP134" i="1"/>
  <c r="BR135" i="1" s="1"/>
  <c r="BT134" i="1"/>
  <c r="BS134" i="1"/>
  <c r="BU133" i="1"/>
  <c r="BV133" i="1" s="1"/>
  <c r="BH134" i="1"/>
  <c r="BG134" i="1"/>
  <c r="BD134" i="1"/>
  <c r="BF135" i="1" s="1"/>
  <c r="BI134" i="1" l="1"/>
  <c r="BX133" i="1"/>
  <c r="BY133" i="1" s="1"/>
  <c r="BJ134" i="1"/>
  <c r="BU134" i="1"/>
  <c r="BV134" i="1" s="1"/>
  <c r="BS135" i="1"/>
  <c r="BT135" i="1"/>
  <c r="BP135" i="1"/>
  <c r="BR136" i="1" s="1"/>
  <c r="BH135" i="1"/>
  <c r="BD135" i="1"/>
  <c r="BF136" i="1" s="1"/>
  <c r="BG135" i="1"/>
  <c r="BI135" i="1" s="1"/>
  <c r="BJ135" i="1" l="1"/>
  <c r="BX134" i="1"/>
  <c r="BY134" i="1" s="1"/>
  <c r="BU135" i="1"/>
  <c r="BD136" i="1"/>
  <c r="BF137" i="1" s="1"/>
  <c r="BG136" i="1"/>
  <c r="BH136" i="1"/>
  <c r="BS136" i="1"/>
  <c r="BT136" i="1"/>
  <c r="BP136" i="1"/>
  <c r="BR137" i="1" s="1"/>
  <c r="BI136" i="1" l="1"/>
  <c r="BJ136" i="1" s="1"/>
  <c r="BS137" i="1"/>
  <c r="BP137" i="1"/>
  <c r="BR138" i="1" s="1"/>
  <c r="BT137" i="1"/>
  <c r="BU136" i="1"/>
  <c r="BD137" i="1"/>
  <c r="BF138" i="1" s="1"/>
  <c r="BH137" i="1"/>
  <c r="BG137" i="1"/>
  <c r="BI137" i="1" s="1"/>
  <c r="BX135" i="1"/>
  <c r="BY135" i="1" s="1"/>
  <c r="BV135" i="1"/>
  <c r="BV136" i="1" s="1"/>
  <c r="BU137" i="1" l="1"/>
  <c r="BV137" i="1" s="1"/>
  <c r="BX136" i="1"/>
  <c r="BY136" i="1" s="1"/>
  <c r="BD138" i="1"/>
  <c r="BF139" i="1" s="1"/>
  <c r="BG138" i="1"/>
  <c r="BH138" i="1"/>
  <c r="BS138" i="1"/>
  <c r="BP138" i="1"/>
  <c r="BR139" i="1" s="1"/>
  <c r="BT138" i="1"/>
  <c r="BJ137" i="1"/>
  <c r="BX137" i="1" l="1"/>
  <c r="BY137" i="1" s="1"/>
  <c r="BU138" i="1"/>
  <c r="BV138" i="1" s="1"/>
  <c r="BS139" i="1"/>
  <c r="BT139" i="1"/>
  <c r="BP139" i="1"/>
  <c r="BR140" i="1" s="1"/>
  <c r="BI138" i="1"/>
  <c r="BG139" i="1"/>
  <c r="BD139" i="1"/>
  <c r="BF140" i="1" s="1"/>
  <c r="BH139" i="1"/>
  <c r="BJ138" i="1"/>
  <c r="BI139" i="1" l="1"/>
  <c r="BJ139" i="1" s="1"/>
  <c r="BX138" i="1"/>
  <c r="BY138" i="1" s="1"/>
  <c r="BH140" i="1"/>
  <c r="BD140" i="1"/>
  <c r="BF141" i="1" s="1"/>
  <c r="BG140" i="1"/>
  <c r="BT140" i="1"/>
  <c r="BS140" i="1"/>
  <c r="BU140" i="1" s="1"/>
  <c r="BP140" i="1"/>
  <c r="BR141" i="1" s="1"/>
  <c r="BU139" i="1"/>
  <c r="BI140" i="1" l="1"/>
  <c r="BJ140" i="1" s="1"/>
  <c r="BD141" i="1"/>
  <c r="BF142" i="1" s="1"/>
  <c r="BH141" i="1"/>
  <c r="BG141" i="1"/>
  <c r="BX139" i="1"/>
  <c r="BY139" i="1" s="1"/>
  <c r="BV139" i="1"/>
  <c r="BV140" i="1" s="1"/>
  <c r="BP141" i="1"/>
  <c r="BR142" i="1" s="1"/>
  <c r="BS141" i="1"/>
  <c r="BT141" i="1"/>
  <c r="BU141" i="1" s="1"/>
  <c r="BX140" i="1" l="1"/>
  <c r="BY140" i="1" s="1"/>
  <c r="BT142" i="1"/>
  <c r="BP142" i="1"/>
  <c r="BR143" i="1" s="1"/>
  <c r="BS142" i="1"/>
  <c r="BV141" i="1"/>
  <c r="BI141" i="1"/>
  <c r="BX141" i="1" s="1"/>
  <c r="BH142" i="1"/>
  <c r="BG142" i="1"/>
  <c r="BD142" i="1"/>
  <c r="BF143" i="1" s="1"/>
  <c r="BJ141" i="1" l="1"/>
  <c r="BI142" i="1"/>
  <c r="BU142" i="1"/>
  <c r="BV142" i="1" s="1"/>
  <c r="BD143" i="1"/>
  <c r="BF144" i="1" s="1"/>
  <c r="BH143" i="1"/>
  <c r="BG143" i="1"/>
  <c r="BY141" i="1"/>
  <c r="BS143" i="1"/>
  <c r="BT143" i="1"/>
  <c r="BP143" i="1"/>
  <c r="BR144" i="1" s="1"/>
  <c r="BJ142" i="1" l="1"/>
  <c r="BX142" i="1"/>
  <c r="BU143" i="1"/>
  <c r="BV143" i="1" s="1"/>
  <c r="BY142" i="1"/>
  <c r="BH144" i="1"/>
  <c r="BG144" i="1"/>
  <c r="BD144" i="1"/>
  <c r="BF145" i="1" s="1"/>
  <c r="BT144" i="1"/>
  <c r="BP144" i="1"/>
  <c r="BR145" i="1" s="1"/>
  <c r="BS144" i="1"/>
  <c r="BU144" i="1" s="1"/>
  <c r="BI143" i="1"/>
  <c r="BJ143" i="1" l="1"/>
  <c r="BI144" i="1"/>
  <c r="BX144" i="1" s="1"/>
  <c r="BX143" i="1"/>
  <c r="BY143" i="1" s="1"/>
  <c r="BS145" i="1"/>
  <c r="BP145" i="1"/>
  <c r="BR146" i="1" s="1"/>
  <c r="BT145" i="1"/>
  <c r="BG145" i="1"/>
  <c r="BH145" i="1"/>
  <c r="BD145" i="1"/>
  <c r="BF146" i="1" s="1"/>
  <c r="BV144" i="1"/>
  <c r="BY144" i="1" l="1"/>
  <c r="BJ144" i="1"/>
  <c r="BU145" i="1"/>
  <c r="BV145" i="1" s="1"/>
  <c r="BD146" i="1"/>
  <c r="BF147" i="1" s="1"/>
  <c r="BG146" i="1"/>
  <c r="BH146" i="1"/>
  <c r="BI145" i="1"/>
  <c r="BT146" i="1"/>
  <c r="BS146" i="1"/>
  <c r="BP146" i="1"/>
  <c r="BR147" i="1" s="1"/>
  <c r="BJ145" i="1" l="1"/>
  <c r="BU146" i="1"/>
  <c r="BV146" i="1" s="1"/>
  <c r="BI146" i="1"/>
  <c r="BG147" i="1"/>
  <c r="BH147" i="1"/>
  <c r="BD147" i="1"/>
  <c r="BF148" i="1" s="1"/>
  <c r="BP147" i="1"/>
  <c r="BR148" i="1" s="1"/>
  <c r="BS147" i="1"/>
  <c r="BT147" i="1"/>
  <c r="BX145" i="1"/>
  <c r="BY145" i="1" s="1"/>
  <c r="BX146" i="1" l="1"/>
  <c r="BY146" i="1" s="1"/>
  <c r="BI147" i="1"/>
  <c r="BJ146" i="1"/>
  <c r="BU147" i="1"/>
  <c r="BT148" i="1"/>
  <c r="BP148" i="1"/>
  <c r="BR149" i="1" s="1"/>
  <c r="BS148" i="1"/>
  <c r="BG148" i="1"/>
  <c r="BD148" i="1"/>
  <c r="BF149" i="1" s="1"/>
  <c r="BH148" i="1"/>
  <c r="BJ147" i="1" l="1"/>
  <c r="BU148" i="1"/>
  <c r="BX147" i="1"/>
  <c r="BY147" i="1" s="1"/>
  <c r="BV147" i="1"/>
  <c r="BG149" i="1"/>
  <c r="BH149" i="1"/>
  <c r="BD149" i="1"/>
  <c r="BF150" i="1" s="1"/>
  <c r="BI148" i="1"/>
  <c r="BT149" i="1"/>
  <c r="BP149" i="1"/>
  <c r="BR150" i="1" s="1"/>
  <c r="BS149" i="1"/>
  <c r="BU149" i="1" s="1"/>
  <c r="BJ148" i="1" l="1"/>
  <c r="BX148" i="1"/>
  <c r="BY148" i="1" s="1"/>
  <c r="BV148" i="1"/>
  <c r="BV149" i="1" s="1"/>
  <c r="BH150" i="1"/>
  <c r="BD150" i="1"/>
  <c r="BF151" i="1" s="1"/>
  <c r="BG150" i="1"/>
  <c r="BP150" i="1"/>
  <c r="BR151" i="1" s="1"/>
  <c r="BT150" i="1"/>
  <c r="BS150" i="1"/>
  <c r="BI149" i="1"/>
  <c r="BX149" i="1" s="1"/>
  <c r="BY149" i="1" l="1"/>
  <c r="BU150" i="1"/>
  <c r="BI150" i="1"/>
  <c r="BJ149" i="1"/>
  <c r="BT151" i="1"/>
  <c r="BS151" i="1"/>
  <c r="BP151" i="1"/>
  <c r="BR152" i="1" s="1"/>
  <c r="BG151" i="1"/>
  <c r="BH151" i="1"/>
  <c r="BD151" i="1"/>
  <c r="BF152" i="1" s="1"/>
  <c r="BJ150" i="1" l="1"/>
  <c r="BU151" i="1"/>
  <c r="BX150" i="1"/>
  <c r="BY150" i="1" s="1"/>
  <c r="BV150" i="1"/>
  <c r="BD152" i="1"/>
  <c r="BF153" i="1" s="1"/>
  <c r="BG152" i="1"/>
  <c r="BH152" i="1"/>
  <c r="BI151" i="1"/>
  <c r="BS152" i="1"/>
  <c r="BP152" i="1"/>
  <c r="BR153" i="1" s="1"/>
  <c r="BT152" i="1"/>
  <c r="BX151" i="1" l="1"/>
  <c r="BY151" i="1" s="1"/>
  <c r="BJ151" i="1"/>
  <c r="BV151" i="1"/>
  <c r="BP153" i="1"/>
  <c r="BR154" i="1" s="1"/>
  <c r="BS153" i="1"/>
  <c r="BT153" i="1"/>
  <c r="BU152" i="1"/>
  <c r="BI152" i="1"/>
  <c r="BG153" i="1"/>
  <c r="BH153" i="1"/>
  <c r="BD153" i="1"/>
  <c r="BF154" i="1" s="1"/>
  <c r="BJ152" i="1" l="1"/>
  <c r="BD154" i="1"/>
  <c r="BF155" i="1" s="1"/>
  <c r="BG154" i="1"/>
  <c r="BH154" i="1"/>
  <c r="BI153" i="1"/>
  <c r="BX152" i="1"/>
  <c r="BY152" i="1" s="1"/>
  <c r="BV152" i="1"/>
  <c r="BU153" i="1"/>
  <c r="BX153" i="1" s="1"/>
  <c r="BP154" i="1"/>
  <c r="BR155" i="1" s="1"/>
  <c r="BT154" i="1"/>
  <c r="BS154" i="1"/>
  <c r="BJ153" i="1" l="1"/>
  <c r="BU154" i="1"/>
  <c r="BP155" i="1"/>
  <c r="BR156" i="1" s="1"/>
  <c r="BT155" i="1"/>
  <c r="BS155" i="1"/>
  <c r="BY153" i="1"/>
  <c r="BI154" i="1"/>
  <c r="BV153" i="1"/>
  <c r="BG155" i="1"/>
  <c r="BD155" i="1"/>
  <c r="BF156" i="1" s="1"/>
  <c r="BH155" i="1"/>
  <c r="BI155" i="1" s="1"/>
  <c r="BJ154" i="1" l="1"/>
  <c r="BJ155" i="1" s="1"/>
  <c r="BU155" i="1"/>
  <c r="BX155" i="1" s="1"/>
  <c r="BX154" i="1"/>
  <c r="BY154" i="1" s="1"/>
  <c r="BV154" i="1"/>
  <c r="BH156" i="1"/>
  <c r="BD156" i="1"/>
  <c r="BF157" i="1" s="1"/>
  <c r="BG156" i="1"/>
  <c r="BS156" i="1"/>
  <c r="BP156" i="1"/>
  <c r="BR157" i="1" s="1"/>
  <c r="BT156" i="1"/>
  <c r="BU156" i="1" s="1"/>
  <c r="BI156" i="1" l="1"/>
  <c r="BX156" i="1" s="1"/>
  <c r="BV155" i="1"/>
  <c r="BV156" i="1" s="1"/>
  <c r="BY155" i="1"/>
  <c r="BG157" i="1"/>
  <c r="BD157" i="1"/>
  <c r="BF158" i="1" s="1"/>
  <c r="BH157" i="1"/>
  <c r="BT157" i="1"/>
  <c r="BS157" i="1"/>
  <c r="BP157" i="1"/>
  <c r="BR158" i="1" s="1"/>
  <c r="BJ156" i="1" l="1"/>
  <c r="BY156" i="1"/>
  <c r="BU157" i="1"/>
  <c r="BV157" i="1" s="1"/>
  <c r="BP158" i="1"/>
  <c r="BR159" i="1" s="1"/>
  <c r="BT158" i="1"/>
  <c r="BS158" i="1"/>
  <c r="BG158" i="1"/>
  <c r="BH158" i="1"/>
  <c r="BD158" i="1"/>
  <c r="BF159" i="1" s="1"/>
  <c r="BI157" i="1"/>
  <c r="BX157" i="1" l="1"/>
  <c r="BY157" i="1" s="1"/>
  <c r="BU158" i="1"/>
  <c r="BV158" i="1" s="1"/>
  <c r="BD159" i="1"/>
  <c r="BF160" i="1" s="1"/>
  <c r="BH159" i="1"/>
  <c r="BG159" i="1"/>
  <c r="BI158" i="1"/>
  <c r="BP159" i="1"/>
  <c r="BR160" i="1" s="1"/>
  <c r="BT159" i="1"/>
  <c r="BS159" i="1"/>
  <c r="BJ157" i="1"/>
  <c r="BJ158" i="1" s="1"/>
  <c r="BU159" i="1" l="1"/>
  <c r="BV159" i="1" s="1"/>
  <c r="BX158" i="1"/>
  <c r="BY158" i="1" s="1"/>
  <c r="BI159" i="1"/>
  <c r="BJ159" i="1" s="1"/>
  <c r="BD160" i="1"/>
  <c r="BF161" i="1" s="1"/>
  <c r="BH160" i="1"/>
  <c r="BG160" i="1"/>
  <c r="BP160" i="1"/>
  <c r="BR161" i="1" s="1"/>
  <c r="BS160" i="1"/>
  <c r="BT160" i="1"/>
  <c r="BI160" i="1" l="1"/>
  <c r="BJ160" i="1"/>
  <c r="BX159" i="1"/>
  <c r="BY159" i="1" s="1"/>
  <c r="BU160" i="1"/>
  <c r="BX160" i="1" s="1"/>
  <c r="BP161" i="1"/>
  <c r="BR162" i="1" s="1"/>
  <c r="BT161" i="1"/>
  <c r="BS161" i="1"/>
  <c r="BH161" i="1"/>
  <c r="BG161" i="1"/>
  <c r="BD161" i="1"/>
  <c r="BF162" i="1" s="1"/>
  <c r="BV160" i="1" l="1"/>
  <c r="BY160" i="1"/>
  <c r="BG162" i="1"/>
  <c r="BD162" i="1"/>
  <c r="BF163" i="1" s="1"/>
  <c r="BH162" i="1"/>
  <c r="BI161" i="1"/>
  <c r="BU161" i="1"/>
  <c r="BP162" i="1"/>
  <c r="BR163" i="1" s="1"/>
  <c r="BS162" i="1"/>
  <c r="BT162" i="1"/>
  <c r="BV161" i="1" l="1"/>
  <c r="BI162" i="1"/>
  <c r="BT163" i="1"/>
  <c r="BP163" i="1"/>
  <c r="BR164" i="1" s="1"/>
  <c r="BS163" i="1"/>
  <c r="BX161" i="1"/>
  <c r="BY161" i="1" s="1"/>
  <c r="BJ161" i="1"/>
  <c r="BU162" i="1"/>
  <c r="BD163" i="1"/>
  <c r="BF164" i="1" s="1"/>
  <c r="BG163" i="1"/>
  <c r="BH163" i="1"/>
  <c r="BV162" i="1" l="1"/>
  <c r="BU163" i="1"/>
  <c r="BV163" i="1" s="1"/>
  <c r="BX162" i="1"/>
  <c r="BY162" i="1" s="1"/>
  <c r="BJ162" i="1"/>
  <c r="BI163" i="1"/>
  <c r="BD164" i="1"/>
  <c r="BF165" i="1" s="1"/>
  <c r="BH164" i="1"/>
  <c r="BG164" i="1"/>
  <c r="BS164" i="1"/>
  <c r="BP164" i="1"/>
  <c r="BR165" i="1" s="1"/>
  <c r="BT164" i="1"/>
  <c r="BX163" i="1" l="1"/>
  <c r="BY163" i="1" s="1"/>
  <c r="BJ163" i="1"/>
  <c r="BI164" i="1"/>
  <c r="BU164" i="1"/>
  <c r="BV164" i="1" s="1"/>
  <c r="BS165" i="1"/>
  <c r="BT165" i="1"/>
  <c r="BP165" i="1"/>
  <c r="BR166" i="1" s="1"/>
  <c r="BG165" i="1"/>
  <c r="BD165" i="1"/>
  <c r="BF166" i="1" s="1"/>
  <c r="BH165" i="1"/>
  <c r="BJ164" i="1" l="1"/>
  <c r="BU165" i="1"/>
  <c r="BV165" i="1" s="1"/>
  <c r="BX164" i="1"/>
  <c r="BY164" i="1" s="1"/>
  <c r="BH166" i="1"/>
  <c r="BG166" i="1"/>
  <c r="BD166" i="1"/>
  <c r="BF167" i="1" s="1"/>
  <c r="BI165" i="1"/>
  <c r="BT166" i="1"/>
  <c r="BP166" i="1"/>
  <c r="BR167" i="1" s="1"/>
  <c r="BS166" i="1"/>
  <c r="BU166" i="1" s="1"/>
  <c r="BI166" i="1" l="1"/>
  <c r="BX166" i="1" s="1"/>
  <c r="BV166" i="1"/>
  <c r="BP167" i="1"/>
  <c r="BT167" i="1"/>
  <c r="BS167" i="1"/>
  <c r="BX165" i="1"/>
  <c r="BY165" i="1" s="1"/>
  <c r="BJ165" i="1"/>
  <c r="BD167" i="1"/>
  <c r="BG167" i="1"/>
  <c r="BH167" i="1"/>
  <c r="BJ166" i="1" l="1"/>
  <c r="BU167" i="1"/>
  <c r="BV167" i="1" s="1"/>
  <c r="BV1" i="1" s="1"/>
  <c r="BI167" i="1"/>
  <c r="BY166" i="1"/>
  <c r="BV10" i="1" l="1"/>
  <c r="BV9" i="1"/>
  <c r="BV11" i="1" s="1"/>
  <c r="BX167" i="1"/>
  <c r="BY167" i="1" s="1"/>
  <c r="BY1" i="1" s="1"/>
  <c r="BJ9" i="1"/>
  <c r="BJ10" i="1"/>
  <c r="BJ167" i="1"/>
  <c r="BJ1" i="1" s="1"/>
  <c r="BY9" i="1" l="1"/>
  <c r="BY10" i="1"/>
  <c r="BJ11" i="1"/>
  <c r="BY11" i="1" l="1"/>
</calcChain>
</file>

<file path=xl/sharedStrings.xml><?xml version="1.0" encoding="utf-8"?>
<sst xmlns="http://schemas.openxmlformats.org/spreadsheetml/2006/main" count="53" uniqueCount="42">
  <si>
    <t>date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</si>
  <si>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</si>
  <si>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</si>
  <si>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</si>
  <si>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</si>
  <si>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</si>
  <si>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</si>
  <si>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</si>
  <si>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</si>
  <si>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</si>
  <si>
    <t>FIDU</t>
  </si>
  <si>
    <t>VIS</t>
  </si>
  <si>
    <t>FIDU log rtn</t>
  </si>
  <si>
    <t>VIS log rtn</t>
  </si>
  <si>
    <t>FIDU div</t>
  </si>
  <si>
    <t>FIDU div cumsum</t>
  </si>
  <si>
    <t>VIS div</t>
  </si>
  <si>
    <t>VIS div cumsum</t>
  </si>
  <si>
    <t>FIDU div adjustment</t>
  </si>
  <si>
    <t>VIS div adjustment</t>
  </si>
  <si>
    <t>FIDU*</t>
  </si>
  <si>
    <t>VIS*</t>
  </si>
  <si>
    <t>VIS/FIDU</t>
  </si>
  <si>
    <t>VIS/FIDU avg</t>
  </si>
  <si>
    <t>VIS/FIDU 10 dma</t>
  </si>
  <si>
    <t>VIS/FIDU 20 dma</t>
  </si>
  <si>
    <t>FIDU x avg</t>
  </si>
  <si>
    <t>FIDU x 10 dma</t>
  </si>
  <si>
    <t>FIDU x 20 dma</t>
  </si>
  <si>
    <t>log diff FIDU x avg / VIS</t>
  </si>
  <si>
    <t>log diff FIDU x 10 dma / VIS</t>
  </si>
  <si>
    <t>log diff FIDU x 20 dma / VIS</t>
  </si>
  <si>
    <t>VIS*/FIDU*</t>
  </si>
  <si>
    <t>VIS*/FIDU* avg</t>
  </si>
  <si>
    <t>VIS*/FIDU* 10 dma</t>
  </si>
  <si>
    <t>VIS*/FIDU* 20 dma</t>
  </si>
  <si>
    <t>FIDU* x avg</t>
  </si>
  <si>
    <t>FIDU* x 10 dma</t>
  </si>
  <si>
    <t>FIDU* x 20 dma</t>
  </si>
  <si>
    <t>log diff FIDU* x avg / VIS*</t>
  </si>
  <si>
    <t>log diff FIDU* x 10 dma / VIS*</t>
  </si>
  <si>
    <t>log diff FIDU* x 20 dma / VIS*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</si>
</sst>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XLU_IDU_1!$O$1</c:f>
              <c:strCache>
                <c:ptCount val="1"/>
                <c:pt idx="0">
                  <c:v> VIS/FIDU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XLU_IDU_1!$O$2:$O$167</c:f>
              <c:numCache>
                <c:formatCode>_(* #,##0.0000_);_(* \(#,##0.0000\);_(* "-"??_);_(@_)</c:formatCode>
                <c:ptCount val="166"/>
                <c:pt idx="0">
                  <c:v>3.6128150130856298</c:v>
                </c:pt>
                <c:pt idx="1">
                  <c:v>3.6128150130856298</c:v>
                </c:pt>
                <c:pt idx="2">
                  <c:v>3.6128150130856298</c:v>
                </c:pt>
                <c:pt idx="3">
                  <c:v>3.6128150130856298</c:v>
                </c:pt>
                <c:pt idx="4">
                  <c:v>3.6128150130856298</c:v>
                </c:pt>
                <c:pt idx="5">
                  <c:v>3.6128150130856298</c:v>
                </c:pt>
                <c:pt idx="6">
                  <c:v>3.6128150130856298</c:v>
                </c:pt>
                <c:pt idx="7">
                  <c:v>3.6128150130856298</c:v>
                </c:pt>
                <c:pt idx="8">
                  <c:v>3.6128150130856298</c:v>
                </c:pt>
                <c:pt idx="9">
                  <c:v>3.6128150130856298</c:v>
                </c:pt>
                <c:pt idx="10">
                  <c:v>3.6128150130856298</c:v>
                </c:pt>
                <c:pt idx="11">
                  <c:v>3.6128150130856298</c:v>
                </c:pt>
                <c:pt idx="12">
                  <c:v>3.6128150130856298</c:v>
                </c:pt>
                <c:pt idx="13">
                  <c:v>3.6128150130856298</c:v>
                </c:pt>
                <c:pt idx="14">
                  <c:v>3.6128150130856298</c:v>
                </c:pt>
                <c:pt idx="15">
                  <c:v>3.6128150130856298</c:v>
                </c:pt>
                <c:pt idx="16">
                  <c:v>3.6128150130856298</c:v>
                </c:pt>
                <c:pt idx="17">
                  <c:v>3.6128150130856298</c:v>
                </c:pt>
                <c:pt idx="18">
                  <c:v>3.6128150130856298</c:v>
                </c:pt>
                <c:pt idx="19">
                  <c:v>3.6128150130856298</c:v>
                </c:pt>
                <c:pt idx="20">
                  <c:v>3.6128150130856298</c:v>
                </c:pt>
                <c:pt idx="21">
                  <c:v>3.6128150130856298</c:v>
                </c:pt>
                <c:pt idx="22">
                  <c:v>3.6128150130856298</c:v>
                </c:pt>
                <c:pt idx="23">
                  <c:v>3.6128150130856298</c:v>
                </c:pt>
                <c:pt idx="24">
                  <c:v>3.6128150130856298</c:v>
                </c:pt>
                <c:pt idx="25">
                  <c:v>3.6128150130856298</c:v>
                </c:pt>
                <c:pt idx="26">
                  <c:v>3.6128150130856298</c:v>
                </c:pt>
                <c:pt idx="27">
                  <c:v>3.6128150130856298</c:v>
                </c:pt>
                <c:pt idx="28">
                  <c:v>3.6128150130856298</c:v>
                </c:pt>
                <c:pt idx="29">
                  <c:v>3.6128150130856298</c:v>
                </c:pt>
                <c:pt idx="30">
                  <c:v>3.6128150130856298</c:v>
                </c:pt>
                <c:pt idx="31">
                  <c:v>3.6128150130856298</c:v>
                </c:pt>
                <c:pt idx="32">
                  <c:v>3.6128150130856298</c:v>
                </c:pt>
                <c:pt idx="33">
                  <c:v>3.6128150130856298</c:v>
                </c:pt>
                <c:pt idx="34">
                  <c:v>3.6128150130856298</c:v>
                </c:pt>
                <c:pt idx="35">
                  <c:v>3.6128150130856298</c:v>
                </c:pt>
                <c:pt idx="36">
                  <c:v>3.6128150130856298</c:v>
                </c:pt>
                <c:pt idx="37">
                  <c:v>3.6128150130856298</c:v>
                </c:pt>
                <c:pt idx="38">
                  <c:v>3.6128150130856298</c:v>
                </c:pt>
                <c:pt idx="39">
                  <c:v>3.6128150130856298</c:v>
                </c:pt>
                <c:pt idx="40">
                  <c:v>3.6128150130856298</c:v>
                </c:pt>
                <c:pt idx="41">
                  <c:v>3.6128150130856298</c:v>
                </c:pt>
                <c:pt idx="42">
                  <c:v>3.6128150130856298</c:v>
                </c:pt>
                <c:pt idx="43">
                  <c:v>3.6128150130856298</c:v>
                </c:pt>
                <c:pt idx="44">
                  <c:v>3.6128150130856298</c:v>
                </c:pt>
                <c:pt idx="45">
                  <c:v>3.6128150130856298</c:v>
                </c:pt>
                <c:pt idx="46">
                  <c:v>3.6128150130856298</c:v>
                </c:pt>
                <c:pt idx="47">
                  <c:v>3.6128150130856298</c:v>
                </c:pt>
                <c:pt idx="48">
                  <c:v>3.6128150130856298</c:v>
                </c:pt>
                <c:pt idx="49">
                  <c:v>3.6128150130856298</c:v>
                </c:pt>
                <c:pt idx="50">
                  <c:v>3.6128150130856298</c:v>
                </c:pt>
                <c:pt idx="51">
                  <c:v>3.6128150130856298</c:v>
                </c:pt>
                <c:pt idx="52">
                  <c:v>3.6128150130856298</c:v>
                </c:pt>
                <c:pt idx="53">
                  <c:v>3.6128150130856298</c:v>
                </c:pt>
                <c:pt idx="54">
                  <c:v>3.6128150130856298</c:v>
                </c:pt>
                <c:pt idx="55">
                  <c:v>3.6128150130856298</c:v>
                </c:pt>
                <c:pt idx="56">
                  <c:v>3.6128150130856298</c:v>
                </c:pt>
                <c:pt idx="57">
                  <c:v>3.6128150130856298</c:v>
                </c:pt>
                <c:pt idx="58">
                  <c:v>3.6128150130856298</c:v>
                </c:pt>
                <c:pt idx="59">
                  <c:v>3.6128150130856298</c:v>
                </c:pt>
                <c:pt idx="60">
                  <c:v>3.6128150130856298</c:v>
                </c:pt>
                <c:pt idx="61">
                  <c:v>3.6128150130856298</c:v>
                </c:pt>
                <c:pt idx="62">
                  <c:v>3.6128150130856298</c:v>
                </c:pt>
                <c:pt idx="63">
                  <c:v>3.6128150130856298</c:v>
                </c:pt>
                <c:pt idx="64">
                  <c:v>3.6128150130856298</c:v>
                </c:pt>
                <c:pt idx="65">
                  <c:v>3.6128150130856298</c:v>
                </c:pt>
                <c:pt idx="66">
                  <c:v>3.6128150130856298</c:v>
                </c:pt>
                <c:pt idx="67">
                  <c:v>3.6128150130856298</c:v>
                </c:pt>
                <c:pt idx="68">
                  <c:v>3.6128150130856298</c:v>
                </c:pt>
                <c:pt idx="69">
                  <c:v>3.6128150130856298</c:v>
                </c:pt>
                <c:pt idx="70">
                  <c:v>3.6128150130856298</c:v>
                </c:pt>
                <c:pt idx="71">
                  <c:v>3.6128150130856298</c:v>
                </c:pt>
                <c:pt idx="72">
                  <c:v>3.6128150130856298</c:v>
                </c:pt>
                <c:pt idx="73">
                  <c:v>3.6128150130856298</c:v>
                </c:pt>
                <c:pt idx="74">
                  <c:v>3.6128150130856298</c:v>
                </c:pt>
                <c:pt idx="75">
                  <c:v>3.6128150130856298</c:v>
                </c:pt>
                <c:pt idx="76">
                  <c:v>3.6128150130856298</c:v>
                </c:pt>
                <c:pt idx="77">
                  <c:v>3.6128150130856298</c:v>
                </c:pt>
                <c:pt idx="78">
                  <c:v>3.6128150130856298</c:v>
                </c:pt>
                <c:pt idx="79">
                  <c:v>3.6128150130856298</c:v>
                </c:pt>
                <c:pt idx="80">
                  <c:v>3.6128150130856298</c:v>
                </c:pt>
                <c:pt idx="81">
                  <c:v>3.6128150130856298</c:v>
                </c:pt>
                <c:pt idx="82">
                  <c:v>3.6128150130856298</c:v>
                </c:pt>
                <c:pt idx="83">
                  <c:v>3.6128150130856298</c:v>
                </c:pt>
                <c:pt idx="84">
                  <c:v>3.6128150130856298</c:v>
                </c:pt>
                <c:pt idx="85">
                  <c:v>3.6128150130856298</c:v>
                </c:pt>
                <c:pt idx="86">
                  <c:v>3.6128150130856298</c:v>
                </c:pt>
                <c:pt idx="87">
                  <c:v>3.6128150130856298</c:v>
                </c:pt>
                <c:pt idx="88">
                  <c:v>3.6128150130856298</c:v>
                </c:pt>
                <c:pt idx="89">
                  <c:v>3.6128150130856298</c:v>
                </c:pt>
                <c:pt idx="90">
                  <c:v>3.6128150130856298</c:v>
                </c:pt>
                <c:pt idx="91">
                  <c:v>3.6128150130856298</c:v>
                </c:pt>
                <c:pt idx="92">
                  <c:v>3.6128150130856298</c:v>
                </c:pt>
                <c:pt idx="93">
                  <c:v>3.6128150130856298</c:v>
                </c:pt>
                <c:pt idx="94">
                  <c:v>3.6128150130856298</c:v>
                </c:pt>
                <c:pt idx="95">
                  <c:v>3.6128150130856298</c:v>
                </c:pt>
                <c:pt idx="96">
                  <c:v>3.6128150130856298</c:v>
                </c:pt>
                <c:pt idx="97">
                  <c:v>3.6128150130856298</c:v>
                </c:pt>
                <c:pt idx="98">
                  <c:v>3.6128150130856298</c:v>
                </c:pt>
                <c:pt idx="99">
                  <c:v>3.6128150130856298</c:v>
                </c:pt>
                <c:pt idx="100">
                  <c:v>3.6128150130856298</c:v>
                </c:pt>
                <c:pt idx="101">
                  <c:v>3.6128150130856298</c:v>
                </c:pt>
                <c:pt idx="102">
                  <c:v>3.6128150130856298</c:v>
                </c:pt>
                <c:pt idx="103">
                  <c:v>3.6128150130856298</c:v>
                </c:pt>
                <c:pt idx="104">
                  <c:v>3.6128150130856298</c:v>
                </c:pt>
                <c:pt idx="105">
                  <c:v>3.6128150130856298</c:v>
                </c:pt>
                <c:pt idx="106">
                  <c:v>3.6128150130856298</c:v>
                </c:pt>
                <c:pt idx="107">
                  <c:v>3.6128150130856298</c:v>
                </c:pt>
                <c:pt idx="108">
                  <c:v>3.6128150130856298</c:v>
                </c:pt>
                <c:pt idx="109">
                  <c:v>3.6128150130856298</c:v>
                </c:pt>
                <c:pt idx="110">
                  <c:v>3.6128150130856298</c:v>
                </c:pt>
                <c:pt idx="111">
                  <c:v>3.6128150130856298</c:v>
                </c:pt>
                <c:pt idx="112">
                  <c:v>3.6128150130856298</c:v>
                </c:pt>
                <c:pt idx="113">
                  <c:v>3.6128150130856298</c:v>
                </c:pt>
                <c:pt idx="114">
                  <c:v>3.6128150130856298</c:v>
                </c:pt>
                <c:pt idx="115">
                  <c:v>3.6128150130856298</c:v>
                </c:pt>
                <c:pt idx="116">
                  <c:v>3.6128150130856298</c:v>
                </c:pt>
                <c:pt idx="117">
                  <c:v>3.6128150130856298</c:v>
                </c:pt>
                <c:pt idx="118">
                  <c:v>3.6128150130856298</c:v>
                </c:pt>
                <c:pt idx="119">
                  <c:v>3.6128150130856298</c:v>
                </c:pt>
                <c:pt idx="120">
                  <c:v>3.6128150130856298</c:v>
                </c:pt>
                <c:pt idx="121">
                  <c:v>3.6128150130856298</c:v>
                </c:pt>
                <c:pt idx="122">
                  <c:v>3.6128150130856298</c:v>
                </c:pt>
                <c:pt idx="123">
                  <c:v>3.6128150130856298</c:v>
                </c:pt>
                <c:pt idx="124">
                  <c:v>3.6128150130856298</c:v>
                </c:pt>
                <c:pt idx="125">
                  <c:v>3.6128150130856298</c:v>
                </c:pt>
                <c:pt idx="126">
                  <c:v>3.6128150130856298</c:v>
                </c:pt>
                <c:pt idx="127">
                  <c:v>3.6128150130856298</c:v>
                </c:pt>
                <c:pt idx="128">
                  <c:v>3.6128150130856298</c:v>
                </c:pt>
                <c:pt idx="129">
                  <c:v>3.6128150130856298</c:v>
                </c:pt>
                <c:pt idx="130">
                  <c:v>3.6128150130856298</c:v>
                </c:pt>
                <c:pt idx="131">
                  <c:v>3.6128150130856298</c:v>
                </c:pt>
                <c:pt idx="132">
                  <c:v>3.6128150130856298</c:v>
                </c:pt>
                <c:pt idx="133">
                  <c:v>3.6128150130856298</c:v>
                </c:pt>
                <c:pt idx="134">
                  <c:v>3.6128150130856298</c:v>
                </c:pt>
                <c:pt idx="135">
                  <c:v>3.6128150130856298</c:v>
                </c:pt>
                <c:pt idx="136">
                  <c:v>3.6128150130856298</c:v>
                </c:pt>
                <c:pt idx="137">
                  <c:v>3.6128150130856298</c:v>
                </c:pt>
                <c:pt idx="138">
                  <c:v>3.6128150130856298</c:v>
                </c:pt>
                <c:pt idx="139">
                  <c:v>3.6128150130856298</c:v>
                </c:pt>
                <c:pt idx="140">
                  <c:v>3.6128150130856298</c:v>
                </c:pt>
                <c:pt idx="141">
                  <c:v>3.6128150130856298</c:v>
                </c:pt>
                <c:pt idx="142">
                  <c:v>3.6128150130856298</c:v>
                </c:pt>
                <c:pt idx="143">
                  <c:v>3.6128150130856298</c:v>
                </c:pt>
                <c:pt idx="144">
                  <c:v>3.6128150130856298</c:v>
                </c:pt>
                <c:pt idx="145">
                  <c:v>3.6128150130856298</c:v>
                </c:pt>
                <c:pt idx="146">
                  <c:v>3.6128150130856298</c:v>
                </c:pt>
                <c:pt idx="147">
                  <c:v>3.6128150130856298</c:v>
                </c:pt>
                <c:pt idx="148">
                  <c:v>3.6128150130856298</c:v>
                </c:pt>
                <c:pt idx="149">
                  <c:v>3.6128150130856298</c:v>
                </c:pt>
                <c:pt idx="150">
                  <c:v>3.6128150130856298</c:v>
                </c:pt>
                <c:pt idx="151">
                  <c:v>3.6128150130856298</c:v>
                </c:pt>
                <c:pt idx="152">
                  <c:v>3.6128150130856298</c:v>
                </c:pt>
                <c:pt idx="153">
                  <c:v>3.6128150130856298</c:v>
                </c:pt>
                <c:pt idx="154">
                  <c:v>3.6128150130856298</c:v>
                </c:pt>
                <c:pt idx="155">
                  <c:v>3.6128150130856298</c:v>
                </c:pt>
                <c:pt idx="156">
                  <c:v>3.6128150130856298</c:v>
                </c:pt>
                <c:pt idx="157">
                  <c:v>3.6128150130856298</c:v>
                </c:pt>
                <c:pt idx="158">
                  <c:v>3.6128150130856298</c:v>
                </c:pt>
                <c:pt idx="159">
                  <c:v>3.6128150130856298</c:v>
                </c:pt>
                <c:pt idx="160">
                  <c:v>3.6128150130856298</c:v>
                </c:pt>
                <c:pt idx="161">
                  <c:v>3.6128150130856298</c:v>
                </c:pt>
                <c:pt idx="162">
                  <c:v>3.6128150130856298</c:v>
                </c:pt>
                <c:pt idx="163">
                  <c:v>3.6128150130856298</c:v>
                </c:pt>
                <c:pt idx="164">
                  <c:v>3.6128150130856298</c:v>
                </c:pt>
                <c:pt idx="165">
                  <c:v>3.6128150130856298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XLU_IDU_1!$P$1</c:f>
              <c:strCache>
                <c:ptCount val="1"/>
                <c:pt idx="0">
                  <c:v> VIS/FIDU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XLU_IDU_1!$P$2:$P$167</c:f>
              <c:numCache>
                <c:formatCode>_(* #,##0.0000_);_(* \(#,##0.0000\);_(* "-"??_);_(@_)</c:formatCode>
                <c:ptCount val="166"/>
                <c:pt idx="9">
                  <c:v>3.6155090193581398</c:v>
                </c:pt>
                <c:pt idx="10">
                  <c:v>3.6146421696923001</c:v>
                </c:pt>
                <c:pt idx="11">
                  <c:v>3.6130223706273901</c:v>
                </c:pt>
                <c:pt idx="12">
                  <c:v>3.61235490078999</c:v>
                </c:pt>
                <c:pt idx="13">
                  <c:v>3.6118982372231399</c:v>
                </c:pt>
                <c:pt idx="14">
                  <c:v>3.6114830843854002</c:v>
                </c:pt>
                <c:pt idx="15">
                  <c:v>3.6107350412390899</c:v>
                </c:pt>
                <c:pt idx="16">
                  <c:v>3.6103928839039598</c:v>
                </c:pt>
                <c:pt idx="17">
                  <c:v>3.61032749099068</c:v>
                </c:pt>
                <c:pt idx="18">
                  <c:v>3.6104981267874701</c:v>
                </c:pt>
                <c:pt idx="19">
                  <c:v>3.6095880452579898</c:v>
                </c:pt>
                <c:pt idx="20">
                  <c:v>3.6098940366854402</c:v>
                </c:pt>
                <c:pt idx="21">
                  <c:v>3.6104566544110002</c:v>
                </c:pt>
                <c:pt idx="22">
                  <c:v>3.61061568252493</c:v>
                </c:pt>
                <c:pt idx="23">
                  <c:v>3.6111136331963598</c:v>
                </c:pt>
                <c:pt idx="24">
                  <c:v>3.61130052602272</c:v>
                </c:pt>
                <c:pt idx="25">
                  <c:v>3.61164232416166</c:v>
                </c:pt>
                <c:pt idx="26">
                  <c:v>3.6120813233467</c:v>
                </c:pt>
                <c:pt idx="27">
                  <c:v>3.6127530938539101</c:v>
                </c:pt>
                <c:pt idx="28">
                  <c:v>3.6129172711787998</c:v>
                </c:pt>
                <c:pt idx="29">
                  <c:v>3.6134352037873798</c:v>
                </c:pt>
                <c:pt idx="30">
                  <c:v>3.6129055996808499</c:v>
                </c:pt>
                <c:pt idx="31">
                  <c:v>3.6131540691592199</c:v>
                </c:pt>
                <c:pt idx="32">
                  <c:v>3.6126138743402398</c:v>
                </c:pt>
                <c:pt idx="33">
                  <c:v>3.6121389239577999</c:v>
                </c:pt>
                <c:pt idx="34">
                  <c:v>3.6114344593162402</c:v>
                </c:pt>
                <c:pt idx="35">
                  <c:v>3.6115232213369</c:v>
                </c:pt>
                <c:pt idx="36">
                  <c:v>3.6108295675431901</c:v>
                </c:pt>
                <c:pt idx="37">
                  <c:v>3.6098175110969</c:v>
                </c:pt>
                <c:pt idx="38">
                  <c:v>3.60981496517191</c:v>
                </c:pt>
                <c:pt idx="39">
                  <c:v>3.60979552646238</c:v>
                </c:pt>
                <c:pt idx="40">
                  <c:v>3.6094721580760298</c:v>
                </c:pt>
                <c:pt idx="41">
                  <c:v>3.60878258111196</c:v>
                </c:pt>
                <c:pt idx="42">
                  <c:v>3.6084036287582801</c:v>
                </c:pt>
                <c:pt idx="43">
                  <c:v>3.6079801994757799</c:v>
                </c:pt>
                <c:pt idx="44">
                  <c:v>3.60771059309773</c:v>
                </c:pt>
                <c:pt idx="45">
                  <c:v>3.6068307282765799</c:v>
                </c:pt>
                <c:pt idx="46">
                  <c:v>3.6060657387497401</c:v>
                </c:pt>
                <c:pt idx="47">
                  <c:v>3.60558696467591</c:v>
                </c:pt>
                <c:pt idx="48">
                  <c:v>3.6049187549334598</c:v>
                </c:pt>
                <c:pt idx="49">
                  <c:v>3.6044707571282601</c:v>
                </c:pt>
                <c:pt idx="50">
                  <c:v>3.6047949315569801</c:v>
                </c:pt>
                <c:pt idx="51">
                  <c:v>3.60458901530638</c:v>
                </c:pt>
                <c:pt idx="52">
                  <c:v>3.6054804796523299</c:v>
                </c:pt>
                <c:pt idx="53">
                  <c:v>3.60643744203455</c:v>
                </c:pt>
                <c:pt idx="54">
                  <c:v>3.60797932100997</c:v>
                </c:pt>
                <c:pt idx="55">
                  <c:v>3.6079172228124698</c:v>
                </c:pt>
                <c:pt idx="56">
                  <c:v>3.6086031779808301</c:v>
                </c:pt>
                <c:pt idx="57">
                  <c:v>3.6090525858816398</c:v>
                </c:pt>
                <c:pt idx="58">
                  <c:v>3.6092585670190398</c:v>
                </c:pt>
                <c:pt idx="59">
                  <c:v>3.6096563481186599</c:v>
                </c:pt>
                <c:pt idx="60">
                  <c:v>3.6098426936337802</c:v>
                </c:pt>
                <c:pt idx="61">
                  <c:v>3.6101987373934499</c:v>
                </c:pt>
                <c:pt idx="62">
                  <c:v>3.60984772531677</c:v>
                </c:pt>
                <c:pt idx="63">
                  <c:v>3.6092072587178201</c:v>
                </c:pt>
                <c:pt idx="64">
                  <c:v>3.6082248677320501</c:v>
                </c:pt>
                <c:pt idx="65">
                  <c:v>3.60853762109496</c:v>
                </c:pt>
                <c:pt idx="66">
                  <c:v>3.6082910919009699</c:v>
                </c:pt>
                <c:pt idx="67">
                  <c:v>3.6078504195421002</c:v>
                </c:pt>
                <c:pt idx="68">
                  <c:v>3.60783479210308</c:v>
                </c:pt>
                <c:pt idx="69">
                  <c:v>3.6076604293326402</c:v>
                </c:pt>
                <c:pt idx="70">
                  <c:v>3.6075768004048001</c:v>
                </c:pt>
                <c:pt idx="71">
                  <c:v>3.6077087997519701</c:v>
                </c:pt>
                <c:pt idx="72">
                  <c:v>3.6078244037067</c:v>
                </c:pt>
                <c:pt idx="73">
                  <c:v>3.60735996868216</c:v>
                </c:pt>
                <c:pt idx="74">
                  <c:v>3.6074083510346999</c:v>
                </c:pt>
                <c:pt idx="75">
                  <c:v>3.6076132548167799</c:v>
                </c:pt>
                <c:pt idx="76">
                  <c:v>3.6077158972259098</c:v>
                </c:pt>
                <c:pt idx="77">
                  <c:v>3.6081734050443699</c:v>
                </c:pt>
                <c:pt idx="78">
                  <c:v>3.6081168546982401</c:v>
                </c:pt>
                <c:pt idx="79">
                  <c:v>3.6084006777791799</c:v>
                </c:pt>
                <c:pt idx="80">
                  <c:v>3.6085011892100098</c:v>
                </c:pt>
                <c:pt idx="81">
                  <c:v>3.6079841283588601</c:v>
                </c:pt>
                <c:pt idx="82">
                  <c:v>3.6079632385212599</c:v>
                </c:pt>
                <c:pt idx="83">
                  <c:v>3.6082082768083601</c:v>
                </c:pt>
                <c:pt idx="84">
                  <c:v>3.6080385623076801</c:v>
                </c:pt>
                <c:pt idx="85">
                  <c:v>3.6079080414602802</c:v>
                </c:pt>
                <c:pt idx="86">
                  <c:v>3.6087185472381198</c:v>
                </c:pt>
                <c:pt idx="87">
                  <c:v>3.6088823204263001</c:v>
                </c:pt>
                <c:pt idx="88">
                  <c:v>3.6089505170538598</c:v>
                </c:pt>
                <c:pt idx="89">
                  <c:v>3.60893189936706</c:v>
                </c:pt>
                <c:pt idx="90">
                  <c:v>3.6086546036548701</c:v>
                </c:pt>
                <c:pt idx="91">
                  <c:v>3.60901667312049</c:v>
                </c:pt>
                <c:pt idx="92">
                  <c:v>3.6091244861737399</c:v>
                </c:pt>
                <c:pt idx="93">
                  <c:v>3.6091808918572101</c:v>
                </c:pt>
                <c:pt idx="94">
                  <c:v>3.6090272923241602</c:v>
                </c:pt>
                <c:pt idx="95">
                  <c:v>3.6091009640228</c:v>
                </c:pt>
                <c:pt idx="96">
                  <c:v>3.6085363000516502</c:v>
                </c:pt>
                <c:pt idx="97">
                  <c:v>3.60861353910287</c:v>
                </c:pt>
                <c:pt idx="98">
                  <c:v>3.6087658645685998</c:v>
                </c:pt>
                <c:pt idx="99">
                  <c:v>3.6089567083240102</c:v>
                </c:pt>
                <c:pt idx="100">
                  <c:v>3.6098495685389902</c:v>
                </c:pt>
                <c:pt idx="101">
                  <c:v>3.6103744866157901</c:v>
                </c:pt>
                <c:pt idx="102">
                  <c:v>3.6110941185793299</c:v>
                </c:pt>
                <c:pt idx="103">
                  <c:v>3.6116756427806598</c:v>
                </c:pt>
                <c:pt idx="104">
                  <c:v>3.6119166535119902</c:v>
                </c:pt>
                <c:pt idx="105">
                  <c:v>3.61230691590977</c:v>
                </c:pt>
                <c:pt idx="106">
                  <c:v>3.61269753346228</c:v>
                </c:pt>
                <c:pt idx="107">
                  <c:v>3.61277595169364</c:v>
                </c:pt>
                <c:pt idx="108">
                  <c:v>3.61330216933277</c:v>
                </c:pt>
                <c:pt idx="109">
                  <c:v>3.6134672030152002</c:v>
                </c:pt>
                <c:pt idx="110">
                  <c:v>3.6133228220537199</c:v>
                </c:pt>
                <c:pt idx="111">
                  <c:v>3.61381973395783</c:v>
                </c:pt>
                <c:pt idx="112">
                  <c:v>3.6139423775013202</c:v>
                </c:pt>
                <c:pt idx="113">
                  <c:v>3.6143023946926101</c:v>
                </c:pt>
                <c:pt idx="114">
                  <c:v>3.6145369022534601</c:v>
                </c:pt>
                <c:pt idx="115">
                  <c:v>3.6156900495111799</c:v>
                </c:pt>
                <c:pt idx="116">
                  <c:v>3.6167714507660702</c:v>
                </c:pt>
                <c:pt idx="117">
                  <c:v>3.6179175898562099</c:v>
                </c:pt>
                <c:pt idx="118">
                  <c:v>3.6184487630759898</c:v>
                </c:pt>
                <c:pt idx="119">
                  <c:v>3.6189869723942998</c:v>
                </c:pt>
                <c:pt idx="120">
                  <c:v>3.6202951339279501</c:v>
                </c:pt>
                <c:pt idx="121">
                  <c:v>3.6204670362419198</c:v>
                </c:pt>
                <c:pt idx="122">
                  <c:v>3.62040117460977</c:v>
                </c:pt>
                <c:pt idx="123">
                  <c:v>3.6208822922671802</c:v>
                </c:pt>
                <c:pt idx="124">
                  <c:v>3.6211044193422501</c:v>
                </c:pt>
                <c:pt idx="125">
                  <c:v>3.62095565778192</c:v>
                </c:pt>
                <c:pt idx="126">
                  <c:v>3.6205876241750401</c:v>
                </c:pt>
                <c:pt idx="127">
                  <c:v>3.6200436256639499</c:v>
                </c:pt>
                <c:pt idx="128">
                  <c:v>3.62000565045085</c:v>
                </c:pt>
                <c:pt idx="129">
                  <c:v>3.6200179327283402</c:v>
                </c:pt>
                <c:pt idx="130">
                  <c:v>3.6194333258273699</c:v>
                </c:pt>
                <c:pt idx="131">
                  <c:v>3.6193451864097299</c:v>
                </c:pt>
                <c:pt idx="132">
                  <c:v>3.6193771182355099</c:v>
                </c:pt>
                <c:pt idx="133">
                  <c:v>3.6189375451833401</c:v>
                </c:pt>
                <c:pt idx="134">
                  <c:v>3.6191663731780102</c:v>
                </c:pt>
                <c:pt idx="135">
                  <c:v>3.6189537587290102</c:v>
                </c:pt>
                <c:pt idx="136">
                  <c:v>3.6186338391598301</c:v>
                </c:pt>
                <c:pt idx="137">
                  <c:v>3.61859832192334</c:v>
                </c:pt>
                <c:pt idx="138">
                  <c:v>3.61806771026813</c:v>
                </c:pt>
                <c:pt idx="139">
                  <c:v>3.6178134919011198</c:v>
                </c:pt>
                <c:pt idx="140">
                  <c:v>3.61772744248186</c:v>
                </c:pt>
                <c:pt idx="141">
                  <c:v>3.6176683684377702</c:v>
                </c:pt>
                <c:pt idx="142">
                  <c:v>3.61790074538448</c:v>
                </c:pt>
                <c:pt idx="143">
                  <c:v>3.6181700926364901</c:v>
                </c:pt>
                <c:pt idx="144">
                  <c:v>3.6182165227423799</c:v>
                </c:pt>
                <c:pt idx="145">
                  <c:v>3.6181579800991499</c:v>
                </c:pt>
                <c:pt idx="146">
                  <c:v>3.6184855115561598</c:v>
                </c:pt>
                <c:pt idx="147">
                  <c:v>3.6188228299145</c:v>
                </c:pt>
                <c:pt idx="148">
                  <c:v>3.6194748255032101</c:v>
                </c:pt>
                <c:pt idx="149">
                  <c:v>3.6197382296963401</c:v>
                </c:pt>
                <c:pt idx="150">
                  <c:v>3.61969610416946</c:v>
                </c:pt>
                <c:pt idx="151">
                  <c:v>3.6195785105648302</c:v>
                </c:pt>
                <c:pt idx="152">
                  <c:v>3.6192343820000001</c:v>
                </c:pt>
                <c:pt idx="153">
                  <c:v>3.6190049140826299</c:v>
                </c:pt>
                <c:pt idx="154">
                  <c:v>3.6187746887688199</c:v>
                </c:pt>
                <c:pt idx="155">
                  <c:v>3.6184615065325501</c:v>
                </c:pt>
                <c:pt idx="156">
                  <c:v>3.6178939953370501</c:v>
                </c:pt>
                <c:pt idx="157">
                  <c:v>3.6172756884798898</c:v>
                </c:pt>
                <c:pt idx="158">
                  <c:v>3.6166696076857399</c:v>
                </c:pt>
                <c:pt idx="159">
                  <c:v>3.6163699356036201</c:v>
                </c:pt>
                <c:pt idx="160">
                  <c:v>3.6158622704218999</c:v>
                </c:pt>
                <c:pt idx="161">
                  <c:v>3.6159121776543999</c:v>
                </c:pt>
                <c:pt idx="162">
                  <c:v>3.6159158367264599</c:v>
                </c:pt>
                <c:pt idx="163">
                  <c:v>3.6155743073803599</c:v>
                </c:pt>
                <c:pt idx="164">
                  <c:v>3.61582471023232</c:v>
                </c:pt>
                <c:pt idx="165">
                  <c:v>3.6158767988165099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XLU_IDU_1!$Q$1</c:f>
              <c:strCache>
                <c:ptCount val="1"/>
                <c:pt idx="0">
                  <c:v> VIS/FIDU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XLU_IDU_1!$Q$2:$Q$167</c:f>
              <c:numCache>
                <c:formatCode>_(* #,##0.0000_);_(* \(#,##0.0000\);_(* "-"??_);_(@_)</c:formatCode>
                <c:ptCount val="166"/>
                <c:pt idx="19">
                  <c:v>3.6125485323080602</c:v>
                </c:pt>
                <c:pt idx="20">
                  <c:v>3.6122681031888701</c:v>
                </c:pt>
                <c:pt idx="21">
                  <c:v>3.6117395125192</c:v>
                </c:pt>
                <c:pt idx="22">
                  <c:v>3.61148529165746</c:v>
                </c:pt>
                <c:pt idx="23">
                  <c:v>3.6115059352097498</c:v>
                </c:pt>
                <c:pt idx="24">
                  <c:v>3.6113918052040601</c:v>
                </c:pt>
                <c:pt idx="25">
                  <c:v>3.6111886827003699</c:v>
                </c:pt>
                <c:pt idx="26">
                  <c:v>3.6112371036253301</c:v>
                </c:pt>
                <c:pt idx="27">
                  <c:v>3.6115402924222999</c:v>
                </c:pt>
                <c:pt idx="28">
                  <c:v>3.61170769898313</c:v>
                </c:pt>
                <c:pt idx="29">
                  <c:v>3.6115116245226799</c:v>
                </c:pt>
                <c:pt idx="30">
                  <c:v>3.6113998181831501</c:v>
                </c:pt>
                <c:pt idx="31">
                  <c:v>3.6118053617851098</c:v>
                </c:pt>
                <c:pt idx="32">
                  <c:v>3.6116147784325801</c:v>
                </c:pt>
                <c:pt idx="33">
                  <c:v>3.6116262785770799</c:v>
                </c:pt>
                <c:pt idx="34">
                  <c:v>3.6113674926694799</c:v>
                </c:pt>
                <c:pt idx="35">
                  <c:v>3.61158277274928</c:v>
                </c:pt>
                <c:pt idx="36">
                  <c:v>3.6114554454449399</c:v>
                </c:pt>
                <c:pt idx="37">
                  <c:v>3.6112853024754101</c:v>
                </c:pt>
                <c:pt idx="38">
                  <c:v>3.61136611817536</c:v>
                </c:pt>
                <c:pt idx="39">
                  <c:v>3.6116153651248801</c:v>
                </c:pt>
                <c:pt idx="40">
                  <c:v>3.6111888788784401</c:v>
                </c:pt>
                <c:pt idx="41">
                  <c:v>3.6109683251355902</c:v>
                </c:pt>
                <c:pt idx="42">
                  <c:v>3.61050875154926</c:v>
                </c:pt>
                <c:pt idx="43">
                  <c:v>3.6100595617167901</c:v>
                </c:pt>
                <c:pt idx="44">
                  <c:v>3.6095725262069802</c:v>
                </c:pt>
                <c:pt idx="45">
                  <c:v>3.6091769748067399</c:v>
                </c:pt>
                <c:pt idx="46">
                  <c:v>3.60844765314646</c:v>
                </c:pt>
                <c:pt idx="47">
                  <c:v>3.6077022378864001</c:v>
                </c:pt>
                <c:pt idx="48">
                  <c:v>3.6073668600526898</c:v>
                </c:pt>
                <c:pt idx="49">
                  <c:v>3.6071331417953201</c:v>
                </c:pt>
                <c:pt idx="50">
                  <c:v>3.6071335448165001</c:v>
                </c:pt>
                <c:pt idx="51">
                  <c:v>3.60668579820917</c:v>
                </c:pt>
                <c:pt idx="52">
                  <c:v>3.6069420542052999</c:v>
                </c:pt>
                <c:pt idx="53">
                  <c:v>3.60720882075517</c:v>
                </c:pt>
                <c:pt idx="54">
                  <c:v>3.60784495705385</c:v>
                </c:pt>
                <c:pt idx="55">
                  <c:v>3.60737397554453</c:v>
                </c:pt>
                <c:pt idx="56">
                  <c:v>3.6073344583652802</c:v>
                </c:pt>
                <c:pt idx="57">
                  <c:v>3.60731977527877</c:v>
                </c:pt>
                <c:pt idx="58">
                  <c:v>3.6070886609762498</c:v>
                </c:pt>
                <c:pt idx="59">
                  <c:v>3.60706355262346</c:v>
                </c:pt>
                <c:pt idx="60">
                  <c:v>3.6073188125953801</c:v>
                </c:pt>
                <c:pt idx="61">
                  <c:v>3.6073938763499198</c:v>
                </c:pt>
                <c:pt idx="62">
                  <c:v>3.6076641024845499</c:v>
                </c:pt>
                <c:pt idx="63">
                  <c:v>3.6078223503761899</c:v>
                </c:pt>
                <c:pt idx="64">
                  <c:v>3.6081020943710098</c:v>
                </c:pt>
                <c:pt idx="65">
                  <c:v>3.6082274219537198</c:v>
                </c:pt>
                <c:pt idx="66">
                  <c:v>3.6084471349409002</c:v>
                </c:pt>
                <c:pt idx="67">
                  <c:v>3.60845150271187</c:v>
                </c:pt>
                <c:pt idx="68">
                  <c:v>3.6085466795610599</c:v>
                </c:pt>
                <c:pt idx="69">
                  <c:v>3.60865838872565</c:v>
                </c:pt>
                <c:pt idx="70">
                  <c:v>3.6087097470192901</c:v>
                </c:pt>
                <c:pt idx="71">
                  <c:v>3.60895376857271</c:v>
                </c:pt>
                <c:pt idx="72">
                  <c:v>3.6088360645117401</c:v>
                </c:pt>
                <c:pt idx="73">
                  <c:v>3.6082836136999901</c:v>
                </c:pt>
                <c:pt idx="74">
                  <c:v>3.6078166093833701</c:v>
                </c:pt>
                <c:pt idx="75">
                  <c:v>3.6080754379558702</c:v>
                </c:pt>
                <c:pt idx="76">
                  <c:v>3.6080034945634401</c:v>
                </c:pt>
                <c:pt idx="77">
                  <c:v>3.6080119122932302</c:v>
                </c:pt>
                <c:pt idx="78">
                  <c:v>3.6079758234006598</c:v>
                </c:pt>
                <c:pt idx="79">
                  <c:v>3.6080305535559098</c:v>
                </c:pt>
                <c:pt idx="80">
                  <c:v>3.6080389948074001</c:v>
                </c:pt>
                <c:pt idx="81">
                  <c:v>3.60784646405541</c:v>
                </c:pt>
                <c:pt idx="82">
                  <c:v>3.6078938211139802</c:v>
                </c:pt>
                <c:pt idx="83">
                  <c:v>3.6077841227452598</c:v>
                </c:pt>
                <c:pt idx="84">
                  <c:v>3.6077234566711902</c:v>
                </c:pt>
                <c:pt idx="85">
                  <c:v>3.6077606481385298</c:v>
                </c:pt>
                <c:pt idx="86">
                  <c:v>3.6082172222320099</c:v>
                </c:pt>
                <c:pt idx="87">
                  <c:v>3.6085278627353401</c:v>
                </c:pt>
                <c:pt idx="88">
                  <c:v>3.6085336858760502</c:v>
                </c:pt>
                <c:pt idx="89">
                  <c:v>3.60866628857312</c:v>
                </c:pt>
                <c:pt idx="90">
                  <c:v>3.6085778964324402</c:v>
                </c:pt>
                <c:pt idx="91">
                  <c:v>3.6085004007396702</c:v>
                </c:pt>
                <c:pt idx="92">
                  <c:v>3.6085438623475001</c:v>
                </c:pt>
                <c:pt idx="93">
                  <c:v>3.6086945843327798</c:v>
                </c:pt>
                <c:pt idx="94">
                  <c:v>3.6085329273159199</c:v>
                </c:pt>
                <c:pt idx="95">
                  <c:v>3.6085045027415399</c:v>
                </c:pt>
                <c:pt idx="96">
                  <c:v>3.6086274236448799</c:v>
                </c:pt>
                <c:pt idx="97">
                  <c:v>3.6087479297645899</c:v>
                </c:pt>
                <c:pt idx="98">
                  <c:v>3.60885819081123</c:v>
                </c:pt>
                <c:pt idx="99">
                  <c:v>3.60894430384554</c:v>
                </c:pt>
                <c:pt idx="100">
                  <c:v>3.6092520860969302</c:v>
                </c:pt>
                <c:pt idx="101">
                  <c:v>3.60969557986814</c:v>
                </c:pt>
                <c:pt idx="102">
                  <c:v>3.6101093023765398</c:v>
                </c:pt>
                <c:pt idx="103">
                  <c:v>3.6104282673189401</c:v>
                </c:pt>
                <c:pt idx="104">
                  <c:v>3.6104719729180701</c:v>
                </c:pt>
                <c:pt idx="105">
                  <c:v>3.6107039399662901</c:v>
                </c:pt>
                <c:pt idx="106">
                  <c:v>3.6106169167569702</c:v>
                </c:pt>
                <c:pt idx="107">
                  <c:v>3.6106947453982601</c:v>
                </c:pt>
                <c:pt idx="108">
                  <c:v>3.6110340169506898</c:v>
                </c:pt>
                <c:pt idx="109">
                  <c:v>3.6112119556696101</c:v>
                </c:pt>
                <c:pt idx="110">
                  <c:v>3.6115861952963502</c:v>
                </c:pt>
                <c:pt idx="111">
                  <c:v>3.6120971102868098</c:v>
                </c:pt>
                <c:pt idx="112">
                  <c:v>3.6125182480403302</c:v>
                </c:pt>
                <c:pt idx="113">
                  <c:v>3.61298901873664</c:v>
                </c:pt>
                <c:pt idx="114">
                  <c:v>3.6132267778827201</c:v>
                </c:pt>
                <c:pt idx="115">
                  <c:v>3.6139984827104699</c:v>
                </c:pt>
                <c:pt idx="116">
                  <c:v>3.6147344921141702</c:v>
                </c:pt>
                <c:pt idx="117">
                  <c:v>3.6153467707749201</c:v>
                </c:pt>
                <c:pt idx="118">
                  <c:v>3.6158754662043799</c:v>
                </c:pt>
                <c:pt idx="119">
                  <c:v>3.61622708770475</c:v>
                </c:pt>
                <c:pt idx="120">
                  <c:v>3.6168089779908401</c:v>
                </c:pt>
                <c:pt idx="121">
                  <c:v>3.61714338509988</c:v>
                </c:pt>
                <c:pt idx="122">
                  <c:v>3.61717177605555</c:v>
                </c:pt>
                <c:pt idx="123">
                  <c:v>3.6175923434799002</c:v>
                </c:pt>
                <c:pt idx="124">
                  <c:v>3.6178206607978498</c:v>
                </c:pt>
                <c:pt idx="125">
                  <c:v>3.6183228536465499</c:v>
                </c:pt>
                <c:pt idx="126">
                  <c:v>3.6186795374705598</c:v>
                </c:pt>
                <c:pt idx="127">
                  <c:v>3.6189806077600801</c:v>
                </c:pt>
                <c:pt idx="128">
                  <c:v>3.6192272067634201</c:v>
                </c:pt>
                <c:pt idx="129">
                  <c:v>3.6195024525613202</c:v>
                </c:pt>
                <c:pt idx="130">
                  <c:v>3.6198642298776602</c:v>
                </c:pt>
                <c:pt idx="131">
                  <c:v>3.61990611132582</c:v>
                </c:pt>
                <c:pt idx="132">
                  <c:v>3.6198891464226399</c:v>
                </c:pt>
                <c:pt idx="133">
                  <c:v>3.6199099187252601</c:v>
                </c:pt>
                <c:pt idx="134">
                  <c:v>3.6201353962601299</c:v>
                </c:pt>
                <c:pt idx="135">
                  <c:v>3.6199547082554702</c:v>
                </c:pt>
                <c:pt idx="136">
                  <c:v>3.6196107316674402</c:v>
                </c:pt>
                <c:pt idx="137">
                  <c:v>3.6193209737936498</c:v>
                </c:pt>
                <c:pt idx="138">
                  <c:v>3.61903668035949</c:v>
                </c:pt>
                <c:pt idx="139">
                  <c:v>3.6189157123147302</c:v>
                </c:pt>
                <c:pt idx="140">
                  <c:v>3.6185803841546198</c:v>
                </c:pt>
                <c:pt idx="141">
                  <c:v>3.6185067774237498</c:v>
                </c:pt>
                <c:pt idx="142">
                  <c:v>3.6186389318100001</c:v>
                </c:pt>
                <c:pt idx="143">
                  <c:v>3.6185538189099198</c:v>
                </c:pt>
                <c:pt idx="144">
                  <c:v>3.6186914479602001</c:v>
                </c:pt>
                <c:pt idx="145">
                  <c:v>3.61855586941408</c:v>
                </c:pt>
                <c:pt idx="146">
                  <c:v>3.618559675358</c:v>
                </c:pt>
                <c:pt idx="147">
                  <c:v>3.6187105759189202</c:v>
                </c:pt>
                <c:pt idx="148">
                  <c:v>3.6187712678856698</c:v>
                </c:pt>
                <c:pt idx="149">
                  <c:v>3.6187758607987299</c:v>
                </c:pt>
                <c:pt idx="150">
                  <c:v>3.6187117733256602</c:v>
                </c:pt>
                <c:pt idx="151">
                  <c:v>3.6186234395013002</c:v>
                </c:pt>
                <c:pt idx="152">
                  <c:v>3.6185675636922401</c:v>
                </c:pt>
                <c:pt idx="153">
                  <c:v>3.61858750335956</c:v>
                </c:pt>
                <c:pt idx="154">
                  <c:v>3.6184956057556001</c:v>
                </c:pt>
                <c:pt idx="155">
                  <c:v>3.6183097433158502</c:v>
                </c:pt>
                <c:pt idx="156">
                  <c:v>3.6181897534465999</c:v>
                </c:pt>
                <c:pt idx="157">
                  <c:v>3.61804925919719</c:v>
                </c:pt>
                <c:pt idx="158">
                  <c:v>3.6180722165944701</c:v>
                </c:pt>
                <c:pt idx="159">
                  <c:v>3.6180540826499801</c:v>
                </c:pt>
                <c:pt idx="160">
                  <c:v>3.6177791872956799</c:v>
                </c:pt>
                <c:pt idx="161">
                  <c:v>3.6177453441096099</c:v>
                </c:pt>
                <c:pt idx="162">
                  <c:v>3.61757510936323</c:v>
                </c:pt>
                <c:pt idx="163">
                  <c:v>3.6172896107314898</c:v>
                </c:pt>
                <c:pt idx="164">
                  <c:v>3.61729969950057</c:v>
                </c:pt>
                <c:pt idx="165">
                  <c:v>3.61716915267453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XLU_IDU_1!$AE$1</c:f>
              <c:strCache>
                <c:ptCount val="1"/>
                <c:pt idx="0">
                  <c:v>log diff FIDU* x avg / VIS*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XLU_IDU_1!$AE$2:$AE$167</c:f>
              <c:numCache>
                <c:formatCode>0.00%</c:formatCode>
                <c:ptCount val="166"/>
                <c:pt idx="1">
                  <c:v>-2.4092859133695499E-3</c:v>
                </c:pt>
                <c:pt idx="2">
                  <c:v>-1.1554365723589299E-3</c:v>
                </c:pt>
                <c:pt idx="3">
                  <c:v>-7.8347101788015297E-4</c:v>
                </c:pt>
                <c:pt idx="4">
                  <c:v>-1.09024124094411E-3</c:v>
                </c:pt>
                <c:pt idx="5">
                  <c:v>-1.04116923050735E-3</c:v>
                </c:pt>
                <c:pt idx="6">
                  <c:v>-6.1879901310915803E-4</c:v>
                </c:pt>
                <c:pt idx="7">
                  <c:v>7.6980729606419102E-5</c:v>
                </c:pt>
                <c:pt idx="8">
                  <c:v>1.0099530430384999E-3</c:v>
                </c:pt>
                <c:pt idx="9">
                  <c:v>-9.3433814977714002E-5</c:v>
                </c:pt>
                <c:pt idx="10">
                  <c:v>1.0537509013303101E-3</c:v>
                </c:pt>
                <c:pt idx="11">
                  <c:v>2.0734393962256099E-3</c:v>
                </c:pt>
                <c:pt idx="12">
                  <c:v>6.9164104802691296E-4</c:v>
                </c:pt>
                <c:pt idx="13">
                  <c:v>4.8034771452135501E-4</c:v>
                </c:pt>
                <c:pt idx="14">
                  <c:v>5.8277732203588103E-5</c:v>
                </c:pt>
                <c:pt idx="15">
                  <c:v>1.0293452784856699E-3</c:v>
                </c:pt>
                <c:pt idx="16">
                  <c:v>3.2812906732122301E-4</c:v>
                </c:pt>
                <c:pt idx="17">
                  <c:v>2.58013710822892E-4</c:v>
                </c:pt>
                <c:pt idx="18">
                  <c:v>5.3728048061461495E-4</c:v>
                </c:pt>
                <c:pt idx="19">
                  <c:v>2.42854551768491E-3</c:v>
                </c:pt>
                <c:pt idx="20">
                  <c:v>2.06255932533747E-4</c:v>
                </c:pt>
                <c:pt idx="21">
                  <c:v>5.1413993990046002E-4</c:v>
                </c:pt>
                <c:pt idx="22">
                  <c:v>2.51255633109736E-4</c:v>
                </c:pt>
                <c:pt idx="23">
                  <c:v>-8.9765459656855802E-4</c:v>
                </c:pt>
                <c:pt idx="24">
                  <c:v>-4.5892391915988403E-4</c:v>
                </c:pt>
                <c:pt idx="25">
                  <c:v>8.2747588283309096E-5</c:v>
                </c:pt>
                <c:pt idx="26">
                  <c:v>-8.8664827070745404E-4</c:v>
                </c:pt>
                <c:pt idx="27">
                  <c:v>-1.60014884669952E-3</c:v>
                </c:pt>
                <c:pt idx="28">
                  <c:v>8.2709114836625395E-5</c:v>
                </c:pt>
                <c:pt idx="29">
                  <c:v>9.9249287196282094E-4</c:v>
                </c:pt>
                <c:pt idx="30">
                  <c:v>1.67353854872113E-3</c:v>
                </c:pt>
                <c:pt idx="31">
                  <c:v>-1.7372192933200401E-4</c:v>
                </c:pt>
                <c:pt idx="32">
                  <c:v>1.7479694754970101E-3</c:v>
                </c:pt>
                <c:pt idx="33">
                  <c:v>4.1665608654890401E-4</c:v>
                </c:pt>
                <c:pt idx="34">
                  <c:v>1.4919883193522799E-3</c:v>
                </c:pt>
                <c:pt idx="35">
                  <c:v>-1.6292915311022499E-4</c:v>
                </c:pt>
                <c:pt idx="36">
                  <c:v>1.03347387661792E-3</c:v>
                </c:pt>
                <c:pt idx="37">
                  <c:v>1.2005867082199599E-3</c:v>
                </c:pt>
                <c:pt idx="38">
                  <c:v>8.9756651271302105E-5</c:v>
                </c:pt>
                <c:pt idx="39">
                  <c:v>1.04635263457002E-3</c:v>
                </c:pt>
                <c:pt idx="40">
                  <c:v>2.5704992198697998E-3</c:v>
                </c:pt>
                <c:pt idx="41">
                  <c:v>1.7364668948140901E-3</c:v>
                </c:pt>
                <c:pt idx="42">
                  <c:v>2.7992685547631999E-3</c:v>
                </c:pt>
                <c:pt idx="43">
                  <c:v>1.58985282408074E-3</c:v>
                </c:pt>
                <c:pt idx="44">
                  <c:v>2.2396321225844301E-3</c:v>
                </c:pt>
                <c:pt idx="45">
                  <c:v>2.2750431151033401E-3</c:v>
                </c:pt>
                <c:pt idx="46">
                  <c:v>3.1553463252647902E-3</c:v>
                </c:pt>
                <c:pt idx="47">
                  <c:v>2.52827027224566E-3</c:v>
                </c:pt>
                <c:pt idx="48">
                  <c:v>1.94118978089551E-3</c:v>
                </c:pt>
                <c:pt idx="49">
                  <c:v>2.288446096598E-3</c:v>
                </c:pt>
                <c:pt idx="50">
                  <c:v>1.6713037497381E-3</c:v>
                </c:pt>
                <c:pt idx="51">
                  <c:v>2.3075812084103202E-3</c:v>
                </c:pt>
                <c:pt idx="52">
                  <c:v>3.2790180549045799E-4</c:v>
                </c:pt>
                <c:pt idx="53">
                  <c:v>-1.05964853478549E-3</c:v>
                </c:pt>
                <c:pt idx="54">
                  <c:v>-2.0286198790986799E-3</c:v>
                </c:pt>
                <c:pt idx="55">
                  <c:v>2.4473325789741902E-3</c:v>
                </c:pt>
                <c:pt idx="56">
                  <c:v>1.25248521359926E-3</c:v>
                </c:pt>
                <c:pt idx="57">
                  <c:v>1.28197102253884E-3</c:v>
                </c:pt>
                <c:pt idx="58">
                  <c:v>1.37010477258772E-3</c:v>
                </c:pt>
                <c:pt idx="59">
                  <c:v>1.18550389163382E-3</c:v>
                </c:pt>
                <c:pt idx="60">
                  <c:v>1.1547840472703099E-3</c:v>
                </c:pt>
                <c:pt idx="61">
                  <c:v>1.32028966320762E-3</c:v>
                </c:pt>
                <c:pt idx="62">
                  <c:v>1.30026803942192E-3</c:v>
                </c:pt>
                <c:pt idx="63">
                  <c:v>7.1280716051417496E-4</c:v>
                </c:pt>
                <c:pt idx="64">
                  <c:v>6.8874250688643701E-4</c:v>
                </c:pt>
                <c:pt idx="65">
                  <c:v>1.57990993691314E-3</c:v>
                </c:pt>
                <c:pt idx="66">
                  <c:v>1.9359481716904399E-3</c:v>
                </c:pt>
                <c:pt idx="67">
                  <c:v>2.5040300343433602E-3</c:v>
                </c:pt>
                <c:pt idx="68">
                  <c:v>1.41342059083721E-3</c:v>
                </c:pt>
                <c:pt idx="69">
                  <c:v>1.6688161822818099E-3</c:v>
                </c:pt>
                <c:pt idx="70">
                  <c:v>1.38655694377855E-3</c:v>
                </c:pt>
                <c:pt idx="71">
                  <c:v>9.5450960698640502E-4</c:v>
                </c:pt>
                <c:pt idx="72">
                  <c:v>9.7991997745529194E-4</c:v>
                </c:pt>
                <c:pt idx="73">
                  <c:v>2.0000731747553502E-3</c:v>
                </c:pt>
                <c:pt idx="74">
                  <c:v>5.5474050845748702E-4</c:v>
                </c:pt>
                <c:pt idx="75">
                  <c:v>1.01201620734201E-3</c:v>
                </c:pt>
                <c:pt idx="76">
                  <c:v>1.6513316686395301E-3</c:v>
                </c:pt>
                <c:pt idx="77">
                  <c:v>1.2353130489714799E-3</c:v>
                </c:pt>
                <c:pt idx="78">
                  <c:v>1.57018137345154E-3</c:v>
                </c:pt>
                <c:pt idx="79">
                  <c:v>8.8221259480662296E-4</c:v>
                </c:pt>
                <c:pt idx="80">
                  <c:v>1.1080016505424801E-3</c:v>
                </c:pt>
                <c:pt idx="81">
                  <c:v>2.3880889374660601E-3</c:v>
                </c:pt>
                <c:pt idx="82">
                  <c:v>1.03779983866292E-3</c:v>
                </c:pt>
                <c:pt idx="83">
                  <c:v>1.3206985664206501E-3</c:v>
                </c:pt>
                <c:pt idx="84">
                  <c:v>1.0248686294251901E-3</c:v>
                </c:pt>
                <c:pt idx="85">
                  <c:v>1.3737192926711499E-3</c:v>
                </c:pt>
                <c:pt idx="86">
                  <c:v>-5.9327398936079301E-4</c:v>
                </c:pt>
                <c:pt idx="87">
                  <c:v>7.8154383291733904E-4</c:v>
                </c:pt>
                <c:pt idx="88">
                  <c:v>1.38113948627032E-3</c:v>
                </c:pt>
                <c:pt idx="89">
                  <c:v>9.3379176315682301E-4</c:v>
                </c:pt>
                <c:pt idx="90">
                  <c:v>1.87668156692854E-3</c:v>
                </c:pt>
                <c:pt idx="91">
                  <c:v>1.3840160041592401E-3</c:v>
                </c:pt>
                <c:pt idx="92">
                  <c:v>7.3911617399231996E-4</c:v>
                </c:pt>
                <c:pt idx="93">
                  <c:v>1.16437776676178E-3</c:v>
                </c:pt>
                <c:pt idx="94">
                  <c:v>1.45054711110684E-3</c:v>
                </c:pt>
                <c:pt idx="95">
                  <c:v>1.1695421038880899E-3</c:v>
                </c:pt>
                <c:pt idx="96">
                  <c:v>9.6996762217601803E-4</c:v>
                </c:pt>
                <c:pt idx="97">
                  <c:v>5.6760768628236397E-4</c:v>
                </c:pt>
                <c:pt idx="98">
                  <c:v>9.5902044243388401E-4</c:v>
                </c:pt>
                <c:pt idx="99">
                  <c:v>4.0519684732217301E-4</c:v>
                </c:pt>
                <c:pt idx="100">
                  <c:v>-5.9627035895087595E-4</c:v>
                </c:pt>
                <c:pt idx="101">
                  <c:v>-6.9872586305791797E-5</c:v>
                </c:pt>
                <c:pt idx="102">
                  <c:v>-1.25225960510315E-3</c:v>
                </c:pt>
                <c:pt idx="103">
                  <c:v>-4.4581568221643201E-4</c:v>
                </c:pt>
                <c:pt idx="104">
                  <c:v>7.8270224552433895E-4</c:v>
                </c:pt>
                <c:pt idx="105">
                  <c:v>8.8645445065167503E-5</c:v>
                </c:pt>
                <c:pt idx="106">
                  <c:v>-1.1169638752859E-4</c:v>
                </c:pt>
                <c:pt idx="107">
                  <c:v>3.5045226729628999E-4</c:v>
                </c:pt>
                <c:pt idx="108">
                  <c:v>-4.9784613859413999E-4</c:v>
                </c:pt>
                <c:pt idx="109">
                  <c:v>-5.1684708136679302E-5</c:v>
                </c:pt>
                <c:pt idx="110">
                  <c:v>-1.9679316536956899E-4</c:v>
                </c:pt>
                <c:pt idx="111">
                  <c:v>-1.4442463467661799E-3</c:v>
                </c:pt>
                <c:pt idx="112">
                  <c:v>-1.59124540312637E-3</c:v>
                </c:pt>
                <c:pt idx="113">
                  <c:v>-1.4413762757928201E-3</c:v>
                </c:pt>
                <c:pt idx="114">
                  <c:v>1.3330562306255E-4</c:v>
                </c:pt>
                <c:pt idx="115">
                  <c:v>-3.0983783540944202E-3</c:v>
                </c:pt>
                <c:pt idx="116">
                  <c:v>-3.1001295252132402E-3</c:v>
                </c:pt>
                <c:pt idx="117">
                  <c:v>-2.8180613917568199E-3</c:v>
                </c:pt>
                <c:pt idx="118">
                  <c:v>-1.96628317020342E-3</c:v>
                </c:pt>
                <c:pt idx="119">
                  <c:v>-1.54022217158954E-3</c:v>
                </c:pt>
                <c:pt idx="120">
                  <c:v>-3.8104362412787001E-3</c:v>
                </c:pt>
                <c:pt idx="121">
                  <c:v>-1.9192594804923299E-3</c:v>
                </c:pt>
                <c:pt idx="122">
                  <c:v>-1.4092186506607599E-3</c:v>
                </c:pt>
                <c:pt idx="123">
                  <c:v>-2.7702722671715798E-3</c:v>
                </c:pt>
                <c:pt idx="124">
                  <c:v>-4.81418384386742E-4</c:v>
                </c:pt>
                <c:pt idx="125">
                  <c:v>-2.6878070967236798E-3</c:v>
                </c:pt>
                <c:pt idx="126">
                  <c:v>-2.0840773777327901E-3</c:v>
                </c:pt>
                <c:pt idx="127">
                  <c:v>-1.3154233815282101E-3</c:v>
                </c:pt>
                <c:pt idx="128">
                  <c:v>-1.8613716138457101E-3</c:v>
                </c:pt>
                <c:pt idx="129">
                  <c:v>-1.5741656933031499E-3</c:v>
                </c:pt>
                <c:pt idx="130">
                  <c:v>-2.1971418030062701E-3</c:v>
                </c:pt>
                <c:pt idx="131">
                  <c:v>-1.67573433713293E-3</c:v>
                </c:pt>
                <c:pt idx="132">
                  <c:v>-1.4974751801205999E-3</c:v>
                </c:pt>
                <c:pt idx="133">
                  <c:v>-1.5561963958656601E-3</c:v>
                </c:pt>
                <c:pt idx="134">
                  <c:v>-1.1142918950717701E-3</c:v>
                </c:pt>
                <c:pt idx="135">
                  <c:v>-2.1007136536590398E-3</c:v>
                </c:pt>
                <c:pt idx="136">
                  <c:v>-1.2000169825389501E-3</c:v>
                </c:pt>
                <c:pt idx="137">
                  <c:v>-1.21723875752314E-3</c:v>
                </c:pt>
                <c:pt idx="138">
                  <c:v>-3.9433416180641498E-4</c:v>
                </c:pt>
                <c:pt idx="139">
                  <c:v>-8.7136828738155602E-4</c:v>
                </c:pt>
                <c:pt idx="140">
                  <c:v>-1.9594579804121499E-3</c:v>
                </c:pt>
                <c:pt idx="141">
                  <c:v>-1.5124822790970401E-3</c:v>
                </c:pt>
                <c:pt idx="142">
                  <c:v>-2.1395084707733201E-3</c:v>
                </c:pt>
                <c:pt idx="143">
                  <c:v>-2.3002931122017801E-3</c:v>
                </c:pt>
                <c:pt idx="144">
                  <c:v>-1.24265557065863E-3</c:v>
                </c:pt>
                <c:pt idx="145">
                  <c:v>-1.93899899466673E-3</c:v>
                </c:pt>
                <c:pt idx="146">
                  <c:v>-2.1051024252551399E-3</c:v>
                </c:pt>
                <c:pt idx="147">
                  <c:v>-2.1493402299056301E-3</c:v>
                </c:pt>
                <c:pt idx="148">
                  <c:v>-2.1966721801289801E-3</c:v>
                </c:pt>
                <c:pt idx="149">
                  <c:v>-1.59955105358688E-3</c:v>
                </c:pt>
                <c:pt idx="150">
                  <c:v>-1.84307917093086E-3</c:v>
                </c:pt>
                <c:pt idx="151">
                  <c:v>-1.18743113610619E-3</c:v>
                </c:pt>
                <c:pt idx="152">
                  <c:v>-1.1885702595764501E-3</c:v>
                </c:pt>
                <c:pt idx="153">
                  <c:v>-1.6664016753671501E-3</c:v>
                </c:pt>
                <c:pt idx="154">
                  <c:v>-6.0599799482132205E-4</c:v>
                </c:pt>
                <c:pt idx="155">
                  <c:v>-1.0734388720325401E-3</c:v>
                </c:pt>
                <c:pt idx="156">
                  <c:v>-5.3634757938548897E-4</c:v>
                </c:pt>
                <c:pt idx="157">
                  <c:v>-4.4012800954886601E-4</c:v>
                </c:pt>
                <c:pt idx="158">
                  <c:v>-5.2136468264473703E-4</c:v>
                </c:pt>
                <c:pt idx="159">
                  <c:v>-7.71063906191401E-4</c:v>
                </c:pt>
                <c:pt idx="160">
                  <c:v>-4.3950308140136698E-4</c:v>
                </c:pt>
                <c:pt idx="161">
                  <c:v>-1.32539714735765E-3</c:v>
                </c:pt>
                <c:pt idx="162">
                  <c:v>-1.1986862137006501E-3</c:v>
                </c:pt>
                <c:pt idx="163">
                  <c:v>-7.2220252194593398E-4</c:v>
                </c:pt>
                <c:pt idx="164">
                  <c:v>-1.29843456260513E-3</c:v>
                </c:pt>
                <c:pt idx="165">
                  <c:v>-1.2174510993841199E-3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XLU_IDU_1!$AF$1</c:f>
              <c:strCache>
                <c:ptCount val="1"/>
                <c:pt idx="0">
                  <c:v>log diff FIDU* x 10 dma / VIS*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XLU_IDU_1!$AF$2:$AF$167</c:f>
              <c:numCache>
                <c:formatCode>0.00%</c:formatCode>
                <c:ptCount val="166"/>
                <c:pt idx="10">
                  <c:v>1.79915367662214E-3</c:v>
                </c:pt>
                <c:pt idx="11">
                  <c:v>2.5790547459638201E-3</c:v>
                </c:pt>
                <c:pt idx="12">
                  <c:v>7.4903440766245597E-4</c:v>
                </c:pt>
                <c:pt idx="13">
                  <c:v>3.5298398418645398E-4</c:v>
                </c:pt>
                <c:pt idx="14">
                  <c:v>-1.9551112713363399E-4</c:v>
                </c:pt>
                <c:pt idx="15">
                  <c:v>6.6060946571689196E-4</c:v>
                </c:pt>
                <c:pt idx="16">
                  <c:v>-2.4775727343568298E-4</c:v>
                </c:pt>
                <c:pt idx="17">
                  <c:v>-4.1263825074246E-4</c:v>
                </c:pt>
                <c:pt idx="18">
                  <c:v>-1.51484054180856E-4</c:v>
                </c:pt>
                <c:pt idx="19">
                  <c:v>1.7870431121380999E-3</c:v>
                </c:pt>
                <c:pt idx="20">
                  <c:v>-6.8734361219211903E-4</c:v>
                </c:pt>
                <c:pt idx="21">
                  <c:v>-2.94691355754764E-4</c:v>
                </c:pt>
                <c:pt idx="22">
                  <c:v>-4.0173344635187201E-4</c:v>
                </c:pt>
                <c:pt idx="23">
                  <c:v>-1.5065981086874801E-3</c:v>
                </c:pt>
                <c:pt idx="24">
                  <c:v>-9.2996398725631697E-4</c:v>
                </c:pt>
                <c:pt idx="25">
                  <c:v>-3.3653891866652398E-4</c:v>
                </c:pt>
                <c:pt idx="26">
                  <c:v>-1.21129242860959E-3</c:v>
                </c:pt>
                <c:pt idx="27">
                  <c:v>-1.8032492670482299E-3</c:v>
                </c:pt>
                <c:pt idx="28">
                  <c:v>6.5570190725923198E-5</c:v>
                </c:pt>
                <c:pt idx="29">
                  <c:v>1.0207967418413E-3</c:v>
                </c:pt>
                <c:pt idx="30">
                  <c:v>1.8451879338542399E-3</c:v>
                </c:pt>
                <c:pt idx="31">
                  <c:v>-1.48648556010327E-4</c:v>
                </c:pt>
                <c:pt idx="32">
                  <c:v>1.84181324094164E-3</c:v>
                </c:pt>
                <c:pt idx="33">
                  <c:v>3.6098084606670601E-4</c:v>
                </c:pt>
                <c:pt idx="34">
                  <c:v>1.30483442586109E-3</c:v>
                </c:pt>
                <c:pt idx="35">
                  <c:v>-5.4512907338555305E-4</c:v>
                </c:pt>
                <c:pt idx="36">
                  <c:v>6.7585170539954205E-4</c:v>
                </c:pt>
                <c:pt idx="37">
                  <c:v>6.5087926614354398E-4</c:v>
                </c:pt>
                <c:pt idx="38">
                  <c:v>-7.40273715299349E-4</c:v>
                </c:pt>
                <c:pt idx="39">
                  <c:v>2.1561698971823601E-4</c:v>
                </c:pt>
                <c:pt idx="40">
                  <c:v>1.7343786004257601E-3</c:v>
                </c:pt>
                <c:pt idx="41">
                  <c:v>8.1076145854359905E-4</c:v>
                </c:pt>
                <c:pt idx="42">
                  <c:v>1.68249838301905E-3</c:v>
                </c:pt>
                <c:pt idx="43">
                  <c:v>3.6806877490207403E-4</c:v>
                </c:pt>
                <c:pt idx="44">
                  <c:v>9.0049586680008697E-4</c:v>
                </c:pt>
                <c:pt idx="45">
                  <c:v>8.6117905128687395E-4</c:v>
                </c:pt>
                <c:pt idx="46">
                  <c:v>1.4975679815761699E-3</c:v>
                </c:pt>
                <c:pt idx="47">
                  <c:v>6.5837477611728002E-4</c:v>
                </c:pt>
                <c:pt idx="48">
                  <c:v>-6.1483621830274197E-5</c:v>
                </c:pt>
                <c:pt idx="49">
                  <c:v>1.0042931565788299E-4</c:v>
                </c:pt>
                <c:pt idx="50">
                  <c:v>-6.4099479043638798E-4</c:v>
                </c:pt>
                <c:pt idx="51">
                  <c:v>8.5215386194387494E-5</c:v>
                </c:pt>
                <c:pt idx="52">
                  <c:v>-1.9515885233862299E-3</c:v>
                </c:pt>
                <c:pt idx="53">
                  <c:v>-3.0918557130316599E-3</c:v>
                </c:pt>
                <c:pt idx="54">
                  <c:v>-3.7954434525317702E-3</c:v>
                </c:pt>
                <c:pt idx="55">
                  <c:v>1.1079528446018699E-3</c:v>
                </c:pt>
                <c:pt idx="56">
                  <c:v>-1.04106019612543E-4</c:v>
                </c:pt>
                <c:pt idx="57">
                  <c:v>1.15486691914277E-4</c:v>
                </c:pt>
                <c:pt idx="58">
                  <c:v>3.2815059859279798E-4</c:v>
                </c:pt>
                <c:pt idx="59">
                  <c:v>2.0062155427623201E-4</c:v>
                </c:pt>
                <c:pt idx="60">
                  <c:v>2.8010694288811699E-4</c:v>
                </c:pt>
                <c:pt idx="61">
                  <c:v>4.9723539694256004E-4</c:v>
                </c:pt>
                <c:pt idx="62">
                  <c:v>5.7584028752094205E-4</c:v>
                </c:pt>
                <c:pt idx="63">
                  <c:v>-1.08853227980649E-4</c:v>
                </c:pt>
                <c:pt idx="64">
                  <c:v>-3.1035567701128601E-4</c:v>
                </c:pt>
                <c:pt idx="65">
                  <c:v>3.08584463688467E-4</c:v>
                </c:pt>
                <c:pt idx="66">
                  <c:v>7.5129684455146699E-4</c:v>
                </c:pt>
                <c:pt idx="67">
                  <c:v>1.2510580628075499E-3</c:v>
                </c:pt>
                <c:pt idx="68">
                  <c:v>3.8313442566566501E-5</c:v>
                </c:pt>
                <c:pt idx="69">
                  <c:v>2.8937751494880902E-4</c:v>
                </c:pt>
                <c:pt idx="70">
                  <c:v>-4.1211814592385599E-5</c:v>
                </c:pt>
                <c:pt idx="71">
                  <c:v>-4.9644035116695902E-4</c:v>
                </c:pt>
                <c:pt idx="72">
                  <c:v>-4.3444117340681097E-4</c:v>
                </c:pt>
                <c:pt idx="73">
                  <c:v>6.1775510414172595E-4</c:v>
                </c:pt>
                <c:pt idx="74">
                  <c:v>-9.5631579009598398E-4</c:v>
                </c:pt>
                <c:pt idx="75">
                  <c:v>-4.8562805900397601E-4</c:v>
                </c:pt>
                <c:pt idx="76">
                  <c:v>2.1048661741165101E-4</c:v>
                </c:pt>
                <c:pt idx="77">
                  <c:v>-1.77080795947746E-4</c:v>
                </c:pt>
                <c:pt idx="78">
                  <c:v>2.8459319306085699E-4</c:v>
                </c:pt>
                <c:pt idx="79">
                  <c:v>-4.1904855440674798E-4</c:v>
                </c:pt>
                <c:pt idx="80">
                  <c:v>-1.14600206343366E-4</c:v>
                </c:pt>
                <c:pt idx="81">
                  <c:v>1.19334153466023E-3</c:v>
                </c:pt>
                <c:pt idx="82">
                  <c:v>-3.0024747518742501E-4</c:v>
                </c:pt>
                <c:pt idx="83">
                  <c:v>-2.3138655958480199E-5</c:v>
                </c:pt>
                <c:pt idx="84">
                  <c:v>-2.5105493910698501E-4</c:v>
                </c:pt>
                <c:pt idx="85">
                  <c:v>5.0758946020316497E-5</c:v>
                </c:pt>
                <c:pt idx="86">
                  <c:v>-1.9524100048687299E-3</c:v>
                </c:pt>
                <c:pt idx="87">
                  <c:v>-3.5297039531065599E-4</c:v>
                </c:pt>
                <c:pt idx="88">
                  <c:v>2.9200687202203898E-4</c:v>
                </c:pt>
                <c:pt idx="89">
                  <c:v>-1.3644414647196601E-4</c:v>
                </c:pt>
                <c:pt idx="90">
                  <c:v>8.0128689030178695E-4</c:v>
                </c:pt>
                <c:pt idx="91">
                  <c:v>2.3178242516208499E-4</c:v>
                </c:pt>
                <c:pt idx="92">
                  <c:v>-3.1278879428407302E-4</c:v>
                </c:pt>
                <c:pt idx="93">
                  <c:v>1.42345601159736E-4</c:v>
                </c:pt>
                <c:pt idx="94">
                  <c:v>4.4414345677320903E-4</c:v>
                </c:pt>
                <c:pt idx="95">
                  <c:v>1.20579540431597E-4</c:v>
                </c:pt>
                <c:pt idx="96">
                  <c:v>-5.85819765819818E-5</c:v>
                </c:pt>
                <c:pt idx="97">
                  <c:v>-6.1740972919842796E-4</c:v>
                </c:pt>
                <c:pt idx="98">
                  <c:v>-2.0459266443738399E-4</c:v>
                </c:pt>
                <c:pt idx="99">
                  <c:v>-7.1620551871541798E-4</c:v>
                </c:pt>
                <c:pt idx="100">
                  <c:v>-1.6647907380372899E-3</c:v>
                </c:pt>
                <c:pt idx="101">
                  <c:v>-8.9102236552179501E-4</c:v>
                </c:pt>
                <c:pt idx="102">
                  <c:v>-1.92800722679093E-3</c:v>
                </c:pt>
                <c:pt idx="103">
                  <c:v>-9.2225980893230204E-4</c:v>
                </c:pt>
                <c:pt idx="104">
                  <c:v>4.6728338246793003E-4</c:v>
                </c:pt>
                <c:pt idx="105">
                  <c:v>-1.6004464329648501E-4</c:v>
                </c:pt>
                <c:pt idx="106">
                  <c:v>-2.5234375146101698E-4</c:v>
                </c:pt>
                <c:pt idx="107">
                  <c:v>3.1793426318054699E-4</c:v>
                </c:pt>
                <c:pt idx="108">
                  <c:v>-5.0865809631007097E-4</c:v>
                </c:pt>
                <c:pt idx="109">
                  <c:v>8.3147383726352297E-5</c:v>
                </c:pt>
                <c:pt idx="110">
                  <c:v>-1.6288194256168501E-5</c:v>
                </c:pt>
                <c:pt idx="111">
                  <c:v>-1.30369852426266E-3</c:v>
                </c:pt>
                <c:pt idx="112">
                  <c:v>-1.3131848911893599E-3</c:v>
                </c:pt>
                <c:pt idx="113">
                  <c:v>-1.1293789680376499E-3</c:v>
                </c:pt>
                <c:pt idx="114">
                  <c:v>5.4491693198621303E-4</c:v>
                </c:pt>
                <c:pt idx="115">
                  <c:v>-2.6218859345818902E-3</c:v>
                </c:pt>
                <c:pt idx="116">
                  <c:v>-2.3046575563203499E-3</c:v>
                </c:pt>
                <c:pt idx="117">
                  <c:v>-1.7235484219797999E-3</c:v>
                </c:pt>
                <c:pt idx="118">
                  <c:v>-5.5492476497155804E-4</c:v>
                </c:pt>
                <c:pt idx="119">
                  <c:v>1.7942847577549699E-5</c:v>
                </c:pt>
                <c:pt idx="120">
                  <c:v>-2.1035419376029198E-3</c:v>
                </c:pt>
                <c:pt idx="121">
                  <c:v>1.49041252350729E-4</c:v>
                </c:pt>
                <c:pt idx="122">
                  <c:v>7.0656391074071202E-4</c:v>
                </c:pt>
                <c:pt idx="123">
                  <c:v>-6.7268134528990198E-4</c:v>
                </c:pt>
                <c:pt idx="124">
                  <c:v>1.74905441135462E-3</c:v>
                </c:pt>
                <c:pt idx="125">
                  <c:v>-3.9599006383182002E-4</c:v>
                </c:pt>
                <c:pt idx="126">
                  <c:v>1.6665699117709301E-4</c:v>
                </c:pt>
                <c:pt idx="127">
                  <c:v>8.3366591177638804E-4</c:v>
                </c:pt>
                <c:pt idx="128">
                  <c:v>1.37454948671365E-4</c:v>
                </c:pt>
                <c:pt idx="129">
                  <c:v>4.1417055025204602E-4</c:v>
                </c:pt>
                <c:pt idx="130">
                  <c:v>-2.0541267616883301E-4</c:v>
                </c:pt>
                <c:pt idx="131">
                  <c:v>1.54488929284291E-4</c:v>
                </c:pt>
                <c:pt idx="132">
                  <c:v>3.0839607234873899E-4</c:v>
                </c:pt>
                <c:pt idx="133">
                  <c:v>2.5849735992498901E-4</c:v>
                </c:pt>
                <c:pt idx="134">
                  <c:v>5.7894456764566102E-4</c:v>
                </c:pt>
                <c:pt idx="135">
                  <c:v>-3.4424847874588502E-4</c:v>
                </c:pt>
                <c:pt idx="136">
                  <c:v>4.9769966508147296E-4</c:v>
                </c:pt>
                <c:pt idx="137">
                  <c:v>3.9207286146992202E-4</c:v>
                </c:pt>
                <c:pt idx="138">
                  <c:v>1.2051623135781999E-3</c:v>
                </c:pt>
                <c:pt idx="139">
                  <c:v>5.814828533143E-4</c:v>
                </c:pt>
                <c:pt idx="140">
                  <c:v>-5.7687288196091703E-4</c:v>
                </c:pt>
                <c:pt idx="141">
                  <c:v>-1.5368238759576899E-4</c:v>
                </c:pt>
                <c:pt idx="142">
                  <c:v>-7.9703776032415802E-4</c:v>
                </c:pt>
                <c:pt idx="143">
                  <c:v>-8.9359056507683904E-4</c:v>
                </c:pt>
                <c:pt idx="144">
                  <c:v>2.3849269657171901E-4</c:v>
                </c:pt>
                <c:pt idx="145">
                  <c:v>-4.4501832685799899E-4</c:v>
                </c:pt>
                <c:pt idx="146">
                  <c:v>-6.2730186067710698E-4</c:v>
                </c:pt>
                <c:pt idx="147">
                  <c:v>-5.8101939647218603E-4</c:v>
                </c:pt>
                <c:pt idx="148">
                  <c:v>-5.3513482401565599E-4</c:v>
                </c:pt>
                <c:pt idx="149">
                  <c:v>2.4213794080339999E-4</c:v>
                </c:pt>
                <c:pt idx="150">
                  <c:v>7.13813225818175E-5</c:v>
                </c:pt>
                <c:pt idx="151">
                  <c:v>7.1539156225792697E-4</c:v>
                </c:pt>
                <c:pt idx="152">
                  <c:v>6.8176476263167403E-4</c:v>
                </c:pt>
                <c:pt idx="153">
                  <c:v>1.08854617718963E-4</c:v>
                </c:pt>
                <c:pt idx="154">
                  <c:v>1.1058539514174699E-3</c:v>
                </c:pt>
                <c:pt idx="155">
                  <c:v>5.7479541063620203E-4</c:v>
                </c:pt>
                <c:pt idx="156">
                  <c:v>1.0253392346035799E-3</c:v>
                </c:pt>
                <c:pt idx="157">
                  <c:v>9.6470879989922302E-4</c:v>
                </c:pt>
                <c:pt idx="158">
                  <c:v>7.1255509633158997E-4</c:v>
                </c:pt>
                <c:pt idx="159">
                  <c:v>2.9529010590102197E-4</c:v>
                </c:pt>
                <c:pt idx="160">
                  <c:v>5.4398892489239902E-4</c:v>
                </c:pt>
                <c:pt idx="161">
                  <c:v>-4.8229476575655498E-4</c:v>
                </c:pt>
                <c:pt idx="162">
                  <c:v>-3.4178162273815102E-4</c:v>
                </c:pt>
                <c:pt idx="163">
                  <c:v>1.3571400460218899E-4</c:v>
                </c:pt>
                <c:pt idx="164">
                  <c:v>-5.3497418258883003E-4</c:v>
                </c:pt>
                <c:pt idx="165">
                  <c:v>-3.8473638796021798E-4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XLU_IDU_1!$AG$1</c:f>
              <c:strCache>
                <c:ptCount val="1"/>
                <c:pt idx="0">
                  <c:v>log diff FIDU* x 20 dma / VIS*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XLU_IDU_1!$AG$2:$AG$167</c:f>
              <c:numCache>
                <c:formatCode>0.00%</c:formatCode>
                <c:ptCount val="166"/>
                <c:pt idx="20">
                  <c:v>1.3249333885478E-4</c:v>
                </c:pt>
                <c:pt idx="21">
                  <c:v>3.6274793817432698E-4</c:v>
                </c:pt>
                <c:pt idx="22">
                  <c:v>-4.64791464035783E-5</c:v>
                </c:pt>
                <c:pt idx="23">
                  <c:v>-1.2657792279097801E-3</c:v>
                </c:pt>
                <c:pt idx="24">
                  <c:v>-8.2133248311541803E-4</c:v>
                </c:pt>
                <c:pt idx="25">
                  <c:v>-3.1126325215437799E-4</c:v>
                </c:pt>
                <c:pt idx="26">
                  <c:v>-1.33690562970781E-3</c:v>
                </c:pt>
                <c:pt idx="27">
                  <c:v>-2.0369977121013801E-3</c:v>
                </c:pt>
                <c:pt idx="28">
                  <c:v>-2.70186229497415E-4</c:v>
                </c:pt>
                <c:pt idx="29">
                  <c:v>6.8594968418351598E-4</c:v>
                </c:pt>
                <c:pt idx="30">
                  <c:v>1.31270531332824E-3</c:v>
                </c:pt>
                <c:pt idx="31">
                  <c:v>-5.6551396587656202E-4</c:v>
                </c:pt>
                <c:pt idx="32">
                  <c:v>1.46846653839934E-3</c:v>
                </c:pt>
                <c:pt idx="33">
                  <c:v>8.4384973470491293E-5</c:v>
                </c:pt>
                <c:pt idx="34">
                  <c:v>1.1629014124784E-3</c:v>
                </c:pt>
                <c:pt idx="35">
                  <c:v>-5.6367219479608397E-4</c:v>
                </c:pt>
                <c:pt idx="36">
                  <c:v>6.9234084800143595E-4</c:v>
                </c:pt>
                <c:pt idx="37">
                  <c:v>8.2419779406076499E-4</c:v>
                </c:pt>
                <c:pt idx="38">
                  <c:v>-3.3374539500956199E-4</c:v>
                </c:pt>
                <c:pt idx="39">
                  <c:v>6.4522899069132398E-4</c:v>
                </c:pt>
                <c:pt idx="40">
                  <c:v>2.2383905527567699E-3</c:v>
                </c:pt>
                <c:pt idx="41">
                  <c:v>1.2862638608786899E-3</c:v>
                </c:pt>
                <c:pt idx="42">
                  <c:v>2.2879885498655098E-3</c:v>
                </c:pt>
                <c:pt idx="43">
                  <c:v>9.5129315545981503E-4</c:v>
                </c:pt>
                <c:pt idx="44">
                  <c:v>1.47665293085775E-3</c:v>
                </c:pt>
                <c:pt idx="45">
                  <c:v>1.3771441644149199E-3</c:v>
                </c:pt>
                <c:pt idx="46">
                  <c:v>2.1478573685556599E-3</c:v>
                </c:pt>
                <c:pt idx="47">
                  <c:v>1.3186866651897599E-3</c:v>
                </c:pt>
                <c:pt idx="48">
                  <c:v>5.2500978269887902E-4</c:v>
                </c:pt>
                <c:pt idx="49">
                  <c:v>7.7930016019481403E-4</c:v>
                </c:pt>
                <c:pt idx="50">
                  <c:v>9.7366557561154204E-5</c:v>
                </c:pt>
                <c:pt idx="51">
                  <c:v>7.3375574517202304E-4</c:v>
                </c:pt>
                <c:pt idx="52">
                  <c:v>-1.37005945505878E-3</c:v>
                </c:pt>
                <c:pt idx="53">
                  <c:v>-2.6865620502942501E-3</c:v>
                </c:pt>
                <c:pt idx="54">
                  <c:v>-3.5815769291524802E-3</c:v>
                </c:pt>
                <c:pt idx="55">
                  <c:v>1.07071137336944E-3</c:v>
                </c:pt>
                <c:pt idx="56">
                  <c:v>-2.5468823564165E-4</c:v>
                </c:pt>
                <c:pt idx="57">
                  <c:v>-2.3615704243034599E-4</c:v>
                </c:pt>
                <c:pt idx="58">
                  <c:v>-1.5209364309743201E-4</c:v>
                </c:pt>
                <c:pt idx="59">
                  <c:v>-4.0076472596479198E-4</c:v>
                </c:pt>
                <c:pt idx="60">
                  <c:v>-4.3844543060642398E-4</c:v>
                </c:pt>
                <c:pt idx="61">
                  <c:v>-2.02175621949132E-4</c:v>
                </c:pt>
                <c:pt idx="62">
                  <c:v>-2.01388723545311E-4</c:v>
                </c:pt>
                <c:pt idx="63">
                  <c:v>-7.1394344492620003E-4</c:v>
                </c:pt>
                <c:pt idx="64">
                  <c:v>-6.9414469649661597E-4</c:v>
                </c:pt>
                <c:pt idx="65">
                  <c:v>2.7455791203743899E-4</c:v>
                </c:pt>
                <c:pt idx="66">
                  <c:v>6.65330586931806E-4</c:v>
                </c:pt>
                <c:pt idx="67">
                  <c:v>1.2943028182771401E-3</c:v>
                </c:pt>
                <c:pt idx="68">
                  <c:v>2.0490380356751099E-4</c:v>
                </c:pt>
                <c:pt idx="69">
                  <c:v>4.8667513927329401E-4</c:v>
                </c:pt>
                <c:pt idx="70">
                  <c:v>2.3537225119842599E-4</c:v>
                </c:pt>
                <c:pt idx="71">
                  <c:v>-1.8244322359848501E-4</c:v>
                </c:pt>
                <c:pt idx="72">
                  <c:v>-8.9414972915949296E-5</c:v>
                </c:pt>
                <c:pt idx="73">
                  <c:v>8.9812323733039798E-4</c:v>
                </c:pt>
                <c:pt idx="74">
                  <c:v>-7.0030397012985795E-4</c:v>
                </c:pt>
                <c:pt idx="75">
                  <c:v>-3.7246225991894899E-4</c:v>
                </c:pt>
                <c:pt idx="76">
                  <c:v>3.3859168385891298E-4</c:v>
                </c:pt>
                <c:pt idx="77">
                  <c:v>-9.7366682339562296E-5</c:v>
                </c:pt>
                <c:pt idx="78">
                  <c:v>2.3983471082651901E-4</c:v>
                </c:pt>
                <c:pt idx="79">
                  <c:v>-4.5813654950086901E-4</c:v>
                </c:pt>
                <c:pt idx="80">
                  <c:v>-2.17178395403732E-4</c:v>
                </c:pt>
                <c:pt idx="81">
                  <c:v>1.0652484619550001E-3</c:v>
                </c:pt>
                <c:pt idx="82">
                  <c:v>-3.3840366571835499E-4</c:v>
                </c:pt>
                <c:pt idx="83">
                  <c:v>-4.23788949789224E-5</c:v>
                </c:pt>
                <c:pt idx="84">
                  <c:v>-3.6861439319265299E-4</c:v>
                </c:pt>
                <c:pt idx="85">
                  <c:v>-3.6579199518408498E-5</c:v>
                </c:pt>
                <c:pt idx="86">
                  <c:v>-1.9932636881827598E-3</c:v>
                </c:pt>
                <c:pt idx="87">
                  <c:v>-4.9190055152102403E-4</c:v>
                </c:pt>
                <c:pt idx="88">
                  <c:v>1.9378391329955301E-4</c:v>
                </c:pt>
                <c:pt idx="89">
                  <c:v>-2.5195009468184301E-4</c:v>
                </c:pt>
                <c:pt idx="90">
                  <c:v>7.2768600891656102E-4</c:v>
                </c:pt>
                <c:pt idx="91">
                  <c:v>2.1052573918597399E-4</c:v>
                </c:pt>
                <c:pt idx="92">
                  <c:v>-4.5584973239100199E-4</c:v>
                </c:pt>
                <c:pt idx="93">
                  <c:v>-1.8543982417078699E-5</c:v>
                </c:pt>
                <c:pt idx="94">
                  <c:v>3.0939257979687899E-4</c:v>
                </c:pt>
                <c:pt idx="95">
                  <c:v>-1.64099668174265E-5</c:v>
                </c:pt>
                <c:pt idx="96">
                  <c:v>-2.2386152403452899E-4</c:v>
                </c:pt>
                <c:pt idx="97">
                  <c:v>-5.9215781675050897E-4</c:v>
                </c:pt>
                <c:pt idx="98">
                  <c:v>-1.67351724708108E-4</c:v>
                </c:pt>
                <c:pt idx="99">
                  <c:v>-6.9062196326020596E-4</c:v>
                </c:pt>
                <c:pt idx="100">
                  <c:v>-1.6682278809007399E-3</c:v>
                </c:pt>
                <c:pt idx="101">
                  <c:v>-1.0565505633519201E-3</c:v>
                </c:pt>
                <c:pt idx="102">
                  <c:v>-2.11606821329146E-3</c:v>
                </c:pt>
                <c:pt idx="103">
                  <c:v>-1.19501662008748E-3</c:v>
                </c:pt>
                <c:pt idx="104">
                  <c:v>1.21850669325787E-4</c:v>
                </c:pt>
                <c:pt idx="105">
                  <c:v>-5.6010082634183199E-4</c:v>
                </c:pt>
                <c:pt idx="106">
                  <c:v>-6.9619632257965705E-4</c:v>
                </c:pt>
                <c:pt idx="107">
                  <c:v>-2.5814941064951602E-4</c:v>
                </c:pt>
                <c:pt idx="108">
                  <c:v>-1.08489255208568E-3</c:v>
                </c:pt>
                <c:pt idx="109">
                  <c:v>-5.4477257961015296E-4</c:v>
                </c:pt>
                <c:pt idx="110">
                  <c:v>-6.4060586132810805E-4</c:v>
                </c:pt>
                <c:pt idx="111">
                  <c:v>-1.78443171734217E-3</c:v>
                </c:pt>
                <c:pt idx="112">
                  <c:v>-1.78997523926168E-3</c:v>
                </c:pt>
                <c:pt idx="113">
                  <c:v>-1.52352198028817E-3</c:v>
                </c:pt>
                <c:pt idx="114">
                  <c:v>1.8146791760372799E-4</c:v>
                </c:pt>
                <c:pt idx="115">
                  <c:v>-2.98441145231154E-3</c:v>
                </c:pt>
                <c:pt idx="116">
                  <c:v>-2.7726076828113598E-3</c:v>
                </c:pt>
                <c:pt idx="117">
                  <c:v>-2.28690513408251E-3</c:v>
                </c:pt>
                <c:pt idx="118">
                  <c:v>-1.26575712539942E-3</c:v>
                </c:pt>
                <c:pt idx="119">
                  <c:v>-6.93470381518098E-4</c:v>
                </c:pt>
                <c:pt idx="120">
                  <c:v>-2.8664453708630699E-3</c:v>
                </c:pt>
                <c:pt idx="121">
                  <c:v>-8.1437067398058404E-4</c:v>
                </c:pt>
                <c:pt idx="122">
                  <c:v>-2.1187496125970901E-4</c:v>
                </c:pt>
                <c:pt idx="123">
                  <c:v>-1.5650796093368701E-3</c:v>
                </c:pt>
                <c:pt idx="124">
                  <c:v>8.4003720002714596E-4</c:v>
                </c:pt>
                <c:pt idx="125">
                  <c:v>-1.30324044514632E-3</c:v>
                </c:pt>
                <c:pt idx="126">
                  <c:v>-5.6070948527323799E-4</c:v>
                </c:pt>
                <c:pt idx="127">
                  <c:v>3.0651676640898099E-4</c:v>
                </c:pt>
                <c:pt idx="128">
                  <c:v>-1.5623599011734199E-4</c:v>
                </c:pt>
                <c:pt idx="129">
                  <c:v>1.9910806896805499E-4</c:v>
                </c:pt>
                <c:pt idx="130">
                  <c:v>-3.4781994639022202E-4</c:v>
                </c:pt>
                <c:pt idx="131">
                  <c:v>2.7353474760723998E-4</c:v>
                </c:pt>
                <c:pt idx="132">
                  <c:v>4.6336373244194E-4</c:v>
                </c:pt>
                <c:pt idx="133">
                  <c:v>3.9995594682113198E-4</c:v>
                </c:pt>
                <c:pt idx="134">
                  <c:v>8.4759881201685499E-4</c:v>
                </c:pt>
                <c:pt idx="135">
                  <c:v>-7.65367245556577E-5</c:v>
                </c:pt>
                <c:pt idx="136">
                  <c:v>7.7424675430077204E-4</c:v>
                </c:pt>
                <c:pt idx="137">
                  <c:v>6.6199811861759601E-4</c:v>
                </c:pt>
                <c:pt idx="138">
                  <c:v>1.40484729020931E-3</c:v>
                </c:pt>
                <c:pt idx="139">
                  <c:v>8.4926124778046403E-4</c:v>
                </c:pt>
                <c:pt idx="140">
                  <c:v>-2.7225448571260001E-4</c:v>
                </c:pt>
                <c:pt idx="141">
                  <c:v>8.2057079861789996E-5</c:v>
                </c:pt>
                <c:pt idx="142">
                  <c:v>-5.6531064680655099E-4</c:v>
                </c:pt>
                <c:pt idx="143">
                  <c:v>-6.8957415364087203E-4</c:v>
                </c:pt>
                <c:pt idx="144">
                  <c:v>3.4454241699078899E-4</c:v>
                </c:pt>
                <c:pt idx="145">
                  <c:v>-3.1376746104134497E-4</c:v>
                </c:pt>
                <c:pt idx="146">
                  <c:v>-5.1733777377058296E-4</c:v>
                </c:pt>
                <c:pt idx="147">
                  <c:v>-5.6052379366171399E-4</c:v>
                </c:pt>
                <c:pt idx="148">
                  <c:v>-5.6615478324607003E-4</c:v>
                </c:pt>
                <c:pt idx="149">
                  <c:v>4.7737913315893502E-5</c:v>
                </c:pt>
                <c:pt idx="150">
                  <c:v>-1.94521013519747E-4</c:v>
                </c:pt>
                <c:pt idx="151">
                  <c:v>4.4341715392810099E-4</c:v>
                </c:pt>
                <c:pt idx="152">
                  <c:v>4.1786743684317002E-4</c:v>
                </c:pt>
                <c:pt idx="153">
                  <c:v>-7.5405276278728303E-5</c:v>
                </c:pt>
                <c:pt idx="154">
                  <c:v>9.9050876493677101E-4</c:v>
                </c:pt>
                <c:pt idx="155">
                  <c:v>4.9767157747846803E-4</c:v>
                </c:pt>
                <c:pt idx="156">
                  <c:v>9.833969895110021E-4</c:v>
                </c:pt>
                <c:pt idx="157">
                  <c:v>1.04645415277026E-3</c:v>
                </c:pt>
                <c:pt idx="158">
                  <c:v>9.2638674199894305E-4</c:v>
                </c:pt>
                <c:pt idx="159">
                  <c:v>6.8303274008990795E-4</c:v>
                </c:pt>
                <c:pt idx="160">
                  <c:v>1.0095815062883E-3</c:v>
                </c:pt>
                <c:pt idx="161">
                  <c:v>4.7705768511903398E-5</c:v>
                </c:pt>
                <c:pt idx="162">
                  <c:v>1.65061973033988E-4</c:v>
                </c:pt>
                <c:pt idx="163">
                  <c:v>5.9448907689863299E-4</c:v>
                </c:pt>
                <c:pt idx="164">
                  <c:v>-6.0665968661459999E-5</c:v>
                </c:pt>
                <c:pt idx="165">
                  <c:v>2.3106531681190399E-5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XLU_IDU_1!$Y$1</c:f>
              <c:strCache>
                <c:ptCount val="1"/>
                <c:pt idx="0">
                  <c:v> VIS*/FIDU*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XLU_IDU_1!$Y$2:$Y$167</c:f>
              <c:numCache>
                <c:formatCode>_(* #,##0.0000_);_(* \(#,##0.0000\);_(* "-"??_);_(@_)</c:formatCode>
                <c:ptCount val="166"/>
                <c:pt idx="0">
                  <c:v>3.6128150130856298</c:v>
                </c:pt>
                <c:pt idx="1">
                  <c:v>3.6128150130856298</c:v>
                </c:pt>
                <c:pt idx="2">
                  <c:v>3.6128150130856298</c:v>
                </c:pt>
                <c:pt idx="3">
                  <c:v>3.6128150130856298</c:v>
                </c:pt>
                <c:pt idx="4">
                  <c:v>3.6128150130856298</c:v>
                </c:pt>
                <c:pt idx="5">
                  <c:v>3.6128150130856298</c:v>
                </c:pt>
                <c:pt idx="6">
                  <c:v>3.6128150130856298</c:v>
                </c:pt>
                <c:pt idx="7">
                  <c:v>3.6128150130856298</c:v>
                </c:pt>
                <c:pt idx="8">
                  <c:v>3.6128150130856298</c:v>
                </c:pt>
                <c:pt idx="9">
                  <c:v>3.6128150130856298</c:v>
                </c:pt>
                <c:pt idx="10">
                  <c:v>3.6128150130856298</c:v>
                </c:pt>
                <c:pt idx="11">
                  <c:v>3.6128150130856298</c:v>
                </c:pt>
                <c:pt idx="12">
                  <c:v>3.6128150130856298</c:v>
                </c:pt>
                <c:pt idx="13">
                  <c:v>3.6128150130856298</c:v>
                </c:pt>
                <c:pt idx="14">
                  <c:v>3.6128150130856298</c:v>
                </c:pt>
                <c:pt idx="15">
                  <c:v>3.6128150130856298</c:v>
                </c:pt>
                <c:pt idx="16">
                  <c:v>3.6128150130856298</c:v>
                </c:pt>
                <c:pt idx="17">
                  <c:v>3.6128150130856298</c:v>
                </c:pt>
                <c:pt idx="18">
                  <c:v>3.6128150130856298</c:v>
                </c:pt>
                <c:pt idx="19">
                  <c:v>3.6128150130856298</c:v>
                </c:pt>
                <c:pt idx="20">
                  <c:v>3.6128150130856298</c:v>
                </c:pt>
                <c:pt idx="21">
                  <c:v>3.6128150130856298</c:v>
                </c:pt>
                <c:pt idx="22">
                  <c:v>3.6128150130856298</c:v>
                </c:pt>
                <c:pt idx="23">
                  <c:v>3.6128150130856298</c:v>
                </c:pt>
                <c:pt idx="24">
                  <c:v>3.6128150130856298</c:v>
                </c:pt>
                <c:pt idx="25">
                  <c:v>3.6128150130856298</c:v>
                </c:pt>
                <c:pt idx="26">
                  <c:v>3.6128150130856298</c:v>
                </c:pt>
                <c:pt idx="27">
                  <c:v>3.6128150130856298</c:v>
                </c:pt>
                <c:pt idx="28">
                  <c:v>3.6128150130856298</c:v>
                </c:pt>
                <c:pt idx="29">
                  <c:v>3.6128150130856298</c:v>
                </c:pt>
                <c:pt idx="30">
                  <c:v>3.6128150130856298</c:v>
                </c:pt>
                <c:pt idx="31">
                  <c:v>3.6128150130856298</c:v>
                </c:pt>
                <c:pt idx="32">
                  <c:v>3.6128150130856298</c:v>
                </c:pt>
                <c:pt idx="33">
                  <c:v>3.6128150130856298</c:v>
                </c:pt>
                <c:pt idx="34">
                  <c:v>3.6128150130856298</c:v>
                </c:pt>
                <c:pt idx="35">
                  <c:v>3.6128150130856298</c:v>
                </c:pt>
                <c:pt idx="36">
                  <c:v>3.6128150130856298</c:v>
                </c:pt>
                <c:pt idx="37">
                  <c:v>3.6128150130856298</c:v>
                </c:pt>
                <c:pt idx="38">
                  <c:v>3.6128150130856298</c:v>
                </c:pt>
                <c:pt idx="39">
                  <c:v>3.6128150130856298</c:v>
                </c:pt>
                <c:pt idx="40">
                  <c:v>3.6128150130856298</c:v>
                </c:pt>
                <c:pt idx="41">
                  <c:v>3.6128150130856298</c:v>
                </c:pt>
                <c:pt idx="42">
                  <c:v>3.6128150130856298</c:v>
                </c:pt>
                <c:pt idx="43">
                  <c:v>3.6128150130856298</c:v>
                </c:pt>
                <c:pt idx="44">
                  <c:v>3.6128150130856298</c:v>
                </c:pt>
                <c:pt idx="45">
                  <c:v>3.6128150130856298</c:v>
                </c:pt>
                <c:pt idx="46">
                  <c:v>3.6128150130856298</c:v>
                </c:pt>
                <c:pt idx="47">
                  <c:v>3.6128150130856298</c:v>
                </c:pt>
                <c:pt idx="48">
                  <c:v>3.6128150130856298</c:v>
                </c:pt>
                <c:pt idx="49">
                  <c:v>3.6128150130856298</c:v>
                </c:pt>
                <c:pt idx="50">
                  <c:v>3.6128150130856298</c:v>
                </c:pt>
                <c:pt idx="51">
                  <c:v>3.6128150130856298</c:v>
                </c:pt>
                <c:pt idx="52">
                  <c:v>3.6128150130856298</c:v>
                </c:pt>
                <c:pt idx="53">
                  <c:v>3.6128150130856298</c:v>
                </c:pt>
                <c:pt idx="54">
                  <c:v>3.6128150130856298</c:v>
                </c:pt>
                <c:pt idx="55">
                  <c:v>3.6128150130856298</c:v>
                </c:pt>
                <c:pt idx="56">
                  <c:v>3.6128150130856298</c:v>
                </c:pt>
                <c:pt idx="57">
                  <c:v>3.6128150130856298</c:v>
                </c:pt>
                <c:pt idx="58">
                  <c:v>3.6128150130856298</c:v>
                </c:pt>
                <c:pt idx="59">
                  <c:v>3.6128150130856298</c:v>
                </c:pt>
                <c:pt idx="60">
                  <c:v>3.6128150130856298</c:v>
                </c:pt>
                <c:pt idx="61">
                  <c:v>3.6128150130856298</c:v>
                </c:pt>
                <c:pt idx="62">
                  <c:v>3.6128150130856298</c:v>
                </c:pt>
                <c:pt idx="63">
                  <c:v>3.6128150130856298</c:v>
                </c:pt>
                <c:pt idx="64">
                  <c:v>3.6128150130856298</c:v>
                </c:pt>
                <c:pt idx="65">
                  <c:v>3.6128150130856298</c:v>
                </c:pt>
                <c:pt idx="66">
                  <c:v>3.6128150130856298</c:v>
                </c:pt>
                <c:pt idx="67">
                  <c:v>3.6128150130856298</c:v>
                </c:pt>
                <c:pt idx="68">
                  <c:v>3.6128150130856298</c:v>
                </c:pt>
                <c:pt idx="69">
                  <c:v>3.6128150130856298</c:v>
                </c:pt>
                <c:pt idx="70">
                  <c:v>3.6128150130856298</c:v>
                </c:pt>
                <c:pt idx="71">
                  <c:v>3.6128150130856298</c:v>
                </c:pt>
                <c:pt idx="72">
                  <c:v>3.6128150130856298</c:v>
                </c:pt>
                <c:pt idx="73">
                  <c:v>3.6128150130856298</c:v>
                </c:pt>
                <c:pt idx="74">
                  <c:v>3.6128150130856298</c:v>
                </c:pt>
                <c:pt idx="75">
                  <c:v>3.6128150130856298</c:v>
                </c:pt>
                <c:pt idx="76">
                  <c:v>3.6128150130856298</c:v>
                </c:pt>
                <c:pt idx="77">
                  <c:v>3.6128150130856298</c:v>
                </c:pt>
                <c:pt idx="78">
                  <c:v>3.6128150130856298</c:v>
                </c:pt>
                <c:pt idx="79">
                  <c:v>3.6128150130856298</c:v>
                </c:pt>
                <c:pt idx="80">
                  <c:v>3.6128150130856298</c:v>
                </c:pt>
                <c:pt idx="81">
                  <c:v>3.6128150130856298</c:v>
                </c:pt>
                <c:pt idx="82">
                  <c:v>3.6128150130856298</c:v>
                </c:pt>
                <c:pt idx="83">
                  <c:v>3.6128150130856298</c:v>
                </c:pt>
                <c:pt idx="84">
                  <c:v>3.6128150130856298</c:v>
                </c:pt>
                <c:pt idx="85">
                  <c:v>3.6128150130856298</c:v>
                </c:pt>
                <c:pt idx="86">
                  <c:v>3.6128150130856298</c:v>
                </c:pt>
                <c:pt idx="87">
                  <c:v>3.6128150130856298</c:v>
                </c:pt>
                <c:pt idx="88">
                  <c:v>3.6128150130856298</c:v>
                </c:pt>
                <c:pt idx="89">
                  <c:v>3.6128150130856298</c:v>
                </c:pt>
                <c:pt idx="90">
                  <c:v>3.6128150130856298</c:v>
                </c:pt>
                <c:pt idx="91">
                  <c:v>3.6128150130856298</c:v>
                </c:pt>
                <c:pt idx="92">
                  <c:v>3.6128150130856298</c:v>
                </c:pt>
                <c:pt idx="93">
                  <c:v>3.6128150130856298</c:v>
                </c:pt>
                <c:pt idx="94">
                  <c:v>3.6128150130856298</c:v>
                </c:pt>
                <c:pt idx="95">
                  <c:v>3.6128150130856298</c:v>
                </c:pt>
                <c:pt idx="96">
                  <c:v>3.6128150130856298</c:v>
                </c:pt>
                <c:pt idx="97">
                  <c:v>3.6128150130856298</c:v>
                </c:pt>
                <c:pt idx="98">
                  <c:v>3.6128150130856298</c:v>
                </c:pt>
                <c:pt idx="99">
                  <c:v>3.6128150130856298</c:v>
                </c:pt>
                <c:pt idx="100">
                  <c:v>3.6128150130856298</c:v>
                </c:pt>
                <c:pt idx="101">
                  <c:v>3.6128150130856298</c:v>
                </c:pt>
                <c:pt idx="102">
                  <c:v>3.6128150130856298</c:v>
                </c:pt>
                <c:pt idx="103">
                  <c:v>3.6128150130856298</c:v>
                </c:pt>
                <c:pt idx="104">
                  <c:v>3.6128150130856298</c:v>
                </c:pt>
                <c:pt idx="105">
                  <c:v>3.6128150130856298</c:v>
                </c:pt>
                <c:pt idx="106">
                  <c:v>3.6128150130856298</c:v>
                </c:pt>
                <c:pt idx="107">
                  <c:v>3.6128150130856298</c:v>
                </c:pt>
                <c:pt idx="108">
                  <c:v>3.6128150130856298</c:v>
                </c:pt>
                <c:pt idx="109">
                  <c:v>3.6128150130856298</c:v>
                </c:pt>
                <c:pt idx="110">
                  <c:v>3.6128150130856298</c:v>
                </c:pt>
                <c:pt idx="111">
                  <c:v>3.6128150130856298</c:v>
                </c:pt>
                <c:pt idx="112">
                  <c:v>3.6128150130856298</c:v>
                </c:pt>
                <c:pt idx="113">
                  <c:v>3.6128150130856298</c:v>
                </c:pt>
                <c:pt idx="114">
                  <c:v>3.6128150130856298</c:v>
                </c:pt>
                <c:pt idx="115">
                  <c:v>3.6128150130856298</c:v>
                </c:pt>
                <c:pt idx="116">
                  <c:v>3.6128150130856298</c:v>
                </c:pt>
                <c:pt idx="117">
                  <c:v>3.6128150130856298</c:v>
                </c:pt>
                <c:pt idx="118">
                  <c:v>3.6128150130856298</c:v>
                </c:pt>
                <c:pt idx="119">
                  <c:v>3.6128150130856298</c:v>
                </c:pt>
                <c:pt idx="120">
                  <c:v>3.6128150130856298</c:v>
                </c:pt>
                <c:pt idx="121">
                  <c:v>3.6128150130856298</c:v>
                </c:pt>
                <c:pt idx="122">
                  <c:v>3.6128150130856298</c:v>
                </c:pt>
                <c:pt idx="123">
                  <c:v>3.6128150130856298</c:v>
                </c:pt>
                <c:pt idx="124">
                  <c:v>3.6128150130856298</c:v>
                </c:pt>
                <c:pt idx="125">
                  <c:v>3.6128150130856298</c:v>
                </c:pt>
                <c:pt idx="126">
                  <c:v>3.6128150130856298</c:v>
                </c:pt>
                <c:pt idx="127">
                  <c:v>3.6128150130856298</c:v>
                </c:pt>
                <c:pt idx="128">
                  <c:v>3.6128150130856298</c:v>
                </c:pt>
                <c:pt idx="129">
                  <c:v>3.6128150130856298</c:v>
                </c:pt>
                <c:pt idx="130">
                  <c:v>3.6128150130856298</c:v>
                </c:pt>
                <c:pt idx="131">
                  <c:v>3.6128150130856298</c:v>
                </c:pt>
                <c:pt idx="132">
                  <c:v>3.6128150130856298</c:v>
                </c:pt>
                <c:pt idx="133">
                  <c:v>3.6128150130856298</c:v>
                </c:pt>
                <c:pt idx="134">
                  <c:v>3.6128150130856298</c:v>
                </c:pt>
                <c:pt idx="135">
                  <c:v>3.6128150130856298</c:v>
                </c:pt>
                <c:pt idx="136">
                  <c:v>3.6128150130856298</c:v>
                </c:pt>
                <c:pt idx="137">
                  <c:v>3.6128150130856298</c:v>
                </c:pt>
                <c:pt idx="138">
                  <c:v>3.6128150130856298</c:v>
                </c:pt>
                <c:pt idx="139">
                  <c:v>3.6128150130856298</c:v>
                </c:pt>
                <c:pt idx="140">
                  <c:v>3.6128150130856298</c:v>
                </c:pt>
                <c:pt idx="141">
                  <c:v>3.6128150130856298</c:v>
                </c:pt>
                <c:pt idx="142">
                  <c:v>3.6128150130856298</c:v>
                </c:pt>
                <c:pt idx="143">
                  <c:v>3.6128150130856298</c:v>
                </c:pt>
                <c:pt idx="144">
                  <c:v>3.6128150130856298</c:v>
                </c:pt>
                <c:pt idx="145">
                  <c:v>3.6128150130856298</c:v>
                </c:pt>
                <c:pt idx="146">
                  <c:v>3.6128150130856298</c:v>
                </c:pt>
                <c:pt idx="147">
                  <c:v>3.6128150130856298</c:v>
                </c:pt>
                <c:pt idx="148">
                  <c:v>3.6128150130856298</c:v>
                </c:pt>
                <c:pt idx="149">
                  <c:v>3.6128150130856298</c:v>
                </c:pt>
                <c:pt idx="150">
                  <c:v>3.6128150130856298</c:v>
                </c:pt>
                <c:pt idx="151">
                  <c:v>3.6128150130856298</c:v>
                </c:pt>
                <c:pt idx="152">
                  <c:v>3.6128150130856298</c:v>
                </c:pt>
                <c:pt idx="153">
                  <c:v>3.6128150130856298</c:v>
                </c:pt>
                <c:pt idx="154">
                  <c:v>3.6128150130856298</c:v>
                </c:pt>
                <c:pt idx="155">
                  <c:v>3.6128150130856298</c:v>
                </c:pt>
                <c:pt idx="156">
                  <c:v>3.6128150130856298</c:v>
                </c:pt>
                <c:pt idx="157">
                  <c:v>3.6128150130856298</c:v>
                </c:pt>
                <c:pt idx="158">
                  <c:v>3.6128150130856298</c:v>
                </c:pt>
                <c:pt idx="159">
                  <c:v>3.6128150130856298</c:v>
                </c:pt>
                <c:pt idx="160">
                  <c:v>3.6128150130856298</c:v>
                </c:pt>
                <c:pt idx="161">
                  <c:v>3.6128150130856298</c:v>
                </c:pt>
                <c:pt idx="162">
                  <c:v>3.6128150130856298</c:v>
                </c:pt>
                <c:pt idx="163">
                  <c:v>3.6128150130856298</c:v>
                </c:pt>
                <c:pt idx="164">
                  <c:v>3.6128150130856298</c:v>
                </c:pt>
                <c:pt idx="165">
                  <c:v>3.6128150130856298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XLU_IDU_1!$Z$1</c:f>
              <c:strCache>
                <c:ptCount val="1"/>
                <c:pt idx="0">
                  <c:v> VIS*/FIDU*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XLU_IDU_1!$Z$2:$Z$167</c:f>
              <c:numCache>
                <c:formatCode>_(* #,##0.0000_);_(* \(#,##0.0000\);_(* "-"??_);_(@_)</c:formatCode>
                <c:ptCount val="166"/>
                <c:pt idx="9">
                  <c:v>3.6155090193581398</c:v>
                </c:pt>
                <c:pt idx="10">
                  <c:v>3.6146421696923001</c:v>
                </c:pt>
                <c:pt idx="11">
                  <c:v>3.6130223706273901</c:v>
                </c:pt>
                <c:pt idx="12">
                  <c:v>3.61235490078999</c:v>
                </c:pt>
                <c:pt idx="13">
                  <c:v>3.6118982372231399</c:v>
                </c:pt>
                <c:pt idx="14">
                  <c:v>3.6114830843854002</c:v>
                </c:pt>
                <c:pt idx="15">
                  <c:v>3.6107350412390899</c:v>
                </c:pt>
                <c:pt idx="16">
                  <c:v>3.6103928839039598</c:v>
                </c:pt>
                <c:pt idx="17">
                  <c:v>3.61032749099068</c:v>
                </c:pt>
                <c:pt idx="18">
                  <c:v>3.6104981267874701</c:v>
                </c:pt>
                <c:pt idx="19">
                  <c:v>3.6095880452579898</c:v>
                </c:pt>
                <c:pt idx="20">
                  <c:v>3.6098940366854402</c:v>
                </c:pt>
                <c:pt idx="21">
                  <c:v>3.6104566544110002</c:v>
                </c:pt>
                <c:pt idx="22">
                  <c:v>3.61061568252493</c:v>
                </c:pt>
                <c:pt idx="23">
                  <c:v>3.6111136331963598</c:v>
                </c:pt>
                <c:pt idx="24">
                  <c:v>3.61130052602272</c:v>
                </c:pt>
                <c:pt idx="25">
                  <c:v>3.61164232416166</c:v>
                </c:pt>
                <c:pt idx="26">
                  <c:v>3.6120813233467</c:v>
                </c:pt>
                <c:pt idx="27">
                  <c:v>3.6127530938539101</c:v>
                </c:pt>
                <c:pt idx="28">
                  <c:v>3.6129172711787998</c:v>
                </c:pt>
                <c:pt idx="29">
                  <c:v>3.6134352037873798</c:v>
                </c:pt>
                <c:pt idx="30">
                  <c:v>3.6129055996808499</c:v>
                </c:pt>
                <c:pt idx="31">
                  <c:v>3.6131540691592199</c:v>
                </c:pt>
                <c:pt idx="32">
                  <c:v>3.6126138743402398</c:v>
                </c:pt>
                <c:pt idx="33">
                  <c:v>3.6121389239577999</c:v>
                </c:pt>
                <c:pt idx="34">
                  <c:v>3.6114344593162402</c:v>
                </c:pt>
                <c:pt idx="35">
                  <c:v>3.6115232213369</c:v>
                </c:pt>
                <c:pt idx="36">
                  <c:v>3.6108295675431901</c:v>
                </c:pt>
                <c:pt idx="37">
                  <c:v>3.6098175110969</c:v>
                </c:pt>
                <c:pt idx="38">
                  <c:v>3.60981496517191</c:v>
                </c:pt>
                <c:pt idx="39">
                  <c:v>3.60979552646238</c:v>
                </c:pt>
                <c:pt idx="40">
                  <c:v>3.6094721580760298</c:v>
                </c:pt>
                <c:pt idx="41">
                  <c:v>3.60878258111196</c:v>
                </c:pt>
                <c:pt idx="42">
                  <c:v>3.6084036287582801</c:v>
                </c:pt>
                <c:pt idx="43">
                  <c:v>3.6079801994757799</c:v>
                </c:pt>
                <c:pt idx="44">
                  <c:v>3.60771059309773</c:v>
                </c:pt>
                <c:pt idx="45">
                  <c:v>3.6068307282765799</c:v>
                </c:pt>
                <c:pt idx="46">
                  <c:v>3.6060657387497401</c:v>
                </c:pt>
                <c:pt idx="47">
                  <c:v>3.60558696467591</c:v>
                </c:pt>
                <c:pt idx="48">
                  <c:v>3.6049187549334598</c:v>
                </c:pt>
                <c:pt idx="49">
                  <c:v>3.6044707571282601</c:v>
                </c:pt>
                <c:pt idx="50">
                  <c:v>3.6047949315569801</c:v>
                </c:pt>
                <c:pt idx="51">
                  <c:v>3.60458901530638</c:v>
                </c:pt>
                <c:pt idx="52">
                  <c:v>3.6054804796523299</c:v>
                </c:pt>
                <c:pt idx="53">
                  <c:v>3.60643744203455</c:v>
                </c:pt>
                <c:pt idx="54">
                  <c:v>3.60797932100997</c:v>
                </c:pt>
                <c:pt idx="55">
                  <c:v>3.6079172228124698</c:v>
                </c:pt>
                <c:pt idx="56">
                  <c:v>3.6086031779808301</c:v>
                </c:pt>
                <c:pt idx="57">
                  <c:v>3.6090525858816398</c:v>
                </c:pt>
                <c:pt idx="58">
                  <c:v>3.6092585670190398</c:v>
                </c:pt>
                <c:pt idx="59">
                  <c:v>3.6096563481186599</c:v>
                </c:pt>
                <c:pt idx="60">
                  <c:v>3.6098426936337802</c:v>
                </c:pt>
                <c:pt idx="61">
                  <c:v>3.6101987373934499</c:v>
                </c:pt>
                <c:pt idx="62">
                  <c:v>3.60984772531677</c:v>
                </c:pt>
                <c:pt idx="63">
                  <c:v>3.6092072587178201</c:v>
                </c:pt>
                <c:pt idx="64">
                  <c:v>3.6082248677320501</c:v>
                </c:pt>
                <c:pt idx="65">
                  <c:v>3.60853762109496</c:v>
                </c:pt>
                <c:pt idx="66">
                  <c:v>3.6082910919009699</c:v>
                </c:pt>
                <c:pt idx="67">
                  <c:v>3.6078504195421002</c:v>
                </c:pt>
                <c:pt idx="68">
                  <c:v>3.60783479210308</c:v>
                </c:pt>
                <c:pt idx="69">
                  <c:v>3.6076604293326402</c:v>
                </c:pt>
                <c:pt idx="70">
                  <c:v>3.6075768004048001</c:v>
                </c:pt>
                <c:pt idx="71">
                  <c:v>3.6077087997519701</c:v>
                </c:pt>
                <c:pt idx="72">
                  <c:v>3.6078244037067</c:v>
                </c:pt>
                <c:pt idx="73">
                  <c:v>3.60735996868216</c:v>
                </c:pt>
                <c:pt idx="74">
                  <c:v>3.6074083510346999</c:v>
                </c:pt>
                <c:pt idx="75">
                  <c:v>3.6076132548167799</c:v>
                </c:pt>
                <c:pt idx="76">
                  <c:v>3.6077158972259098</c:v>
                </c:pt>
                <c:pt idx="77">
                  <c:v>3.6081734050443699</c:v>
                </c:pt>
                <c:pt idx="78">
                  <c:v>3.6081168546982401</c:v>
                </c:pt>
                <c:pt idx="79">
                  <c:v>3.6084006777791799</c:v>
                </c:pt>
                <c:pt idx="80">
                  <c:v>3.6085011892100098</c:v>
                </c:pt>
                <c:pt idx="81">
                  <c:v>3.6079841283588601</c:v>
                </c:pt>
                <c:pt idx="82">
                  <c:v>3.6079632385212599</c:v>
                </c:pt>
                <c:pt idx="83">
                  <c:v>3.6082082768083601</c:v>
                </c:pt>
                <c:pt idx="84">
                  <c:v>3.6080385623076801</c:v>
                </c:pt>
                <c:pt idx="85">
                  <c:v>3.6079080414602802</c:v>
                </c:pt>
                <c:pt idx="86">
                  <c:v>3.6087185472381198</c:v>
                </c:pt>
                <c:pt idx="87">
                  <c:v>3.6088823204263001</c:v>
                </c:pt>
                <c:pt idx="88">
                  <c:v>3.6089505170538598</c:v>
                </c:pt>
                <c:pt idx="89">
                  <c:v>3.60893189936706</c:v>
                </c:pt>
                <c:pt idx="90">
                  <c:v>3.6086546036548701</c:v>
                </c:pt>
                <c:pt idx="91">
                  <c:v>3.60901667312049</c:v>
                </c:pt>
                <c:pt idx="92">
                  <c:v>3.6091244861737399</c:v>
                </c:pt>
                <c:pt idx="93">
                  <c:v>3.6091808918572101</c:v>
                </c:pt>
                <c:pt idx="94">
                  <c:v>3.6090272923241602</c:v>
                </c:pt>
                <c:pt idx="95">
                  <c:v>3.6091009640228</c:v>
                </c:pt>
                <c:pt idx="96">
                  <c:v>3.6085363000516502</c:v>
                </c:pt>
                <c:pt idx="97">
                  <c:v>3.60861353910287</c:v>
                </c:pt>
                <c:pt idx="98">
                  <c:v>3.6087658645685998</c:v>
                </c:pt>
                <c:pt idx="99">
                  <c:v>3.6089567083240102</c:v>
                </c:pt>
                <c:pt idx="100">
                  <c:v>3.6098495685389902</c:v>
                </c:pt>
                <c:pt idx="101">
                  <c:v>3.6103744866157901</c:v>
                </c:pt>
                <c:pt idx="102">
                  <c:v>3.6110941185793299</c:v>
                </c:pt>
                <c:pt idx="103">
                  <c:v>3.6116756427806598</c:v>
                </c:pt>
                <c:pt idx="104">
                  <c:v>3.6119166535119902</c:v>
                </c:pt>
                <c:pt idx="105">
                  <c:v>3.61230691590977</c:v>
                </c:pt>
                <c:pt idx="106">
                  <c:v>3.61269753346228</c:v>
                </c:pt>
                <c:pt idx="107">
                  <c:v>3.61277595169364</c:v>
                </c:pt>
                <c:pt idx="108">
                  <c:v>3.61330216933277</c:v>
                </c:pt>
                <c:pt idx="109">
                  <c:v>3.6134672030152002</c:v>
                </c:pt>
                <c:pt idx="110">
                  <c:v>3.6133228220537199</c:v>
                </c:pt>
                <c:pt idx="111">
                  <c:v>3.61381973395783</c:v>
                </c:pt>
                <c:pt idx="112">
                  <c:v>3.6139423775013202</c:v>
                </c:pt>
                <c:pt idx="113">
                  <c:v>3.6143023946926101</c:v>
                </c:pt>
                <c:pt idx="114">
                  <c:v>3.6145369022534601</c:v>
                </c:pt>
                <c:pt idx="115">
                  <c:v>3.6156900495111799</c:v>
                </c:pt>
                <c:pt idx="116">
                  <c:v>3.6167714507660702</c:v>
                </c:pt>
                <c:pt idx="117">
                  <c:v>3.6179175898562099</c:v>
                </c:pt>
                <c:pt idx="118">
                  <c:v>3.6184487630759898</c:v>
                </c:pt>
                <c:pt idx="119">
                  <c:v>3.6189869723942998</c:v>
                </c:pt>
                <c:pt idx="120">
                  <c:v>3.6202951339279501</c:v>
                </c:pt>
                <c:pt idx="121">
                  <c:v>3.6204670362419198</c:v>
                </c:pt>
                <c:pt idx="122">
                  <c:v>3.62040117460977</c:v>
                </c:pt>
                <c:pt idx="123">
                  <c:v>3.6208822922671802</c:v>
                </c:pt>
                <c:pt idx="124">
                  <c:v>3.6211044193422501</c:v>
                </c:pt>
                <c:pt idx="125">
                  <c:v>3.62095565778192</c:v>
                </c:pt>
                <c:pt idx="126">
                  <c:v>3.6205876241750401</c:v>
                </c:pt>
                <c:pt idx="127">
                  <c:v>3.6200436256639499</c:v>
                </c:pt>
                <c:pt idx="128">
                  <c:v>3.62000565045085</c:v>
                </c:pt>
                <c:pt idx="129">
                  <c:v>3.6200179327283402</c:v>
                </c:pt>
                <c:pt idx="130">
                  <c:v>3.6194333258273699</c:v>
                </c:pt>
                <c:pt idx="131">
                  <c:v>3.6193451864097299</c:v>
                </c:pt>
                <c:pt idx="132">
                  <c:v>3.6193771182355099</c:v>
                </c:pt>
                <c:pt idx="133">
                  <c:v>3.6189375451833401</c:v>
                </c:pt>
                <c:pt idx="134">
                  <c:v>3.6191663731780102</c:v>
                </c:pt>
                <c:pt idx="135">
                  <c:v>3.6189537587290102</c:v>
                </c:pt>
                <c:pt idx="136">
                  <c:v>3.6186338391598301</c:v>
                </c:pt>
                <c:pt idx="137">
                  <c:v>3.61859832192334</c:v>
                </c:pt>
                <c:pt idx="138">
                  <c:v>3.61806771026813</c:v>
                </c:pt>
                <c:pt idx="139">
                  <c:v>3.6178134919011198</c:v>
                </c:pt>
                <c:pt idx="140">
                  <c:v>3.61772744248186</c:v>
                </c:pt>
                <c:pt idx="141">
                  <c:v>3.6176683684377702</c:v>
                </c:pt>
                <c:pt idx="142">
                  <c:v>3.61790074538448</c:v>
                </c:pt>
                <c:pt idx="143">
                  <c:v>3.6181700926364901</c:v>
                </c:pt>
                <c:pt idx="144">
                  <c:v>3.6182165227423799</c:v>
                </c:pt>
                <c:pt idx="145">
                  <c:v>3.6181579800991499</c:v>
                </c:pt>
                <c:pt idx="146">
                  <c:v>3.6184855115561598</c:v>
                </c:pt>
                <c:pt idx="147">
                  <c:v>3.6188228299145</c:v>
                </c:pt>
                <c:pt idx="148">
                  <c:v>3.6194748255032101</c:v>
                </c:pt>
                <c:pt idx="149">
                  <c:v>3.6197382296963401</c:v>
                </c:pt>
                <c:pt idx="150">
                  <c:v>3.61969610416946</c:v>
                </c:pt>
                <c:pt idx="151">
                  <c:v>3.6195785105648302</c:v>
                </c:pt>
                <c:pt idx="152">
                  <c:v>3.6192343820000001</c:v>
                </c:pt>
                <c:pt idx="153">
                  <c:v>3.6190049140826299</c:v>
                </c:pt>
                <c:pt idx="154">
                  <c:v>3.6187746887688199</c:v>
                </c:pt>
                <c:pt idx="155">
                  <c:v>3.6184615065325501</c:v>
                </c:pt>
                <c:pt idx="156">
                  <c:v>3.6178939953370501</c:v>
                </c:pt>
                <c:pt idx="157">
                  <c:v>3.6172756884798898</c:v>
                </c:pt>
                <c:pt idx="158">
                  <c:v>3.6166696076857399</c:v>
                </c:pt>
                <c:pt idx="159">
                  <c:v>3.6163699356036201</c:v>
                </c:pt>
                <c:pt idx="160">
                  <c:v>3.6158622704218999</c:v>
                </c:pt>
                <c:pt idx="161">
                  <c:v>3.6159121776543999</c:v>
                </c:pt>
                <c:pt idx="162">
                  <c:v>3.6159158367264599</c:v>
                </c:pt>
                <c:pt idx="163">
                  <c:v>3.6155743073803599</c:v>
                </c:pt>
                <c:pt idx="164">
                  <c:v>3.61582471023232</c:v>
                </c:pt>
                <c:pt idx="165">
                  <c:v>3.6158767988165099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XLU_IDU_1!$AA$1</c:f>
              <c:strCache>
                <c:ptCount val="1"/>
                <c:pt idx="0">
                  <c:v> VIS*/FIDU*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XLU_IDU_1!$AA$2:$AA$167</c:f>
              <c:numCache>
                <c:formatCode>_(* #,##0.0000_);_(* \(#,##0.0000\);_(* "-"??_);_(@_)</c:formatCode>
                <c:ptCount val="166"/>
                <c:pt idx="19">
                  <c:v>3.6125485323080602</c:v>
                </c:pt>
                <c:pt idx="20">
                  <c:v>3.6122681031888701</c:v>
                </c:pt>
                <c:pt idx="21">
                  <c:v>3.6117395125192</c:v>
                </c:pt>
                <c:pt idx="22">
                  <c:v>3.61148529165746</c:v>
                </c:pt>
                <c:pt idx="23">
                  <c:v>3.6115059352097498</c:v>
                </c:pt>
                <c:pt idx="24">
                  <c:v>3.6113918052040601</c:v>
                </c:pt>
                <c:pt idx="25">
                  <c:v>3.6111886827003699</c:v>
                </c:pt>
                <c:pt idx="26">
                  <c:v>3.6112371036253301</c:v>
                </c:pt>
                <c:pt idx="27">
                  <c:v>3.6115402924222999</c:v>
                </c:pt>
                <c:pt idx="28">
                  <c:v>3.61170769898313</c:v>
                </c:pt>
                <c:pt idx="29">
                  <c:v>3.6115116245226799</c:v>
                </c:pt>
                <c:pt idx="30">
                  <c:v>3.6113998181831501</c:v>
                </c:pt>
                <c:pt idx="31">
                  <c:v>3.6118053617851098</c:v>
                </c:pt>
                <c:pt idx="32">
                  <c:v>3.6116147784325801</c:v>
                </c:pt>
                <c:pt idx="33">
                  <c:v>3.6116262785770799</c:v>
                </c:pt>
                <c:pt idx="34">
                  <c:v>3.6113674926694799</c:v>
                </c:pt>
                <c:pt idx="35">
                  <c:v>3.61158277274928</c:v>
                </c:pt>
                <c:pt idx="36">
                  <c:v>3.6114554454449399</c:v>
                </c:pt>
                <c:pt idx="37">
                  <c:v>3.6112853024754101</c:v>
                </c:pt>
                <c:pt idx="38">
                  <c:v>3.61136611817536</c:v>
                </c:pt>
                <c:pt idx="39">
                  <c:v>3.6116153651248801</c:v>
                </c:pt>
                <c:pt idx="40">
                  <c:v>3.6111888788784401</c:v>
                </c:pt>
                <c:pt idx="41">
                  <c:v>3.6109683251355902</c:v>
                </c:pt>
                <c:pt idx="42">
                  <c:v>3.61050875154926</c:v>
                </c:pt>
                <c:pt idx="43">
                  <c:v>3.6100595617167901</c:v>
                </c:pt>
                <c:pt idx="44">
                  <c:v>3.6095725262069802</c:v>
                </c:pt>
                <c:pt idx="45">
                  <c:v>3.6091769748067399</c:v>
                </c:pt>
                <c:pt idx="46">
                  <c:v>3.60844765314646</c:v>
                </c:pt>
                <c:pt idx="47">
                  <c:v>3.6077022378864001</c:v>
                </c:pt>
                <c:pt idx="48">
                  <c:v>3.6073668600526898</c:v>
                </c:pt>
                <c:pt idx="49">
                  <c:v>3.6071331417953201</c:v>
                </c:pt>
                <c:pt idx="50">
                  <c:v>3.6071335448165001</c:v>
                </c:pt>
                <c:pt idx="51">
                  <c:v>3.60668579820917</c:v>
                </c:pt>
                <c:pt idx="52">
                  <c:v>3.6069420542052999</c:v>
                </c:pt>
                <c:pt idx="53">
                  <c:v>3.60720882075517</c:v>
                </c:pt>
                <c:pt idx="54">
                  <c:v>3.60784495705385</c:v>
                </c:pt>
                <c:pt idx="55">
                  <c:v>3.60737397554453</c:v>
                </c:pt>
                <c:pt idx="56">
                  <c:v>3.6073344583652802</c:v>
                </c:pt>
                <c:pt idx="57">
                  <c:v>3.60731977527877</c:v>
                </c:pt>
                <c:pt idx="58">
                  <c:v>3.6070886609762498</c:v>
                </c:pt>
                <c:pt idx="59">
                  <c:v>3.60706355262346</c:v>
                </c:pt>
                <c:pt idx="60">
                  <c:v>3.6073188125953801</c:v>
                </c:pt>
                <c:pt idx="61">
                  <c:v>3.6073938763499198</c:v>
                </c:pt>
                <c:pt idx="62">
                  <c:v>3.6076641024845499</c:v>
                </c:pt>
                <c:pt idx="63">
                  <c:v>3.6078223503761899</c:v>
                </c:pt>
                <c:pt idx="64">
                  <c:v>3.6081020943710098</c:v>
                </c:pt>
                <c:pt idx="65">
                  <c:v>3.6082274219537198</c:v>
                </c:pt>
                <c:pt idx="66">
                  <c:v>3.6084471349409002</c:v>
                </c:pt>
                <c:pt idx="67">
                  <c:v>3.60845150271187</c:v>
                </c:pt>
                <c:pt idx="68">
                  <c:v>3.6085466795610599</c:v>
                </c:pt>
                <c:pt idx="69">
                  <c:v>3.60865838872565</c:v>
                </c:pt>
                <c:pt idx="70">
                  <c:v>3.6087097470192901</c:v>
                </c:pt>
                <c:pt idx="71">
                  <c:v>3.60895376857271</c:v>
                </c:pt>
                <c:pt idx="72">
                  <c:v>3.6088360645117401</c:v>
                </c:pt>
                <c:pt idx="73">
                  <c:v>3.6082836136999901</c:v>
                </c:pt>
                <c:pt idx="74">
                  <c:v>3.6078166093833701</c:v>
                </c:pt>
                <c:pt idx="75">
                  <c:v>3.6080754379558702</c:v>
                </c:pt>
                <c:pt idx="76">
                  <c:v>3.6080034945634401</c:v>
                </c:pt>
                <c:pt idx="77">
                  <c:v>3.6080119122932302</c:v>
                </c:pt>
                <c:pt idx="78">
                  <c:v>3.6079758234006598</c:v>
                </c:pt>
                <c:pt idx="79">
                  <c:v>3.6080305535559098</c:v>
                </c:pt>
                <c:pt idx="80">
                  <c:v>3.6080389948074001</c:v>
                </c:pt>
                <c:pt idx="81">
                  <c:v>3.60784646405541</c:v>
                </c:pt>
                <c:pt idx="82">
                  <c:v>3.6078938211139802</c:v>
                </c:pt>
                <c:pt idx="83">
                  <c:v>3.6077841227452598</c:v>
                </c:pt>
                <c:pt idx="84">
                  <c:v>3.6077234566711902</c:v>
                </c:pt>
                <c:pt idx="85">
                  <c:v>3.6077606481385298</c:v>
                </c:pt>
                <c:pt idx="86">
                  <c:v>3.6082172222320099</c:v>
                </c:pt>
                <c:pt idx="87">
                  <c:v>3.6085278627353401</c:v>
                </c:pt>
                <c:pt idx="88">
                  <c:v>3.6085336858760502</c:v>
                </c:pt>
                <c:pt idx="89">
                  <c:v>3.60866628857312</c:v>
                </c:pt>
                <c:pt idx="90">
                  <c:v>3.6085778964324402</c:v>
                </c:pt>
                <c:pt idx="91">
                  <c:v>3.6085004007396702</c:v>
                </c:pt>
                <c:pt idx="92">
                  <c:v>3.6085438623475001</c:v>
                </c:pt>
                <c:pt idx="93">
                  <c:v>3.6086945843327798</c:v>
                </c:pt>
                <c:pt idx="94">
                  <c:v>3.6085329273159199</c:v>
                </c:pt>
                <c:pt idx="95">
                  <c:v>3.6085045027415399</c:v>
                </c:pt>
                <c:pt idx="96">
                  <c:v>3.6086274236448799</c:v>
                </c:pt>
                <c:pt idx="97">
                  <c:v>3.6087479297645899</c:v>
                </c:pt>
                <c:pt idx="98">
                  <c:v>3.60885819081123</c:v>
                </c:pt>
                <c:pt idx="99">
                  <c:v>3.60894430384554</c:v>
                </c:pt>
                <c:pt idx="100">
                  <c:v>3.6092520860969302</c:v>
                </c:pt>
                <c:pt idx="101">
                  <c:v>3.60969557986814</c:v>
                </c:pt>
                <c:pt idx="102">
                  <c:v>3.6101093023765398</c:v>
                </c:pt>
                <c:pt idx="103">
                  <c:v>3.6104282673189401</c:v>
                </c:pt>
                <c:pt idx="104">
                  <c:v>3.6104719729180701</c:v>
                </c:pt>
                <c:pt idx="105">
                  <c:v>3.6107039399662901</c:v>
                </c:pt>
                <c:pt idx="106">
                  <c:v>3.6106169167569702</c:v>
                </c:pt>
                <c:pt idx="107">
                  <c:v>3.6106947453982601</c:v>
                </c:pt>
                <c:pt idx="108">
                  <c:v>3.6110340169506898</c:v>
                </c:pt>
                <c:pt idx="109">
                  <c:v>3.6112119556696101</c:v>
                </c:pt>
                <c:pt idx="110">
                  <c:v>3.6115861952963502</c:v>
                </c:pt>
                <c:pt idx="111">
                  <c:v>3.6120971102868098</c:v>
                </c:pt>
                <c:pt idx="112">
                  <c:v>3.6125182480403302</c:v>
                </c:pt>
                <c:pt idx="113">
                  <c:v>3.61298901873664</c:v>
                </c:pt>
                <c:pt idx="114">
                  <c:v>3.6132267778827201</c:v>
                </c:pt>
                <c:pt idx="115">
                  <c:v>3.6139984827104699</c:v>
                </c:pt>
                <c:pt idx="116">
                  <c:v>3.6147344921141702</c:v>
                </c:pt>
                <c:pt idx="117">
                  <c:v>3.6153467707749201</c:v>
                </c:pt>
                <c:pt idx="118">
                  <c:v>3.6158754662043799</c:v>
                </c:pt>
                <c:pt idx="119">
                  <c:v>3.61622708770475</c:v>
                </c:pt>
                <c:pt idx="120">
                  <c:v>3.6168089779908401</c:v>
                </c:pt>
                <c:pt idx="121">
                  <c:v>3.61714338509988</c:v>
                </c:pt>
                <c:pt idx="122">
                  <c:v>3.61717177605555</c:v>
                </c:pt>
                <c:pt idx="123">
                  <c:v>3.6175923434799002</c:v>
                </c:pt>
                <c:pt idx="124">
                  <c:v>3.6178206607978498</c:v>
                </c:pt>
                <c:pt idx="125">
                  <c:v>3.6183228536465499</c:v>
                </c:pt>
                <c:pt idx="126">
                  <c:v>3.6186795374705598</c:v>
                </c:pt>
                <c:pt idx="127">
                  <c:v>3.6189806077600801</c:v>
                </c:pt>
                <c:pt idx="128">
                  <c:v>3.6192272067634201</c:v>
                </c:pt>
                <c:pt idx="129">
                  <c:v>3.6195024525613202</c:v>
                </c:pt>
                <c:pt idx="130">
                  <c:v>3.6198642298776602</c:v>
                </c:pt>
                <c:pt idx="131">
                  <c:v>3.61990611132582</c:v>
                </c:pt>
                <c:pt idx="132">
                  <c:v>3.6198891464226399</c:v>
                </c:pt>
                <c:pt idx="133">
                  <c:v>3.6199099187252601</c:v>
                </c:pt>
                <c:pt idx="134">
                  <c:v>3.6201353962601299</c:v>
                </c:pt>
                <c:pt idx="135">
                  <c:v>3.6199547082554702</c:v>
                </c:pt>
                <c:pt idx="136">
                  <c:v>3.6196107316674402</c:v>
                </c:pt>
                <c:pt idx="137">
                  <c:v>3.6193209737936498</c:v>
                </c:pt>
                <c:pt idx="138">
                  <c:v>3.61903668035949</c:v>
                </c:pt>
                <c:pt idx="139">
                  <c:v>3.6189157123147302</c:v>
                </c:pt>
                <c:pt idx="140">
                  <c:v>3.6185803841546198</c:v>
                </c:pt>
                <c:pt idx="141">
                  <c:v>3.6185067774237498</c:v>
                </c:pt>
                <c:pt idx="142">
                  <c:v>3.6186389318100001</c:v>
                </c:pt>
                <c:pt idx="143">
                  <c:v>3.6185538189099198</c:v>
                </c:pt>
                <c:pt idx="144">
                  <c:v>3.6186914479602001</c:v>
                </c:pt>
                <c:pt idx="145">
                  <c:v>3.61855586941408</c:v>
                </c:pt>
                <c:pt idx="146">
                  <c:v>3.618559675358</c:v>
                </c:pt>
                <c:pt idx="147">
                  <c:v>3.6187105759189202</c:v>
                </c:pt>
                <c:pt idx="148">
                  <c:v>3.6187712678856698</c:v>
                </c:pt>
                <c:pt idx="149">
                  <c:v>3.6187758607987299</c:v>
                </c:pt>
                <c:pt idx="150">
                  <c:v>3.6187117733256602</c:v>
                </c:pt>
                <c:pt idx="151">
                  <c:v>3.6186234395013002</c:v>
                </c:pt>
                <c:pt idx="152">
                  <c:v>3.6185675636922401</c:v>
                </c:pt>
                <c:pt idx="153">
                  <c:v>3.61858750335956</c:v>
                </c:pt>
                <c:pt idx="154">
                  <c:v>3.6184956057556001</c:v>
                </c:pt>
                <c:pt idx="155">
                  <c:v>3.6183097433158502</c:v>
                </c:pt>
                <c:pt idx="156">
                  <c:v>3.6181897534465999</c:v>
                </c:pt>
                <c:pt idx="157">
                  <c:v>3.61804925919719</c:v>
                </c:pt>
                <c:pt idx="158">
                  <c:v>3.6180722165944701</c:v>
                </c:pt>
                <c:pt idx="159">
                  <c:v>3.6180540826499801</c:v>
                </c:pt>
                <c:pt idx="160">
                  <c:v>3.6177791872956799</c:v>
                </c:pt>
                <c:pt idx="161">
                  <c:v>3.6177453441096099</c:v>
                </c:pt>
                <c:pt idx="162">
                  <c:v>3.61757510936323</c:v>
                </c:pt>
                <c:pt idx="163">
                  <c:v>3.6172896107314898</c:v>
                </c:pt>
                <c:pt idx="164">
                  <c:v>3.61729969950057</c:v>
                </c:pt>
                <c:pt idx="165">
                  <c:v>3.61716915267453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XLU_IDU_1!$U$1</c:f>
              <c:strCache>
                <c:ptCount val="1"/>
                <c:pt idx="0">
                  <c:v>log diff FIDU x avg / VIS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XLU_IDU_1!$U$2:$U$167</c:f>
              <c:numCache>
                <c:formatCode>0.00%</c:formatCode>
                <c:ptCount val="166"/>
                <c:pt idx="1">
                  <c:v>-2.4092859133695499E-3</c:v>
                </c:pt>
                <c:pt idx="2">
                  <c:v>-1.1554365723589299E-3</c:v>
                </c:pt>
                <c:pt idx="3">
                  <c:v>-7.8347101788015297E-4</c:v>
                </c:pt>
                <c:pt idx="4">
                  <c:v>-1.09024124094411E-3</c:v>
                </c:pt>
                <c:pt idx="5">
                  <c:v>-1.04116923050735E-3</c:v>
                </c:pt>
                <c:pt idx="6">
                  <c:v>-6.1879901310915803E-4</c:v>
                </c:pt>
                <c:pt idx="7">
                  <c:v>7.6980729606419102E-5</c:v>
                </c:pt>
                <c:pt idx="8">
                  <c:v>1.0099530430384999E-3</c:v>
                </c:pt>
                <c:pt idx="9">
                  <c:v>-9.3433814977714002E-5</c:v>
                </c:pt>
                <c:pt idx="10">
                  <c:v>1.0537509013303101E-3</c:v>
                </c:pt>
                <c:pt idx="11">
                  <c:v>2.0734393962256099E-3</c:v>
                </c:pt>
                <c:pt idx="12">
                  <c:v>6.9164104802691296E-4</c:v>
                </c:pt>
                <c:pt idx="13">
                  <c:v>4.8034771452135501E-4</c:v>
                </c:pt>
                <c:pt idx="14">
                  <c:v>5.8277732203588103E-5</c:v>
                </c:pt>
                <c:pt idx="15">
                  <c:v>1.0293452784856699E-3</c:v>
                </c:pt>
                <c:pt idx="16">
                  <c:v>3.2812906732122301E-4</c:v>
                </c:pt>
                <c:pt idx="17">
                  <c:v>2.58013710822892E-4</c:v>
                </c:pt>
                <c:pt idx="18">
                  <c:v>5.3728048061461495E-4</c:v>
                </c:pt>
                <c:pt idx="19">
                  <c:v>2.42854551768491E-3</c:v>
                </c:pt>
                <c:pt idx="20">
                  <c:v>2.06255932533747E-4</c:v>
                </c:pt>
                <c:pt idx="21">
                  <c:v>5.1413993990046002E-4</c:v>
                </c:pt>
                <c:pt idx="22">
                  <c:v>2.51255633109736E-4</c:v>
                </c:pt>
                <c:pt idx="23">
                  <c:v>-8.9765459656855802E-4</c:v>
                </c:pt>
                <c:pt idx="24">
                  <c:v>-4.5892391915988403E-4</c:v>
                </c:pt>
                <c:pt idx="25">
                  <c:v>8.2747588283309096E-5</c:v>
                </c:pt>
                <c:pt idx="26">
                  <c:v>-8.8664827070745404E-4</c:v>
                </c:pt>
                <c:pt idx="27">
                  <c:v>-1.60014884669952E-3</c:v>
                </c:pt>
                <c:pt idx="28">
                  <c:v>8.2709114836625395E-5</c:v>
                </c:pt>
                <c:pt idx="29">
                  <c:v>9.9249287196282094E-4</c:v>
                </c:pt>
                <c:pt idx="30">
                  <c:v>1.67353854872113E-3</c:v>
                </c:pt>
                <c:pt idx="31">
                  <c:v>-1.7372192933200401E-4</c:v>
                </c:pt>
                <c:pt idx="32">
                  <c:v>1.7479694754970101E-3</c:v>
                </c:pt>
                <c:pt idx="33">
                  <c:v>4.1665608654890401E-4</c:v>
                </c:pt>
                <c:pt idx="34">
                  <c:v>1.4919883193522799E-3</c:v>
                </c:pt>
                <c:pt idx="35">
                  <c:v>-1.6292915311022499E-4</c:v>
                </c:pt>
                <c:pt idx="36">
                  <c:v>1.03347387661792E-3</c:v>
                </c:pt>
                <c:pt idx="37">
                  <c:v>1.2005867082199599E-3</c:v>
                </c:pt>
                <c:pt idx="38">
                  <c:v>8.9756651271302105E-5</c:v>
                </c:pt>
                <c:pt idx="39">
                  <c:v>1.04635263457002E-3</c:v>
                </c:pt>
                <c:pt idx="40">
                  <c:v>2.5704992198697998E-3</c:v>
                </c:pt>
                <c:pt idx="41">
                  <c:v>1.7364668948140901E-3</c:v>
                </c:pt>
                <c:pt idx="42">
                  <c:v>2.7992685547631999E-3</c:v>
                </c:pt>
                <c:pt idx="43">
                  <c:v>1.58985282408074E-3</c:v>
                </c:pt>
                <c:pt idx="44">
                  <c:v>2.2396321225844301E-3</c:v>
                </c:pt>
                <c:pt idx="45">
                  <c:v>2.2750431151033401E-3</c:v>
                </c:pt>
                <c:pt idx="46">
                  <c:v>3.1553463252647902E-3</c:v>
                </c:pt>
                <c:pt idx="47">
                  <c:v>2.52827027224566E-3</c:v>
                </c:pt>
                <c:pt idx="48">
                  <c:v>1.94118978089551E-3</c:v>
                </c:pt>
                <c:pt idx="49">
                  <c:v>2.288446096598E-3</c:v>
                </c:pt>
                <c:pt idx="50">
                  <c:v>1.6713037497381E-3</c:v>
                </c:pt>
                <c:pt idx="51">
                  <c:v>2.3075812084103202E-3</c:v>
                </c:pt>
                <c:pt idx="52">
                  <c:v>3.2790180549045799E-4</c:v>
                </c:pt>
                <c:pt idx="53">
                  <c:v>-1.05964853478549E-3</c:v>
                </c:pt>
                <c:pt idx="54">
                  <c:v>-2.0286198790986799E-3</c:v>
                </c:pt>
                <c:pt idx="55">
                  <c:v>2.4473325789741902E-3</c:v>
                </c:pt>
                <c:pt idx="56">
                  <c:v>1.25248521359926E-3</c:v>
                </c:pt>
                <c:pt idx="57">
                  <c:v>1.28197102253884E-3</c:v>
                </c:pt>
                <c:pt idx="58">
                  <c:v>1.37010477258772E-3</c:v>
                </c:pt>
                <c:pt idx="59">
                  <c:v>1.18550389163382E-3</c:v>
                </c:pt>
                <c:pt idx="60">
                  <c:v>1.1547840472703099E-3</c:v>
                </c:pt>
                <c:pt idx="61">
                  <c:v>1.32028966320762E-3</c:v>
                </c:pt>
                <c:pt idx="62">
                  <c:v>1.30026803942192E-3</c:v>
                </c:pt>
                <c:pt idx="63">
                  <c:v>7.1280716051417496E-4</c:v>
                </c:pt>
                <c:pt idx="64">
                  <c:v>6.8874250688643701E-4</c:v>
                </c:pt>
                <c:pt idx="65">
                  <c:v>1.57990993691314E-3</c:v>
                </c:pt>
                <c:pt idx="66">
                  <c:v>1.9359481716904399E-3</c:v>
                </c:pt>
                <c:pt idx="67">
                  <c:v>2.5040300343433602E-3</c:v>
                </c:pt>
                <c:pt idx="68">
                  <c:v>1.41342059083721E-3</c:v>
                </c:pt>
                <c:pt idx="69">
                  <c:v>1.6688161822818099E-3</c:v>
                </c:pt>
                <c:pt idx="70">
                  <c:v>1.38655694377855E-3</c:v>
                </c:pt>
                <c:pt idx="71">
                  <c:v>9.5450960698640502E-4</c:v>
                </c:pt>
                <c:pt idx="72">
                  <c:v>9.7991997745529194E-4</c:v>
                </c:pt>
                <c:pt idx="73">
                  <c:v>2.0000731747553502E-3</c:v>
                </c:pt>
                <c:pt idx="74">
                  <c:v>5.5474050845748702E-4</c:v>
                </c:pt>
                <c:pt idx="75">
                  <c:v>1.01201620734201E-3</c:v>
                </c:pt>
                <c:pt idx="76">
                  <c:v>1.6513316686395301E-3</c:v>
                </c:pt>
                <c:pt idx="77">
                  <c:v>1.2353130489714799E-3</c:v>
                </c:pt>
                <c:pt idx="78">
                  <c:v>1.57018137345154E-3</c:v>
                </c:pt>
                <c:pt idx="79">
                  <c:v>8.8221259480662296E-4</c:v>
                </c:pt>
                <c:pt idx="80">
                  <c:v>1.1080016505424801E-3</c:v>
                </c:pt>
                <c:pt idx="81">
                  <c:v>2.3880889374660601E-3</c:v>
                </c:pt>
                <c:pt idx="82">
                  <c:v>1.03779983866292E-3</c:v>
                </c:pt>
                <c:pt idx="83">
                  <c:v>1.3206985664206501E-3</c:v>
                </c:pt>
                <c:pt idx="84">
                  <c:v>1.0248686294251901E-3</c:v>
                </c:pt>
                <c:pt idx="85">
                  <c:v>1.3737192926711499E-3</c:v>
                </c:pt>
                <c:pt idx="86">
                  <c:v>-5.9327398936079301E-4</c:v>
                </c:pt>
                <c:pt idx="87">
                  <c:v>7.8154383291733904E-4</c:v>
                </c:pt>
                <c:pt idx="88">
                  <c:v>1.38113948627032E-3</c:v>
                </c:pt>
                <c:pt idx="89">
                  <c:v>9.3379176315682301E-4</c:v>
                </c:pt>
                <c:pt idx="90">
                  <c:v>1.87668156692854E-3</c:v>
                </c:pt>
                <c:pt idx="91">
                  <c:v>1.3840160041592401E-3</c:v>
                </c:pt>
                <c:pt idx="92">
                  <c:v>7.3911617399231996E-4</c:v>
                </c:pt>
                <c:pt idx="93">
                  <c:v>1.16437776676178E-3</c:v>
                </c:pt>
                <c:pt idx="94">
                  <c:v>1.45054711110684E-3</c:v>
                </c:pt>
                <c:pt idx="95">
                  <c:v>1.1695421038880899E-3</c:v>
                </c:pt>
                <c:pt idx="96">
                  <c:v>9.6996762217601803E-4</c:v>
                </c:pt>
                <c:pt idx="97">
                  <c:v>5.6760768628236397E-4</c:v>
                </c:pt>
                <c:pt idx="98">
                  <c:v>9.5902044243388401E-4</c:v>
                </c:pt>
                <c:pt idx="99">
                  <c:v>4.0519684732217301E-4</c:v>
                </c:pt>
                <c:pt idx="100">
                  <c:v>-5.9627035895087595E-4</c:v>
                </c:pt>
                <c:pt idx="101">
                  <c:v>-6.9872586305791797E-5</c:v>
                </c:pt>
                <c:pt idx="102">
                  <c:v>-1.25225960510315E-3</c:v>
                </c:pt>
                <c:pt idx="103">
                  <c:v>-4.4581568221643201E-4</c:v>
                </c:pt>
                <c:pt idx="104">
                  <c:v>7.8270224552433895E-4</c:v>
                </c:pt>
                <c:pt idx="105">
                  <c:v>8.8645445065167503E-5</c:v>
                </c:pt>
                <c:pt idx="106">
                  <c:v>-1.1169638752859E-4</c:v>
                </c:pt>
                <c:pt idx="107">
                  <c:v>3.5045226729628999E-4</c:v>
                </c:pt>
                <c:pt idx="108">
                  <c:v>-4.9784613859413999E-4</c:v>
                </c:pt>
                <c:pt idx="109">
                  <c:v>-5.1684708136679302E-5</c:v>
                </c:pt>
                <c:pt idx="110">
                  <c:v>-1.9679316536956899E-4</c:v>
                </c:pt>
                <c:pt idx="111">
                  <c:v>-1.4442463467661799E-3</c:v>
                </c:pt>
                <c:pt idx="112">
                  <c:v>-1.59124540312637E-3</c:v>
                </c:pt>
                <c:pt idx="113">
                  <c:v>-1.4413762757928201E-3</c:v>
                </c:pt>
                <c:pt idx="114">
                  <c:v>1.3330562306255E-4</c:v>
                </c:pt>
                <c:pt idx="115">
                  <c:v>-3.0983783540944202E-3</c:v>
                </c:pt>
                <c:pt idx="116">
                  <c:v>-3.1001295252132402E-3</c:v>
                </c:pt>
                <c:pt idx="117">
                  <c:v>-2.8180613917568199E-3</c:v>
                </c:pt>
                <c:pt idx="118">
                  <c:v>-1.96628317020342E-3</c:v>
                </c:pt>
                <c:pt idx="119">
                  <c:v>-1.54022217158954E-3</c:v>
                </c:pt>
                <c:pt idx="120">
                  <c:v>-3.8104362412787001E-3</c:v>
                </c:pt>
                <c:pt idx="121">
                  <c:v>-1.9192594804923299E-3</c:v>
                </c:pt>
                <c:pt idx="122">
                  <c:v>-1.4092186506607599E-3</c:v>
                </c:pt>
                <c:pt idx="123">
                  <c:v>-2.7702722671715798E-3</c:v>
                </c:pt>
                <c:pt idx="124">
                  <c:v>-4.81418384386742E-4</c:v>
                </c:pt>
                <c:pt idx="125">
                  <c:v>-2.6878070967236798E-3</c:v>
                </c:pt>
                <c:pt idx="126">
                  <c:v>-2.0840773777327901E-3</c:v>
                </c:pt>
                <c:pt idx="127">
                  <c:v>-1.3154233815282101E-3</c:v>
                </c:pt>
                <c:pt idx="128">
                  <c:v>-1.8613716138457101E-3</c:v>
                </c:pt>
                <c:pt idx="129">
                  <c:v>-1.5741656933031499E-3</c:v>
                </c:pt>
                <c:pt idx="130">
                  <c:v>-2.1971418030062701E-3</c:v>
                </c:pt>
                <c:pt idx="131">
                  <c:v>-1.67573433713293E-3</c:v>
                </c:pt>
                <c:pt idx="132">
                  <c:v>-1.4974751801205999E-3</c:v>
                </c:pt>
                <c:pt idx="133">
                  <c:v>-1.5561963958656601E-3</c:v>
                </c:pt>
                <c:pt idx="134">
                  <c:v>-1.1142918950717701E-3</c:v>
                </c:pt>
                <c:pt idx="135">
                  <c:v>-2.1007136536590398E-3</c:v>
                </c:pt>
                <c:pt idx="136">
                  <c:v>-1.2000169825389501E-3</c:v>
                </c:pt>
                <c:pt idx="137">
                  <c:v>-1.21723875752314E-3</c:v>
                </c:pt>
                <c:pt idx="138">
                  <c:v>-3.9433416180641498E-4</c:v>
                </c:pt>
                <c:pt idx="139">
                  <c:v>-8.7136828738155602E-4</c:v>
                </c:pt>
                <c:pt idx="140">
                  <c:v>-1.9594579804121499E-3</c:v>
                </c:pt>
                <c:pt idx="141">
                  <c:v>-1.5124822790970401E-3</c:v>
                </c:pt>
                <c:pt idx="142">
                  <c:v>-2.1395084707733201E-3</c:v>
                </c:pt>
                <c:pt idx="143">
                  <c:v>-2.3002931122017801E-3</c:v>
                </c:pt>
                <c:pt idx="144">
                  <c:v>-1.24265557065863E-3</c:v>
                </c:pt>
                <c:pt idx="145">
                  <c:v>-1.93899899466673E-3</c:v>
                </c:pt>
                <c:pt idx="146">
                  <c:v>-2.1051024252551399E-3</c:v>
                </c:pt>
                <c:pt idx="147">
                  <c:v>-2.1493402299056301E-3</c:v>
                </c:pt>
                <c:pt idx="148">
                  <c:v>-2.1966721801289801E-3</c:v>
                </c:pt>
                <c:pt idx="149">
                  <c:v>-1.59955105358688E-3</c:v>
                </c:pt>
                <c:pt idx="150">
                  <c:v>-1.84307917093086E-3</c:v>
                </c:pt>
                <c:pt idx="151">
                  <c:v>-1.18743113610619E-3</c:v>
                </c:pt>
                <c:pt idx="152">
                  <c:v>-1.1885702595764501E-3</c:v>
                </c:pt>
                <c:pt idx="153">
                  <c:v>-1.6664016753671501E-3</c:v>
                </c:pt>
                <c:pt idx="154">
                  <c:v>-6.0599799482132205E-4</c:v>
                </c:pt>
                <c:pt idx="155">
                  <c:v>-1.0734388720325401E-3</c:v>
                </c:pt>
                <c:pt idx="156">
                  <c:v>-5.3634757938548897E-4</c:v>
                </c:pt>
                <c:pt idx="157">
                  <c:v>-4.4012800954886601E-4</c:v>
                </c:pt>
                <c:pt idx="158">
                  <c:v>-5.2136468264473703E-4</c:v>
                </c:pt>
                <c:pt idx="159">
                  <c:v>-7.71063906191401E-4</c:v>
                </c:pt>
                <c:pt idx="160">
                  <c:v>-4.3950308140136698E-4</c:v>
                </c:pt>
                <c:pt idx="161">
                  <c:v>-1.32539714735765E-3</c:v>
                </c:pt>
                <c:pt idx="162">
                  <c:v>-1.1986862137006501E-3</c:v>
                </c:pt>
                <c:pt idx="163">
                  <c:v>-7.2220252194593398E-4</c:v>
                </c:pt>
                <c:pt idx="164">
                  <c:v>-1.29843456260513E-3</c:v>
                </c:pt>
                <c:pt idx="165">
                  <c:v>-1.2174510993841199E-3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XLU_IDU_1!$V$1</c:f>
              <c:strCache>
                <c:ptCount val="1"/>
                <c:pt idx="0">
                  <c:v>log diff FIDU x 10 dma / VIS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XLU_IDU_1!$V$2:$V$167</c:f>
              <c:numCache>
                <c:formatCode>0.00%</c:formatCode>
                <c:ptCount val="166"/>
                <c:pt idx="10">
                  <c:v>1.79915367662214E-3</c:v>
                </c:pt>
                <c:pt idx="11">
                  <c:v>2.5790547459638201E-3</c:v>
                </c:pt>
                <c:pt idx="12">
                  <c:v>7.4903440766245597E-4</c:v>
                </c:pt>
                <c:pt idx="13">
                  <c:v>3.5298398418645398E-4</c:v>
                </c:pt>
                <c:pt idx="14">
                  <c:v>-1.9551112713363399E-4</c:v>
                </c:pt>
                <c:pt idx="15">
                  <c:v>6.6060946571689196E-4</c:v>
                </c:pt>
                <c:pt idx="16">
                  <c:v>-2.4775727343568298E-4</c:v>
                </c:pt>
                <c:pt idx="17">
                  <c:v>-4.1263825074246E-4</c:v>
                </c:pt>
                <c:pt idx="18">
                  <c:v>-1.51484054180856E-4</c:v>
                </c:pt>
                <c:pt idx="19">
                  <c:v>1.7870431121380999E-3</c:v>
                </c:pt>
                <c:pt idx="20">
                  <c:v>-6.8734361219211903E-4</c:v>
                </c:pt>
                <c:pt idx="21">
                  <c:v>-2.94691355754764E-4</c:v>
                </c:pt>
                <c:pt idx="22">
                  <c:v>-4.0173344635187201E-4</c:v>
                </c:pt>
                <c:pt idx="23">
                  <c:v>-1.5065981086874801E-3</c:v>
                </c:pt>
                <c:pt idx="24">
                  <c:v>-9.2996398725631697E-4</c:v>
                </c:pt>
                <c:pt idx="25">
                  <c:v>-3.3653891866652398E-4</c:v>
                </c:pt>
                <c:pt idx="26">
                  <c:v>-1.21129242860959E-3</c:v>
                </c:pt>
                <c:pt idx="27">
                  <c:v>-1.8032492670482299E-3</c:v>
                </c:pt>
                <c:pt idx="28">
                  <c:v>6.5570190725923198E-5</c:v>
                </c:pt>
                <c:pt idx="29">
                  <c:v>1.0207967418413E-3</c:v>
                </c:pt>
                <c:pt idx="30">
                  <c:v>1.8451879338542399E-3</c:v>
                </c:pt>
                <c:pt idx="31">
                  <c:v>-1.48648556010327E-4</c:v>
                </c:pt>
                <c:pt idx="32">
                  <c:v>1.84181324094164E-3</c:v>
                </c:pt>
                <c:pt idx="33">
                  <c:v>3.6098084606670601E-4</c:v>
                </c:pt>
                <c:pt idx="34">
                  <c:v>1.30483442586109E-3</c:v>
                </c:pt>
                <c:pt idx="35">
                  <c:v>-5.4512907338555305E-4</c:v>
                </c:pt>
                <c:pt idx="36">
                  <c:v>6.7585170539954205E-4</c:v>
                </c:pt>
                <c:pt idx="37">
                  <c:v>6.5087926614354398E-4</c:v>
                </c:pt>
                <c:pt idx="38">
                  <c:v>-7.40273715299349E-4</c:v>
                </c:pt>
                <c:pt idx="39">
                  <c:v>2.1561698971823601E-4</c:v>
                </c:pt>
                <c:pt idx="40">
                  <c:v>1.7343786004257601E-3</c:v>
                </c:pt>
                <c:pt idx="41">
                  <c:v>8.1076145854359905E-4</c:v>
                </c:pt>
                <c:pt idx="42">
                  <c:v>1.68249838301905E-3</c:v>
                </c:pt>
                <c:pt idx="43">
                  <c:v>3.6806877490207403E-4</c:v>
                </c:pt>
                <c:pt idx="44">
                  <c:v>9.0049586680008697E-4</c:v>
                </c:pt>
                <c:pt idx="45">
                  <c:v>8.6117905128687395E-4</c:v>
                </c:pt>
                <c:pt idx="46">
                  <c:v>1.4975679815761699E-3</c:v>
                </c:pt>
                <c:pt idx="47">
                  <c:v>6.5837477611728002E-4</c:v>
                </c:pt>
                <c:pt idx="48">
                  <c:v>-6.1483621830274197E-5</c:v>
                </c:pt>
                <c:pt idx="49">
                  <c:v>1.0042931565788299E-4</c:v>
                </c:pt>
                <c:pt idx="50">
                  <c:v>-6.4099479043638798E-4</c:v>
                </c:pt>
                <c:pt idx="51">
                  <c:v>8.5215386194387494E-5</c:v>
                </c:pt>
                <c:pt idx="52">
                  <c:v>-1.9515885233862299E-3</c:v>
                </c:pt>
                <c:pt idx="53">
                  <c:v>-3.0918557130316599E-3</c:v>
                </c:pt>
                <c:pt idx="54">
                  <c:v>-3.7954434525317702E-3</c:v>
                </c:pt>
                <c:pt idx="55">
                  <c:v>1.1079528446018699E-3</c:v>
                </c:pt>
                <c:pt idx="56">
                  <c:v>-1.04106019612543E-4</c:v>
                </c:pt>
                <c:pt idx="57">
                  <c:v>1.15486691914277E-4</c:v>
                </c:pt>
                <c:pt idx="58">
                  <c:v>3.2815059859279798E-4</c:v>
                </c:pt>
                <c:pt idx="59">
                  <c:v>2.0062155427623201E-4</c:v>
                </c:pt>
                <c:pt idx="60">
                  <c:v>2.8010694288811699E-4</c:v>
                </c:pt>
                <c:pt idx="61">
                  <c:v>4.9723539694256004E-4</c:v>
                </c:pt>
                <c:pt idx="62">
                  <c:v>5.7584028752094205E-4</c:v>
                </c:pt>
                <c:pt idx="63">
                  <c:v>-1.08853227980649E-4</c:v>
                </c:pt>
                <c:pt idx="64">
                  <c:v>-3.1035567701128601E-4</c:v>
                </c:pt>
                <c:pt idx="65">
                  <c:v>3.08584463688467E-4</c:v>
                </c:pt>
                <c:pt idx="66">
                  <c:v>7.5129684455146699E-4</c:v>
                </c:pt>
                <c:pt idx="67">
                  <c:v>1.2510580628075499E-3</c:v>
                </c:pt>
                <c:pt idx="68">
                  <c:v>3.8313442566566501E-5</c:v>
                </c:pt>
                <c:pt idx="69">
                  <c:v>2.8937751494880902E-4</c:v>
                </c:pt>
                <c:pt idx="70">
                  <c:v>-4.1211814592385599E-5</c:v>
                </c:pt>
                <c:pt idx="71">
                  <c:v>-4.9644035116695902E-4</c:v>
                </c:pt>
                <c:pt idx="72">
                  <c:v>-4.3444117340681097E-4</c:v>
                </c:pt>
                <c:pt idx="73">
                  <c:v>6.1775510414172595E-4</c:v>
                </c:pt>
                <c:pt idx="74">
                  <c:v>-9.5631579009598398E-4</c:v>
                </c:pt>
                <c:pt idx="75">
                  <c:v>-4.8562805900397601E-4</c:v>
                </c:pt>
                <c:pt idx="76">
                  <c:v>2.1048661741165101E-4</c:v>
                </c:pt>
                <c:pt idx="77">
                  <c:v>-1.77080795947746E-4</c:v>
                </c:pt>
                <c:pt idx="78">
                  <c:v>2.8459319306085699E-4</c:v>
                </c:pt>
                <c:pt idx="79">
                  <c:v>-4.1904855440674798E-4</c:v>
                </c:pt>
                <c:pt idx="80">
                  <c:v>-1.14600206343366E-4</c:v>
                </c:pt>
                <c:pt idx="81">
                  <c:v>1.19334153466023E-3</c:v>
                </c:pt>
                <c:pt idx="82">
                  <c:v>-3.0024747518742501E-4</c:v>
                </c:pt>
                <c:pt idx="83">
                  <c:v>-2.3138655958480199E-5</c:v>
                </c:pt>
                <c:pt idx="84">
                  <c:v>-2.5105493910698501E-4</c:v>
                </c:pt>
                <c:pt idx="85">
                  <c:v>5.0758946020316497E-5</c:v>
                </c:pt>
                <c:pt idx="86">
                  <c:v>-1.9524100048687299E-3</c:v>
                </c:pt>
                <c:pt idx="87">
                  <c:v>-3.5297039531065599E-4</c:v>
                </c:pt>
                <c:pt idx="88">
                  <c:v>2.9200687202203898E-4</c:v>
                </c:pt>
                <c:pt idx="89">
                  <c:v>-1.3644414647196601E-4</c:v>
                </c:pt>
                <c:pt idx="90">
                  <c:v>8.0128689030178695E-4</c:v>
                </c:pt>
                <c:pt idx="91">
                  <c:v>2.3178242516208499E-4</c:v>
                </c:pt>
                <c:pt idx="92">
                  <c:v>-3.1278879428407302E-4</c:v>
                </c:pt>
                <c:pt idx="93">
                  <c:v>1.42345601159736E-4</c:v>
                </c:pt>
                <c:pt idx="94">
                  <c:v>4.4414345677320903E-4</c:v>
                </c:pt>
                <c:pt idx="95">
                  <c:v>1.20579540431597E-4</c:v>
                </c:pt>
                <c:pt idx="96">
                  <c:v>-5.85819765819818E-5</c:v>
                </c:pt>
                <c:pt idx="97">
                  <c:v>-6.1740972919842796E-4</c:v>
                </c:pt>
                <c:pt idx="98">
                  <c:v>-2.0459266443738399E-4</c:v>
                </c:pt>
                <c:pt idx="99">
                  <c:v>-7.1620551871541798E-4</c:v>
                </c:pt>
                <c:pt idx="100">
                  <c:v>-1.6647907380372899E-3</c:v>
                </c:pt>
                <c:pt idx="101">
                  <c:v>-8.9102236552179501E-4</c:v>
                </c:pt>
                <c:pt idx="102">
                  <c:v>-1.92800722679093E-3</c:v>
                </c:pt>
                <c:pt idx="103">
                  <c:v>-9.2225980893230204E-4</c:v>
                </c:pt>
                <c:pt idx="104">
                  <c:v>4.6728338246793003E-4</c:v>
                </c:pt>
                <c:pt idx="105">
                  <c:v>-1.6004464329648501E-4</c:v>
                </c:pt>
                <c:pt idx="106">
                  <c:v>-2.5234375146101698E-4</c:v>
                </c:pt>
                <c:pt idx="107">
                  <c:v>3.1793426318054699E-4</c:v>
                </c:pt>
                <c:pt idx="108">
                  <c:v>-5.0865809631007097E-4</c:v>
                </c:pt>
                <c:pt idx="109">
                  <c:v>8.3147383726352297E-5</c:v>
                </c:pt>
                <c:pt idx="110">
                  <c:v>-1.6288194256168501E-5</c:v>
                </c:pt>
                <c:pt idx="111">
                  <c:v>-1.30369852426266E-3</c:v>
                </c:pt>
                <c:pt idx="112">
                  <c:v>-1.3131848911893599E-3</c:v>
                </c:pt>
                <c:pt idx="113">
                  <c:v>-1.1293789680376499E-3</c:v>
                </c:pt>
                <c:pt idx="114">
                  <c:v>5.4491693198621303E-4</c:v>
                </c:pt>
                <c:pt idx="115">
                  <c:v>-2.6218859345818902E-3</c:v>
                </c:pt>
                <c:pt idx="116">
                  <c:v>-2.3046575563203499E-3</c:v>
                </c:pt>
                <c:pt idx="117">
                  <c:v>-1.7235484219797999E-3</c:v>
                </c:pt>
                <c:pt idx="118">
                  <c:v>-5.5492476497155804E-4</c:v>
                </c:pt>
                <c:pt idx="119">
                  <c:v>1.7942847577549699E-5</c:v>
                </c:pt>
                <c:pt idx="120">
                  <c:v>-2.1035419376029198E-3</c:v>
                </c:pt>
                <c:pt idx="121">
                  <c:v>1.49041252350729E-4</c:v>
                </c:pt>
                <c:pt idx="122">
                  <c:v>7.0656391074071202E-4</c:v>
                </c:pt>
                <c:pt idx="123">
                  <c:v>-6.7268134528990198E-4</c:v>
                </c:pt>
                <c:pt idx="124">
                  <c:v>1.74905441135462E-3</c:v>
                </c:pt>
                <c:pt idx="125">
                  <c:v>-3.9599006383182002E-4</c:v>
                </c:pt>
                <c:pt idx="126">
                  <c:v>1.6665699117709301E-4</c:v>
                </c:pt>
                <c:pt idx="127">
                  <c:v>8.3366591177638804E-4</c:v>
                </c:pt>
                <c:pt idx="128">
                  <c:v>1.37454948671365E-4</c:v>
                </c:pt>
                <c:pt idx="129">
                  <c:v>4.1417055025204602E-4</c:v>
                </c:pt>
                <c:pt idx="130">
                  <c:v>-2.0541267616883301E-4</c:v>
                </c:pt>
                <c:pt idx="131">
                  <c:v>1.54488929284291E-4</c:v>
                </c:pt>
                <c:pt idx="132">
                  <c:v>3.0839607234873899E-4</c:v>
                </c:pt>
                <c:pt idx="133">
                  <c:v>2.5849735992498901E-4</c:v>
                </c:pt>
                <c:pt idx="134">
                  <c:v>5.7894456764566102E-4</c:v>
                </c:pt>
                <c:pt idx="135">
                  <c:v>-3.4424847874588502E-4</c:v>
                </c:pt>
                <c:pt idx="136">
                  <c:v>4.9769966508147296E-4</c:v>
                </c:pt>
                <c:pt idx="137">
                  <c:v>3.9207286146992202E-4</c:v>
                </c:pt>
                <c:pt idx="138">
                  <c:v>1.2051623135781999E-3</c:v>
                </c:pt>
                <c:pt idx="139">
                  <c:v>5.814828533143E-4</c:v>
                </c:pt>
                <c:pt idx="140">
                  <c:v>-5.7687288196091703E-4</c:v>
                </c:pt>
                <c:pt idx="141">
                  <c:v>-1.5368238759576899E-4</c:v>
                </c:pt>
                <c:pt idx="142">
                  <c:v>-7.9703776032415802E-4</c:v>
                </c:pt>
                <c:pt idx="143">
                  <c:v>-8.9359056507683904E-4</c:v>
                </c:pt>
                <c:pt idx="144">
                  <c:v>2.3849269657171901E-4</c:v>
                </c:pt>
                <c:pt idx="145">
                  <c:v>-4.4501832685799899E-4</c:v>
                </c:pt>
                <c:pt idx="146">
                  <c:v>-6.2730186067710698E-4</c:v>
                </c:pt>
                <c:pt idx="147">
                  <c:v>-5.8101939647218603E-4</c:v>
                </c:pt>
                <c:pt idx="148">
                  <c:v>-5.3513482401565599E-4</c:v>
                </c:pt>
                <c:pt idx="149">
                  <c:v>2.4213794080339999E-4</c:v>
                </c:pt>
                <c:pt idx="150">
                  <c:v>7.13813225818175E-5</c:v>
                </c:pt>
                <c:pt idx="151">
                  <c:v>7.1539156225792697E-4</c:v>
                </c:pt>
                <c:pt idx="152">
                  <c:v>6.8176476263167403E-4</c:v>
                </c:pt>
                <c:pt idx="153">
                  <c:v>1.08854617718963E-4</c:v>
                </c:pt>
                <c:pt idx="154">
                  <c:v>1.1058539514174699E-3</c:v>
                </c:pt>
                <c:pt idx="155">
                  <c:v>5.7479541063620203E-4</c:v>
                </c:pt>
                <c:pt idx="156">
                  <c:v>1.0253392346035799E-3</c:v>
                </c:pt>
                <c:pt idx="157">
                  <c:v>9.6470879989922302E-4</c:v>
                </c:pt>
                <c:pt idx="158">
                  <c:v>7.1255509633158997E-4</c:v>
                </c:pt>
                <c:pt idx="159">
                  <c:v>2.9529010590102197E-4</c:v>
                </c:pt>
                <c:pt idx="160">
                  <c:v>5.4398892489239902E-4</c:v>
                </c:pt>
                <c:pt idx="161">
                  <c:v>-4.8229476575655498E-4</c:v>
                </c:pt>
                <c:pt idx="162">
                  <c:v>-3.4178162273815102E-4</c:v>
                </c:pt>
                <c:pt idx="163">
                  <c:v>1.3571400460218899E-4</c:v>
                </c:pt>
                <c:pt idx="164">
                  <c:v>-5.3497418258883003E-4</c:v>
                </c:pt>
                <c:pt idx="165">
                  <c:v>-3.8473638796021798E-4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XLU_IDU_1!$W$1</c:f>
              <c:strCache>
                <c:ptCount val="1"/>
                <c:pt idx="0">
                  <c:v>log diff FIDU x 20 dma / VIS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XLU_IDU_1!$W$2:$W$167</c:f>
              <c:numCache>
                <c:formatCode>0.00%</c:formatCode>
                <c:ptCount val="166"/>
                <c:pt idx="20">
                  <c:v>1.3249333885478E-4</c:v>
                </c:pt>
                <c:pt idx="21">
                  <c:v>3.6274793817432698E-4</c:v>
                </c:pt>
                <c:pt idx="22">
                  <c:v>-4.64791464035783E-5</c:v>
                </c:pt>
                <c:pt idx="23">
                  <c:v>-1.2657792279097801E-3</c:v>
                </c:pt>
                <c:pt idx="24">
                  <c:v>-8.2133248311541803E-4</c:v>
                </c:pt>
                <c:pt idx="25">
                  <c:v>-3.1126325215437799E-4</c:v>
                </c:pt>
                <c:pt idx="26">
                  <c:v>-1.33690562970781E-3</c:v>
                </c:pt>
                <c:pt idx="27">
                  <c:v>-2.0369977121013801E-3</c:v>
                </c:pt>
                <c:pt idx="28">
                  <c:v>-2.70186229497415E-4</c:v>
                </c:pt>
                <c:pt idx="29">
                  <c:v>6.8594968418351598E-4</c:v>
                </c:pt>
                <c:pt idx="30">
                  <c:v>1.31270531332824E-3</c:v>
                </c:pt>
                <c:pt idx="31">
                  <c:v>-5.6551396587656202E-4</c:v>
                </c:pt>
                <c:pt idx="32">
                  <c:v>1.46846653839934E-3</c:v>
                </c:pt>
                <c:pt idx="33">
                  <c:v>8.4384973470491293E-5</c:v>
                </c:pt>
                <c:pt idx="34">
                  <c:v>1.1629014124784E-3</c:v>
                </c:pt>
                <c:pt idx="35">
                  <c:v>-5.6367219479608397E-4</c:v>
                </c:pt>
                <c:pt idx="36">
                  <c:v>6.9234084800143595E-4</c:v>
                </c:pt>
                <c:pt idx="37">
                  <c:v>8.2419779406076499E-4</c:v>
                </c:pt>
                <c:pt idx="38">
                  <c:v>-3.3374539500956199E-4</c:v>
                </c:pt>
                <c:pt idx="39">
                  <c:v>6.4522899069132398E-4</c:v>
                </c:pt>
                <c:pt idx="40">
                  <c:v>2.2383905527567699E-3</c:v>
                </c:pt>
                <c:pt idx="41">
                  <c:v>1.2862638608786899E-3</c:v>
                </c:pt>
                <c:pt idx="42">
                  <c:v>2.2879885498655098E-3</c:v>
                </c:pt>
                <c:pt idx="43">
                  <c:v>9.5129315545981503E-4</c:v>
                </c:pt>
                <c:pt idx="44">
                  <c:v>1.47665293085775E-3</c:v>
                </c:pt>
                <c:pt idx="45">
                  <c:v>1.3771441644149199E-3</c:v>
                </c:pt>
                <c:pt idx="46">
                  <c:v>2.1478573685556599E-3</c:v>
                </c:pt>
                <c:pt idx="47">
                  <c:v>1.3186866651897599E-3</c:v>
                </c:pt>
                <c:pt idx="48">
                  <c:v>5.2500978269887902E-4</c:v>
                </c:pt>
                <c:pt idx="49">
                  <c:v>7.7930016019481403E-4</c:v>
                </c:pt>
                <c:pt idx="50">
                  <c:v>9.7366557561154204E-5</c:v>
                </c:pt>
                <c:pt idx="51">
                  <c:v>7.3375574517202304E-4</c:v>
                </c:pt>
                <c:pt idx="52">
                  <c:v>-1.37005945505878E-3</c:v>
                </c:pt>
                <c:pt idx="53">
                  <c:v>-2.6865620502942501E-3</c:v>
                </c:pt>
                <c:pt idx="54">
                  <c:v>-3.5815769291524802E-3</c:v>
                </c:pt>
                <c:pt idx="55">
                  <c:v>1.07071137336944E-3</c:v>
                </c:pt>
                <c:pt idx="56">
                  <c:v>-2.5468823564165E-4</c:v>
                </c:pt>
                <c:pt idx="57">
                  <c:v>-2.3615704243034599E-4</c:v>
                </c:pt>
                <c:pt idx="58">
                  <c:v>-1.5209364309743201E-4</c:v>
                </c:pt>
                <c:pt idx="59">
                  <c:v>-4.0076472596479198E-4</c:v>
                </c:pt>
                <c:pt idx="60">
                  <c:v>-4.3844543060642398E-4</c:v>
                </c:pt>
                <c:pt idx="61">
                  <c:v>-2.02175621949132E-4</c:v>
                </c:pt>
                <c:pt idx="62">
                  <c:v>-2.01388723545311E-4</c:v>
                </c:pt>
                <c:pt idx="63">
                  <c:v>-7.1394344492620003E-4</c:v>
                </c:pt>
                <c:pt idx="64">
                  <c:v>-6.9414469649661597E-4</c:v>
                </c:pt>
                <c:pt idx="65">
                  <c:v>2.7455791203743899E-4</c:v>
                </c:pt>
                <c:pt idx="66">
                  <c:v>6.65330586931806E-4</c:v>
                </c:pt>
                <c:pt idx="67">
                  <c:v>1.2943028182771401E-3</c:v>
                </c:pt>
                <c:pt idx="68">
                  <c:v>2.0490380356751099E-4</c:v>
                </c:pt>
                <c:pt idx="69">
                  <c:v>4.8667513927329401E-4</c:v>
                </c:pt>
                <c:pt idx="70">
                  <c:v>2.3537225119842599E-4</c:v>
                </c:pt>
                <c:pt idx="71">
                  <c:v>-1.8244322359848501E-4</c:v>
                </c:pt>
                <c:pt idx="72">
                  <c:v>-8.9414972915949296E-5</c:v>
                </c:pt>
                <c:pt idx="73">
                  <c:v>8.9812323733039798E-4</c:v>
                </c:pt>
                <c:pt idx="74">
                  <c:v>-7.0030397012985795E-4</c:v>
                </c:pt>
                <c:pt idx="75">
                  <c:v>-3.7246225991894899E-4</c:v>
                </c:pt>
                <c:pt idx="76">
                  <c:v>3.3859168385891298E-4</c:v>
                </c:pt>
                <c:pt idx="77">
                  <c:v>-9.7366682339562296E-5</c:v>
                </c:pt>
                <c:pt idx="78">
                  <c:v>2.3983471082651901E-4</c:v>
                </c:pt>
                <c:pt idx="79">
                  <c:v>-4.5813654950086901E-4</c:v>
                </c:pt>
                <c:pt idx="80">
                  <c:v>-2.17178395403732E-4</c:v>
                </c:pt>
                <c:pt idx="81">
                  <c:v>1.0652484619550001E-3</c:v>
                </c:pt>
                <c:pt idx="82">
                  <c:v>-3.3840366571835499E-4</c:v>
                </c:pt>
                <c:pt idx="83">
                  <c:v>-4.23788949789224E-5</c:v>
                </c:pt>
                <c:pt idx="84">
                  <c:v>-3.6861439319265299E-4</c:v>
                </c:pt>
                <c:pt idx="85">
                  <c:v>-3.6579199518408498E-5</c:v>
                </c:pt>
                <c:pt idx="86">
                  <c:v>-1.9932636881827598E-3</c:v>
                </c:pt>
                <c:pt idx="87">
                  <c:v>-4.9190055152102403E-4</c:v>
                </c:pt>
                <c:pt idx="88">
                  <c:v>1.9378391329955301E-4</c:v>
                </c:pt>
                <c:pt idx="89">
                  <c:v>-2.5195009468184301E-4</c:v>
                </c:pt>
                <c:pt idx="90">
                  <c:v>7.2768600891656102E-4</c:v>
                </c:pt>
                <c:pt idx="91">
                  <c:v>2.1052573918597399E-4</c:v>
                </c:pt>
                <c:pt idx="92">
                  <c:v>-4.5584973239100199E-4</c:v>
                </c:pt>
                <c:pt idx="93">
                  <c:v>-1.8543982417078699E-5</c:v>
                </c:pt>
                <c:pt idx="94">
                  <c:v>3.0939257979687899E-4</c:v>
                </c:pt>
                <c:pt idx="95">
                  <c:v>-1.64099668174265E-5</c:v>
                </c:pt>
                <c:pt idx="96">
                  <c:v>-2.2386152403452899E-4</c:v>
                </c:pt>
                <c:pt idx="97">
                  <c:v>-5.9215781675050897E-4</c:v>
                </c:pt>
                <c:pt idx="98">
                  <c:v>-1.67351724708108E-4</c:v>
                </c:pt>
                <c:pt idx="99">
                  <c:v>-6.9062196326020596E-4</c:v>
                </c:pt>
                <c:pt idx="100">
                  <c:v>-1.6682278809007399E-3</c:v>
                </c:pt>
                <c:pt idx="101">
                  <c:v>-1.0565505633519201E-3</c:v>
                </c:pt>
                <c:pt idx="102">
                  <c:v>-2.11606821329146E-3</c:v>
                </c:pt>
                <c:pt idx="103">
                  <c:v>-1.19501662008748E-3</c:v>
                </c:pt>
                <c:pt idx="104">
                  <c:v>1.21850669325787E-4</c:v>
                </c:pt>
                <c:pt idx="105">
                  <c:v>-5.6010082634183199E-4</c:v>
                </c:pt>
                <c:pt idx="106">
                  <c:v>-6.9619632257965705E-4</c:v>
                </c:pt>
                <c:pt idx="107">
                  <c:v>-2.5814941064951602E-4</c:v>
                </c:pt>
                <c:pt idx="108">
                  <c:v>-1.08489255208568E-3</c:v>
                </c:pt>
                <c:pt idx="109">
                  <c:v>-5.4477257961015296E-4</c:v>
                </c:pt>
                <c:pt idx="110">
                  <c:v>-6.4060586132810805E-4</c:v>
                </c:pt>
                <c:pt idx="111">
                  <c:v>-1.78443171734217E-3</c:v>
                </c:pt>
                <c:pt idx="112">
                  <c:v>-1.78997523926168E-3</c:v>
                </c:pt>
                <c:pt idx="113">
                  <c:v>-1.52352198028817E-3</c:v>
                </c:pt>
                <c:pt idx="114">
                  <c:v>1.8146791760372799E-4</c:v>
                </c:pt>
                <c:pt idx="115">
                  <c:v>-2.98441145231154E-3</c:v>
                </c:pt>
                <c:pt idx="116">
                  <c:v>-2.7726076828113598E-3</c:v>
                </c:pt>
                <c:pt idx="117">
                  <c:v>-2.28690513408251E-3</c:v>
                </c:pt>
                <c:pt idx="118">
                  <c:v>-1.26575712539942E-3</c:v>
                </c:pt>
                <c:pt idx="119">
                  <c:v>-6.93470381518098E-4</c:v>
                </c:pt>
                <c:pt idx="120">
                  <c:v>-2.8664453708630699E-3</c:v>
                </c:pt>
                <c:pt idx="121">
                  <c:v>-8.1437067398058404E-4</c:v>
                </c:pt>
                <c:pt idx="122">
                  <c:v>-2.1187496125970901E-4</c:v>
                </c:pt>
                <c:pt idx="123">
                  <c:v>-1.5650796093368701E-3</c:v>
                </c:pt>
                <c:pt idx="124">
                  <c:v>8.4003720002714596E-4</c:v>
                </c:pt>
                <c:pt idx="125">
                  <c:v>-1.30324044514632E-3</c:v>
                </c:pt>
                <c:pt idx="126">
                  <c:v>-5.6070948527323799E-4</c:v>
                </c:pt>
                <c:pt idx="127">
                  <c:v>3.0651676640898099E-4</c:v>
                </c:pt>
                <c:pt idx="128">
                  <c:v>-1.5623599011734199E-4</c:v>
                </c:pt>
                <c:pt idx="129">
                  <c:v>1.9910806896805499E-4</c:v>
                </c:pt>
                <c:pt idx="130">
                  <c:v>-3.4781994639022202E-4</c:v>
                </c:pt>
                <c:pt idx="131">
                  <c:v>2.7353474760723998E-4</c:v>
                </c:pt>
                <c:pt idx="132">
                  <c:v>4.6336373244194E-4</c:v>
                </c:pt>
                <c:pt idx="133">
                  <c:v>3.9995594682113198E-4</c:v>
                </c:pt>
                <c:pt idx="134">
                  <c:v>8.4759881201685499E-4</c:v>
                </c:pt>
                <c:pt idx="135">
                  <c:v>-7.65367245556577E-5</c:v>
                </c:pt>
                <c:pt idx="136">
                  <c:v>7.7424675430077204E-4</c:v>
                </c:pt>
                <c:pt idx="137">
                  <c:v>6.6199811861759601E-4</c:v>
                </c:pt>
                <c:pt idx="138">
                  <c:v>1.40484729020931E-3</c:v>
                </c:pt>
                <c:pt idx="139">
                  <c:v>8.4926124778046403E-4</c:v>
                </c:pt>
                <c:pt idx="140">
                  <c:v>-2.7225448571260001E-4</c:v>
                </c:pt>
                <c:pt idx="141">
                  <c:v>8.2057079861789996E-5</c:v>
                </c:pt>
                <c:pt idx="142">
                  <c:v>-5.6531064680655099E-4</c:v>
                </c:pt>
                <c:pt idx="143">
                  <c:v>-6.8957415364087203E-4</c:v>
                </c:pt>
                <c:pt idx="144">
                  <c:v>3.4454241699078899E-4</c:v>
                </c:pt>
                <c:pt idx="145">
                  <c:v>-3.1376746104134497E-4</c:v>
                </c:pt>
                <c:pt idx="146">
                  <c:v>-5.1733777377058296E-4</c:v>
                </c:pt>
                <c:pt idx="147">
                  <c:v>-5.6052379366171399E-4</c:v>
                </c:pt>
                <c:pt idx="148">
                  <c:v>-5.6615478324607003E-4</c:v>
                </c:pt>
                <c:pt idx="149">
                  <c:v>4.7737913315893502E-5</c:v>
                </c:pt>
                <c:pt idx="150">
                  <c:v>-1.94521013519747E-4</c:v>
                </c:pt>
                <c:pt idx="151">
                  <c:v>4.4341715392810099E-4</c:v>
                </c:pt>
                <c:pt idx="152">
                  <c:v>4.1786743684317002E-4</c:v>
                </c:pt>
                <c:pt idx="153">
                  <c:v>-7.5405276278728303E-5</c:v>
                </c:pt>
                <c:pt idx="154">
                  <c:v>9.9050876493677101E-4</c:v>
                </c:pt>
                <c:pt idx="155">
                  <c:v>4.9767157747846803E-4</c:v>
                </c:pt>
                <c:pt idx="156">
                  <c:v>9.833969895110021E-4</c:v>
                </c:pt>
                <c:pt idx="157">
                  <c:v>1.04645415277026E-3</c:v>
                </c:pt>
                <c:pt idx="158">
                  <c:v>9.2638674199894305E-4</c:v>
                </c:pt>
                <c:pt idx="159">
                  <c:v>6.8303274008990795E-4</c:v>
                </c:pt>
                <c:pt idx="160">
                  <c:v>1.0095815062883E-3</c:v>
                </c:pt>
                <c:pt idx="161">
                  <c:v>4.7705768511903398E-5</c:v>
                </c:pt>
                <c:pt idx="162">
                  <c:v>1.65061973033988E-4</c:v>
                </c:pt>
                <c:pt idx="163">
                  <c:v>5.9448907689863299E-4</c:v>
                </c:pt>
                <c:pt idx="164">
                  <c:v>-6.0665968661459999E-5</c:v>
                </c:pt>
                <c:pt idx="165">
                  <c:v>2.3106531681190399E-5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4.3873067740859972E-4</c:v>
                </c:pt>
                <c:pt idx="5">
                  <c:v>9.8040218485179968E-4</c:v>
                </c:pt>
                <c:pt idx="6">
                  <c:v>1.1006325860889741E-5</c:v>
                </c:pt>
                <c:pt idx="7">
                  <c:v>-7.0249425013114964E-4</c:v>
                </c:pt>
                <c:pt idx="8">
                  <c:v>9.8036371140495051E-4</c:v>
                </c:pt>
                <c:pt idx="9">
                  <c:v>1.8901474685311811E-3</c:v>
                </c:pt>
                <c:pt idx="10">
                  <c:v>1.8901474685311811E-3</c:v>
                </c:pt>
                <c:pt idx="11">
                  <c:v>1.8901474685311811E-3</c:v>
                </c:pt>
                <c:pt idx="12">
                  <c:v>1.8901474685311811E-3</c:v>
                </c:pt>
                <c:pt idx="13">
                  <c:v>1.8901474685311811E-3</c:v>
                </c:pt>
                <c:pt idx="14">
                  <c:v>1.8901474685311811E-3</c:v>
                </c:pt>
                <c:pt idx="15">
                  <c:v>1.8901474685311811E-3</c:v>
                </c:pt>
                <c:pt idx="16">
                  <c:v>1.8901474685311811E-3</c:v>
                </c:pt>
                <c:pt idx="17">
                  <c:v>1.8901474685311811E-3</c:v>
                </c:pt>
                <c:pt idx="18">
                  <c:v>1.8901474685311811E-3</c:v>
                </c:pt>
                <c:pt idx="19">
                  <c:v>1.8901474685311811E-3</c:v>
                </c:pt>
                <c:pt idx="20">
                  <c:v>1.8901474685311811E-3</c:v>
                </c:pt>
                <c:pt idx="21">
                  <c:v>2.7241797935868908E-3</c:v>
                </c:pt>
                <c:pt idx="22">
                  <c:v>1.6613781336376927E-3</c:v>
                </c:pt>
                <c:pt idx="23">
                  <c:v>2.8707938643200911E-3</c:v>
                </c:pt>
                <c:pt idx="24">
                  <c:v>2.2210145658161113E-3</c:v>
                </c:pt>
                <c:pt idx="25">
                  <c:v>2.1856035732974715E-3</c:v>
                </c:pt>
                <c:pt idx="26">
                  <c:v>1.3053003631360003E-3</c:v>
                </c:pt>
                <c:pt idx="27">
                  <c:v>1.9323764161552012E-3</c:v>
                </c:pt>
                <c:pt idx="28">
                  <c:v>2.5194569075052608E-3</c:v>
                </c:pt>
                <c:pt idx="29">
                  <c:v>2.1722005918027197E-3</c:v>
                </c:pt>
                <c:pt idx="30">
                  <c:v>2.7893429386628499E-3</c:v>
                </c:pt>
                <c:pt idx="31">
                  <c:v>2.1530654799906202E-3</c:v>
                </c:pt>
                <c:pt idx="32">
                  <c:v>4.1327448829103905E-3</c:v>
                </c:pt>
                <c:pt idx="33">
                  <c:v>4.1327448829103905E-3</c:v>
                </c:pt>
                <c:pt idx="34">
                  <c:v>3.1637735385971902E-3</c:v>
                </c:pt>
                <c:pt idx="35">
                  <c:v>3.1637735385971902E-3</c:v>
                </c:pt>
                <c:pt idx="36">
                  <c:v>3.1637735385971902E-3</c:v>
                </c:pt>
                <c:pt idx="37">
                  <c:v>3.1637735385971902E-3</c:v>
                </c:pt>
                <c:pt idx="38">
                  <c:v>3.1637735385971902E-3</c:v>
                </c:pt>
                <c:pt idx="39">
                  <c:v>3.1637735385971902E-3</c:v>
                </c:pt>
                <c:pt idx="40">
                  <c:v>3.1637735385971902E-3</c:v>
                </c:pt>
                <c:pt idx="41">
                  <c:v>3.1637735385971902E-3</c:v>
                </c:pt>
                <c:pt idx="42">
                  <c:v>3.1637735385971902E-3</c:v>
                </c:pt>
                <c:pt idx="43">
                  <c:v>3.1637735385971902E-3</c:v>
                </c:pt>
                <c:pt idx="44">
                  <c:v>3.1637735385971902E-3</c:v>
                </c:pt>
                <c:pt idx="45">
                  <c:v>3.1637735385971902E-3</c:v>
                </c:pt>
                <c:pt idx="46">
                  <c:v>3.1637735385971902E-3</c:v>
                </c:pt>
                <c:pt idx="47">
                  <c:v>3.1637735385971902E-3</c:v>
                </c:pt>
                <c:pt idx="48">
                  <c:v>3.1637735385971902E-3</c:v>
                </c:pt>
                <c:pt idx="49">
                  <c:v>3.1637735385971902E-3</c:v>
                </c:pt>
                <c:pt idx="50">
                  <c:v>3.1637735385971902E-3</c:v>
                </c:pt>
                <c:pt idx="51">
                  <c:v>3.1637735385971902E-3</c:v>
                </c:pt>
                <c:pt idx="52">
                  <c:v>3.1637735385971902E-3</c:v>
                </c:pt>
                <c:pt idx="53">
                  <c:v>3.1637735385971902E-3</c:v>
                </c:pt>
                <c:pt idx="54">
                  <c:v>3.1637735385971902E-3</c:v>
                </c:pt>
                <c:pt idx="55">
                  <c:v>3.1637735385971902E-3</c:v>
                </c:pt>
                <c:pt idx="56">
                  <c:v>3.1637735385971902E-3</c:v>
                </c:pt>
                <c:pt idx="57">
                  <c:v>3.1637735385971902E-3</c:v>
                </c:pt>
                <c:pt idx="58">
                  <c:v>3.1637735385971902E-3</c:v>
                </c:pt>
                <c:pt idx="59">
                  <c:v>3.1637735385971902E-3</c:v>
                </c:pt>
                <c:pt idx="60">
                  <c:v>3.1637735385971902E-3</c:v>
                </c:pt>
                <c:pt idx="61">
                  <c:v>3.1637735385971902E-3</c:v>
                </c:pt>
                <c:pt idx="62">
                  <c:v>3.1637735385971902E-3</c:v>
                </c:pt>
                <c:pt idx="63">
                  <c:v>3.1637735385971902E-3</c:v>
                </c:pt>
                <c:pt idx="64">
                  <c:v>3.1637735385971902E-3</c:v>
                </c:pt>
                <c:pt idx="65">
                  <c:v>3.1637735385971902E-3</c:v>
                </c:pt>
                <c:pt idx="66">
                  <c:v>3.1637735385971902E-3</c:v>
                </c:pt>
                <c:pt idx="67">
                  <c:v>4.5385913608752097E-3</c:v>
                </c:pt>
                <c:pt idx="68">
                  <c:v>5.1381870142282095E-3</c:v>
                </c:pt>
                <c:pt idx="69">
                  <c:v>5.1381870142282095E-3</c:v>
                </c:pt>
                <c:pt idx="70">
                  <c:v>5.1381870142282095E-3</c:v>
                </c:pt>
                <c:pt idx="71">
                  <c:v>5.1381870142282095E-3</c:v>
                </c:pt>
                <c:pt idx="72">
                  <c:v>5.1381870142282095E-3</c:v>
                </c:pt>
                <c:pt idx="73">
                  <c:v>5.1381870142282095E-3</c:v>
                </c:pt>
                <c:pt idx="74">
                  <c:v>5.1381870142282095E-3</c:v>
                </c:pt>
                <c:pt idx="75">
                  <c:v>5.1381870142282095E-3</c:v>
                </c:pt>
                <c:pt idx="76">
                  <c:v>5.1381870142282095E-3</c:v>
                </c:pt>
                <c:pt idx="77">
                  <c:v>5.1381870142282095E-3</c:v>
                </c:pt>
                <c:pt idx="78">
                  <c:v>5.1381870142282095E-3</c:v>
                </c:pt>
                <c:pt idx="79">
                  <c:v>5.1381870142282095E-3</c:v>
                </c:pt>
                <c:pt idx="80">
                  <c:v>5.1381870142282095E-3</c:v>
                </c:pt>
                <c:pt idx="81">
                  <c:v>5.6645847868733792E-3</c:v>
                </c:pt>
                <c:pt idx="82">
                  <c:v>4.4821977680761394E-3</c:v>
                </c:pt>
                <c:pt idx="83">
                  <c:v>5.2886416909627386E-3</c:v>
                </c:pt>
                <c:pt idx="84">
                  <c:v>6.5171596187035387E-3</c:v>
                </c:pt>
                <c:pt idx="85">
                  <c:v>6.5171596187035387E-3</c:v>
                </c:pt>
                <c:pt idx="86">
                  <c:v>6.5171596187035387E-3</c:v>
                </c:pt>
                <c:pt idx="87">
                  <c:v>6.5171596187035387E-3</c:v>
                </c:pt>
                <c:pt idx="88">
                  <c:v>6.5171596187035387E-3</c:v>
                </c:pt>
                <c:pt idx="89">
                  <c:v>6.5171596187035387E-3</c:v>
                </c:pt>
                <c:pt idx="90">
                  <c:v>6.5171596187035387E-3</c:v>
                </c:pt>
                <c:pt idx="91">
                  <c:v>6.5171596187035387E-3</c:v>
                </c:pt>
                <c:pt idx="92">
                  <c:v>6.3701605623434398E-3</c:v>
                </c:pt>
                <c:pt idx="93">
                  <c:v>6.52002968967701E-3</c:v>
                </c:pt>
                <c:pt idx="94">
                  <c:v>8.0947115885324598E-3</c:v>
                </c:pt>
                <c:pt idx="95">
                  <c:v>8.0947115885324598E-3</c:v>
                </c:pt>
                <c:pt idx="96">
                  <c:v>8.0929604174136503E-3</c:v>
                </c:pt>
                <c:pt idx="97">
                  <c:v>8.3750285508700489E-3</c:v>
                </c:pt>
                <c:pt idx="98">
                  <c:v>8.3750285508700489E-3</c:v>
                </c:pt>
                <c:pt idx="99">
                  <c:v>8.8010895494839512E-3</c:v>
                </c:pt>
                <c:pt idx="100">
                  <c:v>6.5308754797947493E-3</c:v>
                </c:pt>
                <c:pt idx="101">
                  <c:v>8.4220522405812192E-3</c:v>
                </c:pt>
                <c:pt idx="102">
                  <c:v>8.9320930704126188E-3</c:v>
                </c:pt>
                <c:pt idx="103">
                  <c:v>7.5710394539017182E-3</c:v>
                </c:pt>
                <c:pt idx="104">
                  <c:v>9.8598933366865031E-3</c:v>
                </c:pt>
                <c:pt idx="105">
                  <c:v>9.8598933366865031E-3</c:v>
                </c:pt>
                <c:pt idx="106">
                  <c:v>1.0463623055677204E-2</c:v>
                </c:pt>
                <c:pt idx="107">
                  <c:v>1.1232277051882004E-2</c:v>
                </c:pt>
                <c:pt idx="108">
                  <c:v>1.1232277051882004E-2</c:v>
                </c:pt>
                <c:pt idx="109">
                  <c:v>1.1232277051882004E-2</c:v>
                </c:pt>
                <c:pt idx="110">
                  <c:v>1.1232277051882004E-2</c:v>
                </c:pt>
                <c:pt idx="111">
                  <c:v>1.1232277051882004E-2</c:v>
                </c:pt>
                <c:pt idx="112">
                  <c:v>1.1232277051882004E-2</c:v>
                </c:pt>
                <c:pt idx="113">
                  <c:v>1.1232277051882004E-2</c:v>
                </c:pt>
                <c:pt idx="114">
                  <c:v>1.1232277051882004E-2</c:v>
                </c:pt>
                <c:pt idx="115">
                  <c:v>1.1232277051882004E-2</c:v>
                </c:pt>
                <c:pt idx="116">
                  <c:v>1.1232277051882004E-2</c:v>
                </c:pt>
                <c:pt idx="117">
                  <c:v>1.1232277051882004E-2</c:v>
                </c:pt>
                <c:pt idx="118">
                  <c:v>1.1232277051882004E-2</c:v>
                </c:pt>
                <c:pt idx="119">
                  <c:v>1.1232277051882004E-2</c:v>
                </c:pt>
                <c:pt idx="120">
                  <c:v>1.1232277051882004E-2</c:v>
                </c:pt>
                <c:pt idx="121">
                  <c:v>1.1232277051882004E-2</c:v>
                </c:pt>
                <c:pt idx="122">
                  <c:v>1.1232277051882004E-2</c:v>
                </c:pt>
                <c:pt idx="123">
                  <c:v>1.1232277051882004E-2</c:v>
                </c:pt>
                <c:pt idx="124">
                  <c:v>1.1232277051882004E-2</c:v>
                </c:pt>
                <c:pt idx="125">
                  <c:v>1.1232277051882004E-2</c:v>
                </c:pt>
                <c:pt idx="126">
                  <c:v>1.1232277051882004E-2</c:v>
                </c:pt>
                <c:pt idx="127">
                  <c:v>1.1232277051882004E-2</c:v>
                </c:pt>
                <c:pt idx="128">
                  <c:v>1.1232277051882004E-2</c:v>
                </c:pt>
                <c:pt idx="129">
                  <c:v>1.1232277051882004E-2</c:v>
                </c:pt>
                <c:pt idx="130">
                  <c:v>1.1232277051882004E-2</c:v>
                </c:pt>
                <c:pt idx="131">
                  <c:v>1.1232277051882004E-2</c:v>
                </c:pt>
                <c:pt idx="132">
                  <c:v>1.1232277051882004E-2</c:v>
                </c:pt>
                <c:pt idx="133">
                  <c:v>1.1232277051882004E-2</c:v>
                </c:pt>
                <c:pt idx="134">
                  <c:v>1.1232277051882004E-2</c:v>
                </c:pt>
                <c:pt idx="135">
                  <c:v>1.1232277051882004E-2</c:v>
                </c:pt>
                <c:pt idx="136">
                  <c:v>1.1232277051882004E-2</c:v>
                </c:pt>
                <c:pt idx="137">
                  <c:v>1.1232277051882004E-2</c:v>
                </c:pt>
                <c:pt idx="138">
                  <c:v>1.1232277051882004E-2</c:v>
                </c:pt>
                <c:pt idx="139">
                  <c:v>1.1232277051882004E-2</c:v>
                </c:pt>
                <c:pt idx="140">
                  <c:v>1.1232277051882004E-2</c:v>
                </c:pt>
                <c:pt idx="141">
                  <c:v>1.1232277051882004E-2</c:v>
                </c:pt>
                <c:pt idx="142">
                  <c:v>1.1232277051882004E-2</c:v>
                </c:pt>
                <c:pt idx="143">
                  <c:v>1.1232277051882004E-2</c:v>
                </c:pt>
                <c:pt idx="144">
                  <c:v>1.1232277051882004E-2</c:v>
                </c:pt>
                <c:pt idx="145">
                  <c:v>1.1232277051882004E-2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4.3873067740859972E-4</c:v>
                </c:pt>
                <c:pt idx="5">
                  <c:v>9.8040218485179968E-4</c:v>
                </c:pt>
                <c:pt idx="6">
                  <c:v>1.1006325860889741E-5</c:v>
                </c:pt>
                <c:pt idx="7">
                  <c:v>-7.0249425013114964E-4</c:v>
                </c:pt>
                <c:pt idx="8">
                  <c:v>9.8036371140495051E-4</c:v>
                </c:pt>
                <c:pt idx="9">
                  <c:v>1.8901474685311811E-3</c:v>
                </c:pt>
                <c:pt idx="10">
                  <c:v>1.8901474685311811E-3</c:v>
                </c:pt>
                <c:pt idx="11">
                  <c:v>1.8901474685311811E-3</c:v>
                </c:pt>
                <c:pt idx="12">
                  <c:v>1.8901474685311811E-3</c:v>
                </c:pt>
                <c:pt idx="13">
                  <c:v>1.8901474685311811E-3</c:v>
                </c:pt>
                <c:pt idx="14">
                  <c:v>1.8901474685311811E-3</c:v>
                </c:pt>
                <c:pt idx="15">
                  <c:v>1.8901474685311811E-3</c:v>
                </c:pt>
                <c:pt idx="16">
                  <c:v>1.8901474685311811E-3</c:v>
                </c:pt>
                <c:pt idx="17">
                  <c:v>1.8901474685311811E-3</c:v>
                </c:pt>
                <c:pt idx="18">
                  <c:v>1.8901474685311811E-3</c:v>
                </c:pt>
                <c:pt idx="19">
                  <c:v>1.8901474685311811E-3</c:v>
                </c:pt>
                <c:pt idx="20">
                  <c:v>1.8901474685311811E-3</c:v>
                </c:pt>
                <c:pt idx="21">
                  <c:v>1.8901474685311811E-3</c:v>
                </c:pt>
                <c:pt idx="22">
                  <c:v>1.8901474685311811E-3</c:v>
                </c:pt>
                <c:pt idx="23">
                  <c:v>1.8901474685311811E-3</c:v>
                </c:pt>
                <c:pt idx="24">
                  <c:v>1.8901474685311811E-3</c:v>
                </c:pt>
                <c:pt idx="25">
                  <c:v>1.8901474685311811E-3</c:v>
                </c:pt>
                <c:pt idx="26">
                  <c:v>1.8901474685311811E-3</c:v>
                </c:pt>
                <c:pt idx="27">
                  <c:v>1.8901474685311811E-3</c:v>
                </c:pt>
                <c:pt idx="28">
                  <c:v>1.8901474685311811E-3</c:v>
                </c:pt>
                <c:pt idx="29">
                  <c:v>1.8901474685311811E-3</c:v>
                </c:pt>
                <c:pt idx="30">
                  <c:v>1.8901474685311811E-3</c:v>
                </c:pt>
                <c:pt idx="31">
                  <c:v>1.8901474685311811E-3</c:v>
                </c:pt>
                <c:pt idx="32">
                  <c:v>1.8901474685311811E-3</c:v>
                </c:pt>
                <c:pt idx="33">
                  <c:v>1.8901474685311811E-3</c:v>
                </c:pt>
                <c:pt idx="34">
                  <c:v>9.2117612421798085E-4</c:v>
                </c:pt>
                <c:pt idx="35">
                  <c:v>9.2117612421798085E-4</c:v>
                </c:pt>
                <c:pt idx="36">
                  <c:v>9.2117612421798085E-4</c:v>
                </c:pt>
                <c:pt idx="37">
                  <c:v>9.2117612421798085E-4</c:v>
                </c:pt>
                <c:pt idx="38">
                  <c:v>9.2117612421798085E-4</c:v>
                </c:pt>
                <c:pt idx="39">
                  <c:v>9.2117612421798085E-4</c:v>
                </c:pt>
                <c:pt idx="40">
                  <c:v>9.2117612421798085E-4</c:v>
                </c:pt>
                <c:pt idx="41">
                  <c:v>9.2117612421798085E-4</c:v>
                </c:pt>
                <c:pt idx="42">
                  <c:v>9.2117612421798085E-4</c:v>
                </c:pt>
                <c:pt idx="43">
                  <c:v>9.2117612421798085E-4</c:v>
                </c:pt>
                <c:pt idx="44">
                  <c:v>9.2117612421798085E-4</c:v>
                </c:pt>
                <c:pt idx="45">
                  <c:v>9.2117612421798085E-4</c:v>
                </c:pt>
                <c:pt idx="46">
                  <c:v>9.2117612421798085E-4</c:v>
                </c:pt>
                <c:pt idx="47">
                  <c:v>9.2117612421798085E-4</c:v>
                </c:pt>
                <c:pt idx="48">
                  <c:v>9.2117612421798085E-4</c:v>
                </c:pt>
                <c:pt idx="49">
                  <c:v>9.2117612421798085E-4</c:v>
                </c:pt>
                <c:pt idx="50">
                  <c:v>9.2117612421798085E-4</c:v>
                </c:pt>
                <c:pt idx="51">
                  <c:v>9.2117612421798085E-4</c:v>
                </c:pt>
                <c:pt idx="52">
                  <c:v>9.2117612421798085E-4</c:v>
                </c:pt>
                <c:pt idx="53">
                  <c:v>9.2117612421798085E-4</c:v>
                </c:pt>
                <c:pt idx="54">
                  <c:v>9.2117612421798085E-4</c:v>
                </c:pt>
                <c:pt idx="55">
                  <c:v>9.2117612421798085E-4</c:v>
                </c:pt>
                <c:pt idx="56">
                  <c:v>9.2117612421798085E-4</c:v>
                </c:pt>
                <c:pt idx="57">
                  <c:v>9.2117612421798085E-4</c:v>
                </c:pt>
                <c:pt idx="58">
                  <c:v>9.2117612421798085E-4</c:v>
                </c:pt>
                <c:pt idx="59">
                  <c:v>9.2117612421798085E-4</c:v>
                </c:pt>
                <c:pt idx="60">
                  <c:v>9.2117612421798085E-4</c:v>
                </c:pt>
                <c:pt idx="61">
                  <c:v>9.2117612421798085E-4</c:v>
                </c:pt>
                <c:pt idx="62">
                  <c:v>9.2117612421798085E-4</c:v>
                </c:pt>
                <c:pt idx="63">
                  <c:v>9.2117612421798085E-4</c:v>
                </c:pt>
                <c:pt idx="64">
                  <c:v>9.2117612421798085E-4</c:v>
                </c:pt>
                <c:pt idx="65">
                  <c:v>9.2117612421798085E-4</c:v>
                </c:pt>
                <c:pt idx="66">
                  <c:v>9.2117612421798085E-4</c:v>
                </c:pt>
                <c:pt idx="67">
                  <c:v>2.295993946496001E-3</c:v>
                </c:pt>
                <c:pt idx="68">
                  <c:v>2.8955895998490008E-3</c:v>
                </c:pt>
                <c:pt idx="69">
                  <c:v>2.8955895998490008E-3</c:v>
                </c:pt>
                <c:pt idx="70">
                  <c:v>2.8955895998490008E-3</c:v>
                </c:pt>
                <c:pt idx="71">
                  <c:v>2.8955895998490008E-3</c:v>
                </c:pt>
                <c:pt idx="72">
                  <c:v>2.8955895998490008E-3</c:v>
                </c:pt>
                <c:pt idx="73">
                  <c:v>2.8955895998490008E-3</c:v>
                </c:pt>
                <c:pt idx="74">
                  <c:v>2.8955895998490008E-3</c:v>
                </c:pt>
                <c:pt idx="75">
                  <c:v>2.8955895998490008E-3</c:v>
                </c:pt>
                <c:pt idx="76">
                  <c:v>2.8955895998490008E-3</c:v>
                </c:pt>
                <c:pt idx="77">
                  <c:v>2.8955895998490008E-3</c:v>
                </c:pt>
                <c:pt idx="78">
                  <c:v>2.8955895998490008E-3</c:v>
                </c:pt>
                <c:pt idx="79">
                  <c:v>2.8955895998490008E-3</c:v>
                </c:pt>
                <c:pt idx="80">
                  <c:v>2.8955895998490008E-3</c:v>
                </c:pt>
                <c:pt idx="81">
                  <c:v>3.421987372494171E-3</c:v>
                </c:pt>
                <c:pt idx="82">
                  <c:v>2.2396003536969311E-3</c:v>
                </c:pt>
                <c:pt idx="83">
                  <c:v>3.0460442765835303E-3</c:v>
                </c:pt>
                <c:pt idx="84">
                  <c:v>4.2745622043243309E-3</c:v>
                </c:pt>
                <c:pt idx="85">
                  <c:v>4.2745622043243309E-3</c:v>
                </c:pt>
                <c:pt idx="86">
                  <c:v>4.2745622043243309E-3</c:v>
                </c:pt>
                <c:pt idx="87">
                  <c:v>4.2745622043243309E-3</c:v>
                </c:pt>
                <c:pt idx="88">
                  <c:v>4.2745622043243309E-3</c:v>
                </c:pt>
                <c:pt idx="89">
                  <c:v>4.2745622043243309E-3</c:v>
                </c:pt>
                <c:pt idx="90">
                  <c:v>4.2745622043243309E-3</c:v>
                </c:pt>
                <c:pt idx="91">
                  <c:v>4.2745622043243309E-3</c:v>
                </c:pt>
                <c:pt idx="92">
                  <c:v>4.1275631479642319E-3</c:v>
                </c:pt>
                <c:pt idx="93">
                  <c:v>4.2774322752978022E-3</c:v>
                </c:pt>
                <c:pt idx="94">
                  <c:v>5.852114174153252E-3</c:v>
                </c:pt>
                <c:pt idx="95">
                  <c:v>5.852114174153252E-3</c:v>
                </c:pt>
                <c:pt idx="96">
                  <c:v>5.8503630030344424E-3</c:v>
                </c:pt>
                <c:pt idx="97">
                  <c:v>6.132431136490841E-3</c:v>
                </c:pt>
                <c:pt idx="98">
                  <c:v>6.132431136490841E-3</c:v>
                </c:pt>
                <c:pt idx="99">
                  <c:v>6.5584921351047433E-3</c:v>
                </c:pt>
                <c:pt idx="100">
                  <c:v>4.2882780654155414E-3</c:v>
                </c:pt>
                <c:pt idx="101">
                  <c:v>6.1794548262020113E-3</c:v>
                </c:pt>
                <c:pt idx="102">
                  <c:v>6.6894956560334109E-3</c:v>
                </c:pt>
                <c:pt idx="103">
                  <c:v>5.3284420395225103E-3</c:v>
                </c:pt>
                <c:pt idx="104">
                  <c:v>7.6172959223072961E-3</c:v>
                </c:pt>
                <c:pt idx="105">
                  <c:v>7.6172959223072961E-3</c:v>
                </c:pt>
                <c:pt idx="106">
                  <c:v>8.2210256412979972E-3</c:v>
                </c:pt>
                <c:pt idx="107">
                  <c:v>8.9896796375027975E-3</c:v>
                </c:pt>
                <c:pt idx="108">
                  <c:v>8.9896796375027975E-3</c:v>
                </c:pt>
                <c:pt idx="109">
                  <c:v>8.9896796375027975E-3</c:v>
                </c:pt>
                <c:pt idx="110">
                  <c:v>8.9896796375027975E-3</c:v>
                </c:pt>
                <c:pt idx="111">
                  <c:v>8.9896796375027975E-3</c:v>
                </c:pt>
                <c:pt idx="112">
                  <c:v>8.9896796375027975E-3</c:v>
                </c:pt>
                <c:pt idx="113">
                  <c:v>8.9896796375027975E-3</c:v>
                </c:pt>
                <c:pt idx="114">
                  <c:v>8.9896796375027975E-3</c:v>
                </c:pt>
                <c:pt idx="115">
                  <c:v>8.9896796375027975E-3</c:v>
                </c:pt>
                <c:pt idx="116">
                  <c:v>8.9896796375027975E-3</c:v>
                </c:pt>
                <c:pt idx="117">
                  <c:v>8.9896796375027975E-3</c:v>
                </c:pt>
                <c:pt idx="118">
                  <c:v>8.9896796375027975E-3</c:v>
                </c:pt>
                <c:pt idx="119">
                  <c:v>8.9896796375027975E-3</c:v>
                </c:pt>
                <c:pt idx="120">
                  <c:v>8.9896796375027975E-3</c:v>
                </c:pt>
                <c:pt idx="121">
                  <c:v>8.9896796375027975E-3</c:v>
                </c:pt>
                <c:pt idx="122">
                  <c:v>8.9896796375027975E-3</c:v>
                </c:pt>
                <c:pt idx="123">
                  <c:v>8.9896796375027975E-3</c:v>
                </c:pt>
                <c:pt idx="124">
                  <c:v>8.9896796375027975E-3</c:v>
                </c:pt>
                <c:pt idx="125">
                  <c:v>8.9896796375027975E-3</c:v>
                </c:pt>
                <c:pt idx="126">
                  <c:v>8.9896796375027975E-3</c:v>
                </c:pt>
                <c:pt idx="127">
                  <c:v>8.9896796375027975E-3</c:v>
                </c:pt>
                <c:pt idx="128">
                  <c:v>8.9896796375027975E-3</c:v>
                </c:pt>
                <c:pt idx="129">
                  <c:v>8.9896796375027975E-3</c:v>
                </c:pt>
                <c:pt idx="130">
                  <c:v>8.9896796375027975E-3</c:v>
                </c:pt>
                <c:pt idx="131">
                  <c:v>8.9896796375027975E-3</c:v>
                </c:pt>
                <c:pt idx="132">
                  <c:v>8.9896796375027975E-3</c:v>
                </c:pt>
                <c:pt idx="133">
                  <c:v>8.9896796375027975E-3</c:v>
                </c:pt>
                <c:pt idx="134">
                  <c:v>8.9896796375027975E-3</c:v>
                </c:pt>
                <c:pt idx="135">
                  <c:v>8.9896796375027975E-3</c:v>
                </c:pt>
                <c:pt idx="136">
                  <c:v>8.9896796375027975E-3</c:v>
                </c:pt>
                <c:pt idx="137">
                  <c:v>8.9896796375027975E-3</c:v>
                </c:pt>
                <c:pt idx="138">
                  <c:v>8.9896796375027975E-3</c:v>
                </c:pt>
                <c:pt idx="139">
                  <c:v>8.9896796375027975E-3</c:v>
                </c:pt>
                <c:pt idx="140">
                  <c:v>8.9896796375027975E-3</c:v>
                </c:pt>
                <c:pt idx="141">
                  <c:v>8.9896796375027975E-3</c:v>
                </c:pt>
                <c:pt idx="142">
                  <c:v>8.9896796375027975E-3</c:v>
                </c:pt>
                <c:pt idx="143">
                  <c:v>8.9896796375027975E-3</c:v>
                </c:pt>
                <c:pt idx="144">
                  <c:v>8.9896796375027975E-3</c:v>
                </c:pt>
                <c:pt idx="145">
                  <c:v>8.9896796375027975E-3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8.3403232505570952E-4</c:v>
                </c:pt>
                <c:pt idx="22">
                  <c:v>-2.2876933489348857E-4</c:v>
                </c:pt>
                <c:pt idx="23">
                  <c:v>9.8064639578890984E-4</c:v>
                </c:pt>
                <c:pt idx="24">
                  <c:v>3.3086709728492999E-4</c:v>
                </c:pt>
                <c:pt idx="25">
                  <c:v>2.9545610476629019E-4</c:v>
                </c:pt>
                <c:pt idx="26">
                  <c:v>-5.8484710539518097E-4</c:v>
                </c:pt>
                <c:pt idx="27">
                  <c:v>4.2228947624019892E-5</c:v>
                </c:pt>
                <c:pt idx="28">
                  <c:v>6.2930943897407973E-4</c:v>
                </c:pt>
                <c:pt idx="29">
                  <c:v>2.8205312327153858E-4</c:v>
                </c:pt>
                <c:pt idx="30">
                  <c:v>8.9919547013166882E-4</c:v>
                </c:pt>
                <c:pt idx="31">
                  <c:v>2.6291801145943909E-4</c:v>
                </c:pt>
                <c:pt idx="32">
                  <c:v>2.2425974143792096E-3</c:v>
                </c:pt>
                <c:pt idx="33">
                  <c:v>2.2425974143792096E-3</c:v>
                </c:pt>
                <c:pt idx="34">
                  <c:v>2.2425974143792096E-3</c:v>
                </c:pt>
                <c:pt idx="35">
                  <c:v>2.2425974143792096E-3</c:v>
                </c:pt>
                <c:pt idx="36">
                  <c:v>2.2425974143792096E-3</c:v>
                </c:pt>
                <c:pt idx="37">
                  <c:v>2.2425974143792096E-3</c:v>
                </c:pt>
                <c:pt idx="38">
                  <c:v>2.2425974143792096E-3</c:v>
                </c:pt>
                <c:pt idx="39">
                  <c:v>2.2425974143792096E-3</c:v>
                </c:pt>
                <c:pt idx="40">
                  <c:v>2.2425974143792096E-3</c:v>
                </c:pt>
                <c:pt idx="41">
                  <c:v>2.2425974143792096E-3</c:v>
                </c:pt>
                <c:pt idx="42">
                  <c:v>2.2425974143792096E-3</c:v>
                </c:pt>
                <c:pt idx="43">
                  <c:v>2.2425974143792096E-3</c:v>
                </c:pt>
                <c:pt idx="44">
                  <c:v>2.2425974143792096E-3</c:v>
                </c:pt>
                <c:pt idx="45">
                  <c:v>2.2425974143792096E-3</c:v>
                </c:pt>
                <c:pt idx="46">
                  <c:v>2.2425974143792096E-3</c:v>
                </c:pt>
                <c:pt idx="47">
                  <c:v>2.2425974143792096E-3</c:v>
                </c:pt>
                <c:pt idx="48">
                  <c:v>2.2425974143792096E-3</c:v>
                </c:pt>
                <c:pt idx="49">
                  <c:v>2.2425974143792096E-3</c:v>
                </c:pt>
                <c:pt idx="50">
                  <c:v>2.2425974143792096E-3</c:v>
                </c:pt>
                <c:pt idx="51">
                  <c:v>2.2425974143792096E-3</c:v>
                </c:pt>
                <c:pt idx="52">
                  <c:v>2.2425974143792096E-3</c:v>
                </c:pt>
                <c:pt idx="53">
                  <c:v>2.2425974143792096E-3</c:v>
                </c:pt>
                <c:pt idx="54">
                  <c:v>2.2425974143792096E-3</c:v>
                </c:pt>
                <c:pt idx="55">
                  <c:v>2.2425974143792096E-3</c:v>
                </c:pt>
                <c:pt idx="56">
                  <c:v>2.2425974143792096E-3</c:v>
                </c:pt>
                <c:pt idx="57">
                  <c:v>2.2425974143792096E-3</c:v>
                </c:pt>
                <c:pt idx="58">
                  <c:v>2.2425974143792096E-3</c:v>
                </c:pt>
                <c:pt idx="59">
                  <c:v>2.2425974143792096E-3</c:v>
                </c:pt>
                <c:pt idx="60">
                  <c:v>2.2425974143792096E-3</c:v>
                </c:pt>
                <c:pt idx="61">
                  <c:v>2.2425974143792096E-3</c:v>
                </c:pt>
                <c:pt idx="62">
                  <c:v>2.2425974143792096E-3</c:v>
                </c:pt>
                <c:pt idx="63">
                  <c:v>2.2425974143792096E-3</c:v>
                </c:pt>
                <c:pt idx="64">
                  <c:v>2.2425974143792096E-3</c:v>
                </c:pt>
                <c:pt idx="65">
                  <c:v>2.2425974143792096E-3</c:v>
                </c:pt>
                <c:pt idx="66">
                  <c:v>2.2425974143792096E-3</c:v>
                </c:pt>
                <c:pt idx="67">
                  <c:v>2.2425974143792096E-3</c:v>
                </c:pt>
                <c:pt idx="68">
                  <c:v>2.2425974143792096E-3</c:v>
                </c:pt>
                <c:pt idx="69">
                  <c:v>2.2425974143792096E-3</c:v>
                </c:pt>
                <c:pt idx="70">
                  <c:v>2.2425974143792096E-3</c:v>
                </c:pt>
                <c:pt idx="71">
                  <c:v>2.2425974143792096E-3</c:v>
                </c:pt>
                <c:pt idx="72">
                  <c:v>2.2425974143792096E-3</c:v>
                </c:pt>
                <c:pt idx="73">
                  <c:v>2.2425974143792096E-3</c:v>
                </c:pt>
                <c:pt idx="74">
                  <c:v>2.2425974143792096E-3</c:v>
                </c:pt>
                <c:pt idx="75">
                  <c:v>2.2425974143792096E-3</c:v>
                </c:pt>
                <c:pt idx="76">
                  <c:v>2.2425974143792096E-3</c:v>
                </c:pt>
                <c:pt idx="77">
                  <c:v>2.2425974143792096E-3</c:v>
                </c:pt>
                <c:pt idx="78">
                  <c:v>2.2425974143792096E-3</c:v>
                </c:pt>
                <c:pt idx="79">
                  <c:v>2.2425974143792096E-3</c:v>
                </c:pt>
                <c:pt idx="80">
                  <c:v>2.2425974143792096E-3</c:v>
                </c:pt>
                <c:pt idx="81">
                  <c:v>2.2425974143792096E-3</c:v>
                </c:pt>
                <c:pt idx="82">
                  <c:v>2.2425974143792096E-3</c:v>
                </c:pt>
                <c:pt idx="83">
                  <c:v>2.2425974143792096E-3</c:v>
                </c:pt>
                <c:pt idx="84">
                  <c:v>2.2425974143792096E-3</c:v>
                </c:pt>
                <c:pt idx="85">
                  <c:v>2.2425974143792096E-3</c:v>
                </c:pt>
                <c:pt idx="86">
                  <c:v>2.2425974143792096E-3</c:v>
                </c:pt>
                <c:pt idx="87">
                  <c:v>2.2425974143792096E-3</c:v>
                </c:pt>
                <c:pt idx="88">
                  <c:v>2.2425974143792096E-3</c:v>
                </c:pt>
                <c:pt idx="89">
                  <c:v>2.2425974143792096E-3</c:v>
                </c:pt>
                <c:pt idx="90">
                  <c:v>2.2425974143792096E-3</c:v>
                </c:pt>
                <c:pt idx="91">
                  <c:v>2.2425974143792096E-3</c:v>
                </c:pt>
                <c:pt idx="92">
                  <c:v>2.2425974143792096E-3</c:v>
                </c:pt>
                <c:pt idx="93">
                  <c:v>2.2425974143792096E-3</c:v>
                </c:pt>
                <c:pt idx="94">
                  <c:v>2.2425974143792096E-3</c:v>
                </c:pt>
                <c:pt idx="95">
                  <c:v>2.2425974143792096E-3</c:v>
                </c:pt>
                <c:pt idx="96">
                  <c:v>2.2425974143792096E-3</c:v>
                </c:pt>
                <c:pt idx="97">
                  <c:v>2.2425974143792096E-3</c:v>
                </c:pt>
                <c:pt idx="98">
                  <c:v>2.2425974143792096E-3</c:v>
                </c:pt>
                <c:pt idx="99">
                  <c:v>2.2425974143792096E-3</c:v>
                </c:pt>
                <c:pt idx="100">
                  <c:v>2.2425974143792096E-3</c:v>
                </c:pt>
                <c:pt idx="101">
                  <c:v>2.2425974143792096E-3</c:v>
                </c:pt>
                <c:pt idx="102">
                  <c:v>2.2425974143792096E-3</c:v>
                </c:pt>
                <c:pt idx="103">
                  <c:v>2.2425974143792096E-3</c:v>
                </c:pt>
                <c:pt idx="104">
                  <c:v>2.2425974143792096E-3</c:v>
                </c:pt>
                <c:pt idx="105">
                  <c:v>2.2425974143792096E-3</c:v>
                </c:pt>
                <c:pt idx="106">
                  <c:v>2.2425974143792096E-3</c:v>
                </c:pt>
                <c:pt idx="107">
                  <c:v>2.2425974143792096E-3</c:v>
                </c:pt>
                <c:pt idx="108">
                  <c:v>2.2425974143792096E-3</c:v>
                </c:pt>
                <c:pt idx="109">
                  <c:v>2.2425974143792096E-3</c:v>
                </c:pt>
                <c:pt idx="110">
                  <c:v>2.2425974143792096E-3</c:v>
                </c:pt>
                <c:pt idx="111">
                  <c:v>2.2425974143792096E-3</c:v>
                </c:pt>
                <c:pt idx="112">
                  <c:v>2.2425974143792096E-3</c:v>
                </c:pt>
                <c:pt idx="113">
                  <c:v>2.2425974143792096E-3</c:v>
                </c:pt>
                <c:pt idx="114">
                  <c:v>2.2425974143792096E-3</c:v>
                </c:pt>
                <c:pt idx="115">
                  <c:v>2.2425974143792096E-3</c:v>
                </c:pt>
                <c:pt idx="116">
                  <c:v>2.2425974143792096E-3</c:v>
                </c:pt>
                <c:pt idx="117">
                  <c:v>2.2425974143792096E-3</c:v>
                </c:pt>
                <c:pt idx="118">
                  <c:v>2.2425974143792096E-3</c:v>
                </c:pt>
                <c:pt idx="119">
                  <c:v>2.2425974143792096E-3</c:v>
                </c:pt>
                <c:pt idx="120">
                  <c:v>2.2425974143792096E-3</c:v>
                </c:pt>
                <c:pt idx="121">
                  <c:v>2.2425974143792096E-3</c:v>
                </c:pt>
                <c:pt idx="122">
                  <c:v>2.2425974143792096E-3</c:v>
                </c:pt>
                <c:pt idx="123">
                  <c:v>2.2425974143792096E-3</c:v>
                </c:pt>
                <c:pt idx="124">
                  <c:v>2.2425974143792096E-3</c:v>
                </c:pt>
                <c:pt idx="125">
                  <c:v>2.2425974143792096E-3</c:v>
                </c:pt>
                <c:pt idx="126">
                  <c:v>2.2425974143792096E-3</c:v>
                </c:pt>
                <c:pt idx="127">
                  <c:v>2.2425974143792096E-3</c:v>
                </c:pt>
                <c:pt idx="128">
                  <c:v>2.2425974143792096E-3</c:v>
                </c:pt>
                <c:pt idx="129">
                  <c:v>2.2425974143792096E-3</c:v>
                </c:pt>
                <c:pt idx="130">
                  <c:v>2.2425974143792096E-3</c:v>
                </c:pt>
                <c:pt idx="131">
                  <c:v>2.2425974143792096E-3</c:v>
                </c:pt>
                <c:pt idx="132">
                  <c:v>2.2425974143792096E-3</c:v>
                </c:pt>
                <c:pt idx="133">
                  <c:v>2.2425974143792096E-3</c:v>
                </c:pt>
                <c:pt idx="134">
                  <c:v>2.2425974143792096E-3</c:v>
                </c:pt>
                <c:pt idx="135">
                  <c:v>2.2425974143792096E-3</c:v>
                </c:pt>
                <c:pt idx="136">
                  <c:v>2.2425974143792096E-3</c:v>
                </c:pt>
                <c:pt idx="137">
                  <c:v>2.2425974143792096E-3</c:v>
                </c:pt>
                <c:pt idx="138">
                  <c:v>2.2425974143792096E-3</c:v>
                </c:pt>
                <c:pt idx="139">
                  <c:v>2.2425974143792096E-3</c:v>
                </c:pt>
                <c:pt idx="140">
                  <c:v>2.2425974143792096E-3</c:v>
                </c:pt>
                <c:pt idx="141">
                  <c:v>2.2425974143792096E-3</c:v>
                </c:pt>
                <c:pt idx="142">
                  <c:v>2.2425974143792096E-3</c:v>
                </c:pt>
                <c:pt idx="143">
                  <c:v>2.2425974143792096E-3</c:v>
                </c:pt>
                <c:pt idx="144">
                  <c:v>2.2425974143792096E-3</c:v>
                </c:pt>
                <c:pt idx="145">
                  <c:v>2.2425974143792096E-3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BY167"/>
  <sheetViews>
    <sheetView tabSelected="1" workbookViewId="0">
      <selection sqref="A1:AG1048576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10</v>
      </c>
      <c r="C1" s="3" t="s">
        <v>11</v>
      </c>
      <c r="D1" s="4" t="s">
        <v>12</v>
      </c>
      <c r="E1" s="4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3" t="s">
        <v>26</v>
      </c>
      <c r="S1" s="3" t="s">
        <v>27</v>
      </c>
      <c r="T1" s="3" t="s">
        <v>28</v>
      </c>
      <c r="U1" s="4" t="s">
        <v>29</v>
      </c>
      <c r="V1" s="4" t="s">
        <v>30</v>
      </c>
      <c r="W1" s="4" t="s">
        <v>31</v>
      </c>
      <c r="X1" s="5" t="s">
        <v>32</v>
      </c>
      <c r="Y1" s="5" t="s">
        <v>33</v>
      </c>
      <c r="Z1" s="5" t="s">
        <v>34</v>
      </c>
      <c r="AA1" s="5" t="s">
        <v>35</v>
      </c>
      <c r="AB1" s="3" t="s">
        <v>36</v>
      </c>
      <c r="AC1" s="3" t="s">
        <v>37</v>
      </c>
      <c r="AD1" s="3" t="s">
        <v>38</v>
      </c>
      <c r="AE1" s="4" t="s">
        <v>39</v>
      </c>
      <c r="AF1" s="4" t="s">
        <v>40</v>
      </c>
      <c r="AG1" s="4" t="s">
        <v>41</v>
      </c>
      <c r="BG1" s="6"/>
      <c r="BH1" s="6"/>
      <c r="BI1" s="6"/>
      <c r="BJ1" s="7">
        <f>BJ167</f>
        <v>8.9896796375027975E-3</v>
      </c>
      <c r="BS1" s="6"/>
      <c r="BT1" s="6"/>
      <c r="BU1" s="6"/>
      <c r="BV1" s="7">
        <f>BV167</f>
        <v>2.2425974143792096E-3</v>
      </c>
      <c r="BY1" s="7">
        <f>BY167</f>
        <v>1.1232277051882004E-2</v>
      </c>
    </row>
    <row r="2" spans="1:77" x14ac:dyDescent="0.3">
      <c r="A2" s="1">
        <v>46024</v>
      </c>
      <c r="B2" s="8">
        <v>84.17</v>
      </c>
      <c r="C2" s="8">
        <v>304.5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84.17</v>
      </c>
      <c r="M2" s="8">
        <v>304.5</v>
      </c>
      <c r="N2" s="10">
        <v>3.6176785077818701</v>
      </c>
      <c r="O2" s="10">
        <v>3.6128150130856298</v>
      </c>
      <c r="X2" s="10">
        <v>3.6176785077818701</v>
      </c>
      <c r="Y2" s="10">
        <v>3.6128150130856298</v>
      </c>
    </row>
    <row r="3" spans="1:77" x14ac:dyDescent="0.3">
      <c r="A3" s="1">
        <v>46027</v>
      </c>
      <c r="B3" s="8">
        <v>85.37</v>
      </c>
      <c r="C3" s="8">
        <v>309.17</v>
      </c>
      <c r="D3" s="9">
        <v>1.41561877987303E-2</v>
      </c>
      <c r="E3" s="9">
        <v>1.5220200276566001E-2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85.37</v>
      </c>
      <c r="M3" s="8">
        <v>309.17</v>
      </c>
      <c r="N3" s="10">
        <v>3.6215298114091601</v>
      </c>
      <c r="O3" s="10">
        <v>3.6128150130856298</v>
      </c>
      <c r="R3" s="8">
        <v>308.42601766712102</v>
      </c>
      <c r="U3" s="9">
        <v>-2.4092859133695499E-3</v>
      </c>
      <c r="X3" s="10">
        <v>3.6215298114091601</v>
      </c>
      <c r="Y3" s="10">
        <v>3.6128150130856298</v>
      </c>
      <c r="AB3" s="8">
        <v>308.42601766712102</v>
      </c>
      <c r="AE3" s="9">
        <v>-2.4092859133695499E-3</v>
      </c>
    </row>
    <row r="4" spans="1:77" x14ac:dyDescent="0.3">
      <c r="A4" s="1">
        <v>46028</v>
      </c>
      <c r="B4" s="8">
        <v>86.63</v>
      </c>
      <c r="C4" s="8">
        <v>313.33999999999997</v>
      </c>
      <c r="D4" s="9">
        <v>1.4651424879833799E-2</v>
      </c>
      <c r="E4" s="9">
        <v>1.3397575538823E-2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86.63</v>
      </c>
      <c r="M4" s="8">
        <v>313.33999999999997</v>
      </c>
      <c r="N4" s="10">
        <v>3.6169918042248601</v>
      </c>
      <c r="O4" s="10">
        <v>3.6128150130856298</v>
      </c>
      <c r="R4" s="8">
        <v>312.97816458360802</v>
      </c>
      <c r="U4" s="9">
        <v>-1.1554365723589299E-3</v>
      </c>
      <c r="X4" s="10">
        <v>3.6169918042248601</v>
      </c>
      <c r="Y4" s="10">
        <v>3.6128150130856298</v>
      </c>
      <c r="AB4" s="8">
        <v>312.97816458360802</v>
      </c>
      <c r="AE4" s="9">
        <v>-1.1554365723589299E-3</v>
      </c>
    </row>
    <row r="5" spans="1:77" x14ac:dyDescent="0.3">
      <c r="A5" s="1">
        <v>46029</v>
      </c>
      <c r="B5" s="8">
        <v>85.13</v>
      </c>
      <c r="C5" s="8">
        <v>307.8</v>
      </c>
      <c r="D5" s="9">
        <v>-1.74666760060832E-2</v>
      </c>
      <c r="E5" s="9">
        <v>-1.7838641560561998E-2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85.13</v>
      </c>
      <c r="M5" s="8">
        <v>307.8</v>
      </c>
      <c r="N5" s="10">
        <v>3.6156466580523898</v>
      </c>
      <c r="O5" s="10">
        <v>3.6128150130856298</v>
      </c>
      <c r="R5" s="8">
        <v>307.55894206398</v>
      </c>
      <c r="U5" s="9">
        <v>-7.8347101788015297E-4</v>
      </c>
      <c r="X5" s="10">
        <v>3.6156466580523898</v>
      </c>
      <c r="Y5" s="10">
        <v>3.6128150130856298</v>
      </c>
      <c r="AB5" s="8">
        <v>307.55894206398</v>
      </c>
      <c r="AE5" s="9">
        <v>-7.8347101788015297E-4</v>
      </c>
    </row>
    <row r="6" spans="1:77" x14ac:dyDescent="0.3">
      <c r="A6" s="1">
        <v>46030</v>
      </c>
      <c r="B6" s="8">
        <v>85.82</v>
      </c>
      <c r="C6" s="8">
        <v>310.39</v>
      </c>
      <c r="D6" s="9">
        <v>8.0725796674129095E-3</v>
      </c>
      <c r="E6" s="9">
        <v>8.3793498904768792E-3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85.82</v>
      </c>
      <c r="M6" s="8">
        <v>310.39</v>
      </c>
      <c r="N6" s="10">
        <v>3.6167560009321802</v>
      </c>
      <c r="O6" s="10">
        <v>3.6128150130856298</v>
      </c>
      <c r="R6" s="8">
        <v>310.051784423009</v>
      </c>
      <c r="U6" s="9">
        <v>-1.09024124094411E-3</v>
      </c>
      <c r="X6" s="10">
        <v>3.6167560009321802</v>
      </c>
      <c r="Y6" s="10">
        <v>3.6128150130856298</v>
      </c>
      <c r="AB6" s="8">
        <v>310.051784423009</v>
      </c>
      <c r="AE6" s="9">
        <v>-1.09024124094411E-3</v>
      </c>
    </row>
    <row r="7" spans="1:77" x14ac:dyDescent="0.3">
      <c r="A7" s="1">
        <v>46031</v>
      </c>
      <c r="B7" s="8">
        <v>86.98</v>
      </c>
      <c r="C7" s="8">
        <v>314.57</v>
      </c>
      <c r="D7" s="9">
        <v>1.34261276061137E-2</v>
      </c>
      <c r="E7" s="9">
        <v>1.3377055595676901E-2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86.98</v>
      </c>
      <c r="M7" s="8">
        <v>314.57</v>
      </c>
      <c r="N7" s="10">
        <v>3.6165785237985699</v>
      </c>
      <c r="O7" s="10">
        <v>3.6128150130856298</v>
      </c>
      <c r="R7" s="8">
        <v>314.24264983818802</v>
      </c>
      <c r="U7" s="9">
        <v>-1.04116923050735E-3</v>
      </c>
      <c r="X7" s="10">
        <v>3.6165785237985699</v>
      </c>
      <c r="Y7" s="10">
        <v>3.6128150130856298</v>
      </c>
      <c r="AB7" s="8">
        <v>314.24264983818802</v>
      </c>
      <c r="AE7" s="9">
        <v>-1.04116923050735E-3</v>
      </c>
    </row>
    <row r="8" spans="1:77" x14ac:dyDescent="0.3">
      <c r="A8" s="1">
        <v>46034</v>
      </c>
      <c r="B8" s="8">
        <v>87.7</v>
      </c>
      <c r="C8" s="8">
        <v>317.04000000000002</v>
      </c>
      <c r="D8" s="9">
        <v>8.2436922086450599E-3</v>
      </c>
      <c r="E8" s="9">
        <v>7.8213219912467904E-3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87.7</v>
      </c>
      <c r="M8" s="8">
        <v>317.04000000000002</v>
      </c>
      <c r="N8" s="10">
        <v>3.6150513112884801</v>
      </c>
      <c r="O8" s="10">
        <v>3.6128150130856298</v>
      </c>
      <c r="R8" s="8">
        <v>316.84387664760999</v>
      </c>
      <c r="U8" s="9">
        <v>-6.1879901310915803E-4</v>
      </c>
      <c r="X8" s="10">
        <v>3.6150513112884801</v>
      </c>
      <c r="Y8" s="10">
        <v>3.6128150130856298</v>
      </c>
      <c r="AB8" s="8">
        <v>316.84387664760999</v>
      </c>
      <c r="AE8" s="9">
        <v>-6.1879901310915803E-4</v>
      </c>
    </row>
    <row r="9" spans="1:77" x14ac:dyDescent="0.3">
      <c r="A9" s="1">
        <v>46035</v>
      </c>
      <c r="B9" s="8">
        <v>88.06</v>
      </c>
      <c r="C9" s="8">
        <v>318.12</v>
      </c>
      <c r="D9" s="9">
        <v>4.0965009494703802E-3</v>
      </c>
      <c r="E9" s="9">
        <v>3.4007212067548899E-3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88.06</v>
      </c>
      <c r="M9" s="8">
        <v>318.12</v>
      </c>
      <c r="N9" s="10">
        <v>3.6125369066545501</v>
      </c>
      <c r="O9" s="10">
        <v>3.6128150130856298</v>
      </c>
      <c r="R9" s="8">
        <v>318.14449005232098</v>
      </c>
      <c r="U9" s="9">
        <v>7.6980729606419102E-5</v>
      </c>
      <c r="X9" s="10">
        <v>3.6125369066545501</v>
      </c>
      <c r="Y9" s="10">
        <v>3.6128150130856298</v>
      </c>
      <c r="AB9" s="8">
        <v>318.14449005232098</v>
      </c>
      <c r="AE9" s="9">
        <v>7.6980729606419102E-5</v>
      </c>
      <c r="BJ9" s="12">
        <f>AVERAGE(BI22:BI200)</f>
        <v>6.157314820207396E-5</v>
      </c>
      <c r="BV9" s="12">
        <f>AVERAGE(BU22:BU200)</f>
        <v>1.5360256262871297E-5</v>
      </c>
      <c r="BY9" s="12">
        <f>AVERAGE(BX22:BX200)</f>
        <v>7.6933404464945237E-5</v>
      </c>
    </row>
    <row r="10" spans="1:77" x14ac:dyDescent="0.3">
      <c r="A10" s="1">
        <v>46036</v>
      </c>
      <c r="B10" s="8">
        <v>88.35</v>
      </c>
      <c r="C10" s="8">
        <v>318.87</v>
      </c>
      <c r="D10" s="9">
        <v>3.2877984380974799E-3</v>
      </c>
      <c r="E10" s="9">
        <v>2.35482612466556E-3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88.35</v>
      </c>
      <c r="M10" s="8">
        <v>318.87</v>
      </c>
      <c r="N10" s="10">
        <v>3.6091680814940501</v>
      </c>
      <c r="O10" s="10">
        <v>3.6128150130856298</v>
      </c>
      <c r="R10" s="8">
        <v>319.19220640611599</v>
      </c>
      <c r="U10" s="9">
        <v>1.0099530430384999E-3</v>
      </c>
      <c r="X10" s="10">
        <v>3.6091680814940501</v>
      </c>
      <c r="Y10" s="10">
        <v>3.6128150130856298</v>
      </c>
      <c r="AB10" s="8">
        <v>319.19220640611599</v>
      </c>
      <c r="AE10" s="9">
        <v>1.0099530430384999E-3</v>
      </c>
      <c r="AZ10" s="13"/>
      <c r="BJ10" s="12">
        <f>STDEV(BI22:BI200)</f>
        <v>4.6893990146495892E-4</v>
      </c>
      <c r="BL10" s="13"/>
      <c r="BV10" s="12">
        <f>STDEV(BU22:BU200)</f>
        <v>2.6281128263561739E-4</v>
      </c>
      <c r="BY10" s="12">
        <f>STDEV(BX22:BX200)</f>
        <v>5.3578894871370909E-4</v>
      </c>
    </row>
    <row r="11" spans="1:77" x14ac:dyDescent="0.3">
      <c r="A11" s="1">
        <v>46037</v>
      </c>
      <c r="B11" s="8">
        <v>89.26</v>
      </c>
      <c r="C11" s="8">
        <v>322.51</v>
      </c>
      <c r="D11" s="9">
        <v>1.0247260435418499E-2</v>
      </c>
      <c r="E11" s="9">
        <v>1.13506472934347E-2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89.26</v>
      </c>
      <c r="M11" s="8">
        <v>322.51</v>
      </c>
      <c r="N11" s="10">
        <v>3.6131525879453199</v>
      </c>
      <c r="O11" s="10">
        <v>3.6128150130856298</v>
      </c>
      <c r="P11" s="10">
        <v>3.6155090193581398</v>
      </c>
      <c r="R11" s="8">
        <v>322.47986806802402</v>
      </c>
      <c r="U11" s="9">
        <v>-9.3433814977714002E-5</v>
      </c>
      <c r="X11" s="10">
        <v>3.6131525879453199</v>
      </c>
      <c r="Y11" s="10">
        <v>3.6128150130856298</v>
      </c>
      <c r="Z11" s="10">
        <v>3.6155090193581398</v>
      </c>
      <c r="AB11" s="8">
        <v>322.47986806802402</v>
      </c>
      <c r="AE11" s="9">
        <v>-9.3433814977714002E-5</v>
      </c>
      <c r="BJ11">
        <f>SQRT(252)*BJ9/BJ10</f>
        <v>2.0843682152842091</v>
      </c>
      <c r="BV11">
        <f>SQRT(252)*BV9/BV10</f>
        <v>0.92780076421891455</v>
      </c>
      <c r="BY11">
        <f>SQRT(252)*BY9/BY10</f>
        <v>2.2794048613707423</v>
      </c>
    </row>
    <row r="12" spans="1:77" x14ac:dyDescent="0.3">
      <c r="A12" s="1">
        <v>46038</v>
      </c>
      <c r="B12" s="8">
        <v>89.9</v>
      </c>
      <c r="C12" s="8">
        <v>324.45</v>
      </c>
      <c r="D12" s="9">
        <v>7.1444822764507301E-3</v>
      </c>
      <c r="E12" s="9">
        <v>5.9972975601426202E-3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89.9</v>
      </c>
      <c r="M12" s="8">
        <v>324.45</v>
      </c>
      <c r="N12" s="10">
        <v>3.6090100111234702</v>
      </c>
      <c r="O12" s="10">
        <v>3.6128150130856298</v>
      </c>
      <c r="P12" s="10">
        <v>3.6146421696923001</v>
      </c>
      <c r="R12" s="8">
        <v>324.792069676398</v>
      </c>
      <c r="S12" s="8">
        <v>325.03426084029701</v>
      </c>
      <c r="U12" s="9">
        <v>1.0537509013303101E-3</v>
      </c>
      <c r="V12" s="9">
        <v>1.79915367662214E-3</v>
      </c>
      <c r="X12" s="10">
        <v>3.6090100111234702</v>
      </c>
      <c r="Y12" s="10">
        <v>3.6128150130856298</v>
      </c>
      <c r="Z12" s="10">
        <v>3.6146421696923001</v>
      </c>
      <c r="AB12" s="8">
        <v>324.792069676398</v>
      </c>
      <c r="AC12" s="8">
        <v>325.03426084029701</v>
      </c>
      <c r="AE12" s="9">
        <v>1.0537509013303101E-3</v>
      </c>
      <c r="AF12" s="9">
        <v>1.79915367662214E-3</v>
      </c>
    </row>
    <row r="13" spans="1:77" x14ac:dyDescent="0.3">
      <c r="A13" s="1">
        <v>46042</v>
      </c>
      <c r="B13" s="8">
        <v>88.15</v>
      </c>
      <c r="C13" s="8">
        <v>317.81</v>
      </c>
      <c r="D13" s="9">
        <v>-1.96580326336953E-2</v>
      </c>
      <c r="E13" s="9">
        <v>-2.06777211285906E-2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88.15</v>
      </c>
      <c r="M13" s="8">
        <v>317.81</v>
      </c>
      <c r="N13" s="10">
        <v>3.60533182076006</v>
      </c>
      <c r="O13" s="10">
        <v>3.6128150130856298</v>
      </c>
      <c r="P13" s="10">
        <v>3.6130223706273901</v>
      </c>
      <c r="R13" s="8">
        <v>318.46964340349899</v>
      </c>
      <c r="S13" s="8">
        <v>318.63070725837599</v>
      </c>
      <c r="U13" s="9">
        <v>2.0734393962256099E-3</v>
      </c>
      <c r="V13" s="9">
        <v>2.5790547459638201E-3</v>
      </c>
      <c r="X13" s="10">
        <v>3.60533182076006</v>
      </c>
      <c r="Y13" s="10">
        <v>3.6128150130856298</v>
      </c>
      <c r="Z13" s="10">
        <v>3.6130223706273901</v>
      </c>
      <c r="AB13" s="8">
        <v>318.46964340349899</v>
      </c>
      <c r="AC13" s="8">
        <v>318.63070725837599</v>
      </c>
      <c r="AE13" s="9">
        <v>2.0734393962256099E-3</v>
      </c>
      <c r="AF13" s="9">
        <v>2.5790547459638201E-3</v>
      </c>
    </row>
    <row r="14" spans="1:77" x14ac:dyDescent="0.3">
      <c r="A14" s="1">
        <v>46043</v>
      </c>
      <c r="B14" s="8">
        <v>89.56</v>
      </c>
      <c r="C14" s="8">
        <v>323.33999999999997</v>
      </c>
      <c r="D14" s="9">
        <v>1.58688828866747E-2</v>
      </c>
      <c r="E14" s="9">
        <v>1.7250681234873499E-2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89.56</v>
      </c>
      <c r="M14" s="8">
        <v>323.33999999999997</v>
      </c>
      <c r="N14" s="10">
        <v>3.6103171058508199</v>
      </c>
      <c r="O14" s="10">
        <v>3.6128150130856298</v>
      </c>
      <c r="P14" s="10">
        <v>3.61235490078999</v>
      </c>
      <c r="R14" s="8">
        <v>323.563712571949</v>
      </c>
      <c r="S14" s="8">
        <v>323.58228351338897</v>
      </c>
      <c r="U14" s="9">
        <v>6.9164104802691296E-4</v>
      </c>
      <c r="V14" s="9">
        <v>7.4903440766245597E-4</v>
      </c>
      <c r="X14" s="10">
        <v>3.6103171058508199</v>
      </c>
      <c r="Y14" s="10">
        <v>3.6128150130856298</v>
      </c>
      <c r="Z14" s="10">
        <v>3.61235490078999</v>
      </c>
      <c r="AB14" s="8">
        <v>323.563712571949</v>
      </c>
      <c r="AC14" s="8">
        <v>323.58228351338897</v>
      </c>
      <c r="AE14" s="9">
        <v>6.9164104802691296E-4</v>
      </c>
      <c r="AF14" s="9">
        <v>7.4903440766245597E-4</v>
      </c>
    </row>
    <row r="15" spans="1:77" x14ac:dyDescent="0.3">
      <c r="A15" s="1">
        <v>46044</v>
      </c>
      <c r="B15" s="8">
        <v>89.35</v>
      </c>
      <c r="C15" s="8">
        <v>322.64999999999998</v>
      </c>
      <c r="D15" s="9">
        <v>-2.3475501251171201E-3</v>
      </c>
      <c r="E15" s="9">
        <v>-2.1362567916115901E-3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89.35</v>
      </c>
      <c r="M15" s="8">
        <v>322.64999999999998</v>
      </c>
      <c r="N15" s="10">
        <v>3.6110800223838799</v>
      </c>
      <c r="O15" s="10">
        <v>3.6128150130856298</v>
      </c>
      <c r="P15" s="10">
        <v>3.6118982372231399</v>
      </c>
      <c r="R15" s="8">
        <v>322.80502141920101</v>
      </c>
      <c r="S15" s="8">
        <v>322.76391038558501</v>
      </c>
      <c r="U15" s="9">
        <v>4.8034771452135501E-4</v>
      </c>
      <c r="V15" s="9">
        <v>3.5298398418645398E-4</v>
      </c>
      <c r="X15" s="10">
        <v>3.6110800223838799</v>
      </c>
      <c r="Y15" s="10">
        <v>3.6128150130856298</v>
      </c>
      <c r="Z15" s="10">
        <v>3.6118982372231399</v>
      </c>
      <c r="AB15" s="8">
        <v>322.80502141920101</v>
      </c>
      <c r="AC15" s="8">
        <v>322.76391038558501</v>
      </c>
      <c r="AE15" s="9">
        <v>4.8034771452135501E-4</v>
      </c>
      <c r="AF15" s="9">
        <v>3.5298398418645398E-4</v>
      </c>
    </row>
    <row r="16" spans="1:77" x14ac:dyDescent="0.3">
      <c r="A16" s="1">
        <v>46045</v>
      </c>
      <c r="B16" s="8">
        <v>88.54</v>
      </c>
      <c r="C16" s="8">
        <v>319.86</v>
      </c>
      <c r="D16" s="9">
        <v>-9.1068143014419005E-3</v>
      </c>
      <c r="E16" s="9">
        <v>-8.6847443191239593E-3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88.54</v>
      </c>
      <c r="M16" s="8">
        <v>319.86</v>
      </c>
      <c r="N16" s="10">
        <v>3.6126044725547701</v>
      </c>
      <c r="O16" s="10">
        <v>3.6128150130856298</v>
      </c>
      <c r="P16" s="10">
        <v>3.6114830843854002</v>
      </c>
      <c r="R16" s="8">
        <v>319.87864125860199</v>
      </c>
      <c r="S16" s="8">
        <v>319.79746992373703</v>
      </c>
      <c r="U16" s="9">
        <v>5.8277732203588103E-5</v>
      </c>
      <c r="V16" s="9">
        <v>-1.9551112713363399E-4</v>
      </c>
      <c r="X16" s="10">
        <v>3.6126044725547701</v>
      </c>
      <c r="Y16" s="10">
        <v>3.6128150130856298</v>
      </c>
      <c r="Z16" s="10">
        <v>3.6114830843854002</v>
      </c>
      <c r="AB16" s="8">
        <v>319.87864125860199</v>
      </c>
      <c r="AC16" s="8">
        <v>319.79746992373703</v>
      </c>
      <c r="AE16" s="9">
        <v>5.8277732203588103E-5</v>
      </c>
      <c r="AF16" s="9">
        <v>-1.9551112713363399E-4</v>
      </c>
    </row>
    <row r="17" spans="1:77" x14ac:dyDescent="0.3">
      <c r="A17" s="1">
        <v>46048</v>
      </c>
      <c r="B17" s="8">
        <v>88.59</v>
      </c>
      <c r="C17" s="8">
        <v>319.73</v>
      </c>
      <c r="D17" s="9">
        <v>5.6455711994603101E-4</v>
      </c>
      <c r="E17" s="9">
        <v>-4.0651042633629299E-4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88.59</v>
      </c>
      <c r="M17" s="8">
        <v>319.73</v>
      </c>
      <c r="N17" s="10">
        <v>3.6090980923354699</v>
      </c>
      <c r="O17" s="10">
        <v>3.6128150130856298</v>
      </c>
      <c r="P17" s="10">
        <v>3.6107350412390899</v>
      </c>
      <c r="R17" s="8">
        <v>320.05928200925598</v>
      </c>
      <c r="S17" s="8">
        <v>319.94128644570202</v>
      </c>
      <c r="U17" s="9">
        <v>1.0293452784856699E-3</v>
      </c>
      <c r="V17" s="9">
        <v>6.6060946571689196E-4</v>
      </c>
      <c r="X17" s="10">
        <v>3.6090980923354699</v>
      </c>
      <c r="Y17" s="10">
        <v>3.6128150130856298</v>
      </c>
      <c r="Z17" s="10">
        <v>3.6107350412390899</v>
      </c>
      <c r="AB17" s="8">
        <v>320.05928200925598</v>
      </c>
      <c r="AC17" s="8">
        <v>319.94128644570202</v>
      </c>
      <c r="AE17" s="9">
        <v>1.0293452784856699E-3</v>
      </c>
      <c r="AF17" s="9">
        <v>6.6060946571689196E-4</v>
      </c>
    </row>
    <row r="18" spans="1:77" x14ac:dyDescent="0.3">
      <c r="A18" s="1">
        <v>46049</v>
      </c>
      <c r="B18" s="8">
        <v>88.91</v>
      </c>
      <c r="C18" s="8">
        <v>321.11</v>
      </c>
      <c r="D18" s="9">
        <v>3.6056377091064698E-3</v>
      </c>
      <c r="E18" s="9">
        <v>4.3068539202710402E-3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88.91</v>
      </c>
      <c r="M18" s="8">
        <v>321.11</v>
      </c>
      <c r="N18" s="10">
        <v>3.61162973793724</v>
      </c>
      <c r="O18" s="10">
        <v>3.6128150130856298</v>
      </c>
      <c r="P18" s="10">
        <v>3.6103928839039598</v>
      </c>
      <c r="R18" s="8">
        <v>321.21538281344402</v>
      </c>
      <c r="S18" s="8">
        <v>321.03045251656698</v>
      </c>
      <c r="U18" s="9">
        <v>3.2812906732122301E-4</v>
      </c>
      <c r="V18" s="9">
        <v>-2.4775727343568298E-4</v>
      </c>
      <c r="X18" s="10">
        <v>3.61162973793724</v>
      </c>
      <c r="Y18" s="10">
        <v>3.6128150130856298</v>
      </c>
      <c r="Z18" s="10">
        <v>3.6103928839039598</v>
      </c>
      <c r="AB18" s="8">
        <v>321.21538281344402</v>
      </c>
      <c r="AC18" s="8">
        <v>321.03045251656698</v>
      </c>
      <c r="AE18" s="9">
        <v>3.2812906732122301E-4</v>
      </c>
      <c r="AF18" s="9">
        <v>-2.4775727343568298E-4</v>
      </c>
    </row>
    <row r="19" spans="1:77" x14ac:dyDescent="0.3">
      <c r="A19" s="1">
        <v>46050</v>
      </c>
      <c r="B19" s="8">
        <v>88.53</v>
      </c>
      <c r="C19" s="8">
        <v>319.76</v>
      </c>
      <c r="D19" s="9">
        <v>-4.2831445100898601E-3</v>
      </c>
      <c r="E19" s="9">
        <v>-4.2130291535914799E-3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88.53</v>
      </c>
      <c r="M19" s="8">
        <v>319.76</v>
      </c>
      <c r="N19" s="10">
        <v>3.61188297752174</v>
      </c>
      <c r="O19" s="10">
        <v>3.6128150130856298</v>
      </c>
      <c r="P19" s="10">
        <v>3.61032749099068</v>
      </c>
      <c r="R19" s="8">
        <v>319.842513108471</v>
      </c>
      <c r="S19" s="8">
        <v>319.62808201201801</v>
      </c>
      <c r="U19" s="9">
        <v>2.58013710822892E-4</v>
      </c>
      <c r="V19" s="9">
        <v>-4.1263825074246E-4</v>
      </c>
      <c r="X19" s="10">
        <v>3.61188297752174</v>
      </c>
      <c r="Y19" s="10">
        <v>3.6128150130856298</v>
      </c>
      <c r="Z19" s="10">
        <v>3.61032749099068</v>
      </c>
      <c r="AB19" s="8">
        <v>319.842513108471</v>
      </c>
      <c r="AC19" s="8">
        <v>319.62808201201801</v>
      </c>
      <c r="AE19" s="9">
        <v>2.58013710822892E-4</v>
      </c>
      <c r="AF19" s="9">
        <v>-4.1263825074246E-4</v>
      </c>
      <c r="BX19" s="6" t="s">
        <v>1</v>
      </c>
      <c r="BY19" s="6" t="s">
        <v>1</v>
      </c>
    </row>
    <row r="20" spans="1:77" x14ac:dyDescent="0.3">
      <c r="A20" s="1">
        <v>46051</v>
      </c>
      <c r="B20" s="8">
        <v>89.2</v>
      </c>
      <c r="C20" s="8">
        <v>322.08999999999997</v>
      </c>
      <c r="D20" s="9">
        <v>7.5395619630060596E-3</v>
      </c>
      <c r="E20" s="9">
        <v>7.2602951932141798E-3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89.2</v>
      </c>
      <c r="M20" s="8">
        <v>322.08999999999997</v>
      </c>
      <c r="N20" s="10">
        <v>3.6108744394618801</v>
      </c>
      <c r="O20" s="10">
        <v>3.6128150130856298</v>
      </c>
      <c r="P20" s="10">
        <v>3.6104981267874701</v>
      </c>
      <c r="R20" s="8">
        <v>322.26309916723898</v>
      </c>
      <c r="S20" s="8">
        <v>322.04121219636897</v>
      </c>
      <c r="U20" s="9">
        <v>5.3728048061461495E-4</v>
      </c>
      <c r="V20" s="9">
        <v>-1.51484054180856E-4</v>
      </c>
      <c r="X20" s="10">
        <v>3.6108744394618801</v>
      </c>
      <c r="Y20" s="10">
        <v>3.6128150130856298</v>
      </c>
      <c r="Z20" s="10">
        <v>3.6104981267874701</v>
      </c>
      <c r="AB20" s="8">
        <v>322.26309916723898</v>
      </c>
      <c r="AC20" s="8">
        <v>322.04121219636897</v>
      </c>
      <c r="AE20" s="9">
        <v>5.3728048061461495E-4</v>
      </c>
      <c r="AF20" s="9">
        <v>-1.51484054180856E-4</v>
      </c>
      <c r="AZ20" s="14" t="s">
        <v>2</v>
      </c>
      <c r="BA20" s="15">
        <v>-1.1209599027042093E-3</v>
      </c>
      <c r="BB20" s="6" t="s">
        <v>3</v>
      </c>
      <c r="BC20" s="6" t="s">
        <v>4</v>
      </c>
      <c r="BD20" s="6" t="s">
        <v>5</v>
      </c>
      <c r="BE20" s="6" t="s">
        <v>6</v>
      </c>
      <c r="BF20" s="6" t="s">
        <v>7</v>
      </c>
      <c r="BG20" s="6" t="str">
        <f>D1</f>
        <v>FIDU log rtn</v>
      </c>
      <c r="BH20" s="6" t="str">
        <f>E1</f>
        <v>VIS log rtn</v>
      </c>
      <c r="BI20" s="6" t="s">
        <v>8</v>
      </c>
      <c r="BJ20" s="6" t="s">
        <v>9</v>
      </c>
      <c r="BL20" s="14" t="s">
        <v>2</v>
      </c>
      <c r="BM20" s="15">
        <v>2.2260370323622628E-3</v>
      </c>
      <c r="BN20" s="6" t="s">
        <v>4</v>
      </c>
      <c r="BO20" s="6" t="s">
        <v>3</v>
      </c>
      <c r="BP20" s="6" t="s">
        <v>5</v>
      </c>
      <c r="BQ20" s="6" t="s">
        <v>6</v>
      </c>
      <c r="BR20" s="6" t="s">
        <v>7</v>
      </c>
      <c r="BS20" s="7" t="str">
        <f>D1</f>
        <v>FIDU log rtn</v>
      </c>
      <c r="BT20" s="7" t="str">
        <f>E1</f>
        <v>VIS log rtn</v>
      </c>
      <c r="BU20" s="6" t="s">
        <v>8</v>
      </c>
      <c r="BV20" s="6" t="s">
        <v>9</v>
      </c>
      <c r="BX20" s="6" t="s">
        <v>8</v>
      </c>
      <c r="BY20" s="6" t="s">
        <v>9</v>
      </c>
    </row>
    <row r="21" spans="1:77" x14ac:dyDescent="0.3">
      <c r="A21" s="1">
        <v>46052</v>
      </c>
      <c r="B21" s="8">
        <v>88.85</v>
      </c>
      <c r="C21" s="8">
        <v>320.22000000000003</v>
      </c>
      <c r="D21" s="9">
        <v>-3.9314849853034402E-3</v>
      </c>
      <c r="E21" s="9">
        <v>-5.8227500223736201E-3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88.85</v>
      </c>
      <c r="M21" s="8">
        <v>320.22000000000003</v>
      </c>
      <c r="N21" s="10">
        <v>3.6040517726505299</v>
      </c>
      <c r="O21" s="10">
        <v>3.6128150130856298</v>
      </c>
      <c r="P21" s="10">
        <v>3.6095880452579898</v>
      </c>
      <c r="Q21" s="10">
        <v>3.6125485323080602</v>
      </c>
      <c r="R21" s="8">
        <v>320.99861391265898</v>
      </c>
      <c r="S21" s="8">
        <v>320.79275856506598</v>
      </c>
      <c r="U21" s="9">
        <v>2.42854551768491E-3</v>
      </c>
      <c r="V21" s="9">
        <v>1.7870431121380999E-3</v>
      </c>
      <c r="X21" s="10">
        <v>3.6040517726505299</v>
      </c>
      <c r="Y21" s="10">
        <v>3.6128150130856298</v>
      </c>
      <c r="Z21" s="10">
        <v>3.6095880452579898</v>
      </c>
      <c r="AA21" s="10">
        <v>3.6125485323080602</v>
      </c>
      <c r="AB21" s="8">
        <v>320.99861391265898</v>
      </c>
      <c r="AC21" s="8">
        <v>320.79275856506598</v>
      </c>
      <c r="AE21" s="9">
        <v>2.42854551768491E-3</v>
      </c>
      <c r="AF21" s="9">
        <v>1.7870431121380999E-3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</row>
    <row r="22" spans="1:77" x14ac:dyDescent="0.3">
      <c r="A22" s="1">
        <v>46055</v>
      </c>
      <c r="B22" s="8">
        <v>89.81</v>
      </c>
      <c r="C22" s="8">
        <v>324.39999999999998</v>
      </c>
      <c r="D22" s="9">
        <v>1.07467730821981E-2</v>
      </c>
      <c r="E22" s="9">
        <v>1.2969062667349301E-2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89.81</v>
      </c>
      <c r="M22" s="8">
        <v>324.39999999999998</v>
      </c>
      <c r="N22" s="10">
        <v>3.6120699253980599</v>
      </c>
      <c r="O22" s="10">
        <v>3.6128150130856298</v>
      </c>
      <c r="P22" s="10">
        <v>3.6098940366854402</v>
      </c>
      <c r="Q22" s="10">
        <v>3.6122681031888701</v>
      </c>
      <c r="R22" s="8">
        <v>324.46691632522101</v>
      </c>
      <c r="S22" s="8">
        <v>324.17710234461998</v>
      </c>
      <c r="T22" s="8">
        <v>324.44298368658701</v>
      </c>
      <c r="U22" s="9">
        <v>2.06255932533747E-4</v>
      </c>
      <c r="V22" s="9">
        <v>-6.8734361219211903E-4</v>
      </c>
      <c r="W22" s="9">
        <v>1.3249333885478E-4</v>
      </c>
      <c r="X22" s="10">
        <v>3.6120699253980599</v>
      </c>
      <c r="Y22" s="10">
        <v>3.6128150130856298</v>
      </c>
      <c r="Z22" s="10">
        <v>3.6098940366854402</v>
      </c>
      <c r="AA22" s="10">
        <v>3.6122681031888701</v>
      </c>
      <c r="AB22" s="8">
        <v>324.46691632522101</v>
      </c>
      <c r="AC22" s="8">
        <v>324.17710234461998</v>
      </c>
      <c r="AD22" s="8">
        <v>324.44298368658701</v>
      </c>
      <c r="AE22" s="9">
        <v>2.06255932533747E-4</v>
      </c>
      <c r="AF22" s="9">
        <v>-6.8734361219211903E-4</v>
      </c>
      <c r="AG22" s="9">
        <v>1.3249333885478E-4</v>
      </c>
      <c r="AZ22" s="9"/>
      <c r="BB22">
        <f>IF($AG22&lt;BA$20,1,0)</f>
        <v>0</v>
      </c>
      <c r="BC22">
        <f>IF($AG22&gt;BA$21,1,0)</f>
        <v>1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0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</row>
    <row r="23" spans="1:77" x14ac:dyDescent="0.3">
      <c r="A23" s="1">
        <v>46056</v>
      </c>
      <c r="B23" s="8">
        <v>90.71</v>
      </c>
      <c r="C23" s="8">
        <v>327.55</v>
      </c>
      <c r="D23" s="9">
        <v>9.9712769439941999E-3</v>
      </c>
      <c r="E23" s="9">
        <v>9.6633929366275392E-3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90.71</v>
      </c>
      <c r="M23" s="8">
        <v>327.55</v>
      </c>
      <c r="N23" s="10">
        <v>3.6109579980156501</v>
      </c>
      <c r="O23" s="10">
        <v>3.6128150130856298</v>
      </c>
      <c r="P23" s="10">
        <v>3.6104566544110002</v>
      </c>
      <c r="Q23" s="10">
        <v>3.6117395125192</v>
      </c>
      <c r="R23" s="8">
        <v>327.71844983699799</v>
      </c>
      <c r="S23" s="8">
        <v>327.453488067737</v>
      </c>
      <c r="T23" s="8">
        <v>327.668839640263</v>
      </c>
      <c r="U23" s="9">
        <v>5.1413993990046002E-4</v>
      </c>
      <c r="V23" s="9">
        <v>-2.94691355754764E-4</v>
      </c>
      <c r="W23" s="9">
        <v>3.6274793817432698E-4</v>
      </c>
      <c r="X23" s="10">
        <v>3.6109579980156501</v>
      </c>
      <c r="Y23" s="10">
        <v>3.6128150130856298</v>
      </c>
      <c r="Z23" s="10">
        <v>3.6104566544110002</v>
      </c>
      <c r="AA23" s="10">
        <v>3.6117395125192</v>
      </c>
      <c r="AB23" s="8">
        <v>327.71844983699799</v>
      </c>
      <c r="AC23" s="8">
        <v>327.453488067737</v>
      </c>
      <c r="AD23" s="8">
        <v>327.668839640263</v>
      </c>
      <c r="AE23" s="9">
        <v>5.1413993990046002E-4</v>
      </c>
      <c r="AF23" s="9">
        <v>-2.94691355754764E-4</v>
      </c>
      <c r="AG23" s="9">
        <v>3.6274793817432698E-4</v>
      </c>
      <c r="AZ23" s="9"/>
      <c r="BB23">
        <f t="shared" ref="BB23:BB86" si="2">IF($AG23&lt;BA$20,1,0)</f>
        <v>0</v>
      </c>
      <c r="BC23">
        <f t="shared" ref="BC23:BC86" si="3">IF($AG23&gt;BA$21,1,0)</f>
        <v>1</v>
      </c>
      <c r="BD23">
        <f t="shared" ref="BD23:BD86" si="4">BF23</f>
        <v>0</v>
      </c>
      <c r="BE23">
        <f t="shared" si="0"/>
        <v>1</v>
      </c>
      <c r="BF23">
        <f t="shared" ref="BF23:BF86" si="5">IF(BB22,1,IF(BC22,0,BD22))*BE22</f>
        <v>0</v>
      </c>
      <c r="BG23" s="9">
        <f t="shared" ref="BG23:BG86" si="6">BF23*D23</f>
        <v>0</v>
      </c>
      <c r="BH23" s="9">
        <f t="shared" ref="BH23:BH86" si="7">-BF23*$E23</f>
        <v>0</v>
      </c>
      <c r="BI23" s="9">
        <f t="shared" ref="BI23:BI86" si="8">BG23+BH23</f>
        <v>0</v>
      </c>
      <c r="BJ23" s="12">
        <f t="shared" ref="BJ23:BJ86" si="9">BJ22+BI23</f>
        <v>0</v>
      </c>
      <c r="BL23" s="9"/>
      <c r="BN23">
        <f t="shared" ref="BN23:BN86" si="10">IF($AG23&gt;BM$20,1,0)</f>
        <v>0</v>
      </c>
      <c r="BO23">
        <f t="shared" ref="BO23:BO86" si="11">IF($AG23&lt;BM$21,1,0)</f>
        <v>0</v>
      </c>
      <c r="BP23">
        <f t="shared" ref="BP23:BP86" si="12">BR23</f>
        <v>0</v>
      </c>
      <c r="BQ23">
        <f t="shared" si="1"/>
        <v>1</v>
      </c>
      <c r="BR23">
        <f t="shared" ref="BR23:BR86" si="13">IF(BN22,1,IF(BO22,0,BP22))*BQ22</f>
        <v>0</v>
      </c>
      <c r="BS23" s="9">
        <f t="shared" ref="BS23:BS86" si="14">-BR23*D23</f>
        <v>0</v>
      </c>
      <c r="BT23" s="9">
        <f t="shared" ref="BT23:BT86" si="15">BR23*$E23</f>
        <v>0</v>
      </c>
      <c r="BU23" s="9">
        <f t="shared" ref="BU23:BU86" si="16">BS23+BT23</f>
        <v>0</v>
      </c>
      <c r="BV23" s="12">
        <f t="shared" ref="BV23:BV86" si="17">BV22+BU23</f>
        <v>0</v>
      </c>
      <c r="BX23" s="12">
        <f t="shared" ref="BX23:BX86" si="18">BI23+BU23</f>
        <v>0</v>
      </c>
      <c r="BY23" s="12">
        <f t="shared" ref="BY23:BY86" si="19">BY22+BX23</f>
        <v>0</v>
      </c>
    </row>
    <row r="24" spans="1:77" x14ac:dyDescent="0.3">
      <c r="A24" s="1">
        <v>46057</v>
      </c>
      <c r="B24" s="8">
        <v>90.7</v>
      </c>
      <c r="C24" s="8">
        <v>327.60000000000002</v>
      </c>
      <c r="D24" s="9">
        <v>-1.10247505761776E-4</v>
      </c>
      <c r="E24" s="9">
        <v>1.5263680102901701E-4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90.7</v>
      </c>
      <c r="M24" s="8">
        <v>327.60000000000002</v>
      </c>
      <c r="N24" s="10">
        <v>3.6119073869900702</v>
      </c>
      <c r="O24" s="10">
        <v>3.6128150130856298</v>
      </c>
      <c r="P24" s="10">
        <v>3.61061568252493</v>
      </c>
      <c r="Q24" s="10">
        <v>3.61148529165746</v>
      </c>
      <c r="R24" s="8">
        <v>327.682321686867</v>
      </c>
      <c r="S24" s="8">
        <v>327.46841855507802</v>
      </c>
      <c r="T24" s="8">
        <v>327.584773785491</v>
      </c>
      <c r="U24" s="9">
        <v>2.51255633109736E-4</v>
      </c>
      <c r="V24" s="9">
        <v>-4.0173344635187201E-4</v>
      </c>
      <c r="W24" s="9">
        <v>-4.64791464035783E-5</v>
      </c>
      <c r="X24" s="10">
        <v>3.6119073869900702</v>
      </c>
      <c r="Y24" s="10">
        <v>3.6128150130856298</v>
      </c>
      <c r="Z24" s="10">
        <v>3.61061568252493</v>
      </c>
      <c r="AA24" s="10">
        <v>3.61148529165746</v>
      </c>
      <c r="AB24" s="8">
        <v>327.682321686867</v>
      </c>
      <c r="AC24" s="8">
        <v>327.46841855507802</v>
      </c>
      <c r="AD24" s="8">
        <v>327.584773785491</v>
      </c>
      <c r="AE24" s="9">
        <v>2.51255633109736E-4</v>
      </c>
      <c r="AF24" s="9">
        <v>-4.0173344635187201E-4</v>
      </c>
      <c r="AG24" s="9">
        <v>-4.64791464035783E-5</v>
      </c>
      <c r="AZ24" s="9"/>
      <c r="BB24">
        <f t="shared" si="2"/>
        <v>0</v>
      </c>
      <c r="BC24">
        <f t="shared" si="3"/>
        <v>0</v>
      </c>
      <c r="BD24">
        <f t="shared" si="4"/>
        <v>0</v>
      </c>
      <c r="BE24">
        <f t="shared" si="0"/>
        <v>1</v>
      </c>
      <c r="BF24">
        <f t="shared" si="5"/>
        <v>0</v>
      </c>
      <c r="BG24" s="9">
        <f t="shared" si="6"/>
        <v>0</v>
      </c>
      <c r="BH24" s="9">
        <f t="shared" si="7"/>
        <v>0</v>
      </c>
      <c r="BI24" s="9">
        <f t="shared" si="8"/>
        <v>0</v>
      </c>
      <c r="BJ24" s="12">
        <f t="shared" si="9"/>
        <v>0</v>
      </c>
      <c r="BL24" s="9"/>
      <c r="BN24">
        <f t="shared" si="10"/>
        <v>0</v>
      </c>
      <c r="BO24">
        <f t="shared" si="11"/>
        <v>1</v>
      </c>
      <c r="BP24">
        <f t="shared" si="12"/>
        <v>0</v>
      </c>
      <c r="BQ24">
        <f t="shared" si="1"/>
        <v>1</v>
      </c>
      <c r="BR24">
        <f t="shared" si="13"/>
        <v>0</v>
      </c>
      <c r="BS24" s="9">
        <f t="shared" si="14"/>
        <v>0</v>
      </c>
      <c r="BT24" s="9">
        <f t="shared" si="15"/>
        <v>0</v>
      </c>
      <c r="BU24" s="9">
        <f t="shared" si="16"/>
        <v>0</v>
      </c>
      <c r="BV24" s="12">
        <f t="shared" si="17"/>
        <v>0</v>
      </c>
      <c r="BX24" s="12">
        <f t="shared" si="18"/>
        <v>0</v>
      </c>
      <c r="BY24" s="12">
        <f t="shared" si="19"/>
        <v>0</v>
      </c>
    </row>
    <row r="25" spans="1:77" x14ac:dyDescent="0.3">
      <c r="A25" s="1">
        <v>46058</v>
      </c>
      <c r="B25" s="8">
        <v>90.04</v>
      </c>
      <c r="C25" s="8">
        <v>325.58999999999997</v>
      </c>
      <c r="D25" s="9">
        <v>-7.30334108255938E-3</v>
      </c>
      <c r="E25" s="9">
        <v>-6.1544308528812802E-3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90.04</v>
      </c>
      <c r="M25" s="8">
        <v>325.58999999999997</v>
      </c>
      <c r="N25" s="10">
        <v>3.6160595290981701</v>
      </c>
      <c r="O25" s="10">
        <v>3.6128150130856298</v>
      </c>
      <c r="P25" s="10">
        <v>3.6111136331963598</v>
      </c>
      <c r="Q25" s="10">
        <v>3.6115059352097498</v>
      </c>
      <c r="R25" s="8">
        <v>325.29786377823001</v>
      </c>
      <c r="S25" s="8">
        <v>325.09983605454499</v>
      </c>
      <c r="T25" s="8">
        <v>325.178135660838</v>
      </c>
      <c r="U25" s="9">
        <v>-8.9765459656855802E-4</v>
      </c>
      <c r="V25" s="9">
        <v>-1.5065981086874801E-3</v>
      </c>
      <c r="W25" s="9">
        <v>-1.2657792279097801E-3</v>
      </c>
      <c r="X25" s="10">
        <v>3.6160595290981701</v>
      </c>
      <c r="Y25" s="10">
        <v>3.6128150130856298</v>
      </c>
      <c r="Z25" s="10">
        <v>3.6111136331963598</v>
      </c>
      <c r="AA25" s="10">
        <v>3.6115059352097498</v>
      </c>
      <c r="AB25" s="8">
        <v>325.29786377823001</v>
      </c>
      <c r="AC25" s="8">
        <v>325.09983605454499</v>
      </c>
      <c r="AD25" s="8">
        <v>325.178135660838</v>
      </c>
      <c r="AE25" s="9">
        <v>-8.9765459656855802E-4</v>
      </c>
      <c r="AF25" s="9">
        <v>-1.5065981086874801E-3</v>
      </c>
      <c r="AG25" s="9">
        <v>-1.2657792279097801E-3</v>
      </c>
      <c r="AZ25" s="9"/>
      <c r="BB25">
        <f t="shared" si="2"/>
        <v>1</v>
      </c>
      <c r="BC25">
        <f t="shared" si="3"/>
        <v>0</v>
      </c>
      <c r="BD25">
        <f t="shared" si="4"/>
        <v>0</v>
      </c>
      <c r="BE25">
        <f t="shared" si="0"/>
        <v>1</v>
      </c>
      <c r="BF25">
        <f t="shared" si="5"/>
        <v>0</v>
      </c>
      <c r="BG25" s="9">
        <f t="shared" si="6"/>
        <v>0</v>
      </c>
      <c r="BH25" s="9">
        <f t="shared" si="7"/>
        <v>0</v>
      </c>
      <c r="BI25" s="9">
        <f t="shared" si="8"/>
        <v>0</v>
      </c>
      <c r="BJ25" s="12">
        <f t="shared" si="9"/>
        <v>0</v>
      </c>
      <c r="BL25" s="9"/>
      <c r="BN25">
        <f t="shared" si="10"/>
        <v>0</v>
      </c>
      <c r="BO25">
        <f t="shared" si="11"/>
        <v>1</v>
      </c>
      <c r="BP25">
        <f t="shared" si="12"/>
        <v>0</v>
      </c>
      <c r="BQ25">
        <f t="shared" si="1"/>
        <v>1</v>
      </c>
      <c r="BR25">
        <f t="shared" si="13"/>
        <v>0</v>
      </c>
      <c r="BS25" s="9">
        <f t="shared" si="14"/>
        <v>0</v>
      </c>
      <c r="BT25" s="9">
        <f t="shared" si="15"/>
        <v>0</v>
      </c>
      <c r="BU25" s="9">
        <f t="shared" si="16"/>
        <v>0</v>
      </c>
      <c r="BV25" s="12">
        <f t="shared" si="17"/>
        <v>0</v>
      </c>
      <c r="BX25" s="12">
        <f t="shared" si="18"/>
        <v>0</v>
      </c>
      <c r="BY25" s="12">
        <f t="shared" si="19"/>
        <v>0</v>
      </c>
    </row>
    <row r="26" spans="1:77" x14ac:dyDescent="0.3">
      <c r="A26" s="1">
        <v>46059</v>
      </c>
      <c r="B26" s="8">
        <v>92.86</v>
      </c>
      <c r="C26" s="8">
        <v>335.64</v>
      </c>
      <c r="D26" s="9">
        <v>3.0838966553243901E-2</v>
      </c>
      <c r="E26" s="9">
        <v>3.0400235875835301E-2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92.86</v>
      </c>
      <c r="M26" s="8">
        <v>335.64</v>
      </c>
      <c r="N26" s="10">
        <v>3.6144734008184298</v>
      </c>
      <c r="O26" s="10">
        <v>3.6128150130856298</v>
      </c>
      <c r="P26" s="10">
        <v>3.61130052602272</v>
      </c>
      <c r="Q26" s="10">
        <v>3.6113918052040601</v>
      </c>
      <c r="R26" s="8">
        <v>335.48600211513201</v>
      </c>
      <c r="S26" s="8">
        <v>335.32801197861397</v>
      </c>
      <c r="T26" s="8">
        <v>335.36444114357698</v>
      </c>
      <c r="U26" s="9">
        <v>-4.5892391915988403E-4</v>
      </c>
      <c r="V26" s="9">
        <v>-9.2996398725631697E-4</v>
      </c>
      <c r="W26" s="9">
        <v>-8.2133248311541803E-4</v>
      </c>
      <c r="X26" s="10">
        <v>3.6144734008184298</v>
      </c>
      <c r="Y26" s="10">
        <v>3.6128150130856298</v>
      </c>
      <c r="Z26" s="10">
        <v>3.61130052602272</v>
      </c>
      <c r="AA26" s="10">
        <v>3.6113918052040601</v>
      </c>
      <c r="AB26" s="8">
        <v>335.48600211513201</v>
      </c>
      <c r="AC26" s="8">
        <v>335.32801197861397</v>
      </c>
      <c r="AD26" s="8">
        <v>335.36444114357698</v>
      </c>
      <c r="AE26" s="9">
        <v>-4.5892391915988403E-4</v>
      </c>
      <c r="AF26" s="9">
        <v>-9.2996398725631697E-4</v>
      </c>
      <c r="AG26" s="9">
        <v>-8.2133248311541803E-4</v>
      </c>
      <c r="AZ26" s="9"/>
      <c r="BB26">
        <f t="shared" si="2"/>
        <v>0</v>
      </c>
      <c r="BC26">
        <f t="shared" si="3"/>
        <v>0</v>
      </c>
      <c r="BD26">
        <f t="shared" si="4"/>
        <v>1</v>
      </c>
      <c r="BE26">
        <f t="shared" si="0"/>
        <v>1</v>
      </c>
      <c r="BF26">
        <f t="shared" si="5"/>
        <v>1</v>
      </c>
      <c r="BG26" s="9">
        <f t="shared" si="6"/>
        <v>3.0838966553243901E-2</v>
      </c>
      <c r="BH26" s="9">
        <f t="shared" si="7"/>
        <v>-3.0400235875835301E-2</v>
      </c>
      <c r="BI26" s="9">
        <f t="shared" si="8"/>
        <v>4.3873067740859972E-4</v>
      </c>
      <c r="BJ26" s="12">
        <f t="shared" si="9"/>
        <v>4.3873067740859972E-4</v>
      </c>
      <c r="BL26" s="9"/>
      <c r="BN26">
        <f t="shared" si="10"/>
        <v>0</v>
      </c>
      <c r="BO26">
        <f t="shared" si="11"/>
        <v>1</v>
      </c>
      <c r="BP26">
        <f t="shared" si="12"/>
        <v>0</v>
      </c>
      <c r="BQ26">
        <f t="shared" si="1"/>
        <v>1</v>
      </c>
      <c r="BR26">
        <f t="shared" si="13"/>
        <v>0</v>
      </c>
      <c r="BS26" s="9">
        <f t="shared" si="14"/>
        <v>0</v>
      </c>
      <c r="BT26" s="9">
        <f t="shared" si="15"/>
        <v>0</v>
      </c>
      <c r="BU26" s="9">
        <f t="shared" si="16"/>
        <v>0</v>
      </c>
      <c r="BV26" s="12">
        <f t="shared" si="17"/>
        <v>0</v>
      </c>
      <c r="BX26" s="12">
        <f t="shared" si="18"/>
        <v>4.3873067740859972E-4</v>
      </c>
      <c r="BY26" s="12">
        <f t="shared" si="19"/>
        <v>4.3873067740859972E-4</v>
      </c>
    </row>
    <row r="27" spans="1:77" x14ac:dyDescent="0.3">
      <c r="A27" s="1">
        <v>46062</v>
      </c>
      <c r="B27" s="8">
        <v>93.32</v>
      </c>
      <c r="C27" s="8">
        <v>337.12</v>
      </c>
      <c r="D27" s="9">
        <v>4.9414645614535698E-3</v>
      </c>
      <c r="E27" s="9">
        <v>4.3997930540103699E-3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93.32</v>
      </c>
      <c r="M27" s="8">
        <v>337.12</v>
      </c>
      <c r="N27" s="10">
        <v>3.6125160737248101</v>
      </c>
      <c r="O27" s="10">
        <v>3.6128150130856298</v>
      </c>
      <c r="P27" s="10">
        <v>3.61164232416166</v>
      </c>
      <c r="Q27" s="10">
        <v>3.6111886827003699</v>
      </c>
      <c r="R27" s="8">
        <v>337.14789702115098</v>
      </c>
      <c r="S27" s="8">
        <v>337.00656508844099</v>
      </c>
      <c r="T27" s="8">
        <v>337.01508326164299</v>
      </c>
      <c r="U27" s="9">
        <v>8.2747588283309096E-5</v>
      </c>
      <c r="V27" s="9">
        <v>-3.3653891866652398E-4</v>
      </c>
      <c r="W27" s="9">
        <v>-3.1126325215437799E-4</v>
      </c>
      <c r="X27" s="10">
        <v>3.6125160737248101</v>
      </c>
      <c r="Y27" s="10">
        <v>3.6128150130856298</v>
      </c>
      <c r="Z27" s="10">
        <v>3.61164232416166</v>
      </c>
      <c r="AA27" s="10">
        <v>3.6111886827003699</v>
      </c>
      <c r="AB27" s="8">
        <v>337.14789702115098</v>
      </c>
      <c r="AC27" s="8">
        <v>337.00656508844099</v>
      </c>
      <c r="AD27" s="8">
        <v>337.01508326164299</v>
      </c>
      <c r="AE27" s="9">
        <v>8.2747588283309096E-5</v>
      </c>
      <c r="AF27" s="9">
        <v>-3.3653891866652398E-4</v>
      </c>
      <c r="AG27" s="9">
        <v>-3.1126325215437799E-4</v>
      </c>
      <c r="AZ27" s="9"/>
      <c r="BB27">
        <f t="shared" si="2"/>
        <v>0</v>
      </c>
      <c r="BC27">
        <f t="shared" si="3"/>
        <v>0</v>
      </c>
      <c r="BD27">
        <f t="shared" si="4"/>
        <v>1</v>
      </c>
      <c r="BE27">
        <f t="shared" si="0"/>
        <v>1</v>
      </c>
      <c r="BF27">
        <f t="shared" si="5"/>
        <v>1</v>
      </c>
      <c r="BG27" s="9">
        <f t="shared" si="6"/>
        <v>4.9414645614535698E-3</v>
      </c>
      <c r="BH27" s="9">
        <f t="shared" si="7"/>
        <v>-4.3997930540103699E-3</v>
      </c>
      <c r="BI27" s="9">
        <f t="shared" si="8"/>
        <v>5.4167150744319995E-4</v>
      </c>
      <c r="BJ27" s="12">
        <f t="shared" si="9"/>
        <v>9.8040218485179968E-4</v>
      </c>
      <c r="BL27" s="9"/>
      <c r="BN27">
        <f t="shared" si="10"/>
        <v>0</v>
      </c>
      <c r="BO27">
        <f t="shared" si="11"/>
        <v>1</v>
      </c>
      <c r="BP27">
        <f t="shared" si="12"/>
        <v>0</v>
      </c>
      <c r="BQ27">
        <f t="shared" si="1"/>
        <v>1</v>
      </c>
      <c r="BR27">
        <f t="shared" si="13"/>
        <v>0</v>
      </c>
      <c r="BS27" s="9">
        <f t="shared" si="14"/>
        <v>0</v>
      </c>
      <c r="BT27" s="9">
        <f t="shared" si="15"/>
        <v>0</v>
      </c>
      <c r="BU27" s="9">
        <f t="shared" si="16"/>
        <v>0</v>
      </c>
      <c r="BV27" s="12">
        <f t="shared" si="17"/>
        <v>0</v>
      </c>
      <c r="BX27" s="12">
        <f t="shared" si="18"/>
        <v>5.4167150744319995E-4</v>
      </c>
      <c r="BY27" s="12">
        <f t="shared" si="19"/>
        <v>9.8040218485179968E-4</v>
      </c>
    </row>
    <row r="28" spans="1:77" x14ac:dyDescent="0.3">
      <c r="A28" s="1">
        <v>46063</v>
      </c>
      <c r="B28" s="8">
        <v>93.26</v>
      </c>
      <c r="C28" s="8">
        <v>337.23</v>
      </c>
      <c r="D28" s="9">
        <v>-6.4315577305428396E-4</v>
      </c>
      <c r="E28" s="9">
        <v>3.2624008593662597E-4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93.26</v>
      </c>
      <c r="M28" s="8">
        <v>337.23</v>
      </c>
      <c r="N28" s="10">
        <v>3.6160197297876899</v>
      </c>
      <c r="O28" s="10">
        <v>3.6128150130856298</v>
      </c>
      <c r="P28" s="10">
        <v>3.6120813233467</v>
      </c>
      <c r="Q28" s="10">
        <v>3.6112371036253301</v>
      </c>
      <c r="R28" s="8">
        <v>336.931128120366</v>
      </c>
      <c r="S28" s="8">
        <v>336.82176315131602</v>
      </c>
      <c r="T28" s="8">
        <v>336.77945654863697</v>
      </c>
      <c r="U28" s="9">
        <v>-8.8664827070745404E-4</v>
      </c>
      <c r="V28" s="9">
        <v>-1.21129242860959E-3</v>
      </c>
      <c r="W28" s="9">
        <v>-1.33690562970781E-3</v>
      </c>
      <c r="X28" s="10">
        <v>3.6160197297876899</v>
      </c>
      <c r="Y28" s="10">
        <v>3.6128150130856298</v>
      </c>
      <c r="Z28" s="10">
        <v>3.6120813233467</v>
      </c>
      <c r="AA28" s="10">
        <v>3.6112371036253301</v>
      </c>
      <c r="AB28" s="8">
        <v>336.931128120366</v>
      </c>
      <c r="AC28" s="8">
        <v>336.82176315131602</v>
      </c>
      <c r="AD28" s="8">
        <v>336.77945654863697</v>
      </c>
      <c r="AE28" s="9">
        <v>-8.8664827070745404E-4</v>
      </c>
      <c r="AF28" s="9">
        <v>-1.21129242860959E-3</v>
      </c>
      <c r="AG28" s="9">
        <v>-1.33690562970781E-3</v>
      </c>
      <c r="AZ28" s="9"/>
      <c r="BB28">
        <f t="shared" si="2"/>
        <v>1</v>
      </c>
      <c r="BC28">
        <f t="shared" si="3"/>
        <v>0</v>
      </c>
      <c r="BD28">
        <f t="shared" si="4"/>
        <v>1</v>
      </c>
      <c r="BE28">
        <f t="shared" si="0"/>
        <v>1</v>
      </c>
      <c r="BF28">
        <f t="shared" si="5"/>
        <v>1</v>
      </c>
      <c r="BG28" s="9">
        <f t="shared" si="6"/>
        <v>-6.4315577305428396E-4</v>
      </c>
      <c r="BH28" s="9">
        <f t="shared" si="7"/>
        <v>-3.2624008593662597E-4</v>
      </c>
      <c r="BI28" s="9">
        <f t="shared" si="8"/>
        <v>-9.6939585899090993E-4</v>
      </c>
      <c r="BJ28" s="12">
        <f t="shared" si="9"/>
        <v>1.1006325860889741E-5</v>
      </c>
      <c r="BL28" s="9"/>
      <c r="BN28">
        <f t="shared" si="10"/>
        <v>0</v>
      </c>
      <c r="BO28">
        <f t="shared" si="11"/>
        <v>1</v>
      </c>
      <c r="BP28">
        <f t="shared" si="12"/>
        <v>0</v>
      </c>
      <c r="BQ28">
        <f t="shared" si="1"/>
        <v>1</v>
      </c>
      <c r="BR28">
        <f t="shared" si="13"/>
        <v>0</v>
      </c>
      <c r="BS28" s="9">
        <f t="shared" si="14"/>
        <v>0</v>
      </c>
      <c r="BT28" s="9">
        <f t="shared" si="15"/>
        <v>0</v>
      </c>
      <c r="BU28" s="9">
        <f t="shared" si="16"/>
        <v>0</v>
      </c>
      <c r="BV28" s="12">
        <f t="shared" si="17"/>
        <v>0</v>
      </c>
      <c r="BX28" s="12">
        <f t="shared" si="18"/>
        <v>-9.6939585899090993E-4</v>
      </c>
      <c r="BY28" s="12">
        <f t="shared" si="19"/>
        <v>1.1006325860889741E-5</v>
      </c>
    </row>
    <row r="29" spans="1:77" x14ac:dyDescent="0.3">
      <c r="A29" s="1">
        <v>46064</v>
      </c>
      <c r="B29" s="8">
        <v>93.76</v>
      </c>
      <c r="C29" s="8">
        <v>339.28</v>
      </c>
      <c r="D29" s="9">
        <v>5.3470344485276903E-3</v>
      </c>
      <c r="E29" s="9">
        <v>6.0605350245197297E-3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93.76</v>
      </c>
      <c r="M29" s="8">
        <v>339.28</v>
      </c>
      <c r="N29" s="10">
        <v>3.6186006825938501</v>
      </c>
      <c r="O29" s="10">
        <v>3.6128150130856298</v>
      </c>
      <c r="P29" s="10">
        <v>3.6127530938539101</v>
      </c>
      <c r="Q29" s="10">
        <v>3.6115402924222999</v>
      </c>
      <c r="R29" s="8">
        <v>338.73753562690899</v>
      </c>
      <c r="S29" s="8">
        <v>338.66874487698698</v>
      </c>
      <c r="T29" s="8">
        <v>338.589590835911</v>
      </c>
      <c r="U29" s="9">
        <v>-1.60014884669952E-3</v>
      </c>
      <c r="V29" s="9">
        <v>-1.8032492670482299E-3</v>
      </c>
      <c r="W29" s="9">
        <v>-2.0369977121013801E-3</v>
      </c>
      <c r="X29" s="10">
        <v>3.6186006825938501</v>
      </c>
      <c r="Y29" s="10">
        <v>3.6128150130856298</v>
      </c>
      <c r="Z29" s="10">
        <v>3.6127530938539101</v>
      </c>
      <c r="AA29" s="10">
        <v>3.6115402924222999</v>
      </c>
      <c r="AB29" s="8">
        <v>338.73753562690899</v>
      </c>
      <c r="AC29" s="8">
        <v>338.66874487698698</v>
      </c>
      <c r="AD29" s="8">
        <v>338.589590835911</v>
      </c>
      <c r="AE29" s="9">
        <v>-1.60014884669952E-3</v>
      </c>
      <c r="AF29" s="9">
        <v>-1.8032492670482299E-3</v>
      </c>
      <c r="AG29" s="9">
        <v>-2.0369977121013801E-3</v>
      </c>
      <c r="AZ29" s="9"/>
      <c r="BB29">
        <f t="shared" si="2"/>
        <v>1</v>
      </c>
      <c r="BC29">
        <f t="shared" si="3"/>
        <v>0</v>
      </c>
      <c r="BD29">
        <f t="shared" si="4"/>
        <v>1</v>
      </c>
      <c r="BE29">
        <f t="shared" si="0"/>
        <v>1</v>
      </c>
      <c r="BF29">
        <f t="shared" si="5"/>
        <v>1</v>
      </c>
      <c r="BG29" s="9">
        <f t="shared" si="6"/>
        <v>5.3470344485276903E-3</v>
      </c>
      <c r="BH29" s="9">
        <f t="shared" si="7"/>
        <v>-6.0605350245197297E-3</v>
      </c>
      <c r="BI29" s="9">
        <f t="shared" si="8"/>
        <v>-7.1350057599203938E-4</v>
      </c>
      <c r="BJ29" s="12">
        <f t="shared" si="9"/>
        <v>-7.0249425013114964E-4</v>
      </c>
      <c r="BL29" s="9"/>
      <c r="BN29">
        <f t="shared" si="10"/>
        <v>0</v>
      </c>
      <c r="BO29">
        <f t="shared" si="11"/>
        <v>1</v>
      </c>
      <c r="BP29">
        <f t="shared" si="12"/>
        <v>0</v>
      </c>
      <c r="BQ29">
        <f t="shared" si="1"/>
        <v>1</v>
      </c>
      <c r="BR29">
        <f t="shared" si="13"/>
        <v>0</v>
      </c>
      <c r="BS29" s="9">
        <f t="shared" si="14"/>
        <v>0</v>
      </c>
      <c r="BT29" s="9">
        <f t="shared" si="15"/>
        <v>0</v>
      </c>
      <c r="BU29" s="9">
        <f t="shared" si="16"/>
        <v>0</v>
      </c>
      <c r="BV29" s="12">
        <f t="shared" si="17"/>
        <v>0</v>
      </c>
      <c r="BX29" s="12">
        <f t="shared" si="18"/>
        <v>-7.1350057599203938E-4</v>
      </c>
      <c r="BY29" s="12">
        <f t="shared" si="19"/>
        <v>-7.0249425013114964E-4</v>
      </c>
    </row>
    <row r="30" spans="1:77" x14ac:dyDescent="0.3">
      <c r="A30" s="1">
        <v>46065</v>
      </c>
      <c r="B30" s="8">
        <v>92.52</v>
      </c>
      <c r="C30" s="8">
        <v>334.23</v>
      </c>
      <c r="D30" s="9">
        <v>-1.33134884654641E-2</v>
      </c>
      <c r="E30" s="9">
        <v>-1.49963464270002E-2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92.52</v>
      </c>
      <c r="M30" s="8">
        <v>334.23</v>
      </c>
      <c r="N30" s="10">
        <v>3.61251621271076</v>
      </c>
      <c r="O30" s="10">
        <v>3.6128150130856298</v>
      </c>
      <c r="P30" s="10">
        <v>3.6129172711787998</v>
      </c>
      <c r="Q30" s="10">
        <v>3.61170769898313</v>
      </c>
      <c r="R30" s="8">
        <v>334.25764501068301</v>
      </c>
      <c r="S30" s="8">
        <v>334.25191624336401</v>
      </c>
      <c r="T30" s="8">
        <v>334.13970785491102</v>
      </c>
      <c r="U30" s="9">
        <v>8.2709114836625395E-5</v>
      </c>
      <c r="V30" s="9">
        <v>6.5570190725923198E-5</v>
      </c>
      <c r="W30" s="9">
        <v>-2.70186229497415E-4</v>
      </c>
      <c r="X30" s="10">
        <v>3.61251621271076</v>
      </c>
      <c r="Y30" s="10">
        <v>3.6128150130856298</v>
      </c>
      <c r="Z30" s="10">
        <v>3.6129172711787998</v>
      </c>
      <c r="AA30" s="10">
        <v>3.61170769898313</v>
      </c>
      <c r="AB30" s="8">
        <v>334.25764501068301</v>
      </c>
      <c r="AC30" s="8">
        <v>334.25191624336401</v>
      </c>
      <c r="AD30" s="8">
        <v>334.13970785491102</v>
      </c>
      <c r="AE30" s="9">
        <v>8.2709114836625395E-5</v>
      </c>
      <c r="AF30" s="9">
        <v>6.5570190725923198E-5</v>
      </c>
      <c r="AG30" s="9">
        <v>-2.70186229497415E-4</v>
      </c>
      <c r="AZ30" s="9"/>
      <c r="BB30">
        <f t="shared" si="2"/>
        <v>0</v>
      </c>
      <c r="BC30">
        <f t="shared" si="3"/>
        <v>0</v>
      </c>
      <c r="BD30">
        <f t="shared" si="4"/>
        <v>1</v>
      </c>
      <c r="BE30">
        <f t="shared" si="0"/>
        <v>1</v>
      </c>
      <c r="BF30">
        <f t="shared" si="5"/>
        <v>1</v>
      </c>
      <c r="BG30" s="9">
        <f t="shared" si="6"/>
        <v>-1.33134884654641E-2</v>
      </c>
      <c r="BH30" s="9">
        <f t="shared" si="7"/>
        <v>1.49963464270002E-2</v>
      </c>
      <c r="BI30" s="9">
        <f t="shared" si="8"/>
        <v>1.6828579615361001E-3</v>
      </c>
      <c r="BJ30" s="12">
        <f t="shared" si="9"/>
        <v>9.8036371140495051E-4</v>
      </c>
      <c r="BL30" s="9"/>
      <c r="BN30">
        <f t="shared" si="10"/>
        <v>0</v>
      </c>
      <c r="BO30">
        <f t="shared" si="11"/>
        <v>1</v>
      </c>
      <c r="BP30">
        <f t="shared" si="12"/>
        <v>0</v>
      </c>
      <c r="BQ30">
        <f t="shared" si="1"/>
        <v>1</v>
      </c>
      <c r="BR30">
        <f t="shared" si="13"/>
        <v>0</v>
      </c>
      <c r="BS30" s="9">
        <f t="shared" si="14"/>
        <v>0</v>
      </c>
      <c r="BT30" s="9">
        <f t="shared" si="15"/>
        <v>0</v>
      </c>
      <c r="BU30" s="9">
        <f t="shared" si="16"/>
        <v>0</v>
      </c>
      <c r="BV30" s="12">
        <f t="shared" si="17"/>
        <v>0</v>
      </c>
      <c r="BX30" s="12">
        <f t="shared" si="18"/>
        <v>1.6828579615361001E-3</v>
      </c>
      <c r="BY30" s="12">
        <f t="shared" si="19"/>
        <v>9.8036371140495051E-4</v>
      </c>
    </row>
    <row r="31" spans="1:77" x14ac:dyDescent="0.3">
      <c r="A31" s="1">
        <v>46066</v>
      </c>
      <c r="B31" s="8">
        <v>93.38</v>
      </c>
      <c r="C31" s="8">
        <v>337.03</v>
      </c>
      <c r="D31" s="9">
        <v>9.2523521795524998E-3</v>
      </c>
      <c r="E31" s="9">
        <v>8.3425684224262692E-3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93.38</v>
      </c>
      <c r="M31" s="8">
        <v>337.03</v>
      </c>
      <c r="N31" s="10">
        <v>3.6092310987363398</v>
      </c>
      <c r="O31" s="10">
        <v>3.6128150130856298</v>
      </c>
      <c r="P31" s="10">
        <v>3.6134352037873798</v>
      </c>
      <c r="Q31" s="10">
        <v>3.6115116245226799</v>
      </c>
      <c r="R31" s="8">
        <v>337.36466592193602</v>
      </c>
      <c r="S31" s="8">
        <v>337.37421478267697</v>
      </c>
      <c r="T31" s="8">
        <v>337.26126493104499</v>
      </c>
      <c r="U31" s="9">
        <v>9.9249287196282094E-4</v>
      </c>
      <c r="V31" s="9">
        <v>1.0207967418413E-3</v>
      </c>
      <c r="W31" s="9">
        <v>6.8594968418351598E-4</v>
      </c>
      <c r="X31" s="10">
        <v>3.6092310987363398</v>
      </c>
      <c r="Y31" s="10">
        <v>3.6128150130856298</v>
      </c>
      <c r="Z31" s="10">
        <v>3.6134352037873798</v>
      </c>
      <c r="AA31" s="10">
        <v>3.6115116245226799</v>
      </c>
      <c r="AB31" s="8">
        <v>337.36466592193602</v>
      </c>
      <c r="AC31" s="8">
        <v>337.37421478267697</v>
      </c>
      <c r="AD31" s="8">
        <v>337.26126493104499</v>
      </c>
      <c r="AE31" s="9">
        <v>9.9249287196282094E-4</v>
      </c>
      <c r="AF31" s="9">
        <v>1.0207967418413E-3</v>
      </c>
      <c r="AG31" s="9">
        <v>6.8594968418351598E-4</v>
      </c>
      <c r="AZ31" s="9"/>
      <c r="BB31">
        <f t="shared" si="2"/>
        <v>0</v>
      </c>
      <c r="BC31">
        <f t="shared" si="3"/>
        <v>1</v>
      </c>
      <c r="BD31">
        <f t="shared" si="4"/>
        <v>1</v>
      </c>
      <c r="BE31">
        <f t="shared" si="0"/>
        <v>1</v>
      </c>
      <c r="BF31">
        <f t="shared" si="5"/>
        <v>1</v>
      </c>
      <c r="BG31" s="9">
        <f t="shared" si="6"/>
        <v>9.2523521795524998E-3</v>
      </c>
      <c r="BH31" s="9">
        <f t="shared" si="7"/>
        <v>-8.3425684224262692E-3</v>
      </c>
      <c r="BI31" s="9">
        <f t="shared" si="8"/>
        <v>9.0978375712623058E-4</v>
      </c>
      <c r="BJ31" s="12">
        <f t="shared" si="9"/>
        <v>1.8901474685311811E-3</v>
      </c>
      <c r="BL31" s="9"/>
      <c r="BN31">
        <f t="shared" si="10"/>
        <v>0</v>
      </c>
      <c r="BO31">
        <f t="shared" si="11"/>
        <v>0</v>
      </c>
      <c r="BP31">
        <f t="shared" si="12"/>
        <v>0</v>
      </c>
      <c r="BQ31">
        <f t="shared" si="1"/>
        <v>1</v>
      </c>
      <c r="BR31">
        <f t="shared" si="13"/>
        <v>0</v>
      </c>
      <c r="BS31" s="9">
        <f t="shared" si="14"/>
        <v>0</v>
      </c>
      <c r="BT31" s="9">
        <f t="shared" si="15"/>
        <v>0</v>
      </c>
      <c r="BU31" s="9">
        <f t="shared" si="16"/>
        <v>0</v>
      </c>
      <c r="BV31" s="12">
        <f t="shared" si="17"/>
        <v>0</v>
      </c>
      <c r="BX31" s="12">
        <f t="shared" si="18"/>
        <v>9.0978375712623058E-4</v>
      </c>
      <c r="BY31" s="12">
        <f t="shared" si="19"/>
        <v>1.8901474685311811E-3</v>
      </c>
    </row>
    <row r="32" spans="1:77" x14ac:dyDescent="0.3">
      <c r="A32" s="1">
        <v>46070</v>
      </c>
      <c r="B32" s="8">
        <v>93.89</v>
      </c>
      <c r="C32" s="8">
        <v>338.64</v>
      </c>
      <c r="D32" s="9">
        <v>5.4466947276651297E-3</v>
      </c>
      <c r="E32" s="9">
        <v>4.76564905090691E-3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93.89</v>
      </c>
      <c r="M32" s="8">
        <v>338.64</v>
      </c>
      <c r="N32" s="10">
        <v>3.6067738843327199</v>
      </c>
      <c r="O32" s="10">
        <v>3.6128150130856298</v>
      </c>
      <c r="P32" s="10">
        <v>3.6129055996808499</v>
      </c>
      <c r="Q32" s="10">
        <v>3.6113998181831501</v>
      </c>
      <c r="R32" s="8">
        <v>339.20720157861001</v>
      </c>
      <c r="S32" s="8">
        <v>339.26543128359702</v>
      </c>
      <c r="T32" s="8">
        <v>339.08482642643497</v>
      </c>
      <c r="U32" s="9">
        <v>1.67353854872113E-3</v>
      </c>
      <c r="V32" s="9">
        <v>1.8451879338542399E-3</v>
      </c>
      <c r="W32" s="9">
        <v>1.31270531332824E-3</v>
      </c>
      <c r="X32" s="10">
        <v>3.6067738843327199</v>
      </c>
      <c r="Y32" s="10">
        <v>3.6128150130856298</v>
      </c>
      <c r="Z32" s="10">
        <v>3.6129055996808499</v>
      </c>
      <c r="AA32" s="10">
        <v>3.6113998181831501</v>
      </c>
      <c r="AB32" s="8">
        <v>339.20720157861001</v>
      </c>
      <c r="AC32" s="8">
        <v>339.26543128359702</v>
      </c>
      <c r="AD32" s="8">
        <v>339.08482642643497</v>
      </c>
      <c r="AE32" s="9">
        <v>1.67353854872113E-3</v>
      </c>
      <c r="AF32" s="9">
        <v>1.8451879338542399E-3</v>
      </c>
      <c r="AG32" s="9">
        <v>1.31270531332824E-3</v>
      </c>
      <c r="AZ32" s="9"/>
      <c r="BB32">
        <f t="shared" si="2"/>
        <v>0</v>
      </c>
      <c r="BC32">
        <f t="shared" si="3"/>
        <v>1</v>
      </c>
      <c r="BD32">
        <f t="shared" si="4"/>
        <v>0</v>
      </c>
      <c r="BE32">
        <f t="shared" si="0"/>
        <v>1</v>
      </c>
      <c r="BF32">
        <f t="shared" si="5"/>
        <v>0</v>
      </c>
      <c r="BG32" s="9">
        <f t="shared" si="6"/>
        <v>0</v>
      </c>
      <c r="BH32" s="9">
        <f t="shared" si="7"/>
        <v>0</v>
      </c>
      <c r="BI32" s="9">
        <f t="shared" si="8"/>
        <v>0</v>
      </c>
      <c r="BJ32" s="12">
        <f t="shared" si="9"/>
        <v>1.8901474685311811E-3</v>
      </c>
      <c r="BL32" s="9"/>
      <c r="BN32">
        <f t="shared" si="10"/>
        <v>0</v>
      </c>
      <c r="BO32">
        <f t="shared" si="11"/>
        <v>0</v>
      </c>
      <c r="BP32">
        <f t="shared" si="12"/>
        <v>0</v>
      </c>
      <c r="BQ32">
        <f t="shared" si="1"/>
        <v>1</v>
      </c>
      <c r="BR32">
        <f t="shared" si="13"/>
        <v>0</v>
      </c>
      <c r="BS32" s="9">
        <f t="shared" si="14"/>
        <v>0</v>
      </c>
      <c r="BT32" s="9">
        <f t="shared" si="15"/>
        <v>0</v>
      </c>
      <c r="BU32" s="9">
        <f t="shared" si="16"/>
        <v>0</v>
      </c>
      <c r="BV32" s="12">
        <f t="shared" si="17"/>
        <v>0</v>
      </c>
      <c r="BX32" s="12">
        <f t="shared" si="18"/>
        <v>0</v>
      </c>
      <c r="BY32" s="12">
        <f t="shared" si="19"/>
        <v>1.8901474685311811E-3</v>
      </c>
    </row>
    <row r="33" spans="1:77" x14ac:dyDescent="0.3">
      <c r="A33" s="1">
        <v>46071</v>
      </c>
      <c r="B33" s="8">
        <v>93.88</v>
      </c>
      <c r="C33" s="8">
        <v>339.23</v>
      </c>
      <c r="D33" s="9">
        <v>-1.06513287633341E-4</v>
      </c>
      <c r="E33" s="9">
        <v>1.74074719041976E-3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93.88</v>
      </c>
      <c r="M33" s="8">
        <v>339.23</v>
      </c>
      <c r="N33" s="10">
        <v>3.61344269279931</v>
      </c>
      <c r="O33" s="10">
        <v>3.6128150130856298</v>
      </c>
      <c r="P33" s="10">
        <v>3.6131540691592199</v>
      </c>
      <c r="Q33" s="10">
        <v>3.6118053617851098</v>
      </c>
      <c r="R33" s="8">
        <v>339.17107342847902</v>
      </c>
      <c r="S33" s="8">
        <v>339.17957769803797</v>
      </c>
      <c r="T33" s="8">
        <v>339.03821493103402</v>
      </c>
      <c r="U33" s="9">
        <v>-1.7372192933200401E-4</v>
      </c>
      <c r="V33" s="9">
        <v>-1.48648556010327E-4</v>
      </c>
      <c r="W33" s="9">
        <v>-5.6551396587656202E-4</v>
      </c>
      <c r="X33" s="10">
        <v>3.61344269279931</v>
      </c>
      <c r="Y33" s="10">
        <v>3.6128150130856298</v>
      </c>
      <c r="Z33" s="10">
        <v>3.6131540691592199</v>
      </c>
      <c r="AA33" s="10">
        <v>3.6118053617851098</v>
      </c>
      <c r="AB33" s="8">
        <v>339.17107342847902</v>
      </c>
      <c r="AC33" s="8">
        <v>339.17957769803797</v>
      </c>
      <c r="AD33" s="8">
        <v>339.03821493103402</v>
      </c>
      <c r="AE33" s="9">
        <v>-1.7372192933200401E-4</v>
      </c>
      <c r="AF33" s="9">
        <v>-1.48648556010327E-4</v>
      </c>
      <c r="AG33" s="9">
        <v>-5.6551396587656202E-4</v>
      </c>
      <c r="AZ33" s="9"/>
      <c r="BB33">
        <f t="shared" si="2"/>
        <v>0</v>
      </c>
      <c r="BC33">
        <f t="shared" si="3"/>
        <v>0</v>
      </c>
      <c r="BD33">
        <f t="shared" si="4"/>
        <v>0</v>
      </c>
      <c r="BE33">
        <f t="shared" si="0"/>
        <v>1</v>
      </c>
      <c r="BF33">
        <f t="shared" si="5"/>
        <v>0</v>
      </c>
      <c r="BG33" s="9">
        <f t="shared" si="6"/>
        <v>0</v>
      </c>
      <c r="BH33" s="9">
        <f t="shared" si="7"/>
        <v>0</v>
      </c>
      <c r="BI33" s="9">
        <f t="shared" si="8"/>
        <v>0</v>
      </c>
      <c r="BJ33" s="12">
        <f t="shared" si="9"/>
        <v>1.8901474685311811E-3</v>
      </c>
      <c r="BL33" s="9"/>
      <c r="BN33">
        <f t="shared" si="10"/>
        <v>0</v>
      </c>
      <c r="BO33">
        <f t="shared" si="11"/>
        <v>1</v>
      </c>
      <c r="BP33">
        <f t="shared" si="12"/>
        <v>0</v>
      </c>
      <c r="BQ33">
        <f t="shared" si="1"/>
        <v>1</v>
      </c>
      <c r="BR33">
        <f t="shared" si="13"/>
        <v>0</v>
      </c>
      <c r="BS33" s="9">
        <f t="shared" si="14"/>
        <v>0</v>
      </c>
      <c r="BT33" s="9">
        <f t="shared" si="15"/>
        <v>0</v>
      </c>
      <c r="BU33" s="9">
        <f t="shared" si="16"/>
        <v>0</v>
      </c>
      <c r="BV33" s="12">
        <f t="shared" si="17"/>
        <v>0</v>
      </c>
      <c r="BX33" s="12">
        <f t="shared" si="18"/>
        <v>0</v>
      </c>
      <c r="BY33" s="12">
        <f t="shared" si="19"/>
        <v>1.8901474685311811E-3</v>
      </c>
    </row>
    <row r="34" spans="1:77" x14ac:dyDescent="0.3">
      <c r="A34" s="1">
        <v>46072</v>
      </c>
      <c r="B34" s="8">
        <v>94.69</v>
      </c>
      <c r="C34" s="8">
        <v>341.5</v>
      </c>
      <c r="D34" s="9">
        <v>8.5910270125860305E-3</v>
      </c>
      <c r="E34" s="9">
        <v>6.6693356077568103E-3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94.69</v>
      </c>
      <c r="M34" s="8">
        <v>341.5</v>
      </c>
      <c r="N34" s="10">
        <v>3.6065054388002902</v>
      </c>
      <c r="O34" s="10">
        <v>3.6128150130856298</v>
      </c>
      <c r="P34" s="10">
        <v>3.6126138743402398</v>
      </c>
      <c r="Q34" s="10">
        <v>3.6116147784325801</v>
      </c>
      <c r="R34" s="8">
        <v>342.09745358907901</v>
      </c>
      <c r="S34" s="8">
        <v>342.129558808686</v>
      </c>
      <c r="T34" s="8">
        <v>342.00184970743197</v>
      </c>
      <c r="U34" s="9">
        <v>1.7479694754970101E-3</v>
      </c>
      <c r="V34" s="9">
        <v>1.84181324094164E-3</v>
      </c>
      <c r="W34" s="9">
        <v>1.46846653839934E-3</v>
      </c>
      <c r="X34" s="10">
        <v>3.6065054388002902</v>
      </c>
      <c r="Y34" s="10">
        <v>3.6128150130856298</v>
      </c>
      <c r="Z34" s="10">
        <v>3.6126138743402398</v>
      </c>
      <c r="AA34" s="10">
        <v>3.6116147784325801</v>
      </c>
      <c r="AB34" s="8">
        <v>342.09745358907901</v>
      </c>
      <c r="AC34" s="8">
        <v>342.129558808686</v>
      </c>
      <c r="AD34" s="8">
        <v>342.00184970743197</v>
      </c>
      <c r="AE34" s="9">
        <v>1.7479694754970101E-3</v>
      </c>
      <c r="AF34" s="9">
        <v>1.84181324094164E-3</v>
      </c>
      <c r="AG34" s="9">
        <v>1.46846653839934E-3</v>
      </c>
      <c r="AZ34" s="9"/>
      <c r="BB34">
        <f t="shared" si="2"/>
        <v>0</v>
      </c>
      <c r="BC34">
        <f t="shared" si="3"/>
        <v>1</v>
      </c>
      <c r="BD34">
        <f t="shared" si="4"/>
        <v>0</v>
      </c>
      <c r="BE34">
        <f t="shared" si="0"/>
        <v>1</v>
      </c>
      <c r="BF34">
        <f t="shared" si="5"/>
        <v>0</v>
      </c>
      <c r="BG34" s="9">
        <f t="shared" si="6"/>
        <v>0</v>
      </c>
      <c r="BH34" s="9">
        <f t="shared" si="7"/>
        <v>0</v>
      </c>
      <c r="BI34" s="9">
        <f t="shared" si="8"/>
        <v>0</v>
      </c>
      <c r="BJ34" s="12">
        <f t="shared" si="9"/>
        <v>1.8901474685311811E-3</v>
      </c>
      <c r="BL34" s="9"/>
      <c r="BN34">
        <f t="shared" si="10"/>
        <v>0</v>
      </c>
      <c r="BO34">
        <f t="shared" si="11"/>
        <v>0</v>
      </c>
      <c r="BP34">
        <f t="shared" si="12"/>
        <v>0</v>
      </c>
      <c r="BQ34">
        <f t="shared" si="1"/>
        <v>1</v>
      </c>
      <c r="BR34">
        <f t="shared" si="13"/>
        <v>0</v>
      </c>
      <c r="BS34" s="9">
        <f t="shared" si="14"/>
        <v>0</v>
      </c>
      <c r="BT34" s="9">
        <f t="shared" si="15"/>
        <v>0</v>
      </c>
      <c r="BU34" s="9">
        <f t="shared" si="16"/>
        <v>0</v>
      </c>
      <c r="BV34" s="12">
        <f t="shared" si="17"/>
        <v>0</v>
      </c>
      <c r="BX34" s="12">
        <f t="shared" si="18"/>
        <v>0</v>
      </c>
      <c r="BY34" s="12">
        <f t="shared" si="19"/>
        <v>1.8901474685311811E-3</v>
      </c>
    </row>
    <row r="35" spans="1:77" x14ac:dyDescent="0.3">
      <c r="A35" s="1">
        <v>46073</v>
      </c>
      <c r="B35" s="8">
        <v>94.96</v>
      </c>
      <c r="C35" s="8">
        <v>342.93</v>
      </c>
      <c r="D35" s="9">
        <v>2.8473523060038599E-3</v>
      </c>
      <c r="E35" s="9">
        <v>4.1786656949520098E-3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94.96</v>
      </c>
      <c r="M35" s="8">
        <v>342.93</v>
      </c>
      <c r="N35" s="10">
        <v>3.6113100252738</v>
      </c>
      <c r="O35" s="10">
        <v>3.6128150130856298</v>
      </c>
      <c r="P35" s="10">
        <v>3.6121389239577999</v>
      </c>
      <c r="Q35" s="10">
        <v>3.6116262785770799</v>
      </c>
      <c r="R35" s="8">
        <v>343.07291364261198</v>
      </c>
      <c r="S35" s="8">
        <v>343.05381350734899</v>
      </c>
      <c r="T35" s="8">
        <v>342.95893935995798</v>
      </c>
      <c r="U35" s="9">
        <v>4.1665608654890401E-4</v>
      </c>
      <c r="V35" s="9">
        <v>3.6098084606670601E-4</v>
      </c>
      <c r="W35" s="9">
        <v>8.4384973470491293E-5</v>
      </c>
      <c r="X35" s="10">
        <v>3.6113100252738</v>
      </c>
      <c r="Y35" s="10">
        <v>3.6128150130856298</v>
      </c>
      <c r="Z35" s="10">
        <v>3.6121389239577999</v>
      </c>
      <c r="AA35" s="10">
        <v>3.6116262785770799</v>
      </c>
      <c r="AB35" s="8">
        <v>343.07291364261198</v>
      </c>
      <c r="AC35" s="8">
        <v>343.05381350734899</v>
      </c>
      <c r="AD35" s="8">
        <v>342.95893935995798</v>
      </c>
      <c r="AE35" s="9">
        <v>4.1665608654890401E-4</v>
      </c>
      <c r="AF35" s="9">
        <v>3.6098084606670601E-4</v>
      </c>
      <c r="AG35" s="9">
        <v>8.4384973470491293E-5</v>
      </c>
      <c r="AZ35" s="9"/>
      <c r="BB35">
        <f t="shared" si="2"/>
        <v>0</v>
      </c>
      <c r="BC35">
        <f t="shared" si="3"/>
        <v>1</v>
      </c>
      <c r="BD35">
        <f t="shared" si="4"/>
        <v>0</v>
      </c>
      <c r="BE35">
        <f t="shared" si="0"/>
        <v>1</v>
      </c>
      <c r="BF35">
        <f t="shared" si="5"/>
        <v>0</v>
      </c>
      <c r="BG35" s="9">
        <f t="shared" si="6"/>
        <v>0</v>
      </c>
      <c r="BH35" s="9">
        <f t="shared" si="7"/>
        <v>0</v>
      </c>
      <c r="BI35" s="9">
        <f t="shared" si="8"/>
        <v>0</v>
      </c>
      <c r="BJ35" s="12">
        <f t="shared" si="9"/>
        <v>1.8901474685311811E-3</v>
      </c>
      <c r="BL35" s="9"/>
      <c r="BN35">
        <f t="shared" si="10"/>
        <v>0</v>
      </c>
      <c r="BO35">
        <f t="shared" si="11"/>
        <v>0</v>
      </c>
      <c r="BP35">
        <f t="shared" si="12"/>
        <v>0</v>
      </c>
      <c r="BQ35">
        <f t="shared" si="1"/>
        <v>1</v>
      </c>
      <c r="BR35">
        <f t="shared" si="13"/>
        <v>0</v>
      </c>
      <c r="BS35" s="9">
        <f t="shared" si="14"/>
        <v>0</v>
      </c>
      <c r="BT35" s="9">
        <f t="shared" si="15"/>
        <v>0</v>
      </c>
      <c r="BU35" s="9">
        <f t="shared" si="16"/>
        <v>0</v>
      </c>
      <c r="BV35" s="12">
        <f t="shared" si="17"/>
        <v>0</v>
      </c>
      <c r="BX35" s="12">
        <f t="shared" si="18"/>
        <v>0</v>
      </c>
      <c r="BY35" s="12">
        <f t="shared" si="19"/>
        <v>1.8901474685311811E-3</v>
      </c>
    </row>
    <row r="36" spans="1:77" x14ac:dyDescent="0.3">
      <c r="A36" s="1">
        <v>46076</v>
      </c>
      <c r="B36" s="8">
        <v>93.69</v>
      </c>
      <c r="C36" s="8">
        <v>337.98</v>
      </c>
      <c r="D36" s="9">
        <v>-1.34642903383156E-2</v>
      </c>
      <c r="E36" s="9">
        <v>-1.4539622571119E-2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93.69</v>
      </c>
      <c r="M36" s="8">
        <v>337.98</v>
      </c>
      <c r="N36" s="10">
        <v>3.6074287544028101</v>
      </c>
      <c r="O36" s="10">
        <v>3.6128150130856298</v>
      </c>
      <c r="P36" s="10">
        <v>3.6114344593162402</v>
      </c>
      <c r="Q36" s="10">
        <v>3.6113674926694799</v>
      </c>
      <c r="R36" s="8">
        <v>338.48463857599302</v>
      </c>
      <c r="S36" s="8">
        <v>338.42129578560599</v>
      </c>
      <c r="T36" s="8">
        <v>338.37326603988703</v>
      </c>
      <c r="U36" s="9">
        <v>1.4919883193522799E-3</v>
      </c>
      <c r="V36" s="9">
        <v>1.30483442586109E-3</v>
      </c>
      <c r="W36" s="9">
        <v>1.1629014124784E-3</v>
      </c>
      <c r="X36" s="10">
        <v>3.6074287544028101</v>
      </c>
      <c r="Y36" s="10">
        <v>3.6128150130856298</v>
      </c>
      <c r="Z36" s="10">
        <v>3.6114344593162402</v>
      </c>
      <c r="AA36" s="10">
        <v>3.6113674926694799</v>
      </c>
      <c r="AB36" s="8">
        <v>338.48463857599302</v>
      </c>
      <c r="AC36" s="8">
        <v>338.42129578560599</v>
      </c>
      <c r="AD36" s="8">
        <v>338.37326603988703</v>
      </c>
      <c r="AE36" s="9">
        <v>1.4919883193522799E-3</v>
      </c>
      <c r="AF36" s="9">
        <v>1.30483442586109E-3</v>
      </c>
      <c r="AG36" s="9">
        <v>1.1629014124784E-3</v>
      </c>
      <c r="AZ36" s="9"/>
      <c r="BB36">
        <f t="shared" si="2"/>
        <v>0</v>
      </c>
      <c r="BC36">
        <f t="shared" si="3"/>
        <v>1</v>
      </c>
      <c r="BD36">
        <f t="shared" si="4"/>
        <v>0</v>
      </c>
      <c r="BE36">
        <f t="shared" si="0"/>
        <v>1</v>
      </c>
      <c r="BF36">
        <f t="shared" si="5"/>
        <v>0</v>
      </c>
      <c r="BG36" s="9">
        <f t="shared" si="6"/>
        <v>0</v>
      </c>
      <c r="BH36" s="9">
        <f t="shared" si="7"/>
        <v>0</v>
      </c>
      <c r="BI36" s="9">
        <f t="shared" si="8"/>
        <v>0</v>
      </c>
      <c r="BJ36" s="12">
        <f t="shared" si="9"/>
        <v>1.8901474685311811E-3</v>
      </c>
      <c r="BL36" s="9"/>
      <c r="BN36">
        <f t="shared" si="10"/>
        <v>0</v>
      </c>
      <c r="BO36">
        <f t="shared" si="11"/>
        <v>0</v>
      </c>
      <c r="BP36">
        <f t="shared" si="12"/>
        <v>0</v>
      </c>
      <c r="BQ36">
        <f t="shared" si="1"/>
        <v>1</v>
      </c>
      <c r="BR36">
        <f t="shared" si="13"/>
        <v>0</v>
      </c>
      <c r="BS36" s="9">
        <f t="shared" si="14"/>
        <v>0</v>
      </c>
      <c r="BT36" s="9">
        <f t="shared" si="15"/>
        <v>0</v>
      </c>
      <c r="BU36" s="9">
        <f t="shared" si="16"/>
        <v>0</v>
      </c>
      <c r="BV36" s="12">
        <f t="shared" si="17"/>
        <v>0</v>
      </c>
      <c r="BX36" s="12">
        <f t="shared" si="18"/>
        <v>0</v>
      </c>
      <c r="BY36" s="12">
        <f t="shared" si="19"/>
        <v>1.8901474685311811E-3</v>
      </c>
    </row>
    <row r="37" spans="1:77" x14ac:dyDescent="0.3">
      <c r="A37" s="1">
        <v>46077</v>
      </c>
      <c r="B37" s="8">
        <v>94.75</v>
      </c>
      <c r="C37" s="8">
        <v>342.37</v>
      </c>
      <c r="D37" s="9">
        <v>1.12503839994388E-2</v>
      </c>
      <c r="E37" s="9">
        <v>1.29053014719015E-2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94.75</v>
      </c>
      <c r="M37" s="8">
        <v>342.37</v>
      </c>
      <c r="N37" s="10">
        <v>3.61340369393139</v>
      </c>
      <c r="O37" s="10">
        <v>3.6128150130856298</v>
      </c>
      <c r="P37" s="10">
        <v>3.6115232213369</v>
      </c>
      <c r="Q37" s="10">
        <v>3.61158277274928</v>
      </c>
      <c r="R37" s="8">
        <v>342.31422248986399</v>
      </c>
      <c r="S37" s="8">
        <v>342.183415020214</v>
      </c>
      <c r="T37" s="8">
        <v>342.17706993043299</v>
      </c>
      <c r="U37" s="9">
        <v>-1.6292915311022499E-4</v>
      </c>
      <c r="V37" s="9">
        <v>-5.4512907338555305E-4</v>
      </c>
      <c r="W37" s="9">
        <v>-5.6367219479608397E-4</v>
      </c>
      <c r="X37" s="10">
        <v>3.61340369393139</v>
      </c>
      <c r="Y37" s="10">
        <v>3.6128150130856298</v>
      </c>
      <c r="Z37" s="10">
        <v>3.6115232213369</v>
      </c>
      <c r="AA37" s="10">
        <v>3.61158277274928</v>
      </c>
      <c r="AB37" s="8">
        <v>342.31422248986399</v>
      </c>
      <c r="AC37" s="8">
        <v>342.183415020214</v>
      </c>
      <c r="AD37" s="8">
        <v>342.17706993043299</v>
      </c>
      <c r="AE37" s="9">
        <v>-1.6292915311022499E-4</v>
      </c>
      <c r="AF37" s="9">
        <v>-5.4512907338555305E-4</v>
      </c>
      <c r="AG37" s="9">
        <v>-5.6367219479608397E-4</v>
      </c>
      <c r="AZ37" s="9"/>
      <c r="BB37">
        <f t="shared" si="2"/>
        <v>0</v>
      </c>
      <c r="BC37">
        <f t="shared" si="3"/>
        <v>0</v>
      </c>
      <c r="BD37">
        <f t="shared" si="4"/>
        <v>0</v>
      </c>
      <c r="BE37">
        <f t="shared" si="0"/>
        <v>1</v>
      </c>
      <c r="BF37">
        <f t="shared" si="5"/>
        <v>0</v>
      </c>
      <c r="BG37" s="9">
        <f t="shared" si="6"/>
        <v>0</v>
      </c>
      <c r="BH37" s="9">
        <f t="shared" si="7"/>
        <v>0</v>
      </c>
      <c r="BI37" s="9">
        <f t="shared" si="8"/>
        <v>0</v>
      </c>
      <c r="BJ37" s="12">
        <f t="shared" si="9"/>
        <v>1.8901474685311811E-3</v>
      </c>
      <c r="BL37" s="9"/>
      <c r="BN37">
        <f t="shared" si="10"/>
        <v>0</v>
      </c>
      <c r="BO37">
        <f t="shared" si="11"/>
        <v>1</v>
      </c>
      <c r="BP37">
        <f t="shared" si="12"/>
        <v>0</v>
      </c>
      <c r="BQ37">
        <f t="shared" si="1"/>
        <v>1</v>
      </c>
      <c r="BR37">
        <f t="shared" si="13"/>
        <v>0</v>
      </c>
      <c r="BS37" s="9">
        <f t="shared" si="14"/>
        <v>0</v>
      </c>
      <c r="BT37" s="9">
        <f t="shared" si="15"/>
        <v>0</v>
      </c>
      <c r="BU37" s="9">
        <f t="shared" si="16"/>
        <v>0</v>
      </c>
      <c r="BV37" s="12">
        <f t="shared" si="17"/>
        <v>0</v>
      </c>
      <c r="BX37" s="12">
        <f t="shared" si="18"/>
        <v>0</v>
      </c>
      <c r="BY37" s="12">
        <f t="shared" si="19"/>
        <v>1.8901474685311811E-3</v>
      </c>
    </row>
    <row r="38" spans="1:77" x14ac:dyDescent="0.3">
      <c r="A38" s="1">
        <v>46078</v>
      </c>
      <c r="B38" s="8">
        <v>94.24</v>
      </c>
      <c r="C38" s="8">
        <v>340.12</v>
      </c>
      <c r="D38" s="9">
        <v>-5.3971240592591797E-3</v>
      </c>
      <c r="E38" s="9">
        <v>-6.5935270889874104E-3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94.24</v>
      </c>
      <c r="M38" s="8">
        <v>340.12</v>
      </c>
      <c r="N38" s="10">
        <v>3.6090831918505901</v>
      </c>
      <c r="O38" s="10">
        <v>3.6128150130856298</v>
      </c>
      <c r="P38" s="10">
        <v>3.6108295675431901</v>
      </c>
      <c r="Q38" s="10">
        <v>3.6114554454449399</v>
      </c>
      <c r="R38" s="8">
        <v>340.47168683319001</v>
      </c>
      <c r="S38" s="8">
        <v>340.34994837878901</v>
      </c>
      <c r="T38" s="8">
        <v>340.35556050389198</v>
      </c>
      <c r="U38" s="9">
        <v>1.03347387661792E-3</v>
      </c>
      <c r="V38" s="9">
        <v>6.7585170539954205E-4</v>
      </c>
      <c r="W38" s="9">
        <v>6.9234084800143595E-4</v>
      </c>
      <c r="X38" s="10">
        <v>3.6090831918505901</v>
      </c>
      <c r="Y38" s="10">
        <v>3.6128150130856298</v>
      </c>
      <c r="Z38" s="10">
        <v>3.6108295675431901</v>
      </c>
      <c r="AA38" s="10">
        <v>3.6114554454449399</v>
      </c>
      <c r="AB38" s="8">
        <v>340.47168683319001</v>
      </c>
      <c r="AC38" s="8">
        <v>340.34994837878901</v>
      </c>
      <c r="AD38" s="8">
        <v>340.35556050389198</v>
      </c>
      <c r="AE38" s="9">
        <v>1.03347387661792E-3</v>
      </c>
      <c r="AF38" s="9">
        <v>6.7585170539954205E-4</v>
      </c>
      <c r="AG38" s="9">
        <v>6.9234084800143595E-4</v>
      </c>
      <c r="AZ38" s="9"/>
      <c r="BB38">
        <f t="shared" si="2"/>
        <v>0</v>
      </c>
      <c r="BC38">
        <f t="shared" si="3"/>
        <v>1</v>
      </c>
      <c r="BD38">
        <f t="shared" si="4"/>
        <v>0</v>
      </c>
      <c r="BE38">
        <f t="shared" si="0"/>
        <v>1</v>
      </c>
      <c r="BF38">
        <f t="shared" si="5"/>
        <v>0</v>
      </c>
      <c r="BG38" s="9">
        <f t="shared" si="6"/>
        <v>0</v>
      </c>
      <c r="BH38" s="9">
        <f t="shared" si="7"/>
        <v>0</v>
      </c>
      <c r="BI38" s="9">
        <f t="shared" si="8"/>
        <v>0</v>
      </c>
      <c r="BJ38" s="12">
        <f t="shared" si="9"/>
        <v>1.8901474685311811E-3</v>
      </c>
      <c r="BL38" s="9"/>
      <c r="BN38">
        <f t="shared" si="10"/>
        <v>0</v>
      </c>
      <c r="BO38">
        <f t="shared" si="11"/>
        <v>0</v>
      </c>
      <c r="BP38">
        <f t="shared" si="12"/>
        <v>0</v>
      </c>
      <c r="BQ38">
        <f t="shared" si="1"/>
        <v>1</v>
      </c>
      <c r="BR38">
        <f t="shared" si="13"/>
        <v>0</v>
      </c>
      <c r="BS38" s="9">
        <f t="shared" si="14"/>
        <v>0</v>
      </c>
      <c r="BT38" s="9">
        <f t="shared" si="15"/>
        <v>0</v>
      </c>
      <c r="BU38" s="9">
        <f t="shared" si="16"/>
        <v>0</v>
      </c>
      <c r="BV38" s="12">
        <f t="shared" si="17"/>
        <v>0</v>
      </c>
      <c r="BX38" s="12">
        <f t="shared" si="18"/>
        <v>0</v>
      </c>
      <c r="BY38" s="12">
        <f t="shared" si="19"/>
        <v>1.8901474685311811E-3</v>
      </c>
    </row>
    <row r="39" spans="1:77" x14ac:dyDescent="0.3">
      <c r="A39" s="1">
        <v>46079</v>
      </c>
      <c r="B39" s="8">
        <v>94.81</v>
      </c>
      <c r="C39" s="8">
        <v>342.12</v>
      </c>
      <c r="D39" s="9">
        <v>6.0301690265912302E-3</v>
      </c>
      <c r="E39" s="9">
        <v>5.8630561949891101E-3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94.81</v>
      </c>
      <c r="M39" s="8">
        <v>342.12</v>
      </c>
      <c r="N39" s="10">
        <v>3.60848011813099</v>
      </c>
      <c r="O39" s="10">
        <v>3.6128150130856298</v>
      </c>
      <c r="P39" s="10">
        <v>3.6098175110969</v>
      </c>
      <c r="Q39" s="10">
        <v>3.6112853024754101</v>
      </c>
      <c r="R39" s="8">
        <v>342.53099139064898</v>
      </c>
      <c r="S39" s="8">
        <v>342.34275129877</v>
      </c>
      <c r="T39" s="8">
        <v>342.40209078263501</v>
      </c>
      <c r="U39" s="9">
        <v>1.2005867082199599E-3</v>
      </c>
      <c r="V39" s="9">
        <v>6.5087926614354398E-4</v>
      </c>
      <c r="W39" s="9">
        <v>8.2419779406076499E-4</v>
      </c>
      <c r="X39" s="10">
        <v>3.60848011813099</v>
      </c>
      <c r="Y39" s="10">
        <v>3.6128150130856298</v>
      </c>
      <c r="Z39" s="10">
        <v>3.6098175110969</v>
      </c>
      <c r="AA39" s="10">
        <v>3.6112853024754101</v>
      </c>
      <c r="AB39" s="8">
        <v>342.53099139064898</v>
      </c>
      <c r="AC39" s="8">
        <v>342.34275129877</v>
      </c>
      <c r="AD39" s="8">
        <v>342.40209078263501</v>
      </c>
      <c r="AE39" s="9">
        <v>1.2005867082199599E-3</v>
      </c>
      <c r="AF39" s="9">
        <v>6.5087926614354398E-4</v>
      </c>
      <c r="AG39" s="9">
        <v>8.2419779406076499E-4</v>
      </c>
      <c r="AZ39" s="9"/>
      <c r="BB39">
        <f t="shared" si="2"/>
        <v>0</v>
      </c>
      <c r="BC39">
        <f t="shared" si="3"/>
        <v>1</v>
      </c>
      <c r="BD39">
        <f t="shared" si="4"/>
        <v>0</v>
      </c>
      <c r="BE39">
        <f t="shared" si="0"/>
        <v>1</v>
      </c>
      <c r="BF39">
        <f t="shared" si="5"/>
        <v>0</v>
      </c>
      <c r="BG39" s="9">
        <f t="shared" si="6"/>
        <v>0</v>
      </c>
      <c r="BH39" s="9">
        <f t="shared" si="7"/>
        <v>0</v>
      </c>
      <c r="BI39" s="9">
        <f t="shared" si="8"/>
        <v>0</v>
      </c>
      <c r="BJ39" s="12">
        <f t="shared" si="9"/>
        <v>1.8901474685311811E-3</v>
      </c>
      <c r="BL39" s="9"/>
      <c r="BN39">
        <f t="shared" si="10"/>
        <v>0</v>
      </c>
      <c r="BO39">
        <f t="shared" si="11"/>
        <v>0</v>
      </c>
      <c r="BP39">
        <f t="shared" si="12"/>
        <v>0</v>
      </c>
      <c r="BQ39">
        <f t="shared" si="1"/>
        <v>1</v>
      </c>
      <c r="BR39">
        <f t="shared" si="13"/>
        <v>0</v>
      </c>
      <c r="BS39" s="9">
        <f t="shared" si="14"/>
        <v>0</v>
      </c>
      <c r="BT39" s="9">
        <f t="shared" si="15"/>
        <v>0</v>
      </c>
      <c r="BU39" s="9">
        <f t="shared" si="16"/>
        <v>0</v>
      </c>
      <c r="BV39" s="12">
        <f t="shared" si="17"/>
        <v>0</v>
      </c>
      <c r="BX39" s="12">
        <f t="shared" si="18"/>
        <v>0</v>
      </c>
      <c r="BY39" s="12">
        <f t="shared" si="19"/>
        <v>1.8901474685311811E-3</v>
      </c>
    </row>
    <row r="40" spans="1:77" x14ac:dyDescent="0.3">
      <c r="A40" s="1">
        <v>46080</v>
      </c>
      <c r="B40" s="8">
        <v>94.63</v>
      </c>
      <c r="C40" s="8">
        <v>341.85</v>
      </c>
      <c r="D40" s="9">
        <v>-1.9003384097265399E-3</v>
      </c>
      <c r="E40" s="9">
        <v>-7.8950835277789096E-4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94.63</v>
      </c>
      <c r="M40" s="8">
        <v>341.85</v>
      </c>
      <c r="N40" s="10">
        <v>3.6124907534608401</v>
      </c>
      <c r="O40" s="10">
        <v>3.6128150130856298</v>
      </c>
      <c r="P40" s="10">
        <v>3.60981496517191</v>
      </c>
      <c r="Q40" s="10">
        <v>3.61136611817536</v>
      </c>
      <c r="R40" s="8">
        <v>341.880684688293</v>
      </c>
      <c r="S40" s="8">
        <v>341.59703107510001</v>
      </c>
      <c r="T40" s="8">
        <v>341.735928173248</v>
      </c>
      <c r="U40" s="9">
        <v>8.9756651271302105E-5</v>
      </c>
      <c r="V40" s="9">
        <v>-7.40273715299349E-4</v>
      </c>
      <c r="W40" s="9">
        <v>-3.3374539500956199E-4</v>
      </c>
      <c r="X40" s="10">
        <v>3.6124907534608401</v>
      </c>
      <c r="Y40" s="10">
        <v>3.6128150130856298</v>
      </c>
      <c r="Z40" s="10">
        <v>3.60981496517191</v>
      </c>
      <c r="AA40" s="10">
        <v>3.61136611817536</v>
      </c>
      <c r="AB40" s="8">
        <v>341.880684688293</v>
      </c>
      <c r="AC40" s="8">
        <v>341.59703107510001</v>
      </c>
      <c r="AD40" s="8">
        <v>341.735928173248</v>
      </c>
      <c r="AE40" s="9">
        <v>8.9756651271302105E-5</v>
      </c>
      <c r="AF40" s="9">
        <v>-7.40273715299349E-4</v>
      </c>
      <c r="AG40" s="9">
        <v>-3.3374539500956199E-4</v>
      </c>
      <c r="AZ40" s="9"/>
      <c r="BB40">
        <f t="shared" si="2"/>
        <v>0</v>
      </c>
      <c r="BC40">
        <f t="shared" si="3"/>
        <v>0</v>
      </c>
      <c r="BD40">
        <f t="shared" si="4"/>
        <v>0</v>
      </c>
      <c r="BE40">
        <f t="shared" si="0"/>
        <v>1</v>
      </c>
      <c r="BF40">
        <f t="shared" si="5"/>
        <v>0</v>
      </c>
      <c r="BG40" s="9">
        <f t="shared" si="6"/>
        <v>0</v>
      </c>
      <c r="BH40" s="9">
        <f t="shared" si="7"/>
        <v>0</v>
      </c>
      <c r="BI40" s="9">
        <f t="shared" si="8"/>
        <v>0</v>
      </c>
      <c r="BJ40" s="12">
        <f t="shared" si="9"/>
        <v>1.8901474685311811E-3</v>
      </c>
      <c r="BL40" s="9"/>
      <c r="BN40">
        <f t="shared" si="10"/>
        <v>0</v>
      </c>
      <c r="BO40">
        <f t="shared" si="11"/>
        <v>1</v>
      </c>
      <c r="BP40">
        <f t="shared" si="12"/>
        <v>0</v>
      </c>
      <c r="BQ40">
        <f t="shared" si="1"/>
        <v>1</v>
      </c>
      <c r="BR40">
        <f t="shared" si="13"/>
        <v>0</v>
      </c>
      <c r="BS40" s="9">
        <f t="shared" si="14"/>
        <v>0</v>
      </c>
      <c r="BT40" s="9">
        <f t="shared" si="15"/>
        <v>0</v>
      </c>
      <c r="BU40" s="9">
        <f t="shared" si="16"/>
        <v>0</v>
      </c>
      <c r="BV40" s="12">
        <f t="shared" si="17"/>
        <v>0</v>
      </c>
      <c r="BX40" s="12">
        <f t="shared" si="18"/>
        <v>0</v>
      </c>
      <c r="BY40" s="12">
        <f t="shared" si="19"/>
        <v>1.8901474685311811E-3</v>
      </c>
    </row>
    <row r="41" spans="1:77" x14ac:dyDescent="0.3">
      <c r="A41" s="1">
        <v>46083</v>
      </c>
      <c r="B41" s="8">
        <v>95.61</v>
      </c>
      <c r="C41" s="8">
        <v>345.06</v>
      </c>
      <c r="D41" s="9">
        <v>1.0302866577213301E-2</v>
      </c>
      <c r="E41" s="9">
        <v>9.3462705939147805E-3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95.61</v>
      </c>
      <c r="M41" s="8">
        <v>345.06</v>
      </c>
      <c r="N41" s="10">
        <v>3.60903671164104</v>
      </c>
      <c r="O41" s="10">
        <v>3.6128150130856298</v>
      </c>
      <c r="P41" s="10">
        <v>3.60979552646238</v>
      </c>
      <c r="Q41" s="10">
        <v>3.6116153651248801</v>
      </c>
      <c r="R41" s="8">
        <v>345.42124340111701</v>
      </c>
      <c r="S41" s="8">
        <v>345.13440882008598</v>
      </c>
      <c r="T41" s="8">
        <v>345.28271455874602</v>
      </c>
      <c r="U41" s="9">
        <v>1.04635263457002E-3</v>
      </c>
      <c r="V41" s="9">
        <v>2.1561698971823601E-4</v>
      </c>
      <c r="W41" s="9">
        <v>6.4522899069132398E-4</v>
      </c>
      <c r="X41" s="10">
        <v>3.60903671164104</v>
      </c>
      <c r="Y41" s="10">
        <v>3.6128150130856298</v>
      </c>
      <c r="Z41" s="10">
        <v>3.60979552646238</v>
      </c>
      <c r="AA41" s="10">
        <v>3.6116153651248801</v>
      </c>
      <c r="AB41" s="8">
        <v>345.42124340111701</v>
      </c>
      <c r="AC41" s="8">
        <v>345.13440882008598</v>
      </c>
      <c r="AD41" s="8">
        <v>345.28271455874602</v>
      </c>
      <c r="AE41" s="9">
        <v>1.04635263457002E-3</v>
      </c>
      <c r="AF41" s="9">
        <v>2.1561698971823601E-4</v>
      </c>
      <c r="AG41" s="9">
        <v>6.4522899069132398E-4</v>
      </c>
      <c r="AZ41" s="9"/>
      <c r="BB41">
        <f t="shared" si="2"/>
        <v>0</v>
      </c>
      <c r="BC41">
        <f t="shared" si="3"/>
        <v>1</v>
      </c>
      <c r="BD41">
        <f t="shared" si="4"/>
        <v>0</v>
      </c>
      <c r="BE41">
        <f t="shared" si="0"/>
        <v>1</v>
      </c>
      <c r="BF41">
        <f t="shared" si="5"/>
        <v>0</v>
      </c>
      <c r="BG41" s="9">
        <f t="shared" si="6"/>
        <v>0</v>
      </c>
      <c r="BH41" s="9">
        <f t="shared" si="7"/>
        <v>0</v>
      </c>
      <c r="BI41" s="9">
        <f t="shared" si="8"/>
        <v>0</v>
      </c>
      <c r="BJ41" s="12">
        <f t="shared" si="9"/>
        <v>1.8901474685311811E-3</v>
      </c>
      <c r="BL41" s="9"/>
      <c r="BN41">
        <f t="shared" si="10"/>
        <v>0</v>
      </c>
      <c r="BO41">
        <f t="shared" si="11"/>
        <v>0</v>
      </c>
      <c r="BP41">
        <f t="shared" si="12"/>
        <v>0</v>
      </c>
      <c r="BQ41">
        <f t="shared" si="1"/>
        <v>1</v>
      </c>
      <c r="BR41">
        <f t="shared" si="13"/>
        <v>0</v>
      </c>
      <c r="BS41" s="9">
        <f t="shared" si="14"/>
        <v>0</v>
      </c>
      <c r="BT41" s="9">
        <f t="shared" si="15"/>
        <v>0</v>
      </c>
      <c r="BU41" s="9">
        <f t="shared" si="16"/>
        <v>0</v>
      </c>
      <c r="BV41" s="12">
        <f t="shared" si="17"/>
        <v>0</v>
      </c>
      <c r="BX41" s="12">
        <f t="shared" si="18"/>
        <v>0</v>
      </c>
      <c r="BY41" s="12">
        <f t="shared" si="19"/>
        <v>1.8901474685311811E-3</v>
      </c>
    </row>
    <row r="42" spans="1:77" x14ac:dyDescent="0.3">
      <c r="A42" s="1">
        <v>46084</v>
      </c>
      <c r="B42" s="8">
        <v>93.78</v>
      </c>
      <c r="C42" s="8">
        <v>337.94</v>
      </c>
      <c r="D42" s="9">
        <v>-1.9325803435914501E-2</v>
      </c>
      <c r="E42" s="9">
        <v>-2.0849950021214099E-2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93.78</v>
      </c>
      <c r="M42" s="8">
        <v>337.94</v>
      </c>
      <c r="N42" s="10">
        <v>3.6035402004691801</v>
      </c>
      <c r="O42" s="10">
        <v>3.6128150130856298</v>
      </c>
      <c r="P42" s="10">
        <v>3.6094721580760298</v>
      </c>
      <c r="Q42" s="10">
        <v>3.6111888788784401</v>
      </c>
      <c r="R42" s="8">
        <v>338.80979192717098</v>
      </c>
      <c r="S42" s="8">
        <v>338.52662447164198</v>
      </c>
      <c r="T42" s="8">
        <v>338.69728894141099</v>
      </c>
      <c r="U42" s="9">
        <v>2.5704992198697998E-3</v>
      </c>
      <c r="V42" s="9">
        <v>1.7343786004257601E-3</v>
      </c>
      <c r="W42" s="9">
        <v>2.2383905527567699E-3</v>
      </c>
      <c r="X42" s="10">
        <v>3.6035402004691801</v>
      </c>
      <c r="Y42" s="10">
        <v>3.6128150130856298</v>
      </c>
      <c r="Z42" s="10">
        <v>3.6094721580760298</v>
      </c>
      <c r="AA42" s="10">
        <v>3.6111888788784401</v>
      </c>
      <c r="AB42" s="8">
        <v>338.80979192717098</v>
      </c>
      <c r="AC42" s="8">
        <v>338.52662447164198</v>
      </c>
      <c r="AD42" s="8">
        <v>338.69728894141099</v>
      </c>
      <c r="AE42" s="9">
        <v>2.5704992198697998E-3</v>
      </c>
      <c r="AF42" s="9">
        <v>1.7343786004257601E-3</v>
      </c>
      <c r="AG42" s="9">
        <v>2.2383905527567699E-3</v>
      </c>
      <c r="AZ42" s="9"/>
      <c r="BB42">
        <f t="shared" si="2"/>
        <v>0</v>
      </c>
      <c r="BC42">
        <f t="shared" si="3"/>
        <v>1</v>
      </c>
      <c r="BD42">
        <f t="shared" si="4"/>
        <v>0</v>
      </c>
      <c r="BE42">
        <f t="shared" si="0"/>
        <v>1</v>
      </c>
      <c r="BF42">
        <f t="shared" si="5"/>
        <v>0</v>
      </c>
      <c r="BG42" s="9">
        <f t="shared" si="6"/>
        <v>0</v>
      </c>
      <c r="BH42" s="9">
        <f t="shared" si="7"/>
        <v>0</v>
      </c>
      <c r="BI42" s="9">
        <f t="shared" si="8"/>
        <v>0</v>
      </c>
      <c r="BJ42" s="12">
        <f t="shared" si="9"/>
        <v>1.8901474685311811E-3</v>
      </c>
      <c r="BL42" s="9"/>
      <c r="BN42">
        <f t="shared" si="10"/>
        <v>1</v>
      </c>
      <c r="BO42">
        <f t="shared" si="11"/>
        <v>0</v>
      </c>
      <c r="BP42">
        <f t="shared" si="12"/>
        <v>0</v>
      </c>
      <c r="BQ42">
        <f t="shared" si="1"/>
        <v>1</v>
      </c>
      <c r="BR42">
        <f t="shared" si="13"/>
        <v>0</v>
      </c>
      <c r="BS42" s="9">
        <f t="shared" si="14"/>
        <v>0</v>
      </c>
      <c r="BT42" s="9">
        <f t="shared" si="15"/>
        <v>0</v>
      </c>
      <c r="BU42" s="9">
        <f t="shared" si="16"/>
        <v>0</v>
      </c>
      <c r="BV42" s="12">
        <f t="shared" si="17"/>
        <v>0</v>
      </c>
      <c r="BX42" s="12">
        <f t="shared" si="18"/>
        <v>0</v>
      </c>
      <c r="BY42" s="12">
        <f t="shared" si="19"/>
        <v>1.8901474685311811E-3</v>
      </c>
    </row>
    <row r="43" spans="1:77" x14ac:dyDescent="0.3">
      <c r="A43" s="1">
        <v>46085</v>
      </c>
      <c r="B43" s="8">
        <v>94.09</v>
      </c>
      <c r="C43" s="8">
        <v>339.34</v>
      </c>
      <c r="D43" s="9">
        <v>3.3001573572340802E-3</v>
      </c>
      <c r="E43" s="9">
        <v>4.1341896822897897E-3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94.09</v>
      </c>
      <c r="M43" s="8">
        <v>339.34</v>
      </c>
      <c r="N43" s="10">
        <v>3.6065469231586702</v>
      </c>
      <c r="O43" s="10">
        <v>3.6128150130856298</v>
      </c>
      <c r="P43" s="10">
        <v>3.60878258111196</v>
      </c>
      <c r="Q43" s="10">
        <v>3.6109683251355902</v>
      </c>
      <c r="R43" s="8">
        <v>339.929764581227</v>
      </c>
      <c r="S43" s="8">
        <v>339.61523535337301</v>
      </c>
      <c r="T43" s="8">
        <v>339.77676161367202</v>
      </c>
      <c r="U43" s="9">
        <v>1.7364668948140901E-3</v>
      </c>
      <c r="V43" s="9">
        <v>8.1076145854359905E-4</v>
      </c>
      <c r="W43" s="9">
        <v>1.2862638608786899E-3</v>
      </c>
      <c r="X43" s="10">
        <v>3.6065469231586702</v>
      </c>
      <c r="Y43" s="10">
        <v>3.6128150130856298</v>
      </c>
      <c r="Z43" s="10">
        <v>3.60878258111196</v>
      </c>
      <c r="AA43" s="10">
        <v>3.6109683251355902</v>
      </c>
      <c r="AB43" s="8">
        <v>339.929764581227</v>
      </c>
      <c r="AC43" s="8">
        <v>339.61523535337301</v>
      </c>
      <c r="AD43" s="8">
        <v>339.77676161367202</v>
      </c>
      <c r="AE43" s="9">
        <v>1.7364668948140901E-3</v>
      </c>
      <c r="AF43" s="9">
        <v>8.1076145854359905E-4</v>
      </c>
      <c r="AG43" s="9">
        <v>1.2862638608786899E-3</v>
      </c>
      <c r="AZ43" s="9"/>
      <c r="BB43">
        <f t="shared" si="2"/>
        <v>0</v>
      </c>
      <c r="BC43">
        <f t="shared" si="3"/>
        <v>1</v>
      </c>
      <c r="BD43">
        <f t="shared" si="4"/>
        <v>0</v>
      </c>
      <c r="BE43">
        <f t="shared" si="0"/>
        <v>1</v>
      </c>
      <c r="BF43">
        <f t="shared" si="5"/>
        <v>0</v>
      </c>
      <c r="BG43" s="9">
        <f t="shared" si="6"/>
        <v>0</v>
      </c>
      <c r="BH43" s="9">
        <f t="shared" si="7"/>
        <v>0</v>
      </c>
      <c r="BI43" s="9">
        <f t="shared" si="8"/>
        <v>0</v>
      </c>
      <c r="BJ43" s="12">
        <f t="shared" si="9"/>
        <v>1.8901474685311811E-3</v>
      </c>
      <c r="BL43" s="9"/>
      <c r="BN43">
        <f t="shared" si="10"/>
        <v>0</v>
      </c>
      <c r="BO43">
        <f t="shared" si="11"/>
        <v>0</v>
      </c>
      <c r="BP43">
        <f t="shared" si="12"/>
        <v>1</v>
      </c>
      <c r="BQ43">
        <f t="shared" si="1"/>
        <v>1</v>
      </c>
      <c r="BR43">
        <f t="shared" si="13"/>
        <v>1</v>
      </c>
      <c r="BS43" s="9">
        <f t="shared" si="14"/>
        <v>-3.3001573572340802E-3</v>
      </c>
      <c r="BT43" s="9">
        <f t="shared" si="15"/>
        <v>4.1341896822897897E-3</v>
      </c>
      <c r="BU43" s="9">
        <f t="shared" si="16"/>
        <v>8.3403232505570952E-4</v>
      </c>
      <c r="BV43" s="12">
        <f t="shared" si="17"/>
        <v>8.3403232505570952E-4</v>
      </c>
      <c r="BX43" s="12">
        <f t="shared" si="18"/>
        <v>8.3403232505570952E-4</v>
      </c>
      <c r="BY43" s="12">
        <f t="shared" si="19"/>
        <v>2.7241797935868908E-3</v>
      </c>
    </row>
    <row r="44" spans="1:77" x14ac:dyDescent="0.3">
      <c r="A44" s="1">
        <v>46086</v>
      </c>
      <c r="B44" s="8">
        <v>92.05</v>
      </c>
      <c r="C44" s="8">
        <v>331.63</v>
      </c>
      <c r="D44" s="9">
        <v>-2.1919863339587401E-2</v>
      </c>
      <c r="E44" s="9">
        <v>-2.2982664999536599E-2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92.05</v>
      </c>
      <c r="M44" s="8">
        <v>331.63</v>
      </c>
      <c r="N44" s="10">
        <v>3.60271591526344</v>
      </c>
      <c r="O44" s="10">
        <v>3.6128150130856298</v>
      </c>
      <c r="P44" s="10">
        <v>3.6084036287582801</v>
      </c>
      <c r="Q44" s="10">
        <v>3.61050875154926</v>
      </c>
      <c r="R44" s="8">
        <v>332.55962195453299</v>
      </c>
      <c r="S44" s="8">
        <v>332.18843659135598</v>
      </c>
      <c r="T44" s="8">
        <v>332.38963432873101</v>
      </c>
      <c r="U44" s="9">
        <v>2.7992685547631999E-3</v>
      </c>
      <c r="V44" s="9">
        <v>1.68249838301905E-3</v>
      </c>
      <c r="W44" s="9">
        <v>2.2879885498655098E-3</v>
      </c>
      <c r="X44" s="10">
        <v>3.60271591526344</v>
      </c>
      <c r="Y44" s="10">
        <v>3.6128150130856298</v>
      </c>
      <c r="Z44" s="10">
        <v>3.6084036287582801</v>
      </c>
      <c r="AA44" s="10">
        <v>3.61050875154926</v>
      </c>
      <c r="AB44" s="8">
        <v>332.55962195453299</v>
      </c>
      <c r="AC44" s="8">
        <v>332.18843659135598</v>
      </c>
      <c r="AD44" s="8">
        <v>332.38963432873101</v>
      </c>
      <c r="AE44" s="9">
        <v>2.7992685547631999E-3</v>
      </c>
      <c r="AF44" s="9">
        <v>1.68249838301905E-3</v>
      </c>
      <c r="AG44" s="9">
        <v>2.2879885498655098E-3</v>
      </c>
      <c r="AZ44" s="9"/>
      <c r="BB44">
        <f t="shared" si="2"/>
        <v>0</v>
      </c>
      <c r="BC44">
        <f t="shared" si="3"/>
        <v>1</v>
      </c>
      <c r="BD44">
        <f t="shared" si="4"/>
        <v>0</v>
      </c>
      <c r="BE44">
        <f t="shared" si="0"/>
        <v>1</v>
      </c>
      <c r="BF44">
        <f t="shared" si="5"/>
        <v>0</v>
      </c>
      <c r="BG44" s="9">
        <f t="shared" si="6"/>
        <v>0</v>
      </c>
      <c r="BH44" s="9">
        <f t="shared" si="7"/>
        <v>0</v>
      </c>
      <c r="BI44" s="9">
        <f t="shared" si="8"/>
        <v>0</v>
      </c>
      <c r="BJ44" s="12">
        <f t="shared" si="9"/>
        <v>1.8901474685311811E-3</v>
      </c>
      <c r="BL44" s="9"/>
      <c r="BN44">
        <f t="shared" si="10"/>
        <v>1</v>
      </c>
      <c r="BO44">
        <f t="shared" si="11"/>
        <v>0</v>
      </c>
      <c r="BP44">
        <f t="shared" si="12"/>
        <v>1</v>
      </c>
      <c r="BQ44">
        <f t="shared" si="1"/>
        <v>1</v>
      </c>
      <c r="BR44">
        <f t="shared" si="13"/>
        <v>1</v>
      </c>
      <c r="BS44" s="9">
        <f t="shared" si="14"/>
        <v>2.1919863339587401E-2</v>
      </c>
      <c r="BT44" s="9">
        <f t="shared" si="15"/>
        <v>-2.2982664999536599E-2</v>
      </c>
      <c r="BU44" s="9">
        <f t="shared" si="16"/>
        <v>-1.0628016599491981E-3</v>
      </c>
      <c r="BV44" s="12">
        <f t="shared" si="17"/>
        <v>-2.2876933489348857E-4</v>
      </c>
      <c r="BX44" s="12">
        <f t="shared" si="18"/>
        <v>-1.0628016599491981E-3</v>
      </c>
      <c r="BY44" s="12">
        <f t="shared" si="19"/>
        <v>1.6613781336376927E-3</v>
      </c>
    </row>
    <row r="45" spans="1:77" x14ac:dyDescent="0.3">
      <c r="A45" s="1">
        <v>46087</v>
      </c>
      <c r="B45" s="8">
        <v>90.45</v>
      </c>
      <c r="C45" s="8">
        <v>326.26</v>
      </c>
      <c r="D45" s="9">
        <v>-1.75346958377826E-2</v>
      </c>
      <c r="E45" s="9">
        <v>-1.6325280107100201E-2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90.45</v>
      </c>
      <c r="M45" s="8">
        <v>326.26</v>
      </c>
      <c r="N45" s="10">
        <v>3.6070757324488598</v>
      </c>
      <c r="O45" s="10">
        <v>3.6128150130856298</v>
      </c>
      <c r="P45" s="10">
        <v>3.6079801994757799</v>
      </c>
      <c r="Q45" s="10">
        <v>3.6100595617167901</v>
      </c>
      <c r="R45" s="8">
        <v>326.77911793359601</v>
      </c>
      <c r="S45" s="8">
        <v>326.38010822118599</v>
      </c>
      <c r="T45" s="8">
        <v>326.57051657762997</v>
      </c>
      <c r="U45" s="9">
        <v>1.58985282408074E-3</v>
      </c>
      <c r="V45" s="9">
        <v>3.6806877490207403E-4</v>
      </c>
      <c r="W45" s="9">
        <v>9.5129315545981503E-4</v>
      </c>
      <c r="X45" s="10">
        <v>3.6070757324488598</v>
      </c>
      <c r="Y45" s="10">
        <v>3.6128150130856298</v>
      </c>
      <c r="Z45" s="10">
        <v>3.6079801994757799</v>
      </c>
      <c r="AA45" s="10">
        <v>3.6100595617167901</v>
      </c>
      <c r="AB45" s="8">
        <v>326.77911793359601</v>
      </c>
      <c r="AC45" s="8">
        <v>326.38010822118599</v>
      </c>
      <c r="AD45" s="8">
        <v>326.57051657762997</v>
      </c>
      <c r="AE45" s="9">
        <v>1.58985282408074E-3</v>
      </c>
      <c r="AF45" s="9">
        <v>3.6806877490207403E-4</v>
      </c>
      <c r="AG45" s="9">
        <v>9.5129315545981503E-4</v>
      </c>
      <c r="AZ45" s="9"/>
      <c r="BB45">
        <f t="shared" si="2"/>
        <v>0</v>
      </c>
      <c r="BC45">
        <f t="shared" si="3"/>
        <v>1</v>
      </c>
      <c r="BD45">
        <f t="shared" si="4"/>
        <v>0</v>
      </c>
      <c r="BE45">
        <f t="shared" si="0"/>
        <v>1</v>
      </c>
      <c r="BF45">
        <f t="shared" si="5"/>
        <v>0</v>
      </c>
      <c r="BG45" s="9">
        <f t="shared" si="6"/>
        <v>0</v>
      </c>
      <c r="BH45" s="9">
        <f t="shared" si="7"/>
        <v>0</v>
      </c>
      <c r="BI45" s="9">
        <f t="shared" si="8"/>
        <v>0</v>
      </c>
      <c r="BJ45" s="12">
        <f t="shared" si="9"/>
        <v>1.8901474685311811E-3</v>
      </c>
      <c r="BL45" s="9"/>
      <c r="BN45">
        <f t="shared" si="10"/>
        <v>0</v>
      </c>
      <c r="BO45">
        <f t="shared" si="11"/>
        <v>0</v>
      </c>
      <c r="BP45">
        <f t="shared" si="12"/>
        <v>1</v>
      </c>
      <c r="BQ45">
        <f t="shared" si="1"/>
        <v>1</v>
      </c>
      <c r="BR45">
        <f t="shared" si="13"/>
        <v>1</v>
      </c>
      <c r="BS45" s="9">
        <f t="shared" si="14"/>
        <v>1.75346958377826E-2</v>
      </c>
      <c r="BT45" s="9">
        <f t="shared" si="15"/>
        <v>-1.6325280107100201E-2</v>
      </c>
      <c r="BU45" s="9">
        <f t="shared" si="16"/>
        <v>1.2094157306823984E-3</v>
      </c>
      <c r="BV45" s="12">
        <f t="shared" si="17"/>
        <v>9.8064639578890984E-4</v>
      </c>
      <c r="BX45" s="12">
        <f t="shared" si="18"/>
        <v>1.2094157306823984E-3</v>
      </c>
      <c r="BY45" s="12">
        <f t="shared" si="19"/>
        <v>2.8707938643200911E-3</v>
      </c>
    </row>
    <row r="46" spans="1:77" x14ac:dyDescent="0.3">
      <c r="A46" s="1">
        <v>46090</v>
      </c>
      <c r="B46" s="8">
        <v>91.28</v>
      </c>
      <c r="C46" s="8">
        <v>329.04</v>
      </c>
      <c r="D46" s="9">
        <v>9.1344937125160796E-3</v>
      </c>
      <c r="E46" s="9">
        <v>8.4847144140120997E-3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91.28</v>
      </c>
      <c r="M46" s="8">
        <v>329.04</v>
      </c>
      <c r="N46" s="10">
        <v>3.6047326906222601</v>
      </c>
      <c r="O46" s="10">
        <v>3.6128150130856298</v>
      </c>
      <c r="P46" s="10">
        <v>3.60771059309773</v>
      </c>
      <c r="Q46" s="10">
        <v>3.6095725262069802</v>
      </c>
      <c r="R46" s="8">
        <v>329.77775439445702</v>
      </c>
      <c r="S46" s="8">
        <v>329.33643260814898</v>
      </c>
      <c r="T46" s="8">
        <v>329.52623679350899</v>
      </c>
      <c r="U46" s="9">
        <v>2.2396321225844301E-3</v>
      </c>
      <c r="V46" s="9">
        <v>9.0049586680008697E-4</v>
      </c>
      <c r="W46" s="9">
        <v>1.47665293085775E-3</v>
      </c>
      <c r="X46" s="10">
        <v>3.6047326906222601</v>
      </c>
      <c r="Y46" s="10">
        <v>3.6128150130856298</v>
      </c>
      <c r="Z46" s="10">
        <v>3.60771059309773</v>
      </c>
      <c r="AA46" s="10">
        <v>3.6095725262069802</v>
      </c>
      <c r="AB46" s="8">
        <v>329.77775439445702</v>
      </c>
      <c r="AC46" s="8">
        <v>329.33643260814898</v>
      </c>
      <c r="AD46" s="8">
        <v>329.52623679350899</v>
      </c>
      <c r="AE46" s="9">
        <v>2.2396321225844301E-3</v>
      </c>
      <c r="AF46" s="9">
        <v>9.0049586680008697E-4</v>
      </c>
      <c r="AG46" s="9">
        <v>1.47665293085775E-3</v>
      </c>
      <c r="AZ46" s="9"/>
      <c r="BB46">
        <f t="shared" si="2"/>
        <v>0</v>
      </c>
      <c r="BC46">
        <f t="shared" si="3"/>
        <v>1</v>
      </c>
      <c r="BD46">
        <f t="shared" si="4"/>
        <v>0</v>
      </c>
      <c r="BE46">
        <f t="shared" si="0"/>
        <v>1</v>
      </c>
      <c r="BF46">
        <f t="shared" si="5"/>
        <v>0</v>
      </c>
      <c r="BG46" s="9">
        <f t="shared" si="6"/>
        <v>0</v>
      </c>
      <c r="BH46" s="9">
        <f t="shared" si="7"/>
        <v>0</v>
      </c>
      <c r="BI46" s="9">
        <f t="shared" si="8"/>
        <v>0</v>
      </c>
      <c r="BJ46" s="12">
        <f t="shared" si="9"/>
        <v>1.8901474685311811E-3</v>
      </c>
      <c r="BL46" s="9"/>
      <c r="BN46">
        <f t="shared" si="10"/>
        <v>0</v>
      </c>
      <c r="BO46">
        <f t="shared" si="11"/>
        <v>0</v>
      </c>
      <c r="BP46">
        <f t="shared" si="12"/>
        <v>1</v>
      </c>
      <c r="BQ46">
        <f t="shared" si="1"/>
        <v>1</v>
      </c>
      <c r="BR46">
        <f t="shared" si="13"/>
        <v>1</v>
      </c>
      <c r="BS46" s="9">
        <f t="shared" si="14"/>
        <v>-9.1344937125160796E-3</v>
      </c>
      <c r="BT46" s="9">
        <f t="shared" si="15"/>
        <v>8.4847144140120997E-3</v>
      </c>
      <c r="BU46" s="9">
        <f t="shared" si="16"/>
        <v>-6.4977929850397985E-4</v>
      </c>
      <c r="BV46" s="12">
        <f t="shared" si="17"/>
        <v>3.3086709728492999E-4</v>
      </c>
      <c r="BX46" s="12">
        <f t="shared" si="18"/>
        <v>-6.4977929850397985E-4</v>
      </c>
      <c r="BY46" s="12">
        <f t="shared" si="19"/>
        <v>2.2210145658161113E-3</v>
      </c>
    </row>
    <row r="47" spans="1:77" x14ac:dyDescent="0.3">
      <c r="A47" s="1">
        <v>46091</v>
      </c>
      <c r="B47" s="8">
        <v>90.77</v>
      </c>
      <c r="C47" s="8">
        <v>327.19</v>
      </c>
      <c r="D47" s="9">
        <v>-5.6028710152843299E-3</v>
      </c>
      <c r="E47" s="9">
        <v>-5.6382820078029697E-3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90.77</v>
      </c>
      <c r="M47" s="8">
        <v>327.19</v>
      </c>
      <c r="N47" s="10">
        <v>3.6046050457199499</v>
      </c>
      <c r="O47" s="10">
        <v>3.6128150130856298</v>
      </c>
      <c r="P47" s="10">
        <v>3.6068307282765799</v>
      </c>
      <c r="Q47" s="10">
        <v>3.6091769748067399</v>
      </c>
      <c r="R47" s="8">
        <v>327.93521873778298</v>
      </c>
      <c r="S47" s="8">
        <v>327.47189053548101</v>
      </c>
      <c r="T47" s="8">
        <v>327.64089820380798</v>
      </c>
      <c r="U47" s="9">
        <v>2.2750431151033401E-3</v>
      </c>
      <c r="V47" s="9">
        <v>8.6117905128687395E-4</v>
      </c>
      <c r="W47" s="9">
        <v>1.3771441644149199E-3</v>
      </c>
      <c r="X47" s="10">
        <v>3.6046050457199499</v>
      </c>
      <c r="Y47" s="10">
        <v>3.6128150130856298</v>
      </c>
      <c r="Z47" s="10">
        <v>3.6068307282765799</v>
      </c>
      <c r="AA47" s="10">
        <v>3.6091769748067399</v>
      </c>
      <c r="AB47" s="8">
        <v>327.93521873778298</v>
      </c>
      <c r="AC47" s="8">
        <v>327.47189053548101</v>
      </c>
      <c r="AD47" s="8">
        <v>327.64089820380798</v>
      </c>
      <c r="AE47" s="9">
        <v>2.2750431151033401E-3</v>
      </c>
      <c r="AF47" s="9">
        <v>8.6117905128687395E-4</v>
      </c>
      <c r="AG47" s="9">
        <v>1.3771441644149199E-3</v>
      </c>
      <c r="AZ47" s="9"/>
      <c r="BB47">
        <f t="shared" si="2"/>
        <v>0</v>
      </c>
      <c r="BC47">
        <f t="shared" si="3"/>
        <v>1</v>
      </c>
      <c r="BD47">
        <f t="shared" si="4"/>
        <v>0</v>
      </c>
      <c r="BE47">
        <f t="shared" si="0"/>
        <v>1</v>
      </c>
      <c r="BF47">
        <f t="shared" si="5"/>
        <v>0</v>
      </c>
      <c r="BG47" s="9">
        <f t="shared" si="6"/>
        <v>0</v>
      </c>
      <c r="BH47" s="9">
        <f t="shared" si="7"/>
        <v>0</v>
      </c>
      <c r="BI47" s="9">
        <f t="shared" si="8"/>
        <v>0</v>
      </c>
      <c r="BJ47" s="12">
        <f t="shared" si="9"/>
        <v>1.8901474685311811E-3</v>
      </c>
      <c r="BL47" s="9"/>
      <c r="BN47">
        <f t="shared" si="10"/>
        <v>0</v>
      </c>
      <c r="BO47">
        <f t="shared" si="11"/>
        <v>0</v>
      </c>
      <c r="BP47">
        <f t="shared" si="12"/>
        <v>1</v>
      </c>
      <c r="BQ47">
        <f t="shared" si="1"/>
        <v>1</v>
      </c>
      <c r="BR47">
        <f t="shared" si="13"/>
        <v>1</v>
      </c>
      <c r="BS47" s="9">
        <f t="shared" si="14"/>
        <v>5.6028710152843299E-3</v>
      </c>
      <c r="BT47" s="9">
        <f t="shared" si="15"/>
        <v>-5.6382820078029697E-3</v>
      </c>
      <c r="BU47" s="9">
        <f t="shared" si="16"/>
        <v>-3.54109925186398E-5</v>
      </c>
      <c r="BV47" s="12">
        <f t="shared" si="17"/>
        <v>2.9545610476629019E-4</v>
      </c>
      <c r="BX47" s="12">
        <f t="shared" si="18"/>
        <v>-3.54109925186398E-5</v>
      </c>
      <c r="BY47" s="12">
        <f t="shared" si="19"/>
        <v>2.1856035732974715E-3</v>
      </c>
    </row>
    <row r="48" spans="1:77" x14ac:dyDescent="0.3">
      <c r="A48" s="1">
        <v>46092</v>
      </c>
      <c r="B48" s="8">
        <v>90.7</v>
      </c>
      <c r="C48" s="8">
        <v>326.64999999999998</v>
      </c>
      <c r="D48" s="9">
        <v>-7.7147741744490895E-4</v>
      </c>
      <c r="E48" s="9">
        <v>-1.6517806276063801E-3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90.7</v>
      </c>
      <c r="M48" s="8">
        <v>326.64999999999998</v>
      </c>
      <c r="N48" s="10">
        <v>3.6014332965821301</v>
      </c>
      <c r="O48" s="10">
        <v>3.6128150130856298</v>
      </c>
      <c r="P48" s="10">
        <v>3.6060657387497401</v>
      </c>
      <c r="Q48" s="10">
        <v>3.60844765314646</v>
      </c>
      <c r="R48" s="8">
        <v>327.682321686867</v>
      </c>
      <c r="S48" s="8">
        <v>327.13954705468598</v>
      </c>
      <c r="T48" s="8">
        <v>327.35235161497098</v>
      </c>
      <c r="U48" s="9">
        <v>3.1553463252647902E-3</v>
      </c>
      <c r="V48" s="9">
        <v>1.4975679815761699E-3</v>
      </c>
      <c r="W48" s="9">
        <v>2.1478573685556599E-3</v>
      </c>
      <c r="X48" s="10">
        <v>3.6014332965821301</v>
      </c>
      <c r="Y48" s="10">
        <v>3.6128150130856298</v>
      </c>
      <c r="Z48" s="10">
        <v>3.6060657387497401</v>
      </c>
      <c r="AA48" s="10">
        <v>3.60844765314646</v>
      </c>
      <c r="AB48" s="8">
        <v>327.682321686867</v>
      </c>
      <c r="AC48" s="8">
        <v>327.13954705468598</v>
      </c>
      <c r="AD48" s="8">
        <v>327.35235161497098</v>
      </c>
      <c r="AE48" s="9">
        <v>3.1553463252647902E-3</v>
      </c>
      <c r="AF48" s="9">
        <v>1.4975679815761699E-3</v>
      </c>
      <c r="AG48" s="9">
        <v>2.1478573685556599E-3</v>
      </c>
      <c r="AZ48" s="9"/>
      <c r="BB48">
        <f t="shared" si="2"/>
        <v>0</v>
      </c>
      <c r="BC48">
        <f t="shared" si="3"/>
        <v>1</v>
      </c>
      <c r="BD48">
        <f t="shared" si="4"/>
        <v>0</v>
      </c>
      <c r="BE48">
        <f t="shared" si="0"/>
        <v>1</v>
      </c>
      <c r="BF48">
        <f t="shared" si="5"/>
        <v>0</v>
      </c>
      <c r="BG48" s="9">
        <f t="shared" si="6"/>
        <v>0</v>
      </c>
      <c r="BH48" s="9">
        <f t="shared" si="7"/>
        <v>0</v>
      </c>
      <c r="BI48" s="9">
        <f t="shared" si="8"/>
        <v>0</v>
      </c>
      <c r="BJ48" s="12">
        <f t="shared" si="9"/>
        <v>1.8901474685311811E-3</v>
      </c>
      <c r="BL48" s="9"/>
      <c r="BN48">
        <f t="shared" si="10"/>
        <v>0</v>
      </c>
      <c r="BO48">
        <f t="shared" si="11"/>
        <v>0</v>
      </c>
      <c r="BP48">
        <f t="shared" si="12"/>
        <v>1</v>
      </c>
      <c r="BQ48">
        <f t="shared" si="1"/>
        <v>1</v>
      </c>
      <c r="BR48">
        <f t="shared" si="13"/>
        <v>1</v>
      </c>
      <c r="BS48" s="9">
        <f t="shared" si="14"/>
        <v>7.7147741744490895E-4</v>
      </c>
      <c r="BT48" s="9">
        <f t="shared" si="15"/>
        <v>-1.6517806276063801E-3</v>
      </c>
      <c r="BU48" s="9">
        <f t="shared" si="16"/>
        <v>-8.8030321016147116E-4</v>
      </c>
      <c r="BV48" s="12">
        <f t="shared" si="17"/>
        <v>-5.8484710539518097E-4</v>
      </c>
      <c r="BX48" s="12">
        <f t="shared" si="18"/>
        <v>-8.8030321016147116E-4</v>
      </c>
      <c r="BY48" s="12">
        <f t="shared" si="19"/>
        <v>1.3053003631360003E-3</v>
      </c>
    </row>
    <row r="49" spans="1:77" x14ac:dyDescent="0.3">
      <c r="A49" s="1">
        <v>46093</v>
      </c>
      <c r="B49" s="8">
        <v>88.29</v>
      </c>
      <c r="C49" s="8">
        <v>318.17</v>
      </c>
      <c r="D49" s="9">
        <v>-2.6930506207599701E-2</v>
      </c>
      <c r="E49" s="9">
        <v>-2.63034301545805E-2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88.29</v>
      </c>
      <c r="M49" s="8">
        <v>318.17</v>
      </c>
      <c r="N49" s="10">
        <v>3.6036923773926799</v>
      </c>
      <c r="O49" s="10">
        <v>3.6128150130856298</v>
      </c>
      <c r="P49" s="10">
        <v>3.60558696467591</v>
      </c>
      <c r="Q49" s="10">
        <v>3.6077022378864001</v>
      </c>
      <c r="R49" s="8">
        <v>318.975437505331</v>
      </c>
      <c r="S49" s="8">
        <v>318.37954407421398</v>
      </c>
      <c r="T49" s="8">
        <v>318.58984329630101</v>
      </c>
      <c r="U49" s="9">
        <v>2.52827027224566E-3</v>
      </c>
      <c r="V49" s="9">
        <v>6.5837477611728002E-4</v>
      </c>
      <c r="W49" s="9">
        <v>1.3186866651897599E-3</v>
      </c>
      <c r="X49" s="10">
        <v>3.6036923773926799</v>
      </c>
      <c r="Y49" s="10">
        <v>3.6128150130856298</v>
      </c>
      <c r="Z49" s="10">
        <v>3.60558696467591</v>
      </c>
      <c r="AA49" s="10">
        <v>3.6077022378864001</v>
      </c>
      <c r="AB49" s="8">
        <v>318.975437505331</v>
      </c>
      <c r="AC49" s="8">
        <v>318.37954407421398</v>
      </c>
      <c r="AD49" s="8">
        <v>318.58984329630101</v>
      </c>
      <c r="AE49" s="9">
        <v>2.52827027224566E-3</v>
      </c>
      <c r="AF49" s="9">
        <v>6.5837477611728002E-4</v>
      </c>
      <c r="AG49" s="9">
        <v>1.3186866651897599E-3</v>
      </c>
      <c r="AZ49" s="9"/>
      <c r="BB49">
        <f t="shared" si="2"/>
        <v>0</v>
      </c>
      <c r="BC49">
        <f t="shared" si="3"/>
        <v>1</v>
      </c>
      <c r="BD49">
        <f t="shared" si="4"/>
        <v>0</v>
      </c>
      <c r="BE49">
        <f t="shared" si="0"/>
        <v>1</v>
      </c>
      <c r="BF49">
        <f t="shared" si="5"/>
        <v>0</v>
      </c>
      <c r="BG49" s="9">
        <f t="shared" si="6"/>
        <v>0</v>
      </c>
      <c r="BH49" s="9">
        <f t="shared" si="7"/>
        <v>0</v>
      </c>
      <c r="BI49" s="9">
        <f t="shared" si="8"/>
        <v>0</v>
      </c>
      <c r="BJ49" s="12">
        <f t="shared" si="9"/>
        <v>1.8901474685311811E-3</v>
      </c>
      <c r="BL49" s="9"/>
      <c r="BN49">
        <f t="shared" si="10"/>
        <v>0</v>
      </c>
      <c r="BO49">
        <f t="shared" si="11"/>
        <v>0</v>
      </c>
      <c r="BP49">
        <f t="shared" si="12"/>
        <v>1</v>
      </c>
      <c r="BQ49">
        <f t="shared" si="1"/>
        <v>1</v>
      </c>
      <c r="BR49">
        <f t="shared" si="13"/>
        <v>1</v>
      </c>
      <c r="BS49" s="9">
        <f t="shared" si="14"/>
        <v>2.6930506207599701E-2</v>
      </c>
      <c r="BT49" s="9">
        <f t="shared" si="15"/>
        <v>-2.63034301545805E-2</v>
      </c>
      <c r="BU49" s="9">
        <f t="shared" si="16"/>
        <v>6.2707605301920086E-4</v>
      </c>
      <c r="BV49" s="12">
        <f t="shared" si="17"/>
        <v>4.2228947624019892E-5</v>
      </c>
      <c r="BX49" s="12">
        <f t="shared" si="18"/>
        <v>6.2707605301920086E-4</v>
      </c>
      <c r="BY49" s="12">
        <f t="shared" si="19"/>
        <v>1.9323764161552012E-3</v>
      </c>
    </row>
    <row r="50" spans="1:77" x14ac:dyDescent="0.3">
      <c r="A50" s="1">
        <v>46094</v>
      </c>
      <c r="B50" s="8">
        <v>87.8</v>
      </c>
      <c r="C50" s="8">
        <v>316.58999999999997</v>
      </c>
      <c r="D50" s="9">
        <v>-5.5653502724202601E-3</v>
      </c>
      <c r="E50" s="9">
        <v>-4.9782697810702003E-3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87.8</v>
      </c>
      <c r="M50" s="8">
        <v>316.58999999999997</v>
      </c>
      <c r="N50" s="10">
        <v>3.60580865603644</v>
      </c>
      <c r="O50" s="10">
        <v>3.6128150130856298</v>
      </c>
      <c r="P50" s="10">
        <v>3.6049187549334598</v>
      </c>
      <c r="Q50" s="10">
        <v>3.6073668600526898</v>
      </c>
      <c r="R50" s="8">
        <v>317.205158148919</v>
      </c>
      <c r="S50" s="8">
        <v>316.57053549854402</v>
      </c>
      <c r="T50" s="8">
        <v>316.75625648642603</v>
      </c>
      <c r="U50" s="9">
        <v>1.94118978089551E-3</v>
      </c>
      <c r="V50" s="9">
        <v>-6.1483621830274197E-5</v>
      </c>
      <c r="W50" s="9">
        <v>5.2500978269887902E-4</v>
      </c>
      <c r="X50" s="10">
        <v>3.60580865603644</v>
      </c>
      <c r="Y50" s="10">
        <v>3.6128150130856298</v>
      </c>
      <c r="Z50" s="10">
        <v>3.6049187549334598</v>
      </c>
      <c r="AA50" s="10">
        <v>3.6073668600526898</v>
      </c>
      <c r="AB50" s="8">
        <v>317.205158148919</v>
      </c>
      <c r="AC50" s="8">
        <v>316.57053549854402</v>
      </c>
      <c r="AD50" s="8">
        <v>316.75625648642603</v>
      </c>
      <c r="AE50" s="9">
        <v>1.94118978089551E-3</v>
      </c>
      <c r="AF50" s="9">
        <v>-6.1483621830274197E-5</v>
      </c>
      <c r="AG50" s="9">
        <v>5.2500978269887902E-4</v>
      </c>
      <c r="AZ50" s="9"/>
      <c r="BB50">
        <f t="shared" si="2"/>
        <v>0</v>
      </c>
      <c r="BC50">
        <f t="shared" si="3"/>
        <v>1</v>
      </c>
      <c r="BD50">
        <f t="shared" si="4"/>
        <v>0</v>
      </c>
      <c r="BE50">
        <f t="shared" si="0"/>
        <v>1</v>
      </c>
      <c r="BF50">
        <f t="shared" si="5"/>
        <v>0</v>
      </c>
      <c r="BG50" s="9">
        <f t="shared" si="6"/>
        <v>0</v>
      </c>
      <c r="BH50" s="9">
        <f t="shared" si="7"/>
        <v>0</v>
      </c>
      <c r="BI50" s="9">
        <f t="shared" si="8"/>
        <v>0</v>
      </c>
      <c r="BJ50" s="12">
        <f t="shared" si="9"/>
        <v>1.8901474685311811E-3</v>
      </c>
      <c r="BL50" s="9"/>
      <c r="BN50">
        <f t="shared" si="10"/>
        <v>0</v>
      </c>
      <c r="BO50">
        <f t="shared" si="11"/>
        <v>0</v>
      </c>
      <c r="BP50">
        <f t="shared" si="12"/>
        <v>1</v>
      </c>
      <c r="BQ50">
        <f t="shared" si="1"/>
        <v>1</v>
      </c>
      <c r="BR50">
        <f t="shared" si="13"/>
        <v>1</v>
      </c>
      <c r="BS50" s="9">
        <f t="shared" si="14"/>
        <v>5.5653502724202601E-3</v>
      </c>
      <c r="BT50" s="9">
        <f t="shared" si="15"/>
        <v>-4.9782697810702003E-3</v>
      </c>
      <c r="BU50" s="9">
        <f t="shared" si="16"/>
        <v>5.8708049135005984E-4</v>
      </c>
      <c r="BV50" s="12">
        <f t="shared" si="17"/>
        <v>6.2930943897407973E-4</v>
      </c>
      <c r="BX50" s="12">
        <f t="shared" si="18"/>
        <v>5.8708049135005984E-4</v>
      </c>
      <c r="BY50" s="12">
        <f t="shared" si="19"/>
        <v>2.5194569075052608E-3</v>
      </c>
    </row>
    <row r="51" spans="1:77" x14ac:dyDescent="0.3">
      <c r="A51" s="1">
        <v>46097</v>
      </c>
      <c r="B51" s="8">
        <v>88.66</v>
      </c>
      <c r="C51" s="8">
        <v>319.58</v>
      </c>
      <c r="D51" s="9">
        <v>9.7473286758365807E-3</v>
      </c>
      <c r="E51" s="9">
        <v>9.4000723601340395E-3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88.66</v>
      </c>
      <c r="M51" s="8">
        <v>319.58</v>
      </c>
      <c r="N51" s="10">
        <v>3.6045567335889901</v>
      </c>
      <c r="O51" s="10">
        <v>3.6128150130856298</v>
      </c>
      <c r="P51" s="10">
        <v>3.6044707571282601</v>
      </c>
      <c r="Q51" s="10">
        <v>3.6071331417953201</v>
      </c>
      <c r="R51" s="8">
        <v>320.31217906017201</v>
      </c>
      <c r="S51" s="8">
        <v>319.61209681240098</v>
      </c>
      <c r="T51" s="8">
        <v>319.82914581227101</v>
      </c>
      <c r="U51" s="9">
        <v>2.288446096598E-3</v>
      </c>
      <c r="V51" s="9">
        <v>1.0042931565788299E-4</v>
      </c>
      <c r="W51" s="9">
        <v>7.7930016019481403E-4</v>
      </c>
      <c r="X51" s="10">
        <v>3.6045567335889901</v>
      </c>
      <c r="Y51" s="10">
        <v>3.6128150130856298</v>
      </c>
      <c r="Z51" s="10">
        <v>3.6044707571282601</v>
      </c>
      <c r="AA51" s="10">
        <v>3.6071331417953201</v>
      </c>
      <c r="AB51" s="8">
        <v>320.31217906017201</v>
      </c>
      <c r="AC51" s="8">
        <v>319.61209681240098</v>
      </c>
      <c r="AD51" s="8">
        <v>319.82914581227101</v>
      </c>
      <c r="AE51" s="9">
        <v>2.288446096598E-3</v>
      </c>
      <c r="AF51" s="9">
        <v>1.0042931565788299E-4</v>
      </c>
      <c r="AG51" s="9">
        <v>7.7930016019481403E-4</v>
      </c>
      <c r="AZ51" s="9"/>
      <c r="BB51">
        <f t="shared" si="2"/>
        <v>0</v>
      </c>
      <c r="BC51">
        <f t="shared" si="3"/>
        <v>1</v>
      </c>
      <c r="BD51">
        <f t="shared" si="4"/>
        <v>0</v>
      </c>
      <c r="BE51">
        <f t="shared" si="0"/>
        <v>1</v>
      </c>
      <c r="BF51">
        <f t="shared" si="5"/>
        <v>0</v>
      </c>
      <c r="BG51" s="9">
        <f t="shared" si="6"/>
        <v>0</v>
      </c>
      <c r="BH51" s="9">
        <f t="shared" si="7"/>
        <v>0</v>
      </c>
      <c r="BI51" s="9">
        <f t="shared" si="8"/>
        <v>0</v>
      </c>
      <c r="BJ51" s="12">
        <f t="shared" si="9"/>
        <v>1.8901474685311811E-3</v>
      </c>
      <c r="BL51" s="9"/>
      <c r="BN51">
        <f t="shared" si="10"/>
        <v>0</v>
      </c>
      <c r="BO51">
        <f t="shared" si="11"/>
        <v>0</v>
      </c>
      <c r="BP51">
        <f t="shared" si="12"/>
        <v>1</v>
      </c>
      <c r="BQ51">
        <f t="shared" si="1"/>
        <v>1</v>
      </c>
      <c r="BR51">
        <f t="shared" si="13"/>
        <v>1</v>
      </c>
      <c r="BS51" s="9">
        <f t="shared" si="14"/>
        <v>-9.7473286758365807E-3</v>
      </c>
      <c r="BT51" s="9">
        <f t="shared" si="15"/>
        <v>9.4000723601340395E-3</v>
      </c>
      <c r="BU51" s="9">
        <f t="shared" si="16"/>
        <v>-3.4725631570254115E-4</v>
      </c>
      <c r="BV51" s="12">
        <f t="shared" si="17"/>
        <v>2.8205312327153858E-4</v>
      </c>
      <c r="BX51" s="12">
        <f t="shared" si="18"/>
        <v>-3.4725631570254115E-4</v>
      </c>
      <c r="BY51" s="12">
        <f t="shared" si="19"/>
        <v>2.1722005918027197E-3</v>
      </c>
    </row>
    <row r="52" spans="1:77" x14ac:dyDescent="0.3">
      <c r="A52" s="1">
        <v>46098</v>
      </c>
      <c r="B52" s="8">
        <v>89.06</v>
      </c>
      <c r="C52" s="8">
        <v>321.22000000000003</v>
      </c>
      <c r="D52" s="9">
        <v>4.5014705766488099E-3</v>
      </c>
      <c r="E52" s="9">
        <v>5.1186129235089401E-3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89.06</v>
      </c>
      <c r="M52" s="8">
        <v>321.22000000000003</v>
      </c>
      <c r="N52" s="10">
        <v>3.6067819447563401</v>
      </c>
      <c r="O52" s="10">
        <v>3.6128150130856298</v>
      </c>
      <c r="P52" s="10">
        <v>3.6047949315569801</v>
      </c>
      <c r="Q52" s="10">
        <v>3.6071335448165001</v>
      </c>
      <c r="R52" s="8">
        <v>321.757305065406</v>
      </c>
      <c r="S52" s="8">
        <v>321.01416562984298</v>
      </c>
      <c r="T52" s="8">
        <v>321.25127760829099</v>
      </c>
      <c r="U52" s="9">
        <v>1.6713037497381E-3</v>
      </c>
      <c r="V52" s="9">
        <v>-6.4099479043638798E-4</v>
      </c>
      <c r="W52" s="9">
        <v>9.7366557561154204E-5</v>
      </c>
      <c r="X52" s="10">
        <v>3.6067819447563401</v>
      </c>
      <c r="Y52" s="10">
        <v>3.6128150130856298</v>
      </c>
      <c r="Z52" s="10">
        <v>3.6047949315569801</v>
      </c>
      <c r="AA52" s="10">
        <v>3.6071335448165001</v>
      </c>
      <c r="AB52" s="8">
        <v>321.757305065406</v>
      </c>
      <c r="AC52" s="8">
        <v>321.01416562984298</v>
      </c>
      <c r="AD52" s="8">
        <v>321.25127760829099</v>
      </c>
      <c r="AE52" s="9">
        <v>1.6713037497381E-3</v>
      </c>
      <c r="AF52" s="9">
        <v>-6.4099479043638798E-4</v>
      </c>
      <c r="AG52" s="9">
        <v>9.7366557561154204E-5</v>
      </c>
      <c r="AZ52" s="9"/>
      <c r="BB52">
        <f t="shared" si="2"/>
        <v>0</v>
      </c>
      <c r="BC52">
        <f t="shared" si="3"/>
        <v>1</v>
      </c>
      <c r="BD52">
        <f t="shared" si="4"/>
        <v>0</v>
      </c>
      <c r="BE52">
        <f t="shared" si="0"/>
        <v>1</v>
      </c>
      <c r="BF52">
        <f t="shared" si="5"/>
        <v>0</v>
      </c>
      <c r="BG52" s="9">
        <f t="shared" si="6"/>
        <v>0</v>
      </c>
      <c r="BH52" s="9">
        <f t="shared" si="7"/>
        <v>0</v>
      </c>
      <c r="BI52" s="9">
        <f t="shared" si="8"/>
        <v>0</v>
      </c>
      <c r="BJ52" s="12">
        <f t="shared" si="9"/>
        <v>1.8901474685311811E-3</v>
      </c>
      <c r="BL52" s="9"/>
      <c r="BN52">
        <f t="shared" si="10"/>
        <v>0</v>
      </c>
      <c r="BO52">
        <f t="shared" si="11"/>
        <v>0</v>
      </c>
      <c r="BP52">
        <f t="shared" si="12"/>
        <v>1</v>
      </c>
      <c r="BQ52">
        <f t="shared" si="1"/>
        <v>1</v>
      </c>
      <c r="BR52">
        <f t="shared" si="13"/>
        <v>1</v>
      </c>
      <c r="BS52" s="9">
        <f t="shared" si="14"/>
        <v>-4.5014705766488099E-3</v>
      </c>
      <c r="BT52" s="9">
        <f t="shared" si="15"/>
        <v>5.1186129235089401E-3</v>
      </c>
      <c r="BU52" s="9">
        <f t="shared" si="16"/>
        <v>6.1714234686013024E-4</v>
      </c>
      <c r="BV52" s="12">
        <f t="shared" si="17"/>
        <v>8.9919547013166882E-4</v>
      </c>
      <c r="BX52" s="12">
        <f t="shared" si="18"/>
        <v>6.1714234686013024E-4</v>
      </c>
      <c r="BY52" s="12">
        <f t="shared" si="19"/>
        <v>2.7893429386628499E-3</v>
      </c>
    </row>
    <row r="53" spans="1:77" x14ac:dyDescent="0.3">
      <c r="A53" s="1">
        <v>46099</v>
      </c>
      <c r="B53" s="8">
        <v>88.24</v>
      </c>
      <c r="C53" s="8">
        <v>318.06</v>
      </c>
      <c r="D53" s="9">
        <v>-9.2499249483093595E-3</v>
      </c>
      <c r="E53" s="9">
        <v>-9.8862024069815892E-3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88.24</v>
      </c>
      <c r="M53" s="8">
        <v>318.06</v>
      </c>
      <c r="N53" s="10">
        <v>3.6044877606527601</v>
      </c>
      <c r="O53" s="10">
        <v>3.6128150130856298</v>
      </c>
      <c r="P53" s="10">
        <v>3.60458901530638</v>
      </c>
      <c r="Q53" s="10">
        <v>3.60668579820917</v>
      </c>
      <c r="R53" s="8">
        <v>318.79479675467599</v>
      </c>
      <c r="S53" s="8">
        <v>318.08710476058701</v>
      </c>
      <c r="T53" s="8">
        <v>318.29346399460798</v>
      </c>
      <c r="U53" s="9">
        <v>2.3075812084103202E-3</v>
      </c>
      <c r="V53" s="9">
        <v>8.5215386194387494E-5</v>
      </c>
      <c r="W53" s="9">
        <v>7.3375574517202304E-4</v>
      </c>
      <c r="X53" s="10">
        <v>3.6044877606527601</v>
      </c>
      <c r="Y53" s="10">
        <v>3.6128150130856298</v>
      </c>
      <c r="Z53" s="10">
        <v>3.60458901530638</v>
      </c>
      <c r="AA53" s="10">
        <v>3.60668579820917</v>
      </c>
      <c r="AB53" s="8">
        <v>318.79479675467599</v>
      </c>
      <c r="AC53" s="8">
        <v>318.08710476058701</v>
      </c>
      <c r="AD53" s="8">
        <v>318.29346399460798</v>
      </c>
      <c r="AE53" s="9">
        <v>2.3075812084103202E-3</v>
      </c>
      <c r="AF53" s="9">
        <v>8.5215386194387494E-5</v>
      </c>
      <c r="AG53" s="9">
        <v>7.3375574517202304E-4</v>
      </c>
      <c r="AZ53" s="9"/>
      <c r="BB53">
        <f t="shared" si="2"/>
        <v>0</v>
      </c>
      <c r="BC53">
        <f t="shared" si="3"/>
        <v>1</v>
      </c>
      <c r="BD53">
        <f t="shared" si="4"/>
        <v>0</v>
      </c>
      <c r="BE53">
        <f t="shared" si="0"/>
        <v>1</v>
      </c>
      <c r="BF53">
        <f t="shared" si="5"/>
        <v>0</v>
      </c>
      <c r="BG53" s="9">
        <f t="shared" si="6"/>
        <v>0</v>
      </c>
      <c r="BH53" s="9">
        <f t="shared" si="7"/>
        <v>0</v>
      </c>
      <c r="BI53" s="9">
        <f t="shared" si="8"/>
        <v>0</v>
      </c>
      <c r="BJ53" s="12">
        <f t="shared" si="9"/>
        <v>1.8901474685311811E-3</v>
      </c>
      <c r="BL53" s="9"/>
      <c r="BN53">
        <f t="shared" si="10"/>
        <v>0</v>
      </c>
      <c r="BO53">
        <f t="shared" si="11"/>
        <v>0</v>
      </c>
      <c r="BP53">
        <f t="shared" si="12"/>
        <v>1</v>
      </c>
      <c r="BQ53">
        <f t="shared" si="1"/>
        <v>1</v>
      </c>
      <c r="BR53">
        <f t="shared" si="13"/>
        <v>1</v>
      </c>
      <c r="BS53" s="9">
        <f t="shared" si="14"/>
        <v>9.2499249483093595E-3</v>
      </c>
      <c r="BT53" s="9">
        <f t="shared" si="15"/>
        <v>-9.8862024069815892E-3</v>
      </c>
      <c r="BU53" s="9">
        <f t="shared" si="16"/>
        <v>-6.3627745867222973E-4</v>
      </c>
      <c r="BV53" s="12">
        <f t="shared" si="17"/>
        <v>2.6291801145943909E-4</v>
      </c>
      <c r="BX53" s="12">
        <f t="shared" si="18"/>
        <v>-6.3627745867222973E-4</v>
      </c>
      <c r="BY53" s="12">
        <f t="shared" si="19"/>
        <v>2.1530654799906202E-3</v>
      </c>
    </row>
    <row r="54" spans="1:77" x14ac:dyDescent="0.3">
      <c r="A54" s="1">
        <v>46100</v>
      </c>
      <c r="B54" s="8">
        <v>87.7</v>
      </c>
      <c r="C54" s="8">
        <v>316.74</v>
      </c>
      <c r="D54" s="9">
        <v>-6.1384755671095503E-3</v>
      </c>
      <c r="E54" s="9">
        <v>-4.15879616418978E-3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87.7</v>
      </c>
      <c r="M54" s="8">
        <v>316.74</v>
      </c>
      <c r="N54" s="10">
        <v>3.6116305587229101</v>
      </c>
      <c r="O54" s="10">
        <v>3.6128150130856298</v>
      </c>
      <c r="P54" s="10">
        <v>3.6054804796523299</v>
      </c>
      <c r="Q54" s="10">
        <v>3.6069420542052999</v>
      </c>
      <c r="R54" s="8">
        <v>316.84387664760999</v>
      </c>
      <c r="S54" s="8">
        <v>316.12245664237003</v>
      </c>
      <c r="T54" s="8">
        <v>316.306344502944</v>
      </c>
      <c r="U54" s="9">
        <v>3.2790180549045799E-4</v>
      </c>
      <c r="V54" s="9">
        <v>-1.9515885233862299E-3</v>
      </c>
      <c r="W54" s="9">
        <v>-1.37005945505878E-3</v>
      </c>
      <c r="X54" s="10">
        <v>3.6116305587229101</v>
      </c>
      <c r="Y54" s="10">
        <v>3.6128150130856298</v>
      </c>
      <c r="Z54" s="10">
        <v>3.6054804796523299</v>
      </c>
      <c r="AA54" s="10">
        <v>3.6069420542052999</v>
      </c>
      <c r="AB54" s="8">
        <v>316.84387664760999</v>
      </c>
      <c r="AC54" s="8">
        <v>316.12245664237003</v>
      </c>
      <c r="AD54" s="8">
        <v>316.306344502944</v>
      </c>
      <c r="AE54" s="9">
        <v>3.2790180549045799E-4</v>
      </c>
      <c r="AF54" s="9">
        <v>-1.9515885233862299E-3</v>
      </c>
      <c r="AG54" s="9">
        <v>-1.37005945505878E-3</v>
      </c>
      <c r="AZ54" s="9"/>
      <c r="BB54">
        <f t="shared" si="2"/>
        <v>1</v>
      </c>
      <c r="BC54">
        <f t="shared" si="3"/>
        <v>0</v>
      </c>
      <c r="BD54">
        <f t="shared" si="4"/>
        <v>0</v>
      </c>
      <c r="BE54">
        <f t="shared" si="0"/>
        <v>0</v>
      </c>
      <c r="BF54">
        <f t="shared" si="5"/>
        <v>0</v>
      </c>
      <c r="BG54" s="9">
        <f t="shared" si="6"/>
        <v>0</v>
      </c>
      <c r="BH54" s="9">
        <f t="shared" si="7"/>
        <v>0</v>
      </c>
      <c r="BI54" s="9">
        <f t="shared" si="8"/>
        <v>0</v>
      </c>
      <c r="BJ54" s="12">
        <f t="shared" si="9"/>
        <v>1.8901474685311811E-3</v>
      </c>
      <c r="BL54" s="9"/>
      <c r="BN54">
        <f t="shared" si="10"/>
        <v>0</v>
      </c>
      <c r="BO54">
        <f t="shared" si="11"/>
        <v>1</v>
      </c>
      <c r="BP54">
        <f t="shared" si="12"/>
        <v>1</v>
      </c>
      <c r="BQ54">
        <f t="shared" si="1"/>
        <v>0</v>
      </c>
      <c r="BR54">
        <f t="shared" si="13"/>
        <v>1</v>
      </c>
      <c r="BS54" s="9">
        <f t="shared" si="14"/>
        <v>6.1384755671095503E-3</v>
      </c>
      <c r="BT54" s="9">
        <f t="shared" si="15"/>
        <v>-4.15879616418978E-3</v>
      </c>
      <c r="BU54" s="9">
        <f t="shared" si="16"/>
        <v>1.9796794029197703E-3</v>
      </c>
      <c r="BV54" s="12">
        <f t="shared" si="17"/>
        <v>2.2425974143792096E-3</v>
      </c>
      <c r="BX54" s="12">
        <f t="shared" si="18"/>
        <v>1.9796794029197703E-3</v>
      </c>
      <c r="BY54" s="12">
        <f t="shared" si="19"/>
        <v>4.1327448829103905E-3</v>
      </c>
    </row>
    <row r="55" spans="1:77" x14ac:dyDescent="0.3">
      <c r="A55" s="1">
        <v>46101</v>
      </c>
      <c r="B55" s="8">
        <v>86.03</v>
      </c>
      <c r="C55" s="8">
        <v>311.14</v>
      </c>
      <c r="D55" s="9">
        <v>-1.92258267448806E-2</v>
      </c>
      <c r="E55" s="9">
        <v>-1.7838276404604499E-2</v>
      </c>
      <c r="F55" s="8">
        <v>0.26500000000000001</v>
      </c>
      <c r="G55" s="8">
        <v>0.26500000000000001</v>
      </c>
      <c r="H55" s="8">
        <v>0</v>
      </c>
      <c r="I55" s="8">
        <v>0</v>
      </c>
      <c r="J55" s="8">
        <v>0</v>
      </c>
      <c r="K55" s="8">
        <v>0</v>
      </c>
      <c r="L55" s="8">
        <v>86.03</v>
      </c>
      <c r="M55" s="8">
        <v>311.14</v>
      </c>
      <c r="N55" s="10">
        <v>3.6166453562710599</v>
      </c>
      <c r="O55" s="10">
        <v>3.6128150130856298</v>
      </c>
      <c r="P55" s="10">
        <v>3.60643744203455</v>
      </c>
      <c r="Q55" s="10">
        <v>3.60720882075517</v>
      </c>
      <c r="R55" s="8">
        <v>310.81047557575698</v>
      </c>
      <c r="S55" s="8">
        <v>310.17948566449002</v>
      </c>
      <c r="T55" s="8">
        <v>310.30522492328203</v>
      </c>
      <c r="U55" s="9">
        <v>-1.05964853478549E-3</v>
      </c>
      <c r="V55" s="9">
        <v>-3.0918557130316599E-3</v>
      </c>
      <c r="W55" s="9">
        <v>-2.6865620502942501E-3</v>
      </c>
      <c r="X55" s="10">
        <v>3.6166453562710599</v>
      </c>
      <c r="Y55" s="10">
        <v>3.6128150130856298</v>
      </c>
      <c r="Z55" s="10">
        <v>3.60643744203455</v>
      </c>
      <c r="AA55" s="10">
        <v>3.60720882075517</v>
      </c>
      <c r="AB55" s="8">
        <v>310.81047557575698</v>
      </c>
      <c r="AC55" s="8">
        <v>310.17948566449002</v>
      </c>
      <c r="AD55" s="8">
        <v>310.30522492328203</v>
      </c>
      <c r="AE55" s="9">
        <v>-1.05964853478549E-3</v>
      </c>
      <c r="AF55" s="9">
        <v>-3.0918557130316599E-3</v>
      </c>
      <c r="AG55" s="9">
        <v>-2.6865620502942501E-3</v>
      </c>
      <c r="AZ55" s="9"/>
      <c r="BB55">
        <f t="shared" si="2"/>
        <v>1</v>
      </c>
      <c r="BC55">
        <f t="shared" si="3"/>
        <v>0</v>
      </c>
      <c r="BD55">
        <f t="shared" si="4"/>
        <v>0</v>
      </c>
      <c r="BE55">
        <f t="shared" si="0"/>
        <v>1</v>
      </c>
      <c r="BF55">
        <f t="shared" si="5"/>
        <v>0</v>
      </c>
      <c r="BG55" s="9">
        <f t="shared" si="6"/>
        <v>0</v>
      </c>
      <c r="BH55" s="9">
        <f t="shared" si="7"/>
        <v>0</v>
      </c>
      <c r="BI55" s="9">
        <f t="shared" si="8"/>
        <v>0</v>
      </c>
      <c r="BJ55" s="12">
        <f t="shared" si="9"/>
        <v>1.8901474685311811E-3</v>
      </c>
      <c r="BL55" s="9"/>
      <c r="BN55">
        <f t="shared" si="10"/>
        <v>0</v>
      </c>
      <c r="BO55">
        <f t="shared" si="11"/>
        <v>1</v>
      </c>
      <c r="BP55">
        <f t="shared" si="12"/>
        <v>0</v>
      </c>
      <c r="BQ55">
        <f t="shared" si="1"/>
        <v>1</v>
      </c>
      <c r="BR55">
        <f t="shared" si="13"/>
        <v>0</v>
      </c>
      <c r="BS55" s="9">
        <f t="shared" si="14"/>
        <v>0</v>
      </c>
      <c r="BT55" s="9">
        <f t="shared" si="15"/>
        <v>0</v>
      </c>
      <c r="BU55" s="9">
        <f t="shared" si="16"/>
        <v>0</v>
      </c>
      <c r="BV55" s="12">
        <f t="shared" si="17"/>
        <v>2.2425974143792096E-3</v>
      </c>
      <c r="BX55" s="12">
        <f t="shared" si="18"/>
        <v>0</v>
      </c>
      <c r="BY55" s="12">
        <f t="shared" si="19"/>
        <v>4.1327448829103905E-3</v>
      </c>
    </row>
    <row r="56" spans="1:77" x14ac:dyDescent="0.3">
      <c r="A56" s="1">
        <v>46104</v>
      </c>
      <c r="B56" s="8">
        <v>87.14</v>
      </c>
      <c r="C56" s="8">
        <v>315.45999999999998</v>
      </c>
      <c r="D56" s="9">
        <v>1.28199480560392E-2</v>
      </c>
      <c r="E56" s="9">
        <v>1.3788919400352401E-2</v>
      </c>
      <c r="F56" s="8">
        <v>0</v>
      </c>
      <c r="G56" s="8">
        <v>0.26500000000000001</v>
      </c>
      <c r="H56" s="8">
        <v>0</v>
      </c>
      <c r="I56" s="8">
        <v>0</v>
      </c>
      <c r="J56" s="8">
        <v>0</v>
      </c>
      <c r="K56" s="8">
        <v>0</v>
      </c>
      <c r="L56" s="8">
        <v>87.14</v>
      </c>
      <c r="M56" s="8">
        <v>315.45999999999998</v>
      </c>
      <c r="N56" s="10">
        <v>3.6201514803763999</v>
      </c>
      <c r="O56" s="10">
        <v>3.6128150130856298</v>
      </c>
      <c r="P56" s="10">
        <v>3.60797932100997</v>
      </c>
      <c r="Q56" s="10">
        <v>3.60784495705385</v>
      </c>
      <c r="R56" s="8">
        <v>314.82070024028201</v>
      </c>
      <c r="S56" s="8">
        <v>314.26495869889101</v>
      </c>
      <c r="T56" s="8">
        <v>314.33217664060498</v>
      </c>
      <c r="U56" s="9">
        <v>-2.0286198790986799E-3</v>
      </c>
      <c r="V56" s="9">
        <v>-3.7954434525317702E-3</v>
      </c>
      <c r="W56" s="9">
        <v>-3.5815769291524802E-3</v>
      </c>
      <c r="X56" s="10">
        <v>3.6201514803763999</v>
      </c>
      <c r="Y56" s="10">
        <v>3.6128150130856298</v>
      </c>
      <c r="Z56" s="10">
        <v>3.60797932100997</v>
      </c>
      <c r="AA56" s="10">
        <v>3.60784495705385</v>
      </c>
      <c r="AB56" s="8">
        <v>314.82070024028201</v>
      </c>
      <c r="AC56" s="8">
        <v>314.26495869889101</v>
      </c>
      <c r="AD56" s="8">
        <v>314.33217664060498</v>
      </c>
      <c r="AE56" s="9">
        <v>-2.0286198790986799E-3</v>
      </c>
      <c r="AF56" s="9">
        <v>-3.7954434525317702E-3</v>
      </c>
      <c r="AG56" s="9">
        <v>-3.5815769291524802E-3</v>
      </c>
      <c r="AZ56" s="9"/>
      <c r="BB56">
        <f t="shared" si="2"/>
        <v>1</v>
      </c>
      <c r="BC56">
        <f t="shared" si="3"/>
        <v>0</v>
      </c>
      <c r="BD56">
        <f t="shared" si="4"/>
        <v>1</v>
      </c>
      <c r="BE56">
        <f t="shared" si="0"/>
        <v>0</v>
      </c>
      <c r="BF56">
        <f t="shared" si="5"/>
        <v>1</v>
      </c>
      <c r="BG56" s="9">
        <f t="shared" si="6"/>
        <v>1.28199480560392E-2</v>
      </c>
      <c r="BH56" s="9">
        <f t="shared" si="7"/>
        <v>-1.3788919400352401E-2</v>
      </c>
      <c r="BI56" s="9">
        <f t="shared" si="8"/>
        <v>-9.6897134431320024E-4</v>
      </c>
      <c r="BJ56" s="12">
        <f t="shared" si="9"/>
        <v>9.2117612421798085E-4</v>
      </c>
      <c r="BL56" s="9"/>
      <c r="BN56">
        <f t="shared" si="10"/>
        <v>0</v>
      </c>
      <c r="BO56">
        <f t="shared" si="11"/>
        <v>1</v>
      </c>
      <c r="BP56">
        <f t="shared" si="12"/>
        <v>0</v>
      </c>
      <c r="BQ56">
        <f t="shared" si="1"/>
        <v>0</v>
      </c>
      <c r="BR56">
        <f t="shared" si="13"/>
        <v>0</v>
      </c>
      <c r="BS56" s="9">
        <f t="shared" si="14"/>
        <v>0</v>
      </c>
      <c r="BT56" s="9">
        <f t="shared" si="15"/>
        <v>0</v>
      </c>
      <c r="BU56" s="9">
        <f t="shared" si="16"/>
        <v>0</v>
      </c>
      <c r="BV56" s="12">
        <f t="shared" si="17"/>
        <v>2.2425974143792096E-3</v>
      </c>
      <c r="BX56" s="12">
        <f t="shared" si="18"/>
        <v>-9.6897134431320024E-4</v>
      </c>
      <c r="BY56" s="12">
        <f t="shared" si="19"/>
        <v>3.1637735385971902E-3</v>
      </c>
    </row>
    <row r="57" spans="1:77" x14ac:dyDescent="0.3">
      <c r="A57" s="1">
        <v>46105</v>
      </c>
      <c r="B57" s="8">
        <v>87.85</v>
      </c>
      <c r="C57" s="8">
        <v>316.61</v>
      </c>
      <c r="D57" s="9">
        <v>8.1147939438100808E-3</v>
      </c>
      <c r="E57" s="9">
        <v>3.63884148573731E-3</v>
      </c>
      <c r="F57" s="8">
        <v>0</v>
      </c>
      <c r="G57" s="8">
        <v>0.26500000000000001</v>
      </c>
      <c r="H57" s="8">
        <v>0.77029999999999998</v>
      </c>
      <c r="I57" s="8">
        <v>0.77029999999999998</v>
      </c>
      <c r="J57" s="8">
        <v>0</v>
      </c>
      <c r="K57" s="8">
        <v>0</v>
      </c>
      <c r="L57" s="8">
        <v>87.85</v>
      </c>
      <c r="M57" s="8">
        <v>316.61</v>
      </c>
      <c r="N57" s="10">
        <v>3.60398406374502</v>
      </c>
      <c r="O57" s="10">
        <v>3.6128150130856298</v>
      </c>
      <c r="P57" s="10">
        <v>3.6079172228124698</v>
      </c>
      <c r="Q57" s="10">
        <v>3.60737397554453</v>
      </c>
      <c r="R57" s="8">
        <v>317.38579889957299</v>
      </c>
      <c r="S57" s="8">
        <v>316.96098335072497</v>
      </c>
      <c r="T57" s="8">
        <v>316.94917947718</v>
      </c>
      <c r="U57" s="9">
        <v>2.4473325789741902E-3</v>
      </c>
      <c r="V57" s="9">
        <v>1.1079528446018699E-3</v>
      </c>
      <c r="W57" s="9">
        <v>1.07071137336944E-3</v>
      </c>
      <c r="X57" s="10">
        <v>3.60398406374502</v>
      </c>
      <c r="Y57" s="10">
        <v>3.6128150130856298</v>
      </c>
      <c r="Z57" s="10">
        <v>3.6079172228124698</v>
      </c>
      <c r="AA57" s="10">
        <v>3.60737397554453</v>
      </c>
      <c r="AB57" s="8">
        <v>317.38579889957299</v>
      </c>
      <c r="AC57" s="8">
        <v>316.96098335072497</v>
      </c>
      <c r="AD57" s="8">
        <v>316.94917947718</v>
      </c>
      <c r="AE57" s="9">
        <v>2.4473325789741902E-3</v>
      </c>
      <c r="AF57" s="9">
        <v>1.1079528446018699E-3</v>
      </c>
      <c r="AG57" s="9">
        <v>1.07071137336944E-3</v>
      </c>
      <c r="AZ57" s="9"/>
      <c r="BB57">
        <f t="shared" si="2"/>
        <v>0</v>
      </c>
      <c r="BC57">
        <f t="shared" si="3"/>
        <v>1</v>
      </c>
      <c r="BD57">
        <f t="shared" si="4"/>
        <v>0</v>
      </c>
      <c r="BE57">
        <f t="shared" si="0"/>
        <v>1</v>
      </c>
      <c r="BF57">
        <f t="shared" si="5"/>
        <v>0</v>
      </c>
      <c r="BG57" s="9">
        <f t="shared" si="6"/>
        <v>0</v>
      </c>
      <c r="BH57" s="9">
        <f t="shared" si="7"/>
        <v>0</v>
      </c>
      <c r="BI57" s="9">
        <f t="shared" si="8"/>
        <v>0</v>
      </c>
      <c r="BJ57" s="12">
        <f t="shared" si="9"/>
        <v>9.2117612421798085E-4</v>
      </c>
      <c r="BL57" s="9"/>
      <c r="BN57">
        <f t="shared" si="10"/>
        <v>0</v>
      </c>
      <c r="BO57">
        <f t="shared" si="11"/>
        <v>0</v>
      </c>
      <c r="BP57">
        <f t="shared" si="12"/>
        <v>0</v>
      </c>
      <c r="BQ57">
        <f t="shared" si="1"/>
        <v>1</v>
      </c>
      <c r="BR57">
        <f t="shared" si="13"/>
        <v>0</v>
      </c>
      <c r="BS57" s="9">
        <f t="shared" si="14"/>
        <v>0</v>
      </c>
      <c r="BT57" s="9">
        <f t="shared" si="15"/>
        <v>0</v>
      </c>
      <c r="BU57" s="9">
        <f t="shared" si="16"/>
        <v>0</v>
      </c>
      <c r="BV57" s="12">
        <f t="shared" si="17"/>
        <v>2.2425974143792096E-3</v>
      </c>
      <c r="BX57" s="12">
        <f t="shared" si="18"/>
        <v>0</v>
      </c>
      <c r="BY57" s="12">
        <f t="shared" si="19"/>
        <v>3.1637735385971902E-3</v>
      </c>
    </row>
    <row r="58" spans="1:77" x14ac:dyDescent="0.3">
      <c r="A58" s="1">
        <v>46106</v>
      </c>
      <c r="B58" s="8">
        <v>88.51</v>
      </c>
      <c r="C58" s="8">
        <v>319.37</v>
      </c>
      <c r="D58" s="9">
        <v>7.4847253476794098E-3</v>
      </c>
      <c r="E58" s="9">
        <v>8.6795727130546205E-3</v>
      </c>
      <c r="F58" s="8">
        <v>0</v>
      </c>
      <c r="G58" s="8">
        <v>0.26500000000000001</v>
      </c>
      <c r="H58" s="8">
        <v>0</v>
      </c>
      <c r="I58" s="8">
        <v>0.77029999999999998</v>
      </c>
      <c r="J58" s="8">
        <v>0</v>
      </c>
      <c r="K58" s="8">
        <v>0</v>
      </c>
      <c r="L58" s="8">
        <v>88.51</v>
      </c>
      <c r="M58" s="8">
        <v>319.37</v>
      </c>
      <c r="N58" s="10">
        <v>3.6082928482657302</v>
      </c>
      <c r="O58" s="10">
        <v>3.6128150130856298</v>
      </c>
      <c r="P58" s="10">
        <v>3.6086031779808301</v>
      </c>
      <c r="Q58" s="10">
        <v>3.6073344583652802</v>
      </c>
      <c r="R58" s="8">
        <v>319.77025680820901</v>
      </c>
      <c r="S58" s="8">
        <v>319.33675339113199</v>
      </c>
      <c r="T58" s="8">
        <v>319.28867057544602</v>
      </c>
      <c r="U58" s="9">
        <v>1.25248521359926E-3</v>
      </c>
      <c r="V58" s="9">
        <v>-1.04106019612543E-4</v>
      </c>
      <c r="W58" s="9">
        <v>-2.5468823564165E-4</v>
      </c>
      <c r="X58" s="10">
        <v>3.6082928482657302</v>
      </c>
      <c r="Y58" s="10">
        <v>3.6128150130856298</v>
      </c>
      <c r="Z58" s="10">
        <v>3.6086031779808301</v>
      </c>
      <c r="AA58" s="10">
        <v>3.6073344583652802</v>
      </c>
      <c r="AB58" s="8">
        <v>319.77025680820901</v>
      </c>
      <c r="AC58" s="8">
        <v>319.33675339113199</v>
      </c>
      <c r="AD58" s="8">
        <v>319.28867057544602</v>
      </c>
      <c r="AE58" s="9">
        <v>1.25248521359926E-3</v>
      </c>
      <c r="AF58" s="9">
        <v>-1.04106019612543E-4</v>
      </c>
      <c r="AG58" s="9">
        <v>-2.5468823564165E-4</v>
      </c>
      <c r="AZ58" s="9"/>
      <c r="BB58">
        <f t="shared" si="2"/>
        <v>0</v>
      </c>
      <c r="BC58">
        <f t="shared" si="3"/>
        <v>0</v>
      </c>
      <c r="BD58">
        <f t="shared" si="4"/>
        <v>0</v>
      </c>
      <c r="BE58">
        <f t="shared" si="0"/>
        <v>1</v>
      </c>
      <c r="BF58">
        <f t="shared" si="5"/>
        <v>0</v>
      </c>
      <c r="BG58" s="9">
        <f t="shared" si="6"/>
        <v>0</v>
      </c>
      <c r="BH58" s="9">
        <f t="shared" si="7"/>
        <v>0</v>
      </c>
      <c r="BI58" s="9">
        <f t="shared" si="8"/>
        <v>0</v>
      </c>
      <c r="BJ58" s="12">
        <f t="shared" si="9"/>
        <v>9.2117612421798085E-4</v>
      </c>
      <c r="BL58" s="9"/>
      <c r="BN58">
        <f t="shared" si="10"/>
        <v>0</v>
      </c>
      <c r="BO58">
        <f t="shared" si="11"/>
        <v>1</v>
      </c>
      <c r="BP58">
        <f t="shared" si="12"/>
        <v>0</v>
      </c>
      <c r="BQ58">
        <f t="shared" si="1"/>
        <v>1</v>
      </c>
      <c r="BR58">
        <f t="shared" si="13"/>
        <v>0</v>
      </c>
      <c r="BS58" s="9">
        <f t="shared" si="14"/>
        <v>0</v>
      </c>
      <c r="BT58" s="9">
        <f t="shared" si="15"/>
        <v>0</v>
      </c>
      <c r="BU58" s="9">
        <f t="shared" si="16"/>
        <v>0</v>
      </c>
      <c r="BV58" s="12">
        <f t="shared" si="17"/>
        <v>2.2425974143792096E-3</v>
      </c>
      <c r="BX58" s="12">
        <f t="shared" si="18"/>
        <v>0</v>
      </c>
      <c r="BY58" s="12">
        <f t="shared" si="19"/>
        <v>3.1637735385971902E-3</v>
      </c>
    </row>
    <row r="59" spans="1:77" x14ac:dyDescent="0.3">
      <c r="A59" s="1">
        <v>46107</v>
      </c>
      <c r="B59" s="8">
        <v>86.24</v>
      </c>
      <c r="C59" s="8">
        <v>311.17</v>
      </c>
      <c r="D59" s="9">
        <v>-2.5981432820098599E-2</v>
      </c>
      <c r="E59" s="9">
        <v>-2.6010918629038399E-2</v>
      </c>
      <c r="F59" s="8">
        <v>0</v>
      </c>
      <c r="G59" s="8">
        <v>0.26500000000000001</v>
      </c>
      <c r="H59" s="8">
        <v>0</v>
      </c>
      <c r="I59" s="8">
        <v>0.77029999999999998</v>
      </c>
      <c r="J59" s="8">
        <v>0</v>
      </c>
      <c r="K59" s="8">
        <v>0</v>
      </c>
      <c r="L59" s="8">
        <v>86.24</v>
      </c>
      <c r="M59" s="8">
        <v>311.17</v>
      </c>
      <c r="N59" s="10">
        <v>3.6081864564007402</v>
      </c>
      <c r="O59" s="10">
        <v>3.6128150130856298</v>
      </c>
      <c r="P59" s="10">
        <v>3.6090525858816398</v>
      </c>
      <c r="Q59" s="10">
        <v>3.60731977527877</v>
      </c>
      <c r="R59" s="8">
        <v>311.56916672850502</v>
      </c>
      <c r="S59" s="8">
        <v>311.20593806906697</v>
      </c>
      <c r="T59" s="8">
        <v>311.09652368942199</v>
      </c>
      <c r="U59" s="9">
        <v>1.28197102253884E-3</v>
      </c>
      <c r="V59" s="9">
        <v>1.15486691914277E-4</v>
      </c>
      <c r="W59" s="9">
        <v>-2.3615704243034599E-4</v>
      </c>
      <c r="X59" s="10">
        <v>3.6081864564007402</v>
      </c>
      <c r="Y59" s="10">
        <v>3.6128150130856298</v>
      </c>
      <c r="Z59" s="10">
        <v>3.6090525858816398</v>
      </c>
      <c r="AA59" s="10">
        <v>3.60731977527877</v>
      </c>
      <c r="AB59" s="8">
        <v>311.56916672850502</v>
      </c>
      <c r="AC59" s="8">
        <v>311.20593806906697</v>
      </c>
      <c r="AD59" s="8">
        <v>311.09652368942199</v>
      </c>
      <c r="AE59" s="9">
        <v>1.28197102253884E-3</v>
      </c>
      <c r="AF59" s="9">
        <v>1.15486691914277E-4</v>
      </c>
      <c r="AG59" s="9">
        <v>-2.3615704243034599E-4</v>
      </c>
      <c r="AZ59" s="9"/>
      <c r="BB59">
        <f t="shared" si="2"/>
        <v>0</v>
      </c>
      <c r="BC59">
        <f t="shared" si="3"/>
        <v>0</v>
      </c>
      <c r="BD59">
        <f t="shared" si="4"/>
        <v>0</v>
      </c>
      <c r="BE59">
        <f t="shared" si="0"/>
        <v>1</v>
      </c>
      <c r="BF59">
        <f t="shared" si="5"/>
        <v>0</v>
      </c>
      <c r="BG59" s="9">
        <f t="shared" si="6"/>
        <v>0</v>
      </c>
      <c r="BH59" s="9">
        <f t="shared" si="7"/>
        <v>0</v>
      </c>
      <c r="BI59" s="9">
        <f t="shared" si="8"/>
        <v>0</v>
      </c>
      <c r="BJ59" s="12">
        <f t="shared" si="9"/>
        <v>9.2117612421798085E-4</v>
      </c>
      <c r="BL59" s="9"/>
      <c r="BN59">
        <f t="shared" si="10"/>
        <v>0</v>
      </c>
      <c r="BO59">
        <f t="shared" si="11"/>
        <v>1</v>
      </c>
      <c r="BP59">
        <f t="shared" si="12"/>
        <v>0</v>
      </c>
      <c r="BQ59">
        <f t="shared" si="1"/>
        <v>1</v>
      </c>
      <c r="BR59">
        <f t="shared" si="13"/>
        <v>0</v>
      </c>
      <c r="BS59" s="9">
        <f t="shared" si="14"/>
        <v>0</v>
      </c>
      <c r="BT59" s="9">
        <f t="shared" si="15"/>
        <v>0</v>
      </c>
      <c r="BU59" s="9">
        <f t="shared" si="16"/>
        <v>0</v>
      </c>
      <c r="BV59" s="12">
        <f t="shared" si="17"/>
        <v>2.2425974143792096E-3</v>
      </c>
      <c r="BX59" s="12">
        <f t="shared" si="18"/>
        <v>0</v>
      </c>
      <c r="BY59" s="12">
        <f t="shared" si="19"/>
        <v>3.1637735385971902E-3</v>
      </c>
    </row>
    <row r="60" spans="1:77" x14ac:dyDescent="0.3">
      <c r="A60" s="1">
        <v>46108</v>
      </c>
      <c r="B60" s="8">
        <v>85.15</v>
      </c>
      <c r="C60" s="8">
        <v>307.20999999999998</v>
      </c>
      <c r="D60" s="9">
        <v>-1.2719700051989601E-2</v>
      </c>
      <c r="E60" s="9">
        <v>-1.28078338020383E-2</v>
      </c>
      <c r="F60" s="8">
        <v>0</v>
      </c>
      <c r="G60" s="8">
        <v>0.26500000000000001</v>
      </c>
      <c r="H60" s="8">
        <v>0</v>
      </c>
      <c r="I60" s="8">
        <v>0.77029999999999998</v>
      </c>
      <c r="J60" s="8">
        <v>0</v>
      </c>
      <c r="K60" s="8">
        <v>0</v>
      </c>
      <c r="L60" s="8">
        <v>85.15</v>
      </c>
      <c r="M60" s="8">
        <v>307.20999999999998</v>
      </c>
      <c r="N60" s="10">
        <v>3.6078684674104502</v>
      </c>
      <c r="O60" s="10">
        <v>3.6128150130856298</v>
      </c>
      <c r="P60" s="10">
        <v>3.6092585670190398</v>
      </c>
      <c r="Q60" s="10">
        <v>3.6070886609762498</v>
      </c>
      <c r="R60" s="8">
        <v>307.63119836424198</v>
      </c>
      <c r="S60" s="8">
        <v>307.31082768782102</v>
      </c>
      <c r="T60" s="8">
        <v>307.16327886498698</v>
      </c>
      <c r="U60" s="9">
        <v>1.37010477258772E-3</v>
      </c>
      <c r="V60" s="9">
        <v>3.2815059859279798E-4</v>
      </c>
      <c r="W60" s="9">
        <v>-1.5209364309743201E-4</v>
      </c>
      <c r="X60" s="10">
        <v>3.6078684674104502</v>
      </c>
      <c r="Y60" s="10">
        <v>3.6128150130856298</v>
      </c>
      <c r="Z60" s="10">
        <v>3.6092585670190398</v>
      </c>
      <c r="AA60" s="10">
        <v>3.6070886609762498</v>
      </c>
      <c r="AB60" s="8">
        <v>307.63119836424198</v>
      </c>
      <c r="AC60" s="8">
        <v>307.31082768782102</v>
      </c>
      <c r="AD60" s="8">
        <v>307.16327886498698</v>
      </c>
      <c r="AE60" s="9">
        <v>1.37010477258772E-3</v>
      </c>
      <c r="AF60" s="9">
        <v>3.2815059859279798E-4</v>
      </c>
      <c r="AG60" s="9">
        <v>-1.5209364309743201E-4</v>
      </c>
      <c r="AZ60" s="9"/>
      <c r="BB60">
        <f t="shared" si="2"/>
        <v>0</v>
      </c>
      <c r="BC60">
        <f t="shared" si="3"/>
        <v>0</v>
      </c>
      <c r="BD60">
        <f t="shared" si="4"/>
        <v>0</v>
      </c>
      <c r="BE60">
        <f t="shared" si="0"/>
        <v>1</v>
      </c>
      <c r="BF60">
        <f t="shared" si="5"/>
        <v>0</v>
      </c>
      <c r="BG60" s="9">
        <f t="shared" si="6"/>
        <v>0</v>
      </c>
      <c r="BH60" s="9">
        <f t="shared" si="7"/>
        <v>0</v>
      </c>
      <c r="BI60" s="9">
        <f t="shared" si="8"/>
        <v>0</v>
      </c>
      <c r="BJ60" s="12">
        <f t="shared" si="9"/>
        <v>9.2117612421798085E-4</v>
      </c>
      <c r="BL60" s="9"/>
      <c r="BN60">
        <f t="shared" si="10"/>
        <v>0</v>
      </c>
      <c r="BO60">
        <f t="shared" si="11"/>
        <v>1</v>
      </c>
      <c r="BP60">
        <f t="shared" si="12"/>
        <v>0</v>
      </c>
      <c r="BQ60">
        <f t="shared" si="1"/>
        <v>1</v>
      </c>
      <c r="BR60">
        <f t="shared" si="13"/>
        <v>0</v>
      </c>
      <c r="BS60" s="9">
        <f t="shared" si="14"/>
        <v>0</v>
      </c>
      <c r="BT60" s="9">
        <f t="shared" si="15"/>
        <v>0</v>
      </c>
      <c r="BU60" s="9">
        <f t="shared" si="16"/>
        <v>0</v>
      </c>
      <c r="BV60" s="12">
        <f t="shared" si="17"/>
        <v>2.2425974143792096E-3</v>
      </c>
      <c r="BX60" s="12">
        <f t="shared" si="18"/>
        <v>0</v>
      </c>
      <c r="BY60" s="12">
        <f t="shared" si="19"/>
        <v>3.1637735385971902E-3</v>
      </c>
    </row>
    <row r="61" spans="1:77" x14ac:dyDescent="0.3">
      <c r="A61" s="1">
        <v>46111</v>
      </c>
      <c r="B61" s="8">
        <v>83.66</v>
      </c>
      <c r="C61" s="8">
        <v>301.89</v>
      </c>
      <c r="D61" s="9">
        <v>-1.7653441094644898E-2</v>
      </c>
      <c r="E61" s="9">
        <v>-1.74688402136913E-2</v>
      </c>
      <c r="F61" s="8">
        <v>0</v>
      </c>
      <c r="G61" s="8">
        <v>0.26500000000000001</v>
      </c>
      <c r="H61" s="8">
        <v>0</v>
      </c>
      <c r="I61" s="8">
        <v>0.77029999999999998</v>
      </c>
      <c r="J61" s="8">
        <v>0</v>
      </c>
      <c r="K61" s="8">
        <v>0</v>
      </c>
      <c r="L61" s="8">
        <v>83.66</v>
      </c>
      <c r="M61" s="8">
        <v>301.89</v>
      </c>
      <c r="N61" s="10">
        <v>3.6085345445852202</v>
      </c>
      <c r="O61" s="10">
        <v>3.6128150130856298</v>
      </c>
      <c r="P61" s="10">
        <v>3.6096563481186599</v>
      </c>
      <c r="Q61" s="10">
        <v>3.60706355262346</v>
      </c>
      <c r="R61" s="8">
        <v>302.24810399474399</v>
      </c>
      <c r="S61" s="8">
        <v>301.95057171681299</v>
      </c>
      <c r="T61" s="8">
        <v>301.76903737727298</v>
      </c>
      <c r="U61" s="9">
        <v>1.18550389163382E-3</v>
      </c>
      <c r="V61" s="9">
        <v>2.0062155427623201E-4</v>
      </c>
      <c r="W61" s="9">
        <v>-4.0076472596479198E-4</v>
      </c>
      <c r="X61" s="10">
        <v>3.6085345445852202</v>
      </c>
      <c r="Y61" s="10">
        <v>3.6128150130856298</v>
      </c>
      <c r="Z61" s="10">
        <v>3.6096563481186599</v>
      </c>
      <c r="AA61" s="10">
        <v>3.60706355262346</v>
      </c>
      <c r="AB61" s="8">
        <v>302.24810399474399</v>
      </c>
      <c r="AC61" s="8">
        <v>301.95057171681299</v>
      </c>
      <c r="AD61" s="8">
        <v>301.76903737727298</v>
      </c>
      <c r="AE61" s="9">
        <v>1.18550389163382E-3</v>
      </c>
      <c r="AF61" s="9">
        <v>2.0062155427623201E-4</v>
      </c>
      <c r="AG61" s="9">
        <v>-4.0076472596479198E-4</v>
      </c>
      <c r="AZ61" s="9"/>
      <c r="BB61">
        <f t="shared" si="2"/>
        <v>0</v>
      </c>
      <c r="BC61">
        <f t="shared" si="3"/>
        <v>0</v>
      </c>
      <c r="BD61">
        <f t="shared" si="4"/>
        <v>0</v>
      </c>
      <c r="BE61">
        <f t="shared" si="0"/>
        <v>1</v>
      </c>
      <c r="BF61">
        <f t="shared" si="5"/>
        <v>0</v>
      </c>
      <c r="BG61" s="9">
        <f t="shared" si="6"/>
        <v>0</v>
      </c>
      <c r="BH61" s="9">
        <f t="shared" si="7"/>
        <v>0</v>
      </c>
      <c r="BI61" s="9">
        <f t="shared" si="8"/>
        <v>0</v>
      </c>
      <c r="BJ61" s="12">
        <f t="shared" si="9"/>
        <v>9.2117612421798085E-4</v>
      </c>
      <c r="BL61" s="9"/>
      <c r="BN61">
        <f t="shared" si="10"/>
        <v>0</v>
      </c>
      <c r="BO61">
        <f t="shared" si="11"/>
        <v>1</v>
      </c>
      <c r="BP61">
        <f t="shared" si="12"/>
        <v>0</v>
      </c>
      <c r="BQ61">
        <f t="shared" si="1"/>
        <v>1</v>
      </c>
      <c r="BR61">
        <f t="shared" si="13"/>
        <v>0</v>
      </c>
      <c r="BS61" s="9">
        <f t="shared" si="14"/>
        <v>0</v>
      </c>
      <c r="BT61" s="9">
        <f t="shared" si="15"/>
        <v>0</v>
      </c>
      <c r="BU61" s="9">
        <f t="shared" si="16"/>
        <v>0</v>
      </c>
      <c r="BV61" s="12">
        <f t="shared" si="17"/>
        <v>2.2425974143792096E-3</v>
      </c>
      <c r="BX61" s="12">
        <f t="shared" si="18"/>
        <v>0</v>
      </c>
      <c r="BY61" s="12">
        <f t="shared" si="19"/>
        <v>3.1637735385971902E-3</v>
      </c>
    </row>
    <row r="62" spans="1:77" x14ac:dyDescent="0.3">
      <c r="A62" s="1">
        <v>46112</v>
      </c>
      <c r="B62" s="8">
        <v>86.52</v>
      </c>
      <c r="C62" s="8">
        <v>312.22000000000003</v>
      </c>
      <c r="D62" s="9">
        <v>3.3614635070805601E-2</v>
      </c>
      <c r="E62" s="9">
        <v>3.3645354915169103E-2</v>
      </c>
      <c r="F62" s="8">
        <v>0</v>
      </c>
      <c r="G62" s="8">
        <v>0.26500000000000001</v>
      </c>
      <c r="H62" s="8">
        <v>0</v>
      </c>
      <c r="I62" s="8">
        <v>0.77029999999999998</v>
      </c>
      <c r="J62" s="8">
        <v>0</v>
      </c>
      <c r="K62" s="8">
        <v>0</v>
      </c>
      <c r="L62" s="8">
        <v>86.52</v>
      </c>
      <c r="M62" s="8">
        <v>312.22000000000003</v>
      </c>
      <c r="N62" s="10">
        <v>3.6086453999075299</v>
      </c>
      <c r="O62" s="10">
        <v>3.6128150130856298</v>
      </c>
      <c r="P62" s="10">
        <v>3.6098426936337802</v>
      </c>
      <c r="Q62" s="10">
        <v>3.6073188125953801</v>
      </c>
      <c r="R62" s="8">
        <v>312.58075493216899</v>
      </c>
      <c r="S62" s="8">
        <v>312.30746723922698</v>
      </c>
      <c r="T62" s="8">
        <v>312.08313857298202</v>
      </c>
      <c r="U62" s="9">
        <v>1.1547840472703099E-3</v>
      </c>
      <c r="V62" s="9">
        <v>2.8010694288811699E-4</v>
      </c>
      <c r="W62" s="9">
        <v>-4.3844543060642398E-4</v>
      </c>
      <c r="X62" s="10">
        <v>3.6086453999075299</v>
      </c>
      <c r="Y62" s="10">
        <v>3.6128150130856298</v>
      </c>
      <c r="Z62" s="10">
        <v>3.6098426936337802</v>
      </c>
      <c r="AA62" s="10">
        <v>3.6073188125953801</v>
      </c>
      <c r="AB62" s="8">
        <v>312.58075493216899</v>
      </c>
      <c r="AC62" s="8">
        <v>312.30746723922698</v>
      </c>
      <c r="AD62" s="8">
        <v>312.08313857298202</v>
      </c>
      <c r="AE62" s="9">
        <v>1.1547840472703099E-3</v>
      </c>
      <c r="AF62" s="9">
        <v>2.8010694288811699E-4</v>
      </c>
      <c r="AG62" s="9">
        <v>-4.3844543060642398E-4</v>
      </c>
      <c r="AZ62" s="9"/>
      <c r="BB62">
        <f t="shared" si="2"/>
        <v>0</v>
      </c>
      <c r="BC62">
        <f t="shared" si="3"/>
        <v>0</v>
      </c>
      <c r="BD62">
        <f t="shared" si="4"/>
        <v>0</v>
      </c>
      <c r="BE62">
        <f t="shared" si="0"/>
        <v>1</v>
      </c>
      <c r="BF62">
        <f t="shared" si="5"/>
        <v>0</v>
      </c>
      <c r="BG62" s="9">
        <f t="shared" si="6"/>
        <v>0</v>
      </c>
      <c r="BH62" s="9">
        <f t="shared" si="7"/>
        <v>0</v>
      </c>
      <c r="BI62" s="9">
        <f t="shared" si="8"/>
        <v>0</v>
      </c>
      <c r="BJ62" s="12">
        <f t="shared" si="9"/>
        <v>9.2117612421798085E-4</v>
      </c>
      <c r="BL62" s="9"/>
      <c r="BN62">
        <f t="shared" si="10"/>
        <v>0</v>
      </c>
      <c r="BO62">
        <f t="shared" si="11"/>
        <v>1</v>
      </c>
      <c r="BP62">
        <f t="shared" si="12"/>
        <v>0</v>
      </c>
      <c r="BQ62">
        <f t="shared" si="1"/>
        <v>1</v>
      </c>
      <c r="BR62">
        <f t="shared" si="13"/>
        <v>0</v>
      </c>
      <c r="BS62" s="9">
        <f t="shared" si="14"/>
        <v>0</v>
      </c>
      <c r="BT62" s="9">
        <f t="shared" si="15"/>
        <v>0</v>
      </c>
      <c r="BU62" s="9">
        <f t="shared" si="16"/>
        <v>0</v>
      </c>
      <c r="BV62" s="12">
        <f t="shared" si="17"/>
        <v>2.2425974143792096E-3</v>
      </c>
      <c r="BX62" s="12">
        <f t="shared" si="18"/>
        <v>0</v>
      </c>
      <c r="BY62" s="12">
        <f t="shared" si="19"/>
        <v>3.1637735385971902E-3</v>
      </c>
    </row>
    <row r="63" spans="1:77" x14ac:dyDescent="0.3">
      <c r="A63" s="1">
        <v>46113</v>
      </c>
      <c r="B63" s="8">
        <v>87.97</v>
      </c>
      <c r="C63" s="8">
        <v>317.39999999999998</v>
      </c>
      <c r="D63" s="9">
        <v>1.6620246179725101E-2</v>
      </c>
      <c r="E63" s="9">
        <v>1.6454740563788001E-2</v>
      </c>
      <c r="F63" s="8">
        <v>0</v>
      </c>
      <c r="G63" s="8">
        <v>0.26500000000000001</v>
      </c>
      <c r="H63" s="8">
        <v>0</v>
      </c>
      <c r="I63" s="8">
        <v>0.77029999999999998</v>
      </c>
      <c r="J63" s="8">
        <v>0</v>
      </c>
      <c r="K63" s="8">
        <v>0</v>
      </c>
      <c r="L63" s="8">
        <v>87.97</v>
      </c>
      <c r="M63" s="8">
        <v>317.39999999999998</v>
      </c>
      <c r="N63" s="10">
        <v>3.6080481982494002</v>
      </c>
      <c r="O63" s="10">
        <v>3.6128150130856298</v>
      </c>
      <c r="P63" s="10">
        <v>3.6101987373934499</v>
      </c>
      <c r="Q63" s="10">
        <v>3.6073938763499198</v>
      </c>
      <c r="R63" s="8">
        <v>317.81933670114302</v>
      </c>
      <c r="S63" s="8">
        <v>317.55786175896401</v>
      </c>
      <c r="T63" s="8">
        <v>317.335835944015</v>
      </c>
      <c r="U63" s="9">
        <v>1.32028966320762E-3</v>
      </c>
      <c r="V63" s="9">
        <v>4.9723539694256004E-4</v>
      </c>
      <c r="W63" s="9">
        <v>-2.02175621949132E-4</v>
      </c>
      <c r="X63" s="10">
        <v>3.6080481982494002</v>
      </c>
      <c r="Y63" s="10">
        <v>3.6128150130856298</v>
      </c>
      <c r="Z63" s="10">
        <v>3.6101987373934499</v>
      </c>
      <c r="AA63" s="10">
        <v>3.6073938763499198</v>
      </c>
      <c r="AB63" s="8">
        <v>317.81933670114302</v>
      </c>
      <c r="AC63" s="8">
        <v>317.55786175896401</v>
      </c>
      <c r="AD63" s="8">
        <v>317.335835944015</v>
      </c>
      <c r="AE63" s="9">
        <v>1.32028966320762E-3</v>
      </c>
      <c r="AF63" s="9">
        <v>4.9723539694256004E-4</v>
      </c>
      <c r="AG63" s="9">
        <v>-2.02175621949132E-4</v>
      </c>
      <c r="AZ63" s="9"/>
      <c r="BB63">
        <f t="shared" si="2"/>
        <v>0</v>
      </c>
      <c r="BC63">
        <f t="shared" si="3"/>
        <v>0</v>
      </c>
      <c r="BD63">
        <f t="shared" si="4"/>
        <v>0</v>
      </c>
      <c r="BE63">
        <f t="shared" si="0"/>
        <v>1</v>
      </c>
      <c r="BF63">
        <f t="shared" si="5"/>
        <v>0</v>
      </c>
      <c r="BG63" s="9">
        <f t="shared" si="6"/>
        <v>0</v>
      </c>
      <c r="BH63" s="9">
        <f t="shared" si="7"/>
        <v>0</v>
      </c>
      <c r="BI63" s="9">
        <f t="shared" si="8"/>
        <v>0</v>
      </c>
      <c r="BJ63" s="12">
        <f t="shared" si="9"/>
        <v>9.2117612421798085E-4</v>
      </c>
      <c r="BL63" s="9"/>
      <c r="BN63">
        <f t="shared" si="10"/>
        <v>0</v>
      </c>
      <c r="BO63">
        <f t="shared" si="11"/>
        <v>1</v>
      </c>
      <c r="BP63">
        <f t="shared" si="12"/>
        <v>0</v>
      </c>
      <c r="BQ63">
        <f t="shared" si="1"/>
        <v>1</v>
      </c>
      <c r="BR63">
        <f t="shared" si="13"/>
        <v>0</v>
      </c>
      <c r="BS63" s="9">
        <f t="shared" si="14"/>
        <v>0</v>
      </c>
      <c r="BT63" s="9">
        <f t="shared" si="15"/>
        <v>0</v>
      </c>
      <c r="BU63" s="9">
        <f t="shared" si="16"/>
        <v>0</v>
      </c>
      <c r="BV63" s="12">
        <f t="shared" si="17"/>
        <v>2.2425974143792096E-3</v>
      </c>
      <c r="BX63" s="12">
        <f t="shared" si="18"/>
        <v>0</v>
      </c>
      <c r="BY63" s="12">
        <f t="shared" si="19"/>
        <v>3.1637735385971902E-3</v>
      </c>
    </row>
    <row r="64" spans="1:77" x14ac:dyDescent="0.3">
      <c r="A64" s="1">
        <v>46114</v>
      </c>
      <c r="B64" s="8">
        <v>87.68</v>
      </c>
      <c r="C64" s="8">
        <v>316.36</v>
      </c>
      <c r="D64" s="9">
        <v>-3.3020240648776898E-3</v>
      </c>
      <c r="E64" s="9">
        <v>-3.2820024410921199E-3</v>
      </c>
      <c r="F64" s="8">
        <v>0</v>
      </c>
      <c r="G64" s="8">
        <v>0.26500000000000001</v>
      </c>
      <c r="H64" s="8">
        <v>0</v>
      </c>
      <c r="I64" s="8">
        <v>0.77029999999999998</v>
      </c>
      <c r="J64" s="8">
        <v>0</v>
      </c>
      <c r="K64" s="8">
        <v>0</v>
      </c>
      <c r="L64" s="8">
        <v>87.68</v>
      </c>
      <c r="M64" s="8">
        <v>316.36</v>
      </c>
      <c r="N64" s="10">
        <v>3.6081204379562002</v>
      </c>
      <c r="O64" s="10">
        <v>3.6128150130856298</v>
      </c>
      <c r="P64" s="10">
        <v>3.60984772531677</v>
      </c>
      <c r="Q64" s="10">
        <v>3.6076641024845499</v>
      </c>
      <c r="R64" s="8">
        <v>316.771620347348</v>
      </c>
      <c r="S64" s="8">
        <v>316.54222529465699</v>
      </c>
      <c r="T64" s="8">
        <v>316.29629507836</v>
      </c>
      <c r="U64" s="9">
        <v>1.30026803942192E-3</v>
      </c>
      <c r="V64" s="9">
        <v>5.7584028752094205E-4</v>
      </c>
      <c r="W64" s="9">
        <v>-2.01388723545311E-4</v>
      </c>
      <c r="X64" s="10">
        <v>3.6081204379562002</v>
      </c>
      <c r="Y64" s="10">
        <v>3.6128150130856298</v>
      </c>
      <c r="Z64" s="10">
        <v>3.60984772531677</v>
      </c>
      <c r="AA64" s="10">
        <v>3.6076641024845499</v>
      </c>
      <c r="AB64" s="8">
        <v>316.771620347348</v>
      </c>
      <c r="AC64" s="8">
        <v>316.54222529465699</v>
      </c>
      <c r="AD64" s="8">
        <v>316.29629507836</v>
      </c>
      <c r="AE64" s="9">
        <v>1.30026803942192E-3</v>
      </c>
      <c r="AF64" s="9">
        <v>5.7584028752094205E-4</v>
      </c>
      <c r="AG64" s="9">
        <v>-2.01388723545311E-4</v>
      </c>
      <c r="AZ64" s="9"/>
      <c r="BB64">
        <f t="shared" si="2"/>
        <v>0</v>
      </c>
      <c r="BC64">
        <f t="shared" si="3"/>
        <v>0</v>
      </c>
      <c r="BD64">
        <f t="shared" si="4"/>
        <v>0</v>
      </c>
      <c r="BE64">
        <f t="shared" si="0"/>
        <v>1</v>
      </c>
      <c r="BF64">
        <f t="shared" si="5"/>
        <v>0</v>
      </c>
      <c r="BG64" s="9">
        <f t="shared" si="6"/>
        <v>0</v>
      </c>
      <c r="BH64" s="9">
        <f t="shared" si="7"/>
        <v>0</v>
      </c>
      <c r="BI64" s="9">
        <f t="shared" si="8"/>
        <v>0</v>
      </c>
      <c r="BJ64" s="12">
        <f t="shared" si="9"/>
        <v>9.2117612421798085E-4</v>
      </c>
      <c r="BL64" s="9"/>
      <c r="BN64">
        <f t="shared" si="10"/>
        <v>0</v>
      </c>
      <c r="BO64">
        <f t="shared" si="11"/>
        <v>1</v>
      </c>
      <c r="BP64">
        <f t="shared" si="12"/>
        <v>0</v>
      </c>
      <c r="BQ64">
        <f t="shared" si="1"/>
        <v>1</v>
      </c>
      <c r="BR64">
        <f t="shared" si="13"/>
        <v>0</v>
      </c>
      <c r="BS64" s="9">
        <f t="shared" si="14"/>
        <v>0</v>
      </c>
      <c r="BT64" s="9">
        <f t="shared" si="15"/>
        <v>0</v>
      </c>
      <c r="BU64" s="9">
        <f t="shared" si="16"/>
        <v>0</v>
      </c>
      <c r="BV64" s="12">
        <f t="shared" si="17"/>
        <v>2.2425974143792096E-3</v>
      </c>
      <c r="BX64" s="12">
        <f t="shared" si="18"/>
        <v>0</v>
      </c>
      <c r="BY64" s="12">
        <f t="shared" si="19"/>
        <v>3.1637735385971902E-3</v>
      </c>
    </row>
    <row r="65" spans="1:77" x14ac:dyDescent="0.3">
      <c r="A65" s="1">
        <v>46118</v>
      </c>
      <c r="B65" s="8">
        <v>88.08</v>
      </c>
      <c r="C65" s="8">
        <v>317.99</v>
      </c>
      <c r="D65" s="9">
        <v>4.5516692147190996E-3</v>
      </c>
      <c r="E65" s="9">
        <v>5.13913009362694E-3</v>
      </c>
      <c r="F65" s="8">
        <v>0</v>
      </c>
      <c r="G65" s="8">
        <v>0.26500000000000001</v>
      </c>
      <c r="H65" s="8">
        <v>0</v>
      </c>
      <c r="I65" s="8">
        <v>0.77029999999999998</v>
      </c>
      <c r="J65" s="8">
        <v>0</v>
      </c>
      <c r="K65" s="8">
        <v>0</v>
      </c>
      <c r="L65" s="8">
        <v>88.08</v>
      </c>
      <c r="M65" s="8">
        <v>317.99</v>
      </c>
      <c r="N65" s="10">
        <v>3.61024069028156</v>
      </c>
      <c r="O65" s="10">
        <v>3.6128150130856298</v>
      </c>
      <c r="P65" s="10">
        <v>3.6092072587178201</v>
      </c>
      <c r="Q65" s="10">
        <v>3.6078223503761899</v>
      </c>
      <c r="R65" s="8">
        <v>318.21674635258302</v>
      </c>
      <c r="S65" s="8">
        <v>317.955387645901</v>
      </c>
      <c r="T65" s="8">
        <v>317.76305414683901</v>
      </c>
      <c r="U65" s="9">
        <v>7.1280716051417496E-4</v>
      </c>
      <c r="V65" s="9">
        <v>-1.08853227980649E-4</v>
      </c>
      <c r="W65" s="9">
        <v>-7.1394344492620003E-4</v>
      </c>
      <c r="X65" s="10">
        <v>3.61024069028156</v>
      </c>
      <c r="Y65" s="10">
        <v>3.6128150130856298</v>
      </c>
      <c r="Z65" s="10">
        <v>3.6092072587178201</v>
      </c>
      <c r="AA65" s="10">
        <v>3.6078223503761899</v>
      </c>
      <c r="AB65" s="8">
        <v>318.21674635258302</v>
      </c>
      <c r="AC65" s="8">
        <v>317.955387645901</v>
      </c>
      <c r="AD65" s="8">
        <v>317.76305414683901</v>
      </c>
      <c r="AE65" s="9">
        <v>7.1280716051417496E-4</v>
      </c>
      <c r="AF65" s="9">
        <v>-1.08853227980649E-4</v>
      </c>
      <c r="AG65" s="9">
        <v>-7.1394344492620003E-4</v>
      </c>
      <c r="AZ65" s="9"/>
      <c r="BB65">
        <f t="shared" si="2"/>
        <v>0</v>
      </c>
      <c r="BC65">
        <f t="shared" si="3"/>
        <v>0</v>
      </c>
      <c r="BD65">
        <f t="shared" si="4"/>
        <v>0</v>
      </c>
      <c r="BE65">
        <f t="shared" si="0"/>
        <v>1</v>
      </c>
      <c r="BF65">
        <f t="shared" si="5"/>
        <v>0</v>
      </c>
      <c r="BG65" s="9">
        <f t="shared" si="6"/>
        <v>0</v>
      </c>
      <c r="BH65" s="9">
        <f t="shared" si="7"/>
        <v>0</v>
      </c>
      <c r="BI65" s="9">
        <f t="shared" si="8"/>
        <v>0</v>
      </c>
      <c r="BJ65" s="12">
        <f t="shared" si="9"/>
        <v>9.2117612421798085E-4</v>
      </c>
      <c r="BL65" s="9"/>
      <c r="BN65">
        <f t="shared" si="10"/>
        <v>0</v>
      </c>
      <c r="BO65">
        <f t="shared" si="11"/>
        <v>1</v>
      </c>
      <c r="BP65">
        <f t="shared" si="12"/>
        <v>0</v>
      </c>
      <c r="BQ65">
        <f t="shared" si="1"/>
        <v>1</v>
      </c>
      <c r="BR65">
        <f t="shared" si="13"/>
        <v>0</v>
      </c>
      <c r="BS65" s="9">
        <f t="shared" si="14"/>
        <v>0</v>
      </c>
      <c r="BT65" s="9">
        <f t="shared" si="15"/>
        <v>0</v>
      </c>
      <c r="BU65" s="9">
        <f t="shared" si="16"/>
        <v>0</v>
      </c>
      <c r="BV65" s="12">
        <f t="shared" si="17"/>
        <v>2.2425974143792096E-3</v>
      </c>
      <c r="BX65" s="12">
        <f t="shared" si="18"/>
        <v>0</v>
      </c>
      <c r="BY65" s="12">
        <f t="shared" si="19"/>
        <v>3.1637735385971902E-3</v>
      </c>
    </row>
    <row r="66" spans="1:77" x14ac:dyDescent="0.3">
      <c r="A66" s="1">
        <v>46119</v>
      </c>
      <c r="B66" s="8">
        <v>87.92</v>
      </c>
      <c r="C66" s="8">
        <v>317.42</v>
      </c>
      <c r="D66" s="9">
        <v>-1.8181823190585101E-3</v>
      </c>
      <c r="E66" s="9">
        <v>-1.7941176654309901E-3</v>
      </c>
      <c r="F66" s="8">
        <v>0</v>
      </c>
      <c r="G66" s="8">
        <v>0.26500000000000001</v>
      </c>
      <c r="H66" s="8">
        <v>0</v>
      </c>
      <c r="I66" s="8">
        <v>0.77029999999999998</v>
      </c>
      <c r="J66" s="8">
        <v>0</v>
      </c>
      <c r="K66" s="8">
        <v>0</v>
      </c>
      <c r="L66" s="8">
        <v>87.92</v>
      </c>
      <c r="M66" s="8">
        <v>317.42</v>
      </c>
      <c r="N66" s="10">
        <v>3.6103275705186499</v>
      </c>
      <c r="O66" s="10">
        <v>3.6128150130856298</v>
      </c>
      <c r="P66" s="10">
        <v>3.6082248677320501</v>
      </c>
      <c r="Q66" s="10">
        <v>3.6081020943710098</v>
      </c>
      <c r="R66" s="8">
        <v>317.63869595048902</v>
      </c>
      <c r="S66" s="8">
        <v>317.32150218647098</v>
      </c>
      <c r="T66" s="8">
        <v>317.19974104507401</v>
      </c>
      <c r="U66" s="9">
        <v>6.8874250688643701E-4</v>
      </c>
      <c r="V66" s="9">
        <v>-3.1035567701128601E-4</v>
      </c>
      <c r="W66" s="9">
        <v>-6.9414469649661597E-4</v>
      </c>
      <c r="X66" s="10">
        <v>3.6103275705186499</v>
      </c>
      <c r="Y66" s="10">
        <v>3.6128150130856298</v>
      </c>
      <c r="Z66" s="10">
        <v>3.6082248677320501</v>
      </c>
      <c r="AA66" s="10">
        <v>3.6081020943710098</v>
      </c>
      <c r="AB66" s="8">
        <v>317.63869595048902</v>
      </c>
      <c r="AC66" s="8">
        <v>317.32150218647098</v>
      </c>
      <c r="AD66" s="8">
        <v>317.19974104507401</v>
      </c>
      <c r="AE66" s="9">
        <v>6.8874250688643701E-4</v>
      </c>
      <c r="AF66" s="9">
        <v>-3.1035567701128601E-4</v>
      </c>
      <c r="AG66" s="9">
        <v>-6.9414469649661597E-4</v>
      </c>
      <c r="AZ66" s="9"/>
      <c r="BB66">
        <f t="shared" si="2"/>
        <v>0</v>
      </c>
      <c r="BC66">
        <f t="shared" si="3"/>
        <v>0</v>
      </c>
      <c r="BD66">
        <f t="shared" si="4"/>
        <v>0</v>
      </c>
      <c r="BE66">
        <f t="shared" si="0"/>
        <v>1</v>
      </c>
      <c r="BF66">
        <f t="shared" si="5"/>
        <v>0</v>
      </c>
      <c r="BG66" s="9">
        <f t="shared" si="6"/>
        <v>0</v>
      </c>
      <c r="BH66" s="9">
        <f t="shared" si="7"/>
        <v>0</v>
      </c>
      <c r="BI66" s="9">
        <f t="shared" si="8"/>
        <v>0</v>
      </c>
      <c r="BJ66" s="12">
        <f t="shared" si="9"/>
        <v>9.2117612421798085E-4</v>
      </c>
      <c r="BL66" s="9"/>
      <c r="BN66">
        <f t="shared" si="10"/>
        <v>0</v>
      </c>
      <c r="BO66">
        <f t="shared" si="11"/>
        <v>1</v>
      </c>
      <c r="BP66">
        <f t="shared" si="12"/>
        <v>0</v>
      </c>
      <c r="BQ66">
        <f t="shared" si="1"/>
        <v>1</v>
      </c>
      <c r="BR66">
        <f t="shared" si="13"/>
        <v>0</v>
      </c>
      <c r="BS66" s="9">
        <f t="shared" si="14"/>
        <v>0</v>
      </c>
      <c r="BT66" s="9">
        <f t="shared" si="15"/>
        <v>0</v>
      </c>
      <c r="BU66" s="9">
        <f t="shared" si="16"/>
        <v>0</v>
      </c>
      <c r="BV66" s="12">
        <f t="shared" si="17"/>
        <v>2.2425974143792096E-3</v>
      </c>
      <c r="BX66" s="12">
        <f t="shared" si="18"/>
        <v>0</v>
      </c>
      <c r="BY66" s="12">
        <f t="shared" si="19"/>
        <v>3.1637735385971902E-3</v>
      </c>
    </row>
    <row r="67" spans="1:77" x14ac:dyDescent="0.3">
      <c r="A67" s="1">
        <v>46120</v>
      </c>
      <c r="B67" s="8">
        <v>91.4</v>
      </c>
      <c r="C67" s="8">
        <v>329.69</v>
      </c>
      <c r="D67" s="9">
        <v>3.8818168364738302E-2</v>
      </c>
      <c r="E67" s="9">
        <v>3.7927000934711699E-2</v>
      </c>
      <c r="F67" s="8">
        <v>0</v>
      </c>
      <c r="G67" s="8">
        <v>0.26500000000000001</v>
      </c>
      <c r="H67" s="8">
        <v>0</v>
      </c>
      <c r="I67" s="8">
        <v>0.77029999999999998</v>
      </c>
      <c r="J67" s="8">
        <v>0</v>
      </c>
      <c r="K67" s="8">
        <v>0</v>
      </c>
      <c r="L67" s="8">
        <v>91.4</v>
      </c>
      <c r="M67" s="8">
        <v>329.69</v>
      </c>
      <c r="N67" s="10">
        <v>3.6071115973741699</v>
      </c>
      <c r="O67" s="10">
        <v>3.6128150130856298</v>
      </c>
      <c r="P67" s="10">
        <v>3.60853762109496</v>
      </c>
      <c r="Q67" s="10">
        <v>3.6082274219537198</v>
      </c>
      <c r="R67" s="8">
        <v>330.21129219602699</v>
      </c>
      <c r="S67" s="8">
        <v>329.79175291070902</v>
      </c>
      <c r="T67" s="8">
        <v>329.78053142550999</v>
      </c>
      <c r="U67" s="9">
        <v>1.57990993691314E-3</v>
      </c>
      <c r="V67" s="9">
        <v>3.08584463688467E-4</v>
      </c>
      <c r="W67" s="9">
        <v>2.7455791203743899E-4</v>
      </c>
      <c r="X67" s="10">
        <v>3.6071115973741699</v>
      </c>
      <c r="Y67" s="10">
        <v>3.6128150130856298</v>
      </c>
      <c r="Z67" s="10">
        <v>3.60853762109496</v>
      </c>
      <c r="AA67" s="10">
        <v>3.6082274219537198</v>
      </c>
      <c r="AB67" s="8">
        <v>330.21129219602699</v>
      </c>
      <c r="AC67" s="8">
        <v>329.79175291070902</v>
      </c>
      <c r="AD67" s="8">
        <v>329.78053142550999</v>
      </c>
      <c r="AE67" s="9">
        <v>1.57990993691314E-3</v>
      </c>
      <c r="AF67" s="9">
        <v>3.08584463688467E-4</v>
      </c>
      <c r="AG67" s="9">
        <v>2.7455791203743899E-4</v>
      </c>
      <c r="AZ67" s="9"/>
      <c r="BB67">
        <f t="shared" si="2"/>
        <v>0</v>
      </c>
      <c r="BC67">
        <f t="shared" si="3"/>
        <v>1</v>
      </c>
      <c r="BD67">
        <f t="shared" si="4"/>
        <v>0</v>
      </c>
      <c r="BE67">
        <f t="shared" si="0"/>
        <v>1</v>
      </c>
      <c r="BF67">
        <f t="shared" si="5"/>
        <v>0</v>
      </c>
      <c r="BG67" s="9">
        <f t="shared" si="6"/>
        <v>0</v>
      </c>
      <c r="BH67" s="9">
        <f t="shared" si="7"/>
        <v>0</v>
      </c>
      <c r="BI67" s="9">
        <f t="shared" si="8"/>
        <v>0</v>
      </c>
      <c r="BJ67" s="12">
        <f t="shared" si="9"/>
        <v>9.2117612421798085E-4</v>
      </c>
      <c r="BL67" s="9"/>
      <c r="BN67">
        <f t="shared" si="10"/>
        <v>0</v>
      </c>
      <c r="BO67">
        <f t="shared" si="11"/>
        <v>0</v>
      </c>
      <c r="BP67">
        <f t="shared" si="12"/>
        <v>0</v>
      </c>
      <c r="BQ67">
        <f t="shared" si="1"/>
        <v>1</v>
      </c>
      <c r="BR67">
        <f t="shared" si="13"/>
        <v>0</v>
      </c>
      <c r="BS67" s="9">
        <f t="shared" si="14"/>
        <v>0</v>
      </c>
      <c r="BT67" s="9">
        <f t="shared" si="15"/>
        <v>0</v>
      </c>
      <c r="BU67" s="9">
        <f t="shared" si="16"/>
        <v>0</v>
      </c>
      <c r="BV67" s="12">
        <f t="shared" si="17"/>
        <v>2.2425974143792096E-3</v>
      </c>
      <c r="BX67" s="12">
        <f t="shared" si="18"/>
        <v>0</v>
      </c>
      <c r="BY67" s="12">
        <f t="shared" si="19"/>
        <v>3.1637735385971902E-3</v>
      </c>
    </row>
    <row r="68" spans="1:77" x14ac:dyDescent="0.3">
      <c r="A68" s="1">
        <v>46121</v>
      </c>
      <c r="B68" s="8">
        <v>92.32</v>
      </c>
      <c r="C68" s="8">
        <v>332.89</v>
      </c>
      <c r="D68" s="9">
        <v>1.00153242996848E-2</v>
      </c>
      <c r="E68" s="9">
        <v>9.6592860649075997E-3</v>
      </c>
      <c r="F68" s="8">
        <v>0</v>
      </c>
      <c r="G68" s="8">
        <v>0.26500000000000001</v>
      </c>
      <c r="H68" s="8">
        <v>0</v>
      </c>
      <c r="I68" s="8">
        <v>0.77029999999999998</v>
      </c>
      <c r="J68" s="8">
        <v>0</v>
      </c>
      <c r="K68" s="8">
        <v>0</v>
      </c>
      <c r="L68" s="8">
        <v>92.32</v>
      </c>
      <c r="M68" s="8">
        <v>332.89</v>
      </c>
      <c r="N68" s="10">
        <v>3.6058275563258202</v>
      </c>
      <c r="O68" s="10">
        <v>3.6128150130856298</v>
      </c>
      <c r="P68" s="10">
        <v>3.6082910919009699</v>
      </c>
      <c r="Q68" s="10">
        <v>3.6084471349409002</v>
      </c>
      <c r="R68" s="8">
        <v>333.53508200806601</v>
      </c>
      <c r="S68" s="8">
        <v>333.14019317948703</v>
      </c>
      <c r="T68" s="8">
        <v>333.11155559476703</v>
      </c>
      <c r="U68" s="9">
        <v>1.9359481716904399E-3</v>
      </c>
      <c r="V68" s="9">
        <v>7.5129684455146699E-4</v>
      </c>
      <c r="W68" s="9">
        <v>6.65330586931806E-4</v>
      </c>
      <c r="X68" s="10">
        <v>3.6058275563258202</v>
      </c>
      <c r="Y68" s="10">
        <v>3.6128150130856298</v>
      </c>
      <c r="Z68" s="10">
        <v>3.6082910919009699</v>
      </c>
      <c r="AA68" s="10">
        <v>3.6084471349409002</v>
      </c>
      <c r="AB68" s="8">
        <v>333.53508200806601</v>
      </c>
      <c r="AC68" s="8">
        <v>333.14019317948703</v>
      </c>
      <c r="AD68" s="8">
        <v>333.11155559476703</v>
      </c>
      <c r="AE68" s="9">
        <v>1.9359481716904399E-3</v>
      </c>
      <c r="AF68" s="9">
        <v>7.5129684455146699E-4</v>
      </c>
      <c r="AG68" s="9">
        <v>6.65330586931806E-4</v>
      </c>
      <c r="AZ68" s="9"/>
      <c r="BB68">
        <f t="shared" si="2"/>
        <v>0</v>
      </c>
      <c r="BC68">
        <f t="shared" si="3"/>
        <v>1</v>
      </c>
      <c r="BD68">
        <f t="shared" si="4"/>
        <v>0</v>
      </c>
      <c r="BE68">
        <f t="shared" si="0"/>
        <v>1</v>
      </c>
      <c r="BF68">
        <f t="shared" si="5"/>
        <v>0</v>
      </c>
      <c r="BG68" s="9">
        <f t="shared" si="6"/>
        <v>0</v>
      </c>
      <c r="BH68" s="9">
        <f t="shared" si="7"/>
        <v>0</v>
      </c>
      <c r="BI68" s="9">
        <f t="shared" si="8"/>
        <v>0</v>
      </c>
      <c r="BJ68" s="12">
        <f t="shared" si="9"/>
        <v>9.2117612421798085E-4</v>
      </c>
      <c r="BL68" s="9"/>
      <c r="BN68">
        <f t="shared" si="10"/>
        <v>0</v>
      </c>
      <c r="BO68">
        <f t="shared" si="11"/>
        <v>0</v>
      </c>
      <c r="BP68">
        <f t="shared" si="12"/>
        <v>0</v>
      </c>
      <c r="BQ68">
        <f t="shared" si="1"/>
        <v>1</v>
      </c>
      <c r="BR68">
        <f t="shared" si="13"/>
        <v>0</v>
      </c>
      <c r="BS68" s="9">
        <f t="shared" si="14"/>
        <v>0</v>
      </c>
      <c r="BT68" s="9">
        <f t="shared" si="15"/>
        <v>0</v>
      </c>
      <c r="BU68" s="9">
        <f t="shared" si="16"/>
        <v>0</v>
      </c>
      <c r="BV68" s="12">
        <f t="shared" si="17"/>
        <v>2.2425974143792096E-3</v>
      </c>
      <c r="BX68" s="12">
        <f t="shared" si="18"/>
        <v>0</v>
      </c>
      <c r="BY68" s="12">
        <f t="shared" si="19"/>
        <v>3.1637735385971902E-3</v>
      </c>
    </row>
    <row r="69" spans="1:77" x14ac:dyDescent="0.3">
      <c r="A69" s="1">
        <v>46122</v>
      </c>
      <c r="B69" s="8">
        <v>92.07</v>
      </c>
      <c r="C69" s="8">
        <v>331.8</v>
      </c>
      <c r="D69" s="9">
        <v>-2.7116454600348799E-3</v>
      </c>
      <c r="E69" s="9">
        <v>-3.2797273226877902E-3</v>
      </c>
      <c r="F69" s="8">
        <v>0</v>
      </c>
      <c r="G69" s="8">
        <v>0.26500000000000001</v>
      </c>
      <c r="H69" s="8">
        <v>0</v>
      </c>
      <c r="I69" s="8">
        <v>0.77029999999999998</v>
      </c>
      <c r="J69" s="8">
        <v>0</v>
      </c>
      <c r="K69" s="8">
        <v>0</v>
      </c>
      <c r="L69" s="8">
        <v>92.07</v>
      </c>
      <c r="M69" s="8">
        <v>331.8</v>
      </c>
      <c r="N69" s="10">
        <v>3.60377973281199</v>
      </c>
      <c r="O69" s="10">
        <v>3.6128150130856298</v>
      </c>
      <c r="P69" s="10">
        <v>3.6078504195421002</v>
      </c>
      <c r="Q69" s="10">
        <v>3.60845150271187</v>
      </c>
      <c r="R69" s="8">
        <v>332.631878254794</v>
      </c>
      <c r="S69" s="8">
        <v>332.21536083132298</v>
      </c>
      <c r="T69" s="8">
        <v>332.22972771400902</v>
      </c>
      <c r="U69" s="9">
        <v>2.5040300343433602E-3</v>
      </c>
      <c r="V69" s="9">
        <v>1.2510580628075499E-3</v>
      </c>
      <c r="W69" s="9">
        <v>1.2943028182771401E-3</v>
      </c>
      <c r="X69" s="10">
        <v>3.60377973281199</v>
      </c>
      <c r="Y69" s="10">
        <v>3.6128150130856298</v>
      </c>
      <c r="Z69" s="10">
        <v>3.6078504195421002</v>
      </c>
      <c r="AA69" s="10">
        <v>3.60845150271187</v>
      </c>
      <c r="AB69" s="8">
        <v>332.631878254794</v>
      </c>
      <c r="AC69" s="8">
        <v>332.21536083132298</v>
      </c>
      <c r="AD69" s="8">
        <v>332.22972771400902</v>
      </c>
      <c r="AE69" s="9">
        <v>2.5040300343433602E-3</v>
      </c>
      <c r="AF69" s="9">
        <v>1.2510580628075499E-3</v>
      </c>
      <c r="AG69" s="9">
        <v>1.2943028182771401E-3</v>
      </c>
      <c r="AZ69" s="9"/>
      <c r="BB69">
        <f t="shared" si="2"/>
        <v>0</v>
      </c>
      <c r="BC69">
        <f t="shared" si="3"/>
        <v>1</v>
      </c>
      <c r="BD69">
        <f t="shared" si="4"/>
        <v>0</v>
      </c>
      <c r="BE69">
        <f t="shared" si="0"/>
        <v>1</v>
      </c>
      <c r="BF69">
        <f t="shared" si="5"/>
        <v>0</v>
      </c>
      <c r="BG69" s="9">
        <f t="shared" si="6"/>
        <v>0</v>
      </c>
      <c r="BH69" s="9">
        <f t="shared" si="7"/>
        <v>0</v>
      </c>
      <c r="BI69" s="9">
        <f t="shared" si="8"/>
        <v>0</v>
      </c>
      <c r="BJ69" s="12">
        <f t="shared" si="9"/>
        <v>9.2117612421798085E-4</v>
      </c>
      <c r="BL69" s="9"/>
      <c r="BN69">
        <f t="shared" si="10"/>
        <v>0</v>
      </c>
      <c r="BO69">
        <f t="shared" si="11"/>
        <v>0</v>
      </c>
      <c r="BP69">
        <f t="shared" si="12"/>
        <v>0</v>
      </c>
      <c r="BQ69">
        <f t="shared" si="1"/>
        <v>1</v>
      </c>
      <c r="BR69">
        <f t="shared" si="13"/>
        <v>0</v>
      </c>
      <c r="BS69" s="9">
        <f t="shared" si="14"/>
        <v>0</v>
      </c>
      <c r="BT69" s="9">
        <f t="shared" si="15"/>
        <v>0</v>
      </c>
      <c r="BU69" s="9">
        <f t="shared" si="16"/>
        <v>0</v>
      </c>
      <c r="BV69" s="12">
        <f t="shared" si="17"/>
        <v>2.2425974143792096E-3</v>
      </c>
      <c r="BX69" s="12">
        <f t="shared" si="18"/>
        <v>0</v>
      </c>
      <c r="BY69" s="12">
        <f t="shared" si="19"/>
        <v>3.1637735385971902E-3</v>
      </c>
    </row>
    <row r="70" spans="1:77" x14ac:dyDescent="0.3">
      <c r="A70" s="1">
        <v>46125</v>
      </c>
      <c r="B70" s="8">
        <v>92.84</v>
      </c>
      <c r="C70" s="8">
        <v>334.94</v>
      </c>
      <c r="D70" s="9">
        <v>8.3284241064819093E-3</v>
      </c>
      <c r="E70" s="9">
        <v>9.4190335499879495E-3</v>
      </c>
      <c r="F70" s="8">
        <v>0</v>
      </c>
      <c r="G70" s="8">
        <v>0.26500000000000001</v>
      </c>
      <c r="H70" s="8">
        <v>0</v>
      </c>
      <c r="I70" s="8">
        <v>0.77029999999999998</v>
      </c>
      <c r="J70" s="8">
        <v>0</v>
      </c>
      <c r="K70" s="8">
        <v>0</v>
      </c>
      <c r="L70" s="8">
        <v>92.84</v>
      </c>
      <c r="M70" s="8">
        <v>334.94</v>
      </c>
      <c r="N70" s="10">
        <v>3.6077121930202498</v>
      </c>
      <c r="O70" s="10">
        <v>3.6128150130856298</v>
      </c>
      <c r="P70" s="10">
        <v>3.60783479210308</v>
      </c>
      <c r="Q70" s="10">
        <v>3.6085466795610599</v>
      </c>
      <c r="R70" s="8">
        <v>335.41374581487003</v>
      </c>
      <c r="S70" s="8">
        <v>334.95283295028798</v>
      </c>
      <c r="T70" s="8">
        <v>335.00863751177002</v>
      </c>
      <c r="U70" s="9">
        <v>1.41342059083721E-3</v>
      </c>
      <c r="V70" s="9">
        <v>3.8313442566566501E-5</v>
      </c>
      <c r="W70" s="9">
        <v>2.0490380356751099E-4</v>
      </c>
      <c r="X70" s="10">
        <v>3.6077121930202498</v>
      </c>
      <c r="Y70" s="10">
        <v>3.6128150130856298</v>
      </c>
      <c r="Z70" s="10">
        <v>3.60783479210308</v>
      </c>
      <c r="AA70" s="10">
        <v>3.6085466795610599</v>
      </c>
      <c r="AB70" s="8">
        <v>335.41374581487003</v>
      </c>
      <c r="AC70" s="8">
        <v>334.95283295028798</v>
      </c>
      <c r="AD70" s="8">
        <v>335.00863751177002</v>
      </c>
      <c r="AE70" s="9">
        <v>1.41342059083721E-3</v>
      </c>
      <c r="AF70" s="9">
        <v>3.8313442566566501E-5</v>
      </c>
      <c r="AG70" s="9">
        <v>2.0490380356751099E-4</v>
      </c>
      <c r="AZ70" s="9"/>
      <c r="BB70">
        <f t="shared" si="2"/>
        <v>0</v>
      </c>
      <c r="BC70">
        <f t="shared" si="3"/>
        <v>1</v>
      </c>
      <c r="BD70">
        <f t="shared" si="4"/>
        <v>0</v>
      </c>
      <c r="BE70">
        <f t="shared" si="0"/>
        <v>1</v>
      </c>
      <c r="BF70">
        <f t="shared" si="5"/>
        <v>0</v>
      </c>
      <c r="BG70" s="9">
        <f t="shared" si="6"/>
        <v>0</v>
      </c>
      <c r="BH70" s="9">
        <f t="shared" si="7"/>
        <v>0</v>
      </c>
      <c r="BI70" s="9">
        <f t="shared" si="8"/>
        <v>0</v>
      </c>
      <c r="BJ70" s="12">
        <f t="shared" si="9"/>
        <v>9.2117612421798085E-4</v>
      </c>
      <c r="BL70" s="9"/>
      <c r="BN70">
        <f t="shared" si="10"/>
        <v>0</v>
      </c>
      <c r="BO70">
        <f t="shared" si="11"/>
        <v>0</v>
      </c>
      <c r="BP70">
        <f t="shared" si="12"/>
        <v>0</v>
      </c>
      <c r="BQ70">
        <f t="shared" si="1"/>
        <v>1</v>
      </c>
      <c r="BR70">
        <f t="shared" si="13"/>
        <v>0</v>
      </c>
      <c r="BS70" s="9">
        <f t="shared" si="14"/>
        <v>0</v>
      </c>
      <c r="BT70" s="9">
        <f t="shared" si="15"/>
        <v>0</v>
      </c>
      <c r="BU70" s="9">
        <f t="shared" si="16"/>
        <v>0</v>
      </c>
      <c r="BV70" s="12">
        <f t="shared" si="17"/>
        <v>2.2425974143792096E-3</v>
      </c>
      <c r="BX70" s="12">
        <f t="shared" si="18"/>
        <v>0</v>
      </c>
      <c r="BY70" s="12">
        <f t="shared" si="19"/>
        <v>3.1637735385971902E-3</v>
      </c>
    </row>
    <row r="71" spans="1:77" x14ac:dyDescent="0.3">
      <c r="A71" s="1">
        <v>46126</v>
      </c>
      <c r="B71" s="8">
        <v>93.36</v>
      </c>
      <c r="C71" s="8">
        <v>336.73</v>
      </c>
      <c r="D71" s="9">
        <v>5.5854065720641801E-3</v>
      </c>
      <c r="E71" s="9">
        <v>5.3300109806195201E-3</v>
      </c>
      <c r="F71" s="8">
        <v>0</v>
      </c>
      <c r="G71" s="8">
        <v>0.26500000000000001</v>
      </c>
      <c r="H71" s="8">
        <v>0</v>
      </c>
      <c r="I71" s="8">
        <v>0.77029999999999998</v>
      </c>
      <c r="J71" s="8">
        <v>0</v>
      </c>
      <c r="K71" s="8">
        <v>0</v>
      </c>
      <c r="L71" s="8">
        <v>93.36</v>
      </c>
      <c r="M71" s="8">
        <v>336.73</v>
      </c>
      <c r="N71" s="10">
        <v>3.60679091688089</v>
      </c>
      <c r="O71" s="10">
        <v>3.6128150130856298</v>
      </c>
      <c r="P71" s="10">
        <v>3.6076604293326402</v>
      </c>
      <c r="Q71" s="10">
        <v>3.60865838872565</v>
      </c>
      <c r="R71" s="8">
        <v>337.29240962167501</v>
      </c>
      <c r="S71" s="8">
        <v>336.82745619074302</v>
      </c>
      <c r="T71" s="8">
        <v>336.89391800381998</v>
      </c>
      <c r="U71" s="9">
        <v>1.6688161822818099E-3</v>
      </c>
      <c r="V71" s="9">
        <v>2.8937751494880902E-4</v>
      </c>
      <c r="W71" s="9">
        <v>4.8667513927329401E-4</v>
      </c>
      <c r="X71" s="10">
        <v>3.60679091688089</v>
      </c>
      <c r="Y71" s="10">
        <v>3.6128150130856298</v>
      </c>
      <c r="Z71" s="10">
        <v>3.6076604293326402</v>
      </c>
      <c r="AA71" s="10">
        <v>3.60865838872565</v>
      </c>
      <c r="AB71" s="8">
        <v>337.29240962167501</v>
      </c>
      <c r="AC71" s="8">
        <v>336.82745619074302</v>
      </c>
      <c r="AD71" s="8">
        <v>336.89391800381998</v>
      </c>
      <c r="AE71" s="9">
        <v>1.6688161822818099E-3</v>
      </c>
      <c r="AF71" s="9">
        <v>2.8937751494880902E-4</v>
      </c>
      <c r="AG71" s="9">
        <v>4.8667513927329401E-4</v>
      </c>
      <c r="AZ71" s="9"/>
      <c r="BB71">
        <f t="shared" si="2"/>
        <v>0</v>
      </c>
      <c r="BC71">
        <f t="shared" si="3"/>
        <v>1</v>
      </c>
      <c r="BD71">
        <f t="shared" si="4"/>
        <v>0</v>
      </c>
      <c r="BE71">
        <f t="shared" si="0"/>
        <v>1</v>
      </c>
      <c r="BF71">
        <f t="shared" si="5"/>
        <v>0</v>
      </c>
      <c r="BG71" s="9">
        <f t="shared" si="6"/>
        <v>0</v>
      </c>
      <c r="BH71" s="9">
        <f t="shared" si="7"/>
        <v>0</v>
      </c>
      <c r="BI71" s="9">
        <f t="shared" si="8"/>
        <v>0</v>
      </c>
      <c r="BJ71" s="12">
        <f t="shared" si="9"/>
        <v>9.2117612421798085E-4</v>
      </c>
      <c r="BL71" s="9"/>
      <c r="BN71">
        <f t="shared" si="10"/>
        <v>0</v>
      </c>
      <c r="BO71">
        <f t="shared" si="11"/>
        <v>0</v>
      </c>
      <c r="BP71">
        <f t="shared" si="12"/>
        <v>0</v>
      </c>
      <c r="BQ71">
        <f t="shared" si="1"/>
        <v>1</v>
      </c>
      <c r="BR71">
        <f t="shared" si="13"/>
        <v>0</v>
      </c>
      <c r="BS71" s="9">
        <f t="shared" si="14"/>
        <v>0</v>
      </c>
      <c r="BT71" s="9">
        <f t="shared" si="15"/>
        <v>0</v>
      </c>
      <c r="BU71" s="9">
        <f t="shared" si="16"/>
        <v>0</v>
      </c>
      <c r="BV71" s="12">
        <f t="shared" si="17"/>
        <v>2.2425974143792096E-3</v>
      </c>
      <c r="BX71" s="12">
        <f t="shared" si="18"/>
        <v>0</v>
      </c>
      <c r="BY71" s="12">
        <f t="shared" si="19"/>
        <v>3.1637735385971902E-3</v>
      </c>
    </row>
    <row r="72" spans="1:77" x14ac:dyDescent="0.3">
      <c r="A72" s="1">
        <v>46127</v>
      </c>
      <c r="B72" s="8">
        <v>92.2</v>
      </c>
      <c r="C72" s="8">
        <v>332.64</v>
      </c>
      <c r="D72" s="9">
        <v>-1.25028574157523E-2</v>
      </c>
      <c r="E72" s="9">
        <v>-1.2220598177248999E-2</v>
      </c>
      <c r="F72" s="8">
        <v>0</v>
      </c>
      <c r="G72" s="8">
        <v>0.26500000000000001</v>
      </c>
      <c r="H72" s="8">
        <v>0</v>
      </c>
      <c r="I72" s="8">
        <v>0.77029999999999998</v>
      </c>
      <c r="J72" s="8">
        <v>0</v>
      </c>
      <c r="K72" s="8">
        <v>0</v>
      </c>
      <c r="L72" s="8">
        <v>92.2</v>
      </c>
      <c r="M72" s="8">
        <v>332.64</v>
      </c>
      <c r="N72" s="10">
        <v>3.6078091106290602</v>
      </c>
      <c r="O72" s="10">
        <v>3.6128150130856298</v>
      </c>
      <c r="P72" s="10">
        <v>3.6075768004048001</v>
      </c>
      <c r="Q72" s="10">
        <v>3.6087097470192901</v>
      </c>
      <c r="R72" s="8">
        <v>333.10154420649502</v>
      </c>
      <c r="S72" s="8">
        <v>332.62629158446998</v>
      </c>
      <c r="T72" s="8">
        <v>332.718303440505</v>
      </c>
      <c r="U72" s="9">
        <v>1.38655694377855E-3</v>
      </c>
      <c r="V72" s="9">
        <v>-4.1211814592385599E-5</v>
      </c>
      <c r="W72" s="9">
        <v>2.3537225119842599E-4</v>
      </c>
      <c r="X72" s="10">
        <v>3.6078091106290602</v>
      </c>
      <c r="Y72" s="10">
        <v>3.6128150130856298</v>
      </c>
      <c r="Z72" s="10">
        <v>3.6075768004048001</v>
      </c>
      <c r="AA72" s="10">
        <v>3.6087097470192901</v>
      </c>
      <c r="AB72" s="8">
        <v>333.10154420649502</v>
      </c>
      <c r="AC72" s="8">
        <v>332.62629158446998</v>
      </c>
      <c r="AD72" s="8">
        <v>332.718303440505</v>
      </c>
      <c r="AE72" s="9">
        <v>1.38655694377855E-3</v>
      </c>
      <c r="AF72" s="9">
        <v>-4.1211814592385599E-5</v>
      </c>
      <c r="AG72" s="9">
        <v>2.3537225119842599E-4</v>
      </c>
      <c r="AZ72" s="9"/>
      <c r="BB72">
        <f t="shared" si="2"/>
        <v>0</v>
      </c>
      <c r="BC72">
        <f t="shared" si="3"/>
        <v>1</v>
      </c>
      <c r="BD72">
        <f t="shared" si="4"/>
        <v>0</v>
      </c>
      <c r="BE72">
        <f t="shared" si="0"/>
        <v>1</v>
      </c>
      <c r="BF72">
        <f t="shared" si="5"/>
        <v>0</v>
      </c>
      <c r="BG72" s="9">
        <f t="shared" si="6"/>
        <v>0</v>
      </c>
      <c r="BH72" s="9">
        <f t="shared" si="7"/>
        <v>0</v>
      </c>
      <c r="BI72" s="9">
        <f t="shared" si="8"/>
        <v>0</v>
      </c>
      <c r="BJ72" s="12">
        <f t="shared" si="9"/>
        <v>9.2117612421798085E-4</v>
      </c>
      <c r="BL72" s="9"/>
      <c r="BN72">
        <f t="shared" si="10"/>
        <v>0</v>
      </c>
      <c r="BO72">
        <f t="shared" si="11"/>
        <v>0</v>
      </c>
      <c r="BP72">
        <f t="shared" si="12"/>
        <v>0</v>
      </c>
      <c r="BQ72">
        <f t="shared" si="1"/>
        <v>1</v>
      </c>
      <c r="BR72">
        <f t="shared" si="13"/>
        <v>0</v>
      </c>
      <c r="BS72" s="9">
        <f t="shared" si="14"/>
        <v>0</v>
      </c>
      <c r="BT72" s="9">
        <f t="shared" si="15"/>
        <v>0</v>
      </c>
      <c r="BU72" s="9">
        <f t="shared" si="16"/>
        <v>0</v>
      </c>
      <c r="BV72" s="12">
        <f t="shared" si="17"/>
        <v>2.2425974143792096E-3</v>
      </c>
      <c r="BX72" s="12">
        <f t="shared" si="18"/>
        <v>0</v>
      </c>
      <c r="BY72" s="12">
        <f t="shared" si="19"/>
        <v>3.1637735385971902E-3</v>
      </c>
    </row>
    <row r="73" spans="1:77" x14ac:dyDescent="0.3">
      <c r="A73" s="1">
        <v>46128</v>
      </c>
      <c r="B73" s="8">
        <v>91.8</v>
      </c>
      <c r="C73" s="8">
        <v>331.34</v>
      </c>
      <c r="D73" s="9">
        <v>-4.3478329361033904E-3</v>
      </c>
      <c r="E73" s="9">
        <v>-3.9157855993114899E-3</v>
      </c>
      <c r="F73" s="8">
        <v>0</v>
      </c>
      <c r="G73" s="8">
        <v>0.26500000000000001</v>
      </c>
      <c r="H73" s="8">
        <v>0</v>
      </c>
      <c r="I73" s="8">
        <v>0.77029999999999998</v>
      </c>
      <c r="J73" s="8">
        <v>0</v>
      </c>
      <c r="K73" s="8">
        <v>0</v>
      </c>
      <c r="L73" s="8">
        <v>91.8</v>
      </c>
      <c r="M73" s="8">
        <v>331.34</v>
      </c>
      <c r="N73" s="10">
        <v>3.60936819172113</v>
      </c>
      <c r="O73" s="10">
        <v>3.6128150130856298</v>
      </c>
      <c r="P73" s="10">
        <v>3.6077087997519701</v>
      </c>
      <c r="Q73" s="10">
        <v>3.60895376857271</v>
      </c>
      <c r="R73" s="8">
        <v>331.65641820126098</v>
      </c>
      <c r="S73" s="8">
        <v>331.17555027716003</v>
      </c>
      <c r="T73" s="8">
        <v>331.27955477637101</v>
      </c>
      <c r="U73" s="9">
        <v>9.5450960698640502E-4</v>
      </c>
      <c r="V73" s="9">
        <v>-4.9644035116695902E-4</v>
      </c>
      <c r="W73" s="9">
        <v>-1.8244322359848501E-4</v>
      </c>
      <c r="X73" s="10">
        <v>3.60936819172113</v>
      </c>
      <c r="Y73" s="10">
        <v>3.6128150130856298</v>
      </c>
      <c r="Z73" s="10">
        <v>3.6077087997519701</v>
      </c>
      <c r="AA73" s="10">
        <v>3.60895376857271</v>
      </c>
      <c r="AB73" s="8">
        <v>331.65641820126098</v>
      </c>
      <c r="AC73" s="8">
        <v>331.17555027716003</v>
      </c>
      <c r="AD73" s="8">
        <v>331.27955477637101</v>
      </c>
      <c r="AE73" s="9">
        <v>9.5450960698640502E-4</v>
      </c>
      <c r="AF73" s="9">
        <v>-4.9644035116695902E-4</v>
      </c>
      <c r="AG73" s="9">
        <v>-1.8244322359848501E-4</v>
      </c>
      <c r="AZ73" s="9"/>
      <c r="BB73">
        <f t="shared" si="2"/>
        <v>0</v>
      </c>
      <c r="BC73">
        <f t="shared" si="3"/>
        <v>0</v>
      </c>
      <c r="BD73">
        <f t="shared" si="4"/>
        <v>0</v>
      </c>
      <c r="BE73">
        <f t="shared" si="0"/>
        <v>1</v>
      </c>
      <c r="BF73">
        <f t="shared" si="5"/>
        <v>0</v>
      </c>
      <c r="BG73" s="9">
        <f t="shared" si="6"/>
        <v>0</v>
      </c>
      <c r="BH73" s="9">
        <f t="shared" si="7"/>
        <v>0</v>
      </c>
      <c r="BI73" s="9">
        <f t="shared" si="8"/>
        <v>0</v>
      </c>
      <c r="BJ73" s="12">
        <f t="shared" si="9"/>
        <v>9.2117612421798085E-4</v>
      </c>
      <c r="BL73" s="9"/>
      <c r="BN73">
        <f t="shared" si="10"/>
        <v>0</v>
      </c>
      <c r="BO73">
        <f t="shared" si="11"/>
        <v>1</v>
      </c>
      <c r="BP73">
        <f t="shared" si="12"/>
        <v>0</v>
      </c>
      <c r="BQ73">
        <f t="shared" si="1"/>
        <v>1</v>
      </c>
      <c r="BR73">
        <f t="shared" si="13"/>
        <v>0</v>
      </c>
      <c r="BS73" s="9">
        <f t="shared" si="14"/>
        <v>0</v>
      </c>
      <c r="BT73" s="9">
        <f t="shared" si="15"/>
        <v>0</v>
      </c>
      <c r="BU73" s="9">
        <f t="shared" si="16"/>
        <v>0</v>
      </c>
      <c r="BV73" s="12">
        <f t="shared" si="17"/>
        <v>2.2425974143792096E-3</v>
      </c>
      <c r="BX73" s="12">
        <f t="shared" si="18"/>
        <v>0</v>
      </c>
      <c r="BY73" s="12">
        <f t="shared" si="19"/>
        <v>3.1637735385971902E-3</v>
      </c>
    </row>
    <row r="74" spans="1:77" x14ac:dyDescent="0.3">
      <c r="A74" s="1">
        <v>46129</v>
      </c>
      <c r="B74" s="8">
        <v>93.57</v>
      </c>
      <c r="C74" s="8">
        <v>337.72</v>
      </c>
      <c r="D74" s="9">
        <v>1.9097521661376699E-2</v>
      </c>
      <c r="E74" s="9">
        <v>1.9072111290907901E-2</v>
      </c>
      <c r="F74" s="8">
        <v>0</v>
      </c>
      <c r="G74" s="8">
        <v>0.26500000000000001</v>
      </c>
      <c r="H74" s="8">
        <v>0</v>
      </c>
      <c r="I74" s="8">
        <v>0.77029999999999998</v>
      </c>
      <c r="J74" s="8">
        <v>0</v>
      </c>
      <c r="K74" s="8">
        <v>0</v>
      </c>
      <c r="L74" s="8">
        <v>93.57</v>
      </c>
      <c r="M74" s="8">
        <v>337.72</v>
      </c>
      <c r="N74" s="10">
        <v>3.60927647750347</v>
      </c>
      <c r="O74" s="10">
        <v>3.6128150130856298</v>
      </c>
      <c r="P74" s="10">
        <v>3.6078244037067</v>
      </c>
      <c r="Q74" s="10">
        <v>3.6088360645117401</v>
      </c>
      <c r="R74" s="8">
        <v>338.05110077442299</v>
      </c>
      <c r="S74" s="8">
        <v>337.57331239279199</v>
      </c>
      <c r="T74" s="8">
        <v>337.68980412534802</v>
      </c>
      <c r="U74" s="9">
        <v>9.7991997745529194E-4</v>
      </c>
      <c r="V74" s="9">
        <v>-4.3444117340681097E-4</v>
      </c>
      <c r="W74" s="9">
        <v>-8.9414972915949296E-5</v>
      </c>
      <c r="X74" s="10">
        <v>3.60927647750347</v>
      </c>
      <c r="Y74" s="10">
        <v>3.6128150130856298</v>
      </c>
      <c r="Z74" s="10">
        <v>3.6078244037067</v>
      </c>
      <c r="AA74" s="10">
        <v>3.6088360645117401</v>
      </c>
      <c r="AB74" s="8">
        <v>338.05110077442299</v>
      </c>
      <c r="AC74" s="8">
        <v>337.57331239279199</v>
      </c>
      <c r="AD74" s="8">
        <v>337.68980412534802</v>
      </c>
      <c r="AE74" s="9">
        <v>9.7991997745529194E-4</v>
      </c>
      <c r="AF74" s="9">
        <v>-4.3444117340681097E-4</v>
      </c>
      <c r="AG74" s="9">
        <v>-8.9414972915949296E-5</v>
      </c>
      <c r="AZ74" s="9"/>
      <c r="BB74">
        <f t="shared" si="2"/>
        <v>0</v>
      </c>
      <c r="BC74">
        <f t="shared" si="3"/>
        <v>0</v>
      </c>
      <c r="BD74">
        <f t="shared" si="4"/>
        <v>0</v>
      </c>
      <c r="BE74">
        <f t="shared" si="0"/>
        <v>1</v>
      </c>
      <c r="BF74">
        <f t="shared" si="5"/>
        <v>0</v>
      </c>
      <c r="BG74" s="9">
        <f t="shared" si="6"/>
        <v>0</v>
      </c>
      <c r="BH74" s="9">
        <f t="shared" si="7"/>
        <v>0</v>
      </c>
      <c r="BI74" s="9">
        <f t="shared" si="8"/>
        <v>0</v>
      </c>
      <c r="BJ74" s="12">
        <f t="shared" si="9"/>
        <v>9.2117612421798085E-4</v>
      </c>
      <c r="BL74" s="9"/>
      <c r="BN74">
        <f t="shared" si="10"/>
        <v>0</v>
      </c>
      <c r="BO74">
        <f t="shared" si="11"/>
        <v>1</v>
      </c>
      <c r="BP74">
        <f t="shared" si="12"/>
        <v>0</v>
      </c>
      <c r="BQ74">
        <f t="shared" si="1"/>
        <v>1</v>
      </c>
      <c r="BR74">
        <f t="shared" si="13"/>
        <v>0</v>
      </c>
      <c r="BS74" s="9">
        <f t="shared" si="14"/>
        <v>0</v>
      </c>
      <c r="BT74" s="9">
        <f t="shared" si="15"/>
        <v>0</v>
      </c>
      <c r="BU74" s="9">
        <f t="shared" si="16"/>
        <v>0</v>
      </c>
      <c r="BV74" s="12">
        <f t="shared" si="17"/>
        <v>2.2425974143792096E-3</v>
      </c>
      <c r="BX74" s="12">
        <f t="shared" si="18"/>
        <v>0</v>
      </c>
      <c r="BY74" s="12">
        <f t="shared" si="19"/>
        <v>3.1637735385971902E-3</v>
      </c>
    </row>
    <row r="75" spans="1:77" x14ac:dyDescent="0.3">
      <c r="A75" s="1">
        <v>46132</v>
      </c>
      <c r="B75" s="8">
        <v>93.99</v>
      </c>
      <c r="C75" s="8">
        <v>338.89</v>
      </c>
      <c r="D75" s="9">
        <v>4.4785743443885098E-3</v>
      </c>
      <c r="E75" s="9">
        <v>3.4584211470883E-3</v>
      </c>
      <c r="F75" s="8">
        <v>0</v>
      </c>
      <c r="G75" s="8">
        <v>0.26500000000000001</v>
      </c>
      <c r="H75" s="8">
        <v>0</v>
      </c>
      <c r="I75" s="8">
        <v>0.77029999999999998</v>
      </c>
      <c r="J75" s="8">
        <v>0</v>
      </c>
      <c r="K75" s="8">
        <v>0</v>
      </c>
      <c r="L75" s="8">
        <v>93.99</v>
      </c>
      <c r="M75" s="8">
        <v>338.89</v>
      </c>
      <c r="N75" s="10">
        <v>3.6055963400361701</v>
      </c>
      <c r="O75" s="10">
        <v>3.6128150130856298</v>
      </c>
      <c r="P75" s="10">
        <v>3.60735996868216</v>
      </c>
      <c r="Q75" s="10">
        <v>3.6082836136999901</v>
      </c>
      <c r="R75" s="8">
        <v>339.56848307991902</v>
      </c>
      <c r="S75" s="8">
        <v>339.09941570439202</v>
      </c>
      <c r="T75" s="8">
        <v>339.194501703458</v>
      </c>
      <c r="U75" s="9">
        <v>2.0000731747553502E-3</v>
      </c>
      <c r="V75" s="9">
        <v>6.1775510414172595E-4</v>
      </c>
      <c r="W75" s="9">
        <v>8.9812323733039798E-4</v>
      </c>
      <c r="X75" s="10">
        <v>3.6055963400361701</v>
      </c>
      <c r="Y75" s="10">
        <v>3.6128150130856298</v>
      </c>
      <c r="Z75" s="10">
        <v>3.60735996868216</v>
      </c>
      <c r="AA75" s="10">
        <v>3.6082836136999901</v>
      </c>
      <c r="AB75" s="8">
        <v>339.56848307991902</v>
      </c>
      <c r="AC75" s="8">
        <v>339.09941570439202</v>
      </c>
      <c r="AD75" s="8">
        <v>339.194501703458</v>
      </c>
      <c r="AE75" s="9">
        <v>2.0000731747553502E-3</v>
      </c>
      <c r="AF75" s="9">
        <v>6.1775510414172595E-4</v>
      </c>
      <c r="AG75" s="9">
        <v>8.9812323733039798E-4</v>
      </c>
      <c r="AZ75" s="9"/>
      <c r="BB75">
        <f t="shared" si="2"/>
        <v>0</v>
      </c>
      <c r="BC75">
        <f t="shared" si="3"/>
        <v>1</v>
      </c>
      <c r="BD75">
        <f t="shared" si="4"/>
        <v>0</v>
      </c>
      <c r="BE75">
        <f t="shared" si="0"/>
        <v>1</v>
      </c>
      <c r="BF75">
        <f t="shared" si="5"/>
        <v>0</v>
      </c>
      <c r="BG75" s="9">
        <f t="shared" si="6"/>
        <v>0</v>
      </c>
      <c r="BH75" s="9">
        <f t="shared" si="7"/>
        <v>0</v>
      </c>
      <c r="BI75" s="9">
        <f t="shared" si="8"/>
        <v>0</v>
      </c>
      <c r="BJ75" s="12">
        <f t="shared" si="9"/>
        <v>9.2117612421798085E-4</v>
      </c>
      <c r="BL75" s="9"/>
      <c r="BN75">
        <f t="shared" si="10"/>
        <v>0</v>
      </c>
      <c r="BO75">
        <f t="shared" si="11"/>
        <v>0</v>
      </c>
      <c r="BP75">
        <f t="shared" si="12"/>
        <v>0</v>
      </c>
      <c r="BQ75">
        <f t="shared" si="1"/>
        <v>1</v>
      </c>
      <c r="BR75">
        <f t="shared" si="13"/>
        <v>0</v>
      </c>
      <c r="BS75" s="9">
        <f t="shared" si="14"/>
        <v>0</v>
      </c>
      <c r="BT75" s="9">
        <f t="shared" si="15"/>
        <v>0</v>
      </c>
      <c r="BU75" s="9">
        <f t="shared" si="16"/>
        <v>0</v>
      </c>
      <c r="BV75" s="12">
        <f t="shared" si="17"/>
        <v>2.2425974143792096E-3</v>
      </c>
      <c r="BX75" s="12">
        <f t="shared" si="18"/>
        <v>0</v>
      </c>
      <c r="BY75" s="12">
        <f t="shared" si="19"/>
        <v>3.1637735385971902E-3</v>
      </c>
    </row>
    <row r="76" spans="1:77" x14ac:dyDescent="0.3">
      <c r="A76" s="1">
        <v>46133</v>
      </c>
      <c r="B76" s="8">
        <v>92.68</v>
      </c>
      <c r="C76" s="8">
        <v>334.65</v>
      </c>
      <c r="D76" s="9">
        <v>-1.4035694068034401E-2</v>
      </c>
      <c r="E76" s="9">
        <v>-1.2590361401736401E-2</v>
      </c>
      <c r="F76" s="8">
        <v>0</v>
      </c>
      <c r="G76" s="8">
        <v>0.26500000000000001</v>
      </c>
      <c r="H76" s="8">
        <v>0</v>
      </c>
      <c r="I76" s="8">
        <v>0.77029999999999998</v>
      </c>
      <c r="J76" s="8">
        <v>0</v>
      </c>
      <c r="K76" s="8">
        <v>0</v>
      </c>
      <c r="L76" s="8">
        <v>92.68</v>
      </c>
      <c r="M76" s="8">
        <v>334.65</v>
      </c>
      <c r="N76" s="10">
        <v>3.6108113940440201</v>
      </c>
      <c r="O76" s="10">
        <v>3.6128150130856298</v>
      </c>
      <c r="P76" s="10">
        <v>3.6074083510346999</v>
      </c>
      <c r="Q76" s="10">
        <v>3.6078166093833701</v>
      </c>
      <c r="R76" s="8">
        <v>334.835695412777</v>
      </c>
      <c r="S76" s="8">
        <v>334.33012189746199</v>
      </c>
      <c r="T76" s="8">
        <v>334.41572531771499</v>
      </c>
      <c r="U76" s="9">
        <v>5.5474050845748702E-4</v>
      </c>
      <c r="V76" s="9">
        <v>-9.5631579009598398E-4</v>
      </c>
      <c r="W76" s="9">
        <v>-7.0030397012985795E-4</v>
      </c>
      <c r="X76" s="10">
        <v>3.6108113940440201</v>
      </c>
      <c r="Y76" s="10">
        <v>3.6128150130856298</v>
      </c>
      <c r="Z76" s="10">
        <v>3.6074083510346999</v>
      </c>
      <c r="AA76" s="10">
        <v>3.6078166093833701</v>
      </c>
      <c r="AB76" s="8">
        <v>334.835695412777</v>
      </c>
      <c r="AC76" s="8">
        <v>334.33012189746199</v>
      </c>
      <c r="AD76" s="8">
        <v>334.41572531771499</v>
      </c>
      <c r="AE76" s="9">
        <v>5.5474050845748702E-4</v>
      </c>
      <c r="AF76" s="9">
        <v>-9.5631579009598398E-4</v>
      </c>
      <c r="AG76" s="9">
        <v>-7.0030397012985795E-4</v>
      </c>
      <c r="AZ76" s="9"/>
      <c r="BB76">
        <f t="shared" si="2"/>
        <v>0</v>
      </c>
      <c r="BC76">
        <f t="shared" si="3"/>
        <v>0</v>
      </c>
      <c r="BD76">
        <f t="shared" si="4"/>
        <v>0</v>
      </c>
      <c r="BE76">
        <f t="shared" si="0"/>
        <v>1</v>
      </c>
      <c r="BF76">
        <f t="shared" si="5"/>
        <v>0</v>
      </c>
      <c r="BG76" s="9">
        <f t="shared" si="6"/>
        <v>0</v>
      </c>
      <c r="BH76" s="9">
        <f t="shared" si="7"/>
        <v>0</v>
      </c>
      <c r="BI76" s="9">
        <f t="shared" si="8"/>
        <v>0</v>
      </c>
      <c r="BJ76" s="12">
        <f t="shared" si="9"/>
        <v>9.2117612421798085E-4</v>
      </c>
      <c r="BL76" s="9"/>
      <c r="BN76">
        <f t="shared" si="10"/>
        <v>0</v>
      </c>
      <c r="BO76">
        <f t="shared" si="11"/>
        <v>1</v>
      </c>
      <c r="BP76">
        <f t="shared" si="12"/>
        <v>0</v>
      </c>
      <c r="BQ76">
        <f t="shared" si="1"/>
        <v>1</v>
      </c>
      <c r="BR76">
        <f t="shared" si="13"/>
        <v>0</v>
      </c>
      <c r="BS76" s="9">
        <f t="shared" si="14"/>
        <v>0</v>
      </c>
      <c r="BT76" s="9">
        <f t="shared" si="15"/>
        <v>0</v>
      </c>
      <c r="BU76" s="9">
        <f t="shared" si="16"/>
        <v>0</v>
      </c>
      <c r="BV76" s="12">
        <f t="shared" si="17"/>
        <v>2.2425974143792096E-3</v>
      </c>
      <c r="BX76" s="12">
        <f t="shared" si="18"/>
        <v>0</v>
      </c>
      <c r="BY76" s="12">
        <f t="shared" si="19"/>
        <v>3.1637735385971902E-3</v>
      </c>
    </row>
    <row r="77" spans="1:77" x14ac:dyDescent="0.3">
      <c r="A77" s="1">
        <v>46134</v>
      </c>
      <c r="B77" s="8">
        <v>92.57</v>
      </c>
      <c r="C77" s="8">
        <v>334.1</v>
      </c>
      <c r="D77" s="9">
        <v>-1.1875844850557499E-3</v>
      </c>
      <c r="E77" s="9">
        <v>-1.6448601839402E-3</v>
      </c>
      <c r="F77" s="8">
        <v>0</v>
      </c>
      <c r="G77" s="8">
        <v>0.26500000000000001</v>
      </c>
      <c r="H77" s="8">
        <v>0</v>
      </c>
      <c r="I77" s="8">
        <v>0.77029999999999998</v>
      </c>
      <c r="J77" s="8">
        <v>0</v>
      </c>
      <c r="K77" s="8">
        <v>0</v>
      </c>
      <c r="L77" s="8">
        <v>92.57</v>
      </c>
      <c r="M77" s="8">
        <v>334.1</v>
      </c>
      <c r="N77" s="10">
        <v>3.6091606351949799</v>
      </c>
      <c r="O77" s="10">
        <v>3.6128150130856298</v>
      </c>
      <c r="P77" s="10">
        <v>3.6076132548167799</v>
      </c>
      <c r="Q77" s="10">
        <v>3.6080754379558702</v>
      </c>
      <c r="R77" s="8">
        <v>334.438285761337</v>
      </c>
      <c r="S77" s="8">
        <v>333.93779105528199</v>
      </c>
      <c r="T77" s="8">
        <v>333.97558353061902</v>
      </c>
      <c r="U77" s="9">
        <v>1.01201620734201E-3</v>
      </c>
      <c r="V77" s="9">
        <v>-4.8562805900397601E-4</v>
      </c>
      <c r="W77" s="9">
        <v>-3.7246225991894899E-4</v>
      </c>
      <c r="X77" s="10">
        <v>3.6091606351949799</v>
      </c>
      <c r="Y77" s="10">
        <v>3.6128150130856298</v>
      </c>
      <c r="Z77" s="10">
        <v>3.6076132548167799</v>
      </c>
      <c r="AA77" s="10">
        <v>3.6080754379558702</v>
      </c>
      <c r="AB77" s="8">
        <v>334.438285761337</v>
      </c>
      <c r="AC77" s="8">
        <v>333.93779105528199</v>
      </c>
      <c r="AD77" s="8">
        <v>333.97558353061902</v>
      </c>
      <c r="AE77" s="9">
        <v>1.01201620734201E-3</v>
      </c>
      <c r="AF77" s="9">
        <v>-4.8562805900397601E-4</v>
      </c>
      <c r="AG77" s="9">
        <v>-3.7246225991894899E-4</v>
      </c>
      <c r="AZ77" s="9"/>
      <c r="BB77">
        <f t="shared" si="2"/>
        <v>0</v>
      </c>
      <c r="BC77">
        <f t="shared" si="3"/>
        <v>0</v>
      </c>
      <c r="BD77">
        <f t="shared" si="4"/>
        <v>0</v>
      </c>
      <c r="BE77">
        <f t="shared" si="0"/>
        <v>1</v>
      </c>
      <c r="BF77">
        <f t="shared" si="5"/>
        <v>0</v>
      </c>
      <c r="BG77" s="9">
        <f t="shared" si="6"/>
        <v>0</v>
      </c>
      <c r="BH77" s="9">
        <f t="shared" si="7"/>
        <v>0</v>
      </c>
      <c r="BI77" s="9">
        <f t="shared" si="8"/>
        <v>0</v>
      </c>
      <c r="BJ77" s="12">
        <f t="shared" si="9"/>
        <v>9.2117612421798085E-4</v>
      </c>
      <c r="BL77" s="9"/>
      <c r="BN77">
        <f t="shared" si="10"/>
        <v>0</v>
      </c>
      <c r="BO77">
        <f t="shared" si="11"/>
        <v>1</v>
      </c>
      <c r="BP77">
        <f t="shared" si="12"/>
        <v>0</v>
      </c>
      <c r="BQ77">
        <f t="shared" si="1"/>
        <v>1</v>
      </c>
      <c r="BR77">
        <f t="shared" si="13"/>
        <v>0</v>
      </c>
      <c r="BS77" s="9">
        <f t="shared" si="14"/>
        <v>0</v>
      </c>
      <c r="BT77" s="9">
        <f t="shared" si="15"/>
        <v>0</v>
      </c>
      <c r="BU77" s="9">
        <f t="shared" si="16"/>
        <v>0</v>
      </c>
      <c r="BV77" s="12">
        <f t="shared" si="17"/>
        <v>2.2425974143792096E-3</v>
      </c>
      <c r="BX77" s="12">
        <f t="shared" si="18"/>
        <v>0</v>
      </c>
      <c r="BY77" s="12">
        <f t="shared" si="19"/>
        <v>3.1637735385971902E-3</v>
      </c>
    </row>
    <row r="78" spans="1:77" x14ac:dyDescent="0.3">
      <c r="A78" s="1">
        <v>46135</v>
      </c>
      <c r="B78" s="8">
        <v>93.96</v>
      </c>
      <c r="C78" s="8">
        <v>338.9</v>
      </c>
      <c r="D78" s="9">
        <v>1.4904044711592001E-2</v>
      </c>
      <c r="E78" s="9">
        <v>1.42647292502947E-2</v>
      </c>
      <c r="F78" s="8">
        <v>0</v>
      </c>
      <c r="G78" s="8">
        <v>0.26500000000000001</v>
      </c>
      <c r="H78" s="8">
        <v>0</v>
      </c>
      <c r="I78" s="8">
        <v>0.77029999999999998</v>
      </c>
      <c r="J78" s="8">
        <v>0</v>
      </c>
      <c r="K78" s="8">
        <v>0</v>
      </c>
      <c r="L78" s="8">
        <v>93.96</v>
      </c>
      <c r="M78" s="8">
        <v>338.9</v>
      </c>
      <c r="N78" s="10">
        <v>3.6068539804171902</v>
      </c>
      <c r="O78" s="10">
        <v>3.6128150130856298</v>
      </c>
      <c r="P78" s="10">
        <v>3.6077158972259098</v>
      </c>
      <c r="Q78" s="10">
        <v>3.6080034945634401</v>
      </c>
      <c r="R78" s="8">
        <v>339.46009862952599</v>
      </c>
      <c r="S78" s="8">
        <v>338.97134142258398</v>
      </c>
      <c r="T78" s="8">
        <v>339.014768150333</v>
      </c>
      <c r="U78" s="9">
        <v>1.6513316686395301E-3</v>
      </c>
      <c r="V78" s="9">
        <v>2.1048661741165101E-4</v>
      </c>
      <c r="W78" s="9">
        <v>3.3859168385891298E-4</v>
      </c>
      <c r="X78" s="10">
        <v>3.6068539804171902</v>
      </c>
      <c r="Y78" s="10">
        <v>3.6128150130856298</v>
      </c>
      <c r="Z78" s="10">
        <v>3.6077158972259098</v>
      </c>
      <c r="AA78" s="10">
        <v>3.6080034945634401</v>
      </c>
      <c r="AB78" s="8">
        <v>339.46009862952599</v>
      </c>
      <c r="AC78" s="8">
        <v>338.97134142258398</v>
      </c>
      <c r="AD78" s="8">
        <v>339.014768150333</v>
      </c>
      <c r="AE78" s="9">
        <v>1.6513316686395301E-3</v>
      </c>
      <c r="AF78" s="9">
        <v>2.1048661741165101E-4</v>
      </c>
      <c r="AG78" s="9">
        <v>3.3859168385891298E-4</v>
      </c>
      <c r="AZ78" s="9"/>
      <c r="BB78">
        <f t="shared" si="2"/>
        <v>0</v>
      </c>
      <c r="BC78">
        <f t="shared" si="3"/>
        <v>1</v>
      </c>
      <c r="BD78">
        <f t="shared" si="4"/>
        <v>0</v>
      </c>
      <c r="BE78">
        <f t="shared" si="0"/>
        <v>1</v>
      </c>
      <c r="BF78">
        <f t="shared" si="5"/>
        <v>0</v>
      </c>
      <c r="BG78" s="9">
        <f t="shared" si="6"/>
        <v>0</v>
      </c>
      <c r="BH78" s="9">
        <f t="shared" si="7"/>
        <v>0</v>
      </c>
      <c r="BI78" s="9">
        <f t="shared" si="8"/>
        <v>0</v>
      </c>
      <c r="BJ78" s="12">
        <f t="shared" si="9"/>
        <v>9.2117612421798085E-4</v>
      </c>
      <c r="BL78" s="9"/>
      <c r="BN78">
        <f t="shared" si="10"/>
        <v>0</v>
      </c>
      <c r="BO78">
        <f t="shared" si="11"/>
        <v>0</v>
      </c>
      <c r="BP78">
        <f t="shared" si="12"/>
        <v>0</v>
      </c>
      <c r="BQ78">
        <f t="shared" si="1"/>
        <v>1</v>
      </c>
      <c r="BR78">
        <f t="shared" si="13"/>
        <v>0</v>
      </c>
      <c r="BS78" s="9">
        <f t="shared" si="14"/>
        <v>0</v>
      </c>
      <c r="BT78" s="9">
        <f t="shared" si="15"/>
        <v>0</v>
      </c>
      <c r="BU78" s="9">
        <f t="shared" si="16"/>
        <v>0</v>
      </c>
      <c r="BV78" s="12">
        <f t="shared" si="17"/>
        <v>2.2425974143792096E-3</v>
      </c>
      <c r="BX78" s="12">
        <f t="shared" si="18"/>
        <v>0</v>
      </c>
      <c r="BY78" s="12">
        <f t="shared" si="19"/>
        <v>3.1637735385971902E-3</v>
      </c>
    </row>
    <row r="79" spans="1:77" x14ac:dyDescent="0.3">
      <c r="A79" s="1">
        <v>46136</v>
      </c>
      <c r="B79" s="8">
        <v>93.12</v>
      </c>
      <c r="C79" s="8">
        <v>336.01</v>
      </c>
      <c r="D79" s="9">
        <v>-8.9801758075842408E-3</v>
      </c>
      <c r="E79" s="9">
        <v>-8.5641571879161403E-3</v>
      </c>
      <c r="F79" s="8">
        <v>0</v>
      </c>
      <c r="G79" s="8">
        <v>0.26500000000000001</v>
      </c>
      <c r="H79" s="8">
        <v>0</v>
      </c>
      <c r="I79" s="8">
        <v>0.77029999999999998</v>
      </c>
      <c r="J79" s="8">
        <v>0</v>
      </c>
      <c r="K79" s="8">
        <v>0</v>
      </c>
      <c r="L79" s="8">
        <v>93.12</v>
      </c>
      <c r="M79" s="8">
        <v>336.01</v>
      </c>
      <c r="N79" s="10">
        <v>3.60835481099656</v>
      </c>
      <c r="O79" s="10">
        <v>3.6128150130856298</v>
      </c>
      <c r="P79" s="10">
        <v>3.6081734050443699</v>
      </c>
      <c r="Q79" s="10">
        <v>3.6080119122932302</v>
      </c>
      <c r="R79" s="8">
        <v>336.42533401853399</v>
      </c>
      <c r="S79" s="8">
        <v>335.95050434967698</v>
      </c>
      <c r="T79" s="8">
        <v>335.97728541374801</v>
      </c>
      <c r="U79" s="9">
        <v>1.2353130489714799E-3</v>
      </c>
      <c r="V79" s="9">
        <v>-1.77080795947746E-4</v>
      </c>
      <c r="W79" s="9">
        <v>-9.7366682339562296E-5</v>
      </c>
      <c r="X79" s="10">
        <v>3.60835481099656</v>
      </c>
      <c r="Y79" s="10">
        <v>3.6128150130856298</v>
      </c>
      <c r="Z79" s="10">
        <v>3.6081734050443699</v>
      </c>
      <c r="AA79" s="10">
        <v>3.6080119122932302</v>
      </c>
      <c r="AB79" s="8">
        <v>336.42533401853399</v>
      </c>
      <c r="AC79" s="8">
        <v>335.95050434967698</v>
      </c>
      <c r="AD79" s="8">
        <v>335.97728541374801</v>
      </c>
      <c r="AE79" s="9">
        <v>1.2353130489714799E-3</v>
      </c>
      <c r="AF79" s="9">
        <v>-1.77080795947746E-4</v>
      </c>
      <c r="AG79" s="9">
        <v>-9.7366682339562296E-5</v>
      </c>
      <c r="AZ79" s="9"/>
      <c r="BB79">
        <f t="shared" si="2"/>
        <v>0</v>
      </c>
      <c r="BC79">
        <f t="shared" si="3"/>
        <v>0</v>
      </c>
      <c r="BD79">
        <f t="shared" si="4"/>
        <v>0</v>
      </c>
      <c r="BE79">
        <f t="shared" si="0"/>
        <v>1</v>
      </c>
      <c r="BF79">
        <f t="shared" si="5"/>
        <v>0</v>
      </c>
      <c r="BG79" s="9">
        <f t="shared" si="6"/>
        <v>0</v>
      </c>
      <c r="BH79" s="9">
        <f t="shared" si="7"/>
        <v>0</v>
      </c>
      <c r="BI79" s="9">
        <f t="shared" si="8"/>
        <v>0</v>
      </c>
      <c r="BJ79" s="12">
        <f t="shared" si="9"/>
        <v>9.2117612421798085E-4</v>
      </c>
      <c r="BL79" s="9"/>
      <c r="BN79">
        <f t="shared" si="10"/>
        <v>0</v>
      </c>
      <c r="BO79">
        <f t="shared" si="11"/>
        <v>1</v>
      </c>
      <c r="BP79">
        <f t="shared" si="12"/>
        <v>0</v>
      </c>
      <c r="BQ79">
        <f t="shared" si="1"/>
        <v>1</v>
      </c>
      <c r="BR79">
        <f t="shared" si="13"/>
        <v>0</v>
      </c>
      <c r="BS79" s="9">
        <f t="shared" si="14"/>
        <v>0</v>
      </c>
      <c r="BT79" s="9">
        <f t="shared" si="15"/>
        <v>0</v>
      </c>
      <c r="BU79" s="9">
        <f t="shared" si="16"/>
        <v>0</v>
      </c>
      <c r="BV79" s="12">
        <f t="shared" si="17"/>
        <v>2.2425974143792096E-3</v>
      </c>
      <c r="BX79" s="12">
        <f t="shared" si="18"/>
        <v>0</v>
      </c>
      <c r="BY79" s="12">
        <f t="shared" si="19"/>
        <v>3.1637735385971902E-3</v>
      </c>
    </row>
    <row r="80" spans="1:77" x14ac:dyDescent="0.3">
      <c r="A80" s="1">
        <v>46139</v>
      </c>
      <c r="B80" s="8">
        <v>93.19</v>
      </c>
      <c r="C80" s="8">
        <v>336.15</v>
      </c>
      <c r="D80" s="9">
        <v>7.5143581443631305E-4</v>
      </c>
      <c r="E80" s="9">
        <v>4.1656748995622502E-4</v>
      </c>
      <c r="F80" s="8">
        <v>0</v>
      </c>
      <c r="G80" s="8">
        <v>0.26500000000000001</v>
      </c>
      <c r="H80" s="8">
        <v>0</v>
      </c>
      <c r="I80" s="8">
        <v>0.77029999999999998</v>
      </c>
      <c r="J80" s="8">
        <v>0</v>
      </c>
      <c r="K80" s="8">
        <v>0</v>
      </c>
      <c r="L80" s="8">
        <v>93.19</v>
      </c>
      <c r="M80" s="8">
        <v>336.15</v>
      </c>
      <c r="N80" s="10">
        <v>3.6071466895589599</v>
      </c>
      <c r="O80" s="10">
        <v>3.6128150130856298</v>
      </c>
      <c r="P80" s="10">
        <v>3.6081168546982401</v>
      </c>
      <c r="Q80" s="10">
        <v>3.6079758234006598</v>
      </c>
      <c r="R80" s="8">
        <v>336.67823106945002</v>
      </c>
      <c r="S80" s="8">
        <v>336.245679616085</v>
      </c>
      <c r="T80" s="8">
        <v>336.23063010660599</v>
      </c>
      <c r="U80" s="9">
        <v>1.57018137345154E-3</v>
      </c>
      <c r="V80" s="9">
        <v>2.8459319306085699E-4</v>
      </c>
      <c r="W80" s="9">
        <v>2.3983471082651901E-4</v>
      </c>
      <c r="X80" s="10">
        <v>3.6071466895589599</v>
      </c>
      <c r="Y80" s="10">
        <v>3.6128150130856298</v>
      </c>
      <c r="Z80" s="10">
        <v>3.6081168546982401</v>
      </c>
      <c r="AA80" s="10">
        <v>3.6079758234006598</v>
      </c>
      <c r="AB80" s="8">
        <v>336.67823106945002</v>
      </c>
      <c r="AC80" s="8">
        <v>336.245679616085</v>
      </c>
      <c r="AD80" s="8">
        <v>336.23063010660599</v>
      </c>
      <c r="AE80" s="9">
        <v>1.57018137345154E-3</v>
      </c>
      <c r="AF80" s="9">
        <v>2.8459319306085699E-4</v>
      </c>
      <c r="AG80" s="9">
        <v>2.3983471082651901E-4</v>
      </c>
      <c r="AZ80" s="9"/>
      <c r="BB80">
        <f t="shared" si="2"/>
        <v>0</v>
      </c>
      <c r="BC80">
        <f t="shared" si="3"/>
        <v>1</v>
      </c>
      <c r="BD80">
        <f t="shared" si="4"/>
        <v>0</v>
      </c>
      <c r="BE80">
        <f t="shared" si="0"/>
        <v>1</v>
      </c>
      <c r="BF80">
        <f t="shared" si="5"/>
        <v>0</v>
      </c>
      <c r="BG80" s="9">
        <f t="shared" si="6"/>
        <v>0</v>
      </c>
      <c r="BH80" s="9">
        <f t="shared" si="7"/>
        <v>0</v>
      </c>
      <c r="BI80" s="9">
        <f t="shared" si="8"/>
        <v>0</v>
      </c>
      <c r="BJ80" s="12">
        <f t="shared" si="9"/>
        <v>9.2117612421798085E-4</v>
      </c>
      <c r="BL80" s="9"/>
      <c r="BN80">
        <f t="shared" si="10"/>
        <v>0</v>
      </c>
      <c r="BO80">
        <f t="shared" si="11"/>
        <v>0</v>
      </c>
      <c r="BP80">
        <f t="shared" si="12"/>
        <v>0</v>
      </c>
      <c r="BQ80">
        <f t="shared" si="1"/>
        <v>1</v>
      </c>
      <c r="BR80">
        <f t="shared" si="13"/>
        <v>0</v>
      </c>
      <c r="BS80" s="9">
        <f t="shared" si="14"/>
        <v>0</v>
      </c>
      <c r="BT80" s="9">
        <f t="shared" si="15"/>
        <v>0</v>
      </c>
      <c r="BU80" s="9">
        <f t="shared" si="16"/>
        <v>0</v>
      </c>
      <c r="BV80" s="12">
        <f t="shared" si="17"/>
        <v>2.2425974143792096E-3</v>
      </c>
      <c r="BX80" s="12">
        <f t="shared" si="18"/>
        <v>0</v>
      </c>
      <c r="BY80" s="12">
        <f t="shared" si="19"/>
        <v>3.1637735385971902E-3</v>
      </c>
    </row>
    <row r="81" spans="1:77" x14ac:dyDescent="0.3">
      <c r="A81" s="1">
        <v>46140</v>
      </c>
      <c r="B81" s="8">
        <v>92.22</v>
      </c>
      <c r="C81" s="8">
        <v>332.88</v>
      </c>
      <c r="D81" s="9">
        <v>-1.04633930190046E-2</v>
      </c>
      <c r="E81" s="9">
        <v>-9.7754242403597594E-3</v>
      </c>
      <c r="F81" s="8">
        <v>0</v>
      </c>
      <c r="G81" s="8">
        <v>0.26500000000000001</v>
      </c>
      <c r="H81" s="8">
        <v>0</v>
      </c>
      <c r="I81" s="8">
        <v>0.77029999999999998</v>
      </c>
      <c r="J81" s="8">
        <v>0</v>
      </c>
      <c r="K81" s="8">
        <v>0</v>
      </c>
      <c r="L81" s="8">
        <v>92.22</v>
      </c>
      <c r="M81" s="8">
        <v>332.88</v>
      </c>
      <c r="N81" s="10">
        <v>3.6096291476903</v>
      </c>
      <c r="O81" s="10">
        <v>3.6128150130856298</v>
      </c>
      <c r="P81" s="10">
        <v>3.6084006777791799</v>
      </c>
      <c r="Q81" s="10">
        <v>3.6080305535559098</v>
      </c>
      <c r="R81" s="8">
        <v>333.173800506757</v>
      </c>
      <c r="S81" s="8">
        <v>332.740536340272</v>
      </c>
      <c r="T81" s="8">
        <v>332.727530434009</v>
      </c>
      <c r="U81" s="9">
        <v>8.8221259480662296E-4</v>
      </c>
      <c r="V81" s="9">
        <v>-4.1904855440674798E-4</v>
      </c>
      <c r="W81" s="9">
        <v>-4.5813654950086901E-4</v>
      </c>
      <c r="X81" s="10">
        <v>3.6096291476903</v>
      </c>
      <c r="Y81" s="10">
        <v>3.6128150130856298</v>
      </c>
      <c r="Z81" s="10">
        <v>3.6084006777791799</v>
      </c>
      <c r="AA81" s="10">
        <v>3.6080305535559098</v>
      </c>
      <c r="AB81" s="8">
        <v>333.173800506757</v>
      </c>
      <c r="AC81" s="8">
        <v>332.740536340272</v>
      </c>
      <c r="AD81" s="8">
        <v>332.727530434009</v>
      </c>
      <c r="AE81" s="9">
        <v>8.8221259480662296E-4</v>
      </c>
      <c r="AF81" s="9">
        <v>-4.1904855440674798E-4</v>
      </c>
      <c r="AG81" s="9">
        <v>-4.5813654950086901E-4</v>
      </c>
      <c r="AZ81" s="9"/>
      <c r="BB81">
        <f t="shared" si="2"/>
        <v>0</v>
      </c>
      <c r="BC81">
        <f t="shared" si="3"/>
        <v>0</v>
      </c>
      <c r="BD81">
        <f t="shared" si="4"/>
        <v>0</v>
      </c>
      <c r="BE81">
        <f t="shared" si="0"/>
        <v>1</v>
      </c>
      <c r="BF81">
        <f t="shared" si="5"/>
        <v>0</v>
      </c>
      <c r="BG81" s="9">
        <f t="shared" si="6"/>
        <v>0</v>
      </c>
      <c r="BH81" s="9">
        <f t="shared" si="7"/>
        <v>0</v>
      </c>
      <c r="BI81" s="9">
        <f t="shared" si="8"/>
        <v>0</v>
      </c>
      <c r="BJ81" s="12">
        <f t="shared" si="9"/>
        <v>9.2117612421798085E-4</v>
      </c>
      <c r="BL81" s="9"/>
      <c r="BN81">
        <f t="shared" si="10"/>
        <v>0</v>
      </c>
      <c r="BO81">
        <f t="shared" si="11"/>
        <v>1</v>
      </c>
      <c r="BP81">
        <f t="shared" si="12"/>
        <v>0</v>
      </c>
      <c r="BQ81">
        <f t="shared" si="1"/>
        <v>1</v>
      </c>
      <c r="BR81">
        <f t="shared" si="13"/>
        <v>0</v>
      </c>
      <c r="BS81" s="9">
        <f t="shared" si="14"/>
        <v>0</v>
      </c>
      <c r="BT81" s="9">
        <f t="shared" si="15"/>
        <v>0</v>
      </c>
      <c r="BU81" s="9">
        <f t="shared" si="16"/>
        <v>0</v>
      </c>
      <c r="BV81" s="12">
        <f t="shared" si="17"/>
        <v>2.2425974143792096E-3</v>
      </c>
      <c r="BX81" s="12">
        <f t="shared" si="18"/>
        <v>0</v>
      </c>
      <c r="BY81" s="12">
        <f t="shared" si="19"/>
        <v>3.1637735385971902E-3</v>
      </c>
    </row>
    <row r="82" spans="1:77" x14ac:dyDescent="0.3">
      <c r="A82" s="1">
        <v>46141</v>
      </c>
      <c r="B82" s="8">
        <v>91.67</v>
      </c>
      <c r="C82" s="8">
        <v>330.82</v>
      </c>
      <c r="D82" s="9">
        <v>-5.9818548048752498E-3</v>
      </c>
      <c r="E82" s="9">
        <v>-6.2076438606107403E-3</v>
      </c>
      <c r="F82" s="8">
        <v>0</v>
      </c>
      <c r="G82" s="8">
        <v>0.26500000000000001</v>
      </c>
      <c r="H82" s="8">
        <v>0</v>
      </c>
      <c r="I82" s="8">
        <v>0.77029999999999998</v>
      </c>
      <c r="J82" s="8">
        <v>0</v>
      </c>
      <c r="K82" s="8">
        <v>0</v>
      </c>
      <c r="L82" s="8">
        <v>91.67</v>
      </c>
      <c r="M82" s="8">
        <v>330.82</v>
      </c>
      <c r="N82" s="10">
        <v>3.6088142249372699</v>
      </c>
      <c r="O82" s="10">
        <v>3.6128150130856298</v>
      </c>
      <c r="P82" s="10">
        <v>3.6085011892100098</v>
      </c>
      <c r="Q82" s="10">
        <v>3.6080389948074001</v>
      </c>
      <c r="R82" s="8">
        <v>331.18675224956002</v>
      </c>
      <c r="S82" s="8">
        <v>330.78209013201803</v>
      </c>
      <c r="T82" s="8">
        <v>330.74816084447099</v>
      </c>
      <c r="U82" s="9">
        <v>1.1080016505424801E-3</v>
      </c>
      <c r="V82" s="9">
        <v>-1.14600206343366E-4</v>
      </c>
      <c r="W82" s="9">
        <v>-2.17178395403732E-4</v>
      </c>
      <c r="X82" s="10">
        <v>3.6088142249372699</v>
      </c>
      <c r="Y82" s="10">
        <v>3.6128150130856298</v>
      </c>
      <c r="Z82" s="10">
        <v>3.6085011892100098</v>
      </c>
      <c r="AA82" s="10">
        <v>3.6080389948074001</v>
      </c>
      <c r="AB82" s="8">
        <v>331.18675224956002</v>
      </c>
      <c r="AC82" s="8">
        <v>330.78209013201803</v>
      </c>
      <c r="AD82" s="8">
        <v>330.74816084447099</v>
      </c>
      <c r="AE82" s="9">
        <v>1.1080016505424801E-3</v>
      </c>
      <c r="AF82" s="9">
        <v>-1.14600206343366E-4</v>
      </c>
      <c r="AG82" s="9">
        <v>-2.17178395403732E-4</v>
      </c>
      <c r="AZ82" s="9"/>
      <c r="BB82">
        <f t="shared" si="2"/>
        <v>0</v>
      </c>
      <c r="BC82">
        <f t="shared" si="3"/>
        <v>0</v>
      </c>
      <c r="BD82">
        <f t="shared" si="4"/>
        <v>0</v>
      </c>
      <c r="BE82">
        <f t="shared" si="0"/>
        <v>1</v>
      </c>
      <c r="BF82">
        <f t="shared" si="5"/>
        <v>0</v>
      </c>
      <c r="BG82" s="9">
        <f t="shared" si="6"/>
        <v>0</v>
      </c>
      <c r="BH82" s="9">
        <f t="shared" si="7"/>
        <v>0</v>
      </c>
      <c r="BI82" s="9">
        <f t="shared" si="8"/>
        <v>0</v>
      </c>
      <c r="BJ82" s="12">
        <f t="shared" si="9"/>
        <v>9.2117612421798085E-4</v>
      </c>
      <c r="BL82" s="9"/>
      <c r="BN82">
        <f t="shared" si="10"/>
        <v>0</v>
      </c>
      <c r="BO82">
        <f t="shared" si="11"/>
        <v>1</v>
      </c>
      <c r="BP82">
        <f t="shared" si="12"/>
        <v>0</v>
      </c>
      <c r="BQ82">
        <f t="shared" si="1"/>
        <v>1</v>
      </c>
      <c r="BR82">
        <f t="shared" si="13"/>
        <v>0</v>
      </c>
      <c r="BS82" s="9">
        <f t="shared" si="14"/>
        <v>0</v>
      </c>
      <c r="BT82" s="9">
        <f t="shared" si="15"/>
        <v>0</v>
      </c>
      <c r="BU82" s="9">
        <f t="shared" si="16"/>
        <v>0</v>
      </c>
      <c r="BV82" s="12">
        <f t="shared" si="17"/>
        <v>2.2425974143792096E-3</v>
      </c>
      <c r="BX82" s="12">
        <f t="shared" si="18"/>
        <v>0</v>
      </c>
      <c r="BY82" s="12">
        <f t="shared" si="19"/>
        <v>3.1637735385971902E-3</v>
      </c>
    </row>
    <row r="83" spans="1:77" x14ac:dyDescent="0.3">
      <c r="A83" s="1">
        <v>46142</v>
      </c>
      <c r="B83" s="8">
        <v>94.34</v>
      </c>
      <c r="C83" s="8">
        <v>340.02</v>
      </c>
      <c r="D83" s="9">
        <v>2.8710105882431301E-2</v>
      </c>
      <c r="E83" s="9">
        <v>2.7430018595507599E-2</v>
      </c>
      <c r="F83" s="8">
        <v>0</v>
      </c>
      <c r="G83" s="8">
        <v>0.26500000000000001</v>
      </c>
      <c r="H83" s="8">
        <v>0</v>
      </c>
      <c r="I83" s="8">
        <v>0.77029999999999998</v>
      </c>
      <c r="J83" s="8">
        <v>0</v>
      </c>
      <c r="K83" s="8">
        <v>0</v>
      </c>
      <c r="L83" s="8">
        <v>94.34</v>
      </c>
      <c r="M83" s="8">
        <v>340.02</v>
      </c>
      <c r="N83" s="10">
        <v>3.6041975832096602</v>
      </c>
      <c r="O83" s="10">
        <v>3.6128150130856298</v>
      </c>
      <c r="P83" s="10">
        <v>3.6079841283588601</v>
      </c>
      <c r="Q83" s="10">
        <v>3.60784646405541</v>
      </c>
      <c r="R83" s="8">
        <v>340.83296833449901</v>
      </c>
      <c r="S83" s="8">
        <v>340.42600219007198</v>
      </c>
      <c r="T83" s="8">
        <v>340.38239877013001</v>
      </c>
      <c r="U83" s="9">
        <v>2.3880889374660601E-3</v>
      </c>
      <c r="V83" s="9">
        <v>1.19334153466023E-3</v>
      </c>
      <c r="W83" s="9">
        <v>1.0652484619550001E-3</v>
      </c>
      <c r="X83" s="10">
        <v>3.6041975832096602</v>
      </c>
      <c r="Y83" s="10">
        <v>3.6128150130856298</v>
      </c>
      <c r="Z83" s="10">
        <v>3.6079841283588601</v>
      </c>
      <c r="AA83" s="10">
        <v>3.60784646405541</v>
      </c>
      <c r="AB83" s="8">
        <v>340.83296833449901</v>
      </c>
      <c r="AC83" s="8">
        <v>340.42600219007198</v>
      </c>
      <c r="AD83" s="8">
        <v>340.38239877013001</v>
      </c>
      <c r="AE83" s="9">
        <v>2.3880889374660601E-3</v>
      </c>
      <c r="AF83" s="9">
        <v>1.19334153466023E-3</v>
      </c>
      <c r="AG83" s="9">
        <v>1.0652484619550001E-3</v>
      </c>
      <c r="AZ83" s="9"/>
      <c r="BB83">
        <f t="shared" si="2"/>
        <v>0</v>
      </c>
      <c r="BC83">
        <f t="shared" si="3"/>
        <v>1</v>
      </c>
      <c r="BD83">
        <f t="shared" si="4"/>
        <v>0</v>
      </c>
      <c r="BE83">
        <f t="shared" si="0"/>
        <v>1</v>
      </c>
      <c r="BF83">
        <f t="shared" si="5"/>
        <v>0</v>
      </c>
      <c r="BG83" s="9">
        <f t="shared" si="6"/>
        <v>0</v>
      </c>
      <c r="BH83" s="9">
        <f t="shared" si="7"/>
        <v>0</v>
      </c>
      <c r="BI83" s="9">
        <f t="shared" si="8"/>
        <v>0</v>
      </c>
      <c r="BJ83" s="12">
        <f t="shared" si="9"/>
        <v>9.2117612421798085E-4</v>
      </c>
      <c r="BL83" s="9"/>
      <c r="BN83">
        <f t="shared" si="10"/>
        <v>0</v>
      </c>
      <c r="BO83">
        <f t="shared" si="11"/>
        <v>0</v>
      </c>
      <c r="BP83">
        <f t="shared" si="12"/>
        <v>0</v>
      </c>
      <c r="BQ83">
        <f t="shared" si="1"/>
        <v>1</v>
      </c>
      <c r="BR83">
        <f t="shared" si="13"/>
        <v>0</v>
      </c>
      <c r="BS83" s="9">
        <f t="shared" si="14"/>
        <v>0</v>
      </c>
      <c r="BT83" s="9">
        <f t="shared" si="15"/>
        <v>0</v>
      </c>
      <c r="BU83" s="9">
        <f t="shared" si="16"/>
        <v>0</v>
      </c>
      <c r="BV83" s="12">
        <f t="shared" si="17"/>
        <v>2.2425974143792096E-3</v>
      </c>
      <c r="BX83" s="12">
        <f t="shared" si="18"/>
        <v>0</v>
      </c>
      <c r="BY83" s="12">
        <f t="shared" si="19"/>
        <v>3.1637735385971902E-3</v>
      </c>
    </row>
    <row r="84" spans="1:77" x14ac:dyDescent="0.3">
      <c r="A84" s="1">
        <v>46143</v>
      </c>
      <c r="B84" s="8">
        <v>93.52</v>
      </c>
      <c r="C84" s="8">
        <v>337.52</v>
      </c>
      <c r="D84" s="9">
        <v>-8.7299606923026702E-3</v>
      </c>
      <c r="E84" s="9">
        <v>-7.3796715934996704E-3</v>
      </c>
      <c r="F84" s="8">
        <v>0</v>
      </c>
      <c r="G84" s="8">
        <v>0.26500000000000001</v>
      </c>
      <c r="H84" s="8">
        <v>0</v>
      </c>
      <c r="I84" s="8">
        <v>0.77029999999999998</v>
      </c>
      <c r="J84" s="8">
        <v>0</v>
      </c>
      <c r="K84" s="8">
        <v>0</v>
      </c>
      <c r="L84" s="8">
        <v>93.52</v>
      </c>
      <c r="M84" s="8">
        <v>337.52</v>
      </c>
      <c r="N84" s="10">
        <v>3.60906757912745</v>
      </c>
      <c r="O84" s="10">
        <v>3.6128150130856298</v>
      </c>
      <c r="P84" s="10">
        <v>3.6079632385212599</v>
      </c>
      <c r="Q84" s="10">
        <v>3.6078938211139802</v>
      </c>
      <c r="R84" s="8">
        <v>337.87046002376798</v>
      </c>
      <c r="S84" s="8">
        <v>337.41867568411999</v>
      </c>
      <c r="T84" s="8">
        <v>337.40580131846201</v>
      </c>
      <c r="U84" s="9">
        <v>1.03779983866292E-3</v>
      </c>
      <c r="V84" s="9">
        <v>-3.0024747518742501E-4</v>
      </c>
      <c r="W84" s="9">
        <v>-3.3840366571835499E-4</v>
      </c>
      <c r="X84" s="10">
        <v>3.60906757912745</v>
      </c>
      <c r="Y84" s="10">
        <v>3.6128150130856298</v>
      </c>
      <c r="Z84" s="10">
        <v>3.6079632385212599</v>
      </c>
      <c r="AA84" s="10">
        <v>3.6078938211139802</v>
      </c>
      <c r="AB84" s="8">
        <v>337.87046002376798</v>
      </c>
      <c r="AC84" s="8">
        <v>337.41867568411999</v>
      </c>
      <c r="AD84" s="8">
        <v>337.40580131846201</v>
      </c>
      <c r="AE84" s="9">
        <v>1.03779983866292E-3</v>
      </c>
      <c r="AF84" s="9">
        <v>-3.0024747518742501E-4</v>
      </c>
      <c r="AG84" s="9">
        <v>-3.3840366571835499E-4</v>
      </c>
      <c r="AZ84" s="9"/>
      <c r="BB84">
        <f t="shared" si="2"/>
        <v>0</v>
      </c>
      <c r="BC84">
        <f t="shared" si="3"/>
        <v>0</v>
      </c>
      <c r="BD84">
        <f t="shared" si="4"/>
        <v>0</v>
      </c>
      <c r="BE84">
        <f t="shared" si="0"/>
        <v>1</v>
      </c>
      <c r="BF84">
        <f t="shared" si="5"/>
        <v>0</v>
      </c>
      <c r="BG84" s="9">
        <f t="shared" si="6"/>
        <v>0</v>
      </c>
      <c r="BH84" s="9">
        <f t="shared" si="7"/>
        <v>0</v>
      </c>
      <c r="BI84" s="9">
        <f t="shared" si="8"/>
        <v>0</v>
      </c>
      <c r="BJ84" s="12">
        <f t="shared" si="9"/>
        <v>9.2117612421798085E-4</v>
      </c>
      <c r="BL84" s="9"/>
      <c r="BN84">
        <f t="shared" si="10"/>
        <v>0</v>
      </c>
      <c r="BO84">
        <f t="shared" si="11"/>
        <v>1</v>
      </c>
      <c r="BP84">
        <f t="shared" si="12"/>
        <v>0</v>
      </c>
      <c r="BQ84">
        <f t="shared" si="1"/>
        <v>1</v>
      </c>
      <c r="BR84">
        <f t="shared" si="13"/>
        <v>0</v>
      </c>
      <c r="BS84" s="9">
        <f t="shared" si="14"/>
        <v>0</v>
      </c>
      <c r="BT84" s="9">
        <f t="shared" si="15"/>
        <v>0</v>
      </c>
      <c r="BU84" s="9">
        <f t="shared" si="16"/>
        <v>0</v>
      </c>
      <c r="BV84" s="12">
        <f t="shared" si="17"/>
        <v>2.2425974143792096E-3</v>
      </c>
      <c r="BX84" s="12">
        <f t="shared" si="18"/>
        <v>0</v>
      </c>
      <c r="BY84" s="12">
        <f t="shared" si="19"/>
        <v>3.1637735385971902E-3</v>
      </c>
    </row>
    <row r="85" spans="1:77" x14ac:dyDescent="0.3">
      <c r="A85" s="1">
        <v>46146</v>
      </c>
      <c r="B85" s="8">
        <v>92.46</v>
      </c>
      <c r="C85" s="8">
        <v>333.6</v>
      </c>
      <c r="D85" s="9">
        <v>-1.13991986037335E-2</v>
      </c>
      <c r="E85" s="9">
        <v>-1.16820973314913E-2</v>
      </c>
      <c r="F85" s="8">
        <v>0</v>
      </c>
      <c r="G85" s="8">
        <v>0.26500000000000001</v>
      </c>
      <c r="H85" s="8">
        <v>0</v>
      </c>
      <c r="I85" s="8">
        <v>0.77029999999999998</v>
      </c>
      <c r="J85" s="8">
        <v>0</v>
      </c>
      <c r="K85" s="8">
        <v>0</v>
      </c>
      <c r="L85" s="8">
        <v>92.46</v>
      </c>
      <c r="M85" s="8">
        <v>333.6</v>
      </c>
      <c r="N85" s="10">
        <v>3.6080467229072002</v>
      </c>
      <c r="O85" s="10">
        <v>3.6128150130856298</v>
      </c>
      <c r="P85" s="10">
        <v>3.6082082768083601</v>
      </c>
      <c r="Q85" s="10">
        <v>3.6077841227452598</v>
      </c>
      <c r="R85" s="8">
        <v>334.04087610989802</v>
      </c>
      <c r="S85" s="8">
        <v>333.59228103367502</v>
      </c>
      <c r="T85" s="8">
        <v>333.58586270019799</v>
      </c>
      <c r="U85" s="9">
        <v>1.3206985664206501E-3</v>
      </c>
      <c r="V85" s="9">
        <v>-2.3138655958480199E-5</v>
      </c>
      <c r="W85" s="9">
        <v>-4.23788949789224E-5</v>
      </c>
      <c r="X85" s="10">
        <v>3.6080467229072002</v>
      </c>
      <c r="Y85" s="10">
        <v>3.6128150130856298</v>
      </c>
      <c r="Z85" s="10">
        <v>3.6082082768083601</v>
      </c>
      <c r="AA85" s="10">
        <v>3.6077841227452598</v>
      </c>
      <c r="AB85" s="8">
        <v>334.04087610989802</v>
      </c>
      <c r="AC85" s="8">
        <v>333.59228103367502</v>
      </c>
      <c r="AD85" s="8">
        <v>333.58586270019799</v>
      </c>
      <c r="AE85" s="9">
        <v>1.3206985664206501E-3</v>
      </c>
      <c r="AF85" s="9">
        <v>-2.3138655958480199E-5</v>
      </c>
      <c r="AG85" s="9">
        <v>-4.23788949789224E-5</v>
      </c>
      <c r="AZ85" s="9"/>
      <c r="BB85">
        <f t="shared" si="2"/>
        <v>0</v>
      </c>
      <c r="BC85">
        <f t="shared" si="3"/>
        <v>0</v>
      </c>
      <c r="BD85">
        <f t="shared" si="4"/>
        <v>0</v>
      </c>
      <c r="BE85">
        <f t="shared" si="0"/>
        <v>1</v>
      </c>
      <c r="BF85">
        <f t="shared" si="5"/>
        <v>0</v>
      </c>
      <c r="BG85" s="9">
        <f t="shared" si="6"/>
        <v>0</v>
      </c>
      <c r="BH85" s="9">
        <f t="shared" si="7"/>
        <v>0</v>
      </c>
      <c r="BI85" s="9">
        <f t="shared" si="8"/>
        <v>0</v>
      </c>
      <c r="BJ85" s="12">
        <f t="shared" si="9"/>
        <v>9.2117612421798085E-4</v>
      </c>
      <c r="BL85" s="9"/>
      <c r="BN85">
        <f t="shared" si="10"/>
        <v>0</v>
      </c>
      <c r="BO85">
        <f t="shared" si="11"/>
        <v>1</v>
      </c>
      <c r="BP85">
        <f t="shared" si="12"/>
        <v>0</v>
      </c>
      <c r="BQ85">
        <f t="shared" si="1"/>
        <v>1</v>
      </c>
      <c r="BR85">
        <f t="shared" si="13"/>
        <v>0</v>
      </c>
      <c r="BS85" s="9">
        <f t="shared" si="14"/>
        <v>0</v>
      </c>
      <c r="BT85" s="9">
        <f t="shared" si="15"/>
        <v>0</v>
      </c>
      <c r="BU85" s="9">
        <f t="shared" si="16"/>
        <v>0</v>
      </c>
      <c r="BV85" s="12">
        <f t="shared" si="17"/>
        <v>2.2425974143792096E-3</v>
      </c>
      <c r="BX85" s="12">
        <f t="shared" si="18"/>
        <v>0</v>
      </c>
      <c r="BY85" s="12">
        <f t="shared" si="19"/>
        <v>3.1637735385971902E-3</v>
      </c>
    </row>
    <row r="86" spans="1:77" x14ac:dyDescent="0.3">
      <c r="A86" s="1">
        <v>46147</v>
      </c>
      <c r="B86" s="8">
        <v>93.48</v>
      </c>
      <c r="C86" s="8">
        <v>337.38</v>
      </c>
      <c r="D86" s="9">
        <v>1.0971391110577801E-2</v>
      </c>
      <c r="E86" s="9">
        <v>1.12672210475735E-2</v>
      </c>
      <c r="F86" s="8">
        <v>0</v>
      </c>
      <c r="G86" s="8">
        <v>0.26500000000000001</v>
      </c>
      <c r="H86" s="8">
        <v>0</v>
      </c>
      <c r="I86" s="8">
        <v>0.77029999999999998</v>
      </c>
      <c r="J86" s="8">
        <v>0</v>
      </c>
      <c r="K86" s="8">
        <v>0</v>
      </c>
      <c r="L86" s="8">
        <v>93.48</v>
      </c>
      <c r="M86" s="8">
        <v>337.38</v>
      </c>
      <c r="N86" s="10">
        <v>3.6091142490372201</v>
      </c>
      <c r="O86" s="10">
        <v>3.6128150130856298</v>
      </c>
      <c r="P86" s="10">
        <v>3.6080385623076801</v>
      </c>
      <c r="Q86" s="10">
        <v>3.6077234566711902</v>
      </c>
      <c r="R86" s="8">
        <v>337.72594742324497</v>
      </c>
      <c r="S86" s="8">
        <v>337.29530971604498</v>
      </c>
      <c r="T86" s="8">
        <v>337.25565979422697</v>
      </c>
      <c r="U86" s="9">
        <v>1.0248686294251901E-3</v>
      </c>
      <c r="V86" s="9">
        <v>-2.5105493910698501E-4</v>
      </c>
      <c r="W86" s="9">
        <v>-3.6861439319265299E-4</v>
      </c>
      <c r="X86" s="10">
        <v>3.6091142490372201</v>
      </c>
      <c r="Y86" s="10">
        <v>3.6128150130856298</v>
      </c>
      <c r="Z86" s="10">
        <v>3.6080385623076801</v>
      </c>
      <c r="AA86" s="10">
        <v>3.6077234566711902</v>
      </c>
      <c r="AB86" s="8">
        <v>337.72594742324497</v>
      </c>
      <c r="AC86" s="8">
        <v>337.29530971604498</v>
      </c>
      <c r="AD86" s="8">
        <v>337.25565979422697</v>
      </c>
      <c r="AE86" s="9">
        <v>1.0248686294251901E-3</v>
      </c>
      <c r="AF86" s="9">
        <v>-2.5105493910698501E-4</v>
      </c>
      <c r="AG86" s="9">
        <v>-3.6861439319265299E-4</v>
      </c>
      <c r="AZ86" s="9"/>
      <c r="BB86">
        <f t="shared" si="2"/>
        <v>0</v>
      </c>
      <c r="BC86">
        <f t="shared" si="3"/>
        <v>0</v>
      </c>
      <c r="BD86">
        <f t="shared" si="4"/>
        <v>0</v>
      </c>
      <c r="BE86">
        <f t="shared" ref="BE86:BE149" si="20">IF(F87+H87&gt;0,0,1)</f>
        <v>1</v>
      </c>
      <c r="BF86">
        <f t="shared" si="5"/>
        <v>0</v>
      </c>
      <c r="BG86" s="9">
        <f t="shared" si="6"/>
        <v>0</v>
      </c>
      <c r="BH86" s="9">
        <f t="shared" si="7"/>
        <v>0</v>
      </c>
      <c r="BI86" s="9">
        <f t="shared" si="8"/>
        <v>0</v>
      </c>
      <c r="BJ86" s="12">
        <f t="shared" si="9"/>
        <v>9.2117612421798085E-4</v>
      </c>
      <c r="BL86" s="9"/>
      <c r="BN86">
        <f t="shared" si="10"/>
        <v>0</v>
      </c>
      <c r="BO86">
        <f t="shared" si="11"/>
        <v>1</v>
      </c>
      <c r="BP86">
        <f t="shared" si="12"/>
        <v>0</v>
      </c>
      <c r="BQ86">
        <f t="shared" ref="BQ86:BQ149" si="21">IF(F87+H87&gt;0,0,1)</f>
        <v>1</v>
      </c>
      <c r="BR86">
        <f t="shared" si="13"/>
        <v>0</v>
      </c>
      <c r="BS86" s="9">
        <f t="shared" si="14"/>
        <v>0</v>
      </c>
      <c r="BT86" s="9">
        <f t="shared" si="15"/>
        <v>0</v>
      </c>
      <c r="BU86" s="9">
        <f t="shared" si="16"/>
        <v>0</v>
      </c>
      <c r="BV86" s="12">
        <f t="shared" si="17"/>
        <v>2.2425974143792096E-3</v>
      </c>
      <c r="BX86" s="12">
        <f t="shared" si="18"/>
        <v>0</v>
      </c>
      <c r="BY86" s="12">
        <f t="shared" si="19"/>
        <v>3.1637735385971902E-3</v>
      </c>
    </row>
    <row r="87" spans="1:77" x14ac:dyDescent="0.3">
      <c r="A87" s="1">
        <v>46148</v>
      </c>
      <c r="B87" s="8">
        <v>95.73</v>
      </c>
      <c r="C87" s="8">
        <v>345.38</v>
      </c>
      <c r="D87" s="9">
        <v>2.3784219287604599E-2</v>
      </c>
      <c r="E87" s="9">
        <v>2.34353686243585E-2</v>
      </c>
      <c r="F87" s="8">
        <v>0</v>
      </c>
      <c r="G87" s="8">
        <v>0.26500000000000001</v>
      </c>
      <c r="H87" s="8">
        <v>0</v>
      </c>
      <c r="I87" s="8">
        <v>0.77029999999999998</v>
      </c>
      <c r="J87" s="8">
        <v>0</v>
      </c>
      <c r="K87" s="8">
        <v>0</v>
      </c>
      <c r="L87" s="8">
        <v>95.73</v>
      </c>
      <c r="M87" s="8">
        <v>345.38</v>
      </c>
      <c r="N87" s="10">
        <v>3.6078554267209801</v>
      </c>
      <c r="O87" s="10">
        <v>3.6128150130856298</v>
      </c>
      <c r="P87" s="10">
        <v>3.6079080414602802</v>
      </c>
      <c r="Q87" s="10">
        <v>3.6077606481385298</v>
      </c>
      <c r="R87" s="8">
        <v>345.854781202688</v>
      </c>
      <c r="S87" s="8">
        <v>345.39753156971398</v>
      </c>
      <c r="T87" s="8">
        <v>345.367366507133</v>
      </c>
      <c r="U87" s="9">
        <v>1.3737192926711499E-3</v>
      </c>
      <c r="V87" s="9">
        <v>5.0758946020316497E-5</v>
      </c>
      <c r="W87" s="9">
        <v>-3.6579199518408498E-5</v>
      </c>
      <c r="X87" s="10">
        <v>3.6078554267209801</v>
      </c>
      <c r="Y87" s="10">
        <v>3.6128150130856298</v>
      </c>
      <c r="Z87" s="10">
        <v>3.6079080414602802</v>
      </c>
      <c r="AA87" s="10">
        <v>3.6077606481385298</v>
      </c>
      <c r="AB87" s="8">
        <v>345.854781202688</v>
      </c>
      <c r="AC87" s="8">
        <v>345.39753156971398</v>
      </c>
      <c r="AD87" s="8">
        <v>345.367366507133</v>
      </c>
      <c r="AE87" s="9">
        <v>1.3737192926711499E-3</v>
      </c>
      <c r="AF87" s="9">
        <v>5.0758946020316497E-5</v>
      </c>
      <c r="AG87" s="9">
        <v>-3.6579199518408498E-5</v>
      </c>
      <c r="AZ87" s="9"/>
      <c r="BB87">
        <f t="shared" ref="BB87:BB150" si="22">IF($AG87&lt;BA$20,1,0)</f>
        <v>0</v>
      </c>
      <c r="BC87">
        <f t="shared" ref="BC87:BC150" si="23">IF($AG87&gt;BA$21,1,0)</f>
        <v>0</v>
      </c>
      <c r="BD87">
        <f t="shared" ref="BD87:BD150" si="24">BF87</f>
        <v>0</v>
      </c>
      <c r="BE87">
        <f t="shared" si="20"/>
        <v>1</v>
      </c>
      <c r="BF87">
        <f t="shared" ref="BF87:BF150" si="25">IF(BB86,1,IF(BC86,0,BD86))*BE86</f>
        <v>0</v>
      </c>
      <c r="BG87" s="9">
        <f t="shared" ref="BG87:BG150" si="26">BF87*D87</f>
        <v>0</v>
      </c>
      <c r="BH87" s="9">
        <f t="shared" ref="BH87:BH150" si="27">-BF87*$E87</f>
        <v>0</v>
      </c>
      <c r="BI87" s="9">
        <f t="shared" ref="BI87:BI150" si="28">BG87+BH87</f>
        <v>0</v>
      </c>
      <c r="BJ87" s="12">
        <f t="shared" ref="BJ87:BJ150" si="29">BJ86+BI87</f>
        <v>9.2117612421798085E-4</v>
      </c>
      <c r="BL87" s="9"/>
      <c r="BN87">
        <f t="shared" ref="BN87:BN150" si="30">IF($AG87&gt;BM$20,1,0)</f>
        <v>0</v>
      </c>
      <c r="BO87">
        <f t="shared" ref="BO87:BO150" si="31">IF($AG87&lt;BM$21,1,0)</f>
        <v>1</v>
      </c>
      <c r="BP87">
        <f t="shared" ref="BP87:BP150" si="32">BR87</f>
        <v>0</v>
      </c>
      <c r="BQ87">
        <f t="shared" si="21"/>
        <v>1</v>
      </c>
      <c r="BR87">
        <f t="shared" ref="BR87:BR150" si="33">IF(BN86,1,IF(BO86,0,BP86))*BQ86</f>
        <v>0</v>
      </c>
      <c r="BS87" s="9">
        <f t="shared" ref="BS87:BS150" si="34">-BR87*D87</f>
        <v>0</v>
      </c>
      <c r="BT87" s="9">
        <f t="shared" ref="BT87:BT150" si="35">BR87*$E87</f>
        <v>0</v>
      </c>
      <c r="BU87" s="9">
        <f t="shared" ref="BU87:BU150" si="36">BS87+BT87</f>
        <v>0</v>
      </c>
      <c r="BV87" s="12">
        <f t="shared" ref="BV87:BV150" si="37">BV86+BU87</f>
        <v>2.2425974143792096E-3</v>
      </c>
      <c r="BX87" s="12">
        <f t="shared" ref="BX87:BX150" si="38">BI87+BU87</f>
        <v>0</v>
      </c>
      <c r="BY87" s="12">
        <f t="shared" ref="BY87:BY150" si="39">BY86+BX87</f>
        <v>3.1637735385971902E-3</v>
      </c>
    </row>
    <row r="88" spans="1:77" x14ac:dyDescent="0.3">
      <c r="A88" s="1">
        <v>46149</v>
      </c>
      <c r="B88" s="8">
        <v>93.99</v>
      </c>
      <c r="C88" s="8">
        <v>339.77</v>
      </c>
      <c r="D88" s="9">
        <v>-1.8343335326051799E-2</v>
      </c>
      <c r="E88" s="9">
        <v>-1.6376342044020099E-2</v>
      </c>
      <c r="F88" s="8">
        <v>0</v>
      </c>
      <c r="G88" s="8">
        <v>0.26500000000000001</v>
      </c>
      <c r="H88" s="8">
        <v>0</v>
      </c>
      <c r="I88" s="8">
        <v>0.77029999999999998</v>
      </c>
      <c r="J88" s="8">
        <v>0</v>
      </c>
      <c r="K88" s="8">
        <v>0</v>
      </c>
      <c r="L88" s="8">
        <v>93.99</v>
      </c>
      <c r="M88" s="8">
        <v>339.77</v>
      </c>
      <c r="N88" s="10">
        <v>3.6149590381955501</v>
      </c>
      <c r="O88" s="10">
        <v>3.6128150130856298</v>
      </c>
      <c r="P88" s="10">
        <v>3.6087185472381198</v>
      </c>
      <c r="Q88" s="10">
        <v>3.6082172222320099</v>
      </c>
      <c r="R88" s="8">
        <v>339.56848307991902</v>
      </c>
      <c r="S88" s="8">
        <v>339.10727681685199</v>
      </c>
      <c r="T88" s="8">
        <v>339.09342331853998</v>
      </c>
      <c r="U88" s="9">
        <v>-5.9327398936079301E-4</v>
      </c>
      <c r="V88" s="9">
        <v>-1.9524100048687299E-3</v>
      </c>
      <c r="W88" s="9">
        <v>-1.9932636881827598E-3</v>
      </c>
      <c r="X88" s="10">
        <v>3.6149590381955501</v>
      </c>
      <c r="Y88" s="10">
        <v>3.6128150130856298</v>
      </c>
      <c r="Z88" s="10">
        <v>3.6087185472381198</v>
      </c>
      <c r="AA88" s="10">
        <v>3.6082172222320099</v>
      </c>
      <c r="AB88" s="8">
        <v>339.56848307991902</v>
      </c>
      <c r="AC88" s="8">
        <v>339.10727681685199</v>
      </c>
      <c r="AD88" s="8">
        <v>339.09342331853998</v>
      </c>
      <c r="AE88" s="9">
        <v>-5.9327398936079301E-4</v>
      </c>
      <c r="AF88" s="9">
        <v>-1.9524100048687299E-3</v>
      </c>
      <c r="AG88" s="9">
        <v>-1.9932636881827598E-3</v>
      </c>
      <c r="AZ88" s="9"/>
      <c r="BB88">
        <f t="shared" si="22"/>
        <v>1</v>
      </c>
      <c r="BC88">
        <f t="shared" si="23"/>
        <v>0</v>
      </c>
      <c r="BD88">
        <f t="shared" si="24"/>
        <v>0</v>
      </c>
      <c r="BE88">
        <f t="shared" si="20"/>
        <v>1</v>
      </c>
      <c r="BF88">
        <f t="shared" si="25"/>
        <v>0</v>
      </c>
      <c r="BG88" s="9">
        <f t="shared" si="26"/>
        <v>0</v>
      </c>
      <c r="BH88" s="9">
        <f t="shared" si="27"/>
        <v>0</v>
      </c>
      <c r="BI88" s="9">
        <f t="shared" si="28"/>
        <v>0</v>
      </c>
      <c r="BJ88" s="12">
        <f t="shared" si="29"/>
        <v>9.2117612421798085E-4</v>
      </c>
      <c r="BL88" s="9"/>
      <c r="BN88">
        <f t="shared" si="30"/>
        <v>0</v>
      </c>
      <c r="BO88">
        <f t="shared" si="31"/>
        <v>1</v>
      </c>
      <c r="BP88">
        <f t="shared" si="32"/>
        <v>0</v>
      </c>
      <c r="BQ88">
        <f t="shared" si="21"/>
        <v>1</v>
      </c>
      <c r="BR88">
        <f t="shared" si="33"/>
        <v>0</v>
      </c>
      <c r="BS88" s="9">
        <f t="shared" si="34"/>
        <v>0</v>
      </c>
      <c r="BT88" s="9">
        <f t="shared" si="35"/>
        <v>0</v>
      </c>
      <c r="BU88" s="9">
        <f t="shared" si="36"/>
        <v>0</v>
      </c>
      <c r="BV88" s="12">
        <f t="shared" si="37"/>
        <v>2.2425974143792096E-3</v>
      </c>
      <c r="BX88" s="12">
        <f t="shared" si="38"/>
        <v>0</v>
      </c>
      <c r="BY88" s="12">
        <f t="shared" si="39"/>
        <v>3.1637735385971902E-3</v>
      </c>
    </row>
    <row r="89" spans="1:77" x14ac:dyDescent="0.3">
      <c r="A89" s="1">
        <v>46150</v>
      </c>
      <c r="B89" s="8">
        <v>93.87</v>
      </c>
      <c r="C89" s="8">
        <v>338.87</v>
      </c>
      <c r="D89" s="9">
        <v>-1.27754728330947E-3</v>
      </c>
      <c r="E89" s="9">
        <v>-2.65236510558749E-3</v>
      </c>
      <c r="F89" s="8">
        <v>0</v>
      </c>
      <c r="G89" s="8">
        <v>0.26500000000000001</v>
      </c>
      <c r="H89" s="8">
        <v>0</v>
      </c>
      <c r="I89" s="8">
        <v>0.77029999999999998</v>
      </c>
      <c r="J89" s="8">
        <v>0</v>
      </c>
      <c r="K89" s="8">
        <v>0</v>
      </c>
      <c r="L89" s="8">
        <v>93.87</v>
      </c>
      <c r="M89" s="8">
        <v>338.87</v>
      </c>
      <c r="N89" s="10">
        <v>3.6099925428784401</v>
      </c>
      <c r="O89" s="10">
        <v>3.6128150130856298</v>
      </c>
      <c r="P89" s="10">
        <v>3.6088823204263001</v>
      </c>
      <c r="Q89" s="10">
        <v>3.6085278627353401</v>
      </c>
      <c r="R89" s="8">
        <v>339.13494527834803</v>
      </c>
      <c r="S89" s="8">
        <v>338.750410029242</v>
      </c>
      <c r="T89" s="8">
        <v>338.70335065091899</v>
      </c>
      <c r="U89" s="9">
        <v>7.8154383291733904E-4</v>
      </c>
      <c r="V89" s="9">
        <v>-3.5297039531065599E-4</v>
      </c>
      <c r="W89" s="9">
        <v>-4.9190055152102403E-4</v>
      </c>
      <c r="X89" s="10">
        <v>3.6099925428784401</v>
      </c>
      <c r="Y89" s="10">
        <v>3.6128150130856298</v>
      </c>
      <c r="Z89" s="10">
        <v>3.6088823204263001</v>
      </c>
      <c r="AA89" s="10">
        <v>3.6085278627353401</v>
      </c>
      <c r="AB89" s="8">
        <v>339.13494527834803</v>
      </c>
      <c r="AC89" s="8">
        <v>338.750410029242</v>
      </c>
      <c r="AD89" s="8">
        <v>338.70335065091899</v>
      </c>
      <c r="AE89" s="9">
        <v>7.8154383291733904E-4</v>
      </c>
      <c r="AF89" s="9">
        <v>-3.5297039531065599E-4</v>
      </c>
      <c r="AG89" s="9">
        <v>-4.9190055152102403E-4</v>
      </c>
      <c r="AZ89" s="9"/>
      <c r="BB89">
        <f t="shared" si="22"/>
        <v>0</v>
      </c>
      <c r="BC89">
        <f t="shared" si="23"/>
        <v>0</v>
      </c>
      <c r="BD89">
        <f t="shared" si="24"/>
        <v>1</v>
      </c>
      <c r="BE89">
        <f t="shared" si="20"/>
        <v>1</v>
      </c>
      <c r="BF89">
        <f t="shared" si="25"/>
        <v>1</v>
      </c>
      <c r="BG89" s="9">
        <f t="shared" si="26"/>
        <v>-1.27754728330947E-3</v>
      </c>
      <c r="BH89" s="9">
        <f t="shared" si="27"/>
        <v>2.65236510558749E-3</v>
      </c>
      <c r="BI89" s="9">
        <f t="shared" si="28"/>
        <v>1.3748178222780199E-3</v>
      </c>
      <c r="BJ89" s="12">
        <f t="shared" si="29"/>
        <v>2.295993946496001E-3</v>
      </c>
      <c r="BL89" s="9"/>
      <c r="BN89">
        <f t="shared" si="30"/>
        <v>0</v>
      </c>
      <c r="BO89">
        <f t="shared" si="31"/>
        <v>1</v>
      </c>
      <c r="BP89">
        <f t="shared" si="32"/>
        <v>0</v>
      </c>
      <c r="BQ89">
        <f t="shared" si="21"/>
        <v>1</v>
      </c>
      <c r="BR89">
        <f t="shared" si="33"/>
        <v>0</v>
      </c>
      <c r="BS89" s="9">
        <f t="shared" si="34"/>
        <v>0</v>
      </c>
      <c r="BT89" s="9">
        <f t="shared" si="35"/>
        <v>0</v>
      </c>
      <c r="BU89" s="9">
        <f t="shared" si="36"/>
        <v>0</v>
      </c>
      <c r="BV89" s="12">
        <f t="shared" si="37"/>
        <v>2.2425974143792096E-3</v>
      </c>
      <c r="BX89" s="12">
        <f t="shared" si="38"/>
        <v>1.3748178222780199E-3</v>
      </c>
      <c r="BY89" s="12">
        <f t="shared" si="39"/>
        <v>4.5385913608752097E-3</v>
      </c>
    </row>
    <row r="90" spans="1:77" x14ac:dyDescent="0.3">
      <c r="A90" s="1">
        <v>46153</v>
      </c>
      <c r="B90" s="8">
        <v>94.78</v>
      </c>
      <c r="C90" s="8">
        <v>341.95</v>
      </c>
      <c r="D90" s="9">
        <v>9.6475701905417693E-3</v>
      </c>
      <c r="E90" s="9">
        <v>9.0479745371887695E-3</v>
      </c>
      <c r="F90" s="8">
        <v>0</v>
      </c>
      <c r="G90" s="8">
        <v>0.26500000000000001</v>
      </c>
      <c r="H90" s="8">
        <v>0</v>
      </c>
      <c r="I90" s="8">
        <v>0.77029999999999998</v>
      </c>
      <c r="J90" s="8">
        <v>0</v>
      </c>
      <c r="K90" s="8">
        <v>0</v>
      </c>
      <c r="L90" s="8">
        <v>94.78</v>
      </c>
      <c r="M90" s="8">
        <v>341.95</v>
      </c>
      <c r="N90" s="10">
        <v>3.60782865583456</v>
      </c>
      <c r="O90" s="10">
        <v>3.6128150130856298</v>
      </c>
      <c r="P90" s="10">
        <v>3.6089505170538598</v>
      </c>
      <c r="Q90" s="10">
        <v>3.6085336858760502</v>
      </c>
      <c r="R90" s="8">
        <v>342.422606940256</v>
      </c>
      <c r="S90" s="8">
        <v>342.04986633000499</v>
      </c>
      <c r="T90" s="8">
        <v>342.01627083005502</v>
      </c>
      <c r="U90" s="9">
        <v>1.38113948627032E-3</v>
      </c>
      <c r="V90" s="9">
        <v>2.9200687202203898E-4</v>
      </c>
      <c r="W90" s="9">
        <v>1.9378391329955301E-4</v>
      </c>
      <c r="X90" s="10">
        <v>3.60782865583456</v>
      </c>
      <c r="Y90" s="10">
        <v>3.6128150130856298</v>
      </c>
      <c r="Z90" s="10">
        <v>3.6089505170538598</v>
      </c>
      <c r="AA90" s="10">
        <v>3.6085336858760502</v>
      </c>
      <c r="AB90" s="8">
        <v>342.422606940256</v>
      </c>
      <c r="AC90" s="8">
        <v>342.04986633000499</v>
      </c>
      <c r="AD90" s="8">
        <v>342.01627083005502</v>
      </c>
      <c r="AE90" s="9">
        <v>1.38113948627032E-3</v>
      </c>
      <c r="AF90" s="9">
        <v>2.9200687202203898E-4</v>
      </c>
      <c r="AG90" s="9">
        <v>1.9378391329955301E-4</v>
      </c>
      <c r="AZ90" s="9"/>
      <c r="BB90">
        <f t="shared" si="22"/>
        <v>0</v>
      </c>
      <c r="BC90">
        <f t="shared" si="23"/>
        <v>1</v>
      </c>
      <c r="BD90">
        <f t="shared" si="24"/>
        <v>1</v>
      </c>
      <c r="BE90">
        <f t="shared" si="20"/>
        <v>1</v>
      </c>
      <c r="BF90">
        <f t="shared" si="25"/>
        <v>1</v>
      </c>
      <c r="BG90" s="9">
        <f t="shared" si="26"/>
        <v>9.6475701905417693E-3</v>
      </c>
      <c r="BH90" s="9">
        <f t="shared" si="27"/>
        <v>-9.0479745371887695E-3</v>
      </c>
      <c r="BI90" s="9">
        <f t="shared" si="28"/>
        <v>5.9959565335299982E-4</v>
      </c>
      <c r="BJ90" s="12">
        <f t="shared" si="29"/>
        <v>2.8955895998490008E-3</v>
      </c>
      <c r="BL90" s="9"/>
      <c r="BN90">
        <f t="shared" si="30"/>
        <v>0</v>
      </c>
      <c r="BO90">
        <f t="shared" si="31"/>
        <v>0</v>
      </c>
      <c r="BP90">
        <f t="shared" si="32"/>
        <v>0</v>
      </c>
      <c r="BQ90">
        <f t="shared" si="21"/>
        <v>1</v>
      </c>
      <c r="BR90">
        <f t="shared" si="33"/>
        <v>0</v>
      </c>
      <c r="BS90" s="9">
        <f t="shared" si="34"/>
        <v>0</v>
      </c>
      <c r="BT90" s="9">
        <f t="shared" si="35"/>
        <v>0</v>
      </c>
      <c r="BU90" s="9">
        <f t="shared" si="36"/>
        <v>0</v>
      </c>
      <c r="BV90" s="12">
        <f t="shared" si="37"/>
        <v>2.2425974143792096E-3</v>
      </c>
      <c r="BX90" s="12">
        <f t="shared" si="38"/>
        <v>5.9959565335299982E-4</v>
      </c>
      <c r="BY90" s="12">
        <f t="shared" si="39"/>
        <v>5.1381870142282095E-3</v>
      </c>
    </row>
    <row r="91" spans="1:77" x14ac:dyDescent="0.3">
      <c r="A91" s="1">
        <v>46154</v>
      </c>
      <c r="B91" s="8">
        <v>94.25</v>
      </c>
      <c r="C91" s="8">
        <v>340.19</v>
      </c>
      <c r="D91" s="9">
        <v>-5.6075902113221004E-3</v>
      </c>
      <c r="E91" s="9">
        <v>-5.1602424882085498E-3</v>
      </c>
      <c r="F91" s="8">
        <v>0</v>
      </c>
      <c r="G91" s="8">
        <v>0.26500000000000001</v>
      </c>
      <c r="H91" s="8">
        <v>0</v>
      </c>
      <c r="I91" s="8">
        <v>0.77029999999999998</v>
      </c>
      <c r="J91" s="8">
        <v>0</v>
      </c>
      <c r="K91" s="8">
        <v>0</v>
      </c>
      <c r="L91" s="8">
        <v>94.25</v>
      </c>
      <c r="M91" s="8">
        <v>340.19</v>
      </c>
      <c r="N91" s="10">
        <v>3.6094429708222799</v>
      </c>
      <c r="O91" s="10">
        <v>3.6128150130856298</v>
      </c>
      <c r="P91" s="10">
        <v>3.60893189936706</v>
      </c>
      <c r="Q91" s="10">
        <v>3.60866628857312</v>
      </c>
      <c r="R91" s="8">
        <v>340.507814983321</v>
      </c>
      <c r="S91" s="8">
        <v>340.14358623232698</v>
      </c>
      <c r="T91" s="8">
        <v>340.10429989381799</v>
      </c>
      <c r="U91" s="9">
        <v>9.3379176315682301E-4</v>
      </c>
      <c r="V91" s="9">
        <v>-1.3644414647196601E-4</v>
      </c>
      <c r="W91" s="9">
        <v>-2.5195009468184301E-4</v>
      </c>
      <c r="X91" s="10">
        <v>3.6094429708222799</v>
      </c>
      <c r="Y91" s="10">
        <v>3.6128150130856298</v>
      </c>
      <c r="Z91" s="10">
        <v>3.60893189936706</v>
      </c>
      <c r="AA91" s="10">
        <v>3.60866628857312</v>
      </c>
      <c r="AB91" s="8">
        <v>340.507814983321</v>
      </c>
      <c r="AC91" s="8">
        <v>340.14358623232698</v>
      </c>
      <c r="AD91" s="8">
        <v>340.10429989381799</v>
      </c>
      <c r="AE91" s="9">
        <v>9.3379176315682301E-4</v>
      </c>
      <c r="AF91" s="9">
        <v>-1.3644414647196601E-4</v>
      </c>
      <c r="AG91" s="9">
        <v>-2.5195009468184301E-4</v>
      </c>
      <c r="AZ91" s="9"/>
      <c r="BB91">
        <f t="shared" si="22"/>
        <v>0</v>
      </c>
      <c r="BC91">
        <f t="shared" si="23"/>
        <v>0</v>
      </c>
      <c r="BD91">
        <f t="shared" si="24"/>
        <v>0</v>
      </c>
      <c r="BE91">
        <f t="shared" si="20"/>
        <v>1</v>
      </c>
      <c r="BF91">
        <f t="shared" si="25"/>
        <v>0</v>
      </c>
      <c r="BG91" s="9">
        <f t="shared" si="26"/>
        <v>0</v>
      </c>
      <c r="BH91" s="9">
        <f t="shared" si="27"/>
        <v>0</v>
      </c>
      <c r="BI91" s="9">
        <f t="shared" si="28"/>
        <v>0</v>
      </c>
      <c r="BJ91" s="12">
        <f t="shared" si="29"/>
        <v>2.8955895998490008E-3</v>
      </c>
      <c r="BL91" s="9"/>
      <c r="BN91">
        <f t="shared" si="30"/>
        <v>0</v>
      </c>
      <c r="BO91">
        <f t="shared" si="31"/>
        <v>1</v>
      </c>
      <c r="BP91">
        <f t="shared" si="32"/>
        <v>0</v>
      </c>
      <c r="BQ91">
        <f t="shared" si="21"/>
        <v>1</v>
      </c>
      <c r="BR91">
        <f t="shared" si="33"/>
        <v>0</v>
      </c>
      <c r="BS91" s="9">
        <f t="shared" si="34"/>
        <v>0</v>
      </c>
      <c r="BT91" s="9">
        <f t="shared" si="35"/>
        <v>0</v>
      </c>
      <c r="BU91" s="9">
        <f t="shared" si="36"/>
        <v>0</v>
      </c>
      <c r="BV91" s="12">
        <f t="shared" si="37"/>
        <v>2.2425974143792096E-3</v>
      </c>
      <c r="BX91" s="12">
        <f t="shared" si="38"/>
        <v>0</v>
      </c>
      <c r="BY91" s="12">
        <f t="shared" si="39"/>
        <v>5.1381870142282095E-3</v>
      </c>
    </row>
    <row r="92" spans="1:77" x14ac:dyDescent="0.3">
      <c r="A92" s="1">
        <v>46155</v>
      </c>
      <c r="B92" s="8">
        <v>94.02</v>
      </c>
      <c r="C92" s="8">
        <v>339.04</v>
      </c>
      <c r="D92" s="9">
        <v>-2.4433007321357498E-3</v>
      </c>
      <c r="E92" s="9">
        <v>-3.3861905359073999E-3</v>
      </c>
      <c r="F92" s="8">
        <v>0</v>
      </c>
      <c r="G92" s="8">
        <v>0.26500000000000001</v>
      </c>
      <c r="H92" s="8">
        <v>0</v>
      </c>
      <c r="I92" s="8">
        <v>0.77029999999999998</v>
      </c>
      <c r="J92" s="8">
        <v>0</v>
      </c>
      <c r="K92" s="8">
        <v>0</v>
      </c>
      <c r="L92" s="8">
        <v>94.02</v>
      </c>
      <c r="M92" s="8">
        <v>339.04</v>
      </c>
      <c r="N92" s="10">
        <v>3.6060412678153502</v>
      </c>
      <c r="O92" s="10">
        <v>3.6128150130856298</v>
      </c>
      <c r="P92" s="10">
        <v>3.6086546036548701</v>
      </c>
      <c r="Q92" s="10">
        <v>3.6085778964324402</v>
      </c>
      <c r="R92" s="8">
        <v>339.67686753031097</v>
      </c>
      <c r="S92" s="8">
        <v>339.31177717849101</v>
      </c>
      <c r="T92" s="8">
        <v>339.28680445164503</v>
      </c>
      <c r="U92" s="9">
        <v>1.87668156692854E-3</v>
      </c>
      <c r="V92" s="9">
        <v>8.0128689030178695E-4</v>
      </c>
      <c r="W92" s="9">
        <v>7.2768600891656102E-4</v>
      </c>
      <c r="X92" s="10">
        <v>3.6060412678153502</v>
      </c>
      <c r="Y92" s="10">
        <v>3.6128150130856298</v>
      </c>
      <c r="Z92" s="10">
        <v>3.6086546036548701</v>
      </c>
      <c r="AA92" s="10">
        <v>3.6085778964324402</v>
      </c>
      <c r="AB92" s="8">
        <v>339.67686753031097</v>
      </c>
      <c r="AC92" s="8">
        <v>339.31177717849101</v>
      </c>
      <c r="AD92" s="8">
        <v>339.28680445164503</v>
      </c>
      <c r="AE92" s="9">
        <v>1.87668156692854E-3</v>
      </c>
      <c r="AF92" s="9">
        <v>8.0128689030178695E-4</v>
      </c>
      <c r="AG92" s="9">
        <v>7.2768600891656102E-4</v>
      </c>
      <c r="AZ92" s="9"/>
      <c r="BB92">
        <f t="shared" si="22"/>
        <v>0</v>
      </c>
      <c r="BC92">
        <f t="shared" si="23"/>
        <v>1</v>
      </c>
      <c r="BD92">
        <f t="shared" si="24"/>
        <v>0</v>
      </c>
      <c r="BE92">
        <f t="shared" si="20"/>
        <v>1</v>
      </c>
      <c r="BF92">
        <f t="shared" si="25"/>
        <v>0</v>
      </c>
      <c r="BG92" s="9">
        <f t="shared" si="26"/>
        <v>0</v>
      </c>
      <c r="BH92" s="9">
        <f t="shared" si="27"/>
        <v>0</v>
      </c>
      <c r="BI92" s="9">
        <f t="shared" si="28"/>
        <v>0</v>
      </c>
      <c r="BJ92" s="12">
        <f t="shared" si="29"/>
        <v>2.8955895998490008E-3</v>
      </c>
      <c r="BL92" s="9"/>
      <c r="BN92">
        <f t="shared" si="30"/>
        <v>0</v>
      </c>
      <c r="BO92">
        <f t="shared" si="31"/>
        <v>0</v>
      </c>
      <c r="BP92">
        <f t="shared" si="32"/>
        <v>0</v>
      </c>
      <c r="BQ92">
        <f t="shared" si="21"/>
        <v>1</v>
      </c>
      <c r="BR92">
        <f t="shared" si="33"/>
        <v>0</v>
      </c>
      <c r="BS92" s="9">
        <f t="shared" si="34"/>
        <v>0</v>
      </c>
      <c r="BT92" s="9">
        <f t="shared" si="35"/>
        <v>0</v>
      </c>
      <c r="BU92" s="9">
        <f t="shared" si="36"/>
        <v>0</v>
      </c>
      <c r="BV92" s="12">
        <f t="shared" si="37"/>
        <v>2.2425974143792096E-3</v>
      </c>
      <c r="BX92" s="12">
        <f t="shared" si="38"/>
        <v>0</v>
      </c>
      <c r="BY92" s="12">
        <f t="shared" si="39"/>
        <v>5.1381870142282095E-3</v>
      </c>
    </row>
    <row r="93" spans="1:77" x14ac:dyDescent="0.3">
      <c r="A93" s="1">
        <v>46156</v>
      </c>
      <c r="B93" s="8">
        <v>94.65</v>
      </c>
      <c r="C93" s="8">
        <v>341.48</v>
      </c>
      <c r="D93" s="9">
        <v>6.67835205934743E-3</v>
      </c>
      <c r="E93" s="9">
        <v>7.1710176221166603E-3</v>
      </c>
      <c r="F93" s="8">
        <v>0</v>
      </c>
      <c r="G93" s="8">
        <v>0.26500000000000001</v>
      </c>
      <c r="H93" s="8">
        <v>0</v>
      </c>
      <c r="I93" s="8">
        <v>0.77029999999999998</v>
      </c>
      <c r="J93" s="8">
        <v>0</v>
      </c>
      <c r="K93" s="8">
        <v>0</v>
      </c>
      <c r="L93" s="8">
        <v>94.65</v>
      </c>
      <c r="M93" s="8">
        <v>341.48</v>
      </c>
      <c r="N93" s="10">
        <v>3.6078182778658201</v>
      </c>
      <c r="O93" s="10">
        <v>3.6128150130856298</v>
      </c>
      <c r="P93" s="10">
        <v>3.60901667312049</v>
      </c>
      <c r="Q93" s="10">
        <v>3.6085004007396702</v>
      </c>
      <c r="R93" s="8">
        <v>341.95294098855499</v>
      </c>
      <c r="S93" s="8">
        <v>341.55915823593301</v>
      </c>
      <c r="T93" s="8">
        <v>341.55189789732998</v>
      </c>
      <c r="U93" s="9">
        <v>1.3840160041592401E-3</v>
      </c>
      <c r="V93" s="9">
        <v>2.3178242516208499E-4</v>
      </c>
      <c r="W93" s="9">
        <v>2.1052573918597399E-4</v>
      </c>
      <c r="X93" s="10">
        <v>3.6078182778658201</v>
      </c>
      <c r="Y93" s="10">
        <v>3.6128150130856298</v>
      </c>
      <c r="Z93" s="10">
        <v>3.60901667312049</v>
      </c>
      <c r="AA93" s="10">
        <v>3.6085004007396702</v>
      </c>
      <c r="AB93" s="8">
        <v>341.95294098855499</v>
      </c>
      <c r="AC93" s="8">
        <v>341.55915823593301</v>
      </c>
      <c r="AD93" s="8">
        <v>341.55189789732998</v>
      </c>
      <c r="AE93" s="9">
        <v>1.3840160041592401E-3</v>
      </c>
      <c r="AF93" s="9">
        <v>2.3178242516208499E-4</v>
      </c>
      <c r="AG93" s="9">
        <v>2.1052573918597399E-4</v>
      </c>
      <c r="AZ93" s="9"/>
      <c r="BB93">
        <f t="shared" si="22"/>
        <v>0</v>
      </c>
      <c r="BC93">
        <f t="shared" si="23"/>
        <v>1</v>
      </c>
      <c r="BD93">
        <f t="shared" si="24"/>
        <v>0</v>
      </c>
      <c r="BE93">
        <f t="shared" si="20"/>
        <v>1</v>
      </c>
      <c r="BF93">
        <f t="shared" si="25"/>
        <v>0</v>
      </c>
      <c r="BG93" s="9">
        <f t="shared" si="26"/>
        <v>0</v>
      </c>
      <c r="BH93" s="9">
        <f t="shared" si="27"/>
        <v>0</v>
      </c>
      <c r="BI93" s="9">
        <f t="shared" si="28"/>
        <v>0</v>
      </c>
      <c r="BJ93" s="12">
        <f t="shared" si="29"/>
        <v>2.8955895998490008E-3</v>
      </c>
      <c r="BL93" s="9"/>
      <c r="BN93">
        <f t="shared" si="30"/>
        <v>0</v>
      </c>
      <c r="BO93">
        <f t="shared" si="31"/>
        <v>0</v>
      </c>
      <c r="BP93">
        <f t="shared" si="32"/>
        <v>0</v>
      </c>
      <c r="BQ93">
        <f t="shared" si="21"/>
        <v>1</v>
      </c>
      <c r="BR93">
        <f t="shared" si="33"/>
        <v>0</v>
      </c>
      <c r="BS93" s="9">
        <f t="shared" si="34"/>
        <v>0</v>
      </c>
      <c r="BT93" s="9">
        <f t="shared" si="35"/>
        <v>0</v>
      </c>
      <c r="BU93" s="9">
        <f t="shared" si="36"/>
        <v>0</v>
      </c>
      <c r="BV93" s="12">
        <f t="shared" si="37"/>
        <v>2.2425974143792096E-3</v>
      </c>
      <c r="BX93" s="12">
        <f t="shared" si="38"/>
        <v>0</v>
      </c>
      <c r="BY93" s="12">
        <f t="shared" si="39"/>
        <v>5.1381870142282095E-3</v>
      </c>
    </row>
    <row r="94" spans="1:77" x14ac:dyDescent="0.3">
      <c r="A94" s="1">
        <v>46157</v>
      </c>
      <c r="B94" s="8">
        <v>92.65</v>
      </c>
      <c r="C94" s="8">
        <v>334.48</v>
      </c>
      <c r="D94" s="9">
        <v>-2.1356924923962999E-2</v>
      </c>
      <c r="E94" s="9">
        <v>-2.0712025093796101E-2</v>
      </c>
      <c r="F94" s="8">
        <v>0</v>
      </c>
      <c r="G94" s="8">
        <v>0.26500000000000001</v>
      </c>
      <c r="H94" s="8">
        <v>0</v>
      </c>
      <c r="I94" s="8">
        <v>0.77029999999999998</v>
      </c>
      <c r="J94" s="8">
        <v>0</v>
      </c>
      <c r="K94" s="8">
        <v>0</v>
      </c>
      <c r="L94" s="8">
        <v>92.65</v>
      </c>
      <c r="M94" s="8">
        <v>334.48</v>
      </c>
      <c r="N94" s="10">
        <v>3.61014570966001</v>
      </c>
      <c r="O94" s="10">
        <v>3.6128150130856298</v>
      </c>
      <c r="P94" s="10">
        <v>3.6091244861737399</v>
      </c>
      <c r="Q94" s="10">
        <v>3.6085438623475001</v>
      </c>
      <c r="R94" s="8">
        <v>334.72731096238402</v>
      </c>
      <c r="S94" s="8">
        <v>334.37539476461302</v>
      </c>
      <c r="T94" s="8">
        <v>334.32756212853099</v>
      </c>
      <c r="U94" s="9">
        <v>7.3911617399231996E-4</v>
      </c>
      <c r="V94" s="9">
        <v>-3.1278879428407302E-4</v>
      </c>
      <c r="W94" s="9">
        <v>-4.5584973239100199E-4</v>
      </c>
      <c r="X94" s="10">
        <v>3.61014570966001</v>
      </c>
      <c r="Y94" s="10">
        <v>3.6128150130856298</v>
      </c>
      <c r="Z94" s="10">
        <v>3.6091244861737399</v>
      </c>
      <c r="AA94" s="10">
        <v>3.6085438623475001</v>
      </c>
      <c r="AB94" s="8">
        <v>334.72731096238402</v>
      </c>
      <c r="AC94" s="8">
        <v>334.37539476461302</v>
      </c>
      <c r="AD94" s="8">
        <v>334.32756212853099</v>
      </c>
      <c r="AE94" s="9">
        <v>7.3911617399231996E-4</v>
      </c>
      <c r="AF94" s="9">
        <v>-3.1278879428407302E-4</v>
      </c>
      <c r="AG94" s="9">
        <v>-4.5584973239100199E-4</v>
      </c>
      <c r="AZ94" s="9"/>
      <c r="BB94">
        <f t="shared" si="22"/>
        <v>0</v>
      </c>
      <c r="BC94">
        <f t="shared" si="23"/>
        <v>0</v>
      </c>
      <c r="BD94">
        <f t="shared" si="24"/>
        <v>0</v>
      </c>
      <c r="BE94">
        <f t="shared" si="20"/>
        <v>1</v>
      </c>
      <c r="BF94">
        <f t="shared" si="25"/>
        <v>0</v>
      </c>
      <c r="BG94" s="9">
        <f t="shared" si="26"/>
        <v>0</v>
      </c>
      <c r="BH94" s="9">
        <f t="shared" si="27"/>
        <v>0</v>
      </c>
      <c r="BI94" s="9">
        <f t="shared" si="28"/>
        <v>0</v>
      </c>
      <c r="BJ94" s="12">
        <f t="shared" si="29"/>
        <v>2.8955895998490008E-3</v>
      </c>
      <c r="BL94" s="9"/>
      <c r="BN94">
        <f t="shared" si="30"/>
        <v>0</v>
      </c>
      <c r="BO94">
        <f t="shared" si="31"/>
        <v>1</v>
      </c>
      <c r="BP94">
        <f t="shared" si="32"/>
        <v>0</v>
      </c>
      <c r="BQ94">
        <f t="shared" si="21"/>
        <v>1</v>
      </c>
      <c r="BR94">
        <f t="shared" si="33"/>
        <v>0</v>
      </c>
      <c r="BS94" s="9">
        <f t="shared" si="34"/>
        <v>0</v>
      </c>
      <c r="BT94" s="9">
        <f t="shared" si="35"/>
        <v>0</v>
      </c>
      <c r="BU94" s="9">
        <f t="shared" si="36"/>
        <v>0</v>
      </c>
      <c r="BV94" s="12">
        <f t="shared" si="37"/>
        <v>2.2425974143792096E-3</v>
      </c>
      <c r="BX94" s="12">
        <f t="shared" si="38"/>
        <v>0</v>
      </c>
      <c r="BY94" s="12">
        <f t="shared" si="39"/>
        <v>5.1381870142282095E-3</v>
      </c>
    </row>
    <row r="95" spans="1:77" x14ac:dyDescent="0.3">
      <c r="A95" s="1">
        <v>46160</v>
      </c>
      <c r="B95" s="8">
        <v>92.21</v>
      </c>
      <c r="C95" s="8">
        <v>332.75</v>
      </c>
      <c r="D95" s="9">
        <v>-4.7603681803190098E-3</v>
      </c>
      <c r="E95" s="9">
        <v>-5.1856297730886597E-3</v>
      </c>
      <c r="F95" s="8">
        <v>0</v>
      </c>
      <c r="G95" s="8">
        <v>0.26500000000000001</v>
      </c>
      <c r="H95" s="8">
        <v>0</v>
      </c>
      <c r="I95" s="8">
        <v>0.77029999999999998</v>
      </c>
      <c r="J95" s="8">
        <v>0</v>
      </c>
      <c r="K95" s="8">
        <v>0</v>
      </c>
      <c r="L95" s="8">
        <v>92.21</v>
      </c>
      <c r="M95" s="8">
        <v>332.75</v>
      </c>
      <c r="N95" s="10">
        <v>3.6086107797418898</v>
      </c>
      <c r="O95" s="10">
        <v>3.6128150130856298</v>
      </c>
      <c r="P95" s="10">
        <v>3.6091808918572101</v>
      </c>
      <c r="Q95" s="10">
        <v>3.6086945843327798</v>
      </c>
      <c r="R95" s="8">
        <v>333.13767235662601</v>
      </c>
      <c r="S95" s="8">
        <v>332.79736887008102</v>
      </c>
      <c r="T95" s="8">
        <v>332.743829547063</v>
      </c>
      <c r="U95" s="9">
        <v>1.16437776676178E-3</v>
      </c>
      <c r="V95" s="9">
        <v>1.42345601159736E-4</v>
      </c>
      <c r="W95" s="9">
        <v>-1.8543982417078699E-5</v>
      </c>
      <c r="X95" s="10">
        <v>3.6086107797418898</v>
      </c>
      <c r="Y95" s="10">
        <v>3.6128150130856298</v>
      </c>
      <c r="Z95" s="10">
        <v>3.6091808918572101</v>
      </c>
      <c r="AA95" s="10">
        <v>3.6086945843327798</v>
      </c>
      <c r="AB95" s="8">
        <v>333.13767235662601</v>
      </c>
      <c r="AC95" s="8">
        <v>332.79736887008102</v>
      </c>
      <c r="AD95" s="8">
        <v>332.743829547063</v>
      </c>
      <c r="AE95" s="9">
        <v>1.16437776676178E-3</v>
      </c>
      <c r="AF95" s="9">
        <v>1.42345601159736E-4</v>
      </c>
      <c r="AG95" s="9">
        <v>-1.8543982417078699E-5</v>
      </c>
      <c r="AZ95" s="9"/>
      <c r="BB95">
        <f t="shared" si="22"/>
        <v>0</v>
      </c>
      <c r="BC95">
        <f t="shared" si="23"/>
        <v>0</v>
      </c>
      <c r="BD95">
        <f t="shared" si="24"/>
        <v>0</v>
      </c>
      <c r="BE95">
        <f t="shared" si="20"/>
        <v>1</v>
      </c>
      <c r="BF95">
        <f t="shared" si="25"/>
        <v>0</v>
      </c>
      <c r="BG95" s="9">
        <f t="shared" si="26"/>
        <v>0</v>
      </c>
      <c r="BH95" s="9">
        <f t="shared" si="27"/>
        <v>0</v>
      </c>
      <c r="BI95" s="9">
        <f t="shared" si="28"/>
        <v>0</v>
      </c>
      <c r="BJ95" s="12">
        <f t="shared" si="29"/>
        <v>2.8955895998490008E-3</v>
      </c>
      <c r="BL95" s="9"/>
      <c r="BN95">
        <f t="shared" si="30"/>
        <v>0</v>
      </c>
      <c r="BO95">
        <f t="shared" si="31"/>
        <v>1</v>
      </c>
      <c r="BP95">
        <f t="shared" si="32"/>
        <v>0</v>
      </c>
      <c r="BQ95">
        <f t="shared" si="21"/>
        <v>1</v>
      </c>
      <c r="BR95">
        <f t="shared" si="33"/>
        <v>0</v>
      </c>
      <c r="BS95" s="9">
        <f t="shared" si="34"/>
        <v>0</v>
      </c>
      <c r="BT95" s="9">
        <f t="shared" si="35"/>
        <v>0</v>
      </c>
      <c r="BU95" s="9">
        <f t="shared" si="36"/>
        <v>0</v>
      </c>
      <c r="BV95" s="12">
        <f t="shared" si="37"/>
        <v>2.2425974143792096E-3</v>
      </c>
      <c r="BX95" s="12">
        <f t="shared" si="38"/>
        <v>0</v>
      </c>
      <c r="BY95" s="12">
        <f t="shared" si="39"/>
        <v>5.1381870142282095E-3</v>
      </c>
    </row>
    <row r="96" spans="1:77" x14ac:dyDescent="0.3">
      <c r="A96" s="1">
        <v>46161</v>
      </c>
      <c r="B96" s="8">
        <v>91.05</v>
      </c>
      <c r="C96" s="8">
        <v>328.47</v>
      </c>
      <c r="D96" s="9">
        <v>-1.26597783774328E-2</v>
      </c>
      <c r="E96" s="9">
        <v>-1.2945947721777699E-2</v>
      </c>
      <c r="F96" s="8">
        <v>0</v>
      </c>
      <c r="G96" s="8">
        <v>0.26500000000000001</v>
      </c>
      <c r="H96" s="8">
        <v>0</v>
      </c>
      <c r="I96" s="8">
        <v>0.77029999999999998</v>
      </c>
      <c r="J96" s="8">
        <v>0</v>
      </c>
      <c r="K96" s="8">
        <v>0</v>
      </c>
      <c r="L96" s="8">
        <v>91.05</v>
      </c>
      <c r="M96" s="8">
        <v>328.47</v>
      </c>
      <c r="N96" s="10">
        <v>3.60757825370675</v>
      </c>
      <c r="O96" s="10">
        <v>3.6128150130856298</v>
      </c>
      <c r="P96" s="10">
        <v>3.6090272923241602</v>
      </c>
      <c r="Q96" s="10">
        <v>3.6085329273159199</v>
      </c>
      <c r="R96" s="8">
        <v>328.94680694144699</v>
      </c>
      <c r="S96" s="8">
        <v>328.61592020359899</v>
      </c>
      <c r="T96" s="8">
        <v>328.57164190349999</v>
      </c>
      <c r="U96" s="9">
        <v>1.45054711110684E-3</v>
      </c>
      <c r="V96" s="9">
        <v>4.4414345677320903E-4</v>
      </c>
      <c r="W96" s="9">
        <v>3.0939257979687899E-4</v>
      </c>
      <c r="X96" s="10">
        <v>3.60757825370675</v>
      </c>
      <c r="Y96" s="10">
        <v>3.6128150130856298</v>
      </c>
      <c r="Z96" s="10">
        <v>3.6090272923241602</v>
      </c>
      <c r="AA96" s="10">
        <v>3.6085329273159199</v>
      </c>
      <c r="AB96" s="8">
        <v>328.94680694144699</v>
      </c>
      <c r="AC96" s="8">
        <v>328.61592020359899</v>
      </c>
      <c r="AD96" s="8">
        <v>328.57164190349999</v>
      </c>
      <c r="AE96" s="9">
        <v>1.45054711110684E-3</v>
      </c>
      <c r="AF96" s="9">
        <v>4.4414345677320903E-4</v>
      </c>
      <c r="AG96" s="9">
        <v>3.0939257979687899E-4</v>
      </c>
      <c r="AZ96" s="9"/>
      <c r="BB96">
        <f t="shared" si="22"/>
        <v>0</v>
      </c>
      <c r="BC96">
        <f t="shared" si="23"/>
        <v>1</v>
      </c>
      <c r="BD96">
        <f t="shared" si="24"/>
        <v>0</v>
      </c>
      <c r="BE96">
        <f t="shared" si="20"/>
        <v>1</v>
      </c>
      <c r="BF96">
        <f t="shared" si="25"/>
        <v>0</v>
      </c>
      <c r="BG96" s="9">
        <f t="shared" si="26"/>
        <v>0</v>
      </c>
      <c r="BH96" s="9">
        <f t="shared" si="27"/>
        <v>0</v>
      </c>
      <c r="BI96" s="9">
        <f t="shared" si="28"/>
        <v>0</v>
      </c>
      <c r="BJ96" s="12">
        <f t="shared" si="29"/>
        <v>2.8955895998490008E-3</v>
      </c>
      <c r="BL96" s="9"/>
      <c r="BN96">
        <f t="shared" si="30"/>
        <v>0</v>
      </c>
      <c r="BO96">
        <f t="shared" si="31"/>
        <v>0</v>
      </c>
      <c r="BP96">
        <f t="shared" si="32"/>
        <v>0</v>
      </c>
      <c r="BQ96">
        <f t="shared" si="21"/>
        <v>1</v>
      </c>
      <c r="BR96">
        <f t="shared" si="33"/>
        <v>0</v>
      </c>
      <c r="BS96" s="9">
        <f t="shared" si="34"/>
        <v>0</v>
      </c>
      <c r="BT96" s="9">
        <f t="shared" si="35"/>
        <v>0</v>
      </c>
      <c r="BU96" s="9">
        <f t="shared" si="36"/>
        <v>0</v>
      </c>
      <c r="BV96" s="12">
        <f t="shared" si="37"/>
        <v>2.2425974143792096E-3</v>
      </c>
      <c r="BX96" s="12">
        <f t="shared" si="38"/>
        <v>0</v>
      </c>
      <c r="BY96" s="12">
        <f t="shared" si="39"/>
        <v>5.1381870142282095E-3</v>
      </c>
    </row>
    <row r="97" spans="1:77" x14ac:dyDescent="0.3">
      <c r="A97" s="1">
        <v>46162</v>
      </c>
      <c r="B97" s="8">
        <v>92.41</v>
      </c>
      <c r="C97" s="8">
        <v>333.47</v>
      </c>
      <c r="D97" s="9">
        <v>1.4826391726331999E-2</v>
      </c>
      <c r="E97" s="9">
        <v>1.5107396733550601E-2</v>
      </c>
      <c r="F97" s="8">
        <v>0</v>
      </c>
      <c r="G97" s="8">
        <v>0.26500000000000001</v>
      </c>
      <c r="H97" s="8">
        <v>0</v>
      </c>
      <c r="I97" s="8">
        <v>0.77029999999999998</v>
      </c>
      <c r="J97" s="8">
        <v>0</v>
      </c>
      <c r="K97" s="8">
        <v>0</v>
      </c>
      <c r="L97" s="8">
        <v>92.41</v>
      </c>
      <c r="M97" s="8">
        <v>333.47</v>
      </c>
      <c r="N97" s="10">
        <v>3.6085921437073898</v>
      </c>
      <c r="O97" s="10">
        <v>3.6128150130856298</v>
      </c>
      <c r="P97" s="10">
        <v>3.6091009640228</v>
      </c>
      <c r="Q97" s="10">
        <v>3.6085045027415399</v>
      </c>
      <c r="R97" s="8">
        <v>333.86023535924301</v>
      </c>
      <c r="S97" s="8">
        <v>333.51021208367598</v>
      </c>
      <c r="T97" s="8">
        <v>333.464527813264</v>
      </c>
      <c r="U97" s="9">
        <v>1.1695421038880899E-3</v>
      </c>
      <c r="V97" s="9">
        <v>1.20579540431597E-4</v>
      </c>
      <c r="W97" s="9">
        <v>-1.64099668174265E-5</v>
      </c>
      <c r="X97" s="10">
        <v>3.6085921437073898</v>
      </c>
      <c r="Y97" s="10">
        <v>3.6128150130856298</v>
      </c>
      <c r="Z97" s="10">
        <v>3.6091009640228</v>
      </c>
      <c r="AA97" s="10">
        <v>3.6085045027415399</v>
      </c>
      <c r="AB97" s="8">
        <v>333.86023535924301</v>
      </c>
      <c r="AC97" s="8">
        <v>333.51021208367598</v>
      </c>
      <c r="AD97" s="8">
        <v>333.464527813264</v>
      </c>
      <c r="AE97" s="9">
        <v>1.1695421038880899E-3</v>
      </c>
      <c r="AF97" s="9">
        <v>1.20579540431597E-4</v>
      </c>
      <c r="AG97" s="9">
        <v>-1.64099668174265E-5</v>
      </c>
      <c r="AZ97" s="9"/>
      <c r="BB97">
        <f t="shared" si="22"/>
        <v>0</v>
      </c>
      <c r="BC97">
        <f t="shared" si="23"/>
        <v>0</v>
      </c>
      <c r="BD97">
        <f t="shared" si="24"/>
        <v>0</v>
      </c>
      <c r="BE97">
        <f t="shared" si="20"/>
        <v>1</v>
      </c>
      <c r="BF97">
        <f t="shared" si="25"/>
        <v>0</v>
      </c>
      <c r="BG97" s="9">
        <f t="shared" si="26"/>
        <v>0</v>
      </c>
      <c r="BH97" s="9">
        <f t="shared" si="27"/>
        <v>0</v>
      </c>
      <c r="BI97" s="9">
        <f t="shared" si="28"/>
        <v>0</v>
      </c>
      <c r="BJ97" s="12">
        <f t="shared" si="29"/>
        <v>2.8955895998490008E-3</v>
      </c>
      <c r="BL97" s="9"/>
      <c r="BN97">
        <f t="shared" si="30"/>
        <v>0</v>
      </c>
      <c r="BO97">
        <f t="shared" si="31"/>
        <v>1</v>
      </c>
      <c r="BP97">
        <f t="shared" si="32"/>
        <v>0</v>
      </c>
      <c r="BQ97">
        <f t="shared" si="21"/>
        <v>1</v>
      </c>
      <c r="BR97">
        <f t="shared" si="33"/>
        <v>0</v>
      </c>
      <c r="BS97" s="9">
        <f t="shared" si="34"/>
        <v>0</v>
      </c>
      <c r="BT97" s="9">
        <f t="shared" si="35"/>
        <v>0</v>
      </c>
      <c r="BU97" s="9">
        <f t="shared" si="36"/>
        <v>0</v>
      </c>
      <c r="BV97" s="12">
        <f t="shared" si="37"/>
        <v>2.2425974143792096E-3</v>
      </c>
      <c r="BX97" s="12">
        <f t="shared" si="38"/>
        <v>0</v>
      </c>
      <c r="BY97" s="12">
        <f t="shared" si="39"/>
        <v>5.1381870142282095E-3</v>
      </c>
    </row>
    <row r="98" spans="1:77" x14ac:dyDescent="0.3">
      <c r="A98" s="1">
        <v>46163</v>
      </c>
      <c r="B98" s="8">
        <v>92.35</v>
      </c>
      <c r="C98" s="8">
        <v>333.32</v>
      </c>
      <c r="D98" s="9">
        <v>-6.4949125470009997E-4</v>
      </c>
      <c r="E98" s="9">
        <v>-4.4991677298801601E-4</v>
      </c>
      <c r="F98" s="8">
        <v>0</v>
      </c>
      <c r="G98" s="8">
        <v>0.26500000000000001</v>
      </c>
      <c r="H98" s="8">
        <v>0</v>
      </c>
      <c r="I98" s="8">
        <v>0.77029999999999998</v>
      </c>
      <c r="J98" s="8">
        <v>0</v>
      </c>
      <c r="K98" s="8">
        <v>0</v>
      </c>
      <c r="L98" s="8">
        <v>92.35</v>
      </c>
      <c r="M98" s="8">
        <v>333.32</v>
      </c>
      <c r="N98" s="10">
        <v>3.6093123984840201</v>
      </c>
      <c r="O98" s="10">
        <v>3.6128150130856298</v>
      </c>
      <c r="P98" s="10">
        <v>3.6085363000516502</v>
      </c>
      <c r="Q98" s="10">
        <v>3.6086274236448799</v>
      </c>
      <c r="R98" s="8">
        <v>333.64346645845802</v>
      </c>
      <c r="S98" s="8">
        <v>333.30047402750603</v>
      </c>
      <c r="T98" s="8">
        <v>333.24539082818097</v>
      </c>
      <c r="U98" s="9">
        <v>9.6996762217601803E-4</v>
      </c>
      <c r="V98" s="9">
        <v>-5.85819765819818E-5</v>
      </c>
      <c r="W98" s="9">
        <v>-2.2386152403452899E-4</v>
      </c>
      <c r="X98" s="10">
        <v>3.6093123984840201</v>
      </c>
      <c r="Y98" s="10">
        <v>3.6128150130856298</v>
      </c>
      <c r="Z98" s="10">
        <v>3.6085363000516502</v>
      </c>
      <c r="AA98" s="10">
        <v>3.6086274236448799</v>
      </c>
      <c r="AB98" s="8">
        <v>333.64346645845802</v>
      </c>
      <c r="AC98" s="8">
        <v>333.30047402750603</v>
      </c>
      <c r="AD98" s="8">
        <v>333.24539082818097</v>
      </c>
      <c r="AE98" s="9">
        <v>9.6996762217601803E-4</v>
      </c>
      <c r="AF98" s="9">
        <v>-5.85819765819818E-5</v>
      </c>
      <c r="AG98" s="9">
        <v>-2.2386152403452899E-4</v>
      </c>
      <c r="AZ98" s="9"/>
      <c r="BB98">
        <f t="shared" si="22"/>
        <v>0</v>
      </c>
      <c r="BC98">
        <f t="shared" si="23"/>
        <v>0</v>
      </c>
      <c r="BD98">
        <f t="shared" si="24"/>
        <v>0</v>
      </c>
      <c r="BE98">
        <f t="shared" si="20"/>
        <v>1</v>
      </c>
      <c r="BF98">
        <f t="shared" si="25"/>
        <v>0</v>
      </c>
      <c r="BG98" s="9">
        <f t="shared" si="26"/>
        <v>0</v>
      </c>
      <c r="BH98" s="9">
        <f t="shared" si="27"/>
        <v>0</v>
      </c>
      <c r="BI98" s="9">
        <f t="shared" si="28"/>
        <v>0</v>
      </c>
      <c r="BJ98" s="12">
        <f t="shared" si="29"/>
        <v>2.8955895998490008E-3</v>
      </c>
      <c r="BL98" s="9"/>
      <c r="BN98">
        <f t="shared" si="30"/>
        <v>0</v>
      </c>
      <c r="BO98">
        <f t="shared" si="31"/>
        <v>1</v>
      </c>
      <c r="BP98">
        <f t="shared" si="32"/>
        <v>0</v>
      </c>
      <c r="BQ98">
        <f t="shared" si="21"/>
        <v>1</v>
      </c>
      <c r="BR98">
        <f t="shared" si="33"/>
        <v>0</v>
      </c>
      <c r="BS98" s="9">
        <f t="shared" si="34"/>
        <v>0</v>
      </c>
      <c r="BT98" s="9">
        <f t="shared" si="35"/>
        <v>0</v>
      </c>
      <c r="BU98" s="9">
        <f t="shared" si="36"/>
        <v>0</v>
      </c>
      <c r="BV98" s="12">
        <f t="shared" si="37"/>
        <v>2.2425974143792096E-3</v>
      </c>
      <c r="BX98" s="12">
        <f t="shared" si="38"/>
        <v>0</v>
      </c>
      <c r="BY98" s="12">
        <f t="shared" si="39"/>
        <v>5.1381870142282095E-3</v>
      </c>
    </row>
    <row r="99" spans="1:77" x14ac:dyDescent="0.3">
      <c r="A99" s="1">
        <v>46164</v>
      </c>
      <c r="B99" s="8">
        <v>93.08</v>
      </c>
      <c r="C99" s="8">
        <v>336.09</v>
      </c>
      <c r="D99" s="9">
        <v>7.8736317888419803E-3</v>
      </c>
      <c r="E99" s="9">
        <v>8.2759917247355493E-3</v>
      </c>
      <c r="F99" s="8">
        <v>0</v>
      </c>
      <c r="G99" s="8">
        <v>0.26500000000000001</v>
      </c>
      <c r="H99" s="8">
        <v>0</v>
      </c>
      <c r="I99" s="8">
        <v>0.77029999999999998</v>
      </c>
      <c r="J99" s="8">
        <v>0</v>
      </c>
      <c r="K99" s="8">
        <v>0</v>
      </c>
      <c r="L99" s="8">
        <v>93.08</v>
      </c>
      <c r="M99" s="8">
        <v>336.09</v>
      </c>
      <c r="N99" s="10">
        <v>3.6107649333906302</v>
      </c>
      <c r="O99" s="10">
        <v>3.6128150130856298</v>
      </c>
      <c r="P99" s="10">
        <v>3.60861353910287</v>
      </c>
      <c r="Q99" s="10">
        <v>3.6087479297645899</v>
      </c>
      <c r="R99" s="8">
        <v>336.28082141801099</v>
      </c>
      <c r="S99" s="8">
        <v>335.88255880880803</v>
      </c>
      <c r="T99" s="8">
        <v>335.89104059286598</v>
      </c>
      <c r="U99" s="9">
        <v>5.6760768628236397E-4</v>
      </c>
      <c r="V99" s="9">
        <v>-6.1740972919842796E-4</v>
      </c>
      <c r="W99" s="9">
        <v>-5.9215781675050897E-4</v>
      </c>
      <c r="X99" s="10">
        <v>3.6107649333906302</v>
      </c>
      <c r="Y99" s="10">
        <v>3.6128150130856298</v>
      </c>
      <c r="Z99" s="10">
        <v>3.60861353910287</v>
      </c>
      <c r="AA99" s="10">
        <v>3.6087479297645899</v>
      </c>
      <c r="AB99" s="8">
        <v>336.28082141801099</v>
      </c>
      <c r="AC99" s="8">
        <v>335.88255880880803</v>
      </c>
      <c r="AD99" s="8">
        <v>335.89104059286598</v>
      </c>
      <c r="AE99" s="9">
        <v>5.6760768628236397E-4</v>
      </c>
      <c r="AF99" s="9">
        <v>-6.1740972919842796E-4</v>
      </c>
      <c r="AG99" s="9">
        <v>-5.9215781675050897E-4</v>
      </c>
      <c r="AZ99" s="9"/>
      <c r="BB99">
        <f t="shared" si="22"/>
        <v>0</v>
      </c>
      <c r="BC99">
        <f t="shared" si="23"/>
        <v>0</v>
      </c>
      <c r="BD99">
        <f t="shared" si="24"/>
        <v>0</v>
      </c>
      <c r="BE99">
        <f t="shared" si="20"/>
        <v>1</v>
      </c>
      <c r="BF99">
        <f t="shared" si="25"/>
        <v>0</v>
      </c>
      <c r="BG99" s="9">
        <f t="shared" si="26"/>
        <v>0</v>
      </c>
      <c r="BH99" s="9">
        <f t="shared" si="27"/>
        <v>0</v>
      </c>
      <c r="BI99" s="9">
        <f t="shared" si="28"/>
        <v>0</v>
      </c>
      <c r="BJ99" s="12">
        <f t="shared" si="29"/>
        <v>2.8955895998490008E-3</v>
      </c>
      <c r="BL99" s="9"/>
      <c r="BN99">
        <f t="shared" si="30"/>
        <v>0</v>
      </c>
      <c r="BO99">
        <f t="shared" si="31"/>
        <v>1</v>
      </c>
      <c r="BP99">
        <f t="shared" si="32"/>
        <v>0</v>
      </c>
      <c r="BQ99">
        <f t="shared" si="21"/>
        <v>1</v>
      </c>
      <c r="BR99">
        <f t="shared" si="33"/>
        <v>0</v>
      </c>
      <c r="BS99" s="9">
        <f t="shared" si="34"/>
        <v>0</v>
      </c>
      <c r="BT99" s="9">
        <f t="shared" si="35"/>
        <v>0</v>
      </c>
      <c r="BU99" s="9">
        <f t="shared" si="36"/>
        <v>0</v>
      </c>
      <c r="BV99" s="12">
        <f t="shared" si="37"/>
        <v>2.2425974143792096E-3</v>
      </c>
      <c r="BX99" s="12">
        <f t="shared" si="38"/>
        <v>0</v>
      </c>
      <c r="BY99" s="12">
        <f t="shared" si="39"/>
        <v>5.1381870142282095E-3</v>
      </c>
    </row>
    <row r="100" spans="1:77" x14ac:dyDescent="0.3">
      <c r="A100" s="1">
        <v>46168</v>
      </c>
      <c r="B100" s="8">
        <v>94.74</v>
      </c>
      <c r="C100" s="8">
        <v>341.95</v>
      </c>
      <c r="D100" s="9">
        <v>1.7676959061514601E-2</v>
      </c>
      <c r="E100" s="9">
        <v>1.72855463053634E-2</v>
      </c>
      <c r="F100" s="8">
        <v>0</v>
      </c>
      <c r="G100" s="8">
        <v>0.26500000000000001</v>
      </c>
      <c r="H100" s="8">
        <v>0</v>
      </c>
      <c r="I100" s="8">
        <v>0.77029999999999998</v>
      </c>
      <c r="J100" s="8">
        <v>0</v>
      </c>
      <c r="K100" s="8">
        <v>0</v>
      </c>
      <c r="L100" s="8">
        <v>94.74</v>
      </c>
      <c r="M100" s="8">
        <v>341.95</v>
      </c>
      <c r="N100" s="10">
        <v>3.6093519104918701</v>
      </c>
      <c r="O100" s="10">
        <v>3.6128150130856298</v>
      </c>
      <c r="P100" s="10">
        <v>3.6087658645685998</v>
      </c>
      <c r="Q100" s="10">
        <v>3.60885819081123</v>
      </c>
      <c r="R100" s="8">
        <v>342.278094339733</v>
      </c>
      <c r="S100" s="8">
        <v>341.88004669460599</v>
      </c>
      <c r="T100" s="8">
        <v>341.89277886589701</v>
      </c>
      <c r="U100" s="9">
        <v>9.5902044243388401E-4</v>
      </c>
      <c r="V100" s="9">
        <v>-2.0459266443738399E-4</v>
      </c>
      <c r="W100" s="9">
        <v>-1.67351724708108E-4</v>
      </c>
      <c r="X100" s="10">
        <v>3.6093519104918701</v>
      </c>
      <c r="Y100" s="10">
        <v>3.6128150130856298</v>
      </c>
      <c r="Z100" s="10">
        <v>3.6087658645685998</v>
      </c>
      <c r="AA100" s="10">
        <v>3.60885819081123</v>
      </c>
      <c r="AB100" s="8">
        <v>342.278094339733</v>
      </c>
      <c r="AC100" s="8">
        <v>341.88004669460599</v>
      </c>
      <c r="AD100" s="8">
        <v>341.89277886589701</v>
      </c>
      <c r="AE100" s="9">
        <v>9.5902044243388401E-4</v>
      </c>
      <c r="AF100" s="9">
        <v>-2.0459266443738399E-4</v>
      </c>
      <c r="AG100" s="9">
        <v>-1.67351724708108E-4</v>
      </c>
      <c r="AZ100" s="9"/>
      <c r="BB100">
        <f t="shared" si="22"/>
        <v>0</v>
      </c>
      <c r="BC100">
        <f t="shared" si="23"/>
        <v>0</v>
      </c>
      <c r="BD100">
        <f t="shared" si="24"/>
        <v>0</v>
      </c>
      <c r="BE100">
        <f t="shared" si="20"/>
        <v>1</v>
      </c>
      <c r="BF100">
        <f t="shared" si="25"/>
        <v>0</v>
      </c>
      <c r="BG100" s="9">
        <f t="shared" si="26"/>
        <v>0</v>
      </c>
      <c r="BH100" s="9">
        <f t="shared" si="27"/>
        <v>0</v>
      </c>
      <c r="BI100" s="9">
        <f t="shared" si="28"/>
        <v>0</v>
      </c>
      <c r="BJ100" s="12">
        <f t="shared" si="29"/>
        <v>2.8955895998490008E-3</v>
      </c>
      <c r="BL100" s="9"/>
      <c r="BN100">
        <f t="shared" si="30"/>
        <v>0</v>
      </c>
      <c r="BO100">
        <f t="shared" si="31"/>
        <v>1</v>
      </c>
      <c r="BP100">
        <f t="shared" si="32"/>
        <v>0</v>
      </c>
      <c r="BQ100">
        <f t="shared" si="21"/>
        <v>1</v>
      </c>
      <c r="BR100">
        <f t="shared" si="33"/>
        <v>0</v>
      </c>
      <c r="BS100" s="9">
        <f t="shared" si="34"/>
        <v>0</v>
      </c>
      <c r="BT100" s="9">
        <f t="shared" si="35"/>
        <v>0</v>
      </c>
      <c r="BU100" s="9">
        <f t="shared" si="36"/>
        <v>0</v>
      </c>
      <c r="BV100" s="12">
        <f t="shared" si="37"/>
        <v>2.2425974143792096E-3</v>
      </c>
      <c r="BX100" s="12">
        <f t="shared" si="38"/>
        <v>0</v>
      </c>
      <c r="BY100" s="12">
        <f t="shared" si="39"/>
        <v>5.1381870142282095E-3</v>
      </c>
    </row>
    <row r="101" spans="1:77" x14ac:dyDescent="0.3">
      <c r="A101" s="1">
        <v>46169</v>
      </c>
      <c r="B101" s="8">
        <v>94.79</v>
      </c>
      <c r="C101" s="8">
        <v>342.32</v>
      </c>
      <c r="D101" s="9">
        <v>5.2762096934453695E-4</v>
      </c>
      <c r="E101" s="9">
        <v>1.0814445644563499E-3</v>
      </c>
      <c r="F101" s="8">
        <v>0</v>
      </c>
      <c r="G101" s="8">
        <v>0.26500000000000001</v>
      </c>
      <c r="H101" s="8">
        <v>0</v>
      </c>
      <c r="I101" s="8">
        <v>0.77029999999999998</v>
      </c>
      <c r="J101" s="8">
        <v>0</v>
      </c>
      <c r="K101" s="8">
        <v>0</v>
      </c>
      <c r="L101" s="8">
        <v>94.79</v>
      </c>
      <c r="M101" s="8">
        <v>342.32</v>
      </c>
      <c r="N101" s="10">
        <v>3.61135140837641</v>
      </c>
      <c r="O101" s="10">
        <v>3.6128150130856298</v>
      </c>
      <c r="P101" s="10">
        <v>3.6089567083240102</v>
      </c>
      <c r="Q101" s="10">
        <v>3.60894430384554</v>
      </c>
      <c r="R101" s="8">
        <v>342.45873509038699</v>
      </c>
      <c r="S101" s="8">
        <v>342.07491630245801</v>
      </c>
      <c r="T101" s="8">
        <v>342.08366790699699</v>
      </c>
      <c r="U101" s="9">
        <v>4.0519684732217301E-4</v>
      </c>
      <c r="V101" s="9">
        <v>-7.1620551871541798E-4</v>
      </c>
      <c r="W101" s="9">
        <v>-6.9062196326020596E-4</v>
      </c>
      <c r="X101" s="10">
        <v>3.61135140837641</v>
      </c>
      <c r="Y101" s="10">
        <v>3.6128150130856298</v>
      </c>
      <c r="Z101" s="10">
        <v>3.6089567083240102</v>
      </c>
      <c r="AA101" s="10">
        <v>3.60894430384554</v>
      </c>
      <c r="AB101" s="8">
        <v>342.45873509038699</v>
      </c>
      <c r="AC101" s="8">
        <v>342.07491630245801</v>
      </c>
      <c r="AD101" s="8">
        <v>342.08366790699699</v>
      </c>
      <c r="AE101" s="9">
        <v>4.0519684732217301E-4</v>
      </c>
      <c r="AF101" s="9">
        <v>-7.1620551871541798E-4</v>
      </c>
      <c r="AG101" s="9">
        <v>-6.9062196326020596E-4</v>
      </c>
      <c r="AZ101" s="9"/>
      <c r="BB101">
        <f t="shared" si="22"/>
        <v>0</v>
      </c>
      <c r="BC101">
        <f t="shared" si="23"/>
        <v>0</v>
      </c>
      <c r="BD101">
        <f t="shared" si="24"/>
        <v>0</v>
      </c>
      <c r="BE101">
        <f t="shared" si="20"/>
        <v>1</v>
      </c>
      <c r="BF101">
        <f t="shared" si="25"/>
        <v>0</v>
      </c>
      <c r="BG101" s="9">
        <f t="shared" si="26"/>
        <v>0</v>
      </c>
      <c r="BH101" s="9">
        <f t="shared" si="27"/>
        <v>0</v>
      </c>
      <c r="BI101" s="9">
        <f t="shared" si="28"/>
        <v>0</v>
      </c>
      <c r="BJ101" s="12">
        <f t="shared" si="29"/>
        <v>2.8955895998490008E-3</v>
      </c>
      <c r="BL101" s="9"/>
      <c r="BN101">
        <f t="shared" si="30"/>
        <v>0</v>
      </c>
      <c r="BO101">
        <f t="shared" si="31"/>
        <v>1</v>
      </c>
      <c r="BP101">
        <f t="shared" si="32"/>
        <v>0</v>
      </c>
      <c r="BQ101">
        <f t="shared" si="21"/>
        <v>1</v>
      </c>
      <c r="BR101">
        <f t="shared" si="33"/>
        <v>0</v>
      </c>
      <c r="BS101" s="9">
        <f t="shared" si="34"/>
        <v>0</v>
      </c>
      <c r="BT101" s="9">
        <f t="shared" si="35"/>
        <v>0</v>
      </c>
      <c r="BU101" s="9">
        <f t="shared" si="36"/>
        <v>0</v>
      </c>
      <c r="BV101" s="12">
        <f t="shared" si="37"/>
        <v>2.2425974143792096E-3</v>
      </c>
      <c r="BX101" s="12">
        <f t="shared" si="38"/>
        <v>0</v>
      </c>
      <c r="BY101" s="12">
        <f t="shared" si="39"/>
        <v>5.1381870142282095E-3</v>
      </c>
    </row>
    <row r="102" spans="1:77" x14ac:dyDescent="0.3">
      <c r="A102" s="1">
        <v>46170</v>
      </c>
      <c r="B102" s="8">
        <v>94.59</v>
      </c>
      <c r="C102" s="8">
        <v>341.94</v>
      </c>
      <c r="D102" s="9">
        <v>-2.1121562398711E-3</v>
      </c>
      <c r="E102" s="9">
        <v>-1.11068903359819E-3</v>
      </c>
      <c r="F102" s="8">
        <v>0</v>
      </c>
      <c r="G102" s="8">
        <v>0.26500000000000001</v>
      </c>
      <c r="H102" s="8">
        <v>0</v>
      </c>
      <c r="I102" s="8">
        <v>0.77029999999999998</v>
      </c>
      <c r="J102" s="8">
        <v>0</v>
      </c>
      <c r="K102" s="8">
        <v>0</v>
      </c>
      <c r="L102" s="8">
        <v>94.59</v>
      </c>
      <c r="M102" s="8">
        <v>341.94</v>
      </c>
      <c r="N102" s="10">
        <v>3.61496986996511</v>
      </c>
      <c r="O102" s="10">
        <v>3.6128150130856298</v>
      </c>
      <c r="P102" s="10">
        <v>3.6098495685389902</v>
      </c>
      <c r="Q102" s="10">
        <v>3.6092520860969302</v>
      </c>
      <c r="R102" s="8">
        <v>341.73617208777</v>
      </c>
      <c r="S102" s="8">
        <v>341.37121504036799</v>
      </c>
      <c r="T102" s="8">
        <v>341.37004170074903</v>
      </c>
      <c r="U102" s="9">
        <v>-5.9627035895087595E-4</v>
      </c>
      <c r="V102" s="9">
        <v>-1.6647907380372899E-3</v>
      </c>
      <c r="W102" s="9">
        <v>-1.6682278809007399E-3</v>
      </c>
      <c r="X102" s="10">
        <v>3.61496986996511</v>
      </c>
      <c r="Y102" s="10">
        <v>3.6128150130856298</v>
      </c>
      <c r="Z102" s="10">
        <v>3.6098495685389902</v>
      </c>
      <c r="AA102" s="10">
        <v>3.6092520860969302</v>
      </c>
      <c r="AB102" s="8">
        <v>341.73617208777</v>
      </c>
      <c r="AC102" s="8">
        <v>341.37121504036799</v>
      </c>
      <c r="AD102" s="8">
        <v>341.37004170074903</v>
      </c>
      <c r="AE102" s="9">
        <v>-5.9627035895087595E-4</v>
      </c>
      <c r="AF102" s="9">
        <v>-1.6647907380372899E-3</v>
      </c>
      <c r="AG102" s="9">
        <v>-1.6682278809007399E-3</v>
      </c>
      <c r="AZ102" s="9"/>
      <c r="BB102">
        <f t="shared" si="22"/>
        <v>1</v>
      </c>
      <c r="BC102">
        <f t="shared" si="23"/>
        <v>0</v>
      </c>
      <c r="BD102">
        <f t="shared" si="24"/>
        <v>0</v>
      </c>
      <c r="BE102">
        <f t="shared" si="20"/>
        <v>1</v>
      </c>
      <c r="BF102">
        <f t="shared" si="25"/>
        <v>0</v>
      </c>
      <c r="BG102" s="9">
        <f t="shared" si="26"/>
        <v>0</v>
      </c>
      <c r="BH102" s="9">
        <f t="shared" si="27"/>
        <v>0</v>
      </c>
      <c r="BI102" s="9">
        <f t="shared" si="28"/>
        <v>0</v>
      </c>
      <c r="BJ102" s="12">
        <f t="shared" si="29"/>
        <v>2.8955895998490008E-3</v>
      </c>
      <c r="BL102" s="9"/>
      <c r="BN102">
        <f t="shared" si="30"/>
        <v>0</v>
      </c>
      <c r="BO102">
        <f t="shared" si="31"/>
        <v>1</v>
      </c>
      <c r="BP102">
        <f t="shared" si="32"/>
        <v>0</v>
      </c>
      <c r="BQ102">
        <f t="shared" si="21"/>
        <v>1</v>
      </c>
      <c r="BR102">
        <f t="shared" si="33"/>
        <v>0</v>
      </c>
      <c r="BS102" s="9">
        <f t="shared" si="34"/>
        <v>0</v>
      </c>
      <c r="BT102" s="9">
        <f t="shared" si="35"/>
        <v>0</v>
      </c>
      <c r="BU102" s="9">
        <f t="shared" si="36"/>
        <v>0</v>
      </c>
      <c r="BV102" s="12">
        <f t="shared" si="37"/>
        <v>2.2425974143792096E-3</v>
      </c>
      <c r="BX102" s="12">
        <f t="shared" si="38"/>
        <v>0</v>
      </c>
      <c r="BY102" s="12">
        <f t="shared" si="39"/>
        <v>5.1381870142282095E-3</v>
      </c>
    </row>
    <row r="103" spans="1:77" x14ac:dyDescent="0.3">
      <c r="A103" s="1">
        <v>46171</v>
      </c>
      <c r="B103" s="8">
        <v>94.28</v>
      </c>
      <c r="C103" s="8">
        <v>340.64</v>
      </c>
      <c r="D103" s="9">
        <v>-3.2826841571487399E-3</v>
      </c>
      <c r="E103" s="9">
        <v>-3.80908192979391E-3</v>
      </c>
      <c r="F103" s="8">
        <v>0</v>
      </c>
      <c r="G103" s="8">
        <v>0.26500000000000001</v>
      </c>
      <c r="H103" s="8">
        <v>0</v>
      </c>
      <c r="I103" s="8">
        <v>0.77029999999999998</v>
      </c>
      <c r="J103" s="8">
        <v>0</v>
      </c>
      <c r="K103" s="8">
        <v>0</v>
      </c>
      <c r="L103" s="8">
        <v>94.28</v>
      </c>
      <c r="M103" s="8">
        <v>340.64</v>
      </c>
      <c r="N103" s="10">
        <v>3.61306745863385</v>
      </c>
      <c r="O103" s="10">
        <v>3.6128150130856298</v>
      </c>
      <c r="P103" s="10">
        <v>3.6103744866157901</v>
      </c>
      <c r="Q103" s="10">
        <v>3.60969557986814</v>
      </c>
      <c r="R103" s="8">
        <v>340.61619943371397</v>
      </c>
      <c r="S103" s="8">
        <v>340.33661732185601</v>
      </c>
      <c r="T103" s="8">
        <v>340.28028667721901</v>
      </c>
      <c r="U103" s="9">
        <v>-6.9872586305791797E-5</v>
      </c>
      <c r="V103" s="9">
        <v>-8.9102236552179501E-4</v>
      </c>
      <c r="W103" s="9">
        <v>-1.0565505633519201E-3</v>
      </c>
      <c r="X103" s="10">
        <v>3.61306745863385</v>
      </c>
      <c r="Y103" s="10">
        <v>3.6128150130856298</v>
      </c>
      <c r="Z103" s="10">
        <v>3.6103744866157901</v>
      </c>
      <c r="AA103" s="10">
        <v>3.60969557986814</v>
      </c>
      <c r="AB103" s="8">
        <v>340.61619943371397</v>
      </c>
      <c r="AC103" s="8">
        <v>340.33661732185601</v>
      </c>
      <c r="AD103" s="8">
        <v>340.28028667721901</v>
      </c>
      <c r="AE103" s="9">
        <v>-6.9872586305791797E-5</v>
      </c>
      <c r="AF103" s="9">
        <v>-8.9102236552179501E-4</v>
      </c>
      <c r="AG103" s="9">
        <v>-1.0565505633519201E-3</v>
      </c>
      <c r="AZ103" s="9"/>
      <c r="BB103">
        <f t="shared" si="22"/>
        <v>0</v>
      </c>
      <c r="BC103">
        <f t="shared" si="23"/>
        <v>0</v>
      </c>
      <c r="BD103">
        <f t="shared" si="24"/>
        <v>1</v>
      </c>
      <c r="BE103">
        <f t="shared" si="20"/>
        <v>1</v>
      </c>
      <c r="BF103">
        <f t="shared" si="25"/>
        <v>1</v>
      </c>
      <c r="BG103" s="9">
        <f t="shared" si="26"/>
        <v>-3.2826841571487399E-3</v>
      </c>
      <c r="BH103" s="9">
        <f t="shared" si="27"/>
        <v>3.80908192979391E-3</v>
      </c>
      <c r="BI103" s="9">
        <f t="shared" si="28"/>
        <v>5.2639777264517013E-4</v>
      </c>
      <c r="BJ103" s="12">
        <f t="shared" si="29"/>
        <v>3.421987372494171E-3</v>
      </c>
      <c r="BL103" s="9"/>
      <c r="BN103">
        <f t="shared" si="30"/>
        <v>0</v>
      </c>
      <c r="BO103">
        <f t="shared" si="31"/>
        <v>1</v>
      </c>
      <c r="BP103">
        <f t="shared" si="32"/>
        <v>0</v>
      </c>
      <c r="BQ103">
        <f t="shared" si="21"/>
        <v>1</v>
      </c>
      <c r="BR103">
        <f t="shared" si="33"/>
        <v>0</v>
      </c>
      <c r="BS103" s="9">
        <f t="shared" si="34"/>
        <v>0</v>
      </c>
      <c r="BT103" s="9">
        <f t="shared" si="35"/>
        <v>0</v>
      </c>
      <c r="BU103" s="9">
        <f t="shared" si="36"/>
        <v>0</v>
      </c>
      <c r="BV103" s="12">
        <f t="shared" si="37"/>
        <v>2.2425974143792096E-3</v>
      </c>
      <c r="BX103" s="12">
        <f t="shared" si="38"/>
        <v>5.2639777264517013E-4</v>
      </c>
      <c r="BY103" s="12">
        <f t="shared" si="39"/>
        <v>5.6645847868733792E-3</v>
      </c>
    </row>
    <row r="104" spans="1:77" x14ac:dyDescent="0.3">
      <c r="A104" s="1">
        <v>46174</v>
      </c>
      <c r="B104" s="8">
        <v>93.53</v>
      </c>
      <c r="C104" s="8">
        <v>338.33</v>
      </c>
      <c r="D104" s="9">
        <v>-7.98683762147075E-3</v>
      </c>
      <c r="E104" s="9">
        <v>-6.8044506026735101E-3</v>
      </c>
      <c r="F104" s="8">
        <v>0</v>
      </c>
      <c r="G104" s="8">
        <v>0.26500000000000001</v>
      </c>
      <c r="H104" s="8">
        <v>0</v>
      </c>
      <c r="I104" s="8">
        <v>0.77029999999999998</v>
      </c>
      <c r="J104" s="8">
        <v>0</v>
      </c>
      <c r="K104" s="8">
        <v>0</v>
      </c>
      <c r="L104" s="8">
        <v>93.53</v>
      </c>
      <c r="M104" s="8">
        <v>338.33</v>
      </c>
      <c r="N104" s="10">
        <v>3.6173420292954099</v>
      </c>
      <c r="O104" s="10">
        <v>3.6128150130856298</v>
      </c>
      <c r="P104" s="10">
        <v>3.6110941185793299</v>
      </c>
      <c r="Q104" s="10">
        <v>3.6101093023765398</v>
      </c>
      <c r="R104" s="8">
        <v>337.90658817389902</v>
      </c>
      <c r="S104" s="8">
        <v>337.67832573317497</v>
      </c>
      <c r="T104" s="8">
        <v>337.61482758506702</v>
      </c>
      <c r="U104" s="9">
        <v>-1.25225960510315E-3</v>
      </c>
      <c r="V104" s="9">
        <v>-1.92800722679093E-3</v>
      </c>
      <c r="W104" s="9">
        <v>-2.11606821329146E-3</v>
      </c>
      <c r="X104" s="10">
        <v>3.6173420292954099</v>
      </c>
      <c r="Y104" s="10">
        <v>3.6128150130856298</v>
      </c>
      <c r="Z104" s="10">
        <v>3.6110941185793299</v>
      </c>
      <c r="AA104" s="10">
        <v>3.6101093023765398</v>
      </c>
      <c r="AB104" s="8">
        <v>337.90658817389902</v>
      </c>
      <c r="AC104" s="8">
        <v>337.67832573317497</v>
      </c>
      <c r="AD104" s="8">
        <v>337.61482758506702</v>
      </c>
      <c r="AE104" s="9">
        <v>-1.25225960510315E-3</v>
      </c>
      <c r="AF104" s="9">
        <v>-1.92800722679093E-3</v>
      </c>
      <c r="AG104" s="9">
        <v>-2.11606821329146E-3</v>
      </c>
      <c r="AZ104" s="9"/>
      <c r="BB104">
        <f t="shared" si="22"/>
        <v>1</v>
      </c>
      <c r="BC104">
        <f t="shared" si="23"/>
        <v>0</v>
      </c>
      <c r="BD104">
        <f t="shared" si="24"/>
        <v>1</v>
      </c>
      <c r="BE104">
        <f t="shared" si="20"/>
        <v>1</v>
      </c>
      <c r="BF104">
        <f t="shared" si="25"/>
        <v>1</v>
      </c>
      <c r="BG104" s="9">
        <f t="shared" si="26"/>
        <v>-7.98683762147075E-3</v>
      </c>
      <c r="BH104" s="9">
        <f t="shared" si="27"/>
        <v>6.8044506026735101E-3</v>
      </c>
      <c r="BI104" s="9">
        <f t="shared" si="28"/>
        <v>-1.1823870187972398E-3</v>
      </c>
      <c r="BJ104" s="12">
        <f t="shared" si="29"/>
        <v>2.2396003536969311E-3</v>
      </c>
      <c r="BL104" s="9"/>
      <c r="BN104">
        <f t="shared" si="30"/>
        <v>0</v>
      </c>
      <c r="BO104">
        <f t="shared" si="31"/>
        <v>1</v>
      </c>
      <c r="BP104">
        <f t="shared" si="32"/>
        <v>0</v>
      </c>
      <c r="BQ104">
        <f t="shared" si="21"/>
        <v>1</v>
      </c>
      <c r="BR104">
        <f t="shared" si="33"/>
        <v>0</v>
      </c>
      <c r="BS104" s="9">
        <f t="shared" si="34"/>
        <v>0</v>
      </c>
      <c r="BT104" s="9">
        <f t="shared" si="35"/>
        <v>0</v>
      </c>
      <c r="BU104" s="9">
        <f t="shared" si="36"/>
        <v>0</v>
      </c>
      <c r="BV104" s="12">
        <f t="shared" si="37"/>
        <v>2.2425974143792096E-3</v>
      </c>
      <c r="BX104" s="12">
        <f t="shared" si="38"/>
        <v>-1.1823870187972398E-3</v>
      </c>
      <c r="BY104" s="12">
        <f t="shared" si="39"/>
        <v>4.4821977680761394E-3</v>
      </c>
    </row>
    <row r="105" spans="1:77" x14ac:dyDescent="0.3">
      <c r="A105" s="1">
        <v>46175</v>
      </c>
      <c r="B105" s="8">
        <v>94.69</v>
      </c>
      <c r="C105" s="8">
        <v>342.25</v>
      </c>
      <c r="D105" s="9">
        <v>1.2326157548949E-2</v>
      </c>
      <c r="E105" s="9">
        <v>1.1519713626062401E-2</v>
      </c>
      <c r="F105" s="8">
        <v>0</v>
      </c>
      <c r="G105" s="8">
        <v>0.26500000000000001</v>
      </c>
      <c r="H105" s="8">
        <v>0</v>
      </c>
      <c r="I105" s="8">
        <v>0.77029999999999998</v>
      </c>
      <c r="J105" s="8">
        <v>0</v>
      </c>
      <c r="K105" s="8">
        <v>0</v>
      </c>
      <c r="L105" s="8">
        <v>94.69</v>
      </c>
      <c r="M105" s="8">
        <v>342.25</v>
      </c>
      <c r="N105" s="10">
        <v>3.6144260217551998</v>
      </c>
      <c r="O105" s="10">
        <v>3.6128150130856298</v>
      </c>
      <c r="P105" s="10">
        <v>3.6116756427806598</v>
      </c>
      <c r="Q105" s="10">
        <v>3.6104282673189401</v>
      </c>
      <c r="R105" s="8">
        <v>342.09745358907901</v>
      </c>
      <c r="S105" s="8">
        <v>341.93450208827699</v>
      </c>
      <c r="T105" s="8">
        <v>341.84124984203402</v>
      </c>
      <c r="U105" s="9">
        <v>-4.4581568221643201E-4</v>
      </c>
      <c r="V105" s="9">
        <v>-9.2225980893230204E-4</v>
      </c>
      <c r="W105" s="9">
        <v>-1.19501662008748E-3</v>
      </c>
      <c r="X105" s="10">
        <v>3.6144260217551998</v>
      </c>
      <c r="Y105" s="10">
        <v>3.6128150130856298</v>
      </c>
      <c r="Z105" s="10">
        <v>3.6116756427806598</v>
      </c>
      <c r="AA105" s="10">
        <v>3.6104282673189401</v>
      </c>
      <c r="AB105" s="8">
        <v>342.09745358907901</v>
      </c>
      <c r="AC105" s="8">
        <v>341.93450208827699</v>
      </c>
      <c r="AD105" s="8">
        <v>341.84124984203402</v>
      </c>
      <c r="AE105" s="9">
        <v>-4.4581568221643201E-4</v>
      </c>
      <c r="AF105" s="9">
        <v>-9.2225980893230204E-4</v>
      </c>
      <c r="AG105" s="9">
        <v>-1.19501662008748E-3</v>
      </c>
      <c r="AZ105" s="9"/>
      <c r="BB105">
        <f t="shared" si="22"/>
        <v>1</v>
      </c>
      <c r="BC105">
        <f t="shared" si="23"/>
        <v>0</v>
      </c>
      <c r="BD105">
        <f t="shared" si="24"/>
        <v>1</v>
      </c>
      <c r="BE105">
        <f t="shared" si="20"/>
        <v>1</v>
      </c>
      <c r="BF105">
        <f t="shared" si="25"/>
        <v>1</v>
      </c>
      <c r="BG105" s="9">
        <f t="shared" si="26"/>
        <v>1.2326157548949E-2</v>
      </c>
      <c r="BH105" s="9">
        <f t="shared" si="27"/>
        <v>-1.1519713626062401E-2</v>
      </c>
      <c r="BI105" s="9">
        <f t="shared" si="28"/>
        <v>8.0644392288659918E-4</v>
      </c>
      <c r="BJ105" s="12">
        <f t="shared" si="29"/>
        <v>3.0460442765835303E-3</v>
      </c>
      <c r="BL105" s="9"/>
      <c r="BN105">
        <f t="shared" si="30"/>
        <v>0</v>
      </c>
      <c r="BO105">
        <f t="shared" si="31"/>
        <v>1</v>
      </c>
      <c r="BP105">
        <f t="shared" si="32"/>
        <v>0</v>
      </c>
      <c r="BQ105">
        <f t="shared" si="21"/>
        <v>1</v>
      </c>
      <c r="BR105">
        <f t="shared" si="33"/>
        <v>0</v>
      </c>
      <c r="BS105" s="9">
        <f t="shared" si="34"/>
        <v>0</v>
      </c>
      <c r="BT105" s="9">
        <f t="shared" si="35"/>
        <v>0</v>
      </c>
      <c r="BU105" s="9">
        <f t="shared" si="36"/>
        <v>0</v>
      </c>
      <c r="BV105" s="12">
        <f t="shared" si="37"/>
        <v>2.2425974143792096E-3</v>
      </c>
      <c r="BX105" s="12">
        <f t="shared" si="38"/>
        <v>8.0644392288659918E-4</v>
      </c>
      <c r="BY105" s="12">
        <f t="shared" si="39"/>
        <v>5.2886416909627386E-3</v>
      </c>
    </row>
    <row r="106" spans="1:77" x14ac:dyDescent="0.3">
      <c r="A106" s="1">
        <v>46176</v>
      </c>
      <c r="B106" s="8">
        <v>94.51</v>
      </c>
      <c r="C106" s="8">
        <v>341.18</v>
      </c>
      <c r="D106" s="9">
        <v>-1.90274898844396E-3</v>
      </c>
      <c r="E106" s="9">
        <v>-3.1312669161847602E-3</v>
      </c>
      <c r="F106" s="8">
        <v>0</v>
      </c>
      <c r="G106" s="8">
        <v>0.26500000000000001</v>
      </c>
      <c r="H106" s="8">
        <v>0</v>
      </c>
      <c r="I106" s="8">
        <v>0.77029999999999998</v>
      </c>
      <c r="J106" s="8">
        <v>0</v>
      </c>
      <c r="K106" s="8">
        <v>0</v>
      </c>
      <c r="L106" s="8">
        <v>94.51</v>
      </c>
      <c r="M106" s="8">
        <v>341.18</v>
      </c>
      <c r="N106" s="10">
        <v>3.6099883610199899</v>
      </c>
      <c r="O106" s="10">
        <v>3.6128150130856298</v>
      </c>
      <c r="P106" s="10">
        <v>3.6119166535119902</v>
      </c>
      <c r="Q106" s="10">
        <v>3.6104719729180701</v>
      </c>
      <c r="R106" s="8">
        <v>341.44714688672298</v>
      </c>
      <c r="S106" s="8">
        <v>341.3394649992</v>
      </c>
      <c r="T106" s="8">
        <v>341.221575544313</v>
      </c>
      <c r="U106" s="9">
        <v>7.8270224552433895E-4</v>
      </c>
      <c r="V106" s="9">
        <v>4.6728338246793003E-4</v>
      </c>
      <c r="W106" s="9">
        <v>1.21850669325787E-4</v>
      </c>
      <c r="X106" s="10">
        <v>3.6099883610199899</v>
      </c>
      <c r="Y106" s="10">
        <v>3.6128150130856298</v>
      </c>
      <c r="Z106" s="10">
        <v>3.6119166535119902</v>
      </c>
      <c r="AA106" s="10">
        <v>3.6104719729180701</v>
      </c>
      <c r="AB106" s="8">
        <v>341.44714688672298</v>
      </c>
      <c r="AC106" s="8">
        <v>341.3394649992</v>
      </c>
      <c r="AD106" s="8">
        <v>341.221575544313</v>
      </c>
      <c r="AE106" s="9">
        <v>7.8270224552433895E-4</v>
      </c>
      <c r="AF106" s="9">
        <v>4.6728338246793003E-4</v>
      </c>
      <c r="AG106" s="9">
        <v>1.21850669325787E-4</v>
      </c>
      <c r="AZ106" s="9"/>
      <c r="BB106">
        <f t="shared" si="22"/>
        <v>0</v>
      </c>
      <c r="BC106">
        <f t="shared" si="23"/>
        <v>1</v>
      </c>
      <c r="BD106">
        <f t="shared" si="24"/>
        <v>1</v>
      </c>
      <c r="BE106">
        <f t="shared" si="20"/>
        <v>1</v>
      </c>
      <c r="BF106">
        <f t="shared" si="25"/>
        <v>1</v>
      </c>
      <c r="BG106" s="9">
        <f t="shared" si="26"/>
        <v>-1.90274898844396E-3</v>
      </c>
      <c r="BH106" s="9">
        <f t="shared" si="27"/>
        <v>3.1312669161847602E-3</v>
      </c>
      <c r="BI106" s="9">
        <f t="shared" si="28"/>
        <v>1.2285179277408001E-3</v>
      </c>
      <c r="BJ106" s="12">
        <f t="shared" si="29"/>
        <v>4.2745622043243309E-3</v>
      </c>
      <c r="BL106" s="9"/>
      <c r="BN106">
        <f t="shared" si="30"/>
        <v>0</v>
      </c>
      <c r="BO106">
        <f t="shared" si="31"/>
        <v>0</v>
      </c>
      <c r="BP106">
        <f t="shared" si="32"/>
        <v>0</v>
      </c>
      <c r="BQ106">
        <f t="shared" si="21"/>
        <v>1</v>
      </c>
      <c r="BR106">
        <f t="shared" si="33"/>
        <v>0</v>
      </c>
      <c r="BS106" s="9">
        <f t="shared" si="34"/>
        <v>0</v>
      </c>
      <c r="BT106" s="9">
        <f t="shared" si="35"/>
        <v>0</v>
      </c>
      <c r="BU106" s="9">
        <f t="shared" si="36"/>
        <v>0</v>
      </c>
      <c r="BV106" s="12">
        <f t="shared" si="37"/>
        <v>2.2425974143792096E-3</v>
      </c>
      <c r="BX106" s="12">
        <f t="shared" si="38"/>
        <v>1.2285179277408001E-3</v>
      </c>
      <c r="BY106" s="12">
        <f t="shared" si="39"/>
        <v>6.5171596187035387E-3</v>
      </c>
    </row>
    <row r="107" spans="1:77" x14ac:dyDescent="0.3">
      <c r="A107" s="1">
        <v>46177</v>
      </c>
      <c r="B107" s="8">
        <v>95.56</v>
      </c>
      <c r="C107" s="8">
        <v>345.21</v>
      </c>
      <c r="D107" s="9">
        <v>1.1048673450643901E-2</v>
      </c>
      <c r="E107" s="9">
        <v>1.1742730251103201E-2</v>
      </c>
      <c r="F107" s="8">
        <v>0</v>
      </c>
      <c r="G107" s="8">
        <v>0.26500000000000001</v>
      </c>
      <c r="H107" s="8">
        <v>0</v>
      </c>
      <c r="I107" s="8">
        <v>0.77029999999999998</v>
      </c>
      <c r="J107" s="8">
        <v>0</v>
      </c>
      <c r="K107" s="8">
        <v>0</v>
      </c>
      <c r="L107" s="8">
        <v>95.56</v>
      </c>
      <c r="M107" s="8">
        <v>345.21</v>
      </c>
      <c r="N107" s="10">
        <v>3.6124947676852202</v>
      </c>
      <c r="O107" s="10">
        <v>3.6128150130856298</v>
      </c>
      <c r="P107" s="10">
        <v>3.61230691590977</v>
      </c>
      <c r="Q107" s="10">
        <v>3.6107039399662901</v>
      </c>
      <c r="R107" s="8">
        <v>345.24060265046302</v>
      </c>
      <c r="S107" s="8">
        <v>345.154755409605</v>
      </c>
      <c r="T107" s="8">
        <v>345.01670173205099</v>
      </c>
      <c r="U107" s="9">
        <v>8.8645445065167503E-5</v>
      </c>
      <c r="V107" s="9">
        <v>-1.6004464329648501E-4</v>
      </c>
      <c r="W107" s="9">
        <v>-5.6010082634183199E-4</v>
      </c>
      <c r="X107" s="10">
        <v>3.6124947676852202</v>
      </c>
      <c r="Y107" s="10">
        <v>3.6128150130856298</v>
      </c>
      <c r="Z107" s="10">
        <v>3.61230691590977</v>
      </c>
      <c r="AA107" s="10">
        <v>3.6107039399662901</v>
      </c>
      <c r="AB107" s="8">
        <v>345.24060265046302</v>
      </c>
      <c r="AC107" s="8">
        <v>345.154755409605</v>
      </c>
      <c r="AD107" s="8">
        <v>345.01670173205099</v>
      </c>
      <c r="AE107" s="9">
        <v>8.8645445065167503E-5</v>
      </c>
      <c r="AF107" s="9">
        <v>-1.6004464329648501E-4</v>
      </c>
      <c r="AG107" s="9">
        <v>-5.6010082634183199E-4</v>
      </c>
      <c r="AZ107" s="9"/>
      <c r="BB107">
        <f t="shared" si="22"/>
        <v>0</v>
      </c>
      <c r="BC107">
        <f t="shared" si="23"/>
        <v>0</v>
      </c>
      <c r="BD107">
        <f t="shared" si="24"/>
        <v>0</v>
      </c>
      <c r="BE107">
        <f t="shared" si="20"/>
        <v>1</v>
      </c>
      <c r="BF107">
        <f t="shared" si="25"/>
        <v>0</v>
      </c>
      <c r="BG107" s="9">
        <f t="shared" si="26"/>
        <v>0</v>
      </c>
      <c r="BH107" s="9">
        <f t="shared" si="27"/>
        <v>0</v>
      </c>
      <c r="BI107" s="9">
        <f t="shared" si="28"/>
        <v>0</v>
      </c>
      <c r="BJ107" s="12">
        <f t="shared" si="29"/>
        <v>4.2745622043243309E-3</v>
      </c>
      <c r="BL107" s="9"/>
      <c r="BN107">
        <f t="shared" si="30"/>
        <v>0</v>
      </c>
      <c r="BO107">
        <f t="shared" si="31"/>
        <v>1</v>
      </c>
      <c r="BP107">
        <f t="shared" si="32"/>
        <v>0</v>
      </c>
      <c r="BQ107">
        <f t="shared" si="21"/>
        <v>1</v>
      </c>
      <c r="BR107">
        <f t="shared" si="33"/>
        <v>0</v>
      </c>
      <c r="BS107" s="9">
        <f t="shared" si="34"/>
        <v>0</v>
      </c>
      <c r="BT107" s="9">
        <f t="shared" si="35"/>
        <v>0</v>
      </c>
      <c r="BU107" s="9">
        <f t="shared" si="36"/>
        <v>0</v>
      </c>
      <c r="BV107" s="12">
        <f t="shared" si="37"/>
        <v>2.2425974143792096E-3</v>
      </c>
      <c r="BX107" s="12">
        <f t="shared" si="38"/>
        <v>0</v>
      </c>
      <c r="BY107" s="12">
        <f t="shared" si="39"/>
        <v>6.5171596187035387E-3</v>
      </c>
    </row>
    <row r="108" spans="1:77" x14ac:dyDescent="0.3">
      <c r="A108" s="1">
        <v>46178</v>
      </c>
      <c r="B108" s="8">
        <v>94.11</v>
      </c>
      <c r="C108" s="8">
        <v>340.04</v>
      </c>
      <c r="D108" s="9">
        <v>-1.5290011586912299E-2</v>
      </c>
      <c r="E108" s="9">
        <v>-1.5089669754318601E-2</v>
      </c>
      <c r="F108" s="8">
        <v>0</v>
      </c>
      <c r="G108" s="8">
        <v>0.26500000000000001</v>
      </c>
      <c r="H108" s="8">
        <v>0</v>
      </c>
      <c r="I108" s="8">
        <v>0.77029999999999998</v>
      </c>
      <c r="J108" s="8">
        <v>0</v>
      </c>
      <c r="K108" s="8">
        <v>0</v>
      </c>
      <c r="L108" s="8">
        <v>94.11</v>
      </c>
      <c r="M108" s="8">
        <v>340.04</v>
      </c>
      <c r="N108" s="10">
        <v>3.6132185740091298</v>
      </c>
      <c r="O108" s="10">
        <v>3.6128150130856298</v>
      </c>
      <c r="P108" s="10">
        <v>3.61269753346228</v>
      </c>
      <c r="Q108" s="10">
        <v>3.6106169167569702</v>
      </c>
      <c r="R108" s="8">
        <v>340.00202088148899</v>
      </c>
      <c r="S108" s="8">
        <v>339.95420385626801</v>
      </c>
      <c r="T108" s="8">
        <v>339.80334779022701</v>
      </c>
      <c r="U108" s="9">
        <v>-1.1169638752859E-4</v>
      </c>
      <c r="V108" s="9">
        <v>-2.5234375146101698E-4</v>
      </c>
      <c r="W108" s="9">
        <v>-6.9619632257965705E-4</v>
      </c>
      <c r="X108" s="10">
        <v>3.6132185740091298</v>
      </c>
      <c r="Y108" s="10">
        <v>3.6128150130856298</v>
      </c>
      <c r="Z108" s="10">
        <v>3.61269753346228</v>
      </c>
      <c r="AA108" s="10">
        <v>3.6106169167569702</v>
      </c>
      <c r="AB108" s="8">
        <v>340.00202088148899</v>
      </c>
      <c r="AC108" s="8">
        <v>339.95420385626801</v>
      </c>
      <c r="AD108" s="8">
        <v>339.80334779022701</v>
      </c>
      <c r="AE108" s="9">
        <v>-1.1169638752859E-4</v>
      </c>
      <c r="AF108" s="9">
        <v>-2.5234375146101698E-4</v>
      </c>
      <c r="AG108" s="9">
        <v>-6.9619632257965705E-4</v>
      </c>
      <c r="AZ108" s="9"/>
      <c r="BB108">
        <f t="shared" si="22"/>
        <v>0</v>
      </c>
      <c r="BC108">
        <f t="shared" si="23"/>
        <v>0</v>
      </c>
      <c r="BD108">
        <f t="shared" si="24"/>
        <v>0</v>
      </c>
      <c r="BE108">
        <f t="shared" si="20"/>
        <v>1</v>
      </c>
      <c r="BF108">
        <f t="shared" si="25"/>
        <v>0</v>
      </c>
      <c r="BG108" s="9">
        <f t="shared" si="26"/>
        <v>0</v>
      </c>
      <c r="BH108" s="9">
        <f t="shared" si="27"/>
        <v>0</v>
      </c>
      <c r="BI108" s="9">
        <f t="shared" si="28"/>
        <v>0</v>
      </c>
      <c r="BJ108" s="12">
        <f t="shared" si="29"/>
        <v>4.2745622043243309E-3</v>
      </c>
      <c r="BL108" s="9"/>
      <c r="BN108">
        <f t="shared" si="30"/>
        <v>0</v>
      </c>
      <c r="BO108">
        <f t="shared" si="31"/>
        <v>1</v>
      </c>
      <c r="BP108">
        <f t="shared" si="32"/>
        <v>0</v>
      </c>
      <c r="BQ108">
        <f t="shared" si="21"/>
        <v>1</v>
      </c>
      <c r="BR108">
        <f t="shared" si="33"/>
        <v>0</v>
      </c>
      <c r="BS108" s="9">
        <f t="shared" si="34"/>
        <v>0</v>
      </c>
      <c r="BT108" s="9">
        <f t="shared" si="35"/>
        <v>0</v>
      </c>
      <c r="BU108" s="9">
        <f t="shared" si="36"/>
        <v>0</v>
      </c>
      <c r="BV108" s="12">
        <f t="shared" si="37"/>
        <v>2.2425974143792096E-3</v>
      </c>
      <c r="BX108" s="12">
        <f t="shared" si="38"/>
        <v>0</v>
      </c>
      <c r="BY108" s="12">
        <f t="shared" si="39"/>
        <v>6.5171596187035387E-3</v>
      </c>
    </row>
    <row r="109" spans="1:77" x14ac:dyDescent="0.3">
      <c r="A109" s="1">
        <v>46181</v>
      </c>
      <c r="B109" s="8">
        <v>93.86</v>
      </c>
      <c r="C109" s="8">
        <v>338.98</v>
      </c>
      <c r="D109" s="9">
        <v>-2.6600005044248301E-3</v>
      </c>
      <c r="E109" s="9">
        <v>-3.1221491592497799E-3</v>
      </c>
      <c r="F109" s="8">
        <v>0</v>
      </c>
      <c r="G109" s="8">
        <v>0.26500000000000001</v>
      </c>
      <c r="H109" s="8">
        <v>0</v>
      </c>
      <c r="I109" s="8">
        <v>0.77029999999999998</v>
      </c>
      <c r="J109" s="8">
        <v>0</v>
      </c>
      <c r="K109" s="8">
        <v>0</v>
      </c>
      <c r="L109" s="8">
        <v>93.86</v>
      </c>
      <c r="M109" s="8">
        <v>338.98</v>
      </c>
      <c r="N109" s="10">
        <v>3.6115491157042401</v>
      </c>
      <c r="O109" s="10">
        <v>3.6128150130856298</v>
      </c>
      <c r="P109" s="10">
        <v>3.61277595169364</v>
      </c>
      <c r="Q109" s="10">
        <v>3.6106947453982601</v>
      </c>
      <c r="R109" s="8">
        <v>339.098817128218</v>
      </c>
      <c r="S109" s="8">
        <v>339.08779049076998</v>
      </c>
      <c r="T109" s="8">
        <v>338.89250380680897</v>
      </c>
      <c r="U109" s="9">
        <v>3.5045226729628999E-4</v>
      </c>
      <c r="V109" s="9">
        <v>3.1793426318054699E-4</v>
      </c>
      <c r="W109" s="9">
        <v>-2.5814941064951602E-4</v>
      </c>
      <c r="X109" s="10">
        <v>3.6115491157042401</v>
      </c>
      <c r="Y109" s="10">
        <v>3.6128150130856298</v>
      </c>
      <c r="Z109" s="10">
        <v>3.61277595169364</v>
      </c>
      <c r="AA109" s="10">
        <v>3.6106947453982601</v>
      </c>
      <c r="AB109" s="8">
        <v>339.098817128218</v>
      </c>
      <c r="AC109" s="8">
        <v>339.08779049076998</v>
      </c>
      <c r="AD109" s="8">
        <v>338.89250380680897</v>
      </c>
      <c r="AE109" s="9">
        <v>3.5045226729628999E-4</v>
      </c>
      <c r="AF109" s="9">
        <v>3.1793426318054699E-4</v>
      </c>
      <c r="AG109" s="9">
        <v>-2.5814941064951602E-4</v>
      </c>
      <c r="AZ109" s="9"/>
      <c r="BB109">
        <f t="shared" si="22"/>
        <v>0</v>
      </c>
      <c r="BC109">
        <f t="shared" si="23"/>
        <v>0</v>
      </c>
      <c r="BD109">
        <f t="shared" si="24"/>
        <v>0</v>
      </c>
      <c r="BE109">
        <f t="shared" si="20"/>
        <v>1</v>
      </c>
      <c r="BF109">
        <f t="shared" si="25"/>
        <v>0</v>
      </c>
      <c r="BG109" s="9">
        <f t="shared" si="26"/>
        <v>0</v>
      </c>
      <c r="BH109" s="9">
        <f t="shared" si="27"/>
        <v>0</v>
      </c>
      <c r="BI109" s="9">
        <f t="shared" si="28"/>
        <v>0</v>
      </c>
      <c r="BJ109" s="12">
        <f t="shared" si="29"/>
        <v>4.2745622043243309E-3</v>
      </c>
      <c r="BL109" s="9"/>
      <c r="BN109">
        <f t="shared" si="30"/>
        <v>0</v>
      </c>
      <c r="BO109">
        <f t="shared" si="31"/>
        <v>1</v>
      </c>
      <c r="BP109">
        <f t="shared" si="32"/>
        <v>0</v>
      </c>
      <c r="BQ109">
        <f t="shared" si="21"/>
        <v>1</v>
      </c>
      <c r="BR109">
        <f t="shared" si="33"/>
        <v>0</v>
      </c>
      <c r="BS109" s="9">
        <f t="shared" si="34"/>
        <v>0</v>
      </c>
      <c r="BT109" s="9">
        <f t="shared" si="35"/>
        <v>0</v>
      </c>
      <c r="BU109" s="9">
        <f t="shared" si="36"/>
        <v>0</v>
      </c>
      <c r="BV109" s="12">
        <f t="shared" si="37"/>
        <v>2.2425974143792096E-3</v>
      </c>
      <c r="BX109" s="12">
        <f t="shared" si="38"/>
        <v>0</v>
      </c>
      <c r="BY109" s="12">
        <f t="shared" si="39"/>
        <v>6.5171596187035387E-3</v>
      </c>
    </row>
    <row r="110" spans="1:77" x14ac:dyDescent="0.3">
      <c r="A110" s="1">
        <v>46182</v>
      </c>
      <c r="B110" s="8">
        <v>94.84</v>
      </c>
      <c r="C110" s="8">
        <v>342.81</v>
      </c>
      <c r="D110" s="9">
        <v>1.03869508309332E-2</v>
      </c>
      <c r="E110" s="9">
        <v>1.1235249236823499E-2</v>
      </c>
      <c r="F110" s="8">
        <v>0</v>
      </c>
      <c r="G110" s="8">
        <v>0.26500000000000001</v>
      </c>
      <c r="H110" s="8">
        <v>0</v>
      </c>
      <c r="I110" s="8">
        <v>0.77029999999999998</v>
      </c>
      <c r="J110" s="8">
        <v>0</v>
      </c>
      <c r="K110" s="8">
        <v>0</v>
      </c>
      <c r="L110" s="8">
        <v>94.84</v>
      </c>
      <c r="M110" s="8">
        <v>342.81</v>
      </c>
      <c r="N110" s="10">
        <v>3.61461408688317</v>
      </c>
      <c r="O110" s="10">
        <v>3.6128150130856298</v>
      </c>
      <c r="P110" s="10">
        <v>3.61330216933277</v>
      </c>
      <c r="Q110" s="10">
        <v>3.6110340169506898</v>
      </c>
      <c r="R110" s="8">
        <v>342.63937584104201</v>
      </c>
      <c r="S110" s="8">
        <v>342.635671258625</v>
      </c>
      <c r="T110" s="8">
        <v>342.43828965357102</v>
      </c>
      <c r="U110" s="9">
        <v>-4.9784613859413999E-4</v>
      </c>
      <c r="V110" s="9">
        <v>-5.0865809631007097E-4</v>
      </c>
      <c r="W110" s="9">
        <v>-1.08489255208568E-3</v>
      </c>
      <c r="X110" s="10">
        <v>3.61461408688317</v>
      </c>
      <c r="Y110" s="10">
        <v>3.6128150130856298</v>
      </c>
      <c r="Z110" s="10">
        <v>3.61330216933277</v>
      </c>
      <c r="AA110" s="10">
        <v>3.6110340169506898</v>
      </c>
      <c r="AB110" s="8">
        <v>342.63937584104201</v>
      </c>
      <c r="AC110" s="8">
        <v>342.635671258625</v>
      </c>
      <c r="AD110" s="8">
        <v>342.43828965357102</v>
      </c>
      <c r="AE110" s="9">
        <v>-4.9784613859413999E-4</v>
      </c>
      <c r="AF110" s="9">
        <v>-5.0865809631007097E-4</v>
      </c>
      <c r="AG110" s="9">
        <v>-1.08489255208568E-3</v>
      </c>
      <c r="AZ110" s="9"/>
      <c r="BB110">
        <f t="shared" si="22"/>
        <v>0</v>
      </c>
      <c r="BC110">
        <f t="shared" si="23"/>
        <v>0</v>
      </c>
      <c r="BD110">
        <f t="shared" si="24"/>
        <v>0</v>
      </c>
      <c r="BE110">
        <f t="shared" si="20"/>
        <v>1</v>
      </c>
      <c r="BF110">
        <f t="shared" si="25"/>
        <v>0</v>
      </c>
      <c r="BG110" s="9">
        <f t="shared" si="26"/>
        <v>0</v>
      </c>
      <c r="BH110" s="9">
        <f t="shared" si="27"/>
        <v>0</v>
      </c>
      <c r="BI110" s="9">
        <f t="shared" si="28"/>
        <v>0</v>
      </c>
      <c r="BJ110" s="12">
        <f t="shared" si="29"/>
        <v>4.2745622043243309E-3</v>
      </c>
      <c r="BL110" s="9"/>
      <c r="BN110">
        <f t="shared" si="30"/>
        <v>0</v>
      </c>
      <c r="BO110">
        <f t="shared" si="31"/>
        <v>1</v>
      </c>
      <c r="BP110">
        <f t="shared" si="32"/>
        <v>0</v>
      </c>
      <c r="BQ110">
        <f t="shared" si="21"/>
        <v>1</v>
      </c>
      <c r="BR110">
        <f t="shared" si="33"/>
        <v>0</v>
      </c>
      <c r="BS110" s="9">
        <f t="shared" si="34"/>
        <v>0</v>
      </c>
      <c r="BT110" s="9">
        <f t="shared" si="35"/>
        <v>0</v>
      </c>
      <c r="BU110" s="9">
        <f t="shared" si="36"/>
        <v>0</v>
      </c>
      <c r="BV110" s="12">
        <f t="shared" si="37"/>
        <v>2.2425974143792096E-3</v>
      </c>
      <c r="BX110" s="12">
        <f t="shared" si="38"/>
        <v>0</v>
      </c>
      <c r="BY110" s="12">
        <f t="shared" si="39"/>
        <v>6.5171596187035387E-3</v>
      </c>
    </row>
    <row r="111" spans="1:77" x14ac:dyDescent="0.3">
      <c r="A111" s="1">
        <v>46183</v>
      </c>
      <c r="B111" s="8">
        <v>91.68</v>
      </c>
      <c r="C111" s="8">
        <v>331.24</v>
      </c>
      <c r="D111" s="9">
        <v>-3.3887008230775201E-2</v>
      </c>
      <c r="E111" s="9">
        <v>-3.43331696612326E-2</v>
      </c>
      <c r="F111" s="8">
        <v>0</v>
      </c>
      <c r="G111" s="8">
        <v>0.26500000000000001</v>
      </c>
      <c r="H111" s="8">
        <v>0</v>
      </c>
      <c r="I111" s="8">
        <v>0.77029999999999998</v>
      </c>
      <c r="J111" s="8">
        <v>0</v>
      </c>
      <c r="K111" s="8">
        <v>0</v>
      </c>
      <c r="L111" s="8">
        <v>91.68</v>
      </c>
      <c r="M111" s="8">
        <v>331.24</v>
      </c>
      <c r="N111" s="10">
        <v>3.6130017452006902</v>
      </c>
      <c r="O111" s="10">
        <v>3.6128150130856298</v>
      </c>
      <c r="P111" s="10">
        <v>3.6134672030152002</v>
      </c>
      <c r="Q111" s="10">
        <v>3.6112119556696101</v>
      </c>
      <c r="R111" s="8">
        <v>331.22288039969101</v>
      </c>
      <c r="S111" s="8">
        <v>331.26754288442902</v>
      </c>
      <c r="T111" s="8">
        <v>331.05959867403902</v>
      </c>
      <c r="U111" s="9">
        <v>-5.1684708136679302E-5</v>
      </c>
      <c r="V111" s="9">
        <v>8.3147383726352297E-5</v>
      </c>
      <c r="W111" s="9">
        <v>-5.4477257961015296E-4</v>
      </c>
      <c r="X111" s="10">
        <v>3.6130017452006902</v>
      </c>
      <c r="Y111" s="10">
        <v>3.6128150130856298</v>
      </c>
      <c r="Z111" s="10">
        <v>3.6134672030152002</v>
      </c>
      <c r="AA111" s="10">
        <v>3.6112119556696101</v>
      </c>
      <c r="AB111" s="8">
        <v>331.22288039969101</v>
      </c>
      <c r="AC111" s="8">
        <v>331.26754288442902</v>
      </c>
      <c r="AD111" s="8">
        <v>331.05959867403902</v>
      </c>
      <c r="AE111" s="9">
        <v>-5.1684708136679302E-5</v>
      </c>
      <c r="AF111" s="9">
        <v>8.3147383726352297E-5</v>
      </c>
      <c r="AG111" s="9">
        <v>-5.4477257961015296E-4</v>
      </c>
      <c r="AZ111" s="9"/>
      <c r="BB111">
        <f t="shared" si="22"/>
        <v>0</v>
      </c>
      <c r="BC111">
        <f t="shared" si="23"/>
        <v>0</v>
      </c>
      <c r="BD111">
        <f t="shared" si="24"/>
        <v>0</v>
      </c>
      <c r="BE111">
        <f t="shared" si="20"/>
        <v>1</v>
      </c>
      <c r="BF111">
        <f t="shared" si="25"/>
        <v>0</v>
      </c>
      <c r="BG111" s="9">
        <f t="shared" si="26"/>
        <v>0</v>
      </c>
      <c r="BH111" s="9">
        <f t="shared" si="27"/>
        <v>0</v>
      </c>
      <c r="BI111" s="9">
        <f t="shared" si="28"/>
        <v>0</v>
      </c>
      <c r="BJ111" s="12">
        <f t="shared" si="29"/>
        <v>4.2745622043243309E-3</v>
      </c>
      <c r="BL111" s="9"/>
      <c r="BN111">
        <f t="shared" si="30"/>
        <v>0</v>
      </c>
      <c r="BO111">
        <f t="shared" si="31"/>
        <v>1</v>
      </c>
      <c r="BP111">
        <f t="shared" si="32"/>
        <v>0</v>
      </c>
      <c r="BQ111">
        <f t="shared" si="21"/>
        <v>1</v>
      </c>
      <c r="BR111">
        <f t="shared" si="33"/>
        <v>0</v>
      </c>
      <c r="BS111" s="9">
        <f t="shared" si="34"/>
        <v>0</v>
      </c>
      <c r="BT111" s="9">
        <f t="shared" si="35"/>
        <v>0</v>
      </c>
      <c r="BU111" s="9">
        <f t="shared" si="36"/>
        <v>0</v>
      </c>
      <c r="BV111" s="12">
        <f t="shared" si="37"/>
        <v>2.2425974143792096E-3</v>
      </c>
      <c r="BX111" s="12">
        <f t="shared" si="38"/>
        <v>0</v>
      </c>
      <c r="BY111" s="12">
        <f t="shared" si="39"/>
        <v>6.5171596187035387E-3</v>
      </c>
    </row>
    <row r="112" spans="1:77" x14ac:dyDescent="0.3">
      <c r="A112" s="1">
        <v>46184</v>
      </c>
      <c r="B112" s="8">
        <v>94.78</v>
      </c>
      <c r="C112" s="8">
        <v>342.49</v>
      </c>
      <c r="D112" s="9">
        <v>3.32541635730128E-2</v>
      </c>
      <c r="E112" s="9">
        <v>3.3399272030245702E-2</v>
      </c>
      <c r="F112" s="8">
        <v>0</v>
      </c>
      <c r="G112" s="8">
        <v>0.26500000000000001</v>
      </c>
      <c r="H112" s="8">
        <v>0</v>
      </c>
      <c r="I112" s="8">
        <v>0.77029999999999998</v>
      </c>
      <c r="J112" s="8">
        <v>0</v>
      </c>
      <c r="K112" s="8">
        <v>0</v>
      </c>
      <c r="L112" s="8">
        <v>94.78</v>
      </c>
      <c r="M112" s="8">
        <v>342.49</v>
      </c>
      <c r="N112" s="10">
        <v>3.6135260603502801</v>
      </c>
      <c r="O112" s="10">
        <v>3.6128150130856298</v>
      </c>
      <c r="P112" s="10">
        <v>3.6133228220537199</v>
      </c>
      <c r="Q112" s="10">
        <v>3.6115861952963502</v>
      </c>
      <c r="R112" s="8">
        <v>342.422606940256</v>
      </c>
      <c r="S112" s="8">
        <v>342.48442150178101</v>
      </c>
      <c r="T112" s="8">
        <v>342.27066915836502</v>
      </c>
      <c r="U112" s="9">
        <v>-1.9679316536956899E-4</v>
      </c>
      <c r="V112" s="9">
        <v>-1.6288194256168501E-5</v>
      </c>
      <c r="W112" s="9">
        <v>-6.4060586132810805E-4</v>
      </c>
      <c r="X112" s="10">
        <v>3.6135260603502801</v>
      </c>
      <c r="Y112" s="10">
        <v>3.6128150130856298</v>
      </c>
      <c r="Z112" s="10">
        <v>3.6133228220537199</v>
      </c>
      <c r="AA112" s="10">
        <v>3.6115861952963502</v>
      </c>
      <c r="AB112" s="8">
        <v>342.422606940256</v>
      </c>
      <c r="AC112" s="8">
        <v>342.48442150178101</v>
      </c>
      <c r="AD112" s="8">
        <v>342.27066915836502</v>
      </c>
      <c r="AE112" s="9">
        <v>-1.9679316536956899E-4</v>
      </c>
      <c r="AF112" s="9">
        <v>-1.6288194256168501E-5</v>
      </c>
      <c r="AG112" s="9">
        <v>-6.4060586132810805E-4</v>
      </c>
      <c r="AZ112" s="9"/>
      <c r="BB112">
        <f t="shared" si="22"/>
        <v>0</v>
      </c>
      <c r="BC112">
        <f t="shared" si="23"/>
        <v>0</v>
      </c>
      <c r="BD112">
        <f t="shared" si="24"/>
        <v>0</v>
      </c>
      <c r="BE112">
        <f t="shared" si="20"/>
        <v>1</v>
      </c>
      <c r="BF112">
        <f t="shared" si="25"/>
        <v>0</v>
      </c>
      <c r="BG112" s="9">
        <f t="shared" si="26"/>
        <v>0</v>
      </c>
      <c r="BH112" s="9">
        <f t="shared" si="27"/>
        <v>0</v>
      </c>
      <c r="BI112" s="9">
        <f t="shared" si="28"/>
        <v>0</v>
      </c>
      <c r="BJ112" s="12">
        <f t="shared" si="29"/>
        <v>4.2745622043243309E-3</v>
      </c>
      <c r="BL112" s="9"/>
      <c r="BN112">
        <f t="shared" si="30"/>
        <v>0</v>
      </c>
      <c r="BO112">
        <f t="shared" si="31"/>
        <v>1</v>
      </c>
      <c r="BP112">
        <f t="shared" si="32"/>
        <v>0</v>
      </c>
      <c r="BQ112">
        <f t="shared" si="21"/>
        <v>1</v>
      </c>
      <c r="BR112">
        <f t="shared" si="33"/>
        <v>0</v>
      </c>
      <c r="BS112" s="9">
        <f t="shared" si="34"/>
        <v>0</v>
      </c>
      <c r="BT112" s="9">
        <f t="shared" si="35"/>
        <v>0</v>
      </c>
      <c r="BU112" s="9">
        <f t="shared" si="36"/>
        <v>0</v>
      </c>
      <c r="BV112" s="12">
        <f t="shared" si="37"/>
        <v>2.2425974143792096E-3</v>
      </c>
      <c r="BX112" s="12">
        <f t="shared" si="38"/>
        <v>0</v>
      </c>
      <c r="BY112" s="12">
        <f t="shared" si="39"/>
        <v>6.5171596187035387E-3</v>
      </c>
    </row>
    <row r="113" spans="1:77" x14ac:dyDescent="0.3">
      <c r="A113" s="1">
        <v>46185</v>
      </c>
      <c r="B113" s="8">
        <v>95.14</v>
      </c>
      <c r="C113" s="8">
        <v>344.22</v>
      </c>
      <c r="D113" s="9">
        <v>3.7910744646931301E-3</v>
      </c>
      <c r="E113" s="9">
        <v>5.0385276460897998E-3</v>
      </c>
      <c r="F113" s="8">
        <v>0</v>
      </c>
      <c r="G113" s="8">
        <v>0.26500000000000001</v>
      </c>
      <c r="H113" s="8">
        <v>0</v>
      </c>
      <c r="I113" s="8">
        <v>0.77029999999999998</v>
      </c>
      <c r="J113" s="8">
        <v>0</v>
      </c>
      <c r="K113" s="8">
        <v>0</v>
      </c>
      <c r="L113" s="8">
        <v>95.14</v>
      </c>
      <c r="M113" s="8">
        <v>344.22</v>
      </c>
      <c r="N113" s="10">
        <v>3.6180365776749999</v>
      </c>
      <c r="O113" s="10">
        <v>3.6128150130856298</v>
      </c>
      <c r="P113" s="10">
        <v>3.61381973395783</v>
      </c>
      <c r="Q113" s="10">
        <v>3.6120971102868098</v>
      </c>
      <c r="R113" s="8">
        <v>343.72322034496699</v>
      </c>
      <c r="S113" s="8">
        <v>343.77153329019097</v>
      </c>
      <c r="T113" s="8">
        <v>343.60631062049498</v>
      </c>
      <c r="U113" s="9">
        <v>-1.4442463467661799E-3</v>
      </c>
      <c r="V113" s="9">
        <v>-1.30369852426266E-3</v>
      </c>
      <c r="W113" s="9">
        <v>-1.78443171734217E-3</v>
      </c>
      <c r="X113" s="10">
        <v>3.6180365776749999</v>
      </c>
      <c r="Y113" s="10">
        <v>3.6128150130856298</v>
      </c>
      <c r="Z113" s="10">
        <v>3.61381973395783</v>
      </c>
      <c r="AA113" s="10">
        <v>3.6120971102868098</v>
      </c>
      <c r="AB113" s="8">
        <v>343.72322034496699</v>
      </c>
      <c r="AC113" s="8">
        <v>343.77153329019097</v>
      </c>
      <c r="AD113" s="8">
        <v>343.60631062049498</v>
      </c>
      <c r="AE113" s="9">
        <v>-1.4442463467661799E-3</v>
      </c>
      <c r="AF113" s="9">
        <v>-1.30369852426266E-3</v>
      </c>
      <c r="AG113" s="9">
        <v>-1.78443171734217E-3</v>
      </c>
      <c r="AZ113" s="9"/>
      <c r="BB113">
        <f t="shared" si="22"/>
        <v>1</v>
      </c>
      <c r="BC113">
        <f t="shared" si="23"/>
        <v>0</v>
      </c>
      <c r="BD113">
        <f t="shared" si="24"/>
        <v>0</v>
      </c>
      <c r="BE113">
        <f t="shared" si="20"/>
        <v>1</v>
      </c>
      <c r="BF113">
        <f t="shared" si="25"/>
        <v>0</v>
      </c>
      <c r="BG113" s="9">
        <f t="shared" si="26"/>
        <v>0</v>
      </c>
      <c r="BH113" s="9">
        <f t="shared" si="27"/>
        <v>0</v>
      </c>
      <c r="BI113" s="9">
        <f t="shared" si="28"/>
        <v>0</v>
      </c>
      <c r="BJ113" s="12">
        <f t="shared" si="29"/>
        <v>4.2745622043243309E-3</v>
      </c>
      <c r="BL113" s="9"/>
      <c r="BN113">
        <f t="shared" si="30"/>
        <v>0</v>
      </c>
      <c r="BO113">
        <f t="shared" si="31"/>
        <v>1</v>
      </c>
      <c r="BP113">
        <f t="shared" si="32"/>
        <v>0</v>
      </c>
      <c r="BQ113">
        <f t="shared" si="21"/>
        <v>1</v>
      </c>
      <c r="BR113">
        <f t="shared" si="33"/>
        <v>0</v>
      </c>
      <c r="BS113" s="9">
        <f t="shared" si="34"/>
        <v>0</v>
      </c>
      <c r="BT113" s="9">
        <f t="shared" si="35"/>
        <v>0</v>
      </c>
      <c r="BU113" s="9">
        <f t="shared" si="36"/>
        <v>0</v>
      </c>
      <c r="BV113" s="12">
        <f t="shared" si="37"/>
        <v>2.2425974143792096E-3</v>
      </c>
      <c r="BX113" s="12">
        <f t="shared" si="38"/>
        <v>0</v>
      </c>
      <c r="BY113" s="12">
        <f t="shared" si="39"/>
        <v>6.5171596187035387E-3</v>
      </c>
    </row>
    <row r="114" spans="1:77" x14ac:dyDescent="0.3">
      <c r="A114" s="1">
        <v>46188</v>
      </c>
      <c r="B114" s="8">
        <v>96.4</v>
      </c>
      <c r="C114" s="8">
        <v>348.83</v>
      </c>
      <c r="D114" s="9">
        <v>1.31567106123646E-2</v>
      </c>
      <c r="E114" s="9">
        <v>1.3303709668724699E-2</v>
      </c>
      <c r="F114" s="8">
        <v>0</v>
      </c>
      <c r="G114" s="8">
        <v>0.26500000000000001</v>
      </c>
      <c r="H114" s="8">
        <v>0</v>
      </c>
      <c r="I114" s="8">
        <v>0.77029999999999998</v>
      </c>
      <c r="J114" s="8">
        <v>0</v>
      </c>
      <c r="K114" s="8">
        <v>0</v>
      </c>
      <c r="L114" s="8">
        <v>96.4</v>
      </c>
      <c r="M114" s="8">
        <v>348.83</v>
      </c>
      <c r="N114" s="10">
        <v>3.61856846473029</v>
      </c>
      <c r="O114" s="10">
        <v>3.6128150130856298</v>
      </c>
      <c r="P114" s="10">
        <v>3.6139423775013202</v>
      </c>
      <c r="Q114" s="10">
        <v>3.6125182480403302</v>
      </c>
      <c r="R114" s="8">
        <v>348.27536726145502</v>
      </c>
      <c r="S114" s="8">
        <v>348.37222235353499</v>
      </c>
      <c r="T114" s="8">
        <v>348.20616143164898</v>
      </c>
      <c r="U114" s="9">
        <v>-1.59124540312637E-3</v>
      </c>
      <c r="V114" s="9">
        <v>-1.3131848911893599E-3</v>
      </c>
      <c r="W114" s="9">
        <v>-1.78997523926168E-3</v>
      </c>
      <c r="X114" s="10">
        <v>3.61856846473029</v>
      </c>
      <c r="Y114" s="10">
        <v>3.6128150130856298</v>
      </c>
      <c r="Z114" s="10">
        <v>3.6139423775013202</v>
      </c>
      <c r="AA114" s="10">
        <v>3.6125182480403302</v>
      </c>
      <c r="AB114" s="8">
        <v>348.27536726145502</v>
      </c>
      <c r="AC114" s="8">
        <v>348.37222235353499</v>
      </c>
      <c r="AD114" s="8">
        <v>348.20616143164898</v>
      </c>
      <c r="AE114" s="9">
        <v>-1.59124540312637E-3</v>
      </c>
      <c r="AF114" s="9">
        <v>-1.3131848911893599E-3</v>
      </c>
      <c r="AG114" s="9">
        <v>-1.78997523926168E-3</v>
      </c>
      <c r="AZ114" s="9"/>
      <c r="BB114">
        <f t="shared" si="22"/>
        <v>1</v>
      </c>
      <c r="BC114">
        <f t="shared" si="23"/>
        <v>0</v>
      </c>
      <c r="BD114">
        <f t="shared" si="24"/>
        <v>1</v>
      </c>
      <c r="BE114">
        <f t="shared" si="20"/>
        <v>1</v>
      </c>
      <c r="BF114">
        <f t="shared" si="25"/>
        <v>1</v>
      </c>
      <c r="BG114" s="9">
        <f t="shared" si="26"/>
        <v>1.31567106123646E-2</v>
      </c>
      <c r="BH114" s="9">
        <f t="shared" si="27"/>
        <v>-1.3303709668724699E-2</v>
      </c>
      <c r="BI114" s="9">
        <f t="shared" si="28"/>
        <v>-1.4699905636009897E-4</v>
      </c>
      <c r="BJ114" s="12">
        <f t="shared" si="29"/>
        <v>4.1275631479642319E-3</v>
      </c>
      <c r="BL114" s="9"/>
      <c r="BN114">
        <f t="shared" si="30"/>
        <v>0</v>
      </c>
      <c r="BO114">
        <f t="shared" si="31"/>
        <v>1</v>
      </c>
      <c r="BP114">
        <f t="shared" si="32"/>
        <v>0</v>
      </c>
      <c r="BQ114">
        <f t="shared" si="21"/>
        <v>1</v>
      </c>
      <c r="BR114">
        <f t="shared" si="33"/>
        <v>0</v>
      </c>
      <c r="BS114" s="9">
        <f t="shared" si="34"/>
        <v>0</v>
      </c>
      <c r="BT114" s="9">
        <f t="shared" si="35"/>
        <v>0</v>
      </c>
      <c r="BU114" s="9">
        <f t="shared" si="36"/>
        <v>0</v>
      </c>
      <c r="BV114" s="12">
        <f t="shared" si="37"/>
        <v>2.2425974143792096E-3</v>
      </c>
      <c r="BX114" s="12">
        <f t="shared" si="38"/>
        <v>-1.4699905636009897E-4</v>
      </c>
      <c r="BY114" s="12">
        <f t="shared" si="39"/>
        <v>6.3701605623434398E-3</v>
      </c>
    </row>
    <row r="115" spans="1:77" x14ac:dyDescent="0.3">
      <c r="A115" s="1">
        <v>46189</v>
      </c>
      <c r="B115" s="8">
        <v>96.97</v>
      </c>
      <c r="C115" s="8">
        <v>350.84</v>
      </c>
      <c r="D115" s="9">
        <v>5.8954506999549204E-3</v>
      </c>
      <c r="E115" s="9">
        <v>5.7455815726213501E-3</v>
      </c>
      <c r="F115" s="8">
        <v>0</v>
      </c>
      <c r="G115" s="8">
        <v>0.26500000000000001</v>
      </c>
      <c r="H115" s="8">
        <v>0</v>
      </c>
      <c r="I115" s="8">
        <v>0.77029999999999998</v>
      </c>
      <c r="J115" s="8">
        <v>0</v>
      </c>
      <c r="K115" s="8">
        <v>0</v>
      </c>
      <c r="L115" s="8">
        <v>96.97</v>
      </c>
      <c r="M115" s="8">
        <v>350.84</v>
      </c>
      <c r="N115" s="10">
        <v>3.6180261936681402</v>
      </c>
      <c r="O115" s="10">
        <v>3.6128150130856298</v>
      </c>
      <c r="P115" s="10">
        <v>3.6143023946926101</v>
      </c>
      <c r="Q115" s="10">
        <v>3.61298901873664</v>
      </c>
      <c r="R115" s="8">
        <v>350.33467181891399</v>
      </c>
      <c r="S115" s="8">
        <v>350.44399234630299</v>
      </c>
      <c r="T115" s="8">
        <v>350.30589451246999</v>
      </c>
      <c r="U115" s="9">
        <v>-1.4413762757928201E-3</v>
      </c>
      <c r="V115" s="9">
        <v>-1.1293789680376499E-3</v>
      </c>
      <c r="W115" s="9">
        <v>-1.52352198028817E-3</v>
      </c>
      <c r="X115" s="10">
        <v>3.6180261936681402</v>
      </c>
      <c r="Y115" s="10">
        <v>3.6128150130856298</v>
      </c>
      <c r="Z115" s="10">
        <v>3.6143023946926101</v>
      </c>
      <c r="AA115" s="10">
        <v>3.61298901873664</v>
      </c>
      <c r="AB115" s="8">
        <v>350.33467181891399</v>
      </c>
      <c r="AC115" s="8">
        <v>350.44399234630299</v>
      </c>
      <c r="AD115" s="8">
        <v>350.30589451246999</v>
      </c>
      <c r="AE115" s="9">
        <v>-1.4413762757928201E-3</v>
      </c>
      <c r="AF115" s="9">
        <v>-1.1293789680376499E-3</v>
      </c>
      <c r="AG115" s="9">
        <v>-1.52352198028817E-3</v>
      </c>
      <c r="AZ115" s="9"/>
      <c r="BB115">
        <f t="shared" si="22"/>
        <v>1</v>
      </c>
      <c r="BC115">
        <f t="shared" si="23"/>
        <v>0</v>
      </c>
      <c r="BD115">
        <f t="shared" si="24"/>
        <v>1</v>
      </c>
      <c r="BE115">
        <f t="shared" si="20"/>
        <v>1</v>
      </c>
      <c r="BF115">
        <f t="shared" si="25"/>
        <v>1</v>
      </c>
      <c r="BG115" s="9">
        <f t="shared" si="26"/>
        <v>5.8954506999549204E-3</v>
      </c>
      <c r="BH115" s="9">
        <f t="shared" si="27"/>
        <v>-5.7455815726213501E-3</v>
      </c>
      <c r="BI115" s="9">
        <f t="shared" si="28"/>
        <v>1.4986912733357029E-4</v>
      </c>
      <c r="BJ115" s="12">
        <f t="shared" si="29"/>
        <v>4.2774322752978022E-3</v>
      </c>
      <c r="BL115" s="9"/>
      <c r="BN115">
        <f t="shared" si="30"/>
        <v>0</v>
      </c>
      <c r="BO115">
        <f t="shared" si="31"/>
        <v>1</v>
      </c>
      <c r="BP115">
        <f t="shared" si="32"/>
        <v>0</v>
      </c>
      <c r="BQ115">
        <f t="shared" si="21"/>
        <v>1</v>
      </c>
      <c r="BR115">
        <f t="shared" si="33"/>
        <v>0</v>
      </c>
      <c r="BS115" s="9">
        <f t="shared" si="34"/>
        <v>0</v>
      </c>
      <c r="BT115" s="9">
        <f t="shared" si="35"/>
        <v>0</v>
      </c>
      <c r="BU115" s="9">
        <f t="shared" si="36"/>
        <v>0</v>
      </c>
      <c r="BV115" s="12">
        <f t="shared" si="37"/>
        <v>2.2425974143792096E-3</v>
      </c>
      <c r="BX115" s="12">
        <f t="shared" si="38"/>
        <v>1.4986912733357029E-4</v>
      </c>
      <c r="BY115" s="12">
        <f t="shared" si="39"/>
        <v>6.52002968967701E-3</v>
      </c>
    </row>
    <row r="116" spans="1:77" x14ac:dyDescent="0.3">
      <c r="A116" s="1">
        <v>46190</v>
      </c>
      <c r="B116" s="8">
        <v>96.81</v>
      </c>
      <c r="C116" s="8">
        <v>349.71</v>
      </c>
      <c r="D116" s="9">
        <v>-1.6513575844746601E-3</v>
      </c>
      <c r="E116" s="9">
        <v>-3.2260394833301099E-3</v>
      </c>
      <c r="F116" s="8">
        <v>0</v>
      </c>
      <c r="G116" s="8">
        <v>0.26500000000000001</v>
      </c>
      <c r="H116" s="8">
        <v>0</v>
      </c>
      <c r="I116" s="8">
        <v>0.77029999999999998</v>
      </c>
      <c r="J116" s="8">
        <v>0</v>
      </c>
      <c r="K116" s="8">
        <v>0</v>
      </c>
      <c r="L116" s="8">
        <v>96.81</v>
      </c>
      <c r="M116" s="8">
        <v>349.71</v>
      </c>
      <c r="N116" s="10">
        <v>3.6123334366284401</v>
      </c>
      <c r="O116" s="10">
        <v>3.6128150130856298</v>
      </c>
      <c r="P116" s="10">
        <v>3.6145369022534601</v>
      </c>
      <c r="Q116" s="10">
        <v>3.6132267778827201</v>
      </c>
      <c r="R116" s="8">
        <v>349.75662141682</v>
      </c>
      <c r="S116" s="8">
        <v>349.90061483019201</v>
      </c>
      <c r="T116" s="8">
        <v>349.77346690389402</v>
      </c>
      <c r="U116" s="9">
        <v>1.3330562306255E-4</v>
      </c>
      <c r="V116" s="9">
        <v>5.4491693198621303E-4</v>
      </c>
      <c r="W116" s="9">
        <v>1.8146791760372799E-4</v>
      </c>
      <c r="X116" s="10">
        <v>3.6123334366284401</v>
      </c>
      <c r="Y116" s="10">
        <v>3.6128150130856298</v>
      </c>
      <c r="Z116" s="10">
        <v>3.6145369022534601</v>
      </c>
      <c r="AA116" s="10">
        <v>3.6132267778827201</v>
      </c>
      <c r="AB116" s="8">
        <v>349.75662141682</v>
      </c>
      <c r="AC116" s="8">
        <v>349.90061483019201</v>
      </c>
      <c r="AD116" s="8">
        <v>349.77346690389402</v>
      </c>
      <c r="AE116" s="9">
        <v>1.3330562306255E-4</v>
      </c>
      <c r="AF116" s="9">
        <v>5.4491693198621303E-4</v>
      </c>
      <c r="AG116" s="9">
        <v>1.8146791760372799E-4</v>
      </c>
      <c r="AZ116" s="9"/>
      <c r="BB116">
        <f t="shared" si="22"/>
        <v>0</v>
      </c>
      <c r="BC116">
        <f t="shared" si="23"/>
        <v>1</v>
      </c>
      <c r="BD116">
        <f t="shared" si="24"/>
        <v>1</v>
      </c>
      <c r="BE116">
        <f t="shared" si="20"/>
        <v>0</v>
      </c>
      <c r="BF116">
        <f t="shared" si="25"/>
        <v>1</v>
      </c>
      <c r="BG116" s="9">
        <f t="shared" si="26"/>
        <v>-1.6513575844746601E-3</v>
      </c>
      <c r="BH116" s="9">
        <f t="shared" si="27"/>
        <v>3.2260394833301099E-3</v>
      </c>
      <c r="BI116" s="9">
        <f t="shared" si="28"/>
        <v>1.5746818988554498E-3</v>
      </c>
      <c r="BJ116" s="12">
        <f t="shared" si="29"/>
        <v>5.852114174153252E-3</v>
      </c>
      <c r="BL116" s="9"/>
      <c r="BN116">
        <f t="shared" si="30"/>
        <v>0</v>
      </c>
      <c r="BO116">
        <f t="shared" si="31"/>
        <v>0</v>
      </c>
      <c r="BP116">
        <f t="shared" si="32"/>
        <v>0</v>
      </c>
      <c r="BQ116">
        <f t="shared" si="21"/>
        <v>0</v>
      </c>
      <c r="BR116">
        <f t="shared" si="33"/>
        <v>0</v>
      </c>
      <c r="BS116" s="9">
        <f t="shared" si="34"/>
        <v>0</v>
      </c>
      <c r="BT116" s="9">
        <f t="shared" si="35"/>
        <v>0</v>
      </c>
      <c r="BU116" s="9">
        <f t="shared" si="36"/>
        <v>0</v>
      </c>
      <c r="BV116" s="12">
        <f t="shared" si="37"/>
        <v>2.2425974143792096E-3</v>
      </c>
      <c r="BX116" s="12">
        <f t="shared" si="38"/>
        <v>1.5746818988554498E-3</v>
      </c>
      <c r="BY116" s="12">
        <f t="shared" si="39"/>
        <v>8.0947115885324598E-3</v>
      </c>
    </row>
    <row r="117" spans="1:77" x14ac:dyDescent="0.3">
      <c r="A117" s="1">
        <v>46191</v>
      </c>
      <c r="B117" s="8">
        <v>97.56</v>
      </c>
      <c r="C117" s="8">
        <v>353.56</v>
      </c>
      <c r="D117" s="9">
        <v>7.7172786157393399E-3</v>
      </c>
      <c r="E117" s="9">
        <v>1.0948962592896599E-2</v>
      </c>
      <c r="F117" s="8">
        <v>0.21299999999999999</v>
      </c>
      <c r="G117" s="8">
        <v>0.47799999999999998</v>
      </c>
      <c r="H117" s="8">
        <v>0</v>
      </c>
      <c r="I117" s="8">
        <v>0.77029999999999998</v>
      </c>
      <c r="J117" s="8">
        <v>0</v>
      </c>
      <c r="K117" s="8">
        <v>0</v>
      </c>
      <c r="L117" s="8">
        <v>97.56</v>
      </c>
      <c r="M117" s="8">
        <v>353.56</v>
      </c>
      <c r="N117" s="10">
        <v>3.6240262402623999</v>
      </c>
      <c r="O117" s="10">
        <v>3.6128150130856298</v>
      </c>
      <c r="P117" s="10">
        <v>3.6156900495111799</v>
      </c>
      <c r="Q117" s="10">
        <v>3.6139984827104699</v>
      </c>
      <c r="R117" s="8">
        <v>352.46623267663398</v>
      </c>
      <c r="S117" s="8">
        <v>352.63422018384802</v>
      </c>
      <c r="T117" s="8">
        <v>352.50640445023902</v>
      </c>
      <c r="U117" s="9">
        <v>-3.0983783540944202E-3</v>
      </c>
      <c r="V117" s="9">
        <v>-2.6218859345818902E-3</v>
      </c>
      <c r="W117" s="9">
        <v>-2.98441145231154E-3</v>
      </c>
      <c r="X117" s="10">
        <v>3.6240262402623999</v>
      </c>
      <c r="Y117" s="10">
        <v>3.6128150130856298</v>
      </c>
      <c r="Z117" s="10">
        <v>3.6156900495111799</v>
      </c>
      <c r="AA117" s="10">
        <v>3.6139984827104699</v>
      </c>
      <c r="AB117" s="8">
        <v>352.46623267663398</v>
      </c>
      <c r="AC117" s="8">
        <v>352.63422018384802</v>
      </c>
      <c r="AD117" s="8">
        <v>352.50640445023902</v>
      </c>
      <c r="AE117" s="9">
        <v>-3.0983783540944202E-3</v>
      </c>
      <c r="AF117" s="9">
        <v>-2.6218859345818902E-3</v>
      </c>
      <c r="AG117" s="9">
        <v>-2.98441145231154E-3</v>
      </c>
      <c r="AZ117" s="9"/>
      <c r="BB117">
        <f t="shared" si="22"/>
        <v>1</v>
      </c>
      <c r="BC117">
        <f t="shared" si="23"/>
        <v>0</v>
      </c>
      <c r="BD117">
        <f t="shared" si="24"/>
        <v>0</v>
      </c>
      <c r="BE117">
        <f t="shared" si="20"/>
        <v>1</v>
      </c>
      <c r="BF117">
        <f t="shared" si="25"/>
        <v>0</v>
      </c>
      <c r="BG117" s="9">
        <f t="shared" si="26"/>
        <v>0</v>
      </c>
      <c r="BH117" s="9">
        <f t="shared" si="27"/>
        <v>0</v>
      </c>
      <c r="BI117" s="9">
        <f t="shared" si="28"/>
        <v>0</v>
      </c>
      <c r="BJ117" s="12">
        <f t="shared" si="29"/>
        <v>5.852114174153252E-3</v>
      </c>
      <c r="BL117" s="9"/>
      <c r="BN117">
        <f t="shared" si="30"/>
        <v>0</v>
      </c>
      <c r="BO117">
        <f t="shared" si="31"/>
        <v>1</v>
      </c>
      <c r="BP117">
        <f t="shared" si="32"/>
        <v>0</v>
      </c>
      <c r="BQ117">
        <f t="shared" si="21"/>
        <v>1</v>
      </c>
      <c r="BR117">
        <f t="shared" si="33"/>
        <v>0</v>
      </c>
      <c r="BS117" s="9">
        <f t="shared" si="34"/>
        <v>0</v>
      </c>
      <c r="BT117" s="9">
        <f t="shared" si="35"/>
        <v>0</v>
      </c>
      <c r="BU117" s="9">
        <f t="shared" si="36"/>
        <v>0</v>
      </c>
      <c r="BV117" s="12">
        <f t="shared" si="37"/>
        <v>2.2425974143792096E-3</v>
      </c>
      <c r="BX117" s="12">
        <f t="shared" si="38"/>
        <v>0</v>
      </c>
      <c r="BY117" s="12">
        <f t="shared" si="39"/>
        <v>8.0947115885324598E-3</v>
      </c>
    </row>
    <row r="118" spans="1:77" x14ac:dyDescent="0.3">
      <c r="A118" s="1">
        <v>46195</v>
      </c>
      <c r="B118" s="8">
        <v>98.2</v>
      </c>
      <c r="C118" s="8">
        <v>355.88</v>
      </c>
      <c r="D118" s="9">
        <v>6.5386420127005801E-3</v>
      </c>
      <c r="E118" s="9">
        <v>6.5403931838193896E-3</v>
      </c>
      <c r="F118" s="8">
        <v>0</v>
      </c>
      <c r="G118" s="8">
        <v>0.47799999999999998</v>
      </c>
      <c r="H118" s="8">
        <v>0</v>
      </c>
      <c r="I118" s="8">
        <v>0.77029999999999998</v>
      </c>
      <c r="J118" s="8">
        <v>0</v>
      </c>
      <c r="K118" s="8">
        <v>0</v>
      </c>
      <c r="L118" s="8">
        <v>98.2</v>
      </c>
      <c r="M118" s="8">
        <v>355.88</v>
      </c>
      <c r="N118" s="10">
        <v>3.6240325865580401</v>
      </c>
      <c r="O118" s="10">
        <v>3.6128150130856298</v>
      </c>
      <c r="P118" s="10">
        <v>3.6167714507660702</v>
      </c>
      <c r="Q118" s="10">
        <v>3.6147344921141702</v>
      </c>
      <c r="R118" s="8">
        <v>354.77843428500898</v>
      </c>
      <c r="S118" s="8">
        <v>355.060762861998</v>
      </c>
      <c r="T118" s="8">
        <v>354.89465100216898</v>
      </c>
      <c r="U118" s="9">
        <v>-3.1001295252132402E-3</v>
      </c>
      <c r="V118" s="9">
        <v>-2.3046575563203499E-3</v>
      </c>
      <c r="W118" s="9">
        <v>-2.7726076828113598E-3</v>
      </c>
      <c r="X118" s="10">
        <v>3.6240325865580401</v>
      </c>
      <c r="Y118" s="10">
        <v>3.6128150130856298</v>
      </c>
      <c r="Z118" s="10">
        <v>3.6167714507660702</v>
      </c>
      <c r="AA118" s="10">
        <v>3.6147344921141702</v>
      </c>
      <c r="AB118" s="8">
        <v>354.77843428500898</v>
      </c>
      <c r="AC118" s="8">
        <v>355.060762861998</v>
      </c>
      <c r="AD118" s="8">
        <v>354.89465100216898</v>
      </c>
      <c r="AE118" s="9">
        <v>-3.1001295252132402E-3</v>
      </c>
      <c r="AF118" s="9">
        <v>-2.3046575563203499E-3</v>
      </c>
      <c r="AG118" s="9">
        <v>-2.7726076828113598E-3</v>
      </c>
      <c r="AZ118" s="9"/>
      <c r="BB118">
        <f t="shared" si="22"/>
        <v>1</v>
      </c>
      <c r="BC118">
        <f t="shared" si="23"/>
        <v>0</v>
      </c>
      <c r="BD118">
        <f t="shared" si="24"/>
        <v>1</v>
      </c>
      <c r="BE118">
        <f t="shared" si="20"/>
        <v>1</v>
      </c>
      <c r="BF118">
        <f t="shared" si="25"/>
        <v>1</v>
      </c>
      <c r="BG118" s="9">
        <f t="shared" si="26"/>
        <v>6.5386420127005801E-3</v>
      </c>
      <c r="BH118" s="9">
        <f t="shared" si="27"/>
        <v>-6.5403931838193896E-3</v>
      </c>
      <c r="BI118" s="9">
        <f t="shared" si="28"/>
        <v>-1.751171118809583E-6</v>
      </c>
      <c r="BJ118" s="12">
        <f t="shared" si="29"/>
        <v>5.8503630030344424E-3</v>
      </c>
      <c r="BL118" s="9"/>
      <c r="BN118">
        <f t="shared" si="30"/>
        <v>0</v>
      </c>
      <c r="BO118">
        <f t="shared" si="31"/>
        <v>1</v>
      </c>
      <c r="BP118">
        <f t="shared" si="32"/>
        <v>0</v>
      </c>
      <c r="BQ118">
        <f t="shared" si="21"/>
        <v>1</v>
      </c>
      <c r="BR118">
        <f t="shared" si="33"/>
        <v>0</v>
      </c>
      <c r="BS118" s="9">
        <f t="shared" si="34"/>
        <v>0</v>
      </c>
      <c r="BT118" s="9">
        <f t="shared" si="35"/>
        <v>0</v>
      </c>
      <c r="BU118" s="9">
        <f t="shared" si="36"/>
        <v>0</v>
      </c>
      <c r="BV118" s="12">
        <f t="shared" si="37"/>
        <v>2.2425974143792096E-3</v>
      </c>
      <c r="BX118" s="12">
        <f t="shared" si="38"/>
        <v>-1.751171118809583E-6</v>
      </c>
      <c r="BY118" s="12">
        <f t="shared" si="39"/>
        <v>8.0929604174136503E-3</v>
      </c>
    </row>
    <row r="119" spans="1:77" x14ac:dyDescent="0.3">
      <c r="A119" s="1">
        <v>46196</v>
      </c>
      <c r="B119" s="8">
        <v>96.13</v>
      </c>
      <c r="C119" s="8">
        <v>348.28</v>
      </c>
      <c r="D119" s="9">
        <v>-2.1304773282695401E-2</v>
      </c>
      <c r="E119" s="9">
        <v>-2.1586841416151799E-2</v>
      </c>
      <c r="F119" s="8">
        <v>0</v>
      </c>
      <c r="G119" s="8">
        <v>0.47799999999999998</v>
      </c>
      <c r="H119" s="8">
        <v>0</v>
      </c>
      <c r="I119" s="8">
        <v>0.77029999999999998</v>
      </c>
      <c r="J119" s="8">
        <v>0</v>
      </c>
      <c r="K119" s="8">
        <v>0</v>
      </c>
      <c r="L119" s="8">
        <v>96.13</v>
      </c>
      <c r="M119" s="8">
        <v>348.28</v>
      </c>
      <c r="N119" s="10">
        <v>3.6230105066056302</v>
      </c>
      <c r="O119" s="10">
        <v>3.6128150130856298</v>
      </c>
      <c r="P119" s="10">
        <v>3.6179175898562099</v>
      </c>
      <c r="Q119" s="10">
        <v>3.6153467707749201</v>
      </c>
      <c r="R119" s="8">
        <v>347.29990720792199</v>
      </c>
      <c r="S119" s="8">
        <v>347.68023956214199</v>
      </c>
      <c r="T119" s="8">
        <v>347.48442672693602</v>
      </c>
      <c r="U119" s="9">
        <v>-2.8180613917568199E-3</v>
      </c>
      <c r="V119" s="9">
        <v>-1.7235484219797999E-3</v>
      </c>
      <c r="W119" s="9">
        <v>-2.28690513408251E-3</v>
      </c>
      <c r="X119" s="10">
        <v>3.6230105066056302</v>
      </c>
      <c r="Y119" s="10">
        <v>3.6128150130856298</v>
      </c>
      <c r="Z119" s="10">
        <v>3.6179175898562099</v>
      </c>
      <c r="AA119" s="10">
        <v>3.6153467707749201</v>
      </c>
      <c r="AB119" s="8">
        <v>347.29990720792199</v>
      </c>
      <c r="AC119" s="8">
        <v>347.68023956214199</v>
      </c>
      <c r="AD119" s="8">
        <v>347.48442672693602</v>
      </c>
      <c r="AE119" s="9">
        <v>-2.8180613917568199E-3</v>
      </c>
      <c r="AF119" s="9">
        <v>-1.7235484219797999E-3</v>
      </c>
      <c r="AG119" s="9">
        <v>-2.28690513408251E-3</v>
      </c>
      <c r="AZ119" s="9"/>
      <c r="BB119">
        <f t="shared" si="22"/>
        <v>1</v>
      </c>
      <c r="BC119">
        <f t="shared" si="23"/>
        <v>0</v>
      </c>
      <c r="BD119">
        <f t="shared" si="24"/>
        <v>1</v>
      </c>
      <c r="BE119">
        <f t="shared" si="20"/>
        <v>0</v>
      </c>
      <c r="BF119">
        <f t="shared" si="25"/>
        <v>1</v>
      </c>
      <c r="BG119" s="9">
        <f t="shared" si="26"/>
        <v>-2.1304773282695401E-2</v>
      </c>
      <c r="BH119" s="9">
        <f t="shared" si="27"/>
        <v>2.1586841416151799E-2</v>
      </c>
      <c r="BI119" s="9">
        <f t="shared" si="28"/>
        <v>2.8206813345639861E-4</v>
      </c>
      <c r="BJ119" s="12">
        <f t="shared" si="29"/>
        <v>6.132431136490841E-3</v>
      </c>
      <c r="BL119" s="9"/>
      <c r="BN119">
        <f t="shared" si="30"/>
        <v>0</v>
      </c>
      <c r="BO119">
        <f t="shared" si="31"/>
        <v>1</v>
      </c>
      <c r="BP119">
        <f t="shared" si="32"/>
        <v>0</v>
      </c>
      <c r="BQ119">
        <f t="shared" si="21"/>
        <v>0</v>
      </c>
      <c r="BR119">
        <f t="shared" si="33"/>
        <v>0</v>
      </c>
      <c r="BS119" s="9">
        <f t="shared" si="34"/>
        <v>0</v>
      </c>
      <c r="BT119" s="9">
        <f t="shared" si="35"/>
        <v>0</v>
      </c>
      <c r="BU119" s="9">
        <f t="shared" si="36"/>
        <v>0</v>
      </c>
      <c r="BV119" s="12">
        <f t="shared" si="37"/>
        <v>2.2425974143792096E-3</v>
      </c>
      <c r="BX119" s="12">
        <f t="shared" si="38"/>
        <v>2.8206813345639861E-4</v>
      </c>
      <c r="BY119" s="12">
        <f t="shared" si="39"/>
        <v>8.3750285508700489E-3</v>
      </c>
    </row>
    <row r="120" spans="1:77" x14ac:dyDescent="0.3">
      <c r="A120" s="1">
        <v>46197</v>
      </c>
      <c r="B120" s="8">
        <v>97.06</v>
      </c>
      <c r="C120" s="8">
        <v>351.35</v>
      </c>
      <c r="D120" s="9">
        <v>9.6279018993455107E-3</v>
      </c>
      <c r="E120" s="9">
        <v>8.7761236777919895E-3</v>
      </c>
      <c r="F120" s="8">
        <v>0</v>
      </c>
      <c r="G120" s="8">
        <v>0.47799999999999998</v>
      </c>
      <c r="H120" s="8">
        <v>0.70540000000000003</v>
      </c>
      <c r="I120" s="8">
        <v>1.4757</v>
      </c>
      <c r="J120" s="8">
        <v>0</v>
      </c>
      <c r="K120" s="8">
        <v>0</v>
      </c>
      <c r="L120" s="8">
        <v>97.06</v>
      </c>
      <c r="M120" s="8">
        <v>351.35</v>
      </c>
      <c r="N120" s="10">
        <v>3.6199258190809802</v>
      </c>
      <c r="O120" s="10">
        <v>3.6128150130856298</v>
      </c>
      <c r="P120" s="10">
        <v>3.6184487630759898</v>
      </c>
      <c r="Q120" s="10">
        <v>3.6158754662043799</v>
      </c>
      <c r="R120" s="8">
        <v>350.65982517009201</v>
      </c>
      <c r="S120" s="8">
        <v>351.15508127144398</v>
      </c>
      <c r="T120" s="8">
        <v>350.90555757141402</v>
      </c>
      <c r="U120" s="9">
        <v>-1.96628317020342E-3</v>
      </c>
      <c r="V120" s="9">
        <v>-5.5492476497155804E-4</v>
      </c>
      <c r="W120" s="9">
        <v>-1.26575712539942E-3</v>
      </c>
      <c r="X120" s="10">
        <v>3.6199258190809802</v>
      </c>
      <c r="Y120" s="10">
        <v>3.6128150130856298</v>
      </c>
      <c r="Z120" s="10">
        <v>3.6184487630759898</v>
      </c>
      <c r="AA120" s="10">
        <v>3.6158754662043799</v>
      </c>
      <c r="AB120" s="8">
        <v>350.65982517009201</v>
      </c>
      <c r="AC120" s="8">
        <v>351.15508127144398</v>
      </c>
      <c r="AD120" s="8">
        <v>350.90555757141402</v>
      </c>
      <c r="AE120" s="9">
        <v>-1.96628317020342E-3</v>
      </c>
      <c r="AF120" s="9">
        <v>-5.5492476497155804E-4</v>
      </c>
      <c r="AG120" s="9">
        <v>-1.26575712539942E-3</v>
      </c>
      <c r="AZ120" s="9"/>
      <c r="BB120">
        <f t="shared" si="22"/>
        <v>1</v>
      </c>
      <c r="BC120">
        <f t="shared" si="23"/>
        <v>0</v>
      </c>
      <c r="BD120">
        <f t="shared" si="24"/>
        <v>0</v>
      </c>
      <c r="BE120">
        <f t="shared" si="20"/>
        <v>1</v>
      </c>
      <c r="BF120">
        <f t="shared" si="25"/>
        <v>0</v>
      </c>
      <c r="BG120" s="9">
        <f t="shared" si="26"/>
        <v>0</v>
      </c>
      <c r="BH120" s="9">
        <f t="shared" si="27"/>
        <v>0</v>
      </c>
      <c r="BI120" s="9">
        <f t="shared" si="28"/>
        <v>0</v>
      </c>
      <c r="BJ120" s="12">
        <f t="shared" si="29"/>
        <v>6.132431136490841E-3</v>
      </c>
      <c r="BL120" s="9"/>
      <c r="BN120">
        <f t="shared" si="30"/>
        <v>0</v>
      </c>
      <c r="BO120">
        <f t="shared" si="31"/>
        <v>1</v>
      </c>
      <c r="BP120">
        <f t="shared" si="32"/>
        <v>0</v>
      </c>
      <c r="BQ120">
        <f t="shared" si="21"/>
        <v>1</v>
      </c>
      <c r="BR120">
        <f t="shared" si="33"/>
        <v>0</v>
      </c>
      <c r="BS120" s="9">
        <f t="shared" si="34"/>
        <v>0</v>
      </c>
      <c r="BT120" s="9">
        <f t="shared" si="35"/>
        <v>0</v>
      </c>
      <c r="BU120" s="9">
        <f t="shared" si="36"/>
        <v>0</v>
      </c>
      <c r="BV120" s="12">
        <f t="shared" si="37"/>
        <v>2.2425974143792096E-3</v>
      </c>
      <c r="BX120" s="12">
        <f t="shared" si="38"/>
        <v>0</v>
      </c>
      <c r="BY120" s="12">
        <f t="shared" si="39"/>
        <v>8.3750285508700489E-3</v>
      </c>
    </row>
    <row r="121" spans="1:77" x14ac:dyDescent="0.3">
      <c r="A121" s="1">
        <v>46198</v>
      </c>
      <c r="B121" s="8">
        <v>99</v>
      </c>
      <c r="C121" s="8">
        <v>358.22</v>
      </c>
      <c r="D121" s="9">
        <v>1.9790506157519702E-2</v>
      </c>
      <c r="E121" s="9">
        <v>1.9364445158905799E-2</v>
      </c>
      <c r="F121" s="8">
        <v>0</v>
      </c>
      <c r="G121" s="8">
        <v>0.47799999999999998</v>
      </c>
      <c r="H121" s="8">
        <v>0</v>
      </c>
      <c r="I121" s="8">
        <v>1.4757</v>
      </c>
      <c r="J121" s="8">
        <v>0</v>
      </c>
      <c r="K121" s="8">
        <v>0</v>
      </c>
      <c r="L121" s="8">
        <v>99</v>
      </c>
      <c r="M121" s="8">
        <v>358.22</v>
      </c>
      <c r="N121" s="10">
        <v>3.61838383838383</v>
      </c>
      <c r="O121" s="10">
        <v>3.6128150130856298</v>
      </c>
      <c r="P121" s="10">
        <v>3.6189869723942998</v>
      </c>
      <c r="Q121" s="10">
        <v>3.61622708770475</v>
      </c>
      <c r="R121" s="8">
        <v>357.66868629547798</v>
      </c>
      <c r="S121" s="8">
        <v>358.22642754452301</v>
      </c>
      <c r="T121" s="8">
        <v>357.971671154234</v>
      </c>
      <c r="U121" s="9">
        <v>-1.54022217158954E-3</v>
      </c>
      <c r="V121" s="9">
        <v>1.7942847577549699E-5</v>
      </c>
      <c r="W121" s="9">
        <v>-6.93470381518098E-4</v>
      </c>
      <c r="X121" s="10">
        <v>3.61838383838383</v>
      </c>
      <c r="Y121" s="10">
        <v>3.6128150130856298</v>
      </c>
      <c r="Z121" s="10">
        <v>3.6189869723942998</v>
      </c>
      <c r="AA121" s="10">
        <v>3.61622708770475</v>
      </c>
      <c r="AB121" s="8">
        <v>357.66868629547798</v>
      </c>
      <c r="AC121" s="8">
        <v>358.22642754452301</v>
      </c>
      <c r="AD121" s="8">
        <v>357.971671154234</v>
      </c>
      <c r="AE121" s="9">
        <v>-1.54022217158954E-3</v>
      </c>
      <c r="AF121" s="9">
        <v>1.7942847577549699E-5</v>
      </c>
      <c r="AG121" s="9">
        <v>-6.93470381518098E-4</v>
      </c>
      <c r="AZ121" s="9"/>
      <c r="BB121">
        <f t="shared" si="22"/>
        <v>0</v>
      </c>
      <c r="BC121">
        <f t="shared" si="23"/>
        <v>0</v>
      </c>
      <c r="BD121">
        <f t="shared" si="24"/>
        <v>1</v>
      </c>
      <c r="BE121">
        <f t="shared" si="20"/>
        <v>1</v>
      </c>
      <c r="BF121">
        <f t="shared" si="25"/>
        <v>1</v>
      </c>
      <c r="BG121" s="9">
        <f t="shared" si="26"/>
        <v>1.9790506157519702E-2</v>
      </c>
      <c r="BH121" s="9">
        <f t="shared" si="27"/>
        <v>-1.9364445158905799E-2</v>
      </c>
      <c r="BI121" s="9">
        <f t="shared" si="28"/>
        <v>4.2606099861390231E-4</v>
      </c>
      <c r="BJ121" s="12">
        <f t="shared" si="29"/>
        <v>6.5584921351047433E-3</v>
      </c>
      <c r="BL121" s="9"/>
      <c r="BN121">
        <f t="shared" si="30"/>
        <v>0</v>
      </c>
      <c r="BO121">
        <f t="shared" si="31"/>
        <v>1</v>
      </c>
      <c r="BP121">
        <f t="shared" si="32"/>
        <v>0</v>
      </c>
      <c r="BQ121">
        <f t="shared" si="21"/>
        <v>1</v>
      </c>
      <c r="BR121">
        <f t="shared" si="33"/>
        <v>0</v>
      </c>
      <c r="BS121" s="9">
        <f t="shared" si="34"/>
        <v>0</v>
      </c>
      <c r="BT121" s="9">
        <f t="shared" si="35"/>
        <v>0</v>
      </c>
      <c r="BU121" s="9">
        <f t="shared" si="36"/>
        <v>0</v>
      </c>
      <c r="BV121" s="12">
        <f t="shared" si="37"/>
        <v>2.2425974143792096E-3</v>
      </c>
      <c r="BX121" s="12">
        <f t="shared" si="38"/>
        <v>4.2606099861390231E-4</v>
      </c>
      <c r="BY121" s="12">
        <f t="shared" si="39"/>
        <v>8.8010895494839512E-3</v>
      </c>
    </row>
    <row r="122" spans="1:77" x14ac:dyDescent="0.3">
      <c r="A122" s="1">
        <v>46199</v>
      </c>
      <c r="B122" s="8">
        <v>97.19</v>
      </c>
      <c r="C122" s="8">
        <v>352.47</v>
      </c>
      <c r="D122" s="9">
        <v>-1.8452024619210701E-2</v>
      </c>
      <c r="E122" s="9">
        <v>-1.6181810549521499E-2</v>
      </c>
      <c r="F122" s="8">
        <v>0</v>
      </c>
      <c r="G122" s="8">
        <v>0.47799999999999998</v>
      </c>
      <c r="H122" s="8">
        <v>0</v>
      </c>
      <c r="I122" s="8">
        <v>1.4757</v>
      </c>
      <c r="J122" s="8">
        <v>0</v>
      </c>
      <c r="K122" s="8">
        <v>0</v>
      </c>
      <c r="L122" s="8">
        <v>97.19</v>
      </c>
      <c r="M122" s="8">
        <v>352.47</v>
      </c>
      <c r="N122" s="10">
        <v>3.62660767568679</v>
      </c>
      <c r="O122" s="10">
        <v>3.6128150130856298</v>
      </c>
      <c r="P122" s="10">
        <v>3.6202951339279501</v>
      </c>
      <c r="Q122" s="10">
        <v>3.6168089779908401</v>
      </c>
      <c r="R122" s="8">
        <v>351.12949112179302</v>
      </c>
      <c r="S122" s="8">
        <v>351.72934384700199</v>
      </c>
      <c r="T122" s="8">
        <v>351.46111065402499</v>
      </c>
      <c r="U122" s="9">
        <v>-3.8104362412787001E-3</v>
      </c>
      <c r="V122" s="9">
        <v>-2.1035419376029198E-3</v>
      </c>
      <c r="W122" s="9">
        <v>-2.8664453708630699E-3</v>
      </c>
      <c r="X122" s="10">
        <v>3.62660767568679</v>
      </c>
      <c r="Y122" s="10">
        <v>3.6128150130856298</v>
      </c>
      <c r="Z122" s="10">
        <v>3.6202951339279501</v>
      </c>
      <c r="AA122" s="10">
        <v>3.6168089779908401</v>
      </c>
      <c r="AB122" s="8">
        <v>351.12949112179302</v>
      </c>
      <c r="AC122" s="8">
        <v>351.72934384700199</v>
      </c>
      <c r="AD122" s="8">
        <v>351.46111065402499</v>
      </c>
      <c r="AE122" s="9">
        <v>-3.8104362412787001E-3</v>
      </c>
      <c r="AF122" s="9">
        <v>-2.1035419376029198E-3</v>
      </c>
      <c r="AG122" s="9">
        <v>-2.8664453708630699E-3</v>
      </c>
      <c r="AZ122" s="9"/>
      <c r="BB122">
        <f t="shared" si="22"/>
        <v>1</v>
      </c>
      <c r="BC122">
        <f t="shared" si="23"/>
        <v>0</v>
      </c>
      <c r="BD122">
        <f t="shared" si="24"/>
        <v>1</v>
      </c>
      <c r="BE122">
        <f t="shared" si="20"/>
        <v>1</v>
      </c>
      <c r="BF122">
        <f t="shared" si="25"/>
        <v>1</v>
      </c>
      <c r="BG122" s="9">
        <f t="shared" si="26"/>
        <v>-1.8452024619210701E-2</v>
      </c>
      <c r="BH122" s="9">
        <f t="shared" si="27"/>
        <v>1.6181810549521499E-2</v>
      </c>
      <c r="BI122" s="9">
        <f t="shared" si="28"/>
        <v>-2.2702140696892019E-3</v>
      </c>
      <c r="BJ122" s="12">
        <f t="shared" si="29"/>
        <v>4.2882780654155414E-3</v>
      </c>
      <c r="BL122" s="9"/>
      <c r="BN122">
        <f t="shared" si="30"/>
        <v>0</v>
      </c>
      <c r="BO122">
        <f t="shared" si="31"/>
        <v>1</v>
      </c>
      <c r="BP122">
        <f t="shared" si="32"/>
        <v>0</v>
      </c>
      <c r="BQ122">
        <f t="shared" si="21"/>
        <v>1</v>
      </c>
      <c r="BR122">
        <f t="shared" si="33"/>
        <v>0</v>
      </c>
      <c r="BS122" s="9">
        <f t="shared" si="34"/>
        <v>0</v>
      </c>
      <c r="BT122" s="9">
        <f t="shared" si="35"/>
        <v>0</v>
      </c>
      <c r="BU122" s="9">
        <f t="shared" si="36"/>
        <v>0</v>
      </c>
      <c r="BV122" s="12">
        <f t="shared" si="37"/>
        <v>2.2425974143792096E-3</v>
      </c>
      <c r="BX122" s="12">
        <f t="shared" si="38"/>
        <v>-2.2702140696892019E-3</v>
      </c>
      <c r="BY122" s="12">
        <f t="shared" si="39"/>
        <v>6.5308754797947493E-3</v>
      </c>
    </row>
    <row r="123" spans="1:77" x14ac:dyDescent="0.3">
      <c r="A123" s="1">
        <v>46202</v>
      </c>
      <c r="B123" s="8">
        <v>98.2</v>
      </c>
      <c r="C123" s="8">
        <v>355.46</v>
      </c>
      <c r="D123" s="9">
        <v>1.03383898450411E-2</v>
      </c>
      <c r="E123" s="9">
        <v>8.4472130842546296E-3</v>
      </c>
      <c r="F123" s="8">
        <v>0</v>
      </c>
      <c r="G123" s="8">
        <v>0.47799999999999998</v>
      </c>
      <c r="H123" s="8">
        <v>0</v>
      </c>
      <c r="I123" s="8">
        <v>1.4757</v>
      </c>
      <c r="J123" s="8">
        <v>0</v>
      </c>
      <c r="K123" s="8">
        <v>0</v>
      </c>
      <c r="L123" s="8">
        <v>98.2</v>
      </c>
      <c r="M123" s="8">
        <v>355.46</v>
      </c>
      <c r="N123" s="10">
        <v>3.6197556008146599</v>
      </c>
      <c r="O123" s="10">
        <v>3.6128150130856298</v>
      </c>
      <c r="P123" s="10">
        <v>3.6204670362419198</v>
      </c>
      <c r="Q123" s="10">
        <v>3.61714338509988</v>
      </c>
      <c r="R123" s="8">
        <v>354.77843428500898</v>
      </c>
      <c r="S123" s="8">
        <v>355.512982151725</v>
      </c>
      <c r="T123" s="8">
        <v>355.17064163869998</v>
      </c>
      <c r="U123" s="9">
        <v>-1.9192594804923299E-3</v>
      </c>
      <c r="V123" s="9">
        <v>1.49041252350729E-4</v>
      </c>
      <c r="W123" s="9">
        <v>-8.1437067398058404E-4</v>
      </c>
      <c r="X123" s="10">
        <v>3.6197556008146599</v>
      </c>
      <c r="Y123" s="10">
        <v>3.6128150130856298</v>
      </c>
      <c r="Z123" s="10">
        <v>3.6204670362419198</v>
      </c>
      <c r="AA123" s="10">
        <v>3.61714338509988</v>
      </c>
      <c r="AB123" s="8">
        <v>354.77843428500898</v>
      </c>
      <c r="AC123" s="8">
        <v>355.512982151725</v>
      </c>
      <c r="AD123" s="8">
        <v>355.17064163869998</v>
      </c>
      <c r="AE123" s="9">
        <v>-1.9192594804923299E-3</v>
      </c>
      <c r="AF123" s="9">
        <v>1.49041252350729E-4</v>
      </c>
      <c r="AG123" s="9">
        <v>-8.1437067398058404E-4</v>
      </c>
      <c r="AZ123" s="9"/>
      <c r="BB123">
        <f t="shared" si="22"/>
        <v>0</v>
      </c>
      <c r="BC123">
        <f t="shared" si="23"/>
        <v>0</v>
      </c>
      <c r="BD123">
        <f t="shared" si="24"/>
        <v>1</v>
      </c>
      <c r="BE123">
        <f t="shared" si="20"/>
        <v>1</v>
      </c>
      <c r="BF123">
        <f t="shared" si="25"/>
        <v>1</v>
      </c>
      <c r="BG123" s="9">
        <f t="shared" si="26"/>
        <v>1.03383898450411E-2</v>
      </c>
      <c r="BH123" s="9">
        <f t="shared" si="27"/>
        <v>-8.4472130842546296E-3</v>
      </c>
      <c r="BI123" s="9">
        <f t="shared" si="28"/>
        <v>1.8911767607864699E-3</v>
      </c>
      <c r="BJ123" s="12">
        <f t="shared" si="29"/>
        <v>6.1794548262020113E-3</v>
      </c>
      <c r="BL123" s="9"/>
      <c r="BN123">
        <f t="shared" si="30"/>
        <v>0</v>
      </c>
      <c r="BO123">
        <f t="shared" si="31"/>
        <v>1</v>
      </c>
      <c r="BP123">
        <f t="shared" si="32"/>
        <v>0</v>
      </c>
      <c r="BQ123">
        <f t="shared" si="21"/>
        <v>1</v>
      </c>
      <c r="BR123">
        <f t="shared" si="33"/>
        <v>0</v>
      </c>
      <c r="BS123" s="9">
        <f t="shared" si="34"/>
        <v>0</v>
      </c>
      <c r="BT123" s="9">
        <f t="shared" si="35"/>
        <v>0</v>
      </c>
      <c r="BU123" s="9">
        <f t="shared" si="36"/>
        <v>0</v>
      </c>
      <c r="BV123" s="12">
        <f t="shared" si="37"/>
        <v>2.2425974143792096E-3</v>
      </c>
      <c r="BX123" s="12">
        <f t="shared" si="38"/>
        <v>1.8911767607864699E-3</v>
      </c>
      <c r="BY123" s="12">
        <f t="shared" si="39"/>
        <v>8.4220522405812192E-3</v>
      </c>
    </row>
    <row r="124" spans="1:77" x14ac:dyDescent="0.3">
      <c r="A124" s="1">
        <v>46203</v>
      </c>
      <c r="B124" s="8">
        <v>99.61</v>
      </c>
      <c r="C124" s="8">
        <v>360.38</v>
      </c>
      <c r="D124" s="9">
        <v>1.4256345796653899E-2</v>
      </c>
      <c r="E124" s="9">
        <v>1.37463049668225E-2</v>
      </c>
      <c r="F124" s="8">
        <v>0</v>
      </c>
      <c r="G124" s="8">
        <v>0.47799999999999998</v>
      </c>
      <c r="H124" s="8">
        <v>0</v>
      </c>
      <c r="I124" s="8">
        <v>1.4757</v>
      </c>
      <c r="J124" s="8">
        <v>0</v>
      </c>
      <c r="K124" s="8">
        <v>0</v>
      </c>
      <c r="L124" s="8">
        <v>99.61</v>
      </c>
      <c r="M124" s="8">
        <v>360.38</v>
      </c>
      <c r="N124" s="10">
        <v>3.6179098484087899</v>
      </c>
      <c r="O124" s="10">
        <v>3.6128150130856298</v>
      </c>
      <c r="P124" s="10">
        <v>3.62040117460977</v>
      </c>
      <c r="Q124" s="10">
        <v>3.61717177605555</v>
      </c>
      <c r="R124" s="8">
        <v>359.87250345346001</v>
      </c>
      <c r="S124" s="8">
        <v>360.63472148005798</v>
      </c>
      <c r="T124" s="8">
        <v>360.30365258979901</v>
      </c>
      <c r="U124" s="9">
        <v>-1.4092186506607599E-3</v>
      </c>
      <c r="V124" s="9">
        <v>7.0656391074071202E-4</v>
      </c>
      <c r="W124" s="9">
        <v>-2.1187496125970901E-4</v>
      </c>
      <c r="X124" s="10">
        <v>3.6179098484087899</v>
      </c>
      <c r="Y124" s="10">
        <v>3.6128150130856298</v>
      </c>
      <c r="Z124" s="10">
        <v>3.62040117460977</v>
      </c>
      <c r="AA124" s="10">
        <v>3.61717177605555</v>
      </c>
      <c r="AB124" s="8">
        <v>359.87250345346001</v>
      </c>
      <c r="AC124" s="8">
        <v>360.63472148005798</v>
      </c>
      <c r="AD124" s="8">
        <v>360.30365258979901</v>
      </c>
      <c r="AE124" s="9">
        <v>-1.4092186506607599E-3</v>
      </c>
      <c r="AF124" s="9">
        <v>7.0656391074071202E-4</v>
      </c>
      <c r="AG124" s="9">
        <v>-2.1187496125970901E-4</v>
      </c>
      <c r="AZ124" s="9"/>
      <c r="BB124">
        <f t="shared" si="22"/>
        <v>0</v>
      </c>
      <c r="BC124">
        <f t="shared" si="23"/>
        <v>0</v>
      </c>
      <c r="BD124">
        <f t="shared" si="24"/>
        <v>1</v>
      </c>
      <c r="BE124">
        <f t="shared" si="20"/>
        <v>1</v>
      </c>
      <c r="BF124">
        <f t="shared" si="25"/>
        <v>1</v>
      </c>
      <c r="BG124" s="9">
        <f t="shared" si="26"/>
        <v>1.4256345796653899E-2</v>
      </c>
      <c r="BH124" s="9">
        <f t="shared" si="27"/>
        <v>-1.37463049668225E-2</v>
      </c>
      <c r="BI124" s="9">
        <f t="shared" si="28"/>
        <v>5.1004082983139958E-4</v>
      </c>
      <c r="BJ124" s="12">
        <f t="shared" si="29"/>
        <v>6.6894956560334109E-3</v>
      </c>
      <c r="BL124" s="9"/>
      <c r="BN124">
        <f t="shared" si="30"/>
        <v>0</v>
      </c>
      <c r="BO124">
        <f t="shared" si="31"/>
        <v>1</v>
      </c>
      <c r="BP124">
        <f t="shared" si="32"/>
        <v>0</v>
      </c>
      <c r="BQ124">
        <f t="shared" si="21"/>
        <v>1</v>
      </c>
      <c r="BR124">
        <f t="shared" si="33"/>
        <v>0</v>
      </c>
      <c r="BS124" s="9">
        <f t="shared" si="34"/>
        <v>0</v>
      </c>
      <c r="BT124" s="9">
        <f t="shared" si="35"/>
        <v>0</v>
      </c>
      <c r="BU124" s="9">
        <f t="shared" si="36"/>
        <v>0</v>
      </c>
      <c r="BV124" s="12">
        <f t="shared" si="37"/>
        <v>2.2425974143792096E-3</v>
      </c>
      <c r="BX124" s="12">
        <f t="shared" si="38"/>
        <v>5.1004082983139958E-4</v>
      </c>
      <c r="BY124" s="12">
        <f t="shared" si="39"/>
        <v>8.9320930704126188E-3</v>
      </c>
    </row>
    <row r="125" spans="1:77" x14ac:dyDescent="0.3">
      <c r="A125" s="1">
        <v>46204</v>
      </c>
      <c r="B125" s="8">
        <v>98.26</v>
      </c>
      <c r="C125" s="8">
        <v>355.98</v>
      </c>
      <c r="D125" s="9">
        <v>-1.3645534416572101E-2</v>
      </c>
      <c r="E125" s="9">
        <v>-1.22844808000612E-2</v>
      </c>
      <c r="F125" s="8">
        <v>0</v>
      </c>
      <c r="G125" s="8">
        <v>0.47799999999999998</v>
      </c>
      <c r="H125" s="8">
        <v>0</v>
      </c>
      <c r="I125" s="8">
        <v>1.4757</v>
      </c>
      <c r="J125" s="8">
        <v>0</v>
      </c>
      <c r="K125" s="8">
        <v>0</v>
      </c>
      <c r="L125" s="8">
        <v>98.26</v>
      </c>
      <c r="M125" s="8">
        <v>355.98</v>
      </c>
      <c r="N125" s="10">
        <v>3.6228373702422099</v>
      </c>
      <c r="O125" s="10">
        <v>3.6128150130856298</v>
      </c>
      <c r="P125" s="10">
        <v>3.6208822922671802</v>
      </c>
      <c r="Q125" s="10">
        <v>3.6175923434799002</v>
      </c>
      <c r="R125" s="8">
        <v>354.99520318579403</v>
      </c>
      <c r="S125" s="8">
        <v>355.74061941715598</v>
      </c>
      <c r="T125" s="8">
        <v>355.42329871521798</v>
      </c>
      <c r="U125" s="9">
        <v>-2.7702722671715798E-3</v>
      </c>
      <c r="V125" s="9">
        <v>-6.7268134528990198E-4</v>
      </c>
      <c r="W125" s="9">
        <v>-1.5650796093368701E-3</v>
      </c>
      <c r="X125" s="10">
        <v>3.6228373702422099</v>
      </c>
      <c r="Y125" s="10">
        <v>3.6128150130856298</v>
      </c>
      <c r="Z125" s="10">
        <v>3.6208822922671802</v>
      </c>
      <c r="AA125" s="10">
        <v>3.6175923434799002</v>
      </c>
      <c r="AB125" s="8">
        <v>354.99520318579403</v>
      </c>
      <c r="AC125" s="8">
        <v>355.74061941715598</v>
      </c>
      <c r="AD125" s="8">
        <v>355.42329871521798</v>
      </c>
      <c r="AE125" s="9">
        <v>-2.7702722671715798E-3</v>
      </c>
      <c r="AF125" s="9">
        <v>-6.7268134528990198E-4</v>
      </c>
      <c r="AG125" s="9">
        <v>-1.5650796093368701E-3</v>
      </c>
      <c r="AZ125" s="9"/>
      <c r="BB125">
        <f t="shared" si="22"/>
        <v>1</v>
      </c>
      <c r="BC125">
        <f t="shared" si="23"/>
        <v>0</v>
      </c>
      <c r="BD125">
        <f t="shared" si="24"/>
        <v>1</v>
      </c>
      <c r="BE125">
        <f t="shared" si="20"/>
        <v>1</v>
      </c>
      <c r="BF125">
        <f t="shared" si="25"/>
        <v>1</v>
      </c>
      <c r="BG125" s="9">
        <f t="shared" si="26"/>
        <v>-1.3645534416572101E-2</v>
      </c>
      <c r="BH125" s="9">
        <f t="shared" si="27"/>
        <v>1.22844808000612E-2</v>
      </c>
      <c r="BI125" s="9">
        <f t="shared" si="28"/>
        <v>-1.3610536165109006E-3</v>
      </c>
      <c r="BJ125" s="12">
        <f t="shared" si="29"/>
        <v>5.3284420395225103E-3</v>
      </c>
      <c r="BL125" s="9"/>
      <c r="BN125">
        <f t="shared" si="30"/>
        <v>0</v>
      </c>
      <c r="BO125">
        <f t="shared" si="31"/>
        <v>1</v>
      </c>
      <c r="BP125">
        <f t="shared" si="32"/>
        <v>0</v>
      </c>
      <c r="BQ125">
        <f t="shared" si="21"/>
        <v>1</v>
      </c>
      <c r="BR125">
        <f t="shared" si="33"/>
        <v>0</v>
      </c>
      <c r="BS125" s="9">
        <f t="shared" si="34"/>
        <v>0</v>
      </c>
      <c r="BT125" s="9">
        <f t="shared" si="35"/>
        <v>0</v>
      </c>
      <c r="BU125" s="9">
        <f t="shared" si="36"/>
        <v>0</v>
      </c>
      <c r="BV125" s="12">
        <f t="shared" si="37"/>
        <v>2.2425974143792096E-3</v>
      </c>
      <c r="BX125" s="12">
        <f t="shared" si="38"/>
        <v>-1.3610536165109006E-3</v>
      </c>
      <c r="BY125" s="12">
        <f t="shared" si="39"/>
        <v>7.5710394539017182E-3</v>
      </c>
    </row>
    <row r="126" spans="1:77" x14ac:dyDescent="0.3">
      <c r="A126" s="1">
        <v>46205</v>
      </c>
      <c r="B126" s="8">
        <v>98.25</v>
      </c>
      <c r="C126" s="8">
        <v>355.13</v>
      </c>
      <c r="D126" s="9">
        <v>-1.0177599113162499E-4</v>
      </c>
      <c r="E126" s="9">
        <v>-2.3906298739164102E-3</v>
      </c>
      <c r="F126" s="8">
        <v>0</v>
      </c>
      <c r="G126" s="8">
        <v>0.47799999999999998</v>
      </c>
      <c r="H126" s="8">
        <v>0</v>
      </c>
      <c r="I126" s="8">
        <v>1.4757</v>
      </c>
      <c r="J126" s="8">
        <v>0</v>
      </c>
      <c r="K126" s="8">
        <v>0</v>
      </c>
      <c r="L126" s="8">
        <v>98.25</v>
      </c>
      <c r="M126" s="8">
        <v>355.13</v>
      </c>
      <c r="N126" s="10">
        <v>3.61455470737913</v>
      </c>
      <c r="O126" s="10">
        <v>3.6128150130856298</v>
      </c>
      <c r="P126" s="10">
        <v>3.6211044193422501</v>
      </c>
      <c r="Q126" s="10">
        <v>3.6178206607978498</v>
      </c>
      <c r="R126" s="8">
        <v>354.959075035664</v>
      </c>
      <c r="S126" s="8">
        <v>355.75168521525001</v>
      </c>
      <c r="T126" s="8">
        <v>355.42844774690002</v>
      </c>
      <c r="U126" s="9">
        <v>-4.81418384386742E-4</v>
      </c>
      <c r="V126" s="9">
        <v>1.74905441135462E-3</v>
      </c>
      <c r="W126" s="9">
        <v>8.4003720002714596E-4</v>
      </c>
      <c r="X126" s="10">
        <v>3.61455470737913</v>
      </c>
      <c r="Y126" s="10">
        <v>3.6128150130856298</v>
      </c>
      <c r="Z126" s="10">
        <v>3.6211044193422501</v>
      </c>
      <c r="AA126" s="10">
        <v>3.6178206607978498</v>
      </c>
      <c r="AB126" s="8">
        <v>354.959075035664</v>
      </c>
      <c r="AC126" s="8">
        <v>355.75168521525001</v>
      </c>
      <c r="AD126" s="8">
        <v>355.42844774690002</v>
      </c>
      <c r="AE126" s="9">
        <v>-4.81418384386742E-4</v>
      </c>
      <c r="AF126" s="9">
        <v>1.74905441135462E-3</v>
      </c>
      <c r="AG126" s="9">
        <v>8.4003720002714596E-4</v>
      </c>
      <c r="AZ126" s="9"/>
      <c r="BB126">
        <f t="shared" si="22"/>
        <v>0</v>
      </c>
      <c r="BC126">
        <f t="shared" si="23"/>
        <v>1</v>
      </c>
      <c r="BD126">
        <f t="shared" si="24"/>
        <v>1</v>
      </c>
      <c r="BE126">
        <f t="shared" si="20"/>
        <v>1</v>
      </c>
      <c r="BF126">
        <f t="shared" si="25"/>
        <v>1</v>
      </c>
      <c r="BG126" s="9">
        <f t="shared" si="26"/>
        <v>-1.0177599113162499E-4</v>
      </c>
      <c r="BH126" s="9">
        <f t="shared" si="27"/>
        <v>2.3906298739164102E-3</v>
      </c>
      <c r="BI126" s="9">
        <f t="shared" si="28"/>
        <v>2.2888538827847854E-3</v>
      </c>
      <c r="BJ126" s="12">
        <f t="shared" si="29"/>
        <v>7.6172959223072961E-3</v>
      </c>
      <c r="BL126" s="9"/>
      <c r="BN126">
        <f t="shared" si="30"/>
        <v>0</v>
      </c>
      <c r="BO126">
        <f t="shared" si="31"/>
        <v>0</v>
      </c>
      <c r="BP126">
        <f t="shared" si="32"/>
        <v>0</v>
      </c>
      <c r="BQ126">
        <f t="shared" si="21"/>
        <v>1</v>
      </c>
      <c r="BR126">
        <f t="shared" si="33"/>
        <v>0</v>
      </c>
      <c r="BS126" s="9">
        <f t="shared" si="34"/>
        <v>0</v>
      </c>
      <c r="BT126" s="9">
        <f t="shared" si="35"/>
        <v>0</v>
      </c>
      <c r="BU126" s="9">
        <f t="shared" si="36"/>
        <v>0</v>
      </c>
      <c r="BV126" s="12">
        <f t="shared" si="37"/>
        <v>2.2425974143792096E-3</v>
      </c>
      <c r="BX126" s="12">
        <f t="shared" si="38"/>
        <v>2.2888538827847854E-3</v>
      </c>
      <c r="BY126" s="12">
        <f t="shared" si="39"/>
        <v>9.8598933366865031E-3</v>
      </c>
    </row>
    <row r="127" spans="1:77" x14ac:dyDescent="0.3">
      <c r="A127" s="1">
        <v>46209</v>
      </c>
      <c r="B127" s="8">
        <v>99.03</v>
      </c>
      <c r="C127" s="8">
        <v>358.74</v>
      </c>
      <c r="D127" s="9">
        <v>7.9075837838406306E-3</v>
      </c>
      <c r="E127" s="9">
        <v>1.0113972496177501E-2</v>
      </c>
      <c r="F127" s="8">
        <v>0</v>
      </c>
      <c r="G127" s="8">
        <v>0.47799999999999998</v>
      </c>
      <c r="H127" s="8">
        <v>0</v>
      </c>
      <c r="I127" s="8">
        <v>1.4757</v>
      </c>
      <c r="J127" s="8">
        <v>0</v>
      </c>
      <c r="K127" s="8">
        <v>0</v>
      </c>
      <c r="L127" s="8">
        <v>99.03</v>
      </c>
      <c r="M127" s="8">
        <v>358.74</v>
      </c>
      <c r="N127" s="10">
        <v>3.6225386246591902</v>
      </c>
      <c r="O127" s="10">
        <v>3.6128150130856298</v>
      </c>
      <c r="P127" s="10">
        <v>3.62095565778192</v>
      </c>
      <c r="Q127" s="10">
        <v>3.6183228536465499</v>
      </c>
      <c r="R127" s="8">
        <v>357.77707074586999</v>
      </c>
      <c r="S127" s="8">
        <v>358.597970647463</v>
      </c>
      <c r="T127" s="8">
        <v>358.27278003881099</v>
      </c>
      <c r="U127" s="9">
        <v>-2.6878070967236798E-3</v>
      </c>
      <c r="V127" s="9">
        <v>-3.9599006383182002E-4</v>
      </c>
      <c r="W127" s="9">
        <v>-1.30324044514632E-3</v>
      </c>
      <c r="X127" s="10">
        <v>3.6225386246591902</v>
      </c>
      <c r="Y127" s="10">
        <v>3.6128150130856298</v>
      </c>
      <c r="Z127" s="10">
        <v>3.62095565778192</v>
      </c>
      <c r="AA127" s="10">
        <v>3.6183228536465499</v>
      </c>
      <c r="AB127" s="8">
        <v>357.77707074586999</v>
      </c>
      <c r="AC127" s="8">
        <v>358.597970647463</v>
      </c>
      <c r="AD127" s="8">
        <v>358.27278003881099</v>
      </c>
      <c r="AE127" s="9">
        <v>-2.6878070967236798E-3</v>
      </c>
      <c r="AF127" s="9">
        <v>-3.9599006383182002E-4</v>
      </c>
      <c r="AG127" s="9">
        <v>-1.30324044514632E-3</v>
      </c>
      <c r="AZ127" s="9"/>
      <c r="BB127">
        <f t="shared" si="22"/>
        <v>1</v>
      </c>
      <c r="BC127">
        <f t="shared" si="23"/>
        <v>0</v>
      </c>
      <c r="BD127">
        <f t="shared" si="24"/>
        <v>0</v>
      </c>
      <c r="BE127">
        <f t="shared" si="20"/>
        <v>1</v>
      </c>
      <c r="BF127">
        <f t="shared" si="25"/>
        <v>0</v>
      </c>
      <c r="BG127" s="9">
        <f t="shared" si="26"/>
        <v>0</v>
      </c>
      <c r="BH127" s="9">
        <f t="shared" si="27"/>
        <v>0</v>
      </c>
      <c r="BI127" s="9">
        <f t="shared" si="28"/>
        <v>0</v>
      </c>
      <c r="BJ127" s="12">
        <f t="shared" si="29"/>
        <v>7.6172959223072961E-3</v>
      </c>
      <c r="BL127" s="9"/>
      <c r="BN127">
        <f t="shared" si="30"/>
        <v>0</v>
      </c>
      <c r="BO127">
        <f t="shared" si="31"/>
        <v>1</v>
      </c>
      <c r="BP127">
        <f t="shared" si="32"/>
        <v>0</v>
      </c>
      <c r="BQ127">
        <f t="shared" si="21"/>
        <v>1</v>
      </c>
      <c r="BR127">
        <f t="shared" si="33"/>
        <v>0</v>
      </c>
      <c r="BS127" s="9">
        <f t="shared" si="34"/>
        <v>0</v>
      </c>
      <c r="BT127" s="9">
        <f t="shared" si="35"/>
        <v>0</v>
      </c>
      <c r="BU127" s="9">
        <f t="shared" si="36"/>
        <v>0</v>
      </c>
      <c r="BV127" s="12">
        <f t="shared" si="37"/>
        <v>2.2425974143792096E-3</v>
      </c>
      <c r="BX127" s="12">
        <f t="shared" si="38"/>
        <v>0</v>
      </c>
      <c r="BY127" s="12">
        <f t="shared" si="39"/>
        <v>9.8598933366865031E-3</v>
      </c>
    </row>
    <row r="128" spans="1:77" x14ac:dyDescent="0.3">
      <c r="A128" s="1">
        <v>46210</v>
      </c>
      <c r="B128" s="8">
        <v>97.09</v>
      </c>
      <c r="C128" s="8">
        <v>351.5</v>
      </c>
      <c r="D128" s="9">
        <v>-1.9784451151157699E-2</v>
      </c>
      <c r="E128" s="9">
        <v>-2.03881808701484E-2</v>
      </c>
      <c r="F128" s="8">
        <v>0</v>
      </c>
      <c r="G128" s="8">
        <v>0.47799999999999998</v>
      </c>
      <c r="H128" s="8">
        <v>0</v>
      </c>
      <c r="I128" s="8">
        <v>1.4757</v>
      </c>
      <c r="J128" s="8">
        <v>0</v>
      </c>
      <c r="K128" s="8">
        <v>0</v>
      </c>
      <c r="L128" s="8">
        <v>97.09</v>
      </c>
      <c r="M128" s="8">
        <v>351.5</v>
      </c>
      <c r="N128" s="10">
        <v>3.6203522504892298</v>
      </c>
      <c r="O128" s="10">
        <v>3.6128150130856298</v>
      </c>
      <c r="P128" s="10">
        <v>3.6205876241750401</v>
      </c>
      <c r="Q128" s="10">
        <v>3.6186795374705598</v>
      </c>
      <c r="R128" s="8">
        <v>350.76820962048401</v>
      </c>
      <c r="S128" s="8">
        <v>351.55858481404698</v>
      </c>
      <c r="T128" s="8">
        <v>351.30296586054402</v>
      </c>
      <c r="U128" s="9">
        <v>-2.0840773777327901E-3</v>
      </c>
      <c r="V128" s="9">
        <v>1.6665699117709301E-4</v>
      </c>
      <c r="W128" s="9">
        <v>-5.6070948527323799E-4</v>
      </c>
      <c r="X128" s="10">
        <v>3.6203522504892298</v>
      </c>
      <c r="Y128" s="10">
        <v>3.6128150130856298</v>
      </c>
      <c r="Z128" s="10">
        <v>3.6205876241750401</v>
      </c>
      <c r="AA128" s="10">
        <v>3.6186795374705598</v>
      </c>
      <c r="AB128" s="8">
        <v>350.76820962048401</v>
      </c>
      <c r="AC128" s="8">
        <v>351.55858481404698</v>
      </c>
      <c r="AD128" s="8">
        <v>351.30296586054402</v>
      </c>
      <c r="AE128" s="9">
        <v>-2.0840773777327901E-3</v>
      </c>
      <c r="AF128" s="9">
        <v>1.6665699117709301E-4</v>
      </c>
      <c r="AG128" s="9">
        <v>-5.6070948527323799E-4</v>
      </c>
      <c r="AZ128" s="9"/>
      <c r="BB128">
        <f t="shared" si="22"/>
        <v>0</v>
      </c>
      <c r="BC128">
        <f t="shared" si="23"/>
        <v>0</v>
      </c>
      <c r="BD128">
        <f t="shared" si="24"/>
        <v>1</v>
      </c>
      <c r="BE128">
        <f t="shared" si="20"/>
        <v>1</v>
      </c>
      <c r="BF128">
        <f t="shared" si="25"/>
        <v>1</v>
      </c>
      <c r="BG128" s="9">
        <f t="shared" si="26"/>
        <v>-1.9784451151157699E-2</v>
      </c>
      <c r="BH128" s="9">
        <f t="shared" si="27"/>
        <v>2.03881808701484E-2</v>
      </c>
      <c r="BI128" s="9">
        <f t="shared" si="28"/>
        <v>6.0372971899070108E-4</v>
      </c>
      <c r="BJ128" s="12">
        <f t="shared" si="29"/>
        <v>8.2210256412979972E-3</v>
      </c>
      <c r="BL128" s="9"/>
      <c r="BN128">
        <f t="shared" si="30"/>
        <v>0</v>
      </c>
      <c r="BO128">
        <f t="shared" si="31"/>
        <v>1</v>
      </c>
      <c r="BP128">
        <f t="shared" si="32"/>
        <v>0</v>
      </c>
      <c r="BQ128">
        <f t="shared" si="21"/>
        <v>1</v>
      </c>
      <c r="BR128">
        <f t="shared" si="33"/>
        <v>0</v>
      </c>
      <c r="BS128" s="9">
        <f t="shared" si="34"/>
        <v>0</v>
      </c>
      <c r="BT128" s="9">
        <f t="shared" si="35"/>
        <v>0</v>
      </c>
      <c r="BU128" s="9">
        <f t="shared" si="36"/>
        <v>0</v>
      </c>
      <c r="BV128" s="12">
        <f t="shared" si="37"/>
        <v>2.2425974143792096E-3</v>
      </c>
      <c r="BX128" s="12">
        <f t="shared" si="38"/>
        <v>6.0372971899070108E-4</v>
      </c>
      <c r="BY128" s="12">
        <f t="shared" si="39"/>
        <v>1.0463623055677204E-2</v>
      </c>
    </row>
    <row r="129" spans="1:77" x14ac:dyDescent="0.3">
      <c r="A129" s="1">
        <v>46211</v>
      </c>
      <c r="B129" s="8">
        <v>96.07</v>
      </c>
      <c r="C129" s="8">
        <v>347.54</v>
      </c>
      <c r="D129" s="9">
        <v>-1.0561290960406399E-2</v>
      </c>
      <c r="E129" s="9">
        <v>-1.13299449566112E-2</v>
      </c>
      <c r="F129" s="8">
        <v>0</v>
      </c>
      <c r="G129" s="8">
        <v>0.47799999999999998</v>
      </c>
      <c r="H129" s="8">
        <v>0</v>
      </c>
      <c r="I129" s="8">
        <v>1.4757</v>
      </c>
      <c r="J129" s="8">
        <v>0</v>
      </c>
      <c r="K129" s="8">
        <v>0</v>
      </c>
      <c r="L129" s="8">
        <v>96.07</v>
      </c>
      <c r="M129" s="8">
        <v>347.54</v>
      </c>
      <c r="N129" s="10">
        <v>3.61757052149474</v>
      </c>
      <c r="O129" s="10">
        <v>3.6128150130856298</v>
      </c>
      <c r="P129" s="10">
        <v>3.6200436256639499</v>
      </c>
      <c r="Q129" s="10">
        <v>3.6189806077600801</v>
      </c>
      <c r="R129" s="8">
        <v>347.08313830713701</v>
      </c>
      <c r="S129" s="8">
        <v>347.82985305449699</v>
      </c>
      <c r="T129" s="8">
        <v>347.64654316479601</v>
      </c>
      <c r="U129" s="9">
        <v>-1.3154233815282101E-3</v>
      </c>
      <c r="V129" s="9">
        <v>8.3366591177638804E-4</v>
      </c>
      <c r="W129" s="9">
        <v>3.0651676640898099E-4</v>
      </c>
      <c r="X129" s="10">
        <v>3.61757052149474</v>
      </c>
      <c r="Y129" s="10">
        <v>3.6128150130856298</v>
      </c>
      <c r="Z129" s="10">
        <v>3.6200436256639499</v>
      </c>
      <c r="AA129" s="10">
        <v>3.6189806077600801</v>
      </c>
      <c r="AB129" s="8">
        <v>347.08313830713701</v>
      </c>
      <c r="AC129" s="8">
        <v>347.82985305449699</v>
      </c>
      <c r="AD129" s="8">
        <v>347.64654316479601</v>
      </c>
      <c r="AE129" s="9">
        <v>-1.3154233815282101E-3</v>
      </c>
      <c r="AF129" s="9">
        <v>8.3366591177638804E-4</v>
      </c>
      <c r="AG129" s="9">
        <v>3.0651676640898099E-4</v>
      </c>
      <c r="AZ129" s="9"/>
      <c r="BB129">
        <f t="shared" si="22"/>
        <v>0</v>
      </c>
      <c r="BC129">
        <f t="shared" si="23"/>
        <v>1</v>
      </c>
      <c r="BD129">
        <f t="shared" si="24"/>
        <v>1</v>
      </c>
      <c r="BE129">
        <f t="shared" si="20"/>
        <v>1</v>
      </c>
      <c r="BF129">
        <f t="shared" si="25"/>
        <v>1</v>
      </c>
      <c r="BG129" s="9">
        <f t="shared" si="26"/>
        <v>-1.0561290960406399E-2</v>
      </c>
      <c r="BH129" s="9">
        <f t="shared" si="27"/>
        <v>1.13299449566112E-2</v>
      </c>
      <c r="BI129" s="9">
        <f t="shared" si="28"/>
        <v>7.6865399620480029E-4</v>
      </c>
      <c r="BJ129" s="12">
        <f t="shared" si="29"/>
        <v>8.9896796375027975E-3</v>
      </c>
      <c r="BL129" s="9"/>
      <c r="BN129">
        <f t="shared" si="30"/>
        <v>0</v>
      </c>
      <c r="BO129">
        <f t="shared" si="31"/>
        <v>0</v>
      </c>
      <c r="BP129">
        <f t="shared" si="32"/>
        <v>0</v>
      </c>
      <c r="BQ129">
        <f t="shared" si="21"/>
        <v>1</v>
      </c>
      <c r="BR129">
        <f t="shared" si="33"/>
        <v>0</v>
      </c>
      <c r="BS129" s="9">
        <f t="shared" si="34"/>
        <v>0</v>
      </c>
      <c r="BT129" s="9">
        <f t="shared" si="35"/>
        <v>0</v>
      </c>
      <c r="BU129" s="9">
        <f t="shared" si="36"/>
        <v>0</v>
      </c>
      <c r="BV129" s="12">
        <f t="shared" si="37"/>
        <v>2.2425974143792096E-3</v>
      </c>
      <c r="BX129" s="12">
        <f t="shared" si="38"/>
        <v>7.6865399620480029E-4</v>
      </c>
      <c r="BY129" s="12">
        <f t="shared" si="39"/>
        <v>1.1232277051882004E-2</v>
      </c>
    </row>
    <row r="130" spans="1:77" x14ac:dyDescent="0.3">
      <c r="A130" s="1">
        <v>46212</v>
      </c>
      <c r="B130" s="8">
        <v>96.49</v>
      </c>
      <c r="C130" s="8">
        <v>349.25</v>
      </c>
      <c r="D130" s="9">
        <v>4.3622836106452997E-3</v>
      </c>
      <c r="E130" s="9">
        <v>4.9082318429627897E-3</v>
      </c>
      <c r="F130" s="8">
        <v>0</v>
      </c>
      <c r="G130" s="8">
        <v>0.47799999999999998</v>
      </c>
      <c r="H130" s="8">
        <v>0</v>
      </c>
      <c r="I130" s="8">
        <v>1.4757</v>
      </c>
      <c r="J130" s="8">
        <v>0</v>
      </c>
      <c r="K130" s="8">
        <v>0</v>
      </c>
      <c r="L130" s="8">
        <v>96.49</v>
      </c>
      <c r="M130" s="8">
        <v>349.25</v>
      </c>
      <c r="N130" s="10">
        <v>3.61954606694994</v>
      </c>
      <c r="O130" s="10">
        <v>3.6128150130856298</v>
      </c>
      <c r="P130" s="10">
        <v>3.62000565045085</v>
      </c>
      <c r="Q130" s="10">
        <v>3.6192272067634201</v>
      </c>
      <c r="R130" s="8">
        <v>348.60052061263298</v>
      </c>
      <c r="S130" s="8">
        <v>349.29800944031501</v>
      </c>
      <c r="T130" s="8">
        <v>349.19543884276999</v>
      </c>
      <c r="U130" s="9">
        <v>-1.8613716138457101E-3</v>
      </c>
      <c r="V130" s="9">
        <v>1.37454948671365E-4</v>
      </c>
      <c r="W130" s="9">
        <v>-1.5623599011734199E-4</v>
      </c>
      <c r="X130" s="10">
        <v>3.61954606694994</v>
      </c>
      <c r="Y130" s="10">
        <v>3.6128150130856298</v>
      </c>
      <c r="Z130" s="10">
        <v>3.62000565045085</v>
      </c>
      <c r="AA130" s="10">
        <v>3.6192272067634201</v>
      </c>
      <c r="AB130" s="8">
        <v>348.60052061263298</v>
      </c>
      <c r="AC130" s="8">
        <v>349.29800944031501</v>
      </c>
      <c r="AD130" s="8">
        <v>349.19543884276999</v>
      </c>
      <c r="AE130" s="9">
        <v>-1.8613716138457101E-3</v>
      </c>
      <c r="AF130" s="9">
        <v>1.37454948671365E-4</v>
      </c>
      <c r="AG130" s="9">
        <v>-1.5623599011734199E-4</v>
      </c>
      <c r="AZ130" s="9"/>
      <c r="BB130">
        <f t="shared" si="22"/>
        <v>0</v>
      </c>
      <c r="BC130">
        <f t="shared" si="23"/>
        <v>0</v>
      </c>
      <c r="BD130">
        <f t="shared" si="24"/>
        <v>0</v>
      </c>
      <c r="BE130">
        <f t="shared" si="20"/>
        <v>1</v>
      </c>
      <c r="BF130">
        <f t="shared" si="25"/>
        <v>0</v>
      </c>
      <c r="BG130" s="9">
        <f t="shared" si="26"/>
        <v>0</v>
      </c>
      <c r="BH130" s="9">
        <f t="shared" si="27"/>
        <v>0</v>
      </c>
      <c r="BI130" s="9">
        <f t="shared" si="28"/>
        <v>0</v>
      </c>
      <c r="BJ130" s="12">
        <f t="shared" si="29"/>
        <v>8.9896796375027975E-3</v>
      </c>
      <c r="BL130" s="9"/>
      <c r="BN130">
        <f t="shared" si="30"/>
        <v>0</v>
      </c>
      <c r="BO130">
        <f t="shared" si="31"/>
        <v>1</v>
      </c>
      <c r="BP130">
        <f t="shared" si="32"/>
        <v>0</v>
      </c>
      <c r="BQ130">
        <f t="shared" si="21"/>
        <v>1</v>
      </c>
      <c r="BR130">
        <f t="shared" si="33"/>
        <v>0</v>
      </c>
      <c r="BS130" s="9">
        <f t="shared" si="34"/>
        <v>0</v>
      </c>
      <c r="BT130" s="9">
        <f t="shared" si="35"/>
        <v>0</v>
      </c>
      <c r="BU130" s="9">
        <f t="shared" si="36"/>
        <v>0</v>
      </c>
      <c r="BV130" s="12">
        <f t="shared" si="37"/>
        <v>2.2425974143792096E-3</v>
      </c>
      <c r="BX130" s="12">
        <f t="shared" si="38"/>
        <v>0</v>
      </c>
      <c r="BY130" s="12">
        <f t="shared" si="39"/>
        <v>1.1232277051882004E-2</v>
      </c>
    </row>
    <row r="131" spans="1:77" x14ac:dyDescent="0.3">
      <c r="A131" s="1">
        <v>46213</v>
      </c>
      <c r="B131" s="8">
        <v>96.83</v>
      </c>
      <c r="C131" s="8">
        <v>350.38</v>
      </c>
      <c r="D131" s="9">
        <v>3.51748759114735E-3</v>
      </c>
      <c r="E131" s="9">
        <v>3.2302816706046501E-3</v>
      </c>
      <c r="F131" s="8">
        <v>0</v>
      </c>
      <c r="G131" s="8">
        <v>0.47799999999999998</v>
      </c>
      <c r="H131" s="8">
        <v>0</v>
      </c>
      <c r="I131" s="8">
        <v>1.4757</v>
      </c>
      <c r="J131" s="8">
        <v>0</v>
      </c>
      <c r="K131" s="8">
        <v>0</v>
      </c>
      <c r="L131" s="8">
        <v>96.83</v>
      </c>
      <c r="M131" s="8">
        <v>350.38</v>
      </c>
      <c r="N131" s="10">
        <v>3.61850666115873</v>
      </c>
      <c r="O131" s="10">
        <v>3.6128150130856298</v>
      </c>
      <c r="P131" s="10">
        <v>3.6200179327283402</v>
      </c>
      <c r="Q131" s="10">
        <v>3.6195024525613202</v>
      </c>
      <c r="R131" s="8">
        <v>349.82887771708198</v>
      </c>
      <c r="S131" s="8">
        <v>350.525147133156</v>
      </c>
      <c r="T131" s="8">
        <v>350.44977043090199</v>
      </c>
      <c r="U131" s="9">
        <v>-1.5741656933031499E-3</v>
      </c>
      <c r="V131" s="9">
        <v>4.1417055025204602E-4</v>
      </c>
      <c r="W131" s="9">
        <v>1.9910806896805499E-4</v>
      </c>
      <c r="X131" s="10">
        <v>3.61850666115873</v>
      </c>
      <c r="Y131" s="10">
        <v>3.6128150130856298</v>
      </c>
      <c r="Z131" s="10">
        <v>3.6200179327283402</v>
      </c>
      <c r="AA131" s="10">
        <v>3.6195024525613202</v>
      </c>
      <c r="AB131" s="8">
        <v>349.82887771708198</v>
      </c>
      <c r="AC131" s="8">
        <v>350.525147133156</v>
      </c>
      <c r="AD131" s="8">
        <v>350.44977043090199</v>
      </c>
      <c r="AE131" s="9">
        <v>-1.5741656933031499E-3</v>
      </c>
      <c r="AF131" s="9">
        <v>4.1417055025204602E-4</v>
      </c>
      <c r="AG131" s="9">
        <v>1.9910806896805499E-4</v>
      </c>
      <c r="AZ131" s="9"/>
      <c r="BB131">
        <f t="shared" si="22"/>
        <v>0</v>
      </c>
      <c r="BC131">
        <f t="shared" si="23"/>
        <v>1</v>
      </c>
      <c r="BD131">
        <f t="shared" si="24"/>
        <v>0</v>
      </c>
      <c r="BE131">
        <f t="shared" si="20"/>
        <v>1</v>
      </c>
      <c r="BF131">
        <f t="shared" si="25"/>
        <v>0</v>
      </c>
      <c r="BG131" s="9">
        <f t="shared" si="26"/>
        <v>0</v>
      </c>
      <c r="BH131" s="9">
        <f t="shared" si="27"/>
        <v>0</v>
      </c>
      <c r="BI131" s="9">
        <f t="shared" si="28"/>
        <v>0</v>
      </c>
      <c r="BJ131" s="12">
        <f t="shared" si="29"/>
        <v>8.9896796375027975E-3</v>
      </c>
      <c r="BL131" s="9"/>
      <c r="BN131">
        <f t="shared" si="30"/>
        <v>0</v>
      </c>
      <c r="BO131">
        <f t="shared" si="31"/>
        <v>0</v>
      </c>
      <c r="BP131">
        <f t="shared" si="32"/>
        <v>0</v>
      </c>
      <c r="BQ131">
        <f t="shared" si="21"/>
        <v>1</v>
      </c>
      <c r="BR131">
        <f t="shared" si="33"/>
        <v>0</v>
      </c>
      <c r="BS131" s="9">
        <f t="shared" si="34"/>
        <v>0</v>
      </c>
      <c r="BT131" s="9">
        <f t="shared" si="35"/>
        <v>0</v>
      </c>
      <c r="BU131" s="9">
        <f t="shared" si="36"/>
        <v>0</v>
      </c>
      <c r="BV131" s="12">
        <f t="shared" si="37"/>
        <v>2.2425974143792096E-3</v>
      </c>
      <c r="BX131" s="12">
        <f t="shared" si="38"/>
        <v>0</v>
      </c>
      <c r="BY131" s="12">
        <f t="shared" si="39"/>
        <v>1.1232277051882004E-2</v>
      </c>
    </row>
    <row r="132" spans="1:77" x14ac:dyDescent="0.3">
      <c r="A132" s="1">
        <v>46216</v>
      </c>
      <c r="B132" s="8">
        <v>95.85</v>
      </c>
      <c r="C132" s="8">
        <v>347.05</v>
      </c>
      <c r="D132" s="9">
        <v>-1.01723941317862E-2</v>
      </c>
      <c r="E132" s="9">
        <v>-9.5494180220831795E-3</v>
      </c>
      <c r="F132" s="8">
        <v>0</v>
      </c>
      <c r="G132" s="8">
        <v>0.47799999999999998</v>
      </c>
      <c r="H132" s="8">
        <v>0</v>
      </c>
      <c r="I132" s="8">
        <v>1.4757</v>
      </c>
      <c r="J132" s="8">
        <v>0</v>
      </c>
      <c r="K132" s="8">
        <v>0</v>
      </c>
      <c r="L132" s="8">
        <v>95.85</v>
      </c>
      <c r="M132" s="8">
        <v>347.05</v>
      </c>
      <c r="N132" s="10">
        <v>3.6207616066771</v>
      </c>
      <c r="O132" s="10">
        <v>3.6128150130856298</v>
      </c>
      <c r="P132" s="10">
        <v>3.6194333258273699</v>
      </c>
      <c r="Q132" s="10">
        <v>3.6198642298776602</v>
      </c>
      <c r="R132" s="8">
        <v>346.28831900425803</v>
      </c>
      <c r="S132" s="8">
        <v>346.97871885201101</v>
      </c>
      <c r="T132" s="8">
        <v>346.92931007800303</v>
      </c>
      <c r="U132" s="9">
        <v>-2.1971418030062701E-3</v>
      </c>
      <c r="V132" s="9">
        <v>-2.0541267616883301E-4</v>
      </c>
      <c r="W132" s="9">
        <v>-3.4781994639022202E-4</v>
      </c>
      <c r="X132" s="10">
        <v>3.6207616066771</v>
      </c>
      <c r="Y132" s="10">
        <v>3.6128150130856298</v>
      </c>
      <c r="Z132" s="10">
        <v>3.6194333258273699</v>
      </c>
      <c r="AA132" s="10">
        <v>3.6198642298776602</v>
      </c>
      <c r="AB132" s="8">
        <v>346.28831900425803</v>
      </c>
      <c r="AC132" s="8">
        <v>346.97871885201101</v>
      </c>
      <c r="AD132" s="8">
        <v>346.92931007800303</v>
      </c>
      <c r="AE132" s="9">
        <v>-2.1971418030062701E-3</v>
      </c>
      <c r="AF132" s="9">
        <v>-2.0541267616883301E-4</v>
      </c>
      <c r="AG132" s="9">
        <v>-3.4781994639022202E-4</v>
      </c>
      <c r="AZ132" s="9"/>
      <c r="BB132">
        <f t="shared" si="22"/>
        <v>0</v>
      </c>
      <c r="BC132">
        <f t="shared" si="23"/>
        <v>0</v>
      </c>
      <c r="BD132">
        <f t="shared" si="24"/>
        <v>0</v>
      </c>
      <c r="BE132">
        <f t="shared" si="20"/>
        <v>1</v>
      </c>
      <c r="BF132">
        <f t="shared" si="25"/>
        <v>0</v>
      </c>
      <c r="BG132" s="9">
        <f t="shared" si="26"/>
        <v>0</v>
      </c>
      <c r="BH132" s="9">
        <f t="shared" si="27"/>
        <v>0</v>
      </c>
      <c r="BI132" s="9">
        <f t="shared" si="28"/>
        <v>0</v>
      </c>
      <c r="BJ132" s="12">
        <f t="shared" si="29"/>
        <v>8.9896796375027975E-3</v>
      </c>
      <c r="BL132" s="9"/>
      <c r="BN132">
        <f t="shared" si="30"/>
        <v>0</v>
      </c>
      <c r="BO132">
        <f t="shared" si="31"/>
        <v>1</v>
      </c>
      <c r="BP132">
        <f t="shared" si="32"/>
        <v>0</v>
      </c>
      <c r="BQ132">
        <f t="shared" si="21"/>
        <v>1</v>
      </c>
      <c r="BR132">
        <f t="shared" si="33"/>
        <v>0</v>
      </c>
      <c r="BS132" s="9">
        <f t="shared" si="34"/>
        <v>0</v>
      </c>
      <c r="BT132" s="9">
        <f t="shared" si="35"/>
        <v>0</v>
      </c>
      <c r="BU132" s="9">
        <f t="shared" si="36"/>
        <v>0</v>
      </c>
      <c r="BV132" s="12">
        <f t="shared" si="37"/>
        <v>2.2425974143792096E-3</v>
      </c>
      <c r="BX132" s="12">
        <f t="shared" si="38"/>
        <v>0</v>
      </c>
      <c r="BY132" s="12">
        <f t="shared" si="39"/>
        <v>1.1232277051882004E-2</v>
      </c>
    </row>
    <row r="133" spans="1:77" x14ac:dyDescent="0.3">
      <c r="A133" s="1">
        <v>46217</v>
      </c>
      <c r="B133" s="8">
        <v>96.11</v>
      </c>
      <c r="C133" s="8">
        <v>347.81</v>
      </c>
      <c r="D133" s="9">
        <v>2.70889934353953E-3</v>
      </c>
      <c r="E133" s="9">
        <v>2.1874918776662901E-3</v>
      </c>
      <c r="F133" s="8">
        <v>0</v>
      </c>
      <c r="G133" s="8">
        <v>0.47799999999999998</v>
      </c>
      <c r="H133" s="8">
        <v>0</v>
      </c>
      <c r="I133" s="8">
        <v>1.4757</v>
      </c>
      <c r="J133" s="8">
        <v>0</v>
      </c>
      <c r="K133" s="8">
        <v>0</v>
      </c>
      <c r="L133" s="8">
        <v>96.11</v>
      </c>
      <c r="M133" s="8">
        <v>347.81</v>
      </c>
      <c r="N133" s="10">
        <v>3.6188742066382198</v>
      </c>
      <c r="O133" s="10">
        <v>3.6128150130856298</v>
      </c>
      <c r="P133" s="10">
        <v>3.6193451864097299</v>
      </c>
      <c r="Q133" s="10">
        <v>3.61990611132582</v>
      </c>
      <c r="R133" s="8">
        <v>347.22765090766001</v>
      </c>
      <c r="S133" s="8">
        <v>347.86373694526901</v>
      </c>
      <c r="T133" s="8">
        <v>347.90515113354201</v>
      </c>
      <c r="U133" s="9">
        <v>-1.67573433713293E-3</v>
      </c>
      <c r="V133" s="9">
        <v>1.54488929284291E-4</v>
      </c>
      <c r="W133" s="9">
        <v>2.7353474760723998E-4</v>
      </c>
      <c r="X133" s="10">
        <v>3.6188742066382198</v>
      </c>
      <c r="Y133" s="10">
        <v>3.6128150130856298</v>
      </c>
      <c r="Z133" s="10">
        <v>3.6193451864097299</v>
      </c>
      <c r="AA133" s="10">
        <v>3.61990611132582</v>
      </c>
      <c r="AB133" s="8">
        <v>347.22765090766001</v>
      </c>
      <c r="AC133" s="8">
        <v>347.86373694526901</v>
      </c>
      <c r="AD133" s="8">
        <v>347.90515113354201</v>
      </c>
      <c r="AE133" s="9">
        <v>-1.67573433713293E-3</v>
      </c>
      <c r="AF133" s="9">
        <v>1.54488929284291E-4</v>
      </c>
      <c r="AG133" s="9">
        <v>2.7353474760723998E-4</v>
      </c>
      <c r="AZ133" s="9"/>
      <c r="BB133">
        <f t="shared" si="22"/>
        <v>0</v>
      </c>
      <c r="BC133">
        <f t="shared" si="23"/>
        <v>1</v>
      </c>
      <c r="BD133">
        <f t="shared" si="24"/>
        <v>0</v>
      </c>
      <c r="BE133">
        <f t="shared" si="20"/>
        <v>1</v>
      </c>
      <c r="BF133">
        <f t="shared" si="25"/>
        <v>0</v>
      </c>
      <c r="BG133" s="9">
        <f t="shared" si="26"/>
        <v>0</v>
      </c>
      <c r="BH133" s="9">
        <f t="shared" si="27"/>
        <v>0</v>
      </c>
      <c r="BI133" s="9">
        <f t="shared" si="28"/>
        <v>0</v>
      </c>
      <c r="BJ133" s="12">
        <f t="shared" si="29"/>
        <v>8.9896796375027975E-3</v>
      </c>
      <c r="BL133" s="9"/>
      <c r="BN133">
        <f t="shared" si="30"/>
        <v>0</v>
      </c>
      <c r="BO133">
        <f t="shared" si="31"/>
        <v>0</v>
      </c>
      <c r="BP133">
        <f t="shared" si="32"/>
        <v>0</v>
      </c>
      <c r="BQ133">
        <f t="shared" si="21"/>
        <v>1</v>
      </c>
      <c r="BR133">
        <f t="shared" si="33"/>
        <v>0</v>
      </c>
      <c r="BS133" s="9">
        <f t="shared" si="34"/>
        <v>0</v>
      </c>
      <c r="BT133" s="9">
        <f t="shared" si="35"/>
        <v>0</v>
      </c>
      <c r="BU133" s="9">
        <f t="shared" si="36"/>
        <v>0</v>
      </c>
      <c r="BV133" s="12">
        <f t="shared" si="37"/>
        <v>2.2425974143792096E-3</v>
      </c>
      <c r="BX133" s="12">
        <f t="shared" si="38"/>
        <v>0</v>
      </c>
      <c r="BY133" s="12">
        <f t="shared" si="39"/>
        <v>1.1232277051882004E-2</v>
      </c>
    </row>
    <row r="134" spans="1:77" x14ac:dyDescent="0.3">
      <c r="A134" s="1">
        <v>46218</v>
      </c>
      <c r="B134" s="8">
        <v>96</v>
      </c>
      <c r="C134" s="8">
        <v>347.35</v>
      </c>
      <c r="D134" s="9">
        <v>-1.1451773673567601E-3</v>
      </c>
      <c r="E134" s="9">
        <v>-1.32343652436907E-3</v>
      </c>
      <c r="F134" s="8">
        <v>0</v>
      </c>
      <c r="G134" s="8">
        <v>0.47799999999999998</v>
      </c>
      <c r="H134" s="8">
        <v>0</v>
      </c>
      <c r="I134" s="8">
        <v>1.4757</v>
      </c>
      <c r="J134" s="8">
        <v>0</v>
      </c>
      <c r="K134" s="8">
        <v>0</v>
      </c>
      <c r="L134" s="8">
        <v>96</v>
      </c>
      <c r="M134" s="8">
        <v>347.35</v>
      </c>
      <c r="N134" s="10">
        <v>3.6182291666666599</v>
      </c>
      <c r="O134" s="10">
        <v>3.6128150130856298</v>
      </c>
      <c r="P134" s="10">
        <v>3.6193771182355099</v>
      </c>
      <c r="Q134" s="10">
        <v>3.6198891464226399</v>
      </c>
      <c r="R134" s="8">
        <v>346.83024125622097</v>
      </c>
      <c r="S134" s="8">
        <v>347.45713789533397</v>
      </c>
      <c r="T134" s="8">
        <v>347.510986687279</v>
      </c>
      <c r="U134" s="9">
        <v>-1.4974751801205999E-3</v>
      </c>
      <c r="V134" s="9">
        <v>3.0839607234873899E-4</v>
      </c>
      <c r="W134" s="9">
        <v>4.6336373244194E-4</v>
      </c>
      <c r="X134" s="10">
        <v>3.6182291666666599</v>
      </c>
      <c r="Y134" s="10">
        <v>3.6128150130856298</v>
      </c>
      <c r="Z134" s="10">
        <v>3.6193771182355099</v>
      </c>
      <c r="AA134" s="10">
        <v>3.6198891464226399</v>
      </c>
      <c r="AB134" s="8">
        <v>346.83024125622097</v>
      </c>
      <c r="AC134" s="8">
        <v>347.45713789533397</v>
      </c>
      <c r="AD134" s="8">
        <v>347.510986687279</v>
      </c>
      <c r="AE134" s="9">
        <v>-1.4974751801205999E-3</v>
      </c>
      <c r="AF134" s="9">
        <v>3.0839607234873899E-4</v>
      </c>
      <c r="AG134" s="9">
        <v>4.6336373244194E-4</v>
      </c>
      <c r="AZ134" s="9"/>
      <c r="BB134">
        <f t="shared" si="22"/>
        <v>0</v>
      </c>
      <c r="BC134">
        <f t="shared" si="23"/>
        <v>1</v>
      </c>
      <c r="BD134">
        <f t="shared" si="24"/>
        <v>0</v>
      </c>
      <c r="BE134">
        <f t="shared" si="20"/>
        <v>1</v>
      </c>
      <c r="BF134">
        <f t="shared" si="25"/>
        <v>0</v>
      </c>
      <c r="BG134" s="9">
        <f t="shared" si="26"/>
        <v>0</v>
      </c>
      <c r="BH134" s="9">
        <f t="shared" si="27"/>
        <v>0</v>
      </c>
      <c r="BI134" s="9">
        <f t="shared" si="28"/>
        <v>0</v>
      </c>
      <c r="BJ134" s="12">
        <f t="shared" si="29"/>
        <v>8.9896796375027975E-3</v>
      </c>
      <c r="BL134" s="9"/>
      <c r="BN134">
        <f t="shared" si="30"/>
        <v>0</v>
      </c>
      <c r="BO134">
        <f t="shared" si="31"/>
        <v>0</v>
      </c>
      <c r="BP134">
        <f t="shared" si="32"/>
        <v>0</v>
      </c>
      <c r="BQ134">
        <f t="shared" si="21"/>
        <v>1</v>
      </c>
      <c r="BR134">
        <f t="shared" si="33"/>
        <v>0</v>
      </c>
      <c r="BS134" s="9">
        <f t="shared" si="34"/>
        <v>0</v>
      </c>
      <c r="BT134" s="9">
        <f t="shared" si="35"/>
        <v>0</v>
      </c>
      <c r="BU134" s="9">
        <f t="shared" si="36"/>
        <v>0</v>
      </c>
      <c r="BV134" s="12">
        <f t="shared" si="37"/>
        <v>2.2425974143792096E-3</v>
      </c>
      <c r="BX134" s="12">
        <f t="shared" si="38"/>
        <v>0</v>
      </c>
      <c r="BY134" s="12">
        <f t="shared" si="39"/>
        <v>1.1232277051882004E-2</v>
      </c>
    </row>
    <row r="135" spans="1:77" x14ac:dyDescent="0.3">
      <c r="A135" s="1">
        <v>46219</v>
      </c>
      <c r="B135" s="8">
        <v>95.87</v>
      </c>
      <c r="C135" s="8">
        <v>346.9</v>
      </c>
      <c r="D135" s="9">
        <v>-1.3550843789310099E-3</v>
      </c>
      <c r="E135" s="9">
        <v>-1.29636316318603E-3</v>
      </c>
      <c r="F135" s="8">
        <v>0</v>
      </c>
      <c r="G135" s="8">
        <v>0.47799999999999998</v>
      </c>
      <c r="H135" s="8">
        <v>0</v>
      </c>
      <c r="I135" s="8">
        <v>1.4757</v>
      </c>
      <c r="J135" s="8">
        <v>0</v>
      </c>
      <c r="K135" s="8">
        <v>0</v>
      </c>
      <c r="L135" s="8">
        <v>95.87</v>
      </c>
      <c r="M135" s="8">
        <v>346.9</v>
      </c>
      <c r="N135" s="10">
        <v>3.6184416397204502</v>
      </c>
      <c r="O135" s="10">
        <v>3.6128150130856298</v>
      </c>
      <c r="P135" s="10">
        <v>3.6189375451833401</v>
      </c>
      <c r="Q135" s="10">
        <v>3.6199099187252601</v>
      </c>
      <c r="R135" s="8">
        <v>346.36057530452001</v>
      </c>
      <c r="S135" s="8">
        <v>346.98968432523901</v>
      </c>
      <c r="T135" s="8">
        <v>347.03877246753899</v>
      </c>
      <c r="U135" s="9">
        <v>-1.5561963958656601E-3</v>
      </c>
      <c r="V135" s="9">
        <v>2.5849735992498901E-4</v>
      </c>
      <c r="W135" s="9">
        <v>3.9995594682113198E-4</v>
      </c>
      <c r="X135" s="10">
        <v>3.6184416397204502</v>
      </c>
      <c r="Y135" s="10">
        <v>3.6128150130856298</v>
      </c>
      <c r="Z135" s="10">
        <v>3.6189375451833401</v>
      </c>
      <c r="AA135" s="10">
        <v>3.6199099187252601</v>
      </c>
      <c r="AB135" s="8">
        <v>346.36057530452001</v>
      </c>
      <c r="AC135" s="8">
        <v>346.98968432523901</v>
      </c>
      <c r="AD135" s="8">
        <v>347.03877246753899</v>
      </c>
      <c r="AE135" s="9">
        <v>-1.5561963958656601E-3</v>
      </c>
      <c r="AF135" s="9">
        <v>2.5849735992498901E-4</v>
      </c>
      <c r="AG135" s="9">
        <v>3.9995594682113198E-4</v>
      </c>
      <c r="AZ135" s="9"/>
      <c r="BB135">
        <f t="shared" si="22"/>
        <v>0</v>
      </c>
      <c r="BC135">
        <f t="shared" si="23"/>
        <v>1</v>
      </c>
      <c r="BD135">
        <f t="shared" si="24"/>
        <v>0</v>
      </c>
      <c r="BE135">
        <f t="shared" si="20"/>
        <v>1</v>
      </c>
      <c r="BF135">
        <f t="shared" si="25"/>
        <v>0</v>
      </c>
      <c r="BG135" s="9">
        <f t="shared" si="26"/>
        <v>0</v>
      </c>
      <c r="BH135" s="9">
        <f t="shared" si="27"/>
        <v>0</v>
      </c>
      <c r="BI135" s="9">
        <f t="shared" si="28"/>
        <v>0</v>
      </c>
      <c r="BJ135" s="12">
        <f t="shared" si="29"/>
        <v>8.9896796375027975E-3</v>
      </c>
      <c r="BL135" s="9"/>
      <c r="BN135">
        <f t="shared" si="30"/>
        <v>0</v>
      </c>
      <c r="BO135">
        <f t="shared" si="31"/>
        <v>0</v>
      </c>
      <c r="BP135">
        <f t="shared" si="32"/>
        <v>0</v>
      </c>
      <c r="BQ135">
        <f t="shared" si="21"/>
        <v>1</v>
      </c>
      <c r="BR135">
        <f t="shared" si="33"/>
        <v>0</v>
      </c>
      <c r="BS135" s="9">
        <f t="shared" si="34"/>
        <v>0</v>
      </c>
      <c r="BT135" s="9">
        <f t="shared" si="35"/>
        <v>0</v>
      </c>
      <c r="BU135" s="9">
        <f t="shared" si="36"/>
        <v>0</v>
      </c>
      <c r="BV135" s="12">
        <f t="shared" si="37"/>
        <v>2.2425974143792096E-3</v>
      </c>
      <c r="BX135" s="12">
        <f t="shared" si="38"/>
        <v>0</v>
      </c>
      <c r="BY135" s="12">
        <f t="shared" si="39"/>
        <v>1.1232277051882004E-2</v>
      </c>
    </row>
    <row r="136" spans="1:77" x14ac:dyDescent="0.3">
      <c r="A136" s="1">
        <v>46220</v>
      </c>
      <c r="B136" s="8">
        <v>95.47</v>
      </c>
      <c r="C136" s="8">
        <v>345.3</v>
      </c>
      <c r="D136" s="9">
        <v>-4.1810450789634699E-3</v>
      </c>
      <c r="E136" s="9">
        <v>-4.6229495797572399E-3</v>
      </c>
      <c r="F136" s="8">
        <v>0</v>
      </c>
      <c r="G136" s="8">
        <v>0.47799999999999998</v>
      </c>
      <c r="H136" s="8">
        <v>0</v>
      </c>
      <c r="I136" s="8">
        <v>1.4757</v>
      </c>
      <c r="J136" s="8">
        <v>0</v>
      </c>
      <c r="K136" s="8">
        <v>0</v>
      </c>
      <c r="L136" s="8">
        <v>95.47</v>
      </c>
      <c r="M136" s="8">
        <v>345.3</v>
      </c>
      <c r="N136" s="10">
        <v>3.6168429873258598</v>
      </c>
      <c r="O136" s="10">
        <v>3.6128150130856298</v>
      </c>
      <c r="P136" s="10">
        <v>3.6191663731780102</v>
      </c>
      <c r="Q136" s="10">
        <v>3.6201353962601299</v>
      </c>
      <c r="R136" s="8">
        <v>344.915449299285</v>
      </c>
      <c r="S136" s="8">
        <v>345.49996743865302</v>
      </c>
      <c r="T136" s="8">
        <v>345.59279994069999</v>
      </c>
      <c r="U136" s="9">
        <v>-1.1142918950717701E-3</v>
      </c>
      <c r="V136" s="9">
        <v>5.7894456764566102E-4</v>
      </c>
      <c r="W136" s="9">
        <v>8.4759881201685499E-4</v>
      </c>
      <c r="X136" s="10">
        <v>3.6168429873258598</v>
      </c>
      <c r="Y136" s="10">
        <v>3.6128150130856298</v>
      </c>
      <c r="Z136" s="10">
        <v>3.6191663731780102</v>
      </c>
      <c r="AA136" s="10">
        <v>3.6201353962601299</v>
      </c>
      <c r="AB136" s="8">
        <v>344.915449299285</v>
      </c>
      <c r="AC136" s="8">
        <v>345.49996743865302</v>
      </c>
      <c r="AD136" s="8">
        <v>345.59279994069999</v>
      </c>
      <c r="AE136" s="9">
        <v>-1.1142918950717701E-3</v>
      </c>
      <c r="AF136" s="9">
        <v>5.7894456764566102E-4</v>
      </c>
      <c r="AG136" s="9">
        <v>8.4759881201685499E-4</v>
      </c>
      <c r="AZ136" s="9"/>
      <c r="BB136">
        <f t="shared" si="22"/>
        <v>0</v>
      </c>
      <c r="BC136">
        <f t="shared" si="23"/>
        <v>1</v>
      </c>
      <c r="BD136">
        <f t="shared" si="24"/>
        <v>0</v>
      </c>
      <c r="BE136">
        <f t="shared" si="20"/>
        <v>1</v>
      </c>
      <c r="BF136">
        <f t="shared" si="25"/>
        <v>0</v>
      </c>
      <c r="BG136" s="9">
        <f t="shared" si="26"/>
        <v>0</v>
      </c>
      <c r="BH136" s="9">
        <f t="shared" si="27"/>
        <v>0</v>
      </c>
      <c r="BI136" s="9">
        <f t="shared" si="28"/>
        <v>0</v>
      </c>
      <c r="BJ136" s="12">
        <f t="shared" si="29"/>
        <v>8.9896796375027975E-3</v>
      </c>
      <c r="BL136" s="9"/>
      <c r="BN136">
        <f t="shared" si="30"/>
        <v>0</v>
      </c>
      <c r="BO136">
        <f t="shared" si="31"/>
        <v>0</v>
      </c>
      <c r="BP136">
        <f t="shared" si="32"/>
        <v>0</v>
      </c>
      <c r="BQ136">
        <f t="shared" si="21"/>
        <v>1</v>
      </c>
      <c r="BR136">
        <f t="shared" si="33"/>
        <v>0</v>
      </c>
      <c r="BS136" s="9">
        <f t="shared" si="34"/>
        <v>0</v>
      </c>
      <c r="BT136" s="9">
        <f t="shared" si="35"/>
        <v>0</v>
      </c>
      <c r="BU136" s="9">
        <f t="shared" si="36"/>
        <v>0</v>
      </c>
      <c r="BV136" s="12">
        <f t="shared" si="37"/>
        <v>2.2425974143792096E-3</v>
      </c>
      <c r="BX136" s="12">
        <f t="shared" si="38"/>
        <v>0</v>
      </c>
      <c r="BY136" s="12">
        <f t="shared" si="39"/>
        <v>1.1232277051882004E-2</v>
      </c>
    </row>
    <row r="137" spans="1:77" x14ac:dyDescent="0.3">
      <c r="A137" s="1">
        <v>46223</v>
      </c>
      <c r="B137" s="8">
        <v>94.55</v>
      </c>
      <c r="C137" s="8">
        <v>342.31</v>
      </c>
      <c r="D137" s="9">
        <v>-9.6832669054752792E-3</v>
      </c>
      <c r="E137" s="9">
        <v>-8.6968451468881006E-3</v>
      </c>
      <c r="F137" s="8">
        <v>0</v>
      </c>
      <c r="G137" s="8">
        <v>0.47799999999999998</v>
      </c>
      <c r="H137" s="8">
        <v>0</v>
      </c>
      <c r="I137" s="8">
        <v>1.4757</v>
      </c>
      <c r="J137" s="8">
        <v>0</v>
      </c>
      <c r="K137" s="8">
        <v>0</v>
      </c>
      <c r="L137" s="8">
        <v>94.55</v>
      </c>
      <c r="M137" s="8">
        <v>342.31</v>
      </c>
      <c r="N137" s="10">
        <v>3.6204124801692199</v>
      </c>
      <c r="O137" s="10">
        <v>3.6128150130856298</v>
      </c>
      <c r="P137" s="10">
        <v>3.6189537587290102</v>
      </c>
      <c r="Q137" s="10">
        <v>3.6199547082554702</v>
      </c>
      <c r="R137" s="8">
        <v>341.591659487247</v>
      </c>
      <c r="S137" s="8">
        <v>342.19218058398098</v>
      </c>
      <c r="T137" s="8">
        <v>342.28380171639498</v>
      </c>
      <c r="U137" s="9">
        <v>-2.1007136536590398E-3</v>
      </c>
      <c r="V137" s="9">
        <v>-3.4424847874588502E-4</v>
      </c>
      <c r="W137" s="9">
        <v>-7.65367245556577E-5</v>
      </c>
      <c r="X137" s="10">
        <v>3.6204124801692199</v>
      </c>
      <c r="Y137" s="10">
        <v>3.6128150130856298</v>
      </c>
      <c r="Z137" s="10">
        <v>3.6189537587290102</v>
      </c>
      <c r="AA137" s="10">
        <v>3.6199547082554702</v>
      </c>
      <c r="AB137" s="8">
        <v>341.591659487247</v>
      </c>
      <c r="AC137" s="8">
        <v>342.19218058398098</v>
      </c>
      <c r="AD137" s="8">
        <v>342.28380171639498</v>
      </c>
      <c r="AE137" s="9">
        <v>-2.1007136536590398E-3</v>
      </c>
      <c r="AF137" s="9">
        <v>-3.4424847874588502E-4</v>
      </c>
      <c r="AG137" s="9">
        <v>-7.65367245556577E-5</v>
      </c>
      <c r="AZ137" s="9"/>
      <c r="BB137">
        <f t="shared" si="22"/>
        <v>0</v>
      </c>
      <c r="BC137">
        <f t="shared" si="23"/>
        <v>0</v>
      </c>
      <c r="BD137">
        <f t="shared" si="24"/>
        <v>0</v>
      </c>
      <c r="BE137">
        <f t="shared" si="20"/>
        <v>1</v>
      </c>
      <c r="BF137">
        <f t="shared" si="25"/>
        <v>0</v>
      </c>
      <c r="BG137" s="9">
        <f t="shared" si="26"/>
        <v>0</v>
      </c>
      <c r="BH137" s="9">
        <f t="shared" si="27"/>
        <v>0</v>
      </c>
      <c r="BI137" s="9">
        <f t="shared" si="28"/>
        <v>0</v>
      </c>
      <c r="BJ137" s="12">
        <f t="shared" si="29"/>
        <v>8.9896796375027975E-3</v>
      </c>
      <c r="BL137" s="9"/>
      <c r="BN137">
        <f t="shared" si="30"/>
        <v>0</v>
      </c>
      <c r="BO137">
        <f t="shared" si="31"/>
        <v>1</v>
      </c>
      <c r="BP137">
        <f t="shared" si="32"/>
        <v>0</v>
      </c>
      <c r="BQ137">
        <f t="shared" si="21"/>
        <v>1</v>
      </c>
      <c r="BR137">
        <f t="shared" si="33"/>
        <v>0</v>
      </c>
      <c r="BS137" s="9">
        <f t="shared" si="34"/>
        <v>0</v>
      </c>
      <c r="BT137" s="9">
        <f t="shared" si="35"/>
        <v>0</v>
      </c>
      <c r="BU137" s="9">
        <f t="shared" si="36"/>
        <v>0</v>
      </c>
      <c r="BV137" s="12">
        <f t="shared" si="37"/>
        <v>2.2425974143792096E-3</v>
      </c>
      <c r="BX137" s="12">
        <f t="shared" si="38"/>
        <v>0</v>
      </c>
      <c r="BY137" s="12">
        <f t="shared" si="39"/>
        <v>1.1232277051882004E-2</v>
      </c>
    </row>
    <row r="138" spans="1:77" x14ac:dyDescent="0.3">
      <c r="A138" s="1">
        <v>46224</v>
      </c>
      <c r="B138" s="8">
        <v>95.26</v>
      </c>
      <c r="C138" s="8">
        <v>344.57</v>
      </c>
      <c r="D138" s="9">
        <v>7.48120026824786E-3</v>
      </c>
      <c r="E138" s="9">
        <v>6.5805035971279102E-3</v>
      </c>
      <c r="F138" s="8">
        <v>0</v>
      </c>
      <c r="G138" s="8">
        <v>0.47799999999999998</v>
      </c>
      <c r="H138" s="8">
        <v>0</v>
      </c>
      <c r="I138" s="8">
        <v>1.4757</v>
      </c>
      <c r="J138" s="8">
        <v>0</v>
      </c>
      <c r="K138" s="8">
        <v>0</v>
      </c>
      <c r="L138" s="8">
        <v>95.26</v>
      </c>
      <c r="M138" s="8">
        <v>344.57</v>
      </c>
      <c r="N138" s="10">
        <v>3.6171530547973898</v>
      </c>
      <c r="O138" s="10">
        <v>3.6128150130856298</v>
      </c>
      <c r="P138" s="10">
        <v>3.6186338391598301</v>
      </c>
      <c r="Q138" s="10">
        <v>3.6196107316674402</v>
      </c>
      <c r="R138" s="8">
        <v>344.15675814653798</v>
      </c>
      <c r="S138" s="8">
        <v>344.741535056526</v>
      </c>
      <c r="T138" s="8">
        <v>344.836885508416</v>
      </c>
      <c r="U138" s="9">
        <v>-1.2000169825389501E-3</v>
      </c>
      <c r="V138" s="9">
        <v>4.9769966508147296E-4</v>
      </c>
      <c r="W138" s="9">
        <v>7.7424675430077204E-4</v>
      </c>
      <c r="X138" s="10">
        <v>3.6171530547973898</v>
      </c>
      <c r="Y138" s="10">
        <v>3.6128150130856298</v>
      </c>
      <c r="Z138" s="10">
        <v>3.6186338391598301</v>
      </c>
      <c r="AA138" s="10">
        <v>3.6196107316674402</v>
      </c>
      <c r="AB138" s="8">
        <v>344.15675814653798</v>
      </c>
      <c r="AC138" s="8">
        <v>344.741535056526</v>
      </c>
      <c r="AD138" s="8">
        <v>344.836885508416</v>
      </c>
      <c r="AE138" s="9">
        <v>-1.2000169825389501E-3</v>
      </c>
      <c r="AF138" s="9">
        <v>4.9769966508147296E-4</v>
      </c>
      <c r="AG138" s="9">
        <v>7.7424675430077204E-4</v>
      </c>
      <c r="AZ138" s="9"/>
      <c r="BB138">
        <f t="shared" si="22"/>
        <v>0</v>
      </c>
      <c r="BC138">
        <f t="shared" si="23"/>
        <v>1</v>
      </c>
      <c r="BD138">
        <f t="shared" si="24"/>
        <v>0</v>
      </c>
      <c r="BE138">
        <f t="shared" si="20"/>
        <v>1</v>
      </c>
      <c r="BF138">
        <f t="shared" si="25"/>
        <v>0</v>
      </c>
      <c r="BG138" s="9">
        <f t="shared" si="26"/>
        <v>0</v>
      </c>
      <c r="BH138" s="9">
        <f t="shared" si="27"/>
        <v>0</v>
      </c>
      <c r="BI138" s="9">
        <f t="shared" si="28"/>
        <v>0</v>
      </c>
      <c r="BJ138" s="12">
        <f t="shared" si="29"/>
        <v>8.9896796375027975E-3</v>
      </c>
      <c r="BL138" s="9"/>
      <c r="BN138">
        <f t="shared" si="30"/>
        <v>0</v>
      </c>
      <c r="BO138">
        <f t="shared" si="31"/>
        <v>0</v>
      </c>
      <c r="BP138">
        <f t="shared" si="32"/>
        <v>0</v>
      </c>
      <c r="BQ138">
        <f t="shared" si="21"/>
        <v>1</v>
      </c>
      <c r="BR138">
        <f t="shared" si="33"/>
        <v>0</v>
      </c>
      <c r="BS138" s="9">
        <f t="shared" si="34"/>
        <v>0</v>
      </c>
      <c r="BT138" s="9">
        <f t="shared" si="35"/>
        <v>0</v>
      </c>
      <c r="BU138" s="9">
        <f t="shared" si="36"/>
        <v>0</v>
      </c>
      <c r="BV138" s="12">
        <f t="shared" si="37"/>
        <v>2.2425974143792096E-3</v>
      </c>
      <c r="BX138" s="12">
        <f t="shared" si="38"/>
        <v>0</v>
      </c>
      <c r="BY138" s="12">
        <f t="shared" si="39"/>
        <v>1.1232277051882004E-2</v>
      </c>
    </row>
    <row r="139" spans="1:77" x14ac:dyDescent="0.3">
      <c r="A139" s="1">
        <v>46225</v>
      </c>
      <c r="B139" s="8">
        <v>95.38</v>
      </c>
      <c r="C139" s="8">
        <v>345.01</v>
      </c>
      <c r="D139" s="9">
        <v>1.2589174973637899E-3</v>
      </c>
      <c r="E139" s="9">
        <v>1.2761392723479399E-3</v>
      </c>
      <c r="F139" s="8">
        <v>0</v>
      </c>
      <c r="G139" s="8">
        <v>0.47799999999999998</v>
      </c>
      <c r="H139" s="8">
        <v>0</v>
      </c>
      <c r="I139" s="8">
        <v>1.4757</v>
      </c>
      <c r="J139" s="8">
        <v>0</v>
      </c>
      <c r="K139" s="8">
        <v>0</v>
      </c>
      <c r="L139" s="8">
        <v>95.38</v>
      </c>
      <c r="M139" s="8">
        <v>345.01</v>
      </c>
      <c r="N139" s="10">
        <v>3.6172153491297898</v>
      </c>
      <c r="O139" s="10">
        <v>3.6128150130856298</v>
      </c>
      <c r="P139" s="10">
        <v>3.61859832192334</v>
      </c>
      <c r="Q139" s="10">
        <v>3.6193209737936498</v>
      </c>
      <c r="R139" s="8">
        <v>344.59029594810801</v>
      </c>
      <c r="S139" s="8">
        <v>345.14529557906502</v>
      </c>
      <c r="T139" s="8">
        <v>345.23847158644003</v>
      </c>
      <c r="U139" s="9">
        <v>-1.21723875752314E-3</v>
      </c>
      <c r="V139" s="9">
        <v>3.9207286146992202E-4</v>
      </c>
      <c r="W139" s="9">
        <v>6.6199811861759601E-4</v>
      </c>
      <c r="X139" s="10">
        <v>3.6172153491297898</v>
      </c>
      <c r="Y139" s="10">
        <v>3.6128150130856298</v>
      </c>
      <c r="Z139" s="10">
        <v>3.61859832192334</v>
      </c>
      <c r="AA139" s="10">
        <v>3.6193209737936498</v>
      </c>
      <c r="AB139" s="8">
        <v>344.59029594810801</v>
      </c>
      <c r="AC139" s="8">
        <v>345.14529557906502</v>
      </c>
      <c r="AD139" s="8">
        <v>345.23847158644003</v>
      </c>
      <c r="AE139" s="9">
        <v>-1.21723875752314E-3</v>
      </c>
      <c r="AF139" s="9">
        <v>3.9207286146992202E-4</v>
      </c>
      <c r="AG139" s="9">
        <v>6.6199811861759601E-4</v>
      </c>
      <c r="AZ139" s="9"/>
      <c r="BB139">
        <f t="shared" si="22"/>
        <v>0</v>
      </c>
      <c r="BC139">
        <f t="shared" si="23"/>
        <v>1</v>
      </c>
      <c r="BD139">
        <f t="shared" si="24"/>
        <v>0</v>
      </c>
      <c r="BE139">
        <f t="shared" si="20"/>
        <v>1</v>
      </c>
      <c r="BF139">
        <f t="shared" si="25"/>
        <v>0</v>
      </c>
      <c r="BG139" s="9">
        <f t="shared" si="26"/>
        <v>0</v>
      </c>
      <c r="BH139" s="9">
        <f t="shared" si="27"/>
        <v>0</v>
      </c>
      <c r="BI139" s="9">
        <f t="shared" si="28"/>
        <v>0</v>
      </c>
      <c r="BJ139" s="12">
        <f t="shared" si="29"/>
        <v>8.9896796375027975E-3</v>
      </c>
      <c r="BL139" s="9"/>
      <c r="BN139">
        <f t="shared" si="30"/>
        <v>0</v>
      </c>
      <c r="BO139">
        <f t="shared" si="31"/>
        <v>0</v>
      </c>
      <c r="BP139">
        <f t="shared" si="32"/>
        <v>0</v>
      </c>
      <c r="BQ139">
        <f t="shared" si="21"/>
        <v>1</v>
      </c>
      <c r="BR139">
        <f t="shared" si="33"/>
        <v>0</v>
      </c>
      <c r="BS139" s="9">
        <f t="shared" si="34"/>
        <v>0</v>
      </c>
      <c r="BT139" s="9">
        <f t="shared" si="35"/>
        <v>0</v>
      </c>
      <c r="BU139" s="9">
        <f t="shared" si="36"/>
        <v>0</v>
      </c>
      <c r="BV139" s="12">
        <f t="shared" si="37"/>
        <v>2.2425974143792096E-3</v>
      </c>
      <c r="BX139" s="12">
        <f t="shared" si="38"/>
        <v>0</v>
      </c>
      <c r="BY139" s="12">
        <f t="shared" si="39"/>
        <v>1.1232277051882004E-2</v>
      </c>
    </row>
    <row r="140" spans="1:77" x14ac:dyDescent="0.3">
      <c r="A140" s="1">
        <v>46226</v>
      </c>
      <c r="B140" s="8">
        <v>96.77</v>
      </c>
      <c r="C140" s="8">
        <v>349.75</v>
      </c>
      <c r="D140" s="9">
        <v>1.4468116022772801E-2</v>
      </c>
      <c r="E140" s="9">
        <v>1.36452114270561E-2</v>
      </c>
      <c r="F140" s="8">
        <v>0</v>
      </c>
      <c r="G140" s="8">
        <v>0.47799999999999998</v>
      </c>
      <c r="H140" s="8">
        <v>0</v>
      </c>
      <c r="I140" s="8">
        <v>1.4757</v>
      </c>
      <c r="J140" s="8">
        <v>0</v>
      </c>
      <c r="K140" s="8">
        <v>0</v>
      </c>
      <c r="L140" s="8">
        <v>96.77</v>
      </c>
      <c r="M140" s="8">
        <v>349.75</v>
      </c>
      <c r="N140" s="10">
        <v>3.6142399503978502</v>
      </c>
      <c r="O140" s="10">
        <v>3.6128150130856298</v>
      </c>
      <c r="P140" s="10">
        <v>3.61806771026813</v>
      </c>
      <c r="Q140" s="10">
        <v>3.61903668035949</v>
      </c>
      <c r="R140" s="8">
        <v>349.612108816297</v>
      </c>
      <c r="S140" s="8">
        <v>350.17175961252099</v>
      </c>
      <c r="T140" s="8">
        <v>350.24169063401098</v>
      </c>
      <c r="U140" s="9">
        <v>-3.9433416180641498E-4</v>
      </c>
      <c r="V140" s="9">
        <v>1.2051623135781999E-3</v>
      </c>
      <c r="W140" s="9">
        <v>1.40484729020931E-3</v>
      </c>
      <c r="X140" s="10">
        <v>3.6142399503978502</v>
      </c>
      <c r="Y140" s="10">
        <v>3.6128150130856298</v>
      </c>
      <c r="Z140" s="10">
        <v>3.61806771026813</v>
      </c>
      <c r="AA140" s="10">
        <v>3.61903668035949</v>
      </c>
      <c r="AB140" s="8">
        <v>349.612108816297</v>
      </c>
      <c r="AC140" s="8">
        <v>350.17175961252099</v>
      </c>
      <c r="AD140" s="8">
        <v>350.24169063401098</v>
      </c>
      <c r="AE140" s="9">
        <v>-3.9433416180641498E-4</v>
      </c>
      <c r="AF140" s="9">
        <v>1.2051623135781999E-3</v>
      </c>
      <c r="AG140" s="9">
        <v>1.40484729020931E-3</v>
      </c>
      <c r="AZ140" s="9"/>
      <c r="BB140">
        <f t="shared" si="22"/>
        <v>0</v>
      </c>
      <c r="BC140">
        <f t="shared" si="23"/>
        <v>1</v>
      </c>
      <c r="BD140">
        <f t="shared" si="24"/>
        <v>0</v>
      </c>
      <c r="BE140">
        <f t="shared" si="20"/>
        <v>1</v>
      </c>
      <c r="BF140">
        <f t="shared" si="25"/>
        <v>0</v>
      </c>
      <c r="BG140" s="9">
        <f t="shared" si="26"/>
        <v>0</v>
      </c>
      <c r="BH140" s="9">
        <f t="shared" si="27"/>
        <v>0</v>
      </c>
      <c r="BI140" s="9">
        <f t="shared" si="28"/>
        <v>0</v>
      </c>
      <c r="BJ140" s="12">
        <f t="shared" si="29"/>
        <v>8.9896796375027975E-3</v>
      </c>
      <c r="BL140" s="9"/>
      <c r="BN140">
        <f t="shared" si="30"/>
        <v>0</v>
      </c>
      <c r="BO140">
        <f t="shared" si="31"/>
        <v>0</v>
      </c>
      <c r="BP140">
        <f t="shared" si="32"/>
        <v>0</v>
      </c>
      <c r="BQ140">
        <f t="shared" si="21"/>
        <v>1</v>
      </c>
      <c r="BR140">
        <f t="shared" si="33"/>
        <v>0</v>
      </c>
      <c r="BS140" s="9">
        <f t="shared" si="34"/>
        <v>0</v>
      </c>
      <c r="BT140" s="9">
        <f t="shared" si="35"/>
        <v>0</v>
      </c>
      <c r="BU140" s="9">
        <f t="shared" si="36"/>
        <v>0</v>
      </c>
      <c r="BV140" s="12">
        <f t="shared" si="37"/>
        <v>2.2425974143792096E-3</v>
      </c>
      <c r="BX140" s="12">
        <f t="shared" si="38"/>
        <v>0</v>
      </c>
      <c r="BY140" s="12">
        <f t="shared" si="39"/>
        <v>1.1232277051882004E-2</v>
      </c>
    </row>
    <row r="141" spans="1:77" x14ac:dyDescent="0.3">
      <c r="A141" s="1">
        <v>46227</v>
      </c>
      <c r="B141" s="8">
        <v>96.84</v>
      </c>
      <c r="C141" s="8">
        <v>350.17</v>
      </c>
      <c r="D141" s="9">
        <v>7.2310317700674401E-4</v>
      </c>
      <c r="E141" s="9">
        <v>1.20013730258194E-3</v>
      </c>
      <c r="F141" s="8">
        <v>0</v>
      </c>
      <c r="G141" s="8">
        <v>0.47799999999999998</v>
      </c>
      <c r="H141" s="8">
        <v>0</v>
      </c>
      <c r="I141" s="8">
        <v>1.4757</v>
      </c>
      <c r="J141" s="8">
        <v>0</v>
      </c>
      <c r="K141" s="8">
        <v>0</v>
      </c>
      <c r="L141" s="8">
        <v>96.84</v>
      </c>
      <c r="M141" s="8">
        <v>350.17</v>
      </c>
      <c r="N141" s="10">
        <v>3.6159644774886401</v>
      </c>
      <c r="O141" s="10">
        <v>3.6128150130856298</v>
      </c>
      <c r="P141" s="10">
        <v>3.6178134919011198</v>
      </c>
      <c r="Q141" s="10">
        <v>3.6189157123147302</v>
      </c>
      <c r="R141" s="8">
        <v>349.86500586721297</v>
      </c>
      <c r="S141" s="8">
        <v>350.373677062365</v>
      </c>
      <c r="T141" s="8">
        <v>350.46751212601299</v>
      </c>
      <c r="U141" s="9">
        <v>-8.7136828738155602E-4</v>
      </c>
      <c r="V141" s="9">
        <v>5.814828533143E-4</v>
      </c>
      <c r="W141" s="9">
        <v>8.4926124778046403E-4</v>
      </c>
      <c r="X141" s="10">
        <v>3.6159644774886401</v>
      </c>
      <c r="Y141" s="10">
        <v>3.6128150130856298</v>
      </c>
      <c r="Z141" s="10">
        <v>3.6178134919011198</v>
      </c>
      <c r="AA141" s="10">
        <v>3.6189157123147302</v>
      </c>
      <c r="AB141" s="8">
        <v>349.86500586721297</v>
      </c>
      <c r="AC141" s="8">
        <v>350.373677062365</v>
      </c>
      <c r="AD141" s="8">
        <v>350.46751212601299</v>
      </c>
      <c r="AE141" s="9">
        <v>-8.7136828738155602E-4</v>
      </c>
      <c r="AF141" s="9">
        <v>5.814828533143E-4</v>
      </c>
      <c r="AG141" s="9">
        <v>8.4926124778046403E-4</v>
      </c>
      <c r="AZ141" s="9"/>
      <c r="BB141">
        <f t="shared" si="22"/>
        <v>0</v>
      </c>
      <c r="BC141">
        <f t="shared" si="23"/>
        <v>1</v>
      </c>
      <c r="BD141">
        <f t="shared" si="24"/>
        <v>0</v>
      </c>
      <c r="BE141">
        <f t="shared" si="20"/>
        <v>1</v>
      </c>
      <c r="BF141">
        <f t="shared" si="25"/>
        <v>0</v>
      </c>
      <c r="BG141" s="9">
        <f t="shared" si="26"/>
        <v>0</v>
      </c>
      <c r="BH141" s="9">
        <f t="shared" si="27"/>
        <v>0</v>
      </c>
      <c r="BI141" s="9">
        <f t="shared" si="28"/>
        <v>0</v>
      </c>
      <c r="BJ141" s="12">
        <f t="shared" si="29"/>
        <v>8.9896796375027975E-3</v>
      </c>
      <c r="BL141" s="9"/>
      <c r="BN141">
        <f t="shared" si="30"/>
        <v>0</v>
      </c>
      <c r="BO141">
        <f t="shared" si="31"/>
        <v>0</v>
      </c>
      <c r="BP141">
        <f t="shared" si="32"/>
        <v>0</v>
      </c>
      <c r="BQ141">
        <f t="shared" si="21"/>
        <v>1</v>
      </c>
      <c r="BR141">
        <f t="shared" si="33"/>
        <v>0</v>
      </c>
      <c r="BS141" s="9">
        <f t="shared" si="34"/>
        <v>0</v>
      </c>
      <c r="BT141" s="9">
        <f t="shared" si="35"/>
        <v>0</v>
      </c>
      <c r="BU141" s="9">
        <f t="shared" si="36"/>
        <v>0</v>
      </c>
      <c r="BV141" s="12">
        <f t="shared" si="37"/>
        <v>2.2425974143792096E-3</v>
      </c>
      <c r="BX141" s="12">
        <f t="shared" si="38"/>
        <v>0</v>
      </c>
      <c r="BY141" s="12">
        <f t="shared" si="39"/>
        <v>1.1232277051882004E-2</v>
      </c>
    </row>
    <row r="142" spans="1:77" x14ac:dyDescent="0.3">
      <c r="A142" s="1">
        <v>46230</v>
      </c>
      <c r="B142" s="8">
        <v>97.08</v>
      </c>
      <c r="C142" s="8">
        <v>351.42</v>
      </c>
      <c r="D142" s="9">
        <v>2.47524878854275E-3</v>
      </c>
      <c r="E142" s="9">
        <v>3.5633384815734301E-3</v>
      </c>
      <c r="F142" s="8">
        <v>0</v>
      </c>
      <c r="G142" s="8">
        <v>0.47799999999999998</v>
      </c>
      <c r="H142" s="8">
        <v>0</v>
      </c>
      <c r="I142" s="8">
        <v>1.4757</v>
      </c>
      <c r="J142" s="8">
        <v>0</v>
      </c>
      <c r="K142" s="8">
        <v>0</v>
      </c>
      <c r="L142" s="8">
        <v>97.08</v>
      </c>
      <c r="M142" s="8">
        <v>351.42</v>
      </c>
      <c r="N142" s="10">
        <v>3.6199011124845399</v>
      </c>
      <c r="O142" s="10">
        <v>3.6128150130856298</v>
      </c>
      <c r="P142" s="10">
        <v>3.61772744248186</v>
      </c>
      <c r="Q142" s="10">
        <v>3.6185803841546198</v>
      </c>
      <c r="R142" s="8">
        <v>350.73208147035302</v>
      </c>
      <c r="S142" s="8">
        <v>351.21733379376002</v>
      </c>
      <c r="T142" s="8">
        <v>351.32433735151398</v>
      </c>
      <c r="U142" s="9">
        <v>-1.9594579804121499E-3</v>
      </c>
      <c r="V142" s="9">
        <v>-5.7687288196091703E-4</v>
      </c>
      <c r="W142" s="9">
        <v>-2.7225448571260001E-4</v>
      </c>
      <c r="X142" s="10">
        <v>3.6199011124845399</v>
      </c>
      <c r="Y142" s="10">
        <v>3.6128150130856298</v>
      </c>
      <c r="Z142" s="10">
        <v>3.61772744248186</v>
      </c>
      <c r="AA142" s="10">
        <v>3.6185803841546198</v>
      </c>
      <c r="AB142" s="8">
        <v>350.73208147035302</v>
      </c>
      <c r="AC142" s="8">
        <v>351.21733379376002</v>
      </c>
      <c r="AD142" s="8">
        <v>351.32433735151398</v>
      </c>
      <c r="AE142" s="9">
        <v>-1.9594579804121499E-3</v>
      </c>
      <c r="AF142" s="9">
        <v>-5.7687288196091703E-4</v>
      </c>
      <c r="AG142" s="9">
        <v>-2.7225448571260001E-4</v>
      </c>
      <c r="AZ142" s="9"/>
      <c r="BB142">
        <f t="shared" si="22"/>
        <v>0</v>
      </c>
      <c r="BC142">
        <f t="shared" si="23"/>
        <v>0</v>
      </c>
      <c r="BD142">
        <f t="shared" si="24"/>
        <v>0</v>
      </c>
      <c r="BE142">
        <f t="shared" si="20"/>
        <v>1</v>
      </c>
      <c r="BF142">
        <f t="shared" si="25"/>
        <v>0</v>
      </c>
      <c r="BG142" s="9">
        <f t="shared" si="26"/>
        <v>0</v>
      </c>
      <c r="BH142" s="9">
        <f t="shared" si="27"/>
        <v>0</v>
      </c>
      <c r="BI142" s="9">
        <f t="shared" si="28"/>
        <v>0</v>
      </c>
      <c r="BJ142" s="12">
        <f t="shared" si="29"/>
        <v>8.9896796375027975E-3</v>
      </c>
      <c r="BL142" s="9"/>
      <c r="BN142">
        <f t="shared" si="30"/>
        <v>0</v>
      </c>
      <c r="BO142">
        <f t="shared" si="31"/>
        <v>1</v>
      </c>
      <c r="BP142">
        <f t="shared" si="32"/>
        <v>0</v>
      </c>
      <c r="BQ142">
        <f t="shared" si="21"/>
        <v>1</v>
      </c>
      <c r="BR142">
        <f t="shared" si="33"/>
        <v>0</v>
      </c>
      <c r="BS142" s="9">
        <f t="shared" si="34"/>
        <v>0</v>
      </c>
      <c r="BT142" s="9">
        <f t="shared" si="35"/>
        <v>0</v>
      </c>
      <c r="BU142" s="9">
        <f t="shared" si="36"/>
        <v>0</v>
      </c>
      <c r="BV142" s="12">
        <f t="shared" si="37"/>
        <v>2.2425974143792096E-3</v>
      </c>
      <c r="BX142" s="12">
        <f t="shared" si="38"/>
        <v>0</v>
      </c>
      <c r="BY142" s="12">
        <f t="shared" si="39"/>
        <v>1.1232277051882004E-2</v>
      </c>
    </row>
    <row r="143" spans="1:77" x14ac:dyDescent="0.3">
      <c r="A143" s="1">
        <v>46231</v>
      </c>
      <c r="B143" s="8">
        <v>96.59</v>
      </c>
      <c r="C143" s="8">
        <v>349.49</v>
      </c>
      <c r="D143" s="9">
        <v>-5.06016466719605E-3</v>
      </c>
      <c r="E143" s="9">
        <v>-5.5071403685111797E-3</v>
      </c>
      <c r="F143" s="8">
        <v>0</v>
      </c>
      <c r="G143" s="8">
        <v>0.47799999999999998</v>
      </c>
      <c r="H143" s="8">
        <v>0</v>
      </c>
      <c r="I143" s="8">
        <v>1.4757</v>
      </c>
      <c r="J143" s="8">
        <v>0</v>
      </c>
      <c r="K143" s="8">
        <v>0</v>
      </c>
      <c r="L143" s="8">
        <v>96.59</v>
      </c>
      <c r="M143" s="8">
        <v>349.49</v>
      </c>
      <c r="N143" s="10">
        <v>3.6182834661973202</v>
      </c>
      <c r="O143" s="10">
        <v>3.6128150130856298</v>
      </c>
      <c r="P143" s="10">
        <v>3.6176683684377702</v>
      </c>
      <c r="Q143" s="10">
        <v>3.6185067774237498</v>
      </c>
      <c r="R143" s="8">
        <v>348.96180211394102</v>
      </c>
      <c r="S143" s="8">
        <v>349.43629366932299</v>
      </c>
      <c r="T143" s="8">
        <v>349.518679305494</v>
      </c>
      <c r="U143" s="9">
        <v>-1.5124822790970401E-3</v>
      </c>
      <c r="V143" s="9">
        <v>-1.5368238759576899E-4</v>
      </c>
      <c r="W143" s="9">
        <v>8.2057079861789996E-5</v>
      </c>
      <c r="X143" s="10">
        <v>3.6182834661973202</v>
      </c>
      <c r="Y143" s="10">
        <v>3.6128150130856298</v>
      </c>
      <c r="Z143" s="10">
        <v>3.6176683684377702</v>
      </c>
      <c r="AA143" s="10">
        <v>3.6185067774237498</v>
      </c>
      <c r="AB143" s="8">
        <v>348.96180211394102</v>
      </c>
      <c r="AC143" s="8">
        <v>349.43629366932299</v>
      </c>
      <c r="AD143" s="8">
        <v>349.518679305494</v>
      </c>
      <c r="AE143" s="9">
        <v>-1.5124822790970401E-3</v>
      </c>
      <c r="AF143" s="9">
        <v>-1.5368238759576899E-4</v>
      </c>
      <c r="AG143" s="9">
        <v>8.2057079861789996E-5</v>
      </c>
      <c r="AZ143" s="9"/>
      <c r="BB143">
        <f t="shared" si="22"/>
        <v>0</v>
      </c>
      <c r="BC143">
        <f t="shared" si="23"/>
        <v>1</v>
      </c>
      <c r="BD143">
        <f t="shared" si="24"/>
        <v>0</v>
      </c>
      <c r="BE143">
        <f t="shared" si="20"/>
        <v>1</v>
      </c>
      <c r="BF143">
        <f t="shared" si="25"/>
        <v>0</v>
      </c>
      <c r="BG143" s="9">
        <f t="shared" si="26"/>
        <v>0</v>
      </c>
      <c r="BH143" s="9">
        <f t="shared" si="27"/>
        <v>0</v>
      </c>
      <c r="BI143" s="9">
        <f t="shared" si="28"/>
        <v>0</v>
      </c>
      <c r="BJ143" s="12">
        <f t="shared" si="29"/>
        <v>8.9896796375027975E-3</v>
      </c>
      <c r="BL143" s="9"/>
      <c r="BN143">
        <f t="shared" si="30"/>
        <v>0</v>
      </c>
      <c r="BO143">
        <f t="shared" si="31"/>
        <v>0</v>
      </c>
      <c r="BP143">
        <f t="shared" si="32"/>
        <v>0</v>
      </c>
      <c r="BQ143">
        <f t="shared" si="21"/>
        <v>1</v>
      </c>
      <c r="BR143">
        <f t="shared" si="33"/>
        <v>0</v>
      </c>
      <c r="BS143" s="9">
        <f t="shared" si="34"/>
        <v>0</v>
      </c>
      <c r="BT143" s="9">
        <f t="shared" si="35"/>
        <v>0</v>
      </c>
      <c r="BU143" s="9">
        <f t="shared" si="36"/>
        <v>0</v>
      </c>
      <c r="BV143" s="12">
        <f t="shared" si="37"/>
        <v>2.2425974143792096E-3</v>
      </c>
      <c r="BX143" s="12">
        <f t="shared" si="38"/>
        <v>0</v>
      </c>
      <c r="BY143" s="12">
        <f t="shared" si="39"/>
        <v>1.1232277051882004E-2</v>
      </c>
    </row>
    <row r="144" spans="1:77" x14ac:dyDescent="0.3">
      <c r="A144" s="1">
        <v>46232</v>
      </c>
      <c r="B144" s="8">
        <v>93.32</v>
      </c>
      <c r="C144" s="8">
        <v>337.87</v>
      </c>
      <c r="D144" s="9">
        <v>-3.4440769037975397E-2</v>
      </c>
      <c r="E144" s="9">
        <v>-3.3813742846299101E-2</v>
      </c>
      <c r="F144" s="8">
        <v>0</v>
      </c>
      <c r="G144" s="8">
        <v>0.47799999999999998</v>
      </c>
      <c r="H144" s="8">
        <v>0</v>
      </c>
      <c r="I144" s="8">
        <v>1.4757</v>
      </c>
      <c r="J144" s="8">
        <v>0</v>
      </c>
      <c r="K144" s="8">
        <v>0</v>
      </c>
      <c r="L144" s="8">
        <v>93.32</v>
      </c>
      <c r="M144" s="8">
        <v>337.87</v>
      </c>
      <c r="N144" s="10">
        <v>3.6205529361337301</v>
      </c>
      <c r="O144" s="10">
        <v>3.6128150130856298</v>
      </c>
      <c r="P144" s="10">
        <v>3.61790074538448</v>
      </c>
      <c r="Q144" s="10">
        <v>3.6186389318100001</v>
      </c>
      <c r="R144" s="8">
        <v>337.14789702115098</v>
      </c>
      <c r="S144" s="8">
        <v>337.60081214261299</v>
      </c>
      <c r="T144" s="8">
        <v>337.679052469184</v>
      </c>
      <c r="U144" s="9">
        <v>-2.1395084707733201E-3</v>
      </c>
      <c r="V144" s="9">
        <v>-7.9703776032415802E-4</v>
      </c>
      <c r="W144" s="9">
        <v>-5.6531064680655099E-4</v>
      </c>
      <c r="X144" s="10">
        <v>3.6205529361337301</v>
      </c>
      <c r="Y144" s="10">
        <v>3.6128150130856298</v>
      </c>
      <c r="Z144" s="10">
        <v>3.61790074538448</v>
      </c>
      <c r="AA144" s="10">
        <v>3.6186389318100001</v>
      </c>
      <c r="AB144" s="8">
        <v>337.14789702115098</v>
      </c>
      <c r="AC144" s="8">
        <v>337.60081214261299</v>
      </c>
      <c r="AD144" s="8">
        <v>337.679052469184</v>
      </c>
      <c r="AE144" s="9">
        <v>-2.1395084707733201E-3</v>
      </c>
      <c r="AF144" s="9">
        <v>-7.9703776032415802E-4</v>
      </c>
      <c r="AG144" s="9">
        <v>-5.6531064680655099E-4</v>
      </c>
      <c r="AZ144" s="9"/>
      <c r="BB144">
        <f t="shared" si="22"/>
        <v>0</v>
      </c>
      <c r="BC144">
        <f t="shared" si="23"/>
        <v>0</v>
      </c>
      <c r="BD144">
        <f t="shared" si="24"/>
        <v>0</v>
      </c>
      <c r="BE144">
        <f t="shared" si="20"/>
        <v>1</v>
      </c>
      <c r="BF144">
        <f t="shared" si="25"/>
        <v>0</v>
      </c>
      <c r="BG144" s="9">
        <f t="shared" si="26"/>
        <v>0</v>
      </c>
      <c r="BH144" s="9">
        <f t="shared" si="27"/>
        <v>0</v>
      </c>
      <c r="BI144" s="9">
        <f t="shared" si="28"/>
        <v>0</v>
      </c>
      <c r="BJ144" s="12">
        <f t="shared" si="29"/>
        <v>8.9896796375027975E-3</v>
      </c>
      <c r="BL144" s="9"/>
      <c r="BN144">
        <f t="shared" si="30"/>
        <v>0</v>
      </c>
      <c r="BO144">
        <f t="shared" si="31"/>
        <v>1</v>
      </c>
      <c r="BP144">
        <f t="shared" si="32"/>
        <v>0</v>
      </c>
      <c r="BQ144">
        <f t="shared" si="21"/>
        <v>1</v>
      </c>
      <c r="BR144">
        <f t="shared" si="33"/>
        <v>0</v>
      </c>
      <c r="BS144" s="9">
        <f t="shared" si="34"/>
        <v>0</v>
      </c>
      <c r="BT144" s="9">
        <f t="shared" si="35"/>
        <v>0</v>
      </c>
      <c r="BU144" s="9">
        <f t="shared" si="36"/>
        <v>0</v>
      </c>
      <c r="BV144" s="12">
        <f t="shared" si="37"/>
        <v>2.2425974143792096E-3</v>
      </c>
      <c r="BX144" s="12">
        <f t="shared" si="38"/>
        <v>0</v>
      </c>
      <c r="BY144" s="12">
        <f t="shared" si="39"/>
        <v>1.1232277051882004E-2</v>
      </c>
    </row>
    <row r="145" spans="1:77" x14ac:dyDescent="0.3">
      <c r="A145" s="1">
        <v>46233</v>
      </c>
      <c r="B145" s="8">
        <v>94.44</v>
      </c>
      <c r="C145" s="8">
        <v>341.98</v>
      </c>
      <c r="D145" s="9">
        <v>1.1930265064082899E-2</v>
      </c>
      <c r="E145" s="9">
        <v>1.2091049705511199E-2</v>
      </c>
      <c r="F145" s="8">
        <v>0</v>
      </c>
      <c r="G145" s="8">
        <v>0.47799999999999998</v>
      </c>
      <c r="H145" s="8">
        <v>0</v>
      </c>
      <c r="I145" s="8">
        <v>1.4757</v>
      </c>
      <c r="J145" s="8">
        <v>0</v>
      </c>
      <c r="K145" s="8">
        <v>0</v>
      </c>
      <c r="L145" s="8">
        <v>94.44</v>
      </c>
      <c r="M145" s="8">
        <v>341.98</v>
      </c>
      <c r="N145" s="10">
        <v>3.6211351122405699</v>
      </c>
      <c r="O145" s="10">
        <v>3.6128150130856298</v>
      </c>
      <c r="P145" s="10">
        <v>3.6181700926364901</v>
      </c>
      <c r="Q145" s="10">
        <v>3.6185538189099198</v>
      </c>
      <c r="R145" s="8">
        <v>341.194249835807</v>
      </c>
      <c r="S145" s="8">
        <v>341.67454639411</v>
      </c>
      <c r="T145" s="8">
        <v>341.74426072013603</v>
      </c>
      <c r="U145" s="9">
        <v>-2.3002931122017801E-3</v>
      </c>
      <c r="V145" s="9">
        <v>-8.9359056507683904E-4</v>
      </c>
      <c r="W145" s="9">
        <v>-6.8957415364087203E-4</v>
      </c>
      <c r="X145" s="10">
        <v>3.6211351122405699</v>
      </c>
      <c r="Y145" s="10">
        <v>3.6128150130856298</v>
      </c>
      <c r="Z145" s="10">
        <v>3.6181700926364901</v>
      </c>
      <c r="AA145" s="10">
        <v>3.6185538189099198</v>
      </c>
      <c r="AB145" s="8">
        <v>341.194249835807</v>
      </c>
      <c r="AC145" s="8">
        <v>341.67454639411</v>
      </c>
      <c r="AD145" s="8">
        <v>341.74426072013603</v>
      </c>
      <c r="AE145" s="9">
        <v>-2.3002931122017801E-3</v>
      </c>
      <c r="AF145" s="9">
        <v>-8.9359056507683904E-4</v>
      </c>
      <c r="AG145" s="9">
        <v>-6.8957415364087203E-4</v>
      </c>
      <c r="AZ145" s="9"/>
      <c r="BB145">
        <f t="shared" si="22"/>
        <v>0</v>
      </c>
      <c r="BC145">
        <f t="shared" si="23"/>
        <v>0</v>
      </c>
      <c r="BD145">
        <f t="shared" si="24"/>
        <v>0</v>
      </c>
      <c r="BE145">
        <f t="shared" si="20"/>
        <v>1</v>
      </c>
      <c r="BF145">
        <f t="shared" si="25"/>
        <v>0</v>
      </c>
      <c r="BG145" s="9">
        <f t="shared" si="26"/>
        <v>0</v>
      </c>
      <c r="BH145" s="9">
        <f t="shared" si="27"/>
        <v>0</v>
      </c>
      <c r="BI145" s="9">
        <f t="shared" si="28"/>
        <v>0</v>
      </c>
      <c r="BJ145" s="12">
        <f t="shared" si="29"/>
        <v>8.9896796375027975E-3</v>
      </c>
      <c r="BL145" s="9"/>
      <c r="BN145">
        <f t="shared" si="30"/>
        <v>0</v>
      </c>
      <c r="BO145">
        <f t="shared" si="31"/>
        <v>1</v>
      </c>
      <c r="BP145">
        <f t="shared" si="32"/>
        <v>0</v>
      </c>
      <c r="BQ145">
        <f t="shared" si="21"/>
        <v>1</v>
      </c>
      <c r="BR145">
        <f t="shared" si="33"/>
        <v>0</v>
      </c>
      <c r="BS145" s="9">
        <f t="shared" si="34"/>
        <v>0</v>
      </c>
      <c r="BT145" s="9">
        <f t="shared" si="35"/>
        <v>0</v>
      </c>
      <c r="BU145" s="9">
        <f t="shared" si="36"/>
        <v>0</v>
      </c>
      <c r="BV145" s="12">
        <f t="shared" si="37"/>
        <v>2.2425974143792096E-3</v>
      </c>
      <c r="BX145" s="12">
        <f t="shared" si="38"/>
        <v>0</v>
      </c>
      <c r="BY145" s="12">
        <f t="shared" si="39"/>
        <v>1.1232277051882004E-2</v>
      </c>
    </row>
    <row r="146" spans="1:77" x14ac:dyDescent="0.3">
      <c r="A146" s="1">
        <v>46234</v>
      </c>
      <c r="B146" s="8">
        <v>95.22</v>
      </c>
      <c r="C146" s="8">
        <v>344.44</v>
      </c>
      <c r="D146" s="9">
        <v>8.2252915490604508E-3</v>
      </c>
      <c r="E146" s="9">
        <v>7.1676540075175498E-3</v>
      </c>
      <c r="F146" s="8">
        <v>0</v>
      </c>
      <c r="G146" s="8">
        <v>0.47799999999999998</v>
      </c>
      <c r="H146" s="8">
        <v>0</v>
      </c>
      <c r="I146" s="8">
        <v>1.4757</v>
      </c>
      <c r="J146" s="8">
        <v>0</v>
      </c>
      <c r="K146" s="8">
        <v>0</v>
      </c>
      <c r="L146" s="8">
        <v>95.22</v>
      </c>
      <c r="M146" s="8">
        <v>344.44</v>
      </c>
      <c r="N146" s="10">
        <v>3.6173072883847901</v>
      </c>
      <c r="O146" s="10">
        <v>3.6128150130856298</v>
      </c>
      <c r="P146" s="10">
        <v>3.6182165227423799</v>
      </c>
      <c r="Q146" s="10">
        <v>3.6186914479602001</v>
      </c>
      <c r="R146" s="8">
        <v>344.01224554601401</v>
      </c>
      <c r="S146" s="8">
        <v>344.52215622084702</v>
      </c>
      <c r="T146" s="8">
        <v>344.55869463660201</v>
      </c>
      <c r="U146" s="9">
        <v>-1.24265557065863E-3</v>
      </c>
      <c r="V146" s="9">
        <v>2.3849269657171901E-4</v>
      </c>
      <c r="W146" s="9">
        <v>3.4454241699078899E-4</v>
      </c>
      <c r="X146" s="10">
        <v>3.6173072883847901</v>
      </c>
      <c r="Y146" s="10">
        <v>3.6128150130856298</v>
      </c>
      <c r="Z146" s="10">
        <v>3.6182165227423799</v>
      </c>
      <c r="AA146" s="10">
        <v>3.6186914479602001</v>
      </c>
      <c r="AB146" s="8">
        <v>344.01224554601401</v>
      </c>
      <c r="AC146" s="8">
        <v>344.52215622084702</v>
      </c>
      <c r="AD146" s="8">
        <v>344.55869463660201</v>
      </c>
      <c r="AE146" s="9">
        <v>-1.24265557065863E-3</v>
      </c>
      <c r="AF146" s="9">
        <v>2.3849269657171901E-4</v>
      </c>
      <c r="AG146" s="9">
        <v>3.4454241699078899E-4</v>
      </c>
      <c r="AZ146" s="9"/>
      <c r="BB146">
        <f t="shared" si="22"/>
        <v>0</v>
      </c>
      <c r="BC146">
        <f t="shared" si="23"/>
        <v>1</v>
      </c>
      <c r="BD146">
        <f t="shared" si="24"/>
        <v>0</v>
      </c>
      <c r="BE146">
        <f t="shared" si="20"/>
        <v>1</v>
      </c>
      <c r="BF146">
        <f t="shared" si="25"/>
        <v>0</v>
      </c>
      <c r="BG146" s="9">
        <f t="shared" si="26"/>
        <v>0</v>
      </c>
      <c r="BH146" s="9">
        <f t="shared" si="27"/>
        <v>0</v>
      </c>
      <c r="BI146" s="9">
        <f t="shared" si="28"/>
        <v>0</v>
      </c>
      <c r="BJ146" s="12">
        <f t="shared" si="29"/>
        <v>8.9896796375027975E-3</v>
      </c>
      <c r="BL146" s="9"/>
      <c r="BN146">
        <f t="shared" si="30"/>
        <v>0</v>
      </c>
      <c r="BO146">
        <f t="shared" si="31"/>
        <v>0</v>
      </c>
      <c r="BP146">
        <f t="shared" si="32"/>
        <v>0</v>
      </c>
      <c r="BQ146">
        <f t="shared" si="21"/>
        <v>1</v>
      </c>
      <c r="BR146">
        <f t="shared" si="33"/>
        <v>0</v>
      </c>
      <c r="BS146" s="9">
        <f t="shared" si="34"/>
        <v>0</v>
      </c>
      <c r="BT146" s="9">
        <f t="shared" si="35"/>
        <v>0</v>
      </c>
      <c r="BU146" s="9">
        <f t="shared" si="36"/>
        <v>0</v>
      </c>
      <c r="BV146" s="12">
        <f t="shared" si="37"/>
        <v>2.2425974143792096E-3</v>
      </c>
      <c r="BX146" s="12">
        <f t="shared" si="38"/>
        <v>0</v>
      </c>
      <c r="BY146" s="12">
        <f t="shared" si="39"/>
        <v>1.1232277051882004E-2</v>
      </c>
    </row>
    <row r="147" spans="1:77" x14ac:dyDescent="0.3">
      <c r="A147" s="1">
        <v>46237</v>
      </c>
      <c r="B147" s="8">
        <v>97.14</v>
      </c>
      <c r="C147" s="8">
        <v>351.63</v>
      </c>
      <c r="D147" s="9">
        <v>1.9963233151226101E-2</v>
      </c>
      <c r="E147" s="9">
        <v>2.0659576575234002E-2</v>
      </c>
      <c r="F147" s="8">
        <v>0</v>
      </c>
      <c r="G147" s="8">
        <v>0.47799999999999998</v>
      </c>
      <c r="H147" s="8">
        <v>0</v>
      </c>
      <c r="I147" s="8">
        <v>1.4757</v>
      </c>
      <c r="J147" s="8">
        <v>0</v>
      </c>
      <c r="K147" s="8">
        <v>0</v>
      </c>
      <c r="L147" s="8">
        <v>97.14</v>
      </c>
      <c r="M147" s="8">
        <v>351.63</v>
      </c>
      <c r="N147" s="10">
        <v>3.61982705373687</v>
      </c>
      <c r="O147" s="10">
        <v>3.6128150130856298</v>
      </c>
      <c r="P147" s="10">
        <v>3.6181579800991499</v>
      </c>
      <c r="Q147" s="10">
        <v>3.61855586941408</v>
      </c>
      <c r="R147" s="8">
        <v>350.94885037113801</v>
      </c>
      <c r="S147" s="8">
        <v>351.47355301919498</v>
      </c>
      <c r="T147" s="8">
        <v>351.51968725485398</v>
      </c>
      <c r="U147" s="9">
        <v>-1.93899899466673E-3</v>
      </c>
      <c r="V147" s="9">
        <v>-4.4501832685799899E-4</v>
      </c>
      <c r="W147" s="9">
        <v>-3.1376746104134497E-4</v>
      </c>
      <c r="X147" s="10">
        <v>3.61982705373687</v>
      </c>
      <c r="Y147" s="10">
        <v>3.6128150130856298</v>
      </c>
      <c r="Z147" s="10">
        <v>3.6181579800991499</v>
      </c>
      <c r="AA147" s="10">
        <v>3.61855586941408</v>
      </c>
      <c r="AB147" s="8">
        <v>350.94885037113801</v>
      </c>
      <c r="AC147" s="8">
        <v>351.47355301919498</v>
      </c>
      <c r="AD147" s="8">
        <v>351.51968725485398</v>
      </c>
      <c r="AE147" s="9">
        <v>-1.93899899466673E-3</v>
      </c>
      <c r="AF147" s="9">
        <v>-4.4501832685799899E-4</v>
      </c>
      <c r="AG147" s="9">
        <v>-3.1376746104134497E-4</v>
      </c>
      <c r="AZ147" s="9"/>
      <c r="BB147">
        <f t="shared" si="22"/>
        <v>0</v>
      </c>
      <c r="BC147">
        <f t="shared" si="23"/>
        <v>0</v>
      </c>
      <c r="BD147">
        <f t="shared" si="24"/>
        <v>0</v>
      </c>
      <c r="BE147">
        <f t="shared" si="20"/>
        <v>1</v>
      </c>
      <c r="BF147">
        <f t="shared" si="25"/>
        <v>0</v>
      </c>
      <c r="BG147" s="9">
        <f t="shared" si="26"/>
        <v>0</v>
      </c>
      <c r="BH147" s="9">
        <f t="shared" si="27"/>
        <v>0</v>
      </c>
      <c r="BI147" s="9">
        <f t="shared" si="28"/>
        <v>0</v>
      </c>
      <c r="BJ147" s="12">
        <f t="shared" si="29"/>
        <v>8.9896796375027975E-3</v>
      </c>
      <c r="BL147" s="9"/>
      <c r="BN147">
        <f t="shared" si="30"/>
        <v>0</v>
      </c>
      <c r="BO147">
        <f t="shared" si="31"/>
        <v>1</v>
      </c>
      <c r="BP147">
        <f t="shared" si="32"/>
        <v>0</v>
      </c>
      <c r="BQ147">
        <f t="shared" si="21"/>
        <v>1</v>
      </c>
      <c r="BR147">
        <f t="shared" si="33"/>
        <v>0</v>
      </c>
      <c r="BS147" s="9">
        <f t="shared" si="34"/>
        <v>0</v>
      </c>
      <c r="BT147" s="9">
        <f t="shared" si="35"/>
        <v>0</v>
      </c>
      <c r="BU147" s="9">
        <f t="shared" si="36"/>
        <v>0</v>
      </c>
      <c r="BV147" s="12">
        <f t="shared" si="37"/>
        <v>2.2425974143792096E-3</v>
      </c>
      <c r="BX147" s="12">
        <f t="shared" si="38"/>
        <v>0</v>
      </c>
      <c r="BY147" s="12">
        <f t="shared" si="39"/>
        <v>1.1232277051882004E-2</v>
      </c>
    </row>
    <row r="148" spans="1:77" x14ac:dyDescent="0.3">
      <c r="A148" s="1">
        <v>46238</v>
      </c>
      <c r="B148" s="8">
        <v>98.98</v>
      </c>
      <c r="C148" s="8">
        <v>358.35</v>
      </c>
      <c r="D148" s="9">
        <v>1.87645726061412E-2</v>
      </c>
      <c r="E148" s="9">
        <v>1.89306760367297E-2</v>
      </c>
      <c r="F148" s="8">
        <v>0</v>
      </c>
      <c r="G148" s="8">
        <v>0.47799999999999998</v>
      </c>
      <c r="H148" s="8">
        <v>0</v>
      </c>
      <c r="I148" s="8">
        <v>1.4757</v>
      </c>
      <c r="J148" s="8">
        <v>0</v>
      </c>
      <c r="K148" s="8">
        <v>0</v>
      </c>
      <c r="L148" s="8">
        <v>98.98</v>
      </c>
      <c r="M148" s="8">
        <v>358.35</v>
      </c>
      <c r="N148" s="10">
        <v>3.6204283693675401</v>
      </c>
      <c r="O148" s="10">
        <v>3.6128150130856298</v>
      </c>
      <c r="P148" s="10">
        <v>3.6184855115561598</v>
      </c>
      <c r="Q148" s="10">
        <v>3.618559675358</v>
      </c>
      <c r="R148" s="8">
        <v>357.596429995216</v>
      </c>
      <c r="S148" s="8">
        <v>358.12527687021401</v>
      </c>
      <c r="T148" s="8">
        <v>358.16465995460601</v>
      </c>
      <c r="U148" s="9">
        <v>-2.1051024252551399E-3</v>
      </c>
      <c r="V148" s="9">
        <v>-6.2730186067710698E-4</v>
      </c>
      <c r="W148" s="9">
        <v>-5.1733777377058296E-4</v>
      </c>
      <c r="X148" s="10">
        <v>3.6204283693675401</v>
      </c>
      <c r="Y148" s="10">
        <v>3.6128150130856298</v>
      </c>
      <c r="Z148" s="10">
        <v>3.6184855115561598</v>
      </c>
      <c r="AA148" s="10">
        <v>3.618559675358</v>
      </c>
      <c r="AB148" s="8">
        <v>357.596429995216</v>
      </c>
      <c r="AC148" s="8">
        <v>358.12527687021401</v>
      </c>
      <c r="AD148" s="8">
        <v>358.16465995460601</v>
      </c>
      <c r="AE148" s="9">
        <v>-2.1051024252551399E-3</v>
      </c>
      <c r="AF148" s="9">
        <v>-6.2730186067710698E-4</v>
      </c>
      <c r="AG148" s="9">
        <v>-5.1733777377058296E-4</v>
      </c>
      <c r="AZ148" s="9"/>
      <c r="BB148">
        <f t="shared" si="22"/>
        <v>0</v>
      </c>
      <c r="BC148">
        <f t="shared" si="23"/>
        <v>0</v>
      </c>
      <c r="BD148">
        <f t="shared" si="24"/>
        <v>0</v>
      </c>
      <c r="BE148">
        <f t="shared" si="20"/>
        <v>1</v>
      </c>
      <c r="BF148">
        <f t="shared" si="25"/>
        <v>0</v>
      </c>
      <c r="BG148" s="9">
        <f t="shared" si="26"/>
        <v>0</v>
      </c>
      <c r="BH148" s="9">
        <f t="shared" si="27"/>
        <v>0</v>
      </c>
      <c r="BI148" s="9">
        <f t="shared" si="28"/>
        <v>0</v>
      </c>
      <c r="BJ148" s="12">
        <f t="shared" si="29"/>
        <v>8.9896796375027975E-3</v>
      </c>
      <c r="BL148" s="9"/>
      <c r="BN148">
        <f t="shared" si="30"/>
        <v>0</v>
      </c>
      <c r="BO148">
        <f t="shared" si="31"/>
        <v>1</v>
      </c>
      <c r="BP148">
        <f t="shared" si="32"/>
        <v>0</v>
      </c>
      <c r="BQ148">
        <f t="shared" si="21"/>
        <v>1</v>
      </c>
      <c r="BR148">
        <f t="shared" si="33"/>
        <v>0</v>
      </c>
      <c r="BS148" s="9">
        <f t="shared" si="34"/>
        <v>0</v>
      </c>
      <c r="BT148" s="9">
        <f t="shared" si="35"/>
        <v>0</v>
      </c>
      <c r="BU148" s="9">
        <f t="shared" si="36"/>
        <v>0</v>
      </c>
      <c r="BV148" s="12">
        <f t="shared" si="37"/>
        <v>2.2425974143792096E-3</v>
      </c>
      <c r="BX148" s="12">
        <f t="shared" si="38"/>
        <v>0</v>
      </c>
      <c r="BY148" s="12">
        <f t="shared" si="39"/>
        <v>1.1232277051882004E-2</v>
      </c>
    </row>
    <row r="149" spans="1:77" x14ac:dyDescent="0.3">
      <c r="A149" s="1">
        <v>46239</v>
      </c>
      <c r="B149" s="8">
        <v>98.89</v>
      </c>
      <c r="C149" s="8">
        <v>358.04</v>
      </c>
      <c r="D149" s="9">
        <v>-9.09688241840561E-4</v>
      </c>
      <c r="E149" s="9">
        <v>-8.6545043718997999E-4</v>
      </c>
      <c r="F149" s="8">
        <v>0</v>
      </c>
      <c r="G149" s="8">
        <v>0.47799999999999998</v>
      </c>
      <c r="H149" s="8">
        <v>0</v>
      </c>
      <c r="I149" s="8">
        <v>1.4757</v>
      </c>
      <c r="J149" s="8">
        <v>0</v>
      </c>
      <c r="K149" s="8">
        <v>0</v>
      </c>
      <c r="L149" s="8">
        <v>98.89</v>
      </c>
      <c r="M149" s="8">
        <v>358.04</v>
      </c>
      <c r="N149" s="10">
        <v>3.6205885327131102</v>
      </c>
      <c r="O149" s="10">
        <v>3.6128150130856298</v>
      </c>
      <c r="P149" s="10">
        <v>3.6188228299145</v>
      </c>
      <c r="Q149" s="10">
        <v>3.6187105759189202</v>
      </c>
      <c r="R149" s="8">
        <v>357.27127664403798</v>
      </c>
      <c r="S149" s="8">
        <v>357.83203223778901</v>
      </c>
      <c r="T149" s="8">
        <v>357.83936629615198</v>
      </c>
      <c r="U149" s="9">
        <v>-2.1493402299056301E-3</v>
      </c>
      <c r="V149" s="9">
        <v>-5.8101939647218603E-4</v>
      </c>
      <c r="W149" s="9">
        <v>-5.6052379366171399E-4</v>
      </c>
      <c r="X149" s="10">
        <v>3.6205885327131102</v>
      </c>
      <c r="Y149" s="10">
        <v>3.6128150130856298</v>
      </c>
      <c r="Z149" s="10">
        <v>3.6188228299145</v>
      </c>
      <c r="AA149" s="10">
        <v>3.6187105759189202</v>
      </c>
      <c r="AB149" s="8">
        <v>357.27127664403798</v>
      </c>
      <c r="AC149" s="8">
        <v>357.83203223778901</v>
      </c>
      <c r="AD149" s="8">
        <v>357.83936629615198</v>
      </c>
      <c r="AE149" s="9">
        <v>-2.1493402299056301E-3</v>
      </c>
      <c r="AF149" s="9">
        <v>-5.8101939647218603E-4</v>
      </c>
      <c r="AG149" s="9">
        <v>-5.6052379366171399E-4</v>
      </c>
      <c r="AZ149" s="9"/>
      <c r="BB149">
        <f t="shared" si="22"/>
        <v>0</v>
      </c>
      <c r="BC149">
        <f t="shared" si="23"/>
        <v>0</v>
      </c>
      <c r="BD149">
        <f t="shared" si="24"/>
        <v>0</v>
      </c>
      <c r="BE149">
        <f t="shared" si="20"/>
        <v>1</v>
      </c>
      <c r="BF149">
        <f t="shared" si="25"/>
        <v>0</v>
      </c>
      <c r="BG149" s="9">
        <f t="shared" si="26"/>
        <v>0</v>
      </c>
      <c r="BH149" s="9">
        <f t="shared" si="27"/>
        <v>0</v>
      </c>
      <c r="BI149" s="9">
        <f t="shared" si="28"/>
        <v>0</v>
      </c>
      <c r="BJ149" s="12">
        <f t="shared" si="29"/>
        <v>8.9896796375027975E-3</v>
      </c>
      <c r="BL149" s="9"/>
      <c r="BN149">
        <f t="shared" si="30"/>
        <v>0</v>
      </c>
      <c r="BO149">
        <f t="shared" si="31"/>
        <v>1</v>
      </c>
      <c r="BP149">
        <f t="shared" si="32"/>
        <v>0</v>
      </c>
      <c r="BQ149">
        <f t="shared" si="21"/>
        <v>1</v>
      </c>
      <c r="BR149">
        <f t="shared" si="33"/>
        <v>0</v>
      </c>
      <c r="BS149" s="9">
        <f t="shared" si="34"/>
        <v>0</v>
      </c>
      <c r="BT149" s="9">
        <f t="shared" si="35"/>
        <v>0</v>
      </c>
      <c r="BU149" s="9">
        <f t="shared" si="36"/>
        <v>0</v>
      </c>
      <c r="BV149" s="12">
        <f t="shared" si="37"/>
        <v>2.2425974143792096E-3</v>
      </c>
      <c r="BX149" s="12">
        <f t="shared" si="38"/>
        <v>0</v>
      </c>
      <c r="BY149" s="12">
        <f t="shared" si="39"/>
        <v>1.1232277051882004E-2</v>
      </c>
    </row>
    <row r="150" spans="1:77" x14ac:dyDescent="0.3">
      <c r="A150" s="1">
        <v>46240</v>
      </c>
      <c r="B150" s="8">
        <v>98.17</v>
      </c>
      <c r="C150" s="8">
        <v>355.45</v>
      </c>
      <c r="D150" s="9">
        <v>-7.3074515774694303E-3</v>
      </c>
      <c r="E150" s="9">
        <v>-7.2601196272461402E-3</v>
      </c>
      <c r="F150" s="8">
        <v>0</v>
      </c>
      <c r="G150" s="8">
        <v>0.47799999999999998</v>
      </c>
      <c r="H150" s="8">
        <v>0</v>
      </c>
      <c r="I150" s="8">
        <v>1.4757</v>
      </c>
      <c r="J150" s="8">
        <v>0</v>
      </c>
      <c r="K150" s="8">
        <v>0</v>
      </c>
      <c r="L150" s="8">
        <v>98.17</v>
      </c>
      <c r="M150" s="8">
        <v>355.45</v>
      </c>
      <c r="N150" s="10">
        <v>3.6207599062850102</v>
      </c>
      <c r="O150" s="10">
        <v>3.6128150130856298</v>
      </c>
      <c r="P150" s="10">
        <v>3.6194748255032101</v>
      </c>
      <c r="Q150" s="10">
        <v>3.6187712678856698</v>
      </c>
      <c r="R150" s="8">
        <v>354.67004983461698</v>
      </c>
      <c r="S150" s="8">
        <v>355.25983721270597</v>
      </c>
      <c r="T150" s="8">
        <v>355.24881723796</v>
      </c>
      <c r="U150" s="9">
        <v>-2.1966721801289801E-3</v>
      </c>
      <c r="V150" s="9">
        <v>-5.3513482401565599E-4</v>
      </c>
      <c r="W150" s="9">
        <v>-5.6615478324607003E-4</v>
      </c>
      <c r="X150" s="10">
        <v>3.6207599062850102</v>
      </c>
      <c r="Y150" s="10">
        <v>3.6128150130856298</v>
      </c>
      <c r="Z150" s="10">
        <v>3.6194748255032101</v>
      </c>
      <c r="AA150" s="10">
        <v>3.6187712678856698</v>
      </c>
      <c r="AB150" s="8">
        <v>354.67004983461698</v>
      </c>
      <c r="AC150" s="8">
        <v>355.25983721270597</v>
      </c>
      <c r="AD150" s="8">
        <v>355.24881723796</v>
      </c>
      <c r="AE150" s="9">
        <v>-2.1966721801289801E-3</v>
      </c>
      <c r="AF150" s="9">
        <v>-5.3513482401565599E-4</v>
      </c>
      <c r="AG150" s="9">
        <v>-5.6615478324607003E-4</v>
      </c>
      <c r="AZ150" s="9"/>
      <c r="BB150">
        <f t="shared" si="22"/>
        <v>0</v>
      </c>
      <c r="BC150">
        <f t="shared" si="23"/>
        <v>0</v>
      </c>
      <c r="BD150">
        <f t="shared" si="24"/>
        <v>0</v>
      </c>
      <c r="BE150">
        <f t="shared" ref="BE150:BE167" si="40">IF(F151+H151&gt;0,0,1)</f>
        <v>1</v>
      </c>
      <c r="BF150">
        <f t="shared" si="25"/>
        <v>0</v>
      </c>
      <c r="BG150" s="9">
        <f t="shared" si="26"/>
        <v>0</v>
      </c>
      <c r="BH150" s="9">
        <f t="shared" si="27"/>
        <v>0</v>
      </c>
      <c r="BI150" s="9">
        <f t="shared" si="28"/>
        <v>0</v>
      </c>
      <c r="BJ150" s="12">
        <f t="shared" si="29"/>
        <v>8.9896796375027975E-3</v>
      </c>
      <c r="BL150" s="9"/>
      <c r="BN150">
        <f t="shared" si="30"/>
        <v>0</v>
      </c>
      <c r="BO150">
        <f t="shared" si="31"/>
        <v>1</v>
      </c>
      <c r="BP150">
        <f t="shared" si="32"/>
        <v>0</v>
      </c>
      <c r="BQ150">
        <f t="shared" ref="BQ150:BQ167" si="41">IF(F151+H151&gt;0,0,1)</f>
        <v>1</v>
      </c>
      <c r="BR150">
        <f t="shared" si="33"/>
        <v>0</v>
      </c>
      <c r="BS150" s="9">
        <f t="shared" si="34"/>
        <v>0</v>
      </c>
      <c r="BT150" s="9">
        <f t="shared" si="35"/>
        <v>0</v>
      </c>
      <c r="BU150" s="9">
        <f t="shared" si="36"/>
        <v>0</v>
      </c>
      <c r="BV150" s="12">
        <f t="shared" si="37"/>
        <v>2.2425974143792096E-3</v>
      </c>
      <c r="BX150" s="12">
        <f t="shared" si="38"/>
        <v>0</v>
      </c>
      <c r="BY150" s="12">
        <f t="shared" si="39"/>
        <v>1.1232277051882004E-2</v>
      </c>
    </row>
    <row r="151" spans="1:77" x14ac:dyDescent="0.3">
      <c r="A151" s="1">
        <v>46241</v>
      </c>
      <c r="B151" s="8">
        <v>98.61</v>
      </c>
      <c r="C151" s="8">
        <v>356.83</v>
      </c>
      <c r="D151" s="9">
        <v>4.4720066398076597E-3</v>
      </c>
      <c r="E151" s="9">
        <v>3.8748855132656398E-3</v>
      </c>
      <c r="F151" s="8">
        <v>0</v>
      </c>
      <c r="G151" s="8">
        <v>0.47799999999999998</v>
      </c>
      <c r="H151" s="8">
        <v>0</v>
      </c>
      <c r="I151" s="8">
        <v>1.4757</v>
      </c>
      <c r="J151" s="8">
        <v>0</v>
      </c>
      <c r="K151" s="8">
        <v>0</v>
      </c>
      <c r="L151" s="8">
        <v>98.61</v>
      </c>
      <c r="M151" s="8">
        <v>356.83</v>
      </c>
      <c r="N151" s="10">
        <v>3.6185985194199302</v>
      </c>
      <c r="O151" s="10">
        <v>3.6128150130856298</v>
      </c>
      <c r="P151" s="10">
        <v>3.6197382296963401</v>
      </c>
      <c r="Q151" s="10">
        <v>3.6187758607987299</v>
      </c>
      <c r="R151" s="8">
        <v>356.25968844037402</v>
      </c>
      <c r="S151" s="8">
        <v>356.91641254287202</v>
      </c>
      <c r="T151" s="8">
        <v>356.847034726206</v>
      </c>
      <c r="U151" s="9">
        <v>-1.59955105358688E-3</v>
      </c>
      <c r="V151" s="9">
        <v>2.4213794080339999E-4</v>
      </c>
      <c r="W151" s="9">
        <v>4.7737913315893502E-5</v>
      </c>
      <c r="X151" s="10">
        <v>3.6185985194199302</v>
      </c>
      <c r="Y151" s="10">
        <v>3.6128150130856298</v>
      </c>
      <c r="Z151" s="10">
        <v>3.6197382296963401</v>
      </c>
      <c r="AA151" s="10">
        <v>3.6187758607987299</v>
      </c>
      <c r="AB151" s="8">
        <v>356.25968844037402</v>
      </c>
      <c r="AC151" s="8">
        <v>356.91641254287202</v>
      </c>
      <c r="AD151" s="8">
        <v>356.847034726206</v>
      </c>
      <c r="AE151" s="9">
        <v>-1.59955105358688E-3</v>
      </c>
      <c r="AF151" s="9">
        <v>2.4213794080339999E-4</v>
      </c>
      <c r="AG151" s="9">
        <v>4.7737913315893502E-5</v>
      </c>
      <c r="AZ151" s="9"/>
      <c r="BB151">
        <f t="shared" ref="BB151:BB167" si="42">IF($AG151&lt;BA$20,1,0)</f>
        <v>0</v>
      </c>
      <c r="BC151">
        <f t="shared" ref="BC151:BC167" si="43">IF($AG151&gt;BA$21,1,0)</f>
        <v>1</v>
      </c>
      <c r="BD151">
        <f t="shared" ref="BD151:BD167" si="44">BF151</f>
        <v>0</v>
      </c>
      <c r="BE151">
        <f t="shared" si="40"/>
        <v>1</v>
      </c>
      <c r="BF151">
        <f t="shared" ref="BF151:BF167" si="45">IF(BB150,1,IF(BC150,0,BD150))*BE150</f>
        <v>0</v>
      </c>
      <c r="BG151" s="9">
        <f t="shared" ref="BG151:BG167" si="46">BF151*D151</f>
        <v>0</v>
      </c>
      <c r="BH151" s="9">
        <f t="shared" ref="BH151:BH167" si="47">-BF151*$E151</f>
        <v>0</v>
      </c>
      <c r="BI151" s="9">
        <f t="shared" ref="BI151:BI167" si="48">BG151+BH151</f>
        <v>0</v>
      </c>
      <c r="BJ151" s="12">
        <f t="shared" ref="BJ151:BJ167" si="49">BJ150+BI151</f>
        <v>8.9896796375027975E-3</v>
      </c>
      <c r="BL151" s="9"/>
      <c r="BN151">
        <f t="shared" ref="BN151:BN167" si="50">IF($AG151&gt;BM$20,1,0)</f>
        <v>0</v>
      </c>
      <c r="BO151">
        <f t="shared" ref="BO151:BO167" si="51">IF($AG151&lt;BM$21,1,0)</f>
        <v>0</v>
      </c>
      <c r="BP151">
        <f t="shared" ref="BP151:BP167" si="52">BR151</f>
        <v>0</v>
      </c>
      <c r="BQ151">
        <f t="shared" si="41"/>
        <v>1</v>
      </c>
      <c r="BR151">
        <f t="shared" ref="BR151:BR167" si="53">IF(BN150,1,IF(BO150,0,BP150))*BQ150</f>
        <v>0</v>
      </c>
      <c r="BS151" s="9">
        <f t="shared" ref="BS151:BS167" si="54">-BR151*D151</f>
        <v>0</v>
      </c>
      <c r="BT151" s="9">
        <f t="shared" ref="BT151:BT167" si="55">BR151*$E151</f>
        <v>0</v>
      </c>
      <c r="BU151" s="9">
        <f t="shared" ref="BU151:BU167" si="56">BS151+BT151</f>
        <v>0</v>
      </c>
      <c r="BV151" s="12">
        <f t="shared" ref="BV151:BV167" si="57">BV150+BU151</f>
        <v>2.2425974143792096E-3</v>
      </c>
      <c r="BX151" s="12">
        <f t="shared" ref="BX151:BX167" si="58">BI151+BU151</f>
        <v>0</v>
      </c>
      <c r="BY151" s="12">
        <f t="shared" ref="BY151:BY167" si="59">BY150+BX151</f>
        <v>1.1232277051882004E-2</v>
      </c>
    </row>
    <row r="152" spans="1:77" x14ac:dyDescent="0.3">
      <c r="A152" s="1">
        <v>46244</v>
      </c>
      <c r="B152" s="8">
        <v>98.05</v>
      </c>
      <c r="C152" s="8">
        <v>354.89</v>
      </c>
      <c r="D152" s="9">
        <v>-5.6951237018824296E-3</v>
      </c>
      <c r="E152" s="9">
        <v>-5.4515955845385296E-3</v>
      </c>
      <c r="F152" s="8">
        <v>0</v>
      </c>
      <c r="G152" s="8">
        <v>0.47799999999999998</v>
      </c>
      <c r="H152" s="8">
        <v>0</v>
      </c>
      <c r="I152" s="8">
        <v>1.4757</v>
      </c>
      <c r="J152" s="8">
        <v>0</v>
      </c>
      <c r="K152" s="8">
        <v>0</v>
      </c>
      <c r="L152" s="8">
        <v>98.05</v>
      </c>
      <c r="M152" s="8">
        <v>354.89</v>
      </c>
      <c r="N152" s="10">
        <v>3.6194798572156999</v>
      </c>
      <c r="O152" s="10">
        <v>3.6128150130856298</v>
      </c>
      <c r="P152" s="10">
        <v>3.61969610416946</v>
      </c>
      <c r="Q152" s="10">
        <v>3.6187117733256602</v>
      </c>
      <c r="R152" s="8">
        <v>354.23651203304598</v>
      </c>
      <c r="S152" s="8">
        <v>354.91533342172602</v>
      </c>
      <c r="T152" s="8">
        <v>354.820973151315</v>
      </c>
      <c r="U152" s="9">
        <v>-1.84307917093086E-3</v>
      </c>
      <c r="V152" s="9">
        <v>7.13813225818175E-5</v>
      </c>
      <c r="W152" s="9">
        <v>-1.94521013519747E-4</v>
      </c>
      <c r="X152" s="10">
        <v>3.6194798572156999</v>
      </c>
      <c r="Y152" s="10">
        <v>3.6128150130856298</v>
      </c>
      <c r="Z152" s="10">
        <v>3.61969610416946</v>
      </c>
      <c r="AA152" s="10">
        <v>3.6187117733256602</v>
      </c>
      <c r="AB152" s="8">
        <v>354.23651203304598</v>
      </c>
      <c r="AC152" s="8">
        <v>354.91533342172602</v>
      </c>
      <c r="AD152" s="8">
        <v>354.820973151315</v>
      </c>
      <c r="AE152" s="9">
        <v>-1.84307917093086E-3</v>
      </c>
      <c r="AF152" s="9">
        <v>7.13813225818175E-5</v>
      </c>
      <c r="AG152" s="9">
        <v>-1.94521013519747E-4</v>
      </c>
      <c r="AZ152" s="9"/>
      <c r="BB152">
        <f t="shared" si="42"/>
        <v>0</v>
      </c>
      <c r="BC152">
        <f t="shared" si="43"/>
        <v>0</v>
      </c>
      <c r="BD152">
        <f t="shared" si="44"/>
        <v>0</v>
      </c>
      <c r="BE152">
        <f t="shared" si="40"/>
        <v>1</v>
      </c>
      <c r="BF152">
        <f t="shared" si="45"/>
        <v>0</v>
      </c>
      <c r="BG152" s="9">
        <f t="shared" si="46"/>
        <v>0</v>
      </c>
      <c r="BH152" s="9">
        <f t="shared" si="47"/>
        <v>0</v>
      </c>
      <c r="BI152" s="9">
        <f t="shared" si="48"/>
        <v>0</v>
      </c>
      <c r="BJ152" s="12">
        <f t="shared" si="49"/>
        <v>8.9896796375027975E-3</v>
      </c>
      <c r="BL152" s="9"/>
      <c r="BN152">
        <f t="shared" si="50"/>
        <v>0</v>
      </c>
      <c r="BO152">
        <f t="shared" si="51"/>
        <v>1</v>
      </c>
      <c r="BP152">
        <f t="shared" si="52"/>
        <v>0</v>
      </c>
      <c r="BQ152">
        <f t="shared" si="41"/>
        <v>1</v>
      </c>
      <c r="BR152">
        <f t="shared" si="53"/>
        <v>0</v>
      </c>
      <c r="BS152" s="9">
        <f t="shared" si="54"/>
        <v>0</v>
      </c>
      <c r="BT152" s="9">
        <f t="shared" si="55"/>
        <v>0</v>
      </c>
      <c r="BU152" s="9">
        <f t="shared" si="56"/>
        <v>0</v>
      </c>
      <c r="BV152" s="12">
        <f t="shared" si="57"/>
        <v>2.2425974143792096E-3</v>
      </c>
      <c r="BX152" s="12">
        <f t="shared" si="58"/>
        <v>0</v>
      </c>
      <c r="BY152" s="12">
        <f t="shared" si="59"/>
        <v>1.1232277051882004E-2</v>
      </c>
    </row>
    <row r="153" spans="1:77" x14ac:dyDescent="0.3">
      <c r="A153" s="1">
        <v>46245</v>
      </c>
      <c r="B153" s="8">
        <v>98.67</v>
      </c>
      <c r="C153" s="8">
        <v>356.9</v>
      </c>
      <c r="D153" s="9">
        <v>6.3033962267201003E-3</v>
      </c>
      <c r="E153" s="9">
        <v>5.6477481918955196E-3</v>
      </c>
      <c r="F153" s="8">
        <v>0</v>
      </c>
      <c r="G153" s="8">
        <v>0.47799999999999998</v>
      </c>
      <c r="H153" s="8">
        <v>0</v>
      </c>
      <c r="I153" s="8">
        <v>1.4757</v>
      </c>
      <c r="J153" s="8">
        <v>0</v>
      </c>
      <c r="K153" s="8">
        <v>0</v>
      </c>
      <c r="L153" s="8">
        <v>98.67</v>
      </c>
      <c r="M153" s="8">
        <v>356.9</v>
      </c>
      <c r="N153" s="10">
        <v>3.6171075301509998</v>
      </c>
      <c r="O153" s="10">
        <v>3.6128150130856298</v>
      </c>
      <c r="P153" s="10">
        <v>3.6195785105648302</v>
      </c>
      <c r="Q153" s="10">
        <v>3.6186234395013002</v>
      </c>
      <c r="R153" s="8">
        <v>356.476457341159</v>
      </c>
      <c r="S153" s="8">
        <v>357.1554145984</v>
      </c>
      <c r="T153" s="8">
        <v>357.05829067404301</v>
      </c>
      <c r="U153" s="9">
        <v>-1.18743113610619E-3</v>
      </c>
      <c r="V153" s="9">
        <v>7.1539156225792697E-4</v>
      </c>
      <c r="W153" s="9">
        <v>4.4341715392810099E-4</v>
      </c>
      <c r="X153" s="10">
        <v>3.6171075301509998</v>
      </c>
      <c r="Y153" s="10">
        <v>3.6128150130856298</v>
      </c>
      <c r="Z153" s="10">
        <v>3.6195785105648302</v>
      </c>
      <c r="AA153" s="10">
        <v>3.6186234395013002</v>
      </c>
      <c r="AB153" s="8">
        <v>356.476457341159</v>
      </c>
      <c r="AC153" s="8">
        <v>357.1554145984</v>
      </c>
      <c r="AD153" s="8">
        <v>357.05829067404301</v>
      </c>
      <c r="AE153" s="9">
        <v>-1.18743113610619E-3</v>
      </c>
      <c r="AF153" s="9">
        <v>7.1539156225792697E-4</v>
      </c>
      <c r="AG153" s="9">
        <v>4.4341715392810099E-4</v>
      </c>
      <c r="AZ153" s="9"/>
      <c r="BB153">
        <f t="shared" si="42"/>
        <v>0</v>
      </c>
      <c r="BC153">
        <f t="shared" si="43"/>
        <v>1</v>
      </c>
      <c r="BD153">
        <f t="shared" si="44"/>
        <v>0</v>
      </c>
      <c r="BE153">
        <f t="shared" si="40"/>
        <v>1</v>
      </c>
      <c r="BF153">
        <f t="shared" si="45"/>
        <v>0</v>
      </c>
      <c r="BG153" s="9">
        <f t="shared" si="46"/>
        <v>0</v>
      </c>
      <c r="BH153" s="9">
        <f t="shared" si="47"/>
        <v>0</v>
      </c>
      <c r="BI153" s="9">
        <f t="shared" si="48"/>
        <v>0</v>
      </c>
      <c r="BJ153" s="12">
        <f t="shared" si="49"/>
        <v>8.9896796375027975E-3</v>
      </c>
      <c r="BL153" s="9"/>
      <c r="BN153">
        <f t="shared" si="50"/>
        <v>0</v>
      </c>
      <c r="BO153">
        <f t="shared" si="51"/>
        <v>0</v>
      </c>
      <c r="BP153">
        <f t="shared" si="52"/>
        <v>0</v>
      </c>
      <c r="BQ153">
        <f t="shared" si="41"/>
        <v>1</v>
      </c>
      <c r="BR153">
        <f t="shared" si="53"/>
        <v>0</v>
      </c>
      <c r="BS153" s="9">
        <f t="shared" si="54"/>
        <v>0</v>
      </c>
      <c r="BT153" s="9">
        <f t="shared" si="55"/>
        <v>0</v>
      </c>
      <c r="BU153" s="9">
        <f t="shared" si="56"/>
        <v>0</v>
      </c>
      <c r="BV153" s="12">
        <f t="shared" si="57"/>
        <v>2.2425974143792096E-3</v>
      </c>
      <c r="BX153" s="12">
        <f t="shared" si="58"/>
        <v>0</v>
      </c>
      <c r="BY153" s="12">
        <f t="shared" si="59"/>
        <v>1.1232277051882004E-2</v>
      </c>
    </row>
    <row r="154" spans="1:77" x14ac:dyDescent="0.3">
      <c r="A154" s="1">
        <v>46246</v>
      </c>
      <c r="B154" s="8">
        <v>98.88</v>
      </c>
      <c r="C154" s="8">
        <v>357.66</v>
      </c>
      <c r="D154" s="9">
        <v>2.1260448403053801E-3</v>
      </c>
      <c r="E154" s="9">
        <v>2.1271839637757098E-3</v>
      </c>
      <c r="F154" s="8">
        <v>0</v>
      </c>
      <c r="G154" s="8">
        <v>0.47799999999999998</v>
      </c>
      <c r="H154" s="8">
        <v>0</v>
      </c>
      <c r="I154" s="8">
        <v>1.4757</v>
      </c>
      <c r="J154" s="8">
        <v>0</v>
      </c>
      <c r="K154" s="8">
        <v>0</v>
      </c>
      <c r="L154" s="8">
        <v>98.88</v>
      </c>
      <c r="M154" s="8">
        <v>357.66</v>
      </c>
      <c r="N154" s="10">
        <v>3.6171116504854299</v>
      </c>
      <c r="O154" s="10">
        <v>3.6128150130856298</v>
      </c>
      <c r="P154" s="10">
        <v>3.6192343820000001</v>
      </c>
      <c r="Q154" s="10">
        <v>3.6185675636922401</v>
      </c>
      <c r="R154" s="8">
        <v>357.23514849390699</v>
      </c>
      <c r="S154" s="8">
        <v>357.90392312465002</v>
      </c>
      <c r="T154" s="8">
        <v>357.80948569788802</v>
      </c>
      <c r="U154" s="9">
        <v>-1.1885702595764501E-3</v>
      </c>
      <c r="V154" s="9">
        <v>6.8176476263167403E-4</v>
      </c>
      <c r="W154" s="9">
        <v>4.1786743684317002E-4</v>
      </c>
      <c r="X154" s="10">
        <v>3.6171116504854299</v>
      </c>
      <c r="Y154" s="10">
        <v>3.6128150130856298</v>
      </c>
      <c r="Z154" s="10">
        <v>3.6192343820000001</v>
      </c>
      <c r="AA154" s="10">
        <v>3.6185675636922401</v>
      </c>
      <c r="AB154" s="8">
        <v>357.23514849390699</v>
      </c>
      <c r="AC154" s="8">
        <v>357.90392312465002</v>
      </c>
      <c r="AD154" s="8">
        <v>357.80948569788802</v>
      </c>
      <c r="AE154" s="9">
        <v>-1.1885702595764501E-3</v>
      </c>
      <c r="AF154" s="9">
        <v>6.8176476263167403E-4</v>
      </c>
      <c r="AG154" s="9">
        <v>4.1786743684317002E-4</v>
      </c>
      <c r="AZ154" s="9"/>
      <c r="BB154">
        <f t="shared" si="42"/>
        <v>0</v>
      </c>
      <c r="BC154">
        <f t="shared" si="43"/>
        <v>1</v>
      </c>
      <c r="BD154">
        <f t="shared" si="44"/>
        <v>0</v>
      </c>
      <c r="BE154">
        <f t="shared" si="40"/>
        <v>1</v>
      </c>
      <c r="BF154">
        <f t="shared" si="45"/>
        <v>0</v>
      </c>
      <c r="BG154" s="9">
        <f t="shared" si="46"/>
        <v>0</v>
      </c>
      <c r="BH154" s="9">
        <f t="shared" si="47"/>
        <v>0</v>
      </c>
      <c r="BI154" s="9">
        <f t="shared" si="48"/>
        <v>0</v>
      </c>
      <c r="BJ154" s="12">
        <f t="shared" si="49"/>
        <v>8.9896796375027975E-3</v>
      </c>
      <c r="BL154" s="9"/>
      <c r="BN154">
        <f t="shared" si="50"/>
        <v>0</v>
      </c>
      <c r="BO154">
        <f t="shared" si="51"/>
        <v>0</v>
      </c>
      <c r="BP154">
        <f t="shared" si="52"/>
        <v>0</v>
      </c>
      <c r="BQ154">
        <f t="shared" si="41"/>
        <v>1</v>
      </c>
      <c r="BR154">
        <f t="shared" si="53"/>
        <v>0</v>
      </c>
      <c r="BS154" s="9">
        <f t="shared" si="54"/>
        <v>0</v>
      </c>
      <c r="BT154" s="9">
        <f t="shared" si="55"/>
        <v>0</v>
      </c>
      <c r="BU154" s="9">
        <f t="shared" si="56"/>
        <v>0</v>
      </c>
      <c r="BV154" s="12">
        <f t="shared" si="57"/>
        <v>2.2425974143792096E-3</v>
      </c>
      <c r="BX154" s="12">
        <f t="shared" si="58"/>
        <v>0</v>
      </c>
      <c r="BY154" s="12">
        <f t="shared" si="59"/>
        <v>1.1232277051882004E-2</v>
      </c>
    </row>
    <row r="155" spans="1:77" x14ac:dyDescent="0.3">
      <c r="A155" s="1">
        <v>46247</v>
      </c>
      <c r="B155" s="8">
        <v>98.83</v>
      </c>
      <c r="C155" s="8">
        <v>357.65</v>
      </c>
      <c r="D155" s="9">
        <v>-5.0579132128809401E-4</v>
      </c>
      <c r="E155" s="9">
        <v>-2.79599054974919E-5</v>
      </c>
      <c r="F155" s="8">
        <v>0</v>
      </c>
      <c r="G155" s="8">
        <v>0.47799999999999998</v>
      </c>
      <c r="H155" s="8">
        <v>0</v>
      </c>
      <c r="I155" s="8">
        <v>1.4757</v>
      </c>
      <c r="J155" s="8">
        <v>0</v>
      </c>
      <c r="K155" s="8">
        <v>0</v>
      </c>
      <c r="L155" s="8">
        <v>98.83</v>
      </c>
      <c r="M155" s="8">
        <v>357.65</v>
      </c>
      <c r="N155" s="10">
        <v>3.6188404330668802</v>
      </c>
      <c r="O155" s="10">
        <v>3.6128150130856298</v>
      </c>
      <c r="P155" s="10">
        <v>3.6190049140826299</v>
      </c>
      <c r="Q155" s="10">
        <v>3.61858750335956</v>
      </c>
      <c r="R155" s="8">
        <v>357.054507743253</v>
      </c>
      <c r="S155" s="8">
        <v>357.68893397305999</v>
      </c>
      <c r="T155" s="8">
        <v>357.62303231970401</v>
      </c>
      <c r="U155" s="9">
        <v>-1.6664016753671501E-3</v>
      </c>
      <c r="V155" s="9">
        <v>1.08854617718963E-4</v>
      </c>
      <c r="W155" s="9">
        <v>-7.5405276278728303E-5</v>
      </c>
      <c r="X155" s="10">
        <v>3.6188404330668802</v>
      </c>
      <c r="Y155" s="10">
        <v>3.6128150130856298</v>
      </c>
      <c r="Z155" s="10">
        <v>3.6190049140826299</v>
      </c>
      <c r="AA155" s="10">
        <v>3.61858750335956</v>
      </c>
      <c r="AB155" s="8">
        <v>357.054507743253</v>
      </c>
      <c r="AC155" s="8">
        <v>357.68893397305999</v>
      </c>
      <c r="AD155" s="8">
        <v>357.62303231970401</v>
      </c>
      <c r="AE155" s="9">
        <v>-1.6664016753671501E-3</v>
      </c>
      <c r="AF155" s="9">
        <v>1.08854617718963E-4</v>
      </c>
      <c r="AG155" s="9">
        <v>-7.5405276278728303E-5</v>
      </c>
      <c r="AZ155" s="9"/>
      <c r="BB155">
        <f t="shared" si="42"/>
        <v>0</v>
      </c>
      <c r="BC155">
        <f t="shared" si="43"/>
        <v>0</v>
      </c>
      <c r="BD155">
        <f t="shared" si="44"/>
        <v>0</v>
      </c>
      <c r="BE155">
        <f t="shared" si="40"/>
        <v>1</v>
      </c>
      <c r="BF155">
        <f t="shared" si="45"/>
        <v>0</v>
      </c>
      <c r="BG155" s="9">
        <f t="shared" si="46"/>
        <v>0</v>
      </c>
      <c r="BH155" s="9">
        <f t="shared" si="47"/>
        <v>0</v>
      </c>
      <c r="BI155" s="9">
        <f t="shared" si="48"/>
        <v>0</v>
      </c>
      <c r="BJ155" s="12">
        <f t="shared" si="49"/>
        <v>8.9896796375027975E-3</v>
      </c>
      <c r="BL155" s="9"/>
      <c r="BN155">
        <f t="shared" si="50"/>
        <v>0</v>
      </c>
      <c r="BO155">
        <f t="shared" si="51"/>
        <v>1</v>
      </c>
      <c r="BP155">
        <f t="shared" si="52"/>
        <v>0</v>
      </c>
      <c r="BQ155">
        <f t="shared" si="41"/>
        <v>1</v>
      </c>
      <c r="BR155">
        <f t="shared" si="53"/>
        <v>0</v>
      </c>
      <c r="BS155" s="9">
        <f t="shared" si="54"/>
        <v>0</v>
      </c>
      <c r="BT155" s="9">
        <f t="shared" si="55"/>
        <v>0</v>
      </c>
      <c r="BU155" s="9">
        <f t="shared" si="56"/>
        <v>0</v>
      </c>
      <c r="BV155" s="12">
        <f t="shared" si="57"/>
        <v>2.2425974143792096E-3</v>
      </c>
      <c r="BX155" s="12">
        <f t="shared" si="58"/>
        <v>0</v>
      </c>
      <c r="BY155" s="12">
        <f t="shared" si="59"/>
        <v>1.1232277051882004E-2</v>
      </c>
    </row>
    <row r="156" spans="1:77" x14ac:dyDescent="0.3">
      <c r="A156" s="1">
        <v>46248</v>
      </c>
      <c r="B156" s="8">
        <v>99.3</v>
      </c>
      <c r="C156" s="8">
        <v>358.97</v>
      </c>
      <c r="D156" s="9">
        <v>4.74436866303443E-3</v>
      </c>
      <c r="E156" s="9">
        <v>3.6839649824885099E-3</v>
      </c>
      <c r="F156" s="8">
        <v>0</v>
      </c>
      <c r="G156" s="8">
        <v>0.47799999999999998</v>
      </c>
      <c r="H156" s="8">
        <v>0</v>
      </c>
      <c r="I156" s="8">
        <v>1.4757</v>
      </c>
      <c r="J156" s="8">
        <v>0</v>
      </c>
      <c r="K156" s="8">
        <v>0</v>
      </c>
      <c r="L156" s="8">
        <v>99.3</v>
      </c>
      <c r="M156" s="8">
        <v>358.97</v>
      </c>
      <c r="N156" s="10">
        <v>3.6150050352467198</v>
      </c>
      <c r="O156" s="10">
        <v>3.6128150130856298</v>
      </c>
      <c r="P156" s="10">
        <v>3.6187746887688199</v>
      </c>
      <c r="Q156" s="10">
        <v>3.6184956057556001</v>
      </c>
      <c r="R156" s="8">
        <v>358.75253079940302</v>
      </c>
      <c r="S156" s="8">
        <v>359.36718796840501</v>
      </c>
      <c r="T156" s="8">
        <v>359.32573908360399</v>
      </c>
      <c r="U156" s="9">
        <v>-6.0599799482132205E-4</v>
      </c>
      <c r="V156" s="9">
        <v>1.1058539514174699E-3</v>
      </c>
      <c r="W156" s="9">
        <v>9.9050876493677101E-4</v>
      </c>
      <c r="X156" s="10">
        <v>3.6150050352467198</v>
      </c>
      <c r="Y156" s="10">
        <v>3.6128150130856298</v>
      </c>
      <c r="Z156" s="10">
        <v>3.6187746887688199</v>
      </c>
      <c r="AA156" s="10">
        <v>3.6184956057556001</v>
      </c>
      <c r="AB156" s="8">
        <v>358.75253079940302</v>
      </c>
      <c r="AC156" s="8">
        <v>359.36718796840501</v>
      </c>
      <c r="AD156" s="8">
        <v>359.32573908360399</v>
      </c>
      <c r="AE156" s="9">
        <v>-6.0599799482132205E-4</v>
      </c>
      <c r="AF156" s="9">
        <v>1.1058539514174699E-3</v>
      </c>
      <c r="AG156" s="9">
        <v>9.9050876493677101E-4</v>
      </c>
      <c r="AZ156" s="9"/>
      <c r="BB156">
        <f t="shared" si="42"/>
        <v>0</v>
      </c>
      <c r="BC156">
        <f t="shared" si="43"/>
        <v>1</v>
      </c>
      <c r="BD156">
        <f t="shared" si="44"/>
        <v>0</v>
      </c>
      <c r="BE156">
        <f t="shared" si="40"/>
        <v>1</v>
      </c>
      <c r="BF156">
        <f t="shared" si="45"/>
        <v>0</v>
      </c>
      <c r="BG156" s="9">
        <f t="shared" si="46"/>
        <v>0</v>
      </c>
      <c r="BH156" s="9">
        <f t="shared" si="47"/>
        <v>0</v>
      </c>
      <c r="BI156" s="9">
        <f t="shared" si="48"/>
        <v>0</v>
      </c>
      <c r="BJ156" s="12">
        <f t="shared" si="49"/>
        <v>8.9896796375027975E-3</v>
      </c>
      <c r="BL156" s="9"/>
      <c r="BN156">
        <f t="shared" si="50"/>
        <v>0</v>
      </c>
      <c r="BO156">
        <f t="shared" si="51"/>
        <v>0</v>
      </c>
      <c r="BP156">
        <f t="shared" si="52"/>
        <v>0</v>
      </c>
      <c r="BQ156">
        <f t="shared" si="41"/>
        <v>1</v>
      </c>
      <c r="BR156">
        <f t="shared" si="53"/>
        <v>0</v>
      </c>
      <c r="BS156" s="9">
        <f t="shared" si="54"/>
        <v>0</v>
      </c>
      <c r="BT156" s="9">
        <f t="shared" si="55"/>
        <v>0</v>
      </c>
      <c r="BU156" s="9">
        <f t="shared" si="56"/>
        <v>0</v>
      </c>
      <c r="BV156" s="12">
        <f t="shared" si="57"/>
        <v>2.2425974143792096E-3</v>
      </c>
      <c r="BX156" s="12">
        <f t="shared" si="58"/>
        <v>0</v>
      </c>
      <c r="BY156" s="12">
        <f t="shared" si="59"/>
        <v>1.1232277051882004E-2</v>
      </c>
    </row>
    <row r="157" spans="1:77" x14ac:dyDescent="0.3">
      <c r="A157" s="1">
        <v>46251</v>
      </c>
      <c r="B157" s="8">
        <v>99.19</v>
      </c>
      <c r="C157" s="8">
        <v>358.74</v>
      </c>
      <c r="D157" s="9">
        <v>-1.10836829322449E-3</v>
      </c>
      <c r="E157" s="9">
        <v>-6.4092741601326595E-4</v>
      </c>
      <c r="F157" s="8">
        <v>0</v>
      </c>
      <c r="G157" s="8">
        <v>0.47799999999999998</v>
      </c>
      <c r="H157" s="8">
        <v>0</v>
      </c>
      <c r="I157" s="8">
        <v>1.4757</v>
      </c>
      <c r="J157" s="8">
        <v>0</v>
      </c>
      <c r="K157" s="8">
        <v>0</v>
      </c>
      <c r="L157" s="8">
        <v>99.19</v>
      </c>
      <c r="M157" s="8">
        <v>358.74</v>
      </c>
      <c r="N157" s="10">
        <v>3.6166952313741301</v>
      </c>
      <c r="O157" s="10">
        <v>3.6128150130856298</v>
      </c>
      <c r="P157" s="10">
        <v>3.6184615065325501</v>
      </c>
      <c r="Q157" s="10">
        <v>3.6183097433158502</v>
      </c>
      <c r="R157" s="8">
        <v>358.35512114796398</v>
      </c>
      <c r="S157" s="8">
        <v>358.94626137897899</v>
      </c>
      <c r="T157" s="8">
        <v>358.91857913489798</v>
      </c>
      <c r="U157" s="9">
        <v>-1.0734388720325401E-3</v>
      </c>
      <c r="V157" s="9">
        <v>5.7479541063620203E-4</v>
      </c>
      <c r="W157" s="9">
        <v>4.9767157747846803E-4</v>
      </c>
      <c r="X157" s="10">
        <v>3.6166952313741301</v>
      </c>
      <c r="Y157" s="10">
        <v>3.6128150130856298</v>
      </c>
      <c r="Z157" s="10">
        <v>3.6184615065325501</v>
      </c>
      <c r="AA157" s="10">
        <v>3.6183097433158502</v>
      </c>
      <c r="AB157" s="8">
        <v>358.35512114796398</v>
      </c>
      <c r="AC157" s="8">
        <v>358.94626137897899</v>
      </c>
      <c r="AD157" s="8">
        <v>358.91857913489798</v>
      </c>
      <c r="AE157" s="9">
        <v>-1.0734388720325401E-3</v>
      </c>
      <c r="AF157" s="9">
        <v>5.7479541063620203E-4</v>
      </c>
      <c r="AG157" s="9">
        <v>4.9767157747846803E-4</v>
      </c>
      <c r="BB157">
        <f t="shared" si="42"/>
        <v>0</v>
      </c>
      <c r="BC157">
        <f t="shared" si="43"/>
        <v>1</v>
      </c>
      <c r="BD157">
        <f t="shared" si="44"/>
        <v>0</v>
      </c>
      <c r="BE157">
        <f t="shared" si="40"/>
        <v>1</v>
      </c>
      <c r="BF157">
        <f t="shared" si="45"/>
        <v>0</v>
      </c>
      <c r="BG157" s="9">
        <f t="shared" si="46"/>
        <v>0</v>
      </c>
      <c r="BH157" s="9">
        <f t="shared" si="47"/>
        <v>0</v>
      </c>
      <c r="BI157" s="9">
        <f t="shared" si="48"/>
        <v>0</v>
      </c>
      <c r="BJ157" s="12">
        <f t="shared" si="49"/>
        <v>8.9896796375027975E-3</v>
      </c>
      <c r="BL157" s="9"/>
      <c r="BN157">
        <f t="shared" si="50"/>
        <v>0</v>
      </c>
      <c r="BO157">
        <f t="shared" si="51"/>
        <v>0</v>
      </c>
      <c r="BP157">
        <f t="shared" si="52"/>
        <v>0</v>
      </c>
      <c r="BQ157">
        <f t="shared" si="41"/>
        <v>1</v>
      </c>
      <c r="BR157">
        <f t="shared" si="53"/>
        <v>0</v>
      </c>
      <c r="BS157" s="9">
        <f t="shared" si="54"/>
        <v>0</v>
      </c>
      <c r="BT157" s="9">
        <f t="shared" si="55"/>
        <v>0</v>
      </c>
      <c r="BU157" s="9">
        <f t="shared" si="56"/>
        <v>0</v>
      </c>
      <c r="BV157" s="12">
        <f t="shared" si="57"/>
        <v>2.2425974143792096E-3</v>
      </c>
      <c r="BX157" s="12">
        <f t="shared" si="58"/>
        <v>0</v>
      </c>
      <c r="BY157" s="12">
        <f t="shared" si="59"/>
        <v>1.1232277051882004E-2</v>
      </c>
    </row>
    <row r="158" spans="1:77" x14ac:dyDescent="0.3">
      <c r="A158" s="1">
        <v>46252</v>
      </c>
      <c r="B158" s="8">
        <v>97.47</v>
      </c>
      <c r="C158" s="8">
        <v>352.33</v>
      </c>
      <c r="D158" s="9">
        <v>-1.74925644087837E-2</v>
      </c>
      <c r="E158" s="9">
        <v>-1.80296557014307E-2</v>
      </c>
      <c r="F158" s="8">
        <v>0</v>
      </c>
      <c r="G158" s="8">
        <v>0.47799999999999998</v>
      </c>
      <c r="H158" s="8">
        <v>0</v>
      </c>
      <c r="I158" s="8">
        <v>1.4757</v>
      </c>
      <c r="J158" s="8">
        <v>0</v>
      </c>
      <c r="K158" s="8">
        <v>0</v>
      </c>
      <c r="L158" s="8">
        <v>97.47</v>
      </c>
      <c r="M158" s="8">
        <v>352.33</v>
      </c>
      <c r="N158" s="10">
        <v>3.6147532574125298</v>
      </c>
      <c r="O158" s="10">
        <v>3.6128150130856298</v>
      </c>
      <c r="P158" s="10">
        <v>3.6178939953370501</v>
      </c>
      <c r="Q158" s="10">
        <v>3.6181897534465999</v>
      </c>
      <c r="R158" s="8">
        <v>352.14107932545699</v>
      </c>
      <c r="S158" s="8">
        <v>352.69144304172698</v>
      </c>
      <c r="T158" s="8">
        <v>352.67665068099598</v>
      </c>
      <c r="U158" s="9">
        <v>-5.3634757938548897E-4</v>
      </c>
      <c r="V158" s="9">
        <v>1.0253392346035799E-3</v>
      </c>
      <c r="W158" s="9">
        <v>9.833969895110021E-4</v>
      </c>
      <c r="X158" s="10">
        <v>3.6147532574125298</v>
      </c>
      <c r="Y158" s="10">
        <v>3.6128150130856298</v>
      </c>
      <c r="Z158" s="10">
        <v>3.6178939953370501</v>
      </c>
      <c r="AA158" s="10">
        <v>3.6181897534465999</v>
      </c>
      <c r="AB158" s="8">
        <v>352.14107932545699</v>
      </c>
      <c r="AC158" s="8">
        <v>352.69144304172698</v>
      </c>
      <c r="AD158" s="8">
        <v>352.67665068099598</v>
      </c>
      <c r="AE158" s="9">
        <v>-5.3634757938548897E-4</v>
      </c>
      <c r="AF158" s="9">
        <v>1.0253392346035799E-3</v>
      </c>
      <c r="AG158" s="9">
        <v>9.833969895110021E-4</v>
      </c>
      <c r="BB158">
        <f t="shared" si="42"/>
        <v>0</v>
      </c>
      <c r="BC158">
        <f t="shared" si="43"/>
        <v>1</v>
      </c>
      <c r="BD158">
        <f t="shared" si="44"/>
        <v>0</v>
      </c>
      <c r="BE158">
        <f t="shared" si="40"/>
        <v>1</v>
      </c>
      <c r="BF158">
        <f t="shared" si="45"/>
        <v>0</v>
      </c>
      <c r="BG158" s="9">
        <f t="shared" si="46"/>
        <v>0</v>
      </c>
      <c r="BH158" s="9">
        <f t="shared" si="47"/>
        <v>0</v>
      </c>
      <c r="BI158" s="9">
        <f t="shared" si="48"/>
        <v>0</v>
      </c>
      <c r="BJ158" s="12">
        <f t="shared" si="49"/>
        <v>8.9896796375027975E-3</v>
      </c>
      <c r="BL158" s="9"/>
      <c r="BN158">
        <f t="shared" si="50"/>
        <v>0</v>
      </c>
      <c r="BO158">
        <f t="shared" si="51"/>
        <v>0</v>
      </c>
      <c r="BP158">
        <f t="shared" si="52"/>
        <v>0</v>
      </c>
      <c r="BQ158">
        <f t="shared" si="41"/>
        <v>1</v>
      </c>
      <c r="BR158">
        <f t="shared" si="53"/>
        <v>0</v>
      </c>
      <c r="BS158" s="9">
        <f t="shared" si="54"/>
        <v>0</v>
      </c>
      <c r="BT158" s="9">
        <f t="shared" si="55"/>
        <v>0</v>
      </c>
      <c r="BU158" s="9">
        <f t="shared" si="56"/>
        <v>0</v>
      </c>
      <c r="BV158" s="12">
        <f t="shared" si="57"/>
        <v>2.2425974143792096E-3</v>
      </c>
      <c r="BX158" s="12">
        <f t="shared" si="58"/>
        <v>0</v>
      </c>
      <c r="BY158" s="12">
        <f t="shared" si="59"/>
        <v>1.1232277051882004E-2</v>
      </c>
    </row>
    <row r="159" spans="1:77" x14ac:dyDescent="0.3">
      <c r="A159" s="1">
        <v>46253</v>
      </c>
      <c r="B159" s="8">
        <v>96.63</v>
      </c>
      <c r="C159" s="8">
        <v>349.26</v>
      </c>
      <c r="D159" s="9">
        <v>-8.6553863379014995E-3</v>
      </c>
      <c r="E159" s="9">
        <v>-8.7516059077381702E-3</v>
      </c>
      <c r="F159" s="8">
        <v>0</v>
      </c>
      <c r="G159" s="8">
        <v>0.47799999999999998</v>
      </c>
      <c r="H159" s="8">
        <v>0</v>
      </c>
      <c r="I159" s="8">
        <v>1.4757</v>
      </c>
      <c r="J159" s="8">
        <v>0</v>
      </c>
      <c r="K159" s="8">
        <v>0</v>
      </c>
      <c r="L159" s="8">
        <v>96.63</v>
      </c>
      <c r="M159" s="8">
        <v>349.26</v>
      </c>
      <c r="N159" s="10">
        <v>3.6144054641415702</v>
      </c>
      <c r="O159" s="10">
        <v>3.6128150130856298</v>
      </c>
      <c r="P159" s="10">
        <v>3.6172756884798898</v>
      </c>
      <c r="Q159" s="10">
        <v>3.61804925919719</v>
      </c>
      <c r="R159" s="8">
        <v>349.10631471446499</v>
      </c>
      <c r="S159" s="8">
        <v>349.59709676941901</v>
      </c>
      <c r="T159" s="8">
        <v>349.62567587554503</v>
      </c>
      <c r="U159" s="9">
        <v>-4.4012800954886601E-4</v>
      </c>
      <c r="V159" s="9">
        <v>9.6470879989922302E-4</v>
      </c>
      <c r="W159" s="9">
        <v>1.04645415277026E-3</v>
      </c>
      <c r="X159" s="10">
        <v>3.6144054641415702</v>
      </c>
      <c r="Y159" s="10">
        <v>3.6128150130856298</v>
      </c>
      <c r="Z159" s="10">
        <v>3.6172756884798898</v>
      </c>
      <c r="AA159" s="10">
        <v>3.61804925919719</v>
      </c>
      <c r="AB159" s="8">
        <v>349.10631471446499</v>
      </c>
      <c r="AC159" s="8">
        <v>349.59709676941901</v>
      </c>
      <c r="AD159" s="8">
        <v>349.62567587554503</v>
      </c>
      <c r="AE159" s="9">
        <v>-4.4012800954886601E-4</v>
      </c>
      <c r="AF159" s="9">
        <v>9.6470879989922302E-4</v>
      </c>
      <c r="AG159" s="9">
        <v>1.04645415277026E-3</v>
      </c>
      <c r="BB159">
        <f t="shared" si="42"/>
        <v>0</v>
      </c>
      <c r="BC159">
        <f t="shared" si="43"/>
        <v>1</v>
      </c>
      <c r="BD159">
        <f t="shared" si="44"/>
        <v>0</v>
      </c>
      <c r="BE159">
        <f t="shared" si="40"/>
        <v>1</v>
      </c>
      <c r="BF159">
        <f t="shared" si="45"/>
        <v>0</v>
      </c>
      <c r="BG159" s="9">
        <f t="shared" si="46"/>
        <v>0</v>
      </c>
      <c r="BH159" s="9">
        <f t="shared" si="47"/>
        <v>0</v>
      </c>
      <c r="BI159" s="9">
        <f t="shared" si="48"/>
        <v>0</v>
      </c>
      <c r="BJ159" s="12">
        <f t="shared" si="49"/>
        <v>8.9896796375027975E-3</v>
      </c>
      <c r="BL159" s="9"/>
      <c r="BN159">
        <f t="shared" si="50"/>
        <v>0</v>
      </c>
      <c r="BO159">
        <f t="shared" si="51"/>
        <v>0</v>
      </c>
      <c r="BP159">
        <f t="shared" si="52"/>
        <v>0</v>
      </c>
      <c r="BQ159">
        <f t="shared" si="41"/>
        <v>1</v>
      </c>
      <c r="BR159">
        <f t="shared" si="53"/>
        <v>0</v>
      </c>
      <c r="BS159" s="9">
        <f t="shared" si="54"/>
        <v>0</v>
      </c>
      <c r="BT159" s="9">
        <f t="shared" si="55"/>
        <v>0</v>
      </c>
      <c r="BU159" s="9">
        <f t="shared" si="56"/>
        <v>0</v>
      </c>
      <c r="BV159" s="12">
        <f t="shared" si="57"/>
        <v>2.2425974143792096E-3</v>
      </c>
      <c r="BX159" s="12">
        <f t="shared" si="58"/>
        <v>0</v>
      </c>
      <c r="BY159" s="12">
        <f t="shared" si="59"/>
        <v>1.1232277051882004E-2</v>
      </c>
    </row>
    <row r="160" spans="1:77" x14ac:dyDescent="0.3">
      <c r="A160" s="1">
        <v>46254</v>
      </c>
      <c r="B160" s="8">
        <v>95.38</v>
      </c>
      <c r="C160" s="8">
        <v>344.77</v>
      </c>
      <c r="D160" s="9">
        <v>-1.30203391411389E-2</v>
      </c>
      <c r="E160" s="9">
        <v>-1.2939102468043201E-2</v>
      </c>
      <c r="F160" s="8">
        <v>0</v>
      </c>
      <c r="G160" s="8">
        <v>0.47799999999999998</v>
      </c>
      <c r="H160" s="8">
        <v>0</v>
      </c>
      <c r="I160" s="8">
        <v>1.4757</v>
      </c>
      <c r="J160" s="8">
        <v>0</v>
      </c>
      <c r="K160" s="8">
        <v>0</v>
      </c>
      <c r="L160" s="8">
        <v>95.38</v>
      </c>
      <c r="M160" s="8">
        <v>344.77</v>
      </c>
      <c r="N160" s="10">
        <v>3.6146990983434599</v>
      </c>
      <c r="O160" s="10">
        <v>3.6128150130856298</v>
      </c>
      <c r="P160" s="10">
        <v>3.6166696076857399</v>
      </c>
      <c r="Q160" s="10">
        <v>3.6180722165944701</v>
      </c>
      <c r="R160" s="8">
        <v>344.59029594810801</v>
      </c>
      <c r="S160" s="8">
        <v>345.01575516721198</v>
      </c>
      <c r="T160" s="8">
        <v>345.08953834222802</v>
      </c>
      <c r="U160" s="9">
        <v>-5.2136468264473703E-4</v>
      </c>
      <c r="V160" s="9">
        <v>7.1255509633158997E-4</v>
      </c>
      <c r="W160" s="9">
        <v>9.2638674199894305E-4</v>
      </c>
      <c r="X160" s="10">
        <v>3.6146990983434599</v>
      </c>
      <c r="Y160" s="10">
        <v>3.6128150130856298</v>
      </c>
      <c r="Z160" s="10">
        <v>3.6166696076857399</v>
      </c>
      <c r="AA160" s="10">
        <v>3.6180722165944701</v>
      </c>
      <c r="AB160" s="8">
        <v>344.59029594810801</v>
      </c>
      <c r="AC160" s="8">
        <v>345.01575516721198</v>
      </c>
      <c r="AD160" s="8">
        <v>345.08953834222802</v>
      </c>
      <c r="AE160" s="9">
        <v>-5.2136468264473703E-4</v>
      </c>
      <c r="AF160" s="9">
        <v>7.1255509633158997E-4</v>
      </c>
      <c r="AG160" s="9">
        <v>9.2638674199894305E-4</v>
      </c>
      <c r="BB160">
        <f t="shared" si="42"/>
        <v>0</v>
      </c>
      <c r="BC160">
        <f t="shared" si="43"/>
        <v>1</v>
      </c>
      <c r="BD160">
        <f t="shared" si="44"/>
        <v>0</v>
      </c>
      <c r="BE160">
        <f t="shared" si="40"/>
        <v>1</v>
      </c>
      <c r="BF160">
        <f t="shared" si="45"/>
        <v>0</v>
      </c>
      <c r="BG160" s="9">
        <f t="shared" si="46"/>
        <v>0</v>
      </c>
      <c r="BH160" s="9">
        <f t="shared" si="47"/>
        <v>0</v>
      </c>
      <c r="BI160" s="9">
        <f t="shared" si="48"/>
        <v>0</v>
      </c>
      <c r="BJ160" s="12">
        <f t="shared" si="49"/>
        <v>8.9896796375027975E-3</v>
      </c>
      <c r="BL160" s="9"/>
      <c r="BN160">
        <f t="shared" si="50"/>
        <v>0</v>
      </c>
      <c r="BO160">
        <f t="shared" si="51"/>
        <v>0</v>
      </c>
      <c r="BP160">
        <f t="shared" si="52"/>
        <v>0</v>
      </c>
      <c r="BQ160">
        <f t="shared" si="41"/>
        <v>1</v>
      </c>
      <c r="BR160">
        <f t="shared" si="53"/>
        <v>0</v>
      </c>
      <c r="BS160" s="9">
        <f t="shared" si="54"/>
        <v>0</v>
      </c>
      <c r="BT160" s="9">
        <f t="shared" si="55"/>
        <v>0</v>
      </c>
      <c r="BU160" s="9">
        <f t="shared" si="56"/>
        <v>0</v>
      </c>
      <c r="BV160" s="12">
        <f t="shared" si="57"/>
        <v>2.2425974143792096E-3</v>
      </c>
      <c r="BX160" s="12">
        <f t="shared" si="58"/>
        <v>0</v>
      </c>
      <c r="BY160" s="12">
        <f t="shared" si="59"/>
        <v>1.1232277051882004E-2</v>
      </c>
    </row>
    <row r="161" spans="1:77" x14ac:dyDescent="0.3">
      <c r="A161" s="1">
        <v>46255</v>
      </c>
      <c r="B161" s="8">
        <v>95.63</v>
      </c>
      <c r="C161" s="8">
        <v>345.76</v>
      </c>
      <c r="D161" s="9">
        <v>2.6176654913730598E-3</v>
      </c>
      <c r="E161" s="9">
        <v>2.8673647149199E-3</v>
      </c>
      <c r="F161" s="8">
        <v>0</v>
      </c>
      <c r="G161" s="8">
        <v>0.47799999999999998</v>
      </c>
      <c r="H161" s="8">
        <v>0</v>
      </c>
      <c r="I161" s="8">
        <v>1.4757</v>
      </c>
      <c r="J161" s="8">
        <v>0</v>
      </c>
      <c r="K161" s="8">
        <v>0</v>
      </c>
      <c r="L161" s="8">
        <v>95.63</v>
      </c>
      <c r="M161" s="8">
        <v>345.76</v>
      </c>
      <c r="N161" s="10">
        <v>3.6156017985987599</v>
      </c>
      <c r="O161" s="10">
        <v>3.6128150130856298</v>
      </c>
      <c r="P161" s="10">
        <v>3.6163699356036201</v>
      </c>
      <c r="Q161" s="10">
        <v>3.6180540826499801</v>
      </c>
      <c r="R161" s="8">
        <v>345.49349970137899</v>
      </c>
      <c r="S161" s="8">
        <v>345.86211458298698</v>
      </c>
      <c r="T161" s="8">
        <v>345.99624607292998</v>
      </c>
      <c r="U161" s="9">
        <v>-7.71063906191401E-4</v>
      </c>
      <c r="V161" s="9">
        <v>2.9529010590102197E-4</v>
      </c>
      <c r="W161" s="9">
        <v>6.8303274008990795E-4</v>
      </c>
      <c r="X161" s="10">
        <v>3.6156017985987599</v>
      </c>
      <c r="Y161" s="10">
        <v>3.6128150130856298</v>
      </c>
      <c r="Z161" s="10">
        <v>3.6163699356036201</v>
      </c>
      <c r="AA161" s="10">
        <v>3.6180540826499801</v>
      </c>
      <c r="AB161" s="8">
        <v>345.49349970137899</v>
      </c>
      <c r="AC161" s="8">
        <v>345.86211458298698</v>
      </c>
      <c r="AD161" s="8">
        <v>345.99624607292998</v>
      </c>
      <c r="AE161" s="9">
        <v>-7.71063906191401E-4</v>
      </c>
      <c r="AF161" s="9">
        <v>2.9529010590102197E-4</v>
      </c>
      <c r="AG161" s="9">
        <v>6.8303274008990795E-4</v>
      </c>
      <c r="BB161">
        <f t="shared" si="42"/>
        <v>0</v>
      </c>
      <c r="BC161">
        <f t="shared" si="43"/>
        <v>1</v>
      </c>
      <c r="BD161">
        <f t="shared" si="44"/>
        <v>0</v>
      </c>
      <c r="BE161">
        <f t="shared" si="40"/>
        <v>1</v>
      </c>
      <c r="BF161">
        <f t="shared" si="45"/>
        <v>0</v>
      </c>
      <c r="BG161" s="9">
        <f t="shared" si="46"/>
        <v>0</v>
      </c>
      <c r="BH161" s="9">
        <f t="shared" si="47"/>
        <v>0</v>
      </c>
      <c r="BI161" s="9">
        <f t="shared" si="48"/>
        <v>0</v>
      </c>
      <c r="BJ161" s="12">
        <f t="shared" si="49"/>
        <v>8.9896796375027975E-3</v>
      </c>
      <c r="BL161" s="9"/>
      <c r="BN161">
        <f t="shared" si="50"/>
        <v>0</v>
      </c>
      <c r="BO161">
        <f t="shared" si="51"/>
        <v>0</v>
      </c>
      <c r="BP161">
        <f t="shared" si="52"/>
        <v>0</v>
      </c>
      <c r="BQ161">
        <f t="shared" si="41"/>
        <v>1</v>
      </c>
      <c r="BR161">
        <f t="shared" si="53"/>
        <v>0</v>
      </c>
      <c r="BS161" s="9">
        <f t="shared" si="54"/>
        <v>0</v>
      </c>
      <c r="BT161" s="9">
        <f t="shared" si="55"/>
        <v>0</v>
      </c>
      <c r="BU161" s="9">
        <f t="shared" si="56"/>
        <v>0</v>
      </c>
      <c r="BV161" s="12">
        <f t="shared" si="57"/>
        <v>2.2425974143792096E-3</v>
      </c>
      <c r="BX161" s="12">
        <f t="shared" si="58"/>
        <v>0</v>
      </c>
      <c r="BY161" s="12">
        <f t="shared" si="59"/>
        <v>1.1232277051882004E-2</v>
      </c>
    </row>
    <row r="162" spans="1:77" x14ac:dyDescent="0.3">
      <c r="A162" s="1">
        <v>46258</v>
      </c>
      <c r="B162" s="8">
        <v>94.84</v>
      </c>
      <c r="C162" s="8">
        <v>342.79</v>
      </c>
      <c r="D162" s="9">
        <v>-8.2953171642464393E-3</v>
      </c>
      <c r="E162" s="9">
        <v>-8.6268779890364602E-3</v>
      </c>
      <c r="F162" s="8">
        <v>0</v>
      </c>
      <c r="G162" s="8">
        <v>0.47799999999999998</v>
      </c>
      <c r="H162" s="8">
        <v>0</v>
      </c>
      <c r="I162" s="8">
        <v>1.4757</v>
      </c>
      <c r="J162" s="8">
        <v>0</v>
      </c>
      <c r="K162" s="8">
        <v>0</v>
      </c>
      <c r="L162" s="8">
        <v>94.84</v>
      </c>
      <c r="M162" s="8">
        <v>342.79</v>
      </c>
      <c r="N162" s="10">
        <v>3.6144032053985602</v>
      </c>
      <c r="O162" s="10">
        <v>3.6128150130856298</v>
      </c>
      <c r="P162" s="10">
        <v>3.6158622704218999</v>
      </c>
      <c r="Q162" s="10">
        <v>3.6177791872956799</v>
      </c>
      <c r="R162" s="8">
        <v>342.63937584104201</v>
      </c>
      <c r="S162" s="8">
        <v>342.97652469264699</v>
      </c>
      <c r="T162" s="8">
        <v>343.13624919852401</v>
      </c>
      <c r="U162" s="9">
        <v>-4.3950308140136698E-4</v>
      </c>
      <c r="V162" s="9">
        <v>5.4398892489239902E-4</v>
      </c>
      <c r="W162" s="9">
        <v>1.0095815062883E-3</v>
      </c>
      <c r="X162" s="10">
        <v>3.6144032053985602</v>
      </c>
      <c r="Y162" s="10">
        <v>3.6128150130856298</v>
      </c>
      <c r="Z162" s="10">
        <v>3.6158622704218999</v>
      </c>
      <c r="AA162" s="10">
        <v>3.6177791872956799</v>
      </c>
      <c r="AB162" s="8">
        <v>342.63937584104201</v>
      </c>
      <c r="AC162" s="8">
        <v>342.97652469264699</v>
      </c>
      <c r="AD162" s="8">
        <v>343.13624919852401</v>
      </c>
      <c r="AE162" s="9">
        <v>-4.3950308140136698E-4</v>
      </c>
      <c r="AF162" s="9">
        <v>5.4398892489239902E-4</v>
      </c>
      <c r="AG162" s="9">
        <v>1.0095815062883E-3</v>
      </c>
      <c r="BB162">
        <f t="shared" si="42"/>
        <v>0</v>
      </c>
      <c r="BC162">
        <f t="shared" si="43"/>
        <v>1</v>
      </c>
      <c r="BD162">
        <f t="shared" si="44"/>
        <v>0</v>
      </c>
      <c r="BE162">
        <f t="shared" si="40"/>
        <v>1</v>
      </c>
      <c r="BF162">
        <f t="shared" si="45"/>
        <v>0</v>
      </c>
      <c r="BG162" s="9">
        <f t="shared" si="46"/>
        <v>0</v>
      </c>
      <c r="BH162" s="9">
        <f t="shared" si="47"/>
        <v>0</v>
      </c>
      <c r="BI162" s="9">
        <f t="shared" si="48"/>
        <v>0</v>
      </c>
      <c r="BJ162" s="12">
        <f t="shared" si="49"/>
        <v>8.9896796375027975E-3</v>
      </c>
      <c r="BL162" s="9"/>
      <c r="BN162">
        <f t="shared" si="50"/>
        <v>0</v>
      </c>
      <c r="BO162">
        <f t="shared" si="51"/>
        <v>0</v>
      </c>
      <c r="BP162">
        <f t="shared" si="52"/>
        <v>0</v>
      </c>
      <c r="BQ162">
        <f t="shared" si="41"/>
        <v>1</v>
      </c>
      <c r="BR162">
        <f t="shared" si="53"/>
        <v>0</v>
      </c>
      <c r="BS162" s="9">
        <f t="shared" si="54"/>
        <v>0</v>
      </c>
      <c r="BT162" s="9">
        <f t="shared" si="55"/>
        <v>0</v>
      </c>
      <c r="BU162" s="9">
        <f t="shared" si="56"/>
        <v>0</v>
      </c>
      <c r="BV162" s="12">
        <f t="shared" si="57"/>
        <v>2.2425974143792096E-3</v>
      </c>
      <c r="BX162" s="12">
        <f t="shared" si="58"/>
        <v>0</v>
      </c>
      <c r="BY162" s="12">
        <f t="shared" si="59"/>
        <v>1.1232277051882004E-2</v>
      </c>
    </row>
    <row r="163" spans="1:77" x14ac:dyDescent="0.3">
      <c r="A163" s="1">
        <v>46259</v>
      </c>
      <c r="B163" s="8">
        <v>94.51</v>
      </c>
      <c r="C163" s="8">
        <v>341.9</v>
      </c>
      <c r="D163" s="9">
        <v>-3.4856121902399301E-3</v>
      </c>
      <c r="E163" s="9">
        <v>-2.5997181242838801E-3</v>
      </c>
      <c r="F163" s="8">
        <v>0</v>
      </c>
      <c r="G163" s="8">
        <v>0.47799999999999998</v>
      </c>
      <c r="H163" s="8">
        <v>0</v>
      </c>
      <c r="I163" s="8">
        <v>1.4757</v>
      </c>
      <c r="J163" s="8">
        <v>0</v>
      </c>
      <c r="K163" s="8">
        <v>0</v>
      </c>
      <c r="L163" s="8">
        <v>94.51</v>
      </c>
      <c r="M163" s="8">
        <v>341.9</v>
      </c>
      <c r="N163" s="10">
        <v>3.6176066024759201</v>
      </c>
      <c r="O163" s="10">
        <v>3.6128150130856298</v>
      </c>
      <c r="P163" s="10">
        <v>3.6159121776543999</v>
      </c>
      <c r="Q163" s="10">
        <v>3.6177453441096099</v>
      </c>
      <c r="R163" s="8">
        <v>341.44714688672298</v>
      </c>
      <c r="S163" s="8">
        <v>341.735143177574</v>
      </c>
      <c r="T163" s="8">
        <v>341.91631099131502</v>
      </c>
      <c r="U163" s="9">
        <v>-1.32539714735765E-3</v>
      </c>
      <c r="V163" s="9">
        <v>-4.8229476575655498E-4</v>
      </c>
      <c r="W163" s="9">
        <v>4.7705768511903398E-5</v>
      </c>
      <c r="X163" s="10">
        <v>3.6176066024759201</v>
      </c>
      <c r="Y163" s="10">
        <v>3.6128150130856298</v>
      </c>
      <c r="Z163" s="10">
        <v>3.6159121776543999</v>
      </c>
      <c r="AA163" s="10">
        <v>3.6177453441096099</v>
      </c>
      <c r="AB163" s="8">
        <v>341.44714688672298</v>
      </c>
      <c r="AC163" s="8">
        <v>341.735143177574</v>
      </c>
      <c r="AD163" s="8">
        <v>341.91631099131502</v>
      </c>
      <c r="AE163" s="9">
        <v>-1.32539714735765E-3</v>
      </c>
      <c r="AF163" s="9">
        <v>-4.8229476575655498E-4</v>
      </c>
      <c r="AG163" s="9">
        <v>4.7705768511903398E-5</v>
      </c>
      <c r="BB163">
        <f t="shared" si="42"/>
        <v>0</v>
      </c>
      <c r="BC163">
        <f t="shared" si="43"/>
        <v>1</v>
      </c>
      <c r="BD163">
        <f t="shared" si="44"/>
        <v>0</v>
      </c>
      <c r="BE163">
        <f t="shared" si="40"/>
        <v>1</v>
      </c>
      <c r="BF163">
        <f t="shared" si="45"/>
        <v>0</v>
      </c>
      <c r="BG163" s="9">
        <f t="shared" si="46"/>
        <v>0</v>
      </c>
      <c r="BH163" s="9">
        <f t="shared" si="47"/>
        <v>0</v>
      </c>
      <c r="BI163" s="9">
        <f t="shared" si="48"/>
        <v>0</v>
      </c>
      <c r="BJ163" s="12">
        <f t="shared" si="49"/>
        <v>8.9896796375027975E-3</v>
      </c>
      <c r="BL163" s="9"/>
      <c r="BN163">
        <f t="shared" si="50"/>
        <v>0</v>
      </c>
      <c r="BO163">
        <f t="shared" si="51"/>
        <v>0</v>
      </c>
      <c r="BP163">
        <f t="shared" si="52"/>
        <v>0</v>
      </c>
      <c r="BQ163">
        <f t="shared" si="41"/>
        <v>1</v>
      </c>
      <c r="BR163">
        <f t="shared" si="53"/>
        <v>0</v>
      </c>
      <c r="BS163" s="9">
        <f t="shared" si="54"/>
        <v>0</v>
      </c>
      <c r="BT163" s="9">
        <f t="shared" si="55"/>
        <v>0</v>
      </c>
      <c r="BU163" s="9">
        <f t="shared" si="56"/>
        <v>0</v>
      </c>
      <c r="BV163" s="12">
        <f t="shared" si="57"/>
        <v>2.2425974143792096E-3</v>
      </c>
      <c r="BX163" s="12">
        <f t="shared" si="58"/>
        <v>0</v>
      </c>
      <c r="BY163" s="12">
        <f t="shared" si="59"/>
        <v>1.1232277051882004E-2</v>
      </c>
    </row>
    <row r="164" spans="1:77" x14ac:dyDescent="0.3">
      <c r="A164" s="1">
        <v>46260</v>
      </c>
      <c r="B164" s="8">
        <v>95.52</v>
      </c>
      <c r="C164" s="8">
        <v>345.51</v>
      </c>
      <c r="D164" s="9">
        <v>1.0630000637327001E-2</v>
      </c>
      <c r="E164" s="9">
        <v>1.0503289703670199E-2</v>
      </c>
      <c r="F164" s="8">
        <v>0</v>
      </c>
      <c r="G164" s="8">
        <v>0.47799999999999998</v>
      </c>
      <c r="H164" s="8">
        <v>0</v>
      </c>
      <c r="I164" s="8">
        <v>1.4757</v>
      </c>
      <c r="J164" s="8">
        <v>0</v>
      </c>
      <c r="K164" s="8">
        <v>0</v>
      </c>
      <c r="L164" s="8">
        <v>95.52</v>
      </c>
      <c r="M164" s="8">
        <v>345.51</v>
      </c>
      <c r="N164" s="10">
        <v>3.6171482412060301</v>
      </c>
      <c r="O164" s="10">
        <v>3.6128150130856298</v>
      </c>
      <c r="P164" s="10">
        <v>3.6159158367264599</v>
      </c>
      <c r="Q164" s="10">
        <v>3.61757510936323</v>
      </c>
      <c r="R164" s="8">
        <v>345.09609004994002</v>
      </c>
      <c r="S164" s="8">
        <v>345.39193120954798</v>
      </c>
      <c r="T164" s="8">
        <v>345.56703526935001</v>
      </c>
      <c r="U164" s="9">
        <v>-1.1986862137006501E-3</v>
      </c>
      <c r="V164" s="9">
        <v>-3.4178162273815102E-4</v>
      </c>
      <c r="W164" s="9">
        <v>1.65061973033988E-4</v>
      </c>
      <c r="X164" s="10">
        <v>3.6171482412060301</v>
      </c>
      <c r="Y164" s="10">
        <v>3.6128150130856298</v>
      </c>
      <c r="Z164" s="10">
        <v>3.6159158367264599</v>
      </c>
      <c r="AA164" s="10">
        <v>3.61757510936323</v>
      </c>
      <c r="AB164" s="8">
        <v>345.09609004994002</v>
      </c>
      <c r="AC164" s="8">
        <v>345.39193120954798</v>
      </c>
      <c r="AD164" s="8">
        <v>345.56703526935001</v>
      </c>
      <c r="AE164" s="9">
        <v>-1.1986862137006501E-3</v>
      </c>
      <c r="AF164" s="9">
        <v>-3.4178162273815102E-4</v>
      </c>
      <c r="AG164" s="9">
        <v>1.65061973033988E-4</v>
      </c>
      <c r="BB164">
        <f t="shared" si="42"/>
        <v>0</v>
      </c>
      <c r="BC164">
        <f t="shared" si="43"/>
        <v>1</v>
      </c>
      <c r="BD164">
        <f t="shared" si="44"/>
        <v>0</v>
      </c>
      <c r="BE164">
        <f t="shared" si="40"/>
        <v>1</v>
      </c>
      <c r="BF164">
        <f t="shared" si="45"/>
        <v>0</v>
      </c>
      <c r="BG164" s="9">
        <f t="shared" si="46"/>
        <v>0</v>
      </c>
      <c r="BH164" s="9">
        <f t="shared" si="47"/>
        <v>0</v>
      </c>
      <c r="BI164" s="9">
        <f t="shared" si="48"/>
        <v>0</v>
      </c>
      <c r="BJ164" s="12">
        <f t="shared" si="49"/>
        <v>8.9896796375027975E-3</v>
      </c>
      <c r="BL164" s="9"/>
      <c r="BN164">
        <f t="shared" si="50"/>
        <v>0</v>
      </c>
      <c r="BO164">
        <f t="shared" si="51"/>
        <v>0</v>
      </c>
      <c r="BP164">
        <f t="shared" si="52"/>
        <v>0</v>
      </c>
      <c r="BQ164">
        <f t="shared" si="41"/>
        <v>1</v>
      </c>
      <c r="BR164">
        <f t="shared" si="53"/>
        <v>0</v>
      </c>
      <c r="BS164" s="9">
        <f t="shared" si="54"/>
        <v>0</v>
      </c>
      <c r="BT164" s="9">
        <f t="shared" si="55"/>
        <v>0</v>
      </c>
      <c r="BU164" s="9">
        <f t="shared" si="56"/>
        <v>0</v>
      </c>
      <c r="BV164" s="12">
        <f t="shared" si="57"/>
        <v>2.2425974143792096E-3</v>
      </c>
      <c r="BX164" s="12">
        <f t="shared" si="58"/>
        <v>0</v>
      </c>
      <c r="BY164" s="12">
        <f t="shared" si="59"/>
        <v>1.1232277051882004E-2</v>
      </c>
    </row>
    <row r="165" spans="1:77" x14ac:dyDescent="0.3">
      <c r="A165" s="1">
        <v>46261</v>
      </c>
      <c r="B165" s="8">
        <v>94.91</v>
      </c>
      <c r="C165" s="8">
        <v>343.14</v>
      </c>
      <c r="D165" s="9">
        <v>-6.4065755018910897E-3</v>
      </c>
      <c r="E165" s="9">
        <v>-6.8830591936459504E-3</v>
      </c>
      <c r="F165" s="8">
        <v>0</v>
      </c>
      <c r="G165" s="8">
        <v>0.47799999999999998</v>
      </c>
      <c r="H165" s="8">
        <v>0</v>
      </c>
      <c r="I165" s="8">
        <v>1.4757</v>
      </c>
      <c r="J165" s="8">
        <v>0</v>
      </c>
      <c r="K165" s="8">
        <v>0</v>
      </c>
      <c r="L165" s="8">
        <v>94.91</v>
      </c>
      <c r="M165" s="8">
        <v>343.14</v>
      </c>
      <c r="N165" s="10">
        <v>3.6154251396059398</v>
      </c>
      <c r="O165" s="10">
        <v>3.6128150130856298</v>
      </c>
      <c r="P165" s="10">
        <v>3.6155743073803599</v>
      </c>
      <c r="Q165" s="10">
        <v>3.6172896107314898</v>
      </c>
      <c r="R165" s="8">
        <v>342.89227289195702</v>
      </c>
      <c r="S165" s="8">
        <v>343.18657206370801</v>
      </c>
      <c r="T165" s="8">
        <v>343.34405362966402</v>
      </c>
      <c r="U165" s="9">
        <v>-7.2220252194593398E-4</v>
      </c>
      <c r="V165" s="9">
        <v>1.3571400460218899E-4</v>
      </c>
      <c r="W165" s="9">
        <v>5.9448907689863299E-4</v>
      </c>
      <c r="X165" s="10">
        <v>3.6154251396059398</v>
      </c>
      <c r="Y165" s="10">
        <v>3.6128150130856298</v>
      </c>
      <c r="Z165" s="10">
        <v>3.6155743073803599</v>
      </c>
      <c r="AA165" s="10">
        <v>3.6172896107314898</v>
      </c>
      <c r="AB165" s="8">
        <v>342.89227289195702</v>
      </c>
      <c r="AC165" s="8">
        <v>343.18657206370801</v>
      </c>
      <c r="AD165" s="8">
        <v>343.34405362966402</v>
      </c>
      <c r="AE165" s="9">
        <v>-7.2220252194593398E-4</v>
      </c>
      <c r="AF165" s="9">
        <v>1.3571400460218899E-4</v>
      </c>
      <c r="AG165" s="9">
        <v>5.9448907689863299E-4</v>
      </c>
      <c r="BB165">
        <f t="shared" si="42"/>
        <v>0</v>
      </c>
      <c r="BC165">
        <f t="shared" si="43"/>
        <v>1</v>
      </c>
      <c r="BD165">
        <f t="shared" si="44"/>
        <v>0</v>
      </c>
      <c r="BE165">
        <f t="shared" si="40"/>
        <v>1</v>
      </c>
      <c r="BF165">
        <f t="shared" si="45"/>
        <v>0</v>
      </c>
      <c r="BG165" s="9">
        <f t="shared" si="46"/>
        <v>0</v>
      </c>
      <c r="BH165" s="9">
        <f t="shared" si="47"/>
        <v>0</v>
      </c>
      <c r="BI165" s="9">
        <f t="shared" si="48"/>
        <v>0</v>
      </c>
      <c r="BJ165" s="12">
        <f t="shared" si="49"/>
        <v>8.9896796375027975E-3</v>
      </c>
      <c r="BL165" s="9"/>
      <c r="BN165">
        <f t="shared" si="50"/>
        <v>0</v>
      </c>
      <c r="BO165">
        <f t="shared" si="51"/>
        <v>0</v>
      </c>
      <c r="BP165">
        <f t="shared" si="52"/>
        <v>0</v>
      </c>
      <c r="BQ165">
        <f t="shared" si="41"/>
        <v>1</v>
      </c>
      <c r="BR165">
        <f t="shared" si="53"/>
        <v>0</v>
      </c>
      <c r="BS165" s="9">
        <f t="shared" si="54"/>
        <v>0</v>
      </c>
      <c r="BT165" s="9">
        <f t="shared" si="55"/>
        <v>0</v>
      </c>
      <c r="BU165" s="9">
        <f t="shared" si="56"/>
        <v>0</v>
      </c>
      <c r="BV165" s="12">
        <f t="shared" si="57"/>
        <v>2.2425974143792096E-3</v>
      </c>
      <c r="BX165" s="12">
        <f t="shared" si="58"/>
        <v>0</v>
      </c>
      <c r="BY165" s="12">
        <f t="shared" si="59"/>
        <v>1.1232277051882004E-2</v>
      </c>
    </row>
    <row r="166" spans="1:77" x14ac:dyDescent="0.3">
      <c r="A166" s="1">
        <v>46262</v>
      </c>
      <c r="B166" s="8">
        <v>93.78</v>
      </c>
      <c r="C166" s="8">
        <v>339.25</v>
      </c>
      <c r="D166" s="9">
        <v>-1.1977460480960499E-2</v>
      </c>
      <c r="E166" s="9">
        <v>-1.1401228440301199E-2</v>
      </c>
      <c r="F166" s="8">
        <v>0</v>
      </c>
      <c r="G166" s="8">
        <v>0.47799999999999998</v>
      </c>
      <c r="H166" s="8">
        <v>0</v>
      </c>
      <c r="I166" s="8">
        <v>1.4757</v>
      </c>
      <c r="J166" s="8">
        <v>0</v>
      </c>
      <c r="K166" s="8">
        <v>0</v>
      </c>
      <c r="L166" s="8">
        <v>93.78</v>
      </c>
      <c r="M166" s="8">
        <v>339.25</v>
      </c>
      <c r="N166" s="10">
        <v>3.6175090637662599</v>
      </c>
      <c r="O166" s="10">
        <v>3.6128150130856298</v>
      </c>
      <c r="P166" s="10">
        <v>3.61582471023232</v>
      </c>
      <c r="Q166" s="10">
        <v>3.61729969950057</v>
      </c>
      <c r="R166" s="8">
        <v>338.80979192717098</v>
      </c>
      <c r="S166" s="8">
        <v>339.06855854613002</v>
      </c>
      <c r="T166" s="8">
        <v>339.22941969440001</v>
      </c>
      <c r="U166" s="9">
        <v>-1.29843456260513E-3</v>
      </c>
      <c r="V166" s="9">
        <v>-5.3497418258883003E-4</v>
      </c>
      <c r="W166" s="9">
        <v>-6.0665968661459999E-5</v>
      </c>
      <c r="X166" s="10">
        <v>3.6175090637662599</v>
      </c>
      <c r="Y166" s="10">
        <v>3.6128150130856298</v>
      </c>
      <c r="Z166" s="10">
        <v>3.61582471023232</v>
      </c>
      <c r="AA166" s="10">
        <v>3.61729969950057</v>
      </c>
      <c r="AB166" s="8">
        <v>338.80979192717098</v>
      </c>
      <c r="AC166" s="8">
        <v>339.06855854613002</v>
      </c>
      <c r="AD166" s="8">
        <v>339.22941969440001</v>
      </c>
      <c r="AE166" s="9">
        <v>-1.29843456260513E-3</v>
      </c>
      <c r="AF166" s="9">
        <v>-5.3497418258883003E-4</v>
      </c>
      <c r="AG166" s="9">
        <v>-6.0665968661459999E-5</v>
      </c>
      <c r="BB166">
        <f t="shared" si="42"/>
        <v>0</v>
      </c>
      <c r="BC166">
        <f t="shared" si="43"/>
        <v>0</v>
      </c>
      <c r="BD166">
        <f t="shared" si="44"/>
        <v>0</v>
      </c>
      <c r="BE166">
        <f t="shared" si="40"/>
        <v>1</v>
      </c>
      <c r="BF166">
        <f t="shared" si="45"/>
        <v>0</v>
      </c>
      <c r="BG166" s="9">
        <f t="shared" si="46"/>
        <v>0</v>
      </c>
      <c r="BH166" s="9">
        <f t="shared" si="47"/>
        <v>0</v>
      </c>
      <c r="BI166" s="9">
        <f t="shared" si="48"/>
        <v>0</v>
      </c>
      <c r="BJ166" s="12">
        <f t="shared" si="49"/>
        <v>8.9896796375027975E-3</v>
      </c>
      <c r="BL166" s="9"/>
      <c r="BN166">
        <f t="shared" si="50"/>
        <v>0</v>
      </c>
      <c r="BO166">
        <f t="shared" si="51"/>
        <v>1</v>
      </c>
      <c r="BP166">
        <f t="shared" si="52"/>
        <v>0</v>
      </c>
      <c r="BQ166">
        <f t="shared" si="41"/>
        <v>1</v>
      </c>
      <c r="BR166">
        <f t="shared" si="53"/>
        <v>0</v>
      </c>
      <c r="BS166" s="9">
        <f t="shared" si="54"/>
        <v>0</v>
      </c>
      <c r="BT166" s="9">
        <f t="shared" si="55"/>
        <v>0</v>
      </c>
      <c r="BU166" s="9">
        <f t="shared" si="56"/>
        <v>0</v>
      </c>
      <c r="BV166" s="12">
        <f t="shared" si="57"/>
        <v>2.2425974143792096E-3</v>
      </c>
      <c r="BX166" s="12">
        <f t="shared" si="58"/>
        <v>0</v>
      </c>
      <c r="BY166" s="12">
        <f t="shared" si="59"/>
        <v>1.1232277051882004E-2</v>
      </c>
    </row>
    <row r="167" spans="1:77" x14ac:dyDescent="0.3">
      <c r="A167" s="1">
        <v>46265</v>
      </c>
      <c r="B167" s="8">
        <v>92.82</v>
      </c>
      <c r="C167" s="8">
        <v>335.75</v>
      </c>
      <c r="D167" s="9">
        <v>-1.0289479848410501E-2</v>
      </c>
      <c r="E167" s="9">
        <v>-1.03704633116315E-2</v>
      </c>
      <c r="F167" s="8">
        <v>0</v>
      </c>
      <c r="G167" s="8">
        <v>0.47799999999999998</v>
      </c>
      <c r="H167" s="8">
        <v>0</v>
      </c>
      <c r="I167" s="8">
        <v>1.4757</v>
      </c>
      <c r="J167" s="8">
        <v>0</v>
      </c>
      <c r="K167" s="8">
        <v>0</v>
      </c>
      <c r="L167" s="8">
        <v>92.82</v>
      </c>
      <c r="M167" s="8">
        <v>335.75</v>
      </c>
      <c r="N167" s="10">
        <v>3.6172161172161101</v>
      </c>
      <c r="O167" s="10">
        <v>3.6128150130856298</v>
      </c>
      <c r="P167" s="10">
        <v>3.6158767988165099</v>
      </c>
      <c r="Q167" s="10">
        <v>3.61716915267453</v>
      </c>
      <c r="R167" s="8">
        <v>335.34148951460799</v>
      </c>
      <c r="S167" s="8">
        <v>335.62084960376302</v>
      </c>
      <c r="T167" s="8">
        <v>335.75775810764299</v>
      </c>
      <c r="U167" s="9">
        <v>-1.2174510993841199E-3</v>
      </c>
      <c r="V167" s="9">
        <v>-3.8473638796021798E-4</v>
      </c>
      <c r="W167" s="9">
        <v>2.3106531681190399E-5</v>
      </c>
      <c r="X167" s="10">
        <v>3.6172161172161101</v>
      </c>
      <c r="Y167" s="10">
        <v>3.6128150130856298</v>
      </c>
      <c r="Z167" s="10">
        <v>3.6158767988165099</v>
      </c>
      <c r="AA167" s="10">
        <v>3.61716915267453</v>
      </c>
      <c r="AB167" s="8">
        <v>335.34148951460799</v>
      </c>
      <c r="AC167" s="8">
        <v>335.62084960376302</v>
      </c>
      <c r="AD167" s="8">
        <v>335.75775810764299</v>
      </c>
      <c r="AE167" s="9">
        <v>-1.2174510993841199E-3</v>
      </c>
      <c r="AF167" s="9">
        <v>-3.8473638796021798E-4</v>
      </c>
      <c r="AG167" s="9">
        <v>2.3106531681190399E-5</v>
      </c>
      <c r="BB167">
        <f t="shared" si="42"/>
        <v>0</v>
      </c>
      <c r="BC167">
        <f t="shared" si="43"/>
        <v>1</v>
      </c>
      <c r="BD167">
        <f t="shared" si="44"/>
        <v>0</v>
      </c>
      <c r="BE167">
        <f t="shared" si="40"/>
        <v>1</v>
      </c>
      <c r="BF167">
        <f t="shared" si="45"/>
        <v>0</v>
      </c>
      <c r="BG167" s="9">
        <f t="shared" si="46"/>
        <v>0</v>
      </c>
      <c r="BH167" s="9">
        <f t="shared" si="47"/>
        <v>0</v>
      </c>
      <c r="BI167" s="9">
        <f t="shared" si="48"/>
        <v>0</v>
      </c>
      <c r="BJ167" s="12">
        <f t="shared" si="49"/>
        <v>8.9896796375027975E-3</v>
      </c>
      <c r="BL167" s="9"/>
      <c r="BN167">
        <f t="shared" si="50"/>
        <v>0</v>
      </c>
      <c r="BO167">
        <f t="shared" si="51"/>
        <v>0</v>
      </c>
      <c r="BP167">
        <f t="shared" si="52"/>
        <v>0</v>
      </c>
      <c r="BQ167">
        <f t="shared" si="41"/>
        <v>1</v>
      </c>
      <c r="BR167">
        <f t="shared" si="53"/>
        <v>0</v>
      </c>
      <c r="BS167" s="9">
        <f t="shared" si="54"/>
        <v>0</v>
      </c>
      <c r="BT167" s="9">
        <f t="shared" si="55"/>
        <v>0</v>
      </c>
      <c r="BU167" s="9">
        <f t="shared" si="56"/>
        <v>0</v>
      </c>
      <c r="BV167" s="12">
        <f t="shared" si="57"/>
        <v>2.2425974143792096E-3</v>
      </c>
      <c r="BX167" s="12">
        <f t="shared" si="58"/>
        <v>0</v>
      </c>
      <c r="BY167" s="12">
        <f t="shared" si="59"/>
        <v>1.1232277051882004E-2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2026-09-04T02:30:15Z</dcterms:modified>
</cp:coreProperties>
</file>